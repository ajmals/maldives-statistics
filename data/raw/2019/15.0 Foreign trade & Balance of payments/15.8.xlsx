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5. FOREIGN TRADE AND BOP\"/>
    </mc:Choice>
  </mc:AlternateContent>
  <bookViews>
    <workbookView xWindow="0" yWindow="0" windowWidth="28800" windowHeight="11430" tabRatio="698"/>
  </bookViews>
  <sheets>
    <sheet name="15.8" sheetId="8" r:id="rId1"/>
  </sheets>
  <definedNames>
    <definedName name="_xlnm.Print_Area" localSheetId="0">'15.8'!$A$1:$Q$144</definedName>
    <definedName name="_xlnm.Print_Titles" localSheetId="0">'15.8'!$3:$5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8" l="1"/>
  <c r="L9" i="8"/>
  <c r="L10" i="8"/>
  <c r="L11" i="8"/>
  <c r="L12" i="8"/>
  <c r="L13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9" i="8"/>
  <c r="L30" i="8"/>
  <c r="L31" i="8"/>
  <c r="L32" i="8"/>
  <c r="L33" i="8"/>
  <c r="L34" i="8"/>
  <c r="L35" i="8"/>
  <c r="L36" i="8"/>
  <c r="L37" i="8"/>
  <c r="L38" i="8"/>
  <c r="L40" i="8"/>
  <c r="L41" i="8"/>
  <c r="L42" i="8"/>
  <c r="L43" i="8"/>
  <c r="L45" i="8"/>
  <c r="L46" i="8"/>
  <c r="L47" i="8"/>
  <c r="L48" i="8"/>
  <c r="L49" i="8"/>
  <c r="L50" i="8"/>
  <c r="L51" i="8"/>
  <c r="L52" i="8"/>
  <c r="L53" i="8"/>
  <c r="L54" i="8"/>
  <c r="L55" i="8"/>
  <c r="L56" i="8"/>
  <c r="L58" i="8"/>
  <c r="L59" i="8"/>
  <c r="L60" i="8"/>
  <c r="L61" i="8"/>
  <c r="L62" i="8"/>
  <c r="L63" i="8"/>
  <c r="L64" i="8"/>
  <c r="L65" i="8"/>
  <c r="L67" i="8"/>
  <c r="L68" i="8"/>
  <c r="L69" i="8"/>
  <c r="L70" i="8"/>
  <c r="L71" i="8"/>
  <c r="L72" i="8"/>
  <c r="L73" i="8"/>
  <c r="L74" i="8"/>
  <c r="L75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2" i="8"/>
  <c r="L93" i="8"/>
  <c r="L94" i="8"/>
  <c r="L95" i="8"/>
  <c r="L96" i="8"/>
  <c r="L98" i="8"/>
  <c r="L99" i="8"/>
  <c r="L100" i="8"/>
  <c r="L101" i="8"/>
  <c r="L103" i="8"/>
  <c r="L104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9" i="8"/>
  <c r="L120" i="8"/>
  <c r="L121" i="8"/>
  <c r="L123" i="8"/>
  <c r="L124" i="8"/>
  <c r="L125" i="8"/>
  <c r="L126" i="8"/>
  <c r="L127" i="8"/>
  <c r="L129" i="8"/>
  <c r="L130" i="8"/>
  <c r="L131" i="8"/>
  <c r="L132" i="8"/>
  <c r="L134" i="8"/>
  <c r="L135" i="8"/>
  <c r="L137" i="8"/>
  <c r="L138" i="8"/>
  <c r="L139" i="8"/>
  <c r="L140" i="8"/>
  <c r="L142" i="8"/>
  <c r="L143" i="8"/>
  <c r="L8" i="8"/>
  <c r="P134" i="8" l="1"/>
  <c r="Q143" i="8" l="1"/>
  <c r="P143" i="8"/>
  <c r="O143" i="8"/>
  <c r="N143" i="8"/>
  <c r="M143" i="8"/>
  <c r="G142" i="8"/>
  <c r="Q142" i="8" s="1"/>
  <c r="F142" i="8"/>
  <c r="P142" i="8" s="1"/>
  <c r="E142" i="8"/>
  <c r="D142" i="8"/>
  <c r="C142" i="8"/>
  <c r="B142" i="8"/>
  <c r="Q140" i="8"/>
  <c r="P140" i="8"/>
  <c r="O140" i="8"/>
  <c r="N140" i="8"/>
  <c r="M140" i="8"/>
  <c r="Q139" i="8"/>
  <c r="P139" i="8"/>
  <c r="O139" i="8"/>
  <c r="N139" i="8"/>
  <c r="M139" i="8"/>
  <c r="Q138" i="8"/>
  <c r="P138" i="8"/>
  <c r="O138" i="8"/>
  <c r="N138" i="8"/>
  <c r="M138" i="8"/>
  <c r="G137" i="8"/>
  <c r="Q137" i="8" s="1"/>
  <c r="F137" i="8"/>
  <c r="P137" i="8" s="1"/>
  <c r="E137" i="8"/>
  <c r="O137" i="8" s="1"/>
  <c r="D137" i="8"/>
  <c r="C137" i="8"/>
  <c r="M137" i="8" s="1"/>
  <c r="B137" i="8"/>
  <c r="O135" i="8"/>
  <c r="N135" i="8"/>
  <c r="I135" i="8"/>
  <c r="F135" i="8"/>
  <c r="G134" i="8"/>
  <c r="F134" i="8"/>
  <c r="E134" i="8"/>
  <c r="D134" i="8"/>
  <c r="C134" i="8"/>
  <c r="C6" i="8" s="1"/>
  <c r="B134" i="8"/>
  <c r="Q132" i="8"/>
  <c r="P132" i="8"/>
  <c r="O132" i="8"/>
  <c r="N132" i="8"/>
  <c r="M132" i="8"/>
  <c r="Q131" i="8"/>
  <c r="P131" i="8"/>
  <c r="O131" i="8"/>
  <c r="N131" i="8"/>
  <c r="M131" i="8"/>
  <c r="Q130" i="8"/>
  <c r="P130" i="8"/>
  <c r="O130" i="8"/>
  <c r="N130" i="8"/>
  <c r="M130" i="8"/>
  <c r="Q129" i="8"/>
  <c r="G129" i="8"/>
  <c r="F129" i="8"/>
  <c r="P129" i="8" s="1"/>
  <c r="E129" i="8"/>
  <c r="O129" i="8" s="1"/>
  <c r="D129" i="8"/>
  <c r="N129" i="8" s="1"/>
  <c r="C129" i="8"/>
  <c r="B129" i="8"/>
  <c r="Q127" i="8"/>
  <c r="P127" i="8"/>
  <c r="O127" i="8"/>
  <c r="N127" i="8"/>
  <c r="M127" i="8"/>
  <c r="Q126" i="8"/>
  <c r="P126" i="8"/>
  <c r="O126" i="8"/>
  <c r="N126" i="8"/>
  <c r="M126" i="8"/>
  <c r="Q125" i="8"/>
  <c r="P125" i="8"/>
  <c r="O125" i="8"/>
  <c r="N125" i="8"/>
  <c r="M125" i="8"/>
  <c r="Q124" i="8"/>
  <c r="P124" i="8"/>
  <c r="O124" i="8"/>
  <c r="N124" i="8"/>
  <c r="M124" i="8"/>
  <c r="Q123" i="8"/>
  <c r="I123" i="8"/>
  <c r="G123" i="8"/>
  <c r="F123" i="8"/>
  <c r="P123" i="8" s="1"/>
  <c r="E123" i="8"/>
  <c r="O123" i="8" s="1"/>
  <c r="D123" i="8"/>
  <c r="N123" i="8" s="1"/>
  <c r="C123" i="8"/>
  <c r="B123" i="8"/>
  <c r="Q121" i="8"/>
  <c r="P121" i="8"/>
  <c r="O121" i="8"/>
  <c r="N121" i="8"/>
  <c r="M121" i="8"/>
  <c r="Q120" i="8"/>
  <c r="P120" i="8"/>
  <c r="O120" i="8"/>
  <c r="N120" i="8"/>
  <c r="M120" i="8"/>
  <c r="M119" i="8"/>
  <c r="G119" i="8"/>
  <c r="F119" i="8"/>
  <c r="E119" i="8"/>
  <c r="D119" i="8"/>
  <c r="I119" i="8" s="1"/>
  <c r="C119" i="8"/>
  <c r="B119" i="8"/>
  <c r="Q117" i="8"/>
  <c r="P117" i="8"/>
  <c r="O117" i="8"/>
  <c r="N117" i="8"/>
  <c r="M117" i="8"/>
  <c r="Q116" i="8"/>
  <c r="P116" i="8"/>
  <c r="O116" i="8"/>
  <c r="N116" i="8"/>
  <c r="M116" i="8"/>
  <c r="Q115" i="8"/>
  <c r="P115" i="8"/>
  <c r="O115" i="8"/>
  <c r="N115" i="8"/>
  <c r="M115" i="8"/>
  <c r="Q114" i="8"/>
  <c r="P114" i="8"/>
  <c r="O114" i="8"/>
  <c r="N114" i="8"/>
  <c r="M114" i="8"/>
  <c r="Q113" i="8"/>
  <c r="P113" i="8"/>
  <c r="O113" i="8"/>
  <c r="N113" i="8"/>
  <c r="M113" i="8"/>
  <c r="Q112" i="8"/>
  <c r="P112" i="8"/>
  <c r="O112" i="8"/>
  <c r="N112" i="8"/>
  <c r="M112" i="8"/>
  <c r="Q111" i="8"/>
  <c r="P111" i="8"/>
  <c r="O111" i="8"/>
  <c r="N111" i="8"/>
  <c r="M111" i="8"/>
  <c r="I111" i="8"/>
  <c r="Q110" i="8"/>
  <c r="P110" i="8"/>
  <c r="O110" i="8"/>
  <c r="N110" i="8"/>
  <c r="M110" i="8"/>
  <c r="Q109" i="8"/>
  <c r="P109" i="8"/>
  <c r="O109" i="8"/>
  <c r="N109" i="8"/>
  <c r="M109" i="8"/>
  <c r="Q108" i="8"/>
  <c r="P108" i="8"/>
  <c r="O108" i="8"/>
  <c r="N108" i="8"/>
  <c r="M108" i="8"/>
  <c r="Q107" i="8"/>
  <c r="P107" i="8"/>
  <c r="O107" i="8"/>
  <c r="N107" i="8"/>
  <c r="M107" i="8"/>
  <c r="G106" i="8"/>
  <c r="Q106" i="8" s="1"/>
  <c r="F106" i="8"/>
  <c r="P106" i="8" s="1"/>
  <c r="E106" i="8"/>
  <c r="D106" i="8"/>
  <c r="C106" i="8"/>
  <c r="B106" i="8"/>
  <c r="Q104" i="8"/>
  <c r="P104" i="8"/>
  <c r="O104" i="8"/>
  <c r="N104" i="8"/>
  <c r="M104" i="8"/>
  <c r="M103" i="8"/>
  <c r="G103" i="8"/>
  <c r="F103" i="8"/>
  <c r="E103" i="8"/>
  <c r="D103" i="8"/>
  <c r="I103" i="8" s="1"/>
  <c r="C103" i="8"/>
  <c r="B103" i="8"/>
  <c r="Q101" i="8"/>
  <c r="P101" i="8"/>
  <c r="O101" i="8"/>
  <c r="N101" i="8"/>
  <c r="M101" i="8"/>
  <c r="Q100" i="8"/>
  <c r="P100" i="8"/>
  <c r="O100" i="8"/>
  <c r="N100" i="8"/>
  <c r="M100" i="8"/>
  <c r="Q99" i="8"/>
  <c r="P99" i="8"/>
  <c r="O99" i="8"/>
  <c r="N99" i="8"/>
  <c r="M99" i="8"/>
  <c r="M98" i="8"/>
  <c r="G98" i="8"/>
  <c r="F98" i="8"/>
  <c r="E98" i="8"/>
  <c r="D98" i="8"/>
  <c r="I98" i="8" s="1"/>
  <c r="C98" i="8"/>
  <c r="B98" i="8"/>
  <c r="Q96" i="8"/>
  <c r="P96" i="8"/>
  <c r="O96" i="8"/>
  <c r="N96" i="8"/>
  <c r="M96" i="8"/>
  <c r="Q95" i="8"/>
  <c r="P95" i="8"/>
  <c r="O95" i="8"/>
  <c r="N95" i="8"/>
  <c r="M95" i="8"/>
  <c r="Q94" i="8"/>
  <c r="P94" i="8"/>
  <c r="O94" i="8"/>
  <c r="N94" i="8"/>
  <c r="M94" i="8"/>
  <c r="Q93" i="8"/>
  <c r="P93" i="8"/>
  <c r="O93" i="8"/>
  <c r="N93" i="8"/>
  <c r="M93" i="8"/>
  <c r="M92" i="8"/>
  <c r="G92" i="8"/>
  <c r="F92" i="8"/>
  <c r="E92" i="8"/>
  <c r="D92" i="8"/>
  <c r="C92" i="8"/>
  <c r="B92" i="8"/>
  <c r="Q90" i="8"/>
  <c r="P90" i="8"/>
  <c r="O90" i="8"/>
  <c r="N90" i="8"/>
  <c r="M90" i="8"/>
  <c r="Q89" i="8"/>
  <c r="P89" i="8"/>
  <c r="O89" i="8"/>
  <c r="N89" i="8"/>
  <c r="M89" i="8"/>
  <c r="Q88" i="8"/>
  <c r="P88" i="8"/>
  <c r="O88" i="8"/>
  <c r="N88" i="8"/>
  <c r="M88" i="8"/>
  <c r="Q87" i="8"/>
  <c r="P87" i="8"/>
  <c r="O87" i="8"/>
  <c r="N87" i="8"/>
  <c r="M87" i="8"/>
  <c r="Q86" i="8"/>
  <c r="P86" i="8"/>
  <c r="O86" i="8"/>
  <c r="N86" i="8"/>
  <c r="M86" i="8"/>
  <c r="Q85" i="8"/>
  <c r="P85" i="8"/>
  <c r="O85" i="8"/>
  <c r="N85" i="8"/>
  <c r="M85" i="8"/>
  <c r="Q84" i="8"/>
  <c r="P84" i="8"/>
  <c r="O84" i="8"/>
  <c r="N84" i="8"/>
  <c r="M84" i="8"/>
  <c r="Q83" i="8"/>
  <c r="P83" i="8"/>
  <c r="O83" i="8"/>
  <c r="N83" i="8"/>
  <c r="M83" i="8"/>
  <c r="Q82" i="8"/>
  <c r="P82" i="8"/>
  <c r="O82" i="8"/>
  <c r="N82" i="8"/>
  <c r="M82" i="8"/>
  <c r="Q81" i="8"/>
  <c r="P81" i="8"/>
  <c r="O81" i="8"/>
  <c r="N81" i="8"/>
  <c r="M81" i="8"/>
  <c r="Q80" i="8"/>
  <c r="P80" i="8"/>
  <c r="O80" i="8"/>
  <c r="N80" i="8"/>
  <c r="M80" i="8"/>
  <c r="Q79" i="8"/>
  <c r="P79" i="8"/>
  <c r="O79" i="8"/>
  <c r="N79" i="8"/>
  <c r="M79" i="8"/>
  <c r="Q78" i="8"/>
  <c r="P78" i="8"/>
  <c r="O78" i="8"/>
  <c r="N78" i="8"/>
  <c r="M78" i="8"/>
  <c r="O77" i="8"/>
  <c r="G77" i="8"/>
  <c r="F77" i="8"/>
  <c r="E77" i="8"/>
  <c r="D77" i="8"/>
  <c r="N77" i="8" s="1"/>
  <c r="C77" i="8"/>
  <c r="M77" i="8" s="1"/>
  <c r="B77" i="8"/>
  <c r="Q75" i="8"/>
  <c r="P75" i="8"/>
  <c r="O75" i="8"/>
  <c r="N75" i="8"/>
  <c r="M75" i="8"/>
  <c r="Q74" i="8"/>
  <c r="P74" i="8"/>
  <c r="O74" i="8"/>
  <c r="N74" i="8"/>
  <c r="M74" i="8"/>
  <c r="I74" i="8"/>
  <c r="Q73" i="8"/>
  <c r="P73" i="8"/>
  <c r="O73" i="8"/>
  <c r="N73" i="8"/>
  <c r="M73" i="8"/>
  <c r="M72" i="8"/>
  <c r="G72" i="8"/>
  <c r="F72" i="8"/>
  <c r="E72" i="8"/>
  <c r="D72" i="8"/>
  <c r="C72" i="8"/>
  <c r="B72" i="8"/>
  <c r="Q70" i="8"/>
  <c r="P70" i="8"/>
  <c r="O70" i="8"/>
  <c r="N70" i="8"/>
  <c r="M70" i="8"/>
  <c r="Q69" i="8"/>
  <c r="P69" i="8"/>
  <c r="O69" i="8"/>
  <c r="N69" i="8"/>
  <c r="M69" i="8"/>
  <c r="I69" i="8"/>
  <c r="Q68" i="8"/>
  <c r="P68" i="8"/>
  <c r="O68" i="8"/>
  <c r="N68" i="8"/>
  <c r="M68" i="8"/>
  <c r="M67" i="8"/>
  <c r="G67" i="8"/>
  <c r="F67" i="8"/>
  <c r="E67" i="8"/>
  <c r="D67" i="8"/>
  <c r="C67" i="8"/>
  <c r="B67" i="8"/>
  <c r="Q64" i="8"/>
  <c r="P64" i="8"/>
  <c r="O64" i="8"/>
  <c r="N64" i="8"/>
  <c r="M64" i="8"/>
  <c r="Q63" i="8"/>
  <c r="P63" i="8"/>
  <c r="O63" i="8"/>
  <c r="N63" i="8"/>
  <c r="M63" i="8"/>
  <c r="N62" i="8"/>
  <c r="G62" i="8"/>
  <c r="F62" i="8"/>
  <c r="E62" i="8"/>
  <c r="D62" i="8"/>
  <c r="C62" i="8"/>
  <c r="M62" i="8" s="1"/>
  <c r="B62" i="8"/>
  <c r="Q60" i="8"/>
  <c r="P60" i="8"/>
  <c r="O60" i="8"/>
  <c r="N60" i="8"/>
  <c r="M60" i="8"/>
  <c r="Q59" i="8"/>
  <c r="P59" i="8"/>
  <c r="O59" i="8"/>
  <c r="N59" i="8"/>
  <c r="M59" i="8"/>
  <c r="G58" i="8"/>
  <c r="Q58" i="8" s="1"/>
  <c r="F58" i="8"/>
  <c r="P58" i="8" s="1"/>
  <c r="E58" i="8"/>
  <c r="O58" i="8" s="1"/>
  <c r="D58" i="8"/>
  <c r="I58" i="8" s="1"/>
  <c r="C58" i="8"/>
  <c r="B58" i="8"/>
  <c r="Q56" i="8"/>
  <c r="P56" i="8"/>
  <c r="O56" i="8"/>
  <c r="N56" i="8"/>
  <c r="M56" i="8"/>
  <c r="Q55" i="8"/>
  <c r="P55" i="8"/>
  <c r="O55" i="8"/>
  <c r="N55" i="8"/>
  <c r="M55" i="8"/>
  <c r="Q54" i="8"/>
  <c r="P54" i="8"/>
  <c r="O54" i="8"/>
  <c r="N54" i="8"/>
  <c r="M54" i="8"/>
  <c r="Q53" i="8"/>
  <c r="P53" i="8"/>
  <c r="O53" i="8"/>
  <c r="N53" i="8"/>
  <c r="M53" i="8"/>
  <c r="Q52" i="8"/>
  <c r="P52" i="8"/>
  <c r="O52" i="8"/>
  <c r="N52" i="8"/>
  <c r="M52" i="8"/>
  <c r="Q51" i="8"/>
  <c r="P51" i="8"/>
  <c r="O51" i="8"/>
  <c r="N51" i="8"/>
  <c r="M51" i="8"/>
  <c r="Q50" i="8"/>
  <c r="P50" i="8"/>
  <c r="O50" i="8"/>
  <c r="N50" i="8"/>
  <c r="M50" i="8"/>
  <c r="Q49" i="8"/>
  <c r="P49" i="8"/>
  <c r="O49" i="8"/>
  <c r="N49" i="8"/>
  <c r="M49" i="8"/>
  <c r="Q48" i="8"/>
  <c r="P48" i="8"/>
  <c r="O48" i="8"/>
  <c r="N48" i="8"/>
  <c r="M48" i="8"/>
  <c r="Q47" i="8"/>
  <c r="P47" i="8"/>
  <c r="O47" i="8"/>
  <c r="N47" i="8"/>
  <c r="M47" i="8"/>
  <c r="Q46" i="8"/>
  <c r="P46" i="8"/>
  <c r="O46" i="8"/>
  <c r="N46" i="8"/>
  <c r="M46" i="8"/>
  <c r="P45" i="8"/>
  <c r="G45" i="8"/>
  <c r="F45" i="8"/>
  <c r="E45" i="8"/>
  <c r="O45" i="8" s="1"/>
  <c r="D45" i="8"/>
  <c r="N45" i="8" s="1"/>
  <c r="C45" i="8"/>
  <c r="M45" i="8" s="1"/>
  <c r="B45" i="8"/>
  <c r="Q43" i="8"/>
  <c r="P43" i="8"/>
  <c r="O43" i="8"/>
  <c r="N43" i="8"/>
  <c r="M43" i="8"/>
  <c r="Q42" i="8"/>
  <c r="P42" i="8"/>
  <c r="O42" i="8"/>
  <c r="N42" i="8"/>
  <c r="M42" i="8"/>
  <c r="Q41" i="8"/>
  <c r="P41" i="8"/>
  <c r="O41" i="8"/>
  <c r="N41" i="8"/>
  <c r="M41" i="8"/>
  <c r="N40" i="8"/>
  <c r="G40" i="8"/>
  <c r="F40" i="8"/>
  <c r="E40" i="8"/>
  <c r="D40" i="8"/>
  <c r="C40" i="8"/>
  <c r="M40" i="8" s="1"/>
  <c r="B40" i="8"/>
  <c r="Q38" i="8"/>
  <c r="P38" i="8"/>
  <c r="O38" i="8"/>
  <c r="N38" i="8"/>
  <c r="M38" i="8"/>
  <c r="Q37" i="8"/>
  <c r="P37" i="8"/>
  <c r="O37" i="8"/>
  <c r="N37" i="8"/>
  <c r="M37" i="8"/>
  <c r="Q36" i="8"/>
  <c r="P36" i="8"/>
  <c r="O36" i="8"/>
  <c r="N36" i="8"/>
  <c r="M36" i="8"/>
  <c r="Q35" i="8"/>
  <c r="P35" i="8"/>
  <c r="O35" i="8"/>
  <c r="N35" i="8"/>
  <c r="M35" i="8"/>
  <c r="Q34" i="8"/>
  <c r="P34" i="8"/>
  <c r="O34" i="8"/>
  <c r="N34" i="8"/>
  <c r="M34" i="8"/>
  <c r="Q33" i="8"/>
  <c r="P33" i="8"/>
  <c r="O33" i="8"/>
  <c r="N33" i="8"/>
  <c r="M33" i="8"/>
  <c r="Q32" i="8"/>
  <c r="P32" i="8"/>
  <c r="O32" i="8"/>
  <c r="N32" i="8"/>
  <c r="M32" i="8"/>
  <c r="Q31" i="8"/>
  <c r="P31" i="8"/>
  <c r="O31" i="8"/>
  <c r="N31" i="8"/>
  <c r="M31" i="8"/>
  <c r="Q30" i="8"/>
  <c r="P30" i="8"/>
  <c r="O30" i="8"/>
  <c r="N30" i="8"/>
  <c r="M30" i="8"/>
  <c r="P29" i="8"/>
  <c r="G29" i="8"/>
  <c r="F29" i="8"/>
  <c r="E29" i="8"/>
  <c r="O29" i="8" s="1"/>
  <c r="D29" i="8"/>
  <c r="N29" i="8" s="1"/>
  <c r="C29" i="8"/>
  <c r="M29" i="8" s="1"/>
  <c r="B29" i="8"/>
  <c r="Q27" i="8"/>
  <c r="P27" i="8"/>
  <c r="O27" i="8"/>
  <c r="N27" i="8"/>
  <c r="M27" i="8"/>
  <c r="M26" i="8"/>
  <c r="G26" i="8"/>
  <c r="F26" i="8"/>
  <c r="E26" i="8"/>
  <c r="D26" i="8"/>
  <c r="C26" i="8"/>
  <c r="B26" i="8"/>
  <c r="Q24" i="8"/>
  <c r="P24" i="8"/>
  <c r="O24" i="8"/>
  <c r="N24" i="8"/>
  <c r="M24" i="8"/>
  <c r="Q23" i="8"/>
  <c r="P23" i="8"/>
  <c r="O23" i="8"/>
  <c r="N23" i="8"/>
  <c r="M23" i="8"/>
  <c r="Q22" i="8"/>
  <c r="P22" i="8"/>
  <c r="O22" i="8"/>
  <c r="N22" i="8"/>
  <c r="M22" i="8"/>
  <c r="Q21" i="8"/>
  <c r="P21" i="8"/>
  <c r="O21" i="8"/>
  <c r="N21" i="8"/>
  <c r="M21" i="8"/>
  <c r="Q20" i="8"/>
  <c r="P20" i="8"/>
  <c r="O20" i="8"/>
  <c r="N20" i="8"/>
  <c r="M20" i="8"/>
  <c r="Q19" i="8"/>
  <c r="P19" i="8"/>
  <c r="O19" i="8"/>
  <c r="N19" i="8"/>
  <c r="M19" i="8"/>
  <c r="Q18" i="8"/>
  <c r="P18" i="8"/>
  <c r="O18" i="8"/>
  <c r="N18" i="8"/>
  <c r="M18" i="8"/>
  <c r="Q17" i="8"/>
  <c r="P17" i="8"/>
  <c r="O17" i="8"/>
  <c r="N17" i="8"/>
  <c r="M17" i="8"/>
  <c r="Q16" i="8"/>
  <c r="P16" i="8"/>
  <c r="O16" i="8"/>
  <c r="N16" i="8"/>
  <c r="M16" i="8"/>
  <c r="P15" i="8"/>
  <c r="O15" i="8"/>
  <c r="N15" i="8"/>
  <c r="G15" i="8"/>
  <c r="G6" i="8" s="1"/>
  <c r="F15" i="8"/>
  <c r="F6" i="8" s="1"/>
  <c r="E15" i="8"/>
  <c r="D15" i="8"/>
  <c r="C15" i="8"/>
  <c r="M15" i="8" s="1"/>
  <c r="B15" i="8"/>
  <c r="Q13" i="8"/>
  <c r="P13" i="8"/>
  <c r="O13" i="8"/>
  <c r="N13" i="8"/>
  <c r="M13" i="8"/>
  <c r="Q12" i="8"/>
  <c r="P12" i="8"/>
  <c r="O12" i="8"/>
  <c r="N12" i="8"/>
  <c r="M12" i="8"/>
  <c r="I12" i="8"/>
  <c r="Q11" i="8"/>
  <c r="P11" i="8"/>
  <c r="O11" i="8"/>
  <c r="N11" i="8"/>
  <c r="M11" i="8"/>
  <c r="Q10" i="8"/>
  <c r="P10" i="8"/>
  <c r="O10" i="8"/>
  <c r="N10" i="8"/>
  <c r="M10" i="8"/>
  <c r="Q9" i="8"/>
  <c r="P9" i="8"/>
  <c r="O9" i="8"/>
  <c r="N9" i="8"/>
  <c r="M9" i="8"/>
  <c r="Q8" i="8"/>
  <c r="P8" i="8"/>
  <c r="I8" i="8"/>
  <c r="G8" i="8"/>
  <c r="F8" i="8"/>
  <c r="E8" i="8"/>
  <c r="O8" i="8" s="1"/>
  <c r="D8" i="8"/>
  <c r="N8" i="8" s="1"/>
  <c r="C8" i="8"/>
  <c r="M8" i="8" s="1"/>
  <c r="B8" i="8"/>
  <c r="D6" i="8"/>
  <c r="I127" i="8" s="1"/>
  <c r="B6" i="8"/>
  <c r="K142" i="8" l="1"/>
  <c r="K140" i="8"/>
  <c r="K63" i="8"/>
  <c r="K55" i="8"/>
  <c r="K51" i="8"/>
  <c r="K47" i="8"/>
  <c r="K41" i="8"/>
  <c r="K35" i="8"/>
  <c r="K31" i="8"/>
  <c r="K131" i="8"/>
  <c r="K125" i="8"/>
  <c r="K117" i="8"/>
  <c r="K113" i="8"/>
  <c r="K109" i="8"/>
  <c r="K96" i="8"/>
  <c r="K90" i="8"/>
  <c r="K86" i="8"/>
  <c r="K82" i="8"/>
  <c r="K78" i="8"/>
  <c r="K24" i="8"/>
  <c r="K20" i="8"/>
  <c r="K139" i="8"/>
  <c r="K60" i="8"/>
  <c r="K54" i="8"/>
  <c r="K50" i="8"/>
  <c r="K46" i="8"/>
  <c r="K38" i="8"/>
  <c r="K34" i="8"/>
  <c r="K30" i="8"/>
  <c r="K130" i="8"/>
  <c r="K124" i="8"/>
  <c r="K116" i="8"/>
  <c r="K112" i="8"/>
  <c r="K108" i="8"/>
  <c r="K101" i="8"/>
  <c r="K95" i="8"/>
  <c r="K89" i="8"/>
  <c r="K85" i="8"/>
  <c r="K81" i="8"/>
  <c r="K75" i="8"/>
  <c r="K70" i="8"/>
  <c r="K23" i="8"/>
  <c r="K19" i="8"/>
  <c r="K138" i="8"/>
  <c r="K71" i="8"/>
  <c r="K65" i="8"/>
  <c r="K59" i="8"/>
  <c r="K53" i="8"/>
  <c r="K49" i="8"/>
  <c r="K45" i="8"/>
  <c r="K43" i="8"/>
  <c r="K37" i="8"/>
  <c r="K33" i="8"/>
  <c r="K29" i="8"/>
  <c r="K127" i="8"/>
  <c r="K121" i="8"/>
  <c r="K115" i="8"/>
  <c r="K111" i="8"/>
  <c r="K107" i="8"/>
  <c r="K100" i="8"/>
  <c r="K94" i="8"/>
  <c r="K88" i="8"/>
  <c r="K84" i="8"/>
  <c r="K80" i="8"/>
  <c r="K74" i="8"/>
  <c r="K69" i="8"/>
  <c r="K22" i="8"/>
  <c r="K18" i="8"/>
  <c r="K143" i="8"/>
  <c r="K64" i="8"/>
  <c r="K56" i="8"/>
  <c r="K52" i="8"/>
  <c r="K48" i="8"/>
  <c r="K42" i="8"/>
  <c r="K36" i="8"/>
  <c r="K32" i="8"/>
  <c r="K21" i="8"/>
  <c r="K17" i="8"/>
  <c r="K134" i="8"/>
  <c r="K120" i="8"/>
  <c r="K104" i="8"/>
  <c r="K99" i="8"/>
  <c r="K83" i="8"/>
  <c r="K16" i="8"/>
  <c r="K10" i="8"/>
  <c r="K79" i="8"/>
  <c r="K11" i="8"/>
  <c r="K126" i="8"/>
  <c r="K87" i="8"/>
  <c r="K27" i="8"/>
  <c r="K13" i="8"/>
  <c r="K9" i="8"/>
  <c r="K93" i="8"/>
  <c r="K110" i="8"/>
  <c r="K73" i="8"/>
  <c r="K68" i="8"/>
  <c r="K132" i="8"/>
  <c r="K106" i="8"/>
  <c r="K12" i="8"/>
  <c r="K8" i="8"/>
  <c r="K114" i="8"/>
  <c r="H135" i="8"/>
  <c r="H127" i="8"/>
  <c r="H121" i="8"/>
  <c r="H115" i="8"/>
  <c r="H111" i="8"/>
  <c r="H107" i="8"/>
  <c r="H100" i="8"/>
  <c r="H94" i="8"/>
  <c r="H88" i="8"/>
  <c r="H84" i="8"/>
  <c r="H80" i="8"/>
  <c r="H74" i="8"/>
  <c r="H69" i="8"/>
  <c r="H22" i="8"/>
  <c r="H18" i="8"/>
  <c r="H143" i="8"/>
  <c r="H137" i="8"/>
  <c r="H64" i="8"/>
  <c r="H56" i="8"/>
  <c r="H52" i="8"/>
  <c r="H48" i="8"/>
  <c r="H42" i="8"/>
  <c r="H36" i="8"/>
  <c r="H32" i="8"/>
  <c r="H132" i="8"/>
  <c r="H126" i="8"/>
  <c r="H120" i="8"/>
  <c r="H114" i="8"/>
  <c r="H110" i="8"/>
  <c r="H104" i="8"/>
  <c r="H99" i="8"/>
  <c r="H93" i="8"/>
  <c r="H87" i="8"/>
  <c r="H83" i="8"/>
  <c r="H79" i="8"/>
  <c r="H73" i="8"/>
  <c r="H68" i="8"/>
  <c r="H27" i="8"/>
  <c r="H21" i="8"/>
  <c r="H140" i="8"/>
  <c r="H63" i="8"/>
  <c r="H55" i="8"/>
  <c r="H51" i="8"/>
  <c r="H47" i="8"/>
  <c r="H41" i="8"/>
  <c r="H35" i="8"/>
  <c r="H31" i="8"/>
  <c r="H131" i="8"/>
  <c r="H125" i="8"/>
  <c r="H117" i="8"/>
  <c r="H113" i="8"/>
  <c r="H109" i="8"/>
  <c r="H96" i="8"/>
  <c r="H90" i="8"/>
  <c r="H86" i="8"/>
  <c r="H82" i="8"/>
  <c r="H78" i="8"/>
  <c r="H26" i="8"/>
  <c r="H24" i="8"/>
  <c r="H20" i="8"/>
  <c r="H139" i="8"/>
  <c r="H60" i="8"/>
  <c r="H54" i="8"/>
  <c r="H50" i="8"/>
  <c r="H46" i="8"/>
  <c r="H38" i="8"/>
  <c r="H34" i="8"/>
  <c r="H30" i="8"/>
  <c r="H130" i="8"/>
  <c r="H124" i="8"/>
  <c r="H116" i="8"/>
  <c r="H112" i="8"/>
  <c r="H108" i="8"/>
  <c r="H101" i="8"/>
  <c r="H95" i="8"/>
  <c r="H89" i="8"/>
  <c r="H85" i="8"/>
  <c r="H81" i="8"/>
  <c r="H75" i="8"/>
  <c r="H70" i="8"/>
  <c r="H23" i="8"/>
  <c r="H19" i="8"/>
  <c r="H53" i="8"/>
  <c r="H12" i="8"/>
  <c r="H8" i="8"/>
  <c r="H13" i="8"/>
  <c r="H59" i="8"/>
  <c r="H45" i="8"/>
  <c r="H17" i="8"/>
  <c r="H11" i="8"/>
  <c r="H43" i="8"/>
  <c r="H33" i="8"/>
  <c r="M6" i="8"/>
  <c r="H15" i="8"/>
  <c r="H49" i="8"/>
  <c r="H65" i="8"/>
  <c r="H37" i="8"/>
  <c r="H16" i="8"/>
  <c r="H10" i="8"/>
  <c r="H29" i="8"/>
  <c r="H9" i="8"/>
  <c r="H138" i="8"/>
  <c r="K72" i="8"/>
  <c r="H103" i="8"/>
  <c r="Q77" i="8"/>
  <c r="I9" i="8"/>
  <c r="I13" i="8"/>
  <c r="I15" i="8"/>
  <c r="I6" i="8" s="1"/>
  <c r="Q15" i="8"/>
  <c r="K40" i="8"/>
  <c r="Q40" i="8"/>
  <c r="P40" i="8"/>
  <c r="I62" i="8"/>
  <c r="I88" i="8"/>
  <c r="O98" i="8"/>
  <c r="O103" i="8"/>
  <c r="O119" i="8"/>
  <c r="I134" i="8"/>
  <c r="P26" i="8"/>
  <c r="O26" i="8"/>
  <c r="H129" i="8"/>
  <c r="I143" i="8"/>
  <c r="I64" i="8"/>
  <c r="I56" i="8"/>
  <c r="I52" i="8"/>
  <c r="I48" i="8"/>
  <c r="I42" i="8"/>
  <c r="I36" i="8"/>
  <c r="I32" i="8"/>
  <c r="I132" i="8"/>
  <c r="I126" i="8"/>
  <c r="I120" i="8"/>
  <c r="I114" i="8"/>
  <c r="I110" i="8"/>
  <c r="I104" i="8"/>
  <c r="I99" i="8"/>
  <c r="I93" i="8"/>
  <c r="I87" i="8"/>
  <c r="I83" i="8"/>
  <c r="I79" i="8"/>
  <c r="I73" i="8"/>
  <c r="I68" i="8"/>
  <c r="I27" i="8"/>
  <c r="I21" i="8"/>
  <c r="I140" i="8"/>
  <c r="I63" i="8"/>
  <c r="I55" i="8"/>
  <c r="I51" i="8"/>
  <c r="I47" i="8"/>
  <c r="I41" i="8"/>
  <c r="I35" i="8"/>
  <c r="I31" i="8"/>
  <c r="I131" i="8"/>
  <c r="I125" i="8"/>
  <c r="I117" i="8"/>
  <c r="I113" i="8"/>
  <c r="I109" i="8"/>
  <c r="I96" i="8"/>
  <c r="I90" i="8"/>
  <c r="I86" i="8"/>
  <c r="I82" i="8"/>
  <c r="I78" i="8"/>
  <c r="I24" i="8"/>
  <c r="I20" i="8"/>
  <c r="I139" i="8"/>
  <c r="I60" i="8"/>
  <c r="I54" i="8"/>
  <c r="I50" i="8"/>
  <c r="I46" i="8"/>
  <c r="I40" i="8"/>
  <c r="I38" i="8"/>
  <c r="I34" i="8"/>
  <c r="I30" i="8"/>
  <c r="I130" i="8"/>
  <c r="I124" i="8"/>
  <c r="I116" i="8"/>
  <c r="I112" i="8"/>
  <c r="I108" i="8"/>
  <c r="I101" i="8"/>
  <c r="I95" i="8"/>
  <c r="I89" i="8"/>
  <c r="I85" i="8"/>
  <c r="I81" i="8"/>
  <c r="I75" i="8"/>
  <c r="I70" i="8"/>
  <c r="I23" i="8"/>
  <c r="I19" i="8"/>
  <c r="I138" i="8"/>
  <c r="I65" i="8"/>
  <c r="I59" i="8"/>
  <c r="I53" i="8"/>
  <c r="I49" i="8"/>
  <c r="I43" i="8"/>
  <c r="I37" i="8"/>
  <c r="I33" i="8"/>
  <c r="H92" i="8"/>
  <c r="K98" i="8"/>
  <c r="K103" i="8"/>
  <c r="I107" i="8"/>
  <c r="K119" i="8"/>
  <c r="H123" i="8"/>
  <c r="K67" i="8"/>
  <c r="K77" i="8"/>
  <c r="H98" i="8"/>
  <c r="E6" i="8"/>
  <c r="I10" i="8"/>
  <c r="K15" i="8"/>
  <c r="I16" i="8"/>
  <c r="K62" i="8"/>
  <c r="P62" i="8"/>
  <c r="I84" i="8"/>
  <c r="I92" i="8"/>
  <c r="I100" i="8"/>
  <c r="I121" i="8"/>
  <c r="H142" i="8"/>
  <c r="H119" i="8"/>
  <c r="K26" i="8"/>
  <c r="N6" i="8"/>
  <c r="L6" i="8"/>
  <c r="I18" i="8"/>
  <c r="I22" i="8"/>
  <c r="H67" i="8"/>
  <c r="H72" i="8"/>
  <c r="J92" i="8"/>
  <c r="O92" i="8"/>
  <c r="H106" i="8"/>
  <c r="M106" i="8"/>
  <c r="I137" i="8"/>
  <c r="I142" i="8"/>
  <c r="N142" i="8"/>
  <c r="J40" i="8"/>
  <c r="I11" i="8"/>
  <c r="I17" i="8"/>
  <c r="I67" i="8"/>
  <c r="I72" i="8"/>
  <c r="I80" i="8"/>
  <c r="K92" i="8"/>
  <c r="I106" i="8"/>
  <c r="I129" i="8"/>
  <c r="O142" i="8"/>
  <c r="H134" i="8"/>
  <c r="I26" i="8"/>
  <c r="H58" i="8"/>
  <c r="J67" i="8"/>
  <c r="O67" i="8"/>
  <c r="J72" i="8"/>
  <c r="O72" i="8"/>
  <c r="I94" i="8"/>
  <c r="I115" i="8"/>
  <c r="N26" i="8"/>
  <c r="I29" i="8"/>
  <c r="Q29" i="8"/>
  <c r="O40" i="8"/>
  <c r="I45" i="8"/>
  <c r="Q45" i="8"/>
  <c r="K58" i="8"/>
  <c r="O62" i="8"/>
  <c r="N67" i="8"/>
  <c r="N72" i="8"/>
  <c r="H77" i="8"/>
  <c r="P77" i="8"/>
  <c r="N92" i="8"/>
  <c r="N98" i="8"/>
  <c r="N103" i="8"/>
  <c r="N119" i="8"/>
  <c r="J123" i="8"/>
  <c r="K137" i="8"/>
  <c r="M142" i="8"/>
  <c r="J29" i="8"/>
  <c r="H40" i="8"/>
  <c r="J45" i="8"/>
  <c r="H62" i="8"/>
  <c r="I77" i="8"/>
  <c r="K123" i="8"/>
  <c r="K129" i="8"/>
  <c r="N134" i="8"/>
  <c r="K135" i="8"/>
  <c r="M58" i="8"/>
  <c r="Q62" i="8"/>
  <c r="P67" i="8"/>
  <c r="P72" i="8"/>
  <c r="P92" i="8"/>
  <c r="P98" i="8"/>
  <c r="P103" i="8"/>
  <c r="N106" i="8"/>
  <c r="P119" i="8"/>
  <c r="O134" i="8"/>
  <c r="Q26" i="8"/>
  <c r="N58" i="8"/>
  <c r="Q67" i="8"/>
  <c r="Q72" i="8"/>
  <c r="Q92" i="8"/>
  <c r="Q98" i="8"/>
  <c r="Q103" i="8"/>
  <c r="O106" i="8"/>
  <c r="Q119" i="8"/>
  <c r="M123" i="8"/>
  <c r="M129" i="8"/>
  <c r="N137" i="8"/>
  <c r="P135" i="8"/>
  <c r="J132" i="8" l="1"/>
  <c r="J126" i="8"/>
  <c r="J120" i="8"/>
  <c r="J114" i="8"/>
  <c r="J110" i="8"/>
  <c r="J104" i="8"/>
  <c r="J99" i="8"/>
  <c r="J93" i="8"/>
  <c r="J87" i="8"/>
  <c r="J83" i="8"/>
  <c r="J79" i="8"/>
  <c r="J73" i="8"/>
  <c r="J68" i="8"/>
  <c r="J27" i="8"/>
  <c r="J21" i="8"/>
  <c r="J17" i="8"/>
  <c r="J142" i="8"/>
  <c r="J140" i="8"/>
  <c r="J63" i="8"/>
  <c r="J55" i="8"/>
  <c r="J51" i="8"/>
  <c r="J47" i="8"/>
  <c r="J41" i="8"/>
  <c r="J35" i="8"/>
  <c r="J31" i="8"/>
  <c r="J131" i="8"/>
  <c r="J125" i="8"/>
  <c r="J117" i="8"/>
  <c r="J113" i="8"/>
  <c r="J109" i="8"/>
  <c r="J96" i="8"/>
  <c r="J90" i="8"/>
  <c r="J86" i="8"/>
  <c r="J82" i="8"/>
  <c r="J78" i="8"/>
  <c r="J24" i="8"/>
  <c r="J20" i="8"/>
  <c r="J139" i="8"/>
  <c r="J60" i="8"/>
  <c r="J54" i="8"/>
  <c r="J50" i="8"/>
  <c r="J46" i="8"/>
  <c r="J38" i="8"/>
  <c r="J34" i="8"/>
  <c r="J30" i="8"/>
  <c r="J130" i="8"/>
  <c r="J124" i="8"/>
  <c r="J116" i="8"/>
  <c r="J112" i="8"/>
  <c r="J108" i="8"/>
  <c r="J101" i="8"/>
  <c r="J95" i="8"/>
  <c r="J89" i="8"/>
  <c r="J85" i="8"/>
  <c r="J81" i="8"/>
  <c r="J75" i="8"/>
  <c r="J70" i="8"/>
  <c r="J23" i="8"/>
  <c r="J138" i="8"/>
  <c r="J65" i="8"/>
  <c r="J59" i="8"/>
  <c r="J53" i="8"/>
  <c r="J49" i="8"/>
  <c r="J43" i="8"/>
  <c r="J37" i="8"/>
  <c r="J33" i="8"/>
  <c r="J135" i="8"/>
  <c r="J127" i="8"/>
  <c r="J121" i="8"/>
  <c r="J115" i="8"/>
  <c r="J111" i="8"/>
  <c r="J107" i="8"/>
  <c r="J100" i="8"/>
  <c r="J94" i="8"/>
  <c r="J88" i="8"/>
  <c r="J84" i="8"/>
  <c r="J80" i="8"/>
  <c r="J74" i="8"/>
  <c r="J69" i="8"/>
  <c r="J22" i="8"/>
  <c r="J18" i="8"/>
  <c r="J11" i="8"/>
  <c r="J12" i="8"/>
  <c r="J32" i="8"/>
  <c r="O6" i="8"/>
  <c r="J137" i="8"/>
  <c r="J64" i="8"/>
  <c r="J36" i="8"/>
  <c r="J16" i="8"/>
  <c r="J10" i="8"/>
  <c r="J8" i="8"/>
  <c r="J58" i="8"/>
  <c r="J19" i="8"/>
  <c r="J52" i="8"/>
  <c r="J42" i="8"/>
  <c r="J13" i="8"/>
  <c r="J9" i="8"/>
  <c r="J143" i="8"/>
  <c r="J48" i="8"/>
  <c r="J56" i="8"/>
  <c r="J103" i="8"/>
  <c r="J26" i="8"/>
  <c r="H6" i="8"/>
  <c r="K6" i="8"/>
  <c r="J106" i="8"/>
  <c r="J62" i="8"/>
  <c r="J15" i="8"/>
  <c r="J98" i="8"/>
  <c r="J134" i="8"/>
  <c r="P6" i="8"/>
  <c r="J129" i="8"/>
  <c r="J77" i="8"/>
  <c r="J119" i="8"/>
  <c r="J6" i="8" l="1"/>
</calcChain>
</file>

<file path=xl/sharedStrings.xml><?xml version="1.0" encoding="utf-8"?>
<sst xmlns="http://schemas.openxmlformats.org/spreadsheetml/2006/main" count="151" uniqueCount="150">
  <si>
    <t>na</t>
  </si>
  <si>
    <t>Source:  Maldives Customs Services</t>
  </si>
  <si>
    <t>Harmonized System</t>
  </si>
  <si>
    <t>TOTAL</t>
  </si>
  <si>
    <t>ތާވަލު 15.8: ހާމޮނައިޒްޑް ސިސްޓަމްގެ ބައިތަކުގެ ގޮތުން، ރާއްޖެއަށް އެތެރެކުރެވުނު މައިގަނޑު މުދަލުގެ ބާވަތްތައް، 2015 - 2018</t>
  </si>
  <si>
    <t>Table  15.8 : IMPORTS CLASSIFIED BY HARMONIZED SYSTEM , 2015 - 2018</t>
  </si>
  <si>
    <r>
      <t xml:space="preserve">Value (MVR)    </t>
    </r>
    <r>
      <rPr>
        <b/>
        <sz val="10"/>
        <rFont val="A_Randhoo Aa"/>
      </rPr>
      <t xml:space="preserve"> </t>
    </r>
  </si>
  <si>
    <t xml:space="preserve">Percentage  Share  </t>
  </si>
  <si>
    <t xml:space="preserve">% Change Over Previous Year  </t>
  </si>
  <si>
    <r>
      <t xml:space="preserve">   </t>
    </r>
    <r>
      <rPr>
        <b/>
        <sz val="10"/>
        <rFont val="A_Randhoo Aa"/>
      </rPr>
      <t xml:space="preserve"> (cnuhWh Wyifur) ugwa</t>
    </r>
  </si>
  <si>
    <r>
      <t xml:space="preserve">   </t>
    </r>
    <r>
      <rPr>
        <b/>
        <sz val="10"/>
        <rFont val="A_Randhoo Aa"/>
      </rPr>
      <t>cniawtcaws ctogWviawfiheb</t>
    </r>
  </si>
  <si>
    <r>
      <t xml:space="preserve">   </t>
    </r>
    <r>
      <rPr>
        <b/>
        <sz val="10"/>
        <rFont val="A_Randhoo Aa"/>
      </rPr>
      <t>% urwvcnim ivurutia eruvcSwrwhwa Iruk</t>
    </r>
  </si>
  <si>
    <t xml:space="preserve">       Section I</t>
  </si>
  <si>
    <t>LIVE ANIMALS; ANIMAL PRODUCT</t>
  </si>
  <si>
    <t xml:space="preserve">Live animals </t>
  </si>
  <si>
    <t>Meat and edible meat offals</t>
  </si>
  <si>
    <t>Fish and crustaceans and molluscs and other...</t>
  </si>
  <si>
    <t>Dairy products; birds' eggs; natural honey; ...</t>
  </si>
  <si>
    <t>Products of animal origin, not elsewhere ...</t>
  </si>
  <si>
    <t xml:space="preserve">       Section II</t>
  </si>
  <si>
    <t>VEGETABLE PRODUCTS</t>
  </si>
  <si>
    <t>Live trees and other plants; bulbs roots and ...</t>
  </si>
  <si>
    <t>Edible vegetables and certain roots and tubers</t>
  </si>
  <si>
    <t>Edible fruits and nuts; peel of citrus fruit or melons</t>
  </si>
  <si>
    <t>Coffee, tea, mate and spices</t>
  </si>
  <si>
    <t>Cereals</t>
  </si>
  <si>
    <t>Products of the milling industry; malt; starches; inulin...</t>
  </si>
  <si>
    <t>Oil seeds and oleaginous fruit; miscellaneous ...</t>
  </si>
  <si>
    <t>Lac; gums, resins and other vegetable saps and extracts</t>
  </si>
  <si>
    <t>Vegetable plaiting materials, vegetable products not elsewhere...</t>
  </si>
  <si>
    <t xml:space="preserve">       Section III</t>
  </si>
  <si>
    <t>ANIMAL AND VEGETABLE FATS AND OILS AND THEIR...</t>
  </si>
  <si>
    <t>Animal and Vegetable fats and oils and...</t>
  </si>
  <si>
    <t xml:space="preserve">       Section IV</t>
  </si>
  <si>
    <t>PREPARED FOODSTUFFS; BEVERAGES, SPIRITS AND...</t>
  </si>
  <si>
    <t>Preparations of meat, of fish, of crustaceans...</t>
  </si>
  <si>
    <t>Sugar and sugar confectionery</t>
  </si>
  <si>
    <t>Cocoa and cocoa preparations</t>
  </si>
  <si>
    <t>Preparations of cereals, flour, starch or milk...</t>
  </si>
  <si>
    <t>Preparations of vegetables, fruits...</t>
  </si>
  <si>
    <t>Miscellaneous edible preparations</t>
  </si>
  <si>
    <t>Beverages, spirits and vinegar</t>
  </si>
  <si>
    <t>Residues and waste from the food industries...</t>
  </si>
  <si>
    <t>Tobacco and manufactured tobacco substitutes</t>
  </si>
  <si>
    <t xml:space="preserve">       Section V</t>
  </si>
  <si>
    <t>MINERAL PRODUCTS</t>
  </si>
  <si>
    <t>Salt, sulphur, earths and stones; plastering</t>
  </si>
  <si>
    <t xml:space="preserve"> Ores, slag and ash</t>
  </si>
  <si>
    <t xml:space="preserve"> Mineral fuels, mineral oils and products of ...</t>
  </si>
  <si>
    <t xml:space="preserve">        Section VI</t>
  </si>
  <si>
    <t xml:space="preserve"> PRODUCTS OF THE CHEMICAL &amp; ALLIED INDUSTRIES</t>
  </si>
  <si>
    <t xml:space="preserve"> Inorganic chemicals; organic and inorganic compounds</t>
  </si>
  <si>
    <t xml:space="preserve"> Organic chemicals</t>
  </si>
  <si>
    <t xml:space="preserve"> Pharmaceutical products</t>
  </si>
  <si>
    <t xml:space="preserve"> Fertilizers</t>
  </si>
  <si>
    <t xml:space="preserve"> Tanning and dyeing extracts...</t>
  </si>
  <si>
    <t xml:space="preserve"> Essential oils and resinoids; perfumery, ...</t>
  </si>
  <si>
    <t xml:space="preserve"> Soap, organic surface-active agents...</t>
  </si>
  <si>
    <t xml:space="preserve"> Albuminoidal substances; modified starches; glues...</t>
  </si>
  <si>
    <t xml:space="preserve"> Explosives; pyrotechnic products; matches ...</t>
  </si>
  <si>
    <t xml:space="preserve"> Photographic and cinematographic goods</t>
  </si>
  <si>
    <t xml:space="preserve"> Miscellaneous chemical products</t>
  </si>
  <si>
    <t xml:space="preserve">        Section VII</t>
  </si>
  <si>
    <t xml:space="preserve"> PLASTIC &amp; ARTICLES THEREOF; RUBBER &amp; ARTICLES THEREOF</t>
  </si>
  <si>
    <t xml:space="preserve"> Plastics and articles thereof</t>
  </si>
  <si>
    <t xml:space="preserve"> Rubber and articles thereof</t>
  </si>
  <si>
    <t xml:space="preserve">        Section VIII</t>
  </si>
  <si>
    <t xml:space="preserve"> RAW HIDES &amp; SKINS, LEATHER, FURSKINS &amp; ARTICLES...   </t>
  </si>
  <si>
    <t xml:space="preserve"> Raw hides and skins (other than furskins) </t>
  </si>
  <si>
    <t xml:space="preserve"> Articles of leather; saddlery and harness;....</t>
  </si>
  <si>
    <t>Furkins and artificial fur; manufactures thereof</t>
  </si>
  <si>
    <t xml:space="preserve">         Section IX</t>
  </si>
  <si>
    <t xml:space="preserve"> WOOD; ARTICLES OF WOOD; WOOD CHARCOAL; CORK &amp; ARTICLES</t>
  </si>
  <si>
    <t xml:space="preserve"> Wood and articles of wood; wood charcoal</t>
  </si>
  <si>
    <t xml:space="preserve"> Cork and articles of cork</t>
  </si>
  <si>
    <t xml:space="preserve"> Manufactures of straw, of esparto and of other plating...</t>
  </si>
  <si>
    <t xml:space="preserve">         Section X</t>
  </si>
  <si>
    <t xml:space="preserve"> PULP OF WOOD OR OF OTHER FIBROUS CELLULOSIC MATERIAL</t>
  </si>
  <si>
    <t>pulp of wood or of other fibrous cellulosic material; recovered (waste and scrap) paper or paperboard</t>
  </si>
  <si>
    <t xml:space="preserve"> Paper and paperboard; articles of paper pulp</t>
  </si>
  <si>
    <t xml:space="preserve"> Printed books, newspapers, pictures and other products...</t>
  </si>
  <si>
    <t xml:space="preserve">        Section XI</t>
  </si>
  <si>
    <t xml:space="preserve"> TEXTILES AND TEXTILE ARTICLES</t>
  </si>
  <si>
    <t xml:space="preserve"> Silk </t>
  </si>
  <si>
    <t xml:space="preserve"> Wool, fine or coarse animal hair...</t>
  </si>
  <si>
    <t xml:space="preserve"> Cotton</t>
  </si>
  <si>
    <t xml:space="preserve"> Other vegetable textile fibres...</t>
  </si>
  <si>
    <t xml:space="preserve"> Man-made filaments</t>
  </si>
  <si>
    <t xml:space="preserve"> Man-made staple fibres</t>
  </si>
  <si>
    <t xml:space="preserve"> Wadding, felt and nonwovens; special yarns;...</t>
  </si>
  <si>
    <t xml:space="preserve"> Carpets and other textile floor coverings</t>
  </si>
  <si>
    <t xml:space="preserve"> Special woven fabrics…</t>
  </si>
  <si>
    <t xml:space="preserve"> Impregnated, coated, covered or laminated textile...</t>
  </si>
  <si>
    <t xml:space="preserve"> Articles of apparel and clothing accessories, knitted...</t>
  </si>
  <si>
    <t xml:space="preserve"> Articles of apparel and clothing accessories, not knitted...</t>
  </si>
  <si>
    <t xml:space="preserve"> Other made up textile articles; sets; worn clothing...</t>
  </si>
  <si>
    <t xml:space="preserve">        Section XII</t>
  </si>
  <si>
    <t xml:space="preserve"> FOOTWEAR, HEADGEAR, UMBRELLAS, SUNSHADES, ...</t>
  </si>
  <si>
    <t xml:space="preserve"> Footwear, gaiters and the like; parts of such articles</t>
  </si>
  <si>
    <t xml:space="preserve"> Headgear and parts thereof </t>
  </si>
  <si>
    <t xml:space="preserve"> Umbrellas, sun umbrellas, walking-sticks...</t>
  </si>
  <si>
    <t xml:space="preserve"> Prepared feathers and down and articles made of feathers...</t>
  </si>
  <si>
    <t xml:space="preserve">        Section XIII</t>
  </si>
  <si>
    <t xml:space="preserve"> ARTICLES OF STONE, PLASTER, CEMENT, ASBESTOS  </t>
  </si>
  <si>
    <t xml:space="preserve"> Articles of stone, plaster, cement, asbestos...</t>
  </si>
  <si>
    <t xml:space="preserve"> Ceramic products</t>
  </si>
  <si>
    <t xml:space="preserve"> Glass and glassware</t>
  </si>
  <si>
    <t xml:space="preserve">        Section XIV</t>
  </si>
  <si>
    <t xml:space="preserve"> PEARLS, PRECIOUS AND SEMI-PRECIOUS STONES, ...</t>
  </si>
  <si>
    <t xml:space="preserve"> Natural or cultured pearls, precious or semi-precious stones...</t>
  </si>
  <si>
    <t xml:space="preserve">        Section XV</t>
  </si>
  <si>
    <t xml:space="preserve"> BASE METAL AND ARTICLES OF BASE METAL</t>
  </si>
  <si>
    <t xml:space="preserve"> Iron and steel </t>
  </si>
  <si>
    <t xml:space="preserve"> Articles of iron or steel</t>
  </si>
  <si>
    <t xml:space="preserve"> Copper and articles thereof...</t>
  </si>
  <si>
    <t xml:space="preserve"> Nickel and articles thereof...</t>
  </si>
  <si>
    <t xml:space="preserve"> Aluminum and articles thereof...</t>
  </si>
  <si>
    <t xml:space="preserve"> Lead and articles thereof...</t>
  </si>
  <si>
    <t xml:space="preserve"> Zinc and articles thereof...</t>
  </si>
  <si>
    <t xml:space="preserve"> Tin and articles thereof...</t>
  </si>
  <si>
    <t xml:space="preserve"> Other base metals, cermets, articles thereof...</t>
  </si>
  <si>
    <t xml:space="preserve"> Tools, implements, cutlery, spoons and forks…</t>
  </si>
  <si>
    <t xml:space="preserve"> Miscellaneous articles of base metals</t>
  </si>
  <si>
    <t xml:space="preserve">        Section XVI</t>
  </si>
  <si>
    <t xml:space="preserve"> MACHINERY &amp; MECHANICAL APPLIANCES; ELECTRICAL</t>
  </si>
  <si>
    <t xml:space="preserve"> Nuclear reactors, boilers, machinery &amp; mechanical appliances;...</t>
  </si>
  <si>
    <t xml:space="preserve"> Electrical machinery and equipment; parts thereof...</t>
  </si>
  <si>
    <t xml:space="preserve">        Section XVII</t>
  </si>
  <si>
    <t xml:space="preserve"> VEHICLES, AIRCRAFT, &amp; PARTS THEREOF;</t>
  </si>
  <si>
    <t xml:space="preserve"> Railway tramway locomotives, rolling stocks and parts thereof</t>
  </si>
  <si>
    <t xml:space="preserve"> Vehicles other than railway or tramway...</t>
  </si>
  <si>
    <t xml:space="preserve"> Aircraft, spacecraft, and parts thereof…</t>
  </si>
  <si>
    <t xml:space="preserve"> Ships, boats and floating structures</t>
  </si>
  <si>
    <t xml:space="preserve">        Section XVIII</t>
  </si>
  <si>
    <t xml:space="preserve"> OPTICAL, PHOTOGRAPHIC, CINEMATOGRAPHIC, ...</t>
  </si>
  <si>
    <t xml:space="preserve"> Optical, photographic, cinematographic, ...</t>
  </si>
  <si>
    <t xml:space="preserve"> Clocks and watches and parts thereof</t>
  </si>
  <si>
    <t xml:space="preserve"> Musical instruments; parts and accessories </t>
  </si>
  <si>
    <t xml:space="preserve">        Section XIX</t>
  </si>
  <si>
    <t xml:space="preserve"> ARMS &amp; AMMUNITION; PARTS &amp; ACCESSORIES THEREOF</t>
  </si>
  <si>
    <t xml:space="preserve"> Arms and ammunition; parts and accessories thereof</t>
  </si>
  <si>
    <t xml:space="preserve">        Section XX</t>
  </si>
  <si>
    <t xml:space="preserve"> MISCELLANEOUS MANUFACTURED ARTICLES</t>
  </si>
  <si>
    <t xml:space="preserve"> Furniture and parts thereof; bedding, ...</t>
  </si>
  <si>
    <t xml:space="preserve"> Toys, games and sports requisities parts thereof...</t>
  </si>
  <si>
    <t xml:space="preserve"> Miscellaneous manufactured articles</t>
  </si>
  <si>
    <t xml:space="preserve">        Section XXI</t>
  </si>
  <si>
    <t xml:space="preserve"> WORK OF ART, COLLECTORS PIECES, &amp; ANTIQUES.</t>
  </si>
  <si>
    <t xml:space="preserve"> Work of art, collectors pieces, and antiques.</t>
  </si>
  <si>
    <t xml:space="preserve">cswsivrWs cscmwTcswk cscviDclOm :ctWrweivcaed utWmUluAwm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</si>
</sst>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5" formatCode="#,##0.0"/>
    <numFmt numFmtId="168" formatCode="_(* #,##0_);_(* \(#,##0\);_(* &quot;-&quot;??_);_(@_)"/>
    <numFmt numFmtId="172" formatCode="_-* #,##0.00\ _ރ_._-;_-* #,##0.00\ _ރ_.\-;_-* &quot;-&quot;??\ _ރ_._-;_-@_-"/>
    <numFmt numFmtId="173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Faruma"/>
    </font>
    <font>
      <b/>
      <sz val="10"/>
      <name val="A_Randhoo Aa"/>
    </font>
    <font>
      <b/>
      <i/>
      <sz val="9"/>
      <name val="Calibri"/>
      <family val="2"/>
      <scheme val="minor"/>
    </font>
    <font>
      <b/>
      <sz val="11"/>
      <color indexed="50"/>
      <name val="Calibri"/>
      <family val="2"/>
      <scheme val="minor"/>
    </font>
    <font>
      <b/>
      <sz val="7"/>
      <color indexed="8"/>
      <name val="Calibri"/>
      <family val="2"/>
      <scheme val="minor"/>
    </font>
    <font>
      <b/>
      <sz val="8"/>
      <color indexed="10"/>
      <name val="Calibri"/>
      <family val="2"/>
      <scheme val="minor"/>
    </font>
    <font>
      <b/>
      <sz val="8"/>
      <color indexed="63"/>
      <name val="Calibri"/>
      <family val="2"/>
      <scheme val="minor"/>
    </font>
    <font>
      <sz val="8"/>
      <color indexed="6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9" fontId="4" fillId="0" borderId="0" applyFont="0" applyFill="0" applyBorder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19" applyNumberFormat="0" applyAlignment="0" applyProtection="0"/>
    <xf numFmtId="0" fontId="26" fillId="7" borderId="20" applyNumberFormat="0" applyAlignment="0" applyProtection="0"/>
    <xf numFmtId="0" fontId="27" fillId="7" borderId="19" applyNumberFormat="0" applyAlignment="0" applyProtection="0"/>
    <xf numFmtId="0" fontId="28" fillId="0" borderId="21" applyNumberFormat="0" applyFill="0" applyAlignment="0" applyProtection="0"/>
    <xf numFmtId="0" fontId="29" fillId="8" borderId="2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2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2" fillId="33" borderId="0" applyNumberFormat="0" applyBorder="0" applyAlignment="0" applyProtection="0"/>
    <xf numFmtId="0" fontId="33" fillId="0" borderId="0"/>
    <xf numFmtId="0" fontId="4" fillId="0" borderId="0"/>
    <xf numFmtId="172" fontId="4" fillId="0" borderId="0" applyFont="0" applyFill="0" applyBorder="0" applyAlignment="0" applyProtection="0"/>
    <xf numFmtId="173" fontId="34" fillId="0" borderId="0"/>
    <xf numFmtId="0" fontId="3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4" borderId="0" applyNumberFormat="0" applyBorder="0" applyAlignment="0" applyProtection="0"/>
  </cellStyleXfs>
  <cellXfs count="74">
    <xf numFmtId="0" fontId="0" fillId="0" borderId="0" xfId="0"/>
    <xf numFmtId="3" fontId="5" fillId="2" borderId="0" xfId="0" applyNumberFormat="1" applyFont="1" applyFill="1" applyBorder="1" applyAlignment="1" applyProtection="1">
      <alignment horizontal="right" vertical="center"/>
    </xf>
    <xf numFmtId="3" fontId="5" fillId="2" borderId="7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3" fontId="6" fillId="2" borderId="0" xfId="0" applyNumberFormat="1" applyFont="1" applyFill="1" applyBorder="1" applyAlignment="1" applyProtection="1">
      <alignment horizontal="right"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165" fontId="5" fillId="2" borderId="7" xfId="0" applyNumberFormat="1" applyFont="1" applyFill="1" applyBorder="1" applyAlignment="1" applyProtection="1">
      <alignment horizontal="right" vertical="center"/>
    </xf>
    <xf numFmtId="3" fontId="6" fillId="2" borderId="5" xfId="0" applyNumberFormat="1" applyFont="1" applyFill="1" applyBorder="1" applyAlignment="1" applyProtection="1">
      <alignment horizontal="right" vertical="center"/>
    </xf>
    <xf numFmtId="165" fontId="6" fillId="2" borderId="5" xfId="0" applyNumberFormat="1" applyFont="1" applyFill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left" vertical="center"/>
    </xf>
    <xf numFmtId="3" fontId="5" fillId="2" borderId="1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>
      <alignment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165" fontId="5" fillId="2" borderId="1" xfId="0" applyNumberFormat="1" applyFont="1" applyFill="1" applyBorder="1" applyAlignment="1" applyProtection="1">
      <alignment horizontal="right" vertical="center"/>
    </xf>
    <xf numFmtId="0" fontId="0" fillId="2" borderId="0" xfId="0" applyFill="1"/>
    <xf numFmtId="0" fontId="7" fillId="2" borderId="9" xfId="0" applyFont="1" applyFill="1" applyBorder="1" applyAlignment="1">
      <alignment horizontal="right" readingOrder="2"/>
    </xf>
    <xf numFmtId="0" fontId="6" fillId="2" borderId="0" xfId="0" applyFont="1" applyFill="1" applyBorder="1" applyAlignment="1">
      <alignment vertical="center"/>
    </xf>
    <xf numFmtId="0" fontId="4" fillId="2" borderId="0" xfId="3" applyFill="1"/>
    <xf numFmtId="0" fontId="5" fillId="2" borderId="0" xfId="0" applyFont="1" applyFill="1" applyBorder="1" applyAlignment="1">
      <alignment vertical="center"/>
    </xf>
    <xf numFmtId="0" fontId="9" fillId="2" borderId="0" xfId="0" applyFont="1" applyFill="1" applyBorder="1" applyAlignment="1"/>
    <xf numFmtId="0" fontId="5" fillId="2" borderId="5" xfId="0" applyFont="1" applyFill="1" applyBorder="1" applyAlignment="1" applyProtection="1">
      <alignment vertical="center"/>
    </xf>
    <xf numFmtId="0" fontId="5" fillId="2" borderId="6" xfId="0" applyFont="1" applyFill="1" applyBorder="1" applyAlignment="1" applyProtection="1">
      <alignment vertical="center"/>
    </xf>
    <xf numFmtId="0" fontId="5" fillId="2" borderId="13" xfId="0" applyFont="1" applyFill="1" applyBorder="1" applyAlignment="1" applyProtection="1">
      <alignment vertical="center"/>
    </xf>
    <xf numFmtId="0" fontId="5" fillId="2" borderId="8" xfId="0" applyFont="1" applyFill="1" applyBorder="1" applyAlignment="1" applyProtection="1">
      <alignment vertical="center"/>
    </xf>
    <xf numFmtId="0" fontId="5" fillId="2" borderId="14" xfId="0" applyFont="1" applyFill="1" applyBorder="1" applyAlignment="1" applyProtection="1">
      <alignment vertical="center"/>
    </xf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 applyAlignment="1" applyProtection="1">
      <alignment horizontal="left" vertical="center"/>
    </xf>
    <xf numFmtId="3" fontId="5" fillId="2" borderId="2" xfId="0" applyNumberFormat="1" applyFont="1" applyFill="1" applyBorder="1" applyAlignment="1" applyProtection="1">
      <alignment horizontal="right" vertical="center"/>
    </xf>
    <xf numFmtId="165" fontId="5" fillId="2" borderId="11" xfId="0" applyNumberFormat="1" applyFont="1" applyFill="1" applyBorder="1" applyAlignment="1" applyProtection="1">
      <alignment horizontal="right" vertical="center"/>
    </xf>
    <xf numFmtId="165" fontId="5" fillId="2" borderId="2" xfId="0" applyNumberFormat="1" applyFont="1" applyFill="1" applyBorder="1" applyAlignment="1" applyProtection="1">
      <alignment horizontal="right" vertical="center"/>
    </xf>
    <xf numFmtId="0" fontId="13" fillId="2" borderId="0" xfId="0" applyFont="1" applyFill="1" applyBorder="1" applyAlignment="1" applyProtection="1">
      <alignment horizontal="left" vertical="center"/>
    </xf>
    <xf numFmtId="165" fontId="6" fillId="2" borderId="15" xfId="0" applyNumberFormat="1" applyFont="1" applyFill="1" applyBorder="1" applyAlignment="1" applyProtection="1">
      <alignment horizontal="right" vertical="center"/>
    </xf>
    <xf numFmtId="165" fontId="6" fillId="2" borderId="7" xfId="0" applyNumberFormat="1" applyFont="1" applyFill="1" applyBorder="1" applyAlignment="1" applyProtection="1">
      <alignment horizontal="right" vertical="center"/>
    </xf>
    <xf numFmtId="3" fontId="5" fillId="2" borderId="0" xfId="0" applyNumberFormat="1" applyFont="1" applyFill="1" applyBorder="1" applyAlignment="1" applyProtection="1">
      <alignment horizontal="right" vertical="center"/>
      <protection locked="0"/>
    </xf>
    <xf numFmtId="3" fontId="5" fillId="2" borderId="7" xfId="0" applyNumberFormat="1" applyFont="1" applyFill="1" applyBorder="1" applyAlignment="1" applyProtection="1">
      <alignment horizontal="right" vertical="center"/>
      <protection locked="0"/>
    </xf>
    <xf numFmtId="165" fontId="5" fillId="2" borderId="15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/>
    </xf>
    <xf numFmtId="3" fontId="6" fillId="2" borderId="7" xfId="0" applyNumberFormat="1" applyFont="1" applyFill="1" applyBorder="1" applyAlignment="1" applyProtection="1">
      <alignment horizontal="right" vertical="center"/>
    </xf>
    <xf numFmtId="0" fontId="10" fillId="2" borderId="0" xfId="0" applyFont="1" applyFill="1" applyBorder="1" applyAlignment="1" applyProtection="1">
      <alignment horizontal="left" vertical="center" wrapText="1"/>
    </xf>
    <xf numFmtId="168" fontId="5" fillId="2" borderId="0" xfId="0" applyNumberFormat="1" applyFont="1" applyFill="1" applyBorder="1" applyAlignment="1" applyProtection="1">
      <alignment horizontal="right" vertical="center"/>
      <protection locked="0"/>
    </xf>
    <xf numFmtId="168" fontId="5" fillId="2" borderId="0" xfId="0" applyNumberFormat="1" applyFont="1" applyFill="1" applyBorder="1" applyAlignment="1">
      <alignment horizontal="right" vertical="center"/>
    </xf>
    <xf numFmtId="0" fontId="9" fillId="2" borderId="0" xfId="0" applyFont="1" applyFill="1" applyBorder="1" applyAlignment="1" applyProtection="1">
      <alignment horizontal="left" vertical="center" wrapText="1"/>
    </xf>
    <xf numFmtId="37" fontId="5" fillId="2" borderId="0" xfId="0" applyNumberFormat="1" applyFont="1" applyFill="1" applyBorder="1" applyAlignment="1">
      <alignment horizontal="right" vertical="center"/>
    </xf>
    <xf numFmtId="0" fontId="10" fillId="2" borderId="5" xfId="0" applyFont="1" applyFill="1" applyBorder="1" applyAlignment="1" applyProtection="1">
      <alignment horizontal="left" vertical="center"/>
    </xf>
    <xf numFmtId="3" fontId="6" fillId="2" borderId="6" xfId="0" applyNumberFormat="1" applyFont="1" applyFill="1" applyBorder="1" applyAlignment="1" applyProtection="1">
      <alignment horizontal="right" vertical="center"/>
    </xf>
    <xf numFmtId="165" fontId="6" fillId="2" borderId="13" xfId="0" applyNumberFormat="1" applyFont="1" applyFill="1" applyBorder="1" applyAlignment="1" applyProtection="1">
      <alignment horizontal="right" vertical="center"/>
    </xf>
    <xf numFmtId="37" fontId="6" fillId="2" borderId="0" xfId="0" applyNumberFormat="1" applyFont="1" applyFill="1" applyBorder="1" applyAlignment="1" applyProtection="1">
      <alignment vertical="center"/>
    </xf>
    <xf numFmtId="10" fontId="6" fillId="2" borderId="0" xfId="4" applyNumberFormat="1" applyFont="1" applyFill="1" applyBorder="1" applyAlignment="1" applyProtection="1">
      <alignment vertical="center"/>
    </xf>
    <xf numFmtId="37" fontId="10" fillId="2" borderId="0" xfId="0" applyNumberFormat="1" applyFont="1" applyFill="1" applyBorder="1" applyAlignment="1" applyProtection="1">
      <alignment vertical="center"/>
    </xf>
    <xf numFmtId="10" fontId="10" fillId="2" borderId="0" xfId="4" applyNumberFormat="1" applyFont="1" applyFill="1" applyBorder="1" applyAlignment="1" applyProtection="1">
      <alignment vertical="center"/>
    </xf>
    <xf numFmtId="10" fontId="10" fillId="2" borderId="0" xfId="4" applyNumberFormat="1" applyFont="1" applyFill="1" applyBorder="1" applyAlignment="1">
      <alignment vertical="center"/>
    </xf>
    <xf numFmtId="0" fontId="6" fillId="2" borderId="0" xfId="0" applyFont="1" applyFill="1" applyAlignment="1">
      <alignment wrapText="1"/>
    </xf>
    <xf numFmtId="0" fontId="14" fillId="2" borderId="0" xfId="0" applyFont="1" applyFill="1" applyAlignment="1">
      <alignment wrapText="1"/>
    </xf>
    <xf numFmtId="0" fontId="6" fillId="2" borderId="0" xfId="0" applyFont="1" applyFill="1"/>
    <xf numFmtId="0" fontId="6" fillId="2" borderId="0" xfId="0" applyFont="1" applyFill="1" applyAlignment="1">
      <alignment vertical="top" wrapText="1"/>
    </xf>
    <xf numFmtId="0" fontId="15" fillId="2" borderId="0" xfId="0" applyFont="1" applyFill="1" applyAlignment="1">
      <alignment wrapText="1"/>
    </xf>
    <xf numFmtId="0" fontId="16" fillId="2" borderId="0" xfId="0" applyFont="1" applyFill="1" applyAlignment="1">
      <alignment vertical="top" wrapText="1"/>
    </xf>
    <xf numFmtId="0" fontId="17" fillId="2" borderId="0" xfId="0" applyFont="1" applyFill="1" applyAlignment="1">
      <alignment wrapText="1"/>
    </xf>
    <xf numFmtId="0" fontId="18" fillId="2" borderId="0" xfId="0" applyFont="1" applyFill="1" applyAlignment="1">
      <alignment wrapText="1"/>
    </xf>
    <xf numFmtId="10" fontId="6" fillId="2" borderId="0" xfId="4" applyNumberFormat="1" applyFont="1" applyFill="1" applyBorder="1" applyAlignment="1">
      <alignment vertical="center"/>
    </xf>
    <xf numFmtId="165" fontId="6" fillId="2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5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wrapText="1"/>
    </xf>
    <xf numFmtId="0" fontId="11" fillId="2" borderId="0" xfId="0" applyFont="1" applyFill="1" applyBorder="1" applyAlignment="1">
      <alignment horizontal="center" vertical="center"/>
    </xf>
    <xf numFmtId="0" fontId="5" fillId="2" borderId="10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11" xfId="0" applyFont="1" applyFill="1" applyBorder="1" applyAlignment="1" applyProtection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</xf>
    <xf numFmtId="165" fontId="6" fillId="2" borderId="6" xfId="0" applyNumberFormat="1" applyFont="1" applyFill="1" applyBorder="1" applyAlignment="1" applyProtection="1">
      <alignment horizontal="right" vertical="center"/>
    </xf>
  </cellXfs>
  <cellStyles count="69">
    <cellStyle name="1" xfId="45"/>
    <cellStyle name="20% - Accent1" xfId="21" builtinId="30" customBuiltin="1"/>
    <cellStyle name="20% - Accent1 2" xfId="56"/>
    <cellStyle name="20% - Accent2" xfId="25" builtinId="34" customBuiltin="1"/>
    <cellStyle name="20% - Accent2 2" xfId="58"/>
    <cellStyle name="20% - Accent3" xfId="29" builtinId="38" customBuiltin="1"/>
    <cellStyle name="20% - Accent3 2" xfId="60"/>
    <cellStyle name="20% - Accent4" xfId="33" builtinId="42" customBuiltin="1"/>
    <cellStyle name="20% - Accent4 2" xfId="62"/>
    <cellStyle name="20% - Accent5" xfId="37" builtinId="46" customBuiltin="1"/>
    <cellStyle name="20% - Accent5 2" xfId="64"/>
    <cellStyle name="20% - Accent6" xfId="41" builtinId="50" customBuiltin="1"/>
    <cellStyle name="20% - Accent6 2" xfId="66"/>
    <cellStyle name="40% - Accent1" xfId="22" builtinId="31" customBuiltin="1"/>
    <cellStyle name="40% - Accent1 2" xfId="57"/>
    <cellStyle name="40% - Accent2" xfId="26" builtinId="35" customBuiltin="1"/>
    <cellStyle name="40% - Accent2 2" xfId="59"/>
    <cellStyle name="40% - Accent3" xfId="30" builtinId="39" customBuiltin="1"/>
    <cellStyle name="40% - Accent3 2" xfId="61"/>
    <cellStyle name="40% - Accent4" xfId="34" builtinId="43" customBuiltin="1"/>
    <cellStyle name="40% - Accent4 2" xfId="63"/>
    <cellStyle name="40% - Accent5" xfId="38" builtinId="47" customBuiltin="1"/>
    <cellStyle name="40% - Accent5 2" xfId="65"/>
    <cellStyle name="40% - Accent6" xfId="42" builtinId="51" customBuiltin="1"/>
    <cellStyle name="40% - Accent6 2" xfId="67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/>
    <cellStyle name="Comma 3" xfId="1"/>
    <cellStyle name="Comma 4" xfId="50"/>
    <cellStyle name="Comma 5" xfId="53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/>
    <cellStyle name="Normal 2" xfId="3"/>
    <cellStyle name="Normal 3" xfId="49"/>
    <cellStyle name="Normal 4" xfId="52"/>
    <cellStyle name="Normal 5" xfId="2"/>
    <cellStyle name="Normal 6" xfId="55"/>
    <cellStyle name="Normal 7" xfId="44"/>
    <cellStyle name="Note 2" xfId="51"/>
    <cellStyle name="Note 3" xfId="54"/>
    <cellStyle name="Output" xfId="13" builtinId="21" customBuiltin="1"/>
    <cellStyle name="Percent 2" xfId="4"/>
    <cellStyle name="Title 2" xfId="48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9"/>
  <sheetViews>
    <sheetView tabSelected="1" zoomScaleNormal="100" workbookViewId="0">
      <selection sqref="A1:XFD1048576"/>
    </sheetView>
  </sheetViews>
  <sheetFormatPr defaultColWidth="9" defaultRowHeight="15" x14ac:dyDescent="0.25"/>
  <cols>
    <col min="1" max="1" width="51.85546875" style="16" bestFit="1" customWidth="1"/>
    <col min="2" max="3" width="10.5703125" style="16" hidden="1" customWidth="1"/>
    <col min="4" max="5" width="10.5703125" style="16" customWidth="1"/>
    <col min="6" max="7" width="10.42578125" style="59" customWidth="1"/>
    <col min="8" max="8" width="10.42578125" style="59" hidden="1" customWidth="1"/>
    <col min="9" max="12" width="10.42578125" style="59" customWidth="1"/>
    <col min="13" max="13" width="10.42578125" style="16" hidden="1" customWidth="1"/>
    <col min="14" max="15" width="10.42578125" style="16" customWidth="1"/>
    <col min="16" max="16" width="11.140625" style="16" customWidth="1"/>
    <col min="17" max="17" width="9" style="16"/>
    <col min="18" max="18" width="9" style="14"/>
    <col min="19" max="19" width="9.140625" style="14" customWidth="1"/>
    <col min="20" max="20" width="54.7109375" style="14" customWidth="1"/>
    <col min="21" max="16384" width="9" style="16"/>
  </cols>
  <sheetData>
    <row r="1" spans="1:20" ht="17.25" customHeight="1" x14ac:dyDescent="0.2">
      <c r="A1" s="67" t="s">
        <v>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R1" s="17"/>
      <c r="S1" s="17"/>
      <c r="T1" s="17"/>
    </row>
    <row r="2" spans="1:20" s="18" customFormat="1" ht="17.25" customHeight="1" x14ac:dyDescent="0.25">
      <c r="A2" s="65" t="s">
        <v>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R2" s="14"/>
      <c r="S2" s="14"/>
      <c r="T2" s="14"/>
    </row>
    <row r="3" spans="1:20" s="19" customFormat="1" ht="21" customHeight="1" x14ac:dyDescent="0.25">
      <c r="A3" s="68" t="s">
        <v>2</v>
      </c>
      <c r="C3" s="69" t="s">
        <v>6</v>
      </c>
      <c r="D3" s="69"/>
      <c r="E3" s="69"/>
      <c r="F3" s="69"/>
      <c r="G3" s="70"/>
      <c r="H3" s="71" t="s">
        <v>7</v>
      </c>
      <c r="I3" s="69"/>
      <c r="J3" s="69"/>
      <c r="K3" s="69"/>
      <c r="L3" s="70"/>
      <c r="M3" s="69" t="s">
        <v>8</v>
      </c>
      <c r="N3" s="69"/>
      <c r="O3" s="69"/>
      <c r="P3" s="69"/>
      <c r="Q3" s="69"/>
      <c r="R3" s="14"/>
      <c r="S3" s="14"/>
      <c r="T3" s="14"/>
    </row>
    <row r="4" spans="1:20" s="19" customFormat="1" ht="21" customHeight="1" x14ac:dyDescent="0.25">
      <c r="A4" s="61"/>
      <c r="C4" s="62" t="s">
        <v>9</v>
      </c>
      <c r="D4" s="62"/>
      <c r="E4" s="62"/>
      <c r="F4" s="62"/>
      <c r="G4" s="63"/>
      <c r="H4" s="72" t="s">
        <v>10</v>
      </c>
      <c r="I4" s="62"/>
      <c r="J4" s="62"/>
      <c r="K4" s="62"/>
      <c r="L4" s="63"/>
      <c r="M4" s="62" t="s">
        <v>11</v>
      </c>
      <c r="N4" s="62"/>
      <c r="O4" s="62"/>
      <c r="P4" s="62"/>
      <c r="Q4" s="62"/>
      <c r="R4" s="14"/>
      <c r="S4" s="14"/>
      <c r="T4" s="14"/>
    </row>
    <row r="5" spans="1:20" s="25" customFormat="1" ht="17.25" customHeight="1" x14ac:dyDescent="0.25">
      <c r="A5" s="64"/>
      <c r="B5" s="20">
        <v>2013</v>
      </c>
      <c r="C5" s="20">
        <v>2014</v>
      </c>
      <c r="D5" s="20">
        <v>2015</v>
      </c>
      <c r="E5" s="20">
        <v>2016</v>
      </c>
      <c r="F5" s="20">
        <v>2017</v>
      </c>
      <c r="G5" s="21">
        <v>2018</v>
      </c>
      <c r="H5" s="22">
        <v>2014</v>
      </c>
      <c r="I5" s="20">
        <v>2015</v>
      </c>
      <c r="J5" s="20">
        <v>2016</v>
      </c>
      <c r="K5" s="23">
        <v>2017</v>
      </c>
      <c r="L5" s="24">
        <v>2018</v>
      </c>
      <c r="M5" s="20">
        <v>2014</v>
      </c>
      <c r="N5" s="20">
        <v>2015</v>
      </c>
      <c r="O5" s="20">
        <v>2016</v>
      </c>
      <c r="P5" s="23">
        <v>2017</v>
      </c>
      <c r="Q5" s="23">
        <v>2018</v>
      </c>
      <c r="R5" s="14"/>
      <c r="S5" s="14"/>
      <c r="T5" s="14"/>
    </row>
    <row r="6" spans="1:20" s="25" customFormat="1" ht="19.5" customHeight="1" x14ac:dyDescent="0.25">
      <c r="A6" s="26" t="s">
        <v>3</v>
      </c>
      <c r="B6" s="10">
        <f t="shared" ref="B6:L6" si="0">B8+B15+B26+B29+B40+B45+B58+B62+B67+B72+B77+B92+B98+B103+B106+B119+B123+B129+B134+B137+B142</f>
        <v>26634885.396760009</v>
      </c>
      <c r="C6" s="10">
        <f t="shared" si="0"/>
        <v>30649233.308270004</v>
      </c>
      <c r="D6" s="10">
        <f t="shared" si="0"/>
        <v>29147779.394449998</v>
      </c>
      <c r="E6" s="10">
        <f t="shared" si="0"/>
        <v>32705613.74192002</v>
      </c>
      <c r="F6" s="10">
        <f t="shared" si="0"/>
        <v>36319895.400504641</v>
      </c>
      <c r="G6" s="27">
        <f t="shared" si="0"/>
        <v>45572679.69287999</v>
      </c>
      <c r="H6" s="28">
        <f t="shared" si="0"/>
        <v>100.00000000000001</v>
      </c>
      <c r="I6" s="13">
        <f t="shared" si="0"/>
        <v>100</v>
      </c>
      <c r="J6" s="13">
        <f t="shared" si="0"/>
        <v>100.00000000000001</v>
      </c>
      <c r="K6" s="13">
        <f t="shared" si="0"/>
        <v>100.00000000000003</v>
      </c>
      <c r="L6" s="29">
        <f t="shared" si="0"/>
        <v>99.999999999999972</v>
      </c>
      <c r="M6" s="3">
        <f>((C6-B6)/B6)*100</f>
        <v>15.071767164420832</v>
      </c>
      <c r="N6" s="3">
        <f>((D6-C6)/C6)*100</f>
        <v>-4.8988302536588169</v>
      </c>
      <c r="O6" s="3">
        <f>((E6-D6)/D6)*100</f>
        <v>12.206193478146972</v>
      </c>
      <c r="P6" s="3">
        <f>((F6-E6)/E6)*100</f>
        <v>11.050951946980463</v>
      </c>
      <c r="Q6" s="3">
        <f>((G6-F6)/F6)*100</f>
        <v>25.475801046075663</v>
      </c>
      <c r="R6" s="14"/>
      <c r="S6" s="14"/>
      <c r="T6" s="14"/>
    </row>
    <row r="7" spans="1:20" s="25" customFormat="1" ht="19.5" customHeight="1" x14ac:dyDescent="0.25">
      <c r="A7" s="30" t="s">
        <v>12</v>
      </c>
      <c r="B7" s="1"/>
      <c r="C7" s="1"/>
      <c r="D7" s="1"/>
      <c r="E7" s="1"/>
      <c r="F7" s="1"/>
      <c r="G7" s="2"/>
      <c r="H7" s="31"/>
      <c r="I7" s="60"/>
      <c r="J7" s="60"/>
      <c r="K7" s="60"/>
      <c r="L7" s="32"/>
      <c r="M7" s="3"/>
      <c r="N7" s="3"/>
      <c r="O7" s="5"/>
      <c r="P7" s="5"/>
      <c r="Q7" s="5"/>
      <c r="R7" s="14"/>
      <c r="S7" s="14"/>
      <c r="T7" s="14"/>
    </row>
    <row r="8" spans="1:20" s="25" customFormat="1" ht="19.5" customHeight="1" x14ac:dyDescent="0.25">
      <c r="A8" s="26" t="s">
        <v>13</v>
      </c>
      <c r="B8" s="33">
        <f t="shared" ref="B8:G8" si="1">SUM(B9:B13)</f>
        <v>1784856.2001800002</v>
      </c>
      <c r="C8" s="33">
        <f t="shared" si="1"/>
        <v>1913126.0952300001</v>
      </c>
      <c r="D8" s="33">
        <f t="shared" si="1"/>
        <v>1876753.2120099999</v>
      </c>
      <c r="E8" s="33">
        <f t="shared" si="1"/>
        <v>1956398.2647100009</v>
      </c>
      <c r="F8" s="33">
        <f t="shared" si="1"/>
        <v>2143496.4560899986</v>
      </c>
      <c r="G8" s="34">
        <f t="shared" si="1"/>
        <v>2356170.8097600015</v>
      </c>
      <c r="H8" s="35">
        <f t="shared" ref="H8:H13" si="2">C8/$C$6*100</f>
        <v>6.2420031065305182</v>
      </c>
      <c r="I8" s="3">
        <f t="shared" ref="I8:I13" si="3">D8/$D$6*100</f>
        <v>6.4387519426860713</v>
      </c>
      <c r="J8" s="3">
        <f>E8/$E$6*100</f>
        <v>5.9818423838425376</v>
      </c>
      <c r="K8" s="3">
        <f>F8/$F$6*100</f>
        <v>5.9017142875918527</v>
      </c>
      <c r="L8" s="6">
        <f>G8/$G$6*100</f>
        <v>5.1701388323849562</v>
      </c>
      <c r="M8" s="3">
        <f t="shared" ref="M8:Q13" si="4">((C8-B8)/B8)*100</f>
        <v>7.1865674689683177</v>
      </c>
      <c r="N8" s="3">
        <f t="shared" si="4"/>
        <v>-1.9012276979906737</v>
      </c>
      <c r="O8" s="3">
        <f t="shared" si="4"/>
        <v>4.2437680239641802</v>
      </c>
      <c r="P8" s="3">
        <f t="shared" si="4"/>
        <v>9.5633999863382328</v>
      </c>
      <c r="Q8" s="3">
        <f t="shared" si="4"/>
        <v>9.9218430273473412</v>
      </c>
      <c r="R8" s="14"/>
      <c r="S8" s="14"/>
      <c r="T8" s="14"/>
    </row>
    <row r="9" spans="1:20" s="25" customFormat="1" ht="19.5" customHeight="1" x14ac:dyDescent="0.25">
      <c r="A9" s="36" t="s">
        <v>14</v>
      </c>
      <c r="B9" s="4">
        <v>910.23315000000002</v>
      </c>
      <c r="C9" s="4">
        <v>1911.64877</v>
      </c>
      <c r="D9" s="4">
        <v>3181.8244100000002</v>
      </c>
      <c r="E9" s="4">
        <v>1861.3230700000004</v>
      </c>
      <c r="F9" s="4">
        <v>1896.0983000000001</v>
      </c>
      <c r="G9" s="37">
        <v>2445.4350100000001</v>
      </c>
      <c r="H9" s="31">
        <f t="shared" si="2"/>
        <v>6.2371830015212314E-3</v>
      </c>
      <c r="I9" s="60">
        <f t="shared" si="3"/>
        <v>1.0916181184649177E-2</v>
      </c>
      <c r="J9" s="60">
        <f t="shared" ref="J9:J72" si="5">E9/$E$6*100</f>
        <v>5.6911424585629235E-3</v>
      </c>
      <c r="K9" s="60">
        <f>F9/$F$6*100</f>
        <v>5.2205500018418418E-3</v>
      </c>
      <c r="L9" s="32">
        <f t="shared" ref="L9:L72" si="6">G9/$G$6*100</f>
        <v>5.3660110102809267E-3</v>
      </c>
      <c r="M9" s="5">
        <f t="shared" si="4"/>
        <v>110.01748508060818</v>
      </c>
      <c r="N9" s="5">
        <f t="shared" si="4"/>
        <v>66.443985942041024</v>
      </c>
      <c r="O9" s="5">
        <f t="shared" si="4"/>
        <v>-41.501389449708817</v>
      </c>
      <c r="P9" s="5">
        <f t="shared" si="4"/>
        <v>1.8683070424738102</v>
      </c>
      <c r="Q9" s="5">
        <f t="shared" si="4"/>
        <v>28.971953089141</v>
      </c>
      <c r="R9" s="14"/>
      <c r="S9" s="14"/>
      <c r="T9" s="14"/>
    </row>
    <row r="10" spans="1:20" s="25" customFormat="1" ht="19.5" customHeight="1" x14ac:dyDescent="0.25">
      <c r="A10" s="36" t="s">
        <v>15</v>
      </c>
      <c r="B10" s="4">
        <v>748149.57110999932</v>
      </c>
      <c r="C10" s="4">
        <v>746908.46537999995</v>
      </c>
      <c r="D10" s="4">
        <v>742834.62384000001</v>
      </c>
      <c r="E10" s="4">
        <v>781177.80265999923</v>
      </c>
      <c r="F10" s="4">
        <v>826778.15667000005</v>
      </c>
      <c r="G10" s="37">
        <v>926940.45151000016</v>
      </c>
      <c r="H10" s="31">
        <f t="shared" si="2"/>
        <v>2.4369564415122369</v>
      </c>
      <c r="I10" s="60">
        <f t="shared" si="3"/>
        <v>2.5485118910342877</v>
      </c>
      <c r="J10" s="60">
        <f t="shared" si="5"/>
        <v>2.3885128981962325</v>
      </c>
      <c r="K10" s="60">
        <f t="shared" ref="K10:L13" si="7">F10/$F$6*100</f>
        <v>2.2763781325716934</v>
      </c>
      <c r="L10" s="32">
        <f t="shared" si="6"/>
        <v>2.0339827672122159</v>
      </c>
      <c r="M10" s="5">
        <f t="shared" si="4"/>
        <v>-0.16589005433204906</v>
      </c>
      <c r="N10" s="5">
        <f t="shared" si="4"/>
        <v>-0.54542714788047186</v>
      </c>
      <c r="O10" s="5">
        <f t="shared" si="4"/>
        <v>5.1617382374812397</v>
      </c>
      <c r="P10" s="5">
        <f t="shared" si="4"/>
        <v>5.8373847611550707</v>
      </c>
      <c r="Q10" s="5">
        <f t="shared" si="4"/>
        <v>12.114772751547045</v>
      </c>
      <c r="R10" s="14"/>
      <c r="S10" s="14"/>
      <c r="T10" s="14"/>
    </row>
    <row r="11" spans="1:20" s="25" customFormat="1" ht="19.5" customHeight="1" x14ac:dyDescent="0.25">
      <c r="A11" s="36" t="s">
        <v>16</v>
      </c>
      <c r="B11" s="4">
        <v>300514.88207000011</v>
      </c>
      <c r="C11" s="4">
        <v>342114.57923000003</v>
      </c>
      <c r="D11" s="4">
        <v>339288.47610000003</v>
      </c>
      <c r="E11" s="4">
        <v>356767.69853999908</v>
      </c>
      <c r="F11" s="4">
        <v>442908.68807999947</v>
      </c>
      <c r="G11" s="37">
        <v>434670.95931000076</v>
      </c>
      <c r="H11" s="31">
        <f t="shared" si="2"/>
        <v>1.1162255701113677</v>
      </c>
      <c r="I11" s="60">
        <f t="shared" si="3"/>
        <v>1.1640285577453069</v>
      </c>
      <c r="J11" s="60">
        <f t="shared" si="5"/>
        <v>1.0908454473756486</v>
      </c>
      <c r="K11" s="60">
        <f t="shared" si="7"/>
        <v>1.219465758907019</v>
      </c>
      <c r="L11" s="32">
        <f t="shared" si="6"/>
        <v>0.9537972360618312</v>
      </c>
      <c r="M11" s="5">
        <f t="shared" si="4"/>
        <v>13.842807675098747</v>
      </c>
      <c r="N11" s="5">
        <f t="shared" si="4"/>
        <v>-0.82606918897193315</v>
      </c>
      <c r="O11" s="5">
        <f t="shared" si="4"/>
        <v>5.1517288889137873</v>
      </c>
      <c r="P11" s="5">
        <f t="shared" si="4"/>
        <v>24.144839875503099</v>
      </c>
      <c r="Q11" s="5">
        <f t="shared" si="4"/>
        <v>-1.8599158227645296</v>
      </c>
      <c r="R11" s="14"/>
      <c r="S11" s="14"/>
      <c r="T11" s="14"/>
    </row>
    <row r="12" spans="1:20" s="25" customFormat="1" ht="19.5" customHeight="1" x14ac:dyDescent="0.25">
      <c r="A12" s="36" t="s">
        <v>17</v>
      </c>
      <c r="B12" s="4">
        <v>732746.62338000059</v>
      </c>
      <c r="C12" s="4">
        <v>819199.92440999998</v>
      </c>
      <c r="D12" s="4">
        <v>788818.82570000004</v>
      </c>
      <c r="E12" s="4">
        <v>813468.83641000255</v>
      </c>
      <c r="F12" s="4">
        <v>869114.13800999895</v>
      </c>
      <c r="G12" s="37">
        <v>987383.69959000021</v>
      </c>
      <c r="H12" s="31">
        <f t="shared" si="2"/>
        <v>2.6728235456022231</v>
      </c>
      <c r="I12" s="60">
        <f t="shared" si="3"/>
        <v>2.7062741728112512</v>
      </c>
      <c r="J12" s="60">
        <f t="shared" si="5"/>
        <v>2.487245287090726</v>
      </c>
      <c r="K12" s="60">
        <f t="shared" si="7"/>
        <v>2.3929422935450502</v>
      </c>
      <c r="L12" s="32">
        <f t="shared" si="6"/>
        <v>2.1666132126618467</v>
      </c>
      <c r="M12" s="5">
        <f t="shared" si="4"/>
        <v>11.798526021342703</v>
      </c>
      <c r="N12" s="5">
        <f t="shared" si="4"/>
        <v>-3.7086305558293176</v>
      </c>
      <c r="O12" s="5">
        <f t="shared" si="4"/>
        <v>3.1249267774673122</v>
      </c>
      <c r="P12" s="5">
        <f t="shared" si="4"/>
        <v>6.8404958013597694</v>
      </c>
      <c r="Q12" s="5">
        <f t="shared" si="4"/>
        <v>13.608058643574914</v>
      </c>
      <c r="R12" s="14"/>
      <c r="S12" s="14"/>
      <c r="T12" s="14"/>
    </row>
    <row r="13" spans="1:20" s="25" customFormat="1" ht="19.5" customHeight="1" x14ac:dyDescent="0.25">
      <c r="A13" s="36" t="s">
        <v>18</v>
      </c>
      <c r="B13" s="4">
        <v>2534.8904699999994</v>
      </c>
      <c r="C13" s="4">
        <v>2991.4774400000001</v>
      </c>
      <c r="D13" s="4">
        <v>2629.4619600000001</v>
      </c>
      <c r="E13" s="4">
        <v>3122.6040299999995</v>
      </c>
      <c r="F13" s="4">
        <v>2799.3750299999992</v>
      </c>
      <c r="G13" s="37">
        <v>4730.2643399999997</v>
      </c>
      <c r="H13" s="31">
        <f t="shared" si="2"/>
        <v>9.7603663031688871E-3</v>
      </c>
      <c r="I13" s="60">
        <f t="shared" si="3"/>
        <v>9.0211399105781399E-3</v>
      </c>
      <c r="J13" s="60">
        <f t="shared" si="5"/>
        <v>9.5476087213665108E-3</v>
      </c>
      <c r="K13" s="60">
        <f t="shared" si="7"/>
        <v>7.7075525662474893E-3</v>
      </c>
      <c r="L13" s="32">
        <f t="shared" si="6"/>
        <v>1.0379605438780087E-2</v>
      </c>
      <c r="M13" s="5">
        <f t="shared" si="4"/>
        <v>18.012098566136501</v>
      </c>
      <c r="N13" s="5">
        <f t="shared" si="4"/>
        <v>-12.101561427787335</v>
      </c>
      <c r="O13" s="5">
        <f t="shared" si="4"/>
        <v>18.754485803628032</v>
      </c>
      <c r="P13" s="5">
        <f t="shared" si="4"/>
        <v>-10.351264422085574</v>
      </c>
      <c r="Q13" s="5">
        <f t="shared" si="4"/>
        <v>68.975728128860283</v>
      </c>
      <c r="R13" s="14"/>
      <c r="S13" s="14"/>
      <c r="T13" s="14"/>
    </row>
    <row r="14" spans="1:20" s="25" customFormat="1" ht="19.5" customHeight="1" x14ac:dyDescent="0.25">
      <c r="A14" s="30" t="s">
        <v>19</v>
      </c>
      <c r="B14" s="1"/>
      <c r="C14" s="1"/>
      <c r="D14" s="1"/>
      <c r="E14" s="4"/>
      <c r="F14" s="4"/>
      <c r="G14" s="37"/>
      <c r="H14" s="31"/>
      <c r="I14" s="60"/>
      <c r="J14" s="60"/>
      <c r="K14" s="60"/>
      <c r="L14" s="32"/>
      <c r="M14" s="3"/>
      <c r="N14" s="3"/>
      <c r="O14" s="5"/>
      <c r="P14" s="5"/>
      <c r="Q14" s="5"/>
      <c r="R14" s="14"/>
      <c r="S14" s="14"/>
      <c r="T14" s="14"/>
    </row>
    <row r="15" spans="1:20" s="25" customFormat="1" ht="19.5" customHeight="1" x14ac:dyDescent="0.25">
      <c r="A15" s="26" t="s">
        <v>20</v>
      </c>
      <c r="B15" s="33">
        <f t="shared" ref="B15:G15" si="8">SUM(B16:B24)</f>
        <v>1828228.9638200006</v>
      </c>
      <c r="C15" s="33">
        <f t="shared" si="8"/>
        <v>1946313.1851300001</v>
      </c>
      <c r="D15" s="33">
        <f t="shared" si="8"/>
        <v>2066082.1885500001</v>
      </c>
      <c r="E15" s="33">
        <f t="shared" si="8"/>
        <v>2201236.4511900046</v>
      </c>
      <c r="F15" s="33">
        <f t="shared" si="8"/>
        <v>2428930.532674694</v>
      </c>
      <c r="G15" s="34">
        <f t="shared" si="8"/>
        <v>2688480.3675899953</v>
      </c>
      <c r="H15" s="35">
        <f t="shared" ref="H15:H24" si="9">C15/$C$6*100</f>
        <v>6.3502834330437601</v>
      </c>
      <c r="I15" s="3">
        <f t="shared" ref="I15:I24" si="10">D15/$D$6*100</f>
        <v>7.0883004862572863</v>
      </c>
      <c r="J15" s="3">
        <f t="shared" si="5"/>
        <v>6.7304544979952379</v>
      </c>
      <c r="K15" s="3">
        <f>F15/$F$6*100</f>
        <v>6.6876033256443392</v>
      </c>
      <c r="L15" s="6">
        <f t="shared" si="6"/>
        <v>5.899324739532549</v>
      </c>
      <c r="M15" s="3">
        <f t="shared" ref="M15:Q24" si="11">((C15-B15)/B15)*100</f>
        <v>6.4589405182197694</v>
      </c>
      <c r="N15" s="3">
        <f t="shared" si="11"/>
        <v>6.1536346943053895</v>
      </c>
      <c r="O15" s="3">
        <f t="shared" si="11"/>
        <v>6.5415724209334236</v>
      </c>
      <c r="P15" s="3">
        <f t="shared" si="11"/>
        <v>10.343917454283309</v>
      </c>
      <c r="Q15" s="3">
        <f t="shared" si="11"/>
        <v>10.685766077858544</v>
      </c>
      <c r="R15" s="14"/>
      <c r="S15" s="14"/>
      <c r="T15" s="14"/>
    </row>
    <row r="16" spans="1:20" s="25" customFormat="1" ht="19.5" customHeight="1" x14ac:dyDescent="0.25">
      <c r="A16" s="36" t="s">
        <v>21</v>
      </c>
      <c r="B16" s="4">
        <v>23191.915790000014</v>
      </c>
      <c r="C16" s="4">
        <v>21055.316340000001</v>
      </c>
      <c r="D16" s="4">
        <v>19821.789670000002</v>
      </c>
      <c r="E16" s="4">
        <v>38449.231699999989</v>
      </c>
      <c r="F16" s="4">
        <v>25043.424599999995</v>
      </c>
      <c r="G16" s="37">
        <v>73225.987119999962</v>
      </c>
      <c r="H16" s="31">
        <f t="shared" si="9"/>
        <v>6.8697693440568711E-2</v>
      </c>
      <c r="I16" s="60">
        <f t="shared" si="10"/>
        <v>6.8004458939243409E-2</v>
      </c>
      <c r="J16" s="60">
        <f t="shared" si="5"/>
        <v>0.11756156604613158</v>
      </c>
      <c r="K16" s="60">
        <f t="shared" ref="K16:L79" si="12">F16/$F$6*100</f>
        <v>6.895235882108855E-2</v>
      </c>
      <c r="L16" s="32">
        <f t="shared" si="6"/>
        <v>0.16067957296669644</v>
      </c>
      <c r="M16" s="5">
        <f t="shared" si="11"/>
        <v>-9.2126906174835295</v>
      </c>
      <c r="N16" s="5">
        <f t="shared" si="11"/>
        <v>-5.8585045699674305</v>
      </c>
      <c r="O16" s="5">
        <f t="shared" si="11"/>
        <v>93.974572125504679</v>
      </c>
      <c r="P16" s="5">
        <f t="shared" si="11"/>
        <v>-34.866254817778319</v>
      </c>
      <c r="Q16" s="5">
        <f t="shared" si="11"/>
        <v>192.39606120003242</v>
      </c>
      <c r="R16" s="14"/>
      <c r="S16" s="14"/>
      <c r="T16" s="14"/>
    </row>
    <row r="17" spans="1:20" s="25" customFormat="1" ht="19.5" customHeight="1" x14ac:dyDescent="0.25">
      <c r="A17" s="36" t="s">
        <v>22</v>
      </c>
      <c r="B17" s="4">
        <v>593253.22146000003</v>
      </c>
      <c r="C17" s="4">
        <v>626590.59034</v>
      </c>
      <c r="D17" s="4">
        <v>674521.00497999997</v>
      </c>
      <c r="E17" s="4">
        <v>709548.98056000331</v>
      </c>
      <c r="F17" s="4">
        <v>773352.6762282952</v>
      </c>
      <c r="G17" s="37">
        <v>829480.21273999941</v>
      </c>
      <c r="H17" s="31">
        <f t="shared" si="9"/>
        <v>2.0443923801869741</v>
      </c>
      <c r="I17" s="60">
        <f t="shared" si="10"/>
        <v>2.3141419998136628</v>
      </c>
      <c r="J17" s="60">
        <f t="shared" si="5"/>
        <v>2.1695021110414068</v>
      </c>
      <c r="K17" s="60">
        <f t="shared" si="12"/>
        <v>2.1292811218215952</v>
      </c>
      <c r="L17" s="32">
        <f t="shared" si="6"/>
        <v>1.8201260455386226</v>
      </c>
      <c r="M17" s="5">
        <f t="shared" si="11"/>
        <v>5.6194164100713158</v>
      </c>
      <c r="N17" s="5">
        <f t="shared" si="11"/>
        <v>7.649399046032916</v>
      </c>
      <c r="O17" s="5">
        <f t="shared" si="11"/>
        <v>5.1930147944083593</v>
      </c>
      <c r="P17" s="5">
        <f t="shared" si="11"/>
        <v>8.9921481696634338</v>
      </c>
      <c r="Q17" s="5">
        <f t="shared" si="11"/>
        <v>7.2576895686768461</v>
      </c>
      <c r="R17" s="14"/>
      <c r="S17" s="14"/>
      <c r="T17" s="14"/>
    </row>
    <row r="18" spans="1:20" s="25" customFormat="1" ht="19.5" customHeight="1" x14ac:dyDescent="0.25">
      <c r="A18" s="36" t="s">
        <v>23</v>
      </c>
      <c r="B18" s="4">
        <v>566868.97614000074</v>
      </c>
      <c r="C18" s="4">
        <v>630403.45322000002</v>
      </c>
      <c r="D18" s="4">
        <v>658510.01085000008</v>
      </c>
      <c r="E18" s="4">
        <v>710541.54240000038</v>
      </c>
      <c r="F18" s="4">
        <v>799745.8344613997</v>
      </c>
      <c r="G18" s="37">
        <v>875606.91040999675</v>
      </c>
      <c r="H18" s="31">
        <f t="shared" si="9"/>
        <v>2.0568327007706904</v>
      </c>
      <c r="I18" s="60">
        <f t="shared" si="10"/>
        <v>2.2592115918627624</v>
      </c>
      <c r="J18" s="60">
        <f t="shared" si="5"/>
        <v>2.1725369473475817</v>
      </c>
      <c r="K18" s="60">
        <f t="shared" si="12"/>
        <v>2.2019497183086263</v>
      </c>
      <c r="L18" s="32">
        <f t="shared" si="6"/>
        <v>1.9213417255926613</v>
      </c>
      <c r="M18" s="5">
        <f t="shared" si="11"/>
        <v>11.207965112613264</v>
      </c>
      <c r="N18" s="5">
        <f t="shared" si="11"/>
        <v>4.4585031199363288</v>
      </c>
      <c r="O18" s="5">
        <f t="shared" si="11"/>
        <v>7.9014032729492412</v>
      </c>
      <c r="P18" s="5">
        <f t="shared" si="11"/>
        <v>12.554409100429718</v>
      </c>
      <c r="Q18" s="5">
        <f t="shared" si="11"/>
        <v>9.4856481496632963</v>
      </c>
      <c r="R18" s="14"/>
      <c r="S18" s="14"/>
      <c r="T18" s="14"/>
    </row>
    <row r="19" spans="1:20" s="25" customFormat="1" ht="19.5" customHeight="1" x14ac:dyDescent="0.25">
      <c r="A19" s="36" t="s">
        <v>24</v>
      </c>
      <c r="B19" s="4">
        <v>127925.64007000008</v>
      </c>
      <c r="C19" s="4">
        <v>138195.11662000002</v>
      </c>
      <c r="D19" s="4">
        <v>180572.70681999999</v>
      </c>
      <c r="E19" s="4">
        <v>184619.41718999998</v>
      </c>
      <c r="F19" s="4">
        <v>243171.24464999986</v>
      </c>
      <c r="G19" s="37">
        <v>262106.20295999991</v>
      </c>
      <c r="H19" s="31">
        <f t="shared" si="9"/>
        <v>0.45089257284198092</v>
      </c>
      <c r="I19" s="60">
        <f t="shared" si="10"/>
        <v>0.61950759396231292</v>
      </c>
      <c r="J19" s="60">
        <f t="shared" si="5"/>
        <v>0.56448846564027721</v>
      </c>
      <c r="K19" s="60">
        <f t="shared" si="12"/>
        <v>0.66952628020680138</v>
      </c>
      <c r="L19" s="32">
        <f t="shared" si="6"/>
        <v>0.57513888743511798</v>
      </c>
      <c r="M19" s="5">
        <f t="shared" si="11"/>
        <v>8.0276921376985424</v>
      </c>
      <c r="N19" s="5">
        <f t="shared" si="11"/>
        <v>30.665041744222503</v>
      </c>
      <c r="O19" s="5">
        <f t="shared" si="11"/>
        <v>2.2410420939382951</v>
      </c>
      <c r="P19" s="5">
        <f t="shared" si="11"/>
        <v>31.714880455798223</v>
      </c>
      <c r="Q19" s="5">
        <f t="shared" si="11"/>
        <v>7.7866765608957698</v>
      </c>
      <c r="R19" s="14"/>
      <c r="S19" s="14"/>
      <c r="T19" s="14"/>
    </row>
    <row r="20" spans="1:20" s="25" customFormat="1" ht="19.5" customHeight="1" x14ac:dyDescent="0.25">
      <c r="A20" s="36" t="s">
        <v>25</v>
      </c>
      <c r="B20" s="4">
        <v>290189.89568999998</v>
      </c>
      <c r="C20" s="4">
        <v>293973.44345999998</v>
      </c>
      <c r="D20" s="4">
        <v>315517.59697000001</v>
      </c>
      <c r="E20" s="4">
        <v>357496.38314000034</v>
      </c>
      <c r="F20" s="4">
        <v>361564.74127999973</v>
      </c>
      <c r="G20" s="37">
        <v>394921.75075999979</v>
      </c>
      <c r="H20" s="31">
        <f t="shared" si="9"/>
        <v>0.95915431392105299</v>
      </c>
      <c r="I20" s="60">
        <f t="shared" si="10"/>
        <v>1.0824755899932379</v>
      </c>
      <c r="J20" s="60">
        <f t="shared" si="5"/>
        <v>1.0930734581561565</v>
      </c>
      <c r="K20" s="60">
        <f t="shared" si="12"/>
        <v>0.99550050266657997</v>
      </c>
      <c r="L20" s="32">
        <f t="shared" si="6"/>
        <v>0.8665756620445122</v>
      </c>
      <c r="M20" s="5">
        <f t="shared" si="11"/>
        <v>1.3038178882843805</v>
      </c>
      <c r="N20" s="5">
        <f t="shared" si="11"/>
        <v>7.3286053517046605</v>
      </c>
      <c r="O20" s="5">
        <f t="shared" si="11"/>
        <v>13.304736906319601</v>
      </c>
      <c r="P20" s="5">
        <f t="shared" si="11"/>
        <v>1.1380137903118763</v>
      </c>
      <c r="Q20" s="5">
        <f t="shared" si="11"/>
        <v>9.2257362711614714</v>
      </c>
      <c r="R20" s="14"/>
      <c r="S20" s="14"/>
      <c r="T20" s="14"/>
    </row>
    <row r="21" spans="1:20" s="25" customFormat="1" ht="19.5" customHeight="1" x14ac:dyDescent="0.25">
      <c r="A21" s="36" t="s">
        <v>26</v>
      </c>
      <c r="B21" s="4">
        <v>204675.239</v>
      </c>
      <c r="C21" s="4">
        <v>190817.00481000001</v>
      </c>
      <c r="D21" s="4">
        <v>188762.95777000001</v>
      </c>
      <c r="E21" s="4">
        <v>165773.61656000005</v>
      </c>
      <c r="F21" s="4">
        <v>176334.26828999969</v>
      </c>
      <c r="G21" s="37">
        <v>198076.62495999993</v>
      </c>
      <c r="H21" s="31">
        <f t="shared" si="9"/>
        <v>0.62258328908512162</v>
      </c>
      <c r="I21" s="60">
        <f t="shared" si="10"/>
        <v>0.64760665028891429</v>
      </c>
      <c r="J21" s="60">
        <f t="shared" si="5"/>
        <v>0.50686594010471586</v>
      </c>
      <c r="K21" s="60">
        <f t="shared" si="12"/>
        <v>0.48550323822669833</v>
      </c>
      <c r="L21" s="32">
        <f t="shared" si="6"/>
        <v>0.4346389685549833</v>
      </c>
      <c r="M21" s="5">
        <f t="shared" si="11"/>
        <v>-6.7708406047103669</v>
      </c>
      <c r="N21" s="5">
        <f t="shared" si="11"/>
        <v>-1.0764486331002088</v>
      </c>
      <c r="O21" s="5">
        <f t="shared" si="11"/>
        <v>-12.178947332458909</v>
      </c>
      <c r="P21" s="5">
        <f t="shared" si="11"/>
        <v>6.3705262327900751</v>
      </c>
      <c r="Q21" s="5">
        <f t="shared" si="11"/>
        <v>12.330193603799529</v>
      </c>
      <c r="R21" s="14"/>
      <c r="S21" s="14"/>
      <c r="T21" s="14"/>
    </row>
    <row r="22" spans="1:20" s="25" customFormat="1" ht="19.5" customHeight="1" x14ac:dyDescent="0.25">
      <c r="A22" s="36" t="s">
        <v>27</v>
      </c>
      <c r="B22" s="4">
        <v>16523.300289999988</v>
      </c>
      <c r="C22" s="4">
        <v>37225.878799999999</v>
      </c>
      <c r="D22" s="4">
        <v>20705.727899999998</v>
      </c>
      <c r="E22" s="4">
        <v>26882.114129999984</v>
      </c>
      <c r="F22" s="4">
        <v>32239.872104999984</v>
      </c>
      <c r="G22" s="37">
        <v>32503.019920000068</v>
      </c>
      <c r="H22" s="31">
        <f t="shared" si="9"/>
        <v>0.12145778142501019</v>
      </c>
      <c r="I22" s="60">
        <f t="shared" si="10"/>
        <v>7.1037068106610396E-2</v>
      </c>
      <c r="J22" s="60">
        <f t="shared" si="5"/>
        <v>8.2194189481129248E-2</v>
      </c>
      <c r="K22" s="60">
        <f t="shared" si="12"/>
        <v>8.876642333213336E-2</v>
      </c>
      <c r="L22" s="32">
        <f t="shared" si="6"/>
        <v>7.1321283143852859E-2</v>
      </c>
      <c r="M22" s="5">
        <f t="shared" si="11"/>
        <v>125.29324134192095</v>
      </c>
      <c r="N22" s="5">
        <f t="shared" si="11"/>
        <v>-44.378135406168035</v>
      </c>
      <c r="O22" s="5">
        <f t="shared" si="11"/>
        <v>29.82936055099993</v>
      </c>
      <c r="P22" s="5">
        <f t="shared" si="11"/>
        <v>19.930567771159165</v>
      </c>
      <c r="Q22" s="5">
        <f t="shared" si="11"/>
        <v>0.81621854498384672</v>
      </c>
      <c r="R22" s="14"/>
      <c r="S22" s="14"/>
      <c r="T22" s="14"/>
    </row>
    <row r="23" spans="1:20" s="25" customFormat="1" ht="19.5" customHeight="1" x14ac:dyDescent="0.25">
      <c r="A23" s="36" t="s">
        <v>28</v>
      </c>
      <c r="B23" s="4">
        <v>1756.5224200000002</v>
      </c>
      <c r="C23" s="4">
        <v>1935.2410300000001</v>
      </c>
      <c r="D23" s="4">
        <v>2507.4795899999999</v>
      </c>
      <c r="E23" s="4">
        <v>2223.9049700000005</v>
      </c>
      <c r="F23" s="4">
        <v>10447.163960000007</v>
      </c>
      <c r="G23" s="37">
        <v>2741.4319700000001</v>
      </c>
      <c r="H23" s="31">
        <f t="shared" si="9"/>
        <v>6.3141580428304513E-3</v>
      </c>
      <c r="I23" s="60">
        <f t="shared" si="10"/>
        <v>8.6026436390466404E-3</v>
      </c>
      <c r="J23" s="60">
        <f t="shared" si="5"/>
        <v>6.7997652866227595E-3</v>
      </c>
      <c r="K23" s="60">
        <f t="shared" si="12"/>
        <v>2.8764300791061338E-2</v>
      </c>
      <c r="L23" s="32">
        <f t="shared" si="6"/>
        <v>6.0155162884316972E-3</v>
      </c>
      <c r="M23" s="5">
        <f t="shared" si="11"/>
        <v>10.174570387777907</v>
      </c>
      <c r="N23" s="5">
        <f t="shared" si="11"/>
        <v>29.569368937987001</v>
      </c>
      <c r="O23" s="5">
        <f t="shared" si="11"/>
        <v>-11.309149678861372</v>
      </c>
      <c r="P23" s="5">
        <f t="shared" si="11"/>
        <v>369.76665374330287</v>
      </c>
      <c r="Q23" s="5">
        <f t="shared" si="11"/>
        <v>-73.759079684243829</v>
      </c>
      <c r="R23" s="14"/>
      <c r="S23" s="14"/>
      <c r="T23" s="14"/>
    </row>
    <row r="24" spans="1:20" s="25" customFormat="1" ht="19.5" customHeight="1" x14ac:dyDescent="0.25">
      <c r="A24" s="38" t="s">
        <v>29</v>
      </c>
      <c r="B24" s="4">
        <v>3844.2529600000007</v>
      </c>
      <c r="C24" s="4">
        <v>6117.1405100000002</v>
      </c>
      <c r="D24" s="4">
        <v>5162.9139999999998</v>
      </c>
      <c r="E24" s="4">
        <v>5701.2605400000002</v>
      </c>
      <c r="F24" s="4">
        <v>7031.3071000000036</v>
      </c>
      <c r="G24" s="37">
        <v>19818.226749999998</v>
      </c>
      <c r="H24" s="31">
        <f t="shared" si="9"/>
        <v>1.995854332953062E-2</v>
      </c>
      <c r="I24" s="60">
        <f t="shared" si="10"/>
        <v>1.7712889651494566E-2</v>
      </c>
      <c r="J24" s="60">
        <f t="shared" si="5"/>
        <v>1.7432054891214223E-2</v>
      </c>
      <c r="K24" s="60">
        <f t="shared" si="12"/>
        <v>1.9359381469755854E-2</v>
      </c>
      <c r="L24" s="32">
        <f t="shared" si="6"/>
        <v>4.3487077967671678E-2</v>
      </c>
      <c r="M24" s="5">
        <f t="shared" si="11"/>
        <v>59.124297325116679</v>
      </c>
      <c r="N24" s="5">
        <f t="shared" si="11"/>
        <v>-15.599224971865169</v>
      </c>
      <c r="O24" s="5">
        <f t="shared" si="11"/>
        <v>10.427183950768896</v>
      </c>
      <c r="P24" s="5">
        <f t="shared" si="11"/>
        <v>23.328991030464348</v>
      </c>
      <c r="Q24" s="5">
        <f t="shared" si="11"/>
        <v>181.85693596002923</v>
      </c>
      <c r="R24" s="14"/>
      <c r="S24" s="14"/>
      <c r="T24" s="14"/>
    </row>
    <row r="25" spans="1:20" s="25" customFormat="1" ht="27" customHeight="1" x14ac:dyDescent="0.25">
      <c r="A25" s="30" t="s">
        <v>30</v>
      </c>
      <c r="B25" s="1"/>
      <c r="C25" s="1"/>
      <c r="D25" s="1"/>
      <c r="E25" s="4"/>
      <c r="F25" s="4"/>
      <c r="G25" s="37"/>
      <c r="H25" s="31"/>
      <c r="I25" s="60"/>
      <c r="J25" s="60"/>
      <c r="K25" s="3"/>
      <c r="L25" s="6">
        <f t="shared" si="6"/>
        <v>0</v>
      </c>
      <c r="M25" s="3"/>
      <c r="N25" s="3"/>
      <c r="O25" s="5"/>
      <c r="P25" s="5"/>
      <c r="Q25" s="5"/>
      <c r="R25" s="14"/>
      <c r="S25" s="14"/>
      <c r="T25" s="14"/>
    </row>
    <row r="26" spans="1:20" s="25" customFormat="1" ht="19.5" customHeight="1" x14ac:dyDescent="0.25">
      <c r="A26" s="26" t="s">
        <v>31</v>
      </c>
      <c r="B26" s="33">
        <f t="shared" ref="B26:G26" si="13">B27</f>
        <v>155750.13008999996</v>
      </c>
      <c r="C26" s="33">
        <f t="shared" si="13"/>
        <v>201444.61388999998</v>
      </c>
      <c r="D26" s="33">
        <f t="shared" si="13"/>
        <v>158538.83133000002</v>
      </c>
      <c r="E26" s="33">
        <f t="shared" si="13"/>
        <v>182751.59895999977</v>
      </c>
      <c r="F26" s="33">
        <f t="shared" si="13"/>
        <v>218073.53435000018</v>
      </c>
      <c r="G26" s="34">
        <f t="shared" si="13"/>
        <v>235805.20949999994</v>
      </c>
      <c r="H26" s="35">
        <f>C26/$C$6*100</f>
        <v>0.65725824807384237</v>
      </c>
      <c r="I26" s="3">
        <f>D26/$D$6*100</f>
        <v>0.54391392628759661</v>
      </c>
      <c r="J26" s="3">
        <f t="shared" si="5"/>
        <v>0.55877746371645109</v>
      </c>
      <c r="K26" s="3">
        <f t="shared" si="12"/>
        <v>0.60042445592222216</v>
      </c>
      <c r="L26" s="6">
        <f t="shared" si="6"/>
        <v>0.51742669311772072</v>
      </c>
      <c r="M26" s="3">
        <f t="shared" ref="M26:Q27" si="14">((C26-B26)/B26)*100</f>
        <v>29.338327854747558</v>
      </c>
      <c r="N26" s="3">
        <f t="shared" si="14"/>
        <v>-21.299046785847011</v>
      </c>
      <c r="O26" s="3">
        <f t="shared" si="14"/>
        <v>15.272452450214333</v>
      </c>
      <c r="P26" s="3">
        <f t="shared" si="14"/>
        <v>19.327839313587393</v>
      </c>
      <c r="Q26" s="3">
        <f t="shared" si="14"/>
        <v>8.1310532260833916</v>
      </c>
      <c r="R26" s="14"/>
      <c r="S26" s="14"/>
      <c r="T26" s="14"/>
    </row>
    <row r="27" spans="1:20" s="25" customFormat="1" ht="19.5" customHeight="1" x14ac:dyDescent="0.25">
      <c r="A27" s="36" t="s">
        <v>32</v>
      </c>
      <c r="B27" s="4">
        <v>155750.13008999996</v>
      </c>
      <c r="C27" s="4">
        <v>201444.61388999998</v>
      </c>
      <c r="D27" s="4">
        <v>158538.83133000002</v>
      </c>
      <c r="E27" s="4">
        <v>182751.59895999977</v>
      </c>
      <c r="F27" s="4">
        <v>218073.53435000018</v>
      </c>
      <c r="G27" s="37">
        <v>235805.20949999994</v>
      </c>
      <c r="H27" s="31">
        <f>C27/$C$6*100</f>
        <v>0.65725824807384237</v>
      </c>
      <c r="I27" s="60">
        <f>D27/$D$6*100</f>
        <v>0.54391392628759661</v>
      </c>
      <c r="J27" s="60">
        <f t="shared" si="5"/>
        <v>0.55877746371645109</v>
      </c>
      <c r="K27" s="60">
        <f t="shared" si="12"/>
        <v>0.60042445592222216</v>
      </c>
      <c r="L27" s="32">
        <f t="shared" si="6"/>
        <v>0.51742669311772072</v>
      </c>
      <c r="M27" s="5">
        <f t="shared" si="14"/>
        <v>29.338327854747558</v>
      </c>
      <c r="N27" s="5">
        <f t="shared" si="14"/>
        <v>-21.299046785847011</v>
      </c>
      <c r="O27" s="5">
        <f t="shared" si="14"/>
        <v>15.272452450214333</v>
      </c>
      <c r="P27" s="5">
        <f t="shared" si="14"/>
        <v>19.327839313587393</v>
      </c>
      <c r="Q27" s="5">
        <f t="shared" si="14"/>
        <v>8.1310532260833916</v>
      </c>
      <c r="R27" s="14"/>
      <c r="S27" s="14"/>
      <c r="T27" s="14"/>
    </row>
    <row r="28" spans="1:20" s="25" customFormat="1" ht="19.5" customHeight="1" x14ac:dyDescent="0.25">
      <c r="A28" s="30" t="s">
        <v>33</v>
      </c>
      <c r="B28" s="1"/>
      <c r="C28" s="1"/>
      <c r="D28" s="1"/>
      <c r="E28" s="4"/>
      <c r="F28" s="4"/>
      <c r="G28" s="37"/>
      <c r="H28" s="31"/>
      <c r="I28" s="60"/>
      <c r="J28" s="60"/>
      <c r="K28" s="3"/>
      <c r="L28" s="6"/>
      <c r="M28" s="3"/>
      <c r="N28" s="3"/>
      <c r="O28" s="5"/>
      <c r="P28" s="5"/>
      <c r="Q28" s="5"/>
      <c r="R28" s="14"/>
      <c r="S28" s="14"/>
      <c r="T28" s="14"/>
    </row>
    <row r="29" spans="1:20" s="25" customFormat="1" ht="19.5" customHeight="1" x14ac:dyDescent="0.25">
      <c r="A29" s="26" t="s">
        <v>34</v>
      </c>
      <c r="B29" s="39">
        <f t="shared" ref="B29:G29" si="15">SUM(B30:B38)</f>
        <v>2270255.4094999996</v>
      </c>
      <c r="C29" s="33">
        <f t="shared" si="15"/>
        <v>2441450.34913</v>
      </c>
      <c r="D29" s="33">
        <f t="shared" si="15"/>
        <v>2380707.0856900001</v>
      </c>
      <c r="E29" s="33">
        <f t="shared" si="15"/>
        <v>2570338.2835499994</v>
      </c>
      <c r="F29" s="33">
        <f t="shared" si="15"/>
        <v>2577125.4142599991</v>
      </c>
      <c r="G29" s="34">
        <f t="shared" si="15"/>
        <v>2694268.5785499997</v>
      </c>
      <c r="H29" s="35">
        <f t="shared" ref="H29:H38" si="16">C29/$C$6*100</f>
        <v>7.9657795174642416</v>
      </c>
      <c r="I29" s="3">
        <f t="shared" ref="I29:I38" si="17">D29/$D$6*100</f>
        <v>8.1677134078464597</v>
      </c>
      <c r="J29" s="3">
        <f t="shared" si="5"/>
        <v>7.8590125347670803</v>
      </c>
      <c r="K29" s="3">
        <f t="shared" si="12"/>
        <v>7.0956300557632979</v>
      </c>
      <c r="L29" s="6">
        <f t="shared" si="6"/>
        <v>5.9120257941973442</v>
      </c>
      <c r="M29" s="3">
        <f t="shared" ref="M29:Q38" si="18">((C29-B29)/B29)*100</f>
        <v>7.5407788442492603</v>
      </c>
      <c r="N29" s="3">
        <f t="shared" si="18"/>
        <v>-2.4879991297650386</v>
      </c>
      <c r="O29" s="3">
        <f t="shared" si="18"/>
        <v>7.9653309304549946</v>
      </c>
      <c r="P29" s="3">
        <f t="shared" si="18"/>
        <v>0.26405593199295629</v>
      </c>
      <c r="Q29" s="3">
        <f t="shared" si="18"/>
        <v>4.5454972288819482</v>
      </c>
      <c r="R29" s="14"/>
      <c r="S29" s="14"/>
      <c r="T29" s="14"/>
    </row>
    <row r="30" spans="1:20" s="25" customFormat="1" ht="19.5" customHeight="1" x14ac:dyDescent="0.25">
      <c r="A30" s="36" t="s">
        <v>35</v>
      </c>
      <c r="B30" s="4">
        <v>154938.36555999998</v>
      </c>
      <c r="C30" s="4">
        <v>186737.61909999998</v>
      </c>
      <c r="D30" s="4">
        <v>159177.68945999999</v>
      </c>
      <c r="E30" s="4">
        <v>155903.5790400003</v>
      </c>
      <c r="F30" s="4">
        <v>153783.01404999982</v>
      </c>
      <c r="G30" s="37">
        <v>145138.62293999997</v>
      </c>
      <c r="H30" s="31">
        <f t="shared" si="16"/>
        <v>0.60927337797260017</v>
      </c>
      <c r="I30" s="60">
        <f t="shared" si="17"/>
        <v>0.54610571634252481</v>
      </c>
      <c r="J30" s="60">
        <f t="shared" si="5"/>
        <v>0.47668751997817671</v>
      </c>
      <c r="K30" s="60">
        <f t="shared" si="12"/>
        <v>0.42341260170001238</v>
      </c>
      <c r="L30" s="32">
        <f t="shared" si="6"/>
        <v>0.31847726295251316</v>
      </c>
      <c r="M30" s="5">
        <f t="shared" si="18"/>
        <v>20.523808564177557</v>
      </c>
      <c r="N30" s="5">
        <f t="shared" si="18"/>
        <v>-14.758638228776682</v>
      </c>
      <c r="O30" s="5">
        <f t="shared" si="18"/>
        <v>-2.0568902784723786</v>
      </c>
      <c r="P30" s="5">
        <f t="shared" si="18"/>
        <v>-1.3601772345818977</v>
      </c>
      <c r="Q30" s="5">
        <f t="shared" si="18"/>
        <v>-5.6211611948178364</v>
      </c>
      <c r="R30" s="14"/>
      <c r="S30" s="14"/>
      <c r="T30" s="14"/>
    </row>
    <row r="31" spans="1:20" s="25" customFormat="1" ht="19.5" customHeight="1" x14ac:dyDescent="0.25">
      <c r="A31" s="36" t="s">
        <v>36</v>
      </c>
      <c r="B31" s="4">
        <v>268055.96848999988</v>
      </c>
      <c r="C31" s="4">
        <v>165135.14481999999</v>
      </c>
      <c r="D31" s="4">
        <v>168858.00003</v>
      </c>
      <c r="E31" s="4">
        <v>161054.71281000011</v>
      </c>
      <c r="F31" s="4">
        <v>181245.23678000033</v>
      </c>
      <c r="G31" s="37">
        <v>175511.6798000001</v>
      </c>
      <c r="H31" s="31">
        <f t="shared" si="16"/>
        <v>0.53879045899475075</v>
      </c>
      <c r="I31" s="60">
        <f t="shared" si="17"/>
        <v>0.57931685891019236</v>
      </c>
      <c r="J31" s="60">
        <f t="shared" si="5"/>
        <v>0.49243751877241243</v>
      </c>
      <c r="K31" s="60">
        <f t="shared" si="12"/>
        <v>0.49902466618194624</v>
      </c>
      <c r="L31" s="32">
        <f t="shared" si="6"/>
        <v>0.38512477427879016</v>
      </c>
      <c r="M31" s="5">
        <f t="shared" si="18"/>
        <v>-38.39527403540707</v>
      </c>
      <c r="N31" s="5">
        <f t="shared" si="18"/>
        <v>2.2544293730192821</v>
      </c>
      <c r="O31" s="5">
        <f t="shared" si="18"/>
        <v>-4.6212126275411993</v>
      </c>
      <c r="P31" s="5">
        <f t="shared" si="18"/>
        <v>12.536437846323336</v>
      </c>
      <c r="Q31" s="5">
        <f t="shared" si="18"/>
        <v>-3.1634249163522852</v>
      </c>
      <c r="R31" s="14"/>
      <c r="S31" s="14"/>
      <c r="T31" s="14"/>
    </row>
    <row r="32" spans="1:20" s="25" customFormat="1" ht="19.5" customHeight="1" x14ac:dyDescent="0.25">
      <c r="A32" s="36" t="s">
        <v>37</v>
      </c>
      <c r="B32" s="4">
        <v>145705.58549</v>
      </c>
      <c r="C32" s="4">
        <v>159789.99975999998</v>
      </c>
      <c r="D32" s="4">
        <v>155567.62783000001</v>
      </c>
      <c r="E32" s="4">
        <v>176036.08999999985</v>
      </c>
      <c r="F32" s="4">
        <v>192748.38200999965</v>
      </c>
      <c r="G32" s="37">
        <v>184283.30394999997</v>
      </c>
      <c r="H32" s="31">
        <f t="shared" si="16"/>
        <v>0.52135072402246441</v>
      </c>
      <c r="I32" s="60">
        <f t="shared" si="17"/>
        <v>0.53372034186460704</v>
      </c>
      <c r="J32" s="60">
        <f t="shared" si="5"/>
        <v>0.53824426408597792</v>
      </c>
      <c r="K32" s="60">
        <f t="shared" si="12"/>
        <v>0.53069641276368196</v>
      </c>
      <c r="L32" s="32">
        <f t="shared" si="6"/>
        <v>0.4043723239272044</v>
      </c>
      <c r="M32" s="5">
        <f t="shared" si="18"/>
        <v>9.6663516519527075</v>
      </c>
      <c r="N32" s="5">
        <f t="shared" si="18"/>
        <v>-2.6424506767268583</v>
      </c>
      <c r="O32" s="5">
        <f t="shared" si="18"/>
        <v>13.157276006269894</v>
      </c>
      <c r="P32" s="5">
        <f t="shared" si="18"/>
        <v>9.4936737177017587</v>
      </c>
      <c r="Q32" s="5">
        <f t="shared" si="18"/>
        <v>-4.3917764557735781</v>
      </c>
      <c r="R32" s="14"/>
      <c r="S32" s="14"/>
      <c r="T32" s="14"/>
    </row>
    <row r="33" spans="1:20" s="25" customFormat="1" ht="19.5" customHeight="1" x14ac:dyDescent="0.25">
      <c r="A33" s="36" t="s">
        <v>38</v>
      </c>
      <c r="B33" s="4">
        <v>347488.68813999969</v>
      </c>
      <c r="C33" s="4">
        <v>378290.77137999999</v>
      </c>
      <c r="D33" s="4">
        <v>405754.90587999998</v>
      </c>
      <c r="E33" s="4">
        <v>417982.14883999969</v>
      </c>
      <c r="F33" s="4">
        <v>444786.78798000002</v>
      </c>
      <c r="G33" s="37">
        <v>462828.62312000006</v>
      </c>
      <c r="H33" s="31">
        <f t="shared" si="16"/>
        <v>1.2342585133375157</v>
      </c>
      <c r="I33" s="60">
        <f t="shared" si="17"/>
        <v>1.3920611254429194</v>
      </c>
      <c r="J33" s="60">
        <f t="shared" si="5"/>
        <v>1.2780134693031495</v>
      </c>
      <c r="K33" s="60">
        <f t="shared" si="12"/>
        <v>1.2246367537000671</v>
      </c>
      <c r="L33" s="32">
        <f t="shared" si="6"/>
        <v>1.0155835167891383</v>
      </c>
      <c r="M33" s="5">
        <f t="shared" si="18"/>
        <v>8.8641973944171806</v>
      </c>
      <c r="N33" s="5">
        <f t="shared" si="18"/>
        <v>7.2600593453049793</v>
      </c>
      <c r="O33" s="5">
        <f t="shared" si="18"/>
        <v>3.0134553600729252</v>
      </c>
      <c r="P33" s="5">
        <f t="shared" si="18"/>
        <v>6.4128669643882183</v>
      </c>
      <c r="Q33" s="5">
        <f t="shared" si="18"/>
        <v>4.0562884572037463</v>
      </c>
      <c r="R33" s="14"/>
      <c r="S33" s="14"/>
      <c r="T33" s="14"/>
    </row>
    <row r="34" spans="1:20" s="25" customFormat="1" ht="19.5" customHeight="1" x14ac:dyDescent="0.25">
      <c r="A34" s="36" t="s">
        <v>39</v>
      </c>
      <c r="B34" s="4">
        <v>336304.47775999975</v>
      </c>
      <c r="C34" s="4">
        <v>371849.89636000001</v>
      </c>
      <c r="D34" s="4">
        <v>324869.62004000001</v>
      </c>
      <c r="E34" s="4">
        <v>357571.32382000075</v>
      </c>
      <c r="F34" s="4">
        <v>402853.98653999914</v>
      </c>
      <c r="G34" s="37">
        <v>383888.43776000023</v>
      </c>
      <c r="H34" s="31">
        <f t="shared" si="16"/>
        <v>1.2132437135374108</v>
      </c>
      <c r="I34" s="60">
        <f t="shared" si="17"/>
        <v>1.114560446075896</v>
      </c>
      <c r="J34" s="60">
        <f t="shared" si="5"/>
        <v>1.0933025952107056</v>
      </c>
      <c r="K34" s="60">
        <f t="shared" si="12"/>
        <v>1.109182672740852</v>
      </c>
      <c r="L34" s="32">
        <f t="shared" si="6"/>
        <v>0.84236529505632007</v>
      </c>
      <c r="M34" s="5">
        <f t="shared" si="18"/>
        <v>10.569415797480666</v>
      </c>
      <c r="N34" s="5">
        <f t="shared" si="18"/>
        <v>-12.634204494847262</v>
      </c>
      <c r="O34" s="5">
        <f t="shared" si="18"/>
        <v>10.066100910258797</v>
      </c>
      <c r="P34" s="5">
        <f t="shared" si="18"/>
        <v>12.663952532947921</v>
      </c>
      <c r="Q34" s="5">
        <f t="shared" si="18"/>
        <v>-4.7077972202506251</v>
      </c>
      <c r="R34" s="14"/>
      <c r="S34" s="14"/>
      <c r="T34" s="14"/>
    </row>
    <row r="35" spans="1:20" s="25" customFormat="1" ht="19.5" customHeight="1" x14ac:dyDescent="0.25">
      <c r="A35" s="36" t="s">
        <v>40</v>
      </c>
      <c r="B35" s="4">
        <v>313675.37587999983</v>
      </c>
      <c r="C35" s="4">
        <v>345460.36193000001</v>
      </c>
      <c r="D35" s="4">
        <v>369172.13701999997</v>
      </c>
      <c r="E35" s="4">
        <v>382638.44556000014</v>
      </c>
      <c r="F35" s="4">
        <v>405486.59810999938</v>
      </c>
      <c r="G35" s="37">
        <v>450768.40821000037</v>
      </c>
      <c r="H35" s="31">
        <f t="shared" si="16"/>
        <v>1.1271419368157094</v>
      </c>
      <c r="I35" s="60">
        <f t="shared" si="17"/>
        <v>1.2665532149948058</v>
      </c>
      <c r="J35" s="60">
        <f t="shared" si="5"/>
        <v>1.1699473019506679</v>
      </c>
      <c r="K35" s="60">
        <f t="shared" si="12"/>
        <v>1.1164310734891749</v>
      </c>
      <c r="L35" s="32">
        <f t="shared" si="6"/>
        <v>0.98911982189282111</v>
      </c>
      <c r="M35" s="5">
        <f t="shared" si="18"/>
        <v>10.133082955851751</v>
      </c>
      <c r="N35" s="5">
        <f t="shared" si="18"/>
        <v>6.8638193272097077</v>
      </c>
      <c r="O35" s="5">
        <f t="shared" si="18"/>
        <v>3.6477044688967499</v>
      </c>
      <c r="P35" s="5">
        <f t="shared" si="18"/>
        <v>5.9712119404416999</v>
      </c>
      <c r="Q35" s="5">
        <f t="shared" si="18"/>
        <v>11.167276627899071</v>
      </c>
      <c r="R35" s="14"/>
      <c r="S35" s="14"/>
      <c r="T35" s="14"/>
    </row>
    <row r="36" spans="1:20" s="25" customFormat="1" ht="19.5" customHeight="1" x14ac:dyDescent="0.25">
      <c r="A36" s="36" t="s">
        <v>41</v>
      </c>
      <c r="B36" s="4">
        <v>488662.58886000054</v>
      </c>
      <c r="C36" s="4">
        <v>591680.01944000006</v>
      </c>
      <c r="D36" s="4">
        <v>548396.47464999999</v>
      </c>
      <c r="E36" s="4">
        <v>622971.25811999862</v>
      </c>
      <c r="F36" s="4">
        <v>535302.25612000097</v>
      </c>
      <c r="G36" s="37">
        <v>600118.57508999959</v>
      </c>
      <c r="H36" s="31">
        <f t="shared" si="16"/>
        <v>1.9304888102383577</v>
      </c>
      <c r="I36" s="60">
        <f t="shared" si="17"/>
        <v>1.8814348332635578</v>
      </c>
      <c r="J36" s="60">
        <f t="shared" si="5"/>
        <v>1.9047838791097591</v>
      </c>
      <c r="K36" s="60">
        <f t="shared" si="12"/>
        <v>1.4738540687332575</v>
      </c>
      <c r="L36" s="32">
        <f t="shared" si="6"/>
        <v>1.3168384636020396</v>
      </c>
      <c r="M36" s="5">
        <f t="shared" si="18"/>
        <v>21.081505506760518</v>
      </c>
      <c r="N36" s="5">
        <f t="shared" si="18"/>
        <v>-7.3153636032810612</v>
      </c>
      <c r="O36" s="5">
        <f t="shared" si="18"/>
        <v>13.598698554288497</v>
      </c>
      <c r="P36" s="5">
        <f t="shared" si="18"/>
        <v>-14.07272018689353</v>
      </c>
      <c r="Q36" s="5">
        <f t="shared" si="18"/>
        <v>12.108359011935207</v>
      </c>
      <c r="R36" s="14"/>
      <c r="S36" s="14"/>
      <c r="T36" s="14"/>
    </row>
    <row r="37" spans="1:20" s="25" customFormat="1" ht="19.5" customHeight="1" x14ac:dyDescent="0.25">
      <c r="A37" s="36" t="s">
        <v>42</v>
      </c>
      <c r="B37" s="4">
        <v>5595.8752800000011</v>
      </c>
      <c r="C37" s="4">
        <v>6407.2832900000003</v>
      </c>
      <c r="D37" s="4">
        <v>5413.5951599999999</v>
      </c>
      <c r="E37" s="4">
        <v>7333.9856100000015</v>
      </c>
      <c r="F37" s="4">
        <v>6149.230889999998</v>
      </c>
      <c r="G37" s="37">
        <v>7531.57294</v>
      </c>
      <c r="H37" s="31">
        <f t="shared" si="16"/>
        <v>2.0905199244482045E-2</v>
      </c>
      <c r="I37" s="60">
        <f t="shared" si="17"/>
        <v>1.8572924841851926E-2</v>
      </c>
      <c r="J37" s="60">
        <f t="shared" si="5"/>
        <v>2.2424240889874374E-2</v>
      </c>
      <c r="K37" s="60">
        <f t="shared" si="12"/>
        <v>1.6930750549228064E-2</v>
      </c>
      <c r="L37" s="32">
        <f t="shared" si="6"/>
        <v>1.6526508844237855E-2</v>
      </c>
      <c r="M37" s="5">
        <f t="shared" si="18"/>
        <v>14.500108908788958</v>
      </c>
      <c r="N37" s="5">
        <f t="shared" si="18"/>
        <v>-15.508727880830136</v>
      </c>
      <c r="O37" s="5">
        <f t="shared" si="18"/>
        <v>35.473477296370305</v>
      </c>
      <c r="P37" s="5">
        <f t="shared" si="18"/>
        <v>-16.154309307405409</v>
      </c>
      <c r="Q37" s="5">
        <f t="shared" si="18"/>
        <v>22.479917809688921</v>
      </c>
      <c r="R37" s="14"/>
      <c r="S37" s="14"/>
      <c r="T37" s="14"/>
    </row>
    <row r="38" spans="1:20" s="25" customFormat="1" ht="19.5" customHeight="1" x14ac:dyDescent="0.25">
      <c r="A38" s="36" t="s">
        <v>43</v>
      </c>
      <c r="B38" s="4">
        <v>209828.48404000007</v>
      </c>
      <c r="C38" s="4">
        <v>236099.25305</v>
      </c>
      <c r="D38" s="4">
        <v>243497.03562000001</v>
      </c>
      <c r="E38" s="4">
        <v>288846.73975000007</v>
      </c>
      <c r="F38" s="4">
        <v>254769.92177999989</v>
      </c>
      <c r="G38" s="37">
        <v>284199.35473999957</v>
      </c>
      <c r="H38" s="31">
        <f t="shared" si="16"/>
        <v>0.77032678330095106</v>
      </c>
      <c r="I38" s="60">
        <f t="shared" si="17"/>
        <v>0.83538794611010425</v>
      </c>
      <c r="J38" s="60">
        <f t="shared" si="5"/>
        <v>0.8831717454663579</v>
      </c>
      <c r="K38" s="60">
        <f t="shared" si="12"/>
        <v>0.70146105590507846</v>
      </c>
      <c r="L38" s="32">
        <f t="shared" si="6"/>
        <v>0.62361782685427913</v>
      </c>
      <c r="M38" s="5">
        <f t="shared" si="18"/>
        <v>12.52011571745992</v>
      </c>
      <c r="N38" s="5">
        <f t="shared" si="18"/>
        <v>3.1333358638086595</v>
      </c>
      <c r="O38" s="5">
        <f t="shared" si="18"/>
        <v>18.624335205777424</v>
      </c>
      <c r="P38" s="5">
        <f t="shared" si="18"/>
        <v>-11.797542876715184</v>
      </c>
      <c r="Q38" s="5">
        <f t="shared" si="18"/>
        <v>11.551376533927238</v>
      </c>
      <c r="R38" s="14"/>
      <c r="S38" s="14"/>
      <c r="T38" s="14"/>
    </row>
    <row r="39" spans="1:20" s="25" customFormat="1" ht="19.5" customHeight="1" x14ac:dyDescent="0.25">
      <c r="A39" s="30" t="s">
        <v>44</v>
      </c>
      <c r="B39" s="1"/>
      <c r="C39" s="1"/>
      <c r="D39" s="1"/>
      <c r="E39" s="4"/>
      <c r="F39" s="4"/>
      <c r="G39" s="37"/>
      <c r="H39" s="31"/>
      <c r="I39" s="60"/>
      <c r="J39" s="60"/>
      <c r="K39" s="3"/>
      <c r="L39" s="6"/>
      <c r="M39" s="3"/>
      <c r="N39" s="3"/>
      <c r="O39" s="5"/>
      <c r="P39" s="5"/>
      <c r="Q39" s="5"/>
      <c r="R39" s="14"/>
      <c r="S39" s="14"/>
      <c r="T39" s="14"/>
    </row>
    <row r="40" spans="1:20" s="25" customFormat="1" ht="19.5" customHeight="1" x14ac:dyDescent="0.25">
      <c r="A40" s="26" t="s">
        <v>45</v>
      </c>
      <c r="B40" s="33">
        <f t="shared" ref="B40:G40" si="19">SUM(B41:B43)</f>
        <v>8389026.1906900015</v>
      </c>
      <c r="C40" s="33">
        <f t="shared" si="19"/>
        <v>9647042.2125500012</v>
      </c>
      <c r="D40" s="33">
        <f t="shared" si="19"/>
        <v>5717767.5734000001</v>
      </c>
      <c r="E40" s="33">
        <f t="shared" si="19"/>
        <v>5263630.4115100028</v>
      </c>
      <c r="F40" s="33">
        <f t="shared" si="19"/>
        <v>6723146.6145799952</v>
      </c>
      <c r="G40" s="34">
        <f t="shared" si="19"/>
        <v>9854282.6076300014</v>
      </c>
      <c r="H40" s="35">
        <f>C40/$C$6*100</f>
        <v>31.475639587848892</v>
      </c>
      <c r="I40" s="3">
        <f>D40/$D$6*100</f>
        <v>19.616477454501098</v>
      </c>
      <c r="J40" s="3">
        <f t="shared" si="5"/>
        <v>16.093966170594769</v>
      </c>
      <c r="K40" s="3">
        <f t="shared" si="12"/>
        <v>18.510919539946091</v>
      </c>
      <c r="L40" s="6">
        <f t="shared" si="6"/>
        <v>21.623223988668759</v>
      </c>
      <c r="M40" s="3">
        <f t="shared" ref="M40:Q43" si="20">((C40-B40)/B40)*100</f>
        <v>14.995972038520092</v>
      </c>
      <c r="N40" s="3">
        <f t="shared" si="20"/>
        <v>-40.730356025998738</v>
      </c>
      <c r="O40" s="3">
        <f t="shared" si="20"/>
        <v>-7.9425607295182559</v>
      </c>
      <c r="P40" s="3">
        <f t="shared" si="20"/>
        <v>27.728318460172702</v>
      </c>
      <c r="Q40" s="3">
        <f t="shared" si="20"/>
        <v>46.57247822410627</v>
      </c>
      <c r="R40" s="14"/>
      <c r="S40" s="14"/>
      <c r="T40" s="14"/>
    </row>
    <row r="41" spans="1:20" s="25" customFormat="1" ht="19.5" customHeight="1" x14ac:dyDescent="0.25">
      <c r="A41" s="36" t="s">
        <v>46</v>
      </c>
      <c r="B41" s="4">
        <v>641915.21725000022</v>
      </c>
      <c r="C41" s="4">
        <v>855554.21826999995</v>
      </c>
      <c r="D41" s="4">
        <v>1263797.3763499998</v>
      </c>
      <c r="E41" s="4">
        <v>1455935.0923500019</v>
      </c>
      <c r="F41" s="4">
        <v>1864607.7501499956</v>
      </c>
      <c r="G41" s="37">
        <v>2650174.5140799982</v>
      </c>
      <c r="H41" s="31">
        <f>C41/$C$6*100</f>
        <v>2.7914375856153897</v>
      </c>
      <c r="I41" s="60">
        <f>D41/$D$6*100</f>
        <v>4.3358273000743175</v>
      </c>
      <c r="J41" s="60">
        <f t="shared" si="5"/>
        <v>4.4516366634755267</v>
      </c>
      <c r="K41" s="60">
        <f t="shared" si="12"/>
        <v>5.1338466963869287</v>
      </c>
      <c r="L41" s="32">
        <f t="shared" si="6"/>
        <v>5.8152703153289584</v>
      </c>
      <c r="M41" s="5">
        <f t="shared" si="20"/>
        <v>33.281498129182992</v>
      </c>
      <c r="N41" s="5">
        <f t="shared" si="20"/>
        <v>47.716807346879854</v>
      </c>
      <c r="O41" s="5">
        <f t="shared" si="20"/>
        <v>15.203205798299656</v>
      </c>
      <c r="P41" s="5">
        <f t="shared" si="20"/>
        <v>28.069428365818254</v>
      </c>
      <c r="Q41" s="5">
        <f t="shared" si="20"/>
        <v>42.130403237185355</v>
      </c>
      <c r="R41" s="14"/>
      <c r="S41" s="14"/>
      <c r="T41" s="14"/>
    </row>
    <row r="42" spans="1:20" s="25" customFormat="1" ht="19.5" customHeight="1" x14ac:dyDescent="0.25">
      <c r="A42" s="36" t="s">
        <v>47</v>
      </c>
      <c r="B42" s="4">
        <v>4603.2478000000001</v>
      </c>
      <c r="C42" s="4">
        <v>1029.1798799999999</v>
      </c>
      <c r="D42" s="4">
        <v>1092.7235900000001</v>
      </c>
      <c r="E42" s="4">
        <v>2568.48108</v>
      </c>
      <c r="F42" s="4">
        <v>22514.495210000001</v>
      </c>
      <c r="G42" s="37">
        <v>7149.842889999999</v>
      </c>
      <c r="H42" s="31">
        <f>C42/$C$6*100</f>
        <v>3.3579302609253164E-3</v>
      </c>
      <c r="I42" s="60">
        <f>D42/$D$6*100</f>
        <v>3.7489085367788414E-3</v>
      </c>
      <c r="J42" s="60">
        <f t="shared" si="5"/>
        <v>7.8533339880666447E-3</v>
      </c>
      <c r="K42" s="60">
        <f t="shared" si="12"/>
        <v>6.1989427452170405E-2</v>
      </c>
      <c r="L42" s="32">
        <f t="shared" si="6"/>
        <v>1.5688879693236579E-2</v>
      </c>
      <c r="M42" s="5">
        <f t="shared" si="20"/>
        <v>-77.642309849146088</v>
      </c>
      <c r="N42" s="5">
        <f t="shared" si="20"/>
        <v>6.1742083415000444</v>
      </c>
      <c r="O42" s="5">
        <f t="shared" si="20"/>
        <v>135.05313727143019</v>
      </c>
      <c r="P42" s="5">
        <f t="shared" si="20"/>
        <v>776.56846629370534</v>
      </c>
      <c r="Q42" s="5">
        <f t="shared" si="20"/>
        <v>-68.243379106166515</v>
      </c>
      <c r="R42" s="14"/>
      <c r="S42" s="14"/>
      <c r="T42" s="14"/>
    </row>
    <row r="43" spans="1:20" s="25" customFormat="1" ht="19.5" customHeight="1" x14ac:dyDescent="0.25">
      <c r="A43" s="36" t="s">
        <v>48</v>
      </c>
      <c r="B43" s="4">
        <v>7742507.7256400017</v>
      </c>
      <c r="C43" s="4">
        <v>8790458.8144000005</v>
      </c>
      <c r="D43" s="4">
        <v>4452877.47346</v>
      </c>
      <c r="E43" s="4">
        <v>3805126.8380800011</v>
      </c>
      <c r="F43" s="4">
        <v>4836024.3692199998</v>
      </c>
      <c r="G43" s="37">
        <v>7196958.2506600032</v>
      </c>
      <c r="H43" s="31">
        <f>C43/$C$6*100</f>
        <v>28.680844071972572</v>
      </c>
      <c r="I43" s="60">
        <f>D43/$D$6*100</f>
        <v>15.276901245889999</v>
      </c>
      <c r="J43" s="60">
        <f t="shared" si="5"/>
        <v>11.634476173131178</v>
      </c>
      <c r="K43" s="60">
        <f t="shared" si="12"/>
        <v>13.315083416106994</v>
      </c>
      <c r="L43" s="32">
        <f t="shared" si="6"/>
        <v>15.792264793646563</v>
      </c>
      <c r="M43" s="5">
        <f t="shared" si="20"/>
        <v>13.53503446034178</v>
      </c>
      <c r="N43" s="5">
        <f t="shared" si="20"/>
        <v>-49.344197299854656</v>
      </c>
      <c r="O43" s="5">
        <f t="shared" si="20"/>
        <v>-14.54678776231137</v>
      </c>
      <c r="P43" s="5">
        <f t="shared" si="20"/>
        <v>27.092330295622187</v>
      </c>
      <c r="Q43" s="5">
        <f t="shared" si="20"/>
        <v>48.819726725669859</v>
      </c>
      <c r="R43" s="14"/>
      <c r="S43" s="14"/>
      <c r="T43" s="14"/>
    </row>
    <row r="44" spans="1:20" s="25" customFormat="1" ht="19.5" customHeight="1" x14ac:dyDescent="0.25">
      <c r="A44" s="30" t="s">
        <v>49</v>
      </c>
      <c r="B44" s="1"/>
      <c r="C44" s="1"/>
      <c r="D44" s="1"/>
      <c r="E44" s="4"/>
      <c r="F44" s="4"/>
      <c r="G44" s="37"/>
      <c r="H44" s="31"/>
      <c r="I44" s="60"/>
      <c r="J44" s="60"/>
      <c r="K44" s="3"/>
      <c r="L44" s="6"/>
      <c r="M44" s="3"/>
      <c r="N44" s="3"/>
      <c r="O44" s="5"/>
      <c r="P44" s="5"/>
      <c r="Q44" s="5"/>
      <c r="R44" s="14"/>
      <c r="S44" s="14"/>
      <c r="T44" s="14"/>
    </row>
    <row r="45" spans="1:20" s="25" customFormat="1" ht="16.5" customHeight="1" x14ac:dyDescent="0.25">
      <c r="A45" s="26" t="s">
        <v>50</v>
      </c>
      <c r="B45" s="40">
        <f t="shared" ref="B45:G45" si="21">SUM(B46:B56)</f>
        <v>1189263.5340300004</v>
      </c>
      <c r="C45" s="33">
        <f t="shared" si="21"/>
        <v>1487217.2647800001</v>
      </c>
      <c r="D45" s="33">
        <f t="shared" si="21"/>
        <v>1536770.7530100001</v>
      </c>
      <c r="E45" s="33">
        <f t="shared" si="21"/>
        <v>1853999.7230299993</v>
      </c>
      <c r="F45" s="33">
        <f t="shared" si="21"/>
        <v>1915072.1585099993</v>
      </c>
      <c r="G45" s="34">
        <f t="shared" si="21"/>
        <v>2207909.9094800004</v>
      </c>
      <c r="H45" s="35">
        <f t="shared" ref="H45:H56" si="22">C45/$C$6*100</f>
        <v>4.8523799920917039</v>
      </c>
      <c r="I45" s="3">
        <f t="shared" ref="I45:I56" si="23">D45/$D$6*100</f>
        <v>5.2723424732060904</v>
      </c>
      <c r="J45" s="3">
        <f t="shared" si="5"/>
        <v>5.6687507461560278</v>
      </c>
      <c r="K45" s="3">
        <f t="shared" si="12"/>
        <v>5.2727909521550842</v>
      </c>
      <c r="L45" s="6">
        <f t="shared" si="6"/>
        <v>4.8448103652437871</v>
      </c>
      <c r="M45" s="3">
        <f t="shared" ref="M45:Q56" si="24">((C45-B45)/B45)*100</f>
        <v>25.05363380144501</v>
      </c>
      <c r="N45" s="3">
        <f t="shared" si="24"/>
        <v>3.3319602591710318</v>
      </c>
      <c r="O45" s="3">
        <f t="shared" si="24"/>
        <v>20.642569452773476</v>
      </c>
      <c r="P45" s="3">
        <f t="shared" si="24"/>
        <v>3.2940908631954411</v>
      </c>
      <c r="Q45" s="3">
        <f t="shared" si="24"/>
        <v>15.291212379059402</v>
      </c>
      <c r="R45" s="14"/>
      <c r="S45" s="14"/>
      <c r="T45" s="14"/>
    </row>
    <row r="46" spans="1:20" s="25" customFormat="1" ht="19.5" customHeight="1" x14ac:dyDescent="0.25">
      <c r="A46" s="36" t="s">
        <v>51</v>
      </c>
      <c r="B46" s="4">
        <v>15916.822659999998</v>
      </c>
      <c r="C46" s="4">
        <v>16299.150240000001</v>
      </c>
      <c r="D46" s="4">
        <v>16672.688320000001</v>
      </c>
      <c r="E46" s="4">
        <v>37654.014520000012</v>
      </c>
      <c r="F46" s="4">
        <v>33642.50612999998</v>
      </c>
      <c r="G46" s="37">
        <v>27510.400490000011</v>
      </c>
      <c r="H46" s="31">
        <f t="shared" si="22"/>
        <v>5.3179634466099489E-2</v>
      </c>
      <c r="I46" s="60">
        <f t="shared" si="23"/>
        <v>5.7200543802573972E-2</v>
      </c>
      <c r="J46" s="60">
        <f t="shared" si="5"/>
        <v>0.11513012664164575</v>
      </c>
      <c r="K46" s="60">
        <f t="shared" si="12"/>
        <v>9.262831227628629E-2</v>
      </c>
      <c r="L46" s="32">
        <f t="shared" si="6"/>
        <v>6.0365992685521355E-2</v>
      </c>
      <c r="M46" s="5">
        <f t="shared" si="24"/>
        <v>2.4020345527931068</v>
      </c>
      <c r="N46" s="5">
        <f t="shared" si="24"/>
        <v>2.291764138005763</v>
      </c>
      <c r="O46" s="5">
        <f t="shared" si="24"/>
        <v>125.8424904088893</v>
      </c>
      <c r="P46" s="5">
        <f t="shared" si="24"/>
        <v>-10.653600794330471</v>
      </c>
      <c r="Q46" s="5">
        <f t="shared" si="24"/>
        <v>-18.227255770734025</v>
      </c>
      <c r="R46" s="14"/>
      <c r="S46" s="14"/>
      <c r="T46" s="14"/>
    </row>
    <row r="47" spans="1:20" s="25" customFormat="1" ht="19.5" customHeight="1" x14ac:dyDescent="0.25">
      <c r="A47" s="36" t="s">
        <v>52</v>
      </c>
      <c r="B47" s="4">
        <v>7594.373810000001</v>
      </c>
      <c r="C47" s="4">
        <v>13763.645189999999</v>
      </c>
      <c r="D47" s="4">
        <v>17069.611230000002</v>
      </c>
      <c r="E47" s="4">
        <v>114094.46549999998</v>
      </c>
      <c r="F47" s="4">
        <v>29515.595189999956</v>
      </c>
      <c r="G47" s="37">
        <v>19092.929239999987</v>
      </c>
      <c r="H47" s="31">
        <f t="shared" si="22"/>
        <v>4.4906980385333785E-2</v>
      </c>
      <c r="I47" s="60">
        <f t="shared" si="23"/>
        <v>5.8562304177621885E-2</v>
      </c>
      <c r="J47" s="60">
        <f t="shared" si="5"/>
        <v>0.34885284954540019</v>
      </c>
      <c r="K47" s="60">
        <f t="shared" si="12"/>
        <v>8.1265639299142531E-2</v>
      </c>
      <c r="L47" s="32">
        <f t="shared" si="6"/>
        <v>4.1895559727164682E-2</v>
      </c>
      <c r="M47" s="5">
        <f t="shared" si="24"/>
        <v>81.23476055229888</v>
      </c>
      <c r="N47" s="5">
        <f t="shared" si="24"/>
        <v>24.019552919033092</v>
      </c>
      <c r="O47" s="5">
        <f t="shared" si="24"/>
        <v>568.4069365298601</v>
      </c>
      <c r="P47" s="5">
        <f t="shared" si="24"/>
        <v>-74.130563598634893</v>
      </c>
      <c r="Q47" s="5">
        <f t="shared" si="24"/>
        <v>-35.312403097096364</v>
      </c>
      <c r="R47" s="14"/>
      <c r="S47" s="14"/>
      <c r="T47" s="14"/>
    </row>
    <row r="48" spans="1:20" s="25" customFormat="1" ht="19.5" customHeight="1" x14ac:dyDescent="0.25">
      <c r="A48" s="36" t="s">
        <v>53</v>
      </c>
      <c r="B48" s="4">
        <v>185673.36588000003</v>
      </c>
      <c r="C48" s="4">
        <v>259484.1176</v>
      </c>
      <c r="D48" s="4">
        <v>311593.90243999998</v>
      </c>
      <c r="E48" s="4">
        <v>311557.30252000003</v>
      </c>
      <c r="F48" s="4">
        <v>403597.56512999994</v>
      </c>
      <c r="G48" s="37">
        <v>490620.20334000047</v>
      </c>
      <c r="H48" s="31">
        <f t="shared" si="22"/>
        <v>0.84662515042418385</v>
      </c>
      <c r="I48" s="60">
        <f t="shared" si="23"/>
        <v>1.0690142059306593</v>
      </c>
      <c r="J48" s="60">
        <f t="shared" si="5"/>
        <v>0.95261108682594531</v>
      </c>
      <c r="K48" s="60">
        <f t="shared" si="12"/>
        <v>1.1112299765169265</v>
      </c>
      <c r="L48" s="32">
        <f t="shared" si="6"/>
        <v>1.0765665013476311</v>
      </c>
      <c r="M48" s="5">
        <f t="shared" si="24"/>
        <v>39.753010007748543</v>
      </c>
      <c r="N48" s="5">
        <f t="shared" si="24"/>
        <v>20.082071042331872</v>
      </c>
      <c r="O48" s="5">
        <f t="shared" si="24"/>
        <v>-1.1746032163449429E-2</v>
      </c>
      <c r="P48" s="5">
        <f t="shared" si="24"/>
        <v>29.542001380016288</v>
      </c>
      <c r="Q48" s="5">
        <f t="shared" si="24"/>
        <v>21.561735185882572</v>
      </c>
      <c r="R48" s="14"/>
      <c r="S48" s="14"/>
      <c r="T48" s="14"/>
    </row>
    <row r="49" spans="1:20" s="25" customFormat="1" ht="19.5" customHeight="1" x14ac:dyDescent="0.25">
      <c r="A49" s="36" t="s">
        <v>54</v>
      </c>
      <c r="B49" s="4">
        <v>19544.353959999997</v>
      </c>
      <c r="C49" s="4">
        <v>21080.435920000004</v>
      </c>
      <c r="D49" s="4">
        <v>22372.569359999998</v>
      </c>
      <c r="E49" s="4">
        <v>26171.275680000006</v>
      </c>
      <c r="F49" s="4">
        <v>31379.457379999993</v>
      </c>
      <c r="G49" s="37">
        <v>34662.660430000033</v>
      </c>
      <c r="H49" s="31">
        <f t="shared" si="22"/>
        <v>6.8779651706040959E-2</v>
      </c>
      <c r="I49" s="60">
        <f t="shared" si="23"/>
        <v>7.6755656261965316E-2</v>
      </c>
      <c r="J49" s="60">
        <f t="shared" si="5"/>
        <v>8.0020744715318684E-2</v>
      </c>
      <c r="K49" s="60">
        <f t="shared" si="12"/>
        <v>8.6397433235900767E-2</v>
      </c>
      <c r="L49" s="32">
        <f t="shared" si="6"/>
        <v>7.6060176104622443E-2</v>
      </c>
      <c r="M49" s="5">
        <f t="shared" si="24"/>
        <v>7.8594665402795805</v>
      </c>
      <c r="N49" s="5">
        <f t="shared" si="24"/>
        <v>6.1295385204728436</v>
      </c>
      <c r="O49" s="5">
        <f t="shared" si="24"/>
        <v>16.979302908282541</v>
      </c>
      <c r="P49" s="5">
        <f t="shared" si="24"/>
        <v>19.900373843755961</v>
      </c>
      <c r="Q49" s="5">
        <f t="shared" si="24"/>
        <v>10.462905748308517</v>
      </c>
      <c r="R49" s="14"/>
      <c r="S49" s="14"/>
      <c r="T49" s="14"/>
    </row>
    <row r="50" spans="1:20" s="25" customFormat="1" ht="19.5" customHeight="1" x14ac:dyDescent="0.25">
      <c r="A50" s="36" t="s">
        <v>55</v>
      </c>
      <c r="B50" s="4">
        <v>177428.71477999983</v>
      </c>
      <c r="C50" s="4">
        <v>223281.14489</v>
      </c>
      <c r="D50" s="4">
        <v>254064.58553000001</v>
      </c>
      <c r="E50" s="4">
        <v>395575.89450999966</v>
      </c>
      <c r="F50" s="4">
        <v>375282.90543000016</v>
      </c>
      <c r="G50" s="37">
        <v>475796.57062000042</v>
      </c>
      <c r="H50" s="31">
        <f t="shared" si="22"/>
        <v>0.72850482961266316</v>
      </c>
      <c r="I50" s="60">
        <f t="shared" si="23"/>
        <v>0.87164302327050069</v>
      </c>
      <c r="J50" s="60">
        <f t="shared" si="5"/>
        <v>1.2095045750600764</v>
      </c>
      <c r="K50" s="60">
        <f t="shared" si="12"/>
        <v>1.0332708871864917</v>
      </c>
      <c r="L50" s="32">
        <f t="shared" si="6"/>
        <v>1.0440390466973926</v>
      </c>
      <c r="M50" s="5">
        <f t="shared" si="24"/>
        <v>25.84273361099088</v>
      </c>
      <c r="N50" s="5">
        <f t="shared" si="24"/>
        <v>13.786851843296285</v>
      </c>
      <c r="O50" s="5">
        <f t="shared" si="24"/>
        <v>55.698950991062055</v>
      </c>
      <c r="P50" s="5">
        <f t="shared" si="24"/>
        <v>-5.1299862710634718</v>
      </c>
      <c r="Q50" s="5">
        <f t="shared" si="24"/>
        <v>26.783438237036517</v>
      </c>
      <c r="R50" s="14"/>
      <c r="S50" s="14"/>
      <c r="T50" s="14"/>
    </row>
    <row r="51" spans="1:20" s="25" customFormat="1" ht="19.5" customHeight="1" x14ac:dyDescent="0.25">
      <c r="A51" s="36" t="s">
        <v>56</v>
      </c>
      <c r="B51" s="4">
        <v>388848.08592000022</v>
      </c>
      <c r="C51" s="4">
        <v>471770.21500000003</v>
      </c>
      <c r="D51" s="4">
        <v>419178.79554000002</v>
      </c>
      <c r="E51" s="4">
        <v>410226.86712999979</v>
      </c>
      <c r="F51" s="4">
        <v>429145.18425999978</v>
      </c>
      <c r="G51" s="37">
        <v>445670.27586999949</v>
      </c>
      <c r="H51" s="31">
        <f t="shared" si="22"/>
        <v>1.5392561707985808</v>
      </c>
      <c r="I51" s="60">
        <f t="shared" si="23"/>
        <v>1.4381157132670472</v>
      </c>
      <c r="J51" s="60">
        <f t="shared" si="5"/>
        <v>1.2543010822762717</v>
      </c>
      <c r="K51" s="60">
        <f t="shared" si="12"/>
        <v>1.1815705401344219</v>
      </c>
      <c r="L51" s="32">
        <f t="shared" si="6"/>
        <v>0.97793300475949063</v>
      </c>
      <c r="M51" s="5">
        <f t="shared" si="24"/>
        <v>21.325070659357653</v>
      </c>
      <c r="N51" s="5">
        <f t="shared" si="24"/>
        <v>-11.147676938443434</v>
      </c>
      <c r="O51" s="5">
        <f t="shared" si="24"/>
        <v>-2.1355871301810616</v>
      </c>
      <c r="P51" s="5">
        <f t="shared" si="24"/>
        <v>4.6116718932514029</v>
      </c>
      <c r="Q51" s="5">
        <f t="shared" si="24"/>
        <v>3.8506995338873242</v>
      </c>
      <c r="R51" s="14"/>
      <c r="S51" s="14"/>
      <c r="T51" s="14"/>
    </row>
    <row r="52" spans="1:20" s="25" customFormat="1" ht="19.5" customHeight="1" x14ac:dyDescent="0.25">
      <c r="A52" s="36" t="s">
        <v>57</v>
      </c>
      <c r="B52" s="4">
        <v>220608.15775000025</v>
      </c>
      <c r="C52" s="4">
        <v>248389.17712000001</v>
      </c>
      <c r="D52" s="4">
        <v>226375.67588</v>
      </c>
      <c r="E52" s="4">
        <v>253480.21352999992</v>
      </c>
      <c r="F52" s="4">
        <v>282219.70577999967</v>
      </c>
      <c r="G52" s="37">
        <v>303202.18161999981</v>
      </c>
      <c r="H52" s="31">
        <f t="shared" si="22"/>
        <v>0.81042541789447564</v>
      </c>
      <c r="I52" s="60">
        <f t="shared" si="23"/>
        <v>0.77664810350219671</v>
      </c>
      <c r="J52" s="60">
        <f t="shared" si="5"/>
        <v>0.77503579517024856</v>
      </c>
      <c r="K52" s="60">
        <f t="shared" si="12"/>
        <v>0.77703887268375338</v>
      </c>
      <c r="L52" s="32">
        <f t="shared" si="6"/>
        <v>0.66531567523199731</v>
      </c>
      <c r="M52" s="5">
        <f t="shared" si="24"/>
        <v>12.59292478271907</v>
      </c>
      <c r="N52" s="5">
        <f t="shared" si="24"/>
        <v>-8.8625041941199427</v>
      </c>
      <c r="O52" s="5">
        <f t="shared" si="24"/>
        <v>11.973255317575655</v>
      </c>
      <c r="P52" s="5">
        <f t="shared" si="24"/>
        <v>11.337962774202243</v>
      </c>
      <c r="Q52" s="5">
        <f t="shared" si="24"/>
        <v>7.4348018264737092</v>
      </c>
      <c r="R52" s="14"/>
      <c r="S52" s="14"/>
      <c r="T52" s="14"/>
    </row>
    <row r="53" spans="1:20" s="25" customFormat="1" ht="19.5" customHeight="1" x14ac:dyDescent="0.25">
      <c r="A53" s="36" t="s">
        <v>58</v>
      </c>
      <c r="B53" s="4">
        <v>38543.577389999984</v>
      </c>
      <c r="C53" s="4">
        <v>40018.76485</v>
      </c>
      <c r="D53" s="4">
        <v>50393.118889999998</v>
      </c>
      <c r="E53" s="4">
        <v>53934.969939999981</v>
      </c>
      <c r="F53" s="4">
        <v>51978.41562</v>
      </c>
      <c r="G53" s="37">
        <v>66255.342839999968</v>
      </c>
      <c r="H53" s="31">
        <f t="shared" si="22"/>
        <v>0.13057019876318354</v>
      </c>
      <c r="I53" s="60">
        <f t="shared" si="23"/>
        <v>0.172888363837402</v>
      </c>
      <c r="J53" s="60">
        <f t="shared" si="5"/>
        <v>0.16491043514914838</v>
      </c>
      <c r="K53" s="60">
        <f t="shared" si="12"/>
        <v>0.14311278996491217</v>
      </c>
      <c r="L53" s="32">
        <f t="shared" si="6"/>
        <v>0.14538390826807432</v>
      </c>
      <c r="M53" s="5">
        <f t="shared" si="24"/>
        <v>3.8273236681521641</v>
      </c>
      <c r="N53" s="5">
        <f t="shared" si="24"/>
        <v>25.923723730318976</v>
      </c>
      <c r="O53" s="5">
        <f t="shared" si="24"/>
        <v>7.0284418349482776</v>
      </c>
      <c r="P53" s="5">
        <f t="shared" si="24"/>
        <v>-3.627617336537968</v>
      </c>
      <c r="Q53" s="5">
        <f t="shared" si="24"/>
        <v>27.467030400415982</v>
      </c>
      <c r="R53" s="14"/>
      <c r="S53" s="14"/>
      <c r="T53" s="14"/>
    </row>
    <row r="54" spans="1:20" s="25" customFormat="1" ht="19.5" customHeight="1" x14ac:dyDescent="0.25">
      <c r="A54" s="36" t="s">
        <v>59</v>
      </c>
      <c r="B54" s="4">
        <v>4321.9939900000008</v>
      </c>
      <c r="C54" s="4">
        <v>6195.6500800000003</v>
      </c>
      <c r="D54" s="4">
        <v>12489.639140000001</v>
      </c>
      <c r="E54" s="4">
        <v>7193.6188499999989</v>
      </c>
      <c r="F54" s="4">
        <v>10622.204799999998</v>
      </c>
      <c r="G54" s="37">
        <v>15706.00628</v>
      </c>
      <c r="H54" s="31">
        <f t="shared" si="22"/>
        <v>2.0214698415729194E-2</v>
      </c>
      <c r="I54" s="60">
        <f t="shared" si="23"/>
        <v>4.2849367600120307E-2</v>
      </c>
      <c r="J54" s="60">
        <f t="shared" si="5"/>
        <v>2.1995058422584091E-2</v>
      </c>
      <c r="K54" s="60">
        <f t="shared" si="12"/>
        <v>2.9246242817792943E-2</v>
      </c>
      <c r="L54" s="32">
        <f t="shared" si="6"/>
        <v>3.4463644415568158E-2</v>
      </c>
      <c r="M54" s="5">
        <f t="shared" si="24"/>
        <v>43.351658848558444</v>
      </c>
      <c r="N54" s="5">
        <f t="shared" si="24"/>
        <v>101.58722617853202</v>
      </c>
      <c r="O54" s="5">
        <f t="shared" si="24"/>
        <v>-42.4033090999297</v>
      </c>
      <c r="P54" s="5">
        <f t="shared" si="24"/>
        <v>47.661490294276568</v>
      </c>
      <c r="Q54" s="5">
        <f t="shared" si="24"/>
        <v>47.860134272688875</v>
      </c>
      <c r="R54" s="14"/>
      <c r="S54" s="14"/>
      <c r="T54" s="14"/>
    </row>
    <row r="55" spans="1:20" s="25" customFormat="1" ht="19.5" customHeight="1" x14ac:dyDescent="0.25">
      <c r="A55" s="36" t="s">
        <v>60</v>
      </c>
      <c r="B55" s="4">
        <v>4449.4799799999992</v>
      </c>
      <c r="C55" s="4">
        <v>6159.7465199999997</v>
      </c>
      <c r="D55" s="4">
        <v>6274.4639200000001</v>
      </c>
      <c r="E55" s="4">
        <v>6400.3510299999998</v>
      </c>
      <c r="F55" s="4">
        <v>4784.5159099999983</v>
      </c>
      <c r="G55" s="37">
        <v>5307.8126200000006</v>
      </c>
      <c r="H55" s="31">
        <f t="shared" si="22"/>
        <v>2.009755499605901E-2</v>
      </c>
      <c r="I55" s="60">
        <f t="shared" si="23"/>
        <v>2.1526387431060067E-2</v>
      </c>
      <c r="J55" s="60">
        <f t="shared" si="5"/>
        <v>1.9569579340431176E-2</v>
      </c>
      <c r="K55" s="60">
        <f t="shared" si="12"/>
        <v>1.3173264562687921E-2</v>
      </c>
      <c r="L55" s="32">
        <f t="shared" si="6"/>
        <v>1.1646917968769922E-2</v>
      </c>
      <c r="M55" s="5">
        <f t="shared" si="24"/>
        <v>38.437447694730402</v>
      </c>
      <c r="N55" s="5">
        <f t="shared" si="24"/>
        <v>1.8623720899476308</v>
      </c>
      <c r="O55" s="5">
        <f t="shared" si="24"/>
        <v>2.0063404874913946</v>
      </c>
      <c r="P55" s="5">
        <f t="shared" si="24"/>
        <v>-25.246039044205386</v>
      </c>
      <c r="Q55" s="5">
        <f t="shared" si="24"/>
        <v>10.937296893637093</v>
      </c>
      <c r="R55" s="14"/>
      <c r="S55" s="14"/>
      <c r="T55" s="14"/>
    </row>
    <row r="56" spans="1:20" s="25" customFormat="1" ht="19.5" customHeight="1" x14ac:dyDescent="0.25">
      <c r="A56" s="36" t="s">
        <v>61</v>
      </c>
      <c r="B56" s="4">
        <v>126334.60790999992</v>
      </c>
      <c r="C56" s="4">
        <v>180775.21737</v>
      </c>
      <c r="D56" s="4">
        <v>200285.70275999999</v>
      </c>
      <c r="E56" s="4">
        <v>237710.74981999979</v>
      </c>
      <c r="F56" s="4">
        <v>262904.10287999973</v>
      </c>
      <c r="G56" s="37">
        <v>324085.52612999978</v>
      </c>
      <c r="H56" s="31">
        <f t="shared" si="22"/>
        <v>0.58981970462935485</v>
      </c>
      <c r="I56" s="60">
        <f t="shared" si="23"/>
        <v>0.6871388041249421</v>
      </c>
      <c r="J56" s="60">
        <f t="shared" si="5"/>
        <v>0.72681941300895681</v>
      </c>
      <c r="K56" s="60">
        <f t="shared" si="12"/>
        <v>0.72385699347676769</v>
      </c>
      <c r="L56" s="32">
        <f t="shared" si="6"/>
        <v>0.71113993803755415</v>
      </c>
      <c r="M56" s="5">
        <f t="shared" si="24"/>
        <v>43.092395948055085</v>
      </c>
      <c r="N56" s="5">
        <f t="shared" si="24"/>
        <v>10.792677046028428</v>
      </c>
      <c r="O56" s="5">
        <f t="shared" si="24"/>
        <v>18.685830563175948</v>
      </c>
      <c r="P56" s="5">
        <f t="shared" si="24"/>
        <v>10.598322995100954</v>
      </c>
      <c r="Q56" s="5">
        <f t="shared" si="24"/>
        <v>23.271383968444866</v>
      </c>
      <c r="R56" s="14"/>
      <c r="S56" s="14"/>
      <c r="T56" s="14"/>
    </row>
    <row r="57" spans="1:20" s="25" customFormat="1" ht="19.5" customHeight="1" x14ac:dyDescent="0.25">
      <c r="A57" s="30" t="s">
        <v>62</v>
      </c>
      <c r="B57" s="1"/>
      <c r="C57" s="1"/>
      <c r="D57" s="1"/>
      <c r="E57" s="4"/>
      <c r="F57" s="4"/>
      <c r="G57" s="37"/>
      <c r="H57" s="31"/>
      <c r="I57" s="60"/>
      <c r="J57" s="60"/>
      <c r="K57" s="3"/>
      <c r="L57" s="6"/>
      <c r="M57" s="3"/>
      <c r="N57" s="3"/>
      <c r="O57" s="5"/>
      <c r="P57" s="5"/>
      <c r="Q57" s="5"/>
      <c r="R57" s="14"/>
      <c r="S57" s="14"/>
      <c r="T57" s="14"/>
    </row>
    <row r="58" spans="1:20" s="25" customFormat="1" ht="19.5" customHeight="1" x14ac:dyDescent="0.25">
      <c r="A58" s="41" t="s">
        <v>63</v>
      </c>
      <c r="B58" s="40">
        <f t="shared" ref="B58:G58" si="25">SUM(B59:B60)</f>
        <v>662339.02911999857</v>
      </c>
      <c r="C58" s="33">
        <f t="shared" si="25"/>
        <v>903678.81544999988</v>
      </c>
      <c r="D58" s="33">
        <f t="shared" si="25"/>
        <v>995929.29975000001</v>
      </c>
      <c r="E58" s="33">
        <f t="shared" si="25"/>
        <v>1160778.6281799979</v>
      </c>
      <c r="F58" s="33">
        <f t="shared" si="25"/>
        <v>1366985.4138200032</v>
      </c>
      <c r="G58" s="34">
        <f t="shared" si="25"/>
        <v>1681104.4467199969</v>
      </c>
      <c r="H58" s="35">
        <f>C58/$C$6*100</f>
        <v>2.9484548809453011</v>
      </c>
      <c r="I58" s="3">
        <f>D58/$D$6*100</f>
        <v>3.41682735508707</v>
      </c>
      <c r="J58" s="3">
        <f t="shared" si="5"/>
        <v>3.5491724366945117</v>
      </c>
      <c r="K58" s="3">
        <f t="shared" si="12"/>
        <v>3.763737198981608</v>
      </c>
      <c r="L58" s="6">
        <f t="shared" si="6"/>
        <v>3.6888426532061986</v>
      </c>
      <c r="M58" s="3">
        <f t="shared" ref="M58:Q60" si="26">((C58-B58)/B58)*100</f>
        <v>36.437500391702997</v>
      </c>
      <c r="N58" s="3">
        <f t="shared" si="26"/>
        <v>10.208326534031084</v>
      </c>
      <c r="O58" s="3">
        <f t="shared" si="26"/>
        <v>16.552312345000662</v>
      </c>
      <c r="P58" s="3">
        <f t="shared" si="26"/>
        <v>17.764522936067486</v>
      </c>
      <c r="Q58" s="3">
        <f t="shared" si="26"/>
        <v>22.978960106252831</v>
      </c>
      <c r="R58" s="14"/>
      <c r="S58" s="14"/>
      <c r="T58" s="14"/>
    </row>
    <row r="59" spans="1:20" s="25" customFormat="1" ht="25.5" customHeight="1" x14ac:dyDescent="0.25">
      <c r="A59" s="36" t="s">
        <v>64</v>
      </c>
      <c r="B59" s="4">
        <v>548669.94985999865</v>
      </c>
      <c r="C59" s="4">
        <v>765060.59614999988</v>
      </c>
      <c r="D59" s="4">
        <v>868954.19128000003</v>
      </c>
      <c r="E59" s="4">
        <v>1007629.3635499978</v>
      </c>
      <c r="F59" s="4">
        <v>1169981.9072400031</v>
      </c>
      <c r="G59" s="37">
        <v>1484829.5120699964</v>
      </c>
      <c r="H59" s="31">
        <f>C59/$C$6*100</f>
        <v>2.4961818406843004</v>
      </c>
      <c r="I59" s="60">
        <f>D59/$D$6*100</f>
        <v>2.9812020309356972</v>
      </c>
      <c r="J59" s="60">
        <f t="shared" si="5"/>
        <v>3.0809064508044415</v>
      </c>
      <c r="K59" s="60">
        <f t="shared" si="12"/>
        <v>3.2213251011283117</v>
      </c>
      <c r="L59" s="32">
        <f t="shared" si="6"/>
        <v>3.258157128517456</v>
      </c>
      <c r="M59" s="5">
        <f t="shared" si="26"/>
        <v>39.439128449665695</v>
      </c>
      <c r="N59" s="5">
        <f t="shared" si="26"/>
        <v>13.579786444736788</v>
      </c>
      <c r="O59" s="5">
        <f t="shared" si="26"/>
        <v>15.958858782385798</v>
      </c>
      <c r="P59" s="5">
        <f t="shared" si="26"/>
        <v>16.112327564375263</v>
      </c>
      <c r="Q59" s="5">
        <f t="shared" si="26"/>
        <v>26.910467835585717</v>
      </c>
      <c r="R59" s="14"/>
      <c r="S59" s="14"/>
      <c r="T59" s="14"/>
    </row>
    <row r="60" spans="1:20" s="25" customFormat="1" ht="19.5" customHeight="1" x14ac:dyDescent="0.25">
      <c r="A60" s="36" t="s">
        <v>65</v>
      </c>
      <c r="B60" s="4">
        <v>113669.07925999994</v>
      </c>
      <c r="C60" s="4">
        <v>138618.21930000003</v>
      </c>
      <c r="D60" s="4">
        <v>126975.10846999999</v>
      </c>
      <c r="E60" s="4">
        <v>153149.26463000019</v>
      </c>
      <c r="F60" s="4">
        <v>197003.50657999996</v>
      </c>
      <c r="G60" s="37">
        <v>196274.93465000039</v>
      </c>
      <c r="H60" s="31">
        <f>C60/$C$6*100</f>
        <v>0.45227304026100068</v>
      </c>
      <c r="I60" s="60">
        <f>D60/$D$6*100</f>
        <v>0.43562532415137328</v>
      </c>
      <c r="J60" s="60">
        <f t="shared" si="5"/>
        <v>0.46826598589007062</v>
      </c>
      <c r="K60" s="60">
        <f t="shared" si="12"/>
        <v>0.54241209785329592</v>
      </c>
      <c r="L60" s="32">
        <f t="shared" si="6"/>
        <v>0.43068552468874299</v>
      </c>
      <c r="M60" s="5">
        <f t="shared" si="26"/>
        <v>21.948924195060027</v>
      </c>
      <c r="N60" s="5">
        <f t="shared" si="26"/>
        <v>-8.3994087420801478</v>
      </c>
      <c r="O60" s="5">
        <f t="shared" si="26"/>
        <v>20.613611971187478</v>
      </c>
      <c r="P60" s="5">
        <f t="shared" si="26"/>
        <v>28.634967367260355</v>
      </c>
      <c r="Q60" s="5">
        <f t="shared" si="26"/>
        <v>-0.36982688412386588</v>
      </c>
      <c r="R60" s="14"/>
      <c r="S60" s="14"/>
      <c r="T60" s="14"/>
    </row>
    <row r="61" spans="1:20" s="25" customFormat="1" ht="19.5" customHeight="1" x14ac:dyDescent="0.25">
      <c r="A61" s="30" t="s">
        <v>66</v>
      </c>
      <c r="B61" s="1"/>
      <c r="C61" s="1"/>
      <c r="D61" s="1"/>
      <c r="E61" s="4"/>
      <c r="F61" s="4"/>
      <c r="G61" s="37"/>
      <c r="H61" s="31"/>
      <c r="I61" s="60"/>
      <c r="J61" s="60"/>
      <c r="K61" s="3"/>
      <c r="L61" s="6">
        <f t="shared" si="6"/>
        <v>0</v>
      </c>
      <c r="M61" s="3"/>
      <c r="N61" s="3"/>
      <c r="O61" s="5"/>
      <c r="P61" s="5"/>
      <c r="Q61" s="5"/>
      <c r="R61" s="14"/>
      <c r="S61" s="14"/>
      <c r="T61" s="14"/>
    </row>
    <row r="62" spans="1:20" s="25" customFormat="1" ht="19.5" customHeight="1" x14ac:dyDescent="0.25">
      <c r="A62" s="26" t="s">
        <v>67</v>
      </c>
      <c r="B62" s="40">
        <f t="shared" ref="B62:G62" si="27">SUM(B63:B65)</f>
        <v>47826.017059999947</v>
      </c>
      <c r="C62" s="33">
        <f t="shared" si="27"/>
        <v>57626.670429999998</v>
      </c>
      <c r="D62" s="33">
        <f t="shared" si="27"/>
        <v>53386.486340000003</v>
      </c>
      <c r="E62" s="33">
        <f t="shared" si="27"/>
        <v>53811.012350000026</v>
      </c>
      <c r="F62" s="33">
        <f t="shared" si="27"/>
        <v>61743.707270000072</v>
      </c>
      <c r="G62" s="34">
        <f t="shared" si="27"/>
        <v>65750.86480000001</v>
      </c>
      <c r="H62" s="35">
        <f>C62/$C$6*100</f>
        <v>0.18801994115282075</v>
      </c>
      <c r="I62" s="3">
        <f>D62/$D$6*100</f>
        <v>0.18315798818679571</v>
      </c>
      <c r="J62" s="3">
        <f t="shared" si="5"/>
        <v>0.16453142501658186</v>
      </c>
      <c r="K62" s="3">
        <f t="shared" si="12"/>
        <v>0.16999968361456841</v>
      </c>
      <c r="L62" s="6">
        <f t="shared" si="6"/>
        <v>0.14427693355559373</v>
      </c>
      <c r="M62" s="3">
        <f t="shared" ref="M62:Q64" si="28">((C62-B62)/B62)*100</f>
        <v>20.492305177127083</v>
      </c>
      <c r="N62" s="3">
        <f t="shared" si="28"/>
        <v>-7.3580237385927267</v>
      </c>
      <c r="O62" s="3">
        <f t="shared" si="28"/>
        <v>0.79519376363592165</v>
      </c>
      <c r="P62" s="3">
        <f t="shared" si="28"/>
        <v>14.741768596368065</v>
      </c>
      <c r="Q62" s="3">
        <f t="shared" si="28"/>
        <v>6.4899853072912741</v>
      </c>
      <c r="R62" s="14"/>
      <c r="S62" s="14"/>
      <c r="T62" s="14"/>
    </row>
    <row r="63" spans="1:20" s="25" customFormat="1" ht="19.5" customHeight="1" x14ac:dyDescent="0.25">
      <c r="A63" s="36" t="s">
        <v>68</v>
      </c>
      <c r="B63" s="4">
        <v>71.362460000000013</v>
      </c>
      <c r="C63" s="4">
        <v>90.166809999999998</v>
      </c>
      <c r="D63" s="4">
        <v>259.11998</v>
      </c>
      <c r="E63" s="4">
        <v>437.48683</v>
      </c>
      <c r="F63" s="4">
        <v>472.37806999999998</v>
      </c>
      <c r="G63" s="37">
        <v>792.62509</v>
      </c>
      <c r="H63" s="31">
        <f>C63/$C$6*100</f>
        <v>2.941894470674101E-4</v>
      </c>
      <c r="I63" s="60">
        <f>D63/$D$6*100</f>
        <v>8.8898703566193049E-4</v>
      </c>
      <c r="J63" s="60">
        <f t="shared" si="5"/>
        <v>1.3376505741558875E-3</v>
      </c>
      <c r="K63" s="60">
        <f t="shared" si="12"/>
        <v>1.3006041586602051E-3</v>
      </c>
      <c r="L63" s="32">
        <f t="shared" si="6"/>
        <v>1.739254955691875E-3</v>
      </c>
      <c r="M63" s="5">
        <f t="shared" si="28"/>
        <v>26.350478949296285</v>
      </c>
      <c r="N63" s="5">
        <f t="shared" si="28"/>
        <v>187.37844889932339</v>
      </c>
      <c r="O63" s="5">
        <f t="shared" si="28"/>
        <v>68.835622015716424</v>
      </c>
      <c r="P63" s="5">
        <f t="shared" si="28"/>
        <v>7.9753806531730298</v>
      </c>
      <c r="Q63" s="5">
        <f t="shared" si="28"/>
        <v>67.794641694522369</v>
      </c>
      <c r="R63" s="14"/>
      <c r="S63" s="14"/>
      <c r="T63" s="14"/>
    </row>
    <row r="64" spans="1:20" s="25" customFormat="1" ht="19.5" customHeight="1" x14ac:dyDescent="0.25">
      <c r="A64" s="36" t="s">
        <v>69</v>
      </c>
      <c r="B64" s="4">
        <v>47754.654599999951</v>
      </c>
      <c r="C64" s="4">
        <v>57536.503619999996</v>
      </c>
      <c r="D64" s="4">
        <v>53127.36636</v>
      </c>
      <c r="E64" s="4">
        <v>53373.525520000025</v>
      </c>
      <c r="F64" s="4">
        <v>61271.329200000073</v>
      </c>
      <c r="G64" s="37">
        <v>64958.239710000016</v>
      </c>
      <c r="H64" s="31">
        <f>C64/$C$6*100</f>
        <v>0.18772575170575334</v>
      </c>
      <c r="I64" s="60">
        <f>D64/$D$6*100</f>
        <v>0.18226900115113379</v>
      </c>
      <c r="J64" s="60">
        <f t="shared" si="5"/>
        <v>0.16319377444242597</v>
      </c>
      <c r="K64" s="60">
        <f t="shared" si="12"/>
        <v>0.1686990794559082</v>
      </c>
      <c r="L64" s="32">
        <f t="shared" si="6"/>
        <v>0.14253767859990185</v>
      </c>
      <c r="M64" s="5">
        <f t="shared" si="28"/>
        <v>20.483550979342766</v>
      </c>
      <c r="N64" s="5">
        <f t="shared" si="28"/>
        <v>-7.6631998515588569</v>
      </c>
      <c r="O64" s="5">
        <f t="shared" si="28"/>
        <v>0.4633377802543584</v>
      </c>
      <c r="P64" s="5">
        <f t="shared" si="28"/>
        <v>14.797230655188025</v>
      </c>
      <c r="Q64" s="5">
        <f t="shared" si="28"/>
        <v>6.0173502976657129</v>
      </c>
      <c r="R64" s="14"/>
      <c r="S64" s="14"/>
      <c r="T64" s="14"/>
    </row>
    <row r="65" spans="1:20" s="25" customFormat="1" ht="19.5" customHeight="1" x14ac:dyDescent="0.25">
      <c r="A65" s="36" t="s">
        <v>70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37">
        <v>0</v>
      </c>
      <c r="H65" s="31">
        <f>C65/$C$6*100</f>
        <v>0</v>
      </c>
      <c r="I65" s="60">
        <f>D65/$D$6*100</f>
        <v>0</v>
      </c>
      <c r="J65" s="60">
        <f t="shared" si="5"/>
        <v>0</v>
      </c>
      <c r="K65" s="60">
        <f t="shared" si="12"/>
        <v>0</v>
      </c>
      <c r="L65" s="32">
        <f t="shared" si="6"/>
        <v>0</v>
      </c>
      <c r="M65" s="5">
        <v>1</v>
      </c>
      <c r="N65" s="5">
        <v>0</v>
      </c>
      <c r="O65" s="5">
        <v>0</v>
      </c>
      <c r="P65" s="5">
        <v>1</v>
      </c>
      <c r="Q65" s="5">
        <v>2</v>
      </c>
      <c r="R65" s="14"/>
      <c r="S65" s="14"/>
      <c r="T65" s="14"/>
    </row>
    <row r="66" spans="1:20" s="25" customFormat="1" ht="19.5" customHeight="1" x14ac:dyDescent="0.25">
      <c r="A66" s="30" t="s">
        <v>71</v>
      </c>
      <c r="B66" s="1"/>
      <c r="C66" s="1"/>
      <c r="D66" s="1"/>
      <c r="E66" s="4"/>
      <c r="F66" s="4"/>
      <c r="G66" s="37"/>
      <c r="H66" s="31"/>
      <c r="I66" s="60"/>
      <c r="J66" s="60"/>
      <c r="K66" s="3"/>
      <c r="L66" s="6"/>
      <c r="M66" s="3"/>
      <c r="O66" s="5"/>
      <c r="P66" s="5"/>
      <c r="Q66" s="5"/>
      <c r="R66" s="14"/>
      <c r="S66" s="14"/>
      <c r="T66" s="14"/>
    </row>
    <row r="67" spans="1:20" s="25" customFormat="1" ht="19.5" customHeight="1" x14ac:dyDescent="0.25">
      <c r="A67" s="41" t="s">
        <v>72</v>
      </c>
      <c r="B67" s="40">
        <f t="shared" ref="B67:G67" si="29">SUM(B68:B70)</f>
        <v>821659.25729000103</v>
      </c>
      <c r="C67" s="33">
        <f t="shared" si="29"/>
        <v>1014268.9285400001</v>
      </c>
      <c r="D67" s="33">
        <f t="shared" si="29"/>
        <v>1393444.5176699997</v>
      </c>
      <c r="E67" s="33">
        <f t="shared" si="29"/>
        <v>1312707.0845699986</v>
      </c>
      <c r="F67" s="33">
        <f t="shared" si="29"/>
        <v>1751019.8070699989</v>
      </c>
      <c r="G67" s="34">
        <f t="shared" si="29"/>
        <v>2145220.6940100025</v>
      </c>
      <c r="H67" s="35">
        <f>C67/$C$6*100</f>
        <v>3.3092799364293475</v>
      </c>
      <c r="I67" s="3">
        <f>D67/$D$6*100</f>
        <v>4.7806198160513187</v>
      </c>
      <c r="J67" s="3">
        <f t="shared" si="5"/>
        <v>4.0137057048632974</v>
      </c>
      <c r="K67" s="3">
        <f t="shared" si="12"/>
        <v>4.8211036616742833</v>
      </c>
      <c r="L67" s="6">
        <f t="shared" si="6"/>
        <v>4.7072516000088518</v>
      </c>
      <c r="M67" s="3">
        <f t="shared" ref="M67:Q70" si="30">((C67-B67)/B67)*100</f>
        <v>23.44155068431467</v>
      </c>
      <c r="N67" s="3">
        <f t="shared" si="30"/>
        <v>37.3841274696059</v>
      </c>
      <c r="O67" s="3">
        <f t="shared" si="30"/>
        <v>-5.7940902616634853</v>
      </c>
      <c r="P67" s="3">
        <f t="shared" si="30"/>
        <v>33.389986818238114</v>
      </c>
      <c r="Q67" s="3">
        <f t="shared" si="30"/>
        <v>22.512645793517571</v>
      </c>
      <c r="R67" s="14"/>
      <c r="S67" s="14"/>
      <c r="T67" s="14"/>
    </row>
    <row r="68" spans="1:20" s="25" customFormat="1" ht="19.5" customHeight="1" x14ac:dyDescent="0.25">
      <c r="A68" s="36" t="s">
        <v>73</v>
      </c>
      <c r="B68" s="4">
        <v>802815.11661000096</v>
      </c>
      <c r="C68" s="4">
        <v>997495.49270000006</v>
      </c>
      <c r="D68" s="4">
        <v>1366569.9826099998</v>
      </c>
      <c r="E68" s="4">
        <v>1289523.2155799984</v>
      </c>
      <c r="F68" s="4">
        <v>1688429.7073299987</v>
      </c>
      <c r="G68" s="37">
        <v>2003128.3630200026</v>
      </c>
      <c r="H68" s="31">
        <f>C68/$C$6*100</f>
        <v>3.2545528387845462</v>
      </c>
      <c r="I68" s="60">
        <f>D68/$D$6*100</f>
        <v>4.6884188469952779</v>
      </c>
      <c r="J68" s="60">
        <f t="shared" si="5"/>
        <v>3.9428191923124434</v>
      </c>
      <c r="K68" s="60">
        <f t="shared" si="12"/>
        <v>4.6487735956049558</v>
      </c>
      <c r="L68" s="32">
        <f t="shared" si="6"/>
        <v>4.3954588067222211</v>
      </c>
      <c r="M68" s="5">
        <f t="shared" si="30"/>
        <v>24.24971479262426</v>
      </c>
      <c r="N68" s="5">
        <f t="shared" si="30"/>
        <v>37.000116051752435</v>
      </c>
      <c r="O68" s="5">
        <f t="shared" si="30"/>
        <v>-5.6379671740521076</v>
      </c>
      <c r="P68" s="5">
        <f t="shared" si="30"/>
        <v>30.934417227268074</v>
      </c>
      <c r="Q68" s="5">
        <f t="shared" si="30"/>
        <v>18.638540551839327</v>
      </c>
      <c r="R68" s="14"/>
      <c r="S68" s="14"/>
      <c r="T68" s="14"/>
    </row>
    <row r="69" spans="1:20" s="25" customFormat="1" ht="19.5" customHeight="1" x14ac:dyDescent="0.25">
      <c r="A69" s="36" t="s">
        <v>74</v>
      </c>
      <c r="B69" s="4">
        <v>164.90071999999998</v>
      </c>
      <c r="C69" s="4">
        <v>171.54738</v>
      </c>
      <c r="D69" s="4">
        <v>173.55362</v>
      </c>
      <c r="E69" s="4">
        <v>136.72572</v>
      </c>
      <c r="F69" s="4">
        <v>169.59913999999998</v>
      </c>
      <c r="G69" s="37">
        <v>244.55620000000002</v>
      </c>
      <c r="H69" s="31">
        <f>C69/$C$6*100</f>
        <v>5.5971181489134283E-4</v>
      </c>
      <c r="I69" s="60">
        <f>D69/$D$6*100</f>
        <v>5.9542655943473413E-4</v>
      </c>
      <c r="J69" s="60">
        <f t="shared" si="5"/>
        <v>4.1804969959867617E-4</v>
      </c>
      <c r="K69" s="60">
        <f t="shared" si="12"/>
        <v>4.6695932939730742E-4</v>
      </c>
      <c r="L69" s="32">
        <f t="shared" si="6"/>
        <v>5.3662896640727499E-4</v>
      </c>
      <c r="M69" s="5">
        <f t="shared" si="30"/>
        <v>4.0307040502916101</v>
      </c>
      <c r="N69" s="5">
        <f t="shared" si="30"/>
        <v>1.1694961473617325</v>
      </c>
      <c r="O69" s="5">
        <f t="shared" si="30"/>
        <v>-21.21989734354144</v>
      </c>
      <c r="P69" s="5">
        <f t="shared" si="30"/>
        <v>24.043332885721856</v>
      </c>
      <c r="Q69" s="5">
        <f t="shared" si="30"/>
        <v>44.196603827118494</v>
      </c>
      <c r="R69" s="14"/>
      <c r="S69" s="14"/>
      <c r="T69" s="14"/>
    </row>
    <row r="70" spans="1:20" s="25" customFormat="1" ht="19.5" customHeight="1" x14ac:dyDescent="0.25">
      <c r="A70" s="36" t="s">
        <v>75</v>
      </c>
      <c r="B70" s="4">
        <v>18679.239960000003</v>
      </c>
      <c r="C70" s="4">
        <v>16601.888460000002</v>
      </c>
      <c r="D70" s="4">
        <v>26700.98144</v>
      </c>
      <c r="E70" s="4">
        <v>23047.14327</v>
      </c>
      <c r="F70" s="4">
        <v>62420.500600000036</v>
      </c>
      <c r="G70" s="37">
        <v>141847.77479000008</v>
      </c>
      <c r="H70" s="31">
        <f>C70/$C$6*100</f>
        <v>5.4167385829910326E-2</v>
      </c>
      <c r="I70" s="60">
        <f>D70/$D$6*100</f>
        <v>9.1605542496606476E-2</v>
      </c>
      <c r="J70" s="60">
        <f t="shared" si="5"/>
        <v>7.0468462851255437E-2</v>
      </c>
      <c r="K70" s="60">
        <f t="shared" si="12"/>
        <v>0.17186310673992949</v>
      </c>
      <c r="L70" s="32">
        <f t="shared" si="6"/>
        <v>0.3112561643202244</v>
      </c>
      <c r="M70" s="5">
        <f t="shared" si="30"/>
        <v>-11.121177866168386</v>
      </c>
      <c r="N70" s="5">
        <f t="shared" si="30"/>
        <v>60.830989223499429</v>
      </c>
      <c r="O70" s="5">
        <f t="shared" si="30"/>
        <v>-13.684284145923886</v>
      </c>
      <c r="P70" s="5">
        <f t="shared" si="30"/>
        <v>170.83834151910503</v>
      </c>
      <c r="Q70" s="5">
        <f t="shared" si="30"/>
        <v>127.24549375049389</v>
      </c>
      <c r="R70" s="14"/>
      <c r="S70" s="14"/>
      <c r="T70" s="14"/>
    </row>
    <row r="71" spans="1:20" s="25" customFormat="1" ht="19.5" customHeight="1" x14ac:dyDescent="0.25">
      <c r="A71" s="30" t="s">
        <v>76</v>
      </c>
      <c r="B71" s="1"/>
      <c r="C71" s="1"/>
      <c r="D71" s="1"/>
      <c r="E71" s="4"/>
      <c r="F71" s="4"/>
      <c r="G71" s="37"/>
      <c r="H71" s="31"/>
      <c r="I71" s="60"/>
      <c r="J71" s="60"/>
      <c r="K71" s="60">
        <f t="shared" si="12"/>
        <v>0</v>
      </c>
      <c r="L71" s="32">
        <f t="shared" si="6"/>
        <v>0</v>
      </c>
      <c r="M71" s="3"/>
      <c r="N71" s="3"/>
      <c r="O71" s="5"/>
      <c r="P71" s="5"/>
      <c r="Q71" s="5"/>
      <c r="R71" s="14"/>
      <c r="S71" s="14"/>
      <c r="T71" s="14"/>
    </row>
    <row r="72" spans="1:20" s="25" customFormat="1" ht="19.5" customHeight="1" x14ac:dyDescent="0.25">
      <c r="A72" s="41" t="s">
        <v>77</v>
      </c>
      <c r="B72" s="40">
        <f t="shared" ref="B72:G72" si="31">SUM(B73:B75)</f>
        <v>362537.66139999998</v>
      </c>
      <c r="C72" s="33">
        <f t="shared" si="31"/>
        <v>367690.94305</v>
      </c>
      <c r="D72" s="33">
        <f t="shared" si="31"/>
        <v>370744.87017000001</v>
      </c>
      <c r="E72" s="33">
        <f t="shared" si="31"/>
        <v>431307.89349000045</v>
      </c>
      <c r="F72" s="33">
        <f t="shared" si="31"/>
        <v>462322.00358000008</v>
      </c>
      <c r="G72" s="34">
        <f t="shared" si="31"/>
        <v>480319.25514000031</v>
      </c>
      <c r="H72" s="35">
        <f>C72/$C$6*100</f>
        <v>1.1996741952784409</v>
      </c>
      <c r="I72" s="3">
        <f>D72/$D$6*100</f>
        <v>1.271948937010938</v>
      </c>
      <c r="J72" s="3">
        <f t="shared" si="5"/>
        <v>1.3187579872172734</v>
      </c>
      <c r="K72" s="60">
        <f t="shared" si="12"/>
        <v>1.2729166713777937</v>
      </c>
      <c r="L72" s="32">
        <f t="shared" si="6"/>
        <v>1.0539631603340687</v>
      </c>
      <c r="M72" s="3">
        <f t="shared" ref="M72:Q75" si="32">((C72-B72)/B72)*100</f>
        <v>1.4214472587757523</v>
      </c>
      <c r="N72" s="3">
        <f t="shared" si="32"/>
        <v>0.83056903568732265</v>
      </c>
      <c r="O72" s="3">
        <f t="shared" si="32"/>
        <v>16.33549866576174</v>
      </c>
      <c r="P72" s="3">
        <f t="shared" si="32"/>
        <v>7.1907123792805479</v>
      </c>
      <c r="Q72" s="3">
        <f t="shared" si="32"/>
        <v>3.8927958047936597</v>
      </c>
      <c r="R72" s="14"/>
      <c r="S72" s="14"/>
      <c r="T72" s="14"/>
    </row>
    <row r="73" spans="1:20" s="11" customFormat="1" ht="26.25" customHeight="1" x14ac:dyDescent="0.25">
      <c r="A73" s="38" t="s">
        <v>78</v>
      </c>
      <c r="B73" s="4">
        <v>63.627110000000002</v>
      </c>
      <c r="C73" s="4">
        <v>64.016589999999994</v>
      </c>
      <c r="D73" s="4">
        <v>48.185749999999999</v>
      </c>
      <c r="E73" s="4">
        <v>33.417070000000002</v>
      </c>
      <c r="F73" s="4">
        <v>64.190049999999985</v>
      </c>
      <c r="G73" s="37">
        <v>62.705839999999995</v>
      </c>
      <c r="H73" s="31">
        <f>C73/$C$6*100</f>
        <v>2.0886848736515235E-4</v>
      </c>
      <c r="I73" s="60">
        <f>D73/$D$6*100</f>
        <v>1.653153379127571E-4</v>
      </c>
      <c r="J73" s="60">
        <f t="shared" ref="J73:J135" si="33">E73/$E$6*100</f>
        <v>1.0217533376286433E-4</v>
      </c>
      <c r="K73" s="60">
        <f t="shared" si="12"/>
        <v>1.7673522815021131E-4</v>
      </c>
      <c r="L73" s="32">
        <f t="shared" ref="L73:L136" si="34">G73/$G$6*100</f>
        <v>1.3759524439331311E-4</v>
      </c>
      <c r="M73" s="5">
        <f t="shared" si="32"/>
        <v>0.61212901230307615</v>
      </c>
      <c r="N73" s="5">
        <f t="shared" si="32"/>
        <v>-24.729277207673817</v>
      </c>
      <c r="O73" s="5">
        <f t="shared" si="32"/>
        <v>-30.649476245570519</v>
      </c>
      <c r="P73" s="5">
        <f t="shared" si="32"/>
        <v>92.087606723150714</v>
      </c>
      <c r="Q73" s="5">
        <f t="shared" si="32"/>
        <v>-2.3122119393893454</v>
      </c>
      <c r="R73" s="14"/>
      <c r="S73" s="14"/>
      <c r="T73" s="14"/>
    </row>
    <row r="74" spans="1:20" s="11" customFormat="1" ht="31.5" customHeight="1" x14ac:dyDescent="0.25">
      <c r="A74" s="36" t="s">
        <v>79</v>
      </c>
      <c r="B74" s="4">
        <v>233262.83769000001</v>
      </c>
      <c r="C74" s="4">
        <v>246892.78259000002</v>
      </c>
      <c r="D74" s="4">
        <v>227745.31716999999</v>
      </c>
      <c r="E74" s="4">
        <v>245423.28568999964</v>
      </c>
      <c r="F74" s="4">
        <v>269761.29278000037</v>
      </c>
      <c r="G74" s="37">
        <v>308797.33977000049</v>
      </c>
      <c r="H74" s="31">
        <f>C74/$C$6*100</f>
        <v>0.80554309501563148</v>
      </c>
      <c r="I74" s="60">
        <f>D74/$D$6*100</f>
        <v>0.78134705936934856</v>
      </c>
      <c r="J74" s="60">
        <f t="shared" si="33"/>
        <v>0.75040110125018489</v>
      </c>
      <c r="K74" s="60">
        <f t="shared" si="12"/>
        <v>0.74273697598879151</v>
      </c>
      <c r="L74" s="32">
        <f t="shared" si="34"/>
        <v>0.67759311467094874</v>
      </c>
      <c r="M74" s="5">
        <f t="shared" si="32"/>
        <v>5.8431703202178431</v>
      </c>
      <c r="N74" s="5">
        <f t="shared" si="32"/>
        <v>-7.7553767344414704</v>
      </c>
      <c r="O74" s="5">
        <f t="shared" si="32"/>
        <v>7.7621655363407385</v>
      </c>
      <c r="P74" s="5">
        <f t="shared" si="32"/>
        <v>9.9167473133509745</v>
      </c>
      <c r="Q74" s="5">
        <f t="shared" si="32"/>
        <v>14.470588640689588</v>
      </c>
      <c r="R74" s="14"/>
      <c r="S74" s="14"/>
      <c r="T74" s="14"/>
    </row>
    <row r="75" spans="1:20" s="11" customFormat="1" ht="19.5" customHeight="1" x14ac:dyDescent="0.25">
      <c r="A75" s="36" t="s">
        <v>80</v>
      </c>
      <c r="B75" s="4">
        <v>129211.19659999995</v>
      </c>
      <c r="C75" s="4">
        <v>120734.14387</v>
      </c>
      <c r="D75" s="4">
        <v>142951.36725000001</v>
      </c>
      <c r="E75" s="4">
        <v>185851.19073000082</v>
      </c>
      <c r="F75" s="4">
        <v>192496.52074999973</v>
      </c>
      <c r="G75" s="37">
        <v>171459.20952999982</v>
      </c>
      <c r="H75" s="31">
        <f>C75/$C$6*100</f>
        <v>0.39392223177544416</v>
      </c>
      <c r="I75" s="60">
        <f>D75/$D$6*100</f>
        <v>0.49043656230367672</v>
      </c>
      <c r="J75" s="60">
        <f t="shared" si="33"/>
        <v>0.56825471063332567</v>
      </c>
      <c r="K75" s="60">
        <f t="shared" si="12"/>
        <v>0.53000296016085202</v>
      </c>
      <c r="L75" s="32">
        <f t="shared" si="34"/>
        <v>0.37623245041872666</v>
      </c>
      <c r="M75" s="5">
        <f t="shared" si="32"/>
        <v>-6.5606177738934086</v>
      </c>
      <c r="N75" s="5">
        <f t="shared" si="32"/>
        <v>18.401773241480317</v>
      </c>
      <c r="O75" s="5">
        <f t="shared" si="32"/>
        <v>30.010082663270786</v>
      </c>
      <c r="P75" s="5">
        <f t="shared" si="32"/>
        <v>3.575618748471221</v>
      </c>
      <c r="Q75" s="5">
        <f t="shared" si="32"/>
        <v>-10.92867088612039</v>
      </c>
      <c r="R75" s="14"/>
      <c r="S75" s="14"/>
      <c r="T75" s="14"/>
    </row>
    <row r="76" spans="1:20" s="25" customFormat="1" ht="19.5" customHeight="1" x14ac:dyDescent="0.25">
      <c r="A76" s="30" t="s">
        <v>81</v>
      </c>
      <c r="B76" s="1"/>
      <c r="C76" s="1"/>
      <c r="D76" s="1"/>
      <c r="E76" s="4"/>
      <c r="F76" s="4"/>
      <c r="G76" s="37"/>
      <c r="H76" s="31"/>
      <c r="I76" s="60"/>
      <c r="J76" s="60"/>
      <c r="K76" s="3"/>
      <c r="L76" s="6"/>
      <c r="M76" s="3"/>
      <c r="N76" s="3"/>
      <c r="O76" s="5"/>
      <c r="P76" s="5"/>
      <c r="Q76" s="5"/>
      <c r="R76" s="14"/>
      <c r="S76" s="14"/>
      <c r="T76" s="14"/>
    </row>
    <row r="77" spans="1:20" s="25" customFormat="1" ht="19.5" customHeight="1" x14ac:dyDescent="0.25">
      <c r="A77" s="26" t="s">
        <v>82</v>
      </c>
      <c r="B77" s="40">
        <f t="shared" ref="B77:G77" si="35">SUM(B78:B90)</f>
        <v>690583.77870000002</v>
      </c>
      <c r="C77" s="33">
        <f t="shared" si="35"/>
        <v>721937.74872999999</v>
      </c>
      <c r="D77" s="33">
        <f t="shared" si="35"/>
        <v>726293.07285999996</v>
      </c>
      <c r="E77" s="33">
        <f t="shared" si="35"/>
        <v>803431.40315999964</v>
      </c>
      <c r="F77" s="33">
        <f t="shared" si="35"/>
        <v>836940.1044500001</v>
      </c>
      <c r="G77" s="34">
        <f t="shared" si="35"/>
        <v>1026687.9543200012</v>
      </c>
      <c r="H77" s="35">
        <f t="shared" ref="H77:H90" si="36">C77/$C$6*100</f>
        <v>2.3554838761177148</v>
      </c>
      <c r="I77" s="3">
        <f t="shared" ref="I77:I90" si="37">D77/$D$6*100</f>
        <v>2.4917612523110177</v>
      </c>
      <c r="J77" s="3">
        <f t="shared" si="33"/>
        <v>2.4565550412839716</v>
      </c>
      <c r="K77" s="3">
        <f t="shared" si="12"/>
        <v>2.304357144261961</v>
      </c>
      <c r="L77" s="6">
        <f t="shared" si="34"/>
        <v>2.2528584257914614</v>
      </c>
      <c r="M77" s="3">
        <f t="shared" ref="M77:Q90" si="38">((C77-B77)/B77)*100</f>
        <v>4.5402123532386947</v>
      </c>
      <c r="N77" s="3">
        <f t="shared" si="38"/>
        <v>0.60328250429647878</v>
      </c>
      <c r="O77" s="3">
        <f t="shared" si="38"/>
        <v>10.62082693371204</v>
      </c>
      <c r="P77" s="3">
        <f t="shared" si="38"/>
        <v>4.1706984763361756</v>
      </c>
      <c r="Q77" s="3">
        <f t="shared" si="38"/>
        <v>22.671616387016723</v>
      </c>
      <c r="R77" s="14"/>
      <c r="S77" s="14"/>
      <c r="T77" s="14"/>
    </row>
    <row r="78" spans="1:20" s="25" customFormat="1" ht="19.5" customHeight="1" x14ac:dyDescent="0.25">
      <c r="A78" s="36" t="s">
        <v>83</v>
      </c>
      <c r="B78" s="4">
        <v>1686.2309700000001</v>
      </c>
      <c r="C78" s="4">
        <v>2900.3989500000002</v>
      </c>
      <c r="D78" s="4">
        <v>1837.9686000000002</v>
      </c>
      <c r="E78" s="4">
        <v>1386.0233700000001</v>
      </c>
      <c r="F78" s="4">
        <v>2333.1932599999986</v>
      </c>
      <c r="G78" s="37">
        <v>4711.5979899999984</v>
      </c>
      <c r="H78" s="31">
        <f t="shared" si="36"/>
        <v>9.4632022955608262E-3</v>
      </c>
      <c r="I78" s="60">
        <f t="shared" si="37"/>
        <v>6.3056899639838985E-3</v>
      </c>
      <c r="J78" s="60">
        <f t="shared" si="33"/>
        <v>4.2378760445748237E-3</v>
      </c>
      <c r="K78" s="60">
        <f t="shared" si="12"/>
        <v>6.42400875407692E-3</v>
      </c>
      <c r="L78" s="32">
        <f t="shared" si="34"/>
        <v>1.0338645920652569E-2</v>
      </c>
      <c r="M78" s="5">
        <f t="shared" si="38"/>
        <v>72.004844033910729</v>
      </c>
      <c r="N78" s="5">
        <f t="shared" si="38"/>
        <v>-36.630490091716524</v>
      </c>
      <c r="O78" s="5">
        <f t="shared" si="38"/>
        <v>-24.589387979751123</v>
      </c>
      <c r="P78" s="5">
        <f t="shared" si="38"/>
        <v>68.337223635702372</v>
      </c>
      <c r="Q78" s="5">
        <f t="shared" si="38"/>
        <v>101.93775075451748</v>
      </c>
      <c r="R78" s="14"/>
      <c r="S78" s="14"/>
      <c r="T78" s="14"/>
    </row>
    <row r="79" spans="1:20" s="25" customFormat="1" ht="19.5" customHeight="1" x14ac:dyDescent="0.25">
      <c r="A79" s="36" t="s">
        <v>84</v>
      </c>
      <c r="B79" s="4">
        <v>202.26059000000004</v>
      </c>
      <c r="C79" s="4">
        <v>337.22800000000001</v>
      </c>
      <c r="D79" s="4">
        <v>1027.4890699999999</v>
      </c>
      <c r="E79" s="4">
        <v>1366.9774199999995</v>
      </c>
      <c r="F79" s="4">
        <v>1573.2471599999999</v>
      </c>
      <c r="G79" s="37">
        <v>2631.3972900000012</v>
      </c>
      <c r="H79" s="31">
        <f t="shared" si="36"/>
        <v>1.1002820090413377E-3</v>
      </c>
      <c r="I79" s="60">
        <f t="shared" si="37"/>
        <v>3.525102396636236E-3</v>
      </c>
      <c r="J79" s="60">
        <f t="shared" si="33"/>
        <v>4.1796415465149726E-3</v>
      </c>
      <c r="K79" s="60">
        <f t="shared" si="12"/>
        <v>4.3316401180443394E-3</v>
      </c>
      <c r="L79" s="32">
        <f t="shared" si="34"/>
        <v>5.7740675065265368E-3</v>
      </c>
      <c r="M79" s="5">
        <f t="shared" si="38"/>
        <v>66.729465191414675</v>
      </c>
      <c r="N79" s="5">
        <f t="shared" si="38"/>
        <v>204.68676088581014</v>
      </c>
      <c r="O79" s="5">
        <f t="shared" si="38"/>
        <v>33.040580178629021</v>
      </c>
      <c r="P79" s="5">
        <f t="shared" si="38"/>
        <v>15.089476752293427</v>
      </c>
      <c r="Q79" s="5">
        <f t="shared" si="38"/>
        <v>67.258988727492849</v>
      </c>
      <c r="R79" s="14"/>
      <c r="S79" s="14"/>
      <c r="T79" s="14"/>
    </row>
    <row r="80" spans="1:20" s="25" customFormat="1" ht="19.5" customHeight="1" x14ac:dyDescent="0.25">
      <c r="A80" s="36" t="s">
        <v>85</v>
      </c>
      <c r="B80" s="4">
        <v>37810.79639000001</v>
      </c>
      <c r="C80" s="4">
        <v>38862.495780000005</v>
      </c>
      <c r="D80" s="4">
        <v>35077.59663</v>
      </c>
      <c r="E80" s="4">
        <v>34190.684360000036</v>
      </c>
      <c r="F80" s="4">
        <v>33366.156129999988</v>
      </c>
      <c r="G80" s="37">
        <v>34891.330259999981</v>
      </c>
      <c r="H80" s="31">
        <f t="shared" si="36"/>
        <v>0.12679761150669253</v>
      </c>
      <c r="I80" s="60">
        <f t="shared" si="37"/>
        <v>0.12034397596915768</v>
      </c>
      <c r="J80" s="60">
        <f t="shared" si="33"/>
        <v>0.1045407208370976</v>
      </c>
      <c r="K80" s="60">
        <f t="shared" ref="K80:L142" si="39">F80/$F$6*100</f>
        <v>9.1867434534341708E-2</v>
      </c>
      <c r="L80" s="32">
        <f t="shared" si="34"/>
        <v>7.6561945655021904E-2</v>
      </c>
      <c r="M80" s="5">
        <f t="shared" si="38"/>
        <v>2.781479075849727</v>
      </c>
      <c r="N80" s="5">
        <f t="shared" si="38"/>
        <v>-9.7392076191561685</v>
      </c>
      <c r="O80" s="5">
        <f t="shared" si="38"/>
        <v>-2.5284294113851447</v>
      </c>
      <c r="P80" s="5">
        <f t="shared" si="38"/>
        <v>-2.4115581347200807</v>
      </c>
      <c r="Q80" s="5">
        <f t="shared" si="38"/>
        <v>4.5710213788416771</v>
      </c>
      <c r="R80" s="14"/>
      <c r="S80" s="14"/>
      <c r="T80" s="14"/>
    </row>
    <row r="81" spans="1:20" s="25" customFormat="1" ht="19.5" customHeight="1" x14ac:dyDescent="0.25">
      <c r="A81" s="36" t="s">
        <v>86</v>
      </c>
      <c r="B81" s="4">
        <v>3480.3827699999997</v>
      </c>
      <c r="C81" s="4">
        <v>6441.4242300000005</v>
      </c>
      <c r="D81" s="4">
        <v>6865.2870000000003</v>
      </c>
      <c r="E81" s="4">
        <v>6158.5534500000022</v>
      </c>
      <c r="F81" s="4">
        <v>5558.5612100000008</v>
      </c>
      <c r="G81" s="37">
        <v>6931.407729999999</v>
      </c>
      <c r="H81" s="31">
        <f t="shared" si="36"/>
        <v>2.1016591720948292E-2</v>
      </c>
      <c r="I81" s="60">
        <f t="shared" si="37"/>
        <v>2.355337916859359E-2</v>
      </c>
      <c r="J81" s="60">
        <f t="shared" si="33"/>
        <v>1.8830264121007311E-2</v>
      </c>
      <c r="K81" s="60">
        <f t="shared" si="39"/>
        <v>1.5304452693778319E-2</v>
      </c>
      <c r="L81" s="32">
        <f t="shared" si="34"/>
        <v>1.5209568049786903E-2</v>
      </c>
      <c r="M81" s="5">
        <f t="shared" si="38"/>
        <v>85.078040424846748</v>
      </c>
      <c r="N81" s="5">
        <f t="shared" si="38"/>
        <v>6.5802647809768562</v>
      </c>
      <c r="O81" s="5">
        <f t="shared" si="38"/>
        <v>-10.294304520699542</v>
      </c>
      <c r="P81" s="5">
        <f t="shared" si="38"/>
        <v>-9.7424215746637906</v>
      </c>
      <c r="Q81" s="5">
        <f t="shared" si="38"/>
        <v>24.69787536980272</v>
      </c>
      <c r="R81" s="14"/>
      <c r="S81" s="14"/>
      <c r="T81" s="14"/>
    </row>
    <row r="82" spans="1:20" s="25" customFormat="1" ht="19.5" customHeight="1" x14ac:dyDescent="0.25">
      <c r="A82" s="36" t="s">
        <v>87</v>
      </c>
      <c r="B82" s="4">
        <v>46134.655310000009</v>
      </c>
      <c r="C82" s="4">
        <v>51650.50765</v>
      </c>
      <c r="D82" s="4">
        <v>43894.470240000002</v>
      </c>
      <c r="E82" s="4">
        <v>45565.611170000033</v>
      </c>
      <c r="F82" s="4">
        <v>54624.88858999998</v>
      </c>
      <c r="G82" s="37">
        <v>48902.594350000036</v>
      </c>
      <c r="H82" s="31">
        <f t="shared" si="36"/>
        <v>0.16852136929657968</v>
      </c>
      <c r="I82" s="60">
        <f t="shared" si="37"/>
        <v>0.15059284498481523</v>
      </c>
      <c r="J82" s="60">
        <f t="shared" si="33"/>
        <v>0.13932045895716327</v>
      </c>
      <c r="K82" s="60">
        <f t="shared" si="39"/>
        <v>0.15039935547072364</v>
      </c>
      <c r="L82" s="32">
        <f t="shared" si="34"/>
        <v>0.10730682215652175</v>
      </c>
      <c r="M82" s="5">
        <f t="shared" si="38"/>
        <v>11.955984721109189</v>
      </c>
      <c r="N82" s="5">
        <f t="shared" si="38"/>
        <v>-15.016381760576941</v>
      </c>
      <c r="O82" s="5">
        <f t="shared" si="38"/>
        <v>3.8071787194669429</v>
      </c>
      <c r="P82" s="5">
        <f t="shared" si="38"/>
        <v>19.881830150814459</v>
      </c>
      <c r="Q82" s="5">
        <f t="shared" si="38"/>
        <v>-10.475617228164943</v>
      </c>
      <c r="R82" s="14"/>
      <c r="S82" s="14"/>
      <c r="T82" s="14"/>
    </row>
    <row r="83" spans="1:20" s="25" customFormat="1" ht="19.5" customHeight="1" x14ac:dyDescent="0.25">
      <c r="A83" s="36" t="s">
        <v>88</v>
      </c>
      <c r="B83" s="4">
        <v>10360.56748</v>
      </c>
      <c r="C83" s="4">
        <v>10663.894539999999</v>
      </c>
      <c r="D83" s="4">
        <v>9605.6126999999997</v>
      </c>
      <c r="E83" s="4">
        <v>12116.985750000003</v>
      </c>
      <c r="F83" s="4">
        <v>9070.3105099999975</v>
      </c>
      <c r="G83" s="37">
        <v>9925.9497800000008</v>
      </c>
      <c r="H83" s="31">
        <f t="shared" si="36"/>
        <v>3.479334844282251E-2</v>
      </c>
      <c r="I83" s="60">
        <f t="shared" si="37"/>
        <v>3.2954869631780584E-2</v>
      </c>
      <c r="J83" s="60">
        <f t="shared" si="33"/>
        <v>3.7048642002608885E-2</v>
      </c>
      <c r="K83" s="60">
        <f t="shared" si="39"/>
        <v>2.4973393810693547E-2</v>
      </c>
      <c r="L83" s="32">
        <f t="shared" si="34"/>
        <v>2.1780483058912101E-2</v>
      </c>
      <c r="M83" s="5">
        <f t="shared" si="38"/>
        <v>2.9277070062575339</v>
      </c>
      <c r="N83" s="5">
        <f t="shared" si="38"/>
        <v>-9.9239713599043125</v>
      </c>
      <c r="O83" s="5">
        <f t="shared" si="38"/>
        <v>26.144850187432645</v>
      </c>
      <c r="P83" s="5">
        <f t="shared" si="38"/>
        <v>-25.143837773350562</v>
      </c>
      <c r="Q83" s="5">
        <f t="shared" si="38"/>
        <v>9.4334065967936027</v>
      </c>
      <c r="R83" s="14"/>
      <c r="S83" s="14"/>
      <c r="T83" s="14"/>
    </row>
    <row r="84" spans="1:20" s="25" customFormat="1" ht="19.5" customHeight="1" x14ac:dyDescent="0.25">
      <c r="A84" s="36" t="s">
        <v>89</v>
      </c>
      <c r="B84" s="4">
        <v>16140.155560000007</v>
      </c>
      <c r="C84" s="4">
        <v>24955.615730000001</v>
      </c>
      <c r="D84" s="4">
        <v>29685.033370000001</v>
      </c>
      <c r="E84" s="4">
        <v>30523.380199999978</v>
      </c>
      <c r="F84" s="4">
        <v>32651.087799999954</v>
      </c>
      <c r="G84" s="37">
        <v>34080.64548000005</v>
      </c>
      <c r="H84" s="31">
        <f t="shared" si="36"/>
        <v>8.142329525504409E-2</v>
      </c>
      <c r="I84" s="60">
        <f t="shared" si="37"/>
        <v>0.1018432072243977</v>
      </c>
      <c r="J84" s="60">
        <f t="shared" si="33"/>
        <v>9.3327648399629343E-2</v>
      </c>
      <c r="K84" s="60">
        <f t="shared" si="39"/>
        <v>8.9898628396232361E-2</v>
      </c>
      <c r="L84" s="32">
        <f t="shared" si="34"/>
        <v>7.4783062373496134E-2</v>
      </c>
      <c r="M84" s="5">
        <f t="shared" si="38"/>
        <v>54.618185910470807</v>
      </c>
      <c r="N84" s="5">
        <f t="shared" si="38"/>
        <v>18.951316173355742</v>
      </c>
      <c r="O84" s="5">
        <f t="shared" si="38"/>
        <v>2.8241397594223985</v>
      </c>
      <c r="P84" s="5">
        <f t="shared" si="38"/>
        <v>6.9707469685810803</v>
      </c>
      <c r="Q84" s="5">
        <f t="shared" si="38"/>
        <v>4.3782850015799424</v>
      </c>
      <c r="R84" s="14"/>
      <c r="S84" s="14"/>
      <c r="T84" s="14"/>
    </row>
    <row r="85" spans="1:20" s="25" customFormat="1" ht="19.5" customHeight="1" x14ac:dyDescent="0.25">
      <c r="A85" s="36" t="s">
        <v>90</v>
      </c>
      <c r="B85" s="4">
        <v>28967.540230000006</v>
      </c>
      <c r="C85" s="4">
        <v>30704.60673</v>
      </c>
      <c r="D85" s="4">
        <v>28086.981629999998</v>
      </c>
      <c r="E85" s="4">
        <v>39679.72194000001</v>
      </c>
      <c r="F85" s="4">
        <v>48214.317429999996</v>
      </c>
      <c r="G85" s="37">
        <v>98948.075499999904</v>
      </c>
      <c r="H85" s="31">
        <f t="shared" si="36"/>
        <v>0.10018066821173975</v>
      </c>
      <c r="I85" s="60">
        <f t="shared" si="37"/>
        <v>9.6360622364762422E-2</v>
      </c>
      <c r="J85" s="60">
        <f t="shared" si="33"/>
        <v>0.12132388724795894</v>
      </c>
      <c r="K85" s="60">
        <f t="shared" si="39"/>
        <v>0.1327490536476878</v>
      </c>
      <c r="L85" s="32">
        <f t="shared" si="34"/>
        <v>0.21712147753176556</v>
      </c>
      <c r="M85" s="5">
        <f t="shared" si="38"/>
        <v>5.9965964876818028</v>
      </c>
      <c r="N85" s="5">
        <f t="shared" si="38"/>
        <v>-8.5251868653391512</v>
      </c>
      <c r="O85" s="5">
        <f t="shared" si="38"/>
        <v>41.274425506860744</v>
      </c>
      <c r="P85" s="5">
        <f t="shared" si="38"/>
        <v>21.508707906031216</v>
      </c>
      <c r="Q85" s="5">
        <f t="shared" si="38"/>
        <v>105.22550307521779</v>
      </c>
      <c r="R85" s="14"/>
      <c r="S85" s="14"/>
      <c r="T85" s="14"/>
    </row>
    <row r="86" spans="1:20" s="25" customFormat="1" ht="19.5" customHeight="1" x14ac:dyDescent="0.25">
      <c r="A86" s="36" t="s">
        <v>91</v>
      </c>
      <c r="B86" s="4">
        <v>19646.050119999982</v>
      </c>
      <c r="C86" s="4">
        <v>15981.601960000002</v>
      </c>
      <c r="D86" s="4">
        <v>17172.674230000001</v>
      </c>
      <c r="E86" s="4">
        <v>21849.194219999998</v>
      </c>
      <c r="F86" s="4">
        <v>14693.486159999995</v>
      </c>
      <c r="G86" s="37">
        <v>17469.822559999997</v>
      </c>
      <c r="H86" s="31">
        <f t="shared" si="36"/>
        <v>5.2143561958816531E-2</v>
      </c>
      <c r="I86" s="60">
        <f t="shared" si="37"/>
        <v>5.8915892005378064E-2</v>
      </c>
      <c r="J86" s="60">
        <f t="shared" si="33"/>
        <v>6.6805638910836448E-2</v>
      </c>
      <c r="K86" s="60">
        <f t="shared" si="39"/>
        <v>4.0455750210656824E-2</v>
      </c>
      <c r="L86" s="32">
        <f t="shared" si="34"/>
        <v>3.8333981406692176E-2</v>
      </c>
      <c r="M86" s="5">
        <f t="shared" si="38"/>
        <v>-18.652340483797886</v>
      </c>
      <c r="N86" s="5">
        <f t="shared" si="38"/>
        <v>7.4527714617164609</v>
      </c>
      <c r="O86" s="5">
        <f t="shared" si="38"/>
        <v>27.232333924033199</v>
      </c>
      <c r="P86" s="5">
        <f t="shared" si="38"/>
        <v>-32.750443736959028</v>
      </c>
      <c r="Q86" s="5">
        <f t="shared" si="38"/>
        <v>18.895014905026482</v>
      </c>
      <c r="R86" s="14"/>
      <c r="S86" s="14"/>
      <c r="T86" s="14"/>
    </row>
    <row r="87" spans="1:20" s="25" customFormat="1" ht="19.5" customHeight="1" x14ac:dyDescent="0.25">
      <c r="A87" s="36" t="s">
        <v>92</v>
      </c>
      <c r="B87" s="4">
        <v>14873.881859999998</v>
      </c>
      <c r="C87" s="4">
        <v>9838.7861400000002</v>
      </c>
      <c r="D87" s="4">
        <v>8941.9608499999995</v>
      </c>
      <c r="E87" s="4">
        <v>12508.415930000001</v>
      </c>
      <c r="F87" s="4">
        <v>10689.208229999989</v>
      </c>
      <c r="G87" s="37">
        <v>18126.752820000002</v>
      </c>
      <c r="H87" s="31">
        <f t="shared" si="36"/>
        <v>3.2101247170007431E-2</v>
      </c>
      <c r="I87" s="60">
        <f t="shared" si="37"/>
        <v>3.0678017453715976E-2</v>
      </c>
      <c r="J87" s="60">
        <f t="shared" si="33"/>
        <v>3.8245470727759162E-2</v>
      </c>
      <c r="K87" s="60">
        <f t="shared" si="39"/>
        <v>2.9430724158559855E-2</v>
      </c>
      <c r="L87" s="32">
        <f t="shared" si="34"/>
        <v>3.9775481587122949E-2</v>
      </c>
      <c r="M87" s="5">
        <f t="shared" si="38"/>
        <v>-33.851927609703353</v>
      </c>
      <c r="N87" s="5">
        <f t="shared" si="38"/>
        <v>-9.1152025995759747</v>
      </c>
      <c r="O87" s="5">
        <f t="shared" si="38"/>
        <v>39.884485515277127</v>
      </c>
      <c r="P87" s="5">
        <f t="shared" si="38"/>
        <v>-14.54386958493162</v>
      </c>
      <c r="Q87" s="5">
        <f t="shared" si="38"/>
        <v>69.579939224366854</v>
      </c>
      <c r="R87" s="14"/>
      <c r="S87" s="14"/>
      <c r="T87" s="14"/>
    </row>
    <row r="88" spans="1:20" s="25" customFormat="1" ht="19.5" customHeight="1" x14ac:dyDescent="0.25">
      <c r="A88" s="36" t="s">
        <v>93</v>
      </c>
      <c r="B88" s="4">
        <v>264672.62392000004</v>
      </c>
      <c r="C88" s="4">
        <v>252284.81041000001</v>
      </c>
      <c r="D88" s="4">
        <v>268266.42884999997</v>
      </c>
      <c r="E88" s="4">
        <v>270836.74887999997</v>
      </c>
      <c r="F88" s="4">
        <v>301971.92396000132</v>
      </c>
      <c r="G88" s="37">
        <v>345860.78993999964</v>
      </c>
      <c r="H88" s="31">
        <f t="shared" si="36"/>
        <v>0.8231357955108346</v>
      </c>
      <c r="I88" s="60">
        <f t="shared" si="37"/>
        <v>0.92036660913208479</v>
      </c>
      <c r="J88" s="60">
        <f t="shared" si="33"/>
        <v>0.82810477435822671</v>
      </c>
      <c r="K88" s="60">
        <f t="shared" si="39"/>
        <v>0.83142288993432956</v>
      </c>
      <c r="L88" s="32">
        <f t="shared" si="34"/>
        <v>0.75892133679827245</v>
      </c>
      <c r="M88" s="5">
        <f t="shared" si="38"/>
        <v>-4.680428722293688</v>
      </c>
      <c r="N88" s="5">
        <f t="shared" si="38"/>
        <v>6.3347525417909525</v>
      </c>
      <c r="O88" s="5">
        <f t="shared" si="38"/>
        <v>0.95812213291778903</v>
      </c>
      <c r="P88" s="5">
        <f t="shared" si="38"/>
        <v>11.495919667015521</v>
      </c>
      <c r="Q88" s="5">
        <f t="shared" si="38"/>
        <v>14.534088270342563</v>
      </c>
      <c r="R88" s="14"/>
      <c r="S88" s="14"/>
      <c r="T88" s="14"/>
    </row>
    <row r="89" spans="1:20" s="25" customFormat="1" ht="19.5" customHeight="1" x14ac:dyDescent="0.25">
      <c r="A89" s="36" t="s">
        <v>94</v>
      </c>
      <c r="B89" s="4">
        <v>63100.041209999996</v>
      </c>
      <c r="C89" s="4">
        <v>64382.723890000001</v>
      </c>
      <c r="D89" s="4">
        <v>60340.715149999996</v>
      </c>
      <c r="E89" s="4">
        <v>58259.492159999951</v>
      </c>
      <c r="F89" s="4">
        <v>67856.33664999975</v>
      </c>
      <c r="G89" s="37">
        <v>82107.419649999836</v>
      </c>
      <c r="H89" s="31">
        <f t="shared" si="36"/>
        <v>0.21006308132552137</v>
      </c>
      <c r="I89" s="60">
        <f t="shared" si="37"/>
        <v>0.20701650830213647</v>
      </c>
      <c r="J89" s="60">
        <f t="shared" si="33"/>
        <v>0.17813300377031774</v>
      </c>
      <c r="K89" s="60">
        <f t="shared" si="39"/>
        <v>0.18682965879096922</v>
      </c>
      <c r="L89" s="32">
        <f t="shared" si="34"/>
        <v>0.18016807482757663</v>
      </c>
      <c r="M89" s="5">
        <f t="shared" si="38"/>
        <v>2.0327762952343806</v>
      </c>
      <c r="N89" s="5">
        <f t="shared" si="38"/>
        <v>-6.2780952649749793</v>
      </c>
      <c r="O89" s="5">
        <f t="shared" si="38"/>
        <v>-3.4491188658045693</v>
      </c>
      <c r="P89" s="5">
        <f t="shared" si="38"/>
        <v>16.472585211768877</v>
      </c>
      <c r="Q89" s="5">
        <f t="shared" si="38"/>
        <v>21.001845521821487</v>
      </c>
      <c r="R89" s="14"/>
      <c r="S89" s="14"/>
      <c r="T89" s="14"/>
    </row>
    <row r="90" spans="1:20" s="25" customFormat="1" ht="19.5" customHeight="1" x14ac:dyDescent="0.25">
      <c r="A90" s="36" t="s">
        <v>95</v>
      </c>
      <c r="B90" s="4">
        <v>183508.59228999997</v>
      </c>
      <c r="C90" s="4">
        <v>212933.65471999999</v>
      </c>
      <c r="D90" s="4">
        <v>215490.85454</v>
      </c>
      <c r="E90" s="4">
        <v>268989.61430999974</v>
      </c>
      <c r="F90" s="4">
        <v>254337.38735999912</v>
      </c>
      <c r="G90" s="37">
        <v>322100.17097000172</v>
      </c>
      <c r="H90" s="31">
        <f t="shared" si="36"/>
        <v>0.69474382141410584</v>
      </c>
      <c r="I90" s="60">
        <f t="shared" si="37"/>
        <v>0.73930453371357485</v>
      </c>
      <c r="J90" s="60">
        <f t="shared" si="33"/>
        <v>0.82245701436027652</v>
      </c>
      <c r="K90" s="60">
        <f t="shared" si="39"/>
        <v>0.70027015374186696</v>
      </c>
      <c r="L90" s="32">
        <f t="shared" si="34"/>
        <v>0.70678347891911386</v>
      </c>
      <c r="M90" s="5">
        <f t="shared" si="38"/>
        <v>16.03470554855512</v>
      </c>
      <c r="N90" s="5">
        <f t="shared" si="38"/>
        <v>1.2009373639703098</v>
      </c>
      <c r="O90" s="5">
        <f t="shared" si="38"/>
        <v>24.826464159790667</v>
      </c>
      <c r="P90" s="5">
        <f t="shared" si="38"/>
        <v>-5.4471348225045286</v>
      </c>
      <c r="Q90" s="5">
        <f t="shared" si="38"/>
        <v>26.642871625510761</v>
      </c>
      <c r="R90" s="14"/>
      <c r="S90" s="14"/>
      <c r="T90" s="14"/>
    </row>
    <row r="91" spans="1:20" s="25" customFormat="1" ht="19.5" customHeight="1" x14ac:dyDescent="0.25">
      <c r="A91" s="30" t="s">
        <v>96</v>
      </c>
      <c r="B91" s="1"/>
      <c r="C91" s="1"/>
      <c r="D91" s="1"/>
      <c r="E91" s="4"/>
      <c r="F91" s="4"/>
      <c r="G91" s="37"/>
      <c r="H91" s="31"/>
      <c r="I91" s="60"/>
      <c r="J91" s="60"/>
      <c r="K91" s="3"/>
      <c r="L91" s="6"/>
      <c r="M91" s="3"/>
      <c r="N91" s="3"/>
      <c r="O91" s="5"/>
      <c r="P91" s="5"/>
      <c r="Q91" s="5"/>
      <c r="R91" s="14"/>
      <c r="S91" s="14"/>
      <c r="T91" s="14"/>
    </row>
    <row r="92" spans="1:20" s="25" customFormat="1" ht="19.5" customHeight="1" x14ac:dyDescent="0.25">
      <c r="A92" s="26" t="s">
        <v>97</v>
      </c>
      <c r="B92" s="40">
        <f t="shared" ref="B92:G92" si="40">SUM(B93:B96)</f>
        <v>156574.00139999995</v>
      </c>
      <c r="C92" s="33">
        <f t="shared" si="40"/>
        <v>168301.21888999999</v>
      </c>
      <c r="D92" s="33">
        <f t="shared" si="40"/>
        <v>177903.88394999996</v>
      </c>
      <c r="E92" s="33">
        <f t="shared" si="40"/>
        <v>174245.40175000008</v>
      </c>
      <c r="F92" s="33">
        <f t="shared" si="40"/>
        <v>197339.36859999999</v>
      </c>
      <c r="G92" s="34">
        <f t="shared" si="40"/>
        <v>223891.15717000005</v>
      </c>
      <c r="H92" s="35">
        <f>C92/$C$6*100</f>
        <v>0.54912048597505281</v>
      </c>
      <c r="I92" s="3">
        <f>D92/$D$6*100</f>
        <v>0.61035141491387324</v>
      </c>
      <c r="J92" s="3">
        <f t="shared" si="33"/>
        <v>0.53276909317455545</v>
      </c>
      <c r="K92" s="3">
        <f t="shared" si="39"/>
        <v>0.54333683074775074</v>
      </c>
      <c r="L92" s="6">
        <f t="shared" si="34"/>
        <v>0.49128372235038775</v>
      </c>
      <c r="M92" s="3">
        <f t="shared" ref="M92:Q96" si="41">((C92-B92)/B92)*100</f>
        <v>7.4898880945377968</v>
      </c>
      <c r="N92" s="3">
        <f t="shared" si="41"/>
        <v>5.7056420169340409</v>
      </c>
      <c r="O92" s="3">
        <f t="shared" si="41"/>
        <v>-2.0564375092721989</v>
      </c>
      <c r="P92" s="3">
        <f t="shared" si="41"/>
        <v>13.253702317570571</v>
      </c>
      <c r="Q92" s="3">
        <f t="shared" si="41"/>
        <v>13.454886755931408</v>
      </c>
      <c r="R92" s="14"/>
      <c r="S92" s="14"/>
      <c r="T92" s="14"/>
    </row>
    <row r="93" spans="1:20" s="25" customFormat="1" ht="19.5" customHeight="1" x14ac:dyDescent="0.25">
      <c r="A93" s="36" t="s">
        <v>98</v>
      </c>
      <c r="B93" s="4">
        <v>124328.46214999998</v>
      </c>
      <c r="C93" s="4">
        <v>133735.14673000001</v>
      </c>
      <c r="D93" s="4">
        <v>143861.48173</v>
      </c>
      <c r="E93" s="4">
        <v>140460.30351000009</v>
      </c>
      <c r="F93" s="4">
        <v>158190.58504000001</v>
      </c>
      <c r="G93" s="37">
        <v>179367.17069000009</v>
      </c>
      <c r="H93" s="31">
        <f>C93/$C$6*100</f>
        <v>0.43634092045595996</v>
      </c>
      <c r="I93" s="60">
        <f>D93/$D$6*100</f>
        <v>0.49355897676854427</v>
      </c>
      <c r="J93" s="60">
        <f t="shared" si="33"/>
        <v>0.42946848396844728</v>
      </c>
      <c r="K93" s="60">
        <f t="shared" si="39"/>
        <v>0.43554801933103043</v>
      </c>
      <c r="L93" s="32">
        <f t="shared" si="34"/>
        <v>0.39358486685175847</v>
      </c>
      <c r="M93" s="5">
        <f t="shared" si="41"/>
        <v>7.5659944773152912</v>
      </c>
      <c r="N93" s="5">
        <f t="shared" si="41"/>
        <v>7.5719324707095952</v>
      </c>
      <c r="O93" s="5">
        <f t="shared" si="41"/>
        <v>-2.3642035234860597</v>
      </c>
      <c r="P93" s="5">
        <f t="shared" si="41"/>
        <v>12.622983922811764</v>
      </c>
      <c r="Q93" s="5">
        <f t="shared" si="41"/>
        <v>13.38675474564139</v>
      </c>
      <c r="R93" s="14"/>
      <c r="S93" s="14"/>
      <c r="T93" s="14"/>
    </row>
    <row r="94" spans="1:20" s="25" customFormat="1" ht="19.5" customHeight="1" x14ac:dyDescent="0.25">
      <c r="A94" s="36" t="s">
        <v>99</v>
      </c>
      <c r="B94" s="4">
        <v>12589.657270000007</v>
      </c>
      <c r="C94" s="4">
        <v>14950.194579999999</v>
      </c>
      <c r="D94" s="4">
        <v>12631.948249999999</v>
      </c>
      <c r="E94" s="4">
        <v>13718.871339999989</v>
      </c>
      <c r="F94" s="4">
        <v>14779.341189999985</v>
      </c>
      <c r="G94" s="37">
        <v>16965.064590000002</v>
      </c>
      <c r="H94" s="31">
        <f>C94/$C$6*100</f>
        <v>4.877836397938877E-2</v>
      </c>
      <c r="I94" s="60">
        <f>D94/$D$6*100</f>
        <v>4.3337600710691655E-2</v>
      </c>
      <c r="J94" s="60">
        <f t="shared" si="33"/>
        <v>4.1946533852737319E-2</v>
      </c>
      <c r="K94" s="60">
        <f t="shared" si="39"/>
        <v>4.0692135885927239E-2</v>
      </c>
      <c r="L94" s="32">
        <f t="shared" si="34"/>
        <v>3.7226392444617486E-2</v>
      </c>
      <c r="M94" s="5">
        <f t="shared" si="41"/>
        <v>18.749813909747452</v>
      </c>
      <c r="N94" s="5">
        <f t="shared" si="41"/>
        <v>-15.506462592141061</v>
      </c>
      <c r="O94" s="5">
        <f t="shared" si="41"/>
        <v>8.6045562290835811</v>
      </c>
      <c r="P94" s="5">
        <f t="shared" si="41"/>
        <v>7.7300079847530432</v>
      </c>
      <c r="Q94" s="5">
        <f t="shared" si="41"/>
        <v>14.789044869462273</v>
      </c>
      <c r="R94" s="14"/>
      <c r="S94" s="14"/>
      <c r="T94" s="14"/>
    </row>
    <row r="95" spans="1:20" s="25" customFormat="1" ht="19.5" customHeight="1" x14ac:dyDescent="0.25">
      <c r="A95" s="36" t="s">
        <v>100</v>
      </c>
      <c r="B95" s="4">
        <v>17940.391639999998</v>
      </c>
      <c r="C95" s="4">
        <v>18524.773209999999</v>
      </c>
      <c r="D95" s="4">
        <v>19023.13682</v>
      </c>
      <c r="E95" s="4">
        <v>18347.930580000004</v>
      </c>
      <c r="F95" s="4">
        <v>21776.772339999992</v>
      </c>
      <c r="G95" s="37">
        <v>25433.84055999999</v>
      </c>
      <c r="H95" s="31">
        <f>C95/$C$6*100</f>
        <v>6.0441228737038284E-2</v>
      </c>
      <c r="I95" s="60">
        <f>D95/$D$6*100</f>
        <v>6.5264446263862491E-2</v>
      </c>
      <c r="J95" s="60">
        <f t="shared" si="33"/>
        <v>5.6100248491844591E-2</v>
      </c>
      <c r="K95" s="60">
        <f t="shared" si="39"/>
        <v>5.995824629962293E-2</v>
      </c>
      <c r="L95" s="32">
        <f t="shared" si="34"/>
        <v>5.5809403202536766E-2</v>
      </c>
      <c r="M95" s="5">
        <f t="shared" si="41"/>
        <v>3.2573512425284017</v>
      </c>
      <c r="N95" s="5">
        <f t="shared" si="41"/>
        <v>2.6902548514384774</v>
      </c>
      <c r="O95" s="5">
        <f t="shared" si="41"/>
        <v>-3.5493948573724019</v>
      </c>
      <c r="P95" s="5">
        <f t="shared" si="41"/>
        <v>18.687893683975272</v>
      </c>
      <c r="Q95" s="5">
        <f t="shared" si="41"/>
        <v>16.793435514236535</v>
      </c>
      <c r="R95" s="14"/>
      <c r="S95" s="14"/>
      <c r="T95" s="14"/>
    </row>
    <row r="96" spans="1:20" s="25" customFormat="1" ht="19.5" customHeight="1" x14ac:dyDescent="0.25">
      <c r="A96" s="36" t="s">
        <v>101</v>
      </c>
      <c r="B96" s="4">
        <v>1715.4903400000003</v>
      </c>
      <c r="C96" s="4">
        <v>1091.10437</v>
      </c>
      <c r="D96" s="4">
        <v>2387.3171499999999</v>
      </c>
      <c r="E96" s="4">
        <v>1718.2963199999999</v>
      </c>
      <c r="F96" s="4">
        <v>2592.6700300000007</v>
      </c>
      <c r="G96" s="37">
        <v>2125.0813299999991</v>
      </c>
      <c r="H96" s="31">
        <f>C96/$C$6*100</f>
        <v>3.5599728026658017E-3</v>
      </c>
      <c r="I96" s="60">
        <f>D96/$D$6*100</f>
        <v>8.190391170774974E-3</v>
      </c>
      <c r="J96" s="60">
        <f t="shared" si="33"/>
        <v>5.253826861526205E-3</v>
      </c>
      <c r="K96" s="60">
        <f t="shared" si="39"/>
        <v>7.1384292311700241E-3</v>
      </c>
      <c r="L96" s="32">
        <f t="shared" si="34"/>
        <v>4.6630598514750266E-3</v>
      </c>
      <c r="M96" s="5">
        <f t="shared" si="41"/>
        <v>-36.396938848399465</v>
      </c>
      <c r="N96" s="5">
        <f t="shared" si="41"/>
        <v>118.79823925551685</v>
      </c>
      <c r="O96" s="5">
        <f t="shared" si="41"/>
        <v>-28.023961123053969</v>
      </c>
      <c r="P96" s="5">
        <f t="shared" si="41"/>
        <v>50.886084071925431</v>
      </c>
      <c r="Q96" s="5">
        <f t="shared" si="41"/>
        <v>-18.035025459834607</v>
      </c>
      <c r="R96" s="14"/>
      <c r="S96" s="14"/>
      <c r="T96" s="14"/>
    </row>
    <row r="97" spans="1:20" s="25" customFormat="1" ht="19.5" customHeight="1" x14ac:dyDescent="0.25">
      <c r="A97" s="30" t="s">
        <v>102</v>
      </c>
      <c r="B97" s="1"/>
      <c r="C97" s="1"/>
      <c r="D97" s="1"/>
      <c r="E97" s="4"/>
      <c r="F97" s="4"/>
      <c r="G97" s="37"/>
      <c r="H97" s="31"/>
      <c r="I97" s="60"/>
      <c r="J97" s="60"/>
      <c r="K97" s="3"/>
      <c r="L97" s="6"/>
      <c r="M97" s="3"/>
      <c r="N97" s="3"/>
      <c r="O97" s="5"/>
      <c r="P97" s="5"/>
      <c r="Q97" s="5"/>
      <c r="R97" s="14"/>
      <c r="S97" s="14"/>
      <c r="T97" s="14"/>
    </row>
    <row r="98" spans="1:20" s="25" customFormat="1" ht="19.5" customHeight="1" x14ac:dyDescent="0.25">
      <c r="A98" s="26" t="s">
        <v>103</v>
      </c>
      <c r="B98" s="40">
        <f t="shared" ref="B98:G98" si="42">SUM(B99:B101)</f>
        <v>498897.52130000014</v>
      </c>
      <c r="C98" s="33">
        <f t="shared" si="42"/>
        <v>542021.17069000006</v>
      </c>
      <c r="D98" s="33">
        <f t="shared" si="42"/>
        <v>777898.15535999998</v>
      </c>
      <c r="E98" s="33">
        <f t="shared" si="42"/>
        <v>932485.53124000074</v>
      </c>
      <c r="F98" s="33">
        <f t="shared" si="42"/>
        <v>1130688.7164900005</v>
      </c>
      <c r="G98" s="34">
        <f t="shared" si="42"/>
        <v>1371509.1904800015</v>
      </c>
      <c r="H98" s="35">
        <f>C98/$C$6*100</f>
        <v>1.7684656749431573</v>
      </c>
      <c r="I98" s="3">
        <f>D98/$D$6*100</f>
        <v>2.668807612521312</v>
      </c>
      <c r="J98" s="3">
        <f t="shared" si="33"/>
        <v>2.8511482420059244</v>
      </c>
      <c r="K98" s="3">
        <f t="shared" si="39"/>
        <v>3.1131386916777579</v>
      </c>
      <c r="L98" s="6">
        <f t="shared" si="34"/>
        <v>3.0094986727196513</v>
      </c>
      <c r="M98" s="3">
        <f t="shared" ref="M98:Q101" si="43">((C98-B98)/B98)*100</f>
        <v>8.6437890646621476</v>
      </c>
      <c r="N98" s="3">
        <f t="shared" si="43"/>
        <v>43.518039040749166</v>
      </c>
      <c r="O98" s="3">
        <f t="shared" si="43"/>
        <v>19.872444074437993</v>
      </c>
      <c r="P98" s="3">
        <f t="shared" si="43"/>
        <v>21.255363071042304</v>
      </c>
      <c r="Q98" s="3">
        <f t="shared" si="43"/>
        <v>21.298565244162031</v>
      </c>
      <c r="R98" s="14"/>
      <c r="S98" s="14"/>
      <c r="T98" s="14"/>
    </row>
    <row r="99" spans="1:20" s="25" customFormat="1" ht="19.5" customHeight="1" x14ac:dyDescent="0.25">
      <c r="A99" s="36" t="s">
        <v>104</v>
      </c>
      <c r="B99" s="4">
        <v>165372.65342000002</v>
      </c>
      <c r="C99" s="4">
        <v>153868.86822999999</v>
      </c>
      <c r="D99" s="4">
        <v>207774.77755</v>
      </c>
      <c r="E99" s="4">
        <v>373401.62319999997</v>
      </c>
      <c r="F99" s="4">
        <v>579304.51050000079</v>
      </c>
      <c r="G99" s="37">
        <v>667468.66891000082</v>
      </c>
      <c r="H99" s="31">
        <f>C99/$C$6*100</f>
        <v>0.50203170396592589</v>
      </c>
      <c r="I99" s="60">
        <f>D99/$D$6*100</f>
        <v>0.71283227013019801</v>
      </c>
      <c r="J99" s="60">
        <f t="shared" si="33"/>
        <v>1.1417049872432055</v>
      </c>
      <c r="K99" s="60">
        <f t="shared" si="39"/>
        <v>1.5950059990865275</v>
      </c>
      <c r="L99" s="32">
        <f t="shared" si="34"/>
        <v>1.4646245807974339</v>
      </c>
      <c r="M99" s="5">
        <f t="shared" si="43"/>
        <v>-6.9562802265642114</v>
      </c>
      <c r="N99" s="5">
        <f t="shared" si="43"/>
        <v>35.033668564730434</v>
      </c>
      <c r="O99" s="5">
        <f t="shared" si="43"/>
        <v>79.714606172610473</v>
      </c>
      <c r="P99" s="5">
        <f t="shared" si="43"/>
        <v>55.142472476536582</v>
      </c>
      <c r="Q99" s="5">
        <f t="shared" si="43"/>
        <v>15.218966331524864</v>
      </c>
      <c r="R99" s="14"/>
      <c r="S99" s="14"/>
      <c r="T99" s="14"/>
    </row>
    <row r="100" spans="1:20" s="25" customFormat="1" ht="19.5" customHeight="1" x14ac:dyDescent="0.25">
      <c r="A100" s="36" t="s">
        <v>105</v>
      </c>
      <c r="B100" s="4">
        <v>201809.1649700001</v>
      </c>
      <c r="C100" s="4">
        <v>230066.36960000001</v>
      </c>
      <c r="D100" s="4">
        <v>375243.68664999999</v>
      </c>
      <c r="E100" s="4">
        <v>349073.10449000087</v>
      </c>
      <c r="F100" s="4">
        <v>358321.02651999978</v>
      </c>
      <c r="G100" s="37">
        <v>451458.33103000035</v>
      </c>
      <c r="H100" s="31">
        <f>C100/$C$6*100</f>
        <v>0.75064314753322647</v>
      </c>
      <c r="I100" s="60">
        <f>D100/$D$6*100</f>
        <v>1.2873834454828137</v>
      </c>
      <c r="J100" s="60">
        <f t="shared" si="33"/>
        <v>1.0673186176677085</v>
      </c>
      <c r="K100" s="60">
        <f t="shared" si="39"/>
        <v>0.98656954423668608</v>
      </c>
      <c r="L100" s="32">
        <f t="shared" si="34"/>
        <v>0.9906337175527854</v>
      </c>
      <c r="M100" s="5">
        <f t="shared" si="43"/>
        <v>14.001943189349442</v>
      </c>
      <c r="N100" s="5">
        <f t="shared" si="43"/>
        <v>63.102363592909924</v>
      </c>
      <c r="O100" s="5">
        <f t="shared" si="43"/>
        <v>-6.974289799153671</v>
      </c>
      <c r="P100" s="5">
        <f t="shared" si="43"/>
        <v>2.6492794520821685</v>
      </c>
      <c r="Q100" s="5">
        <f t="shared" si="43"/>
        <v>25.992698618483693</v>
      </c>
      <c r="R100" s="14"/>
      <c r="S100" s="14"/>
      <c r="T100" s="14"/>
    </row>
    <row r="101" spans="1:20" s="25" customFormat="1" ht="19.5" customHeight="1" x14ac:dyDescent="0.25">
      <c r="A101" s="36" t="s">
        <v>106</v>
      </c>
      <c r="B101" s="4">
        <v>131715.70291000002</v>
      </c>
      <c r="C101" s="4">
        <v>158085.93286</v>
      </c>
      <c r="D101" s="4">
        <v>194879.69115999999</v>
      </c>
      <c r="E101" s="4">
        <v>210010.80354999992</v>
      </c>
      <c r="F101" s="4">
        <v>193063.17946999986</v>
      </c>
      <c r="G101" s="37">
        <v>252582.19054000033</v>
      </c>
      <c r="H101" s="31">
        <f>C101/$C$6*100</f>
        <v>0.51579082344400462</v>
      </c>
      <c r="I101" s="60">
        <f>D101/$D$6*100</f>
        <v>0.66859189690830045</v>
      </c>
      <c r="J101" s="60">
        <f t="shared" si="33"/>
        <v>0.64212463709501089</v>
      </c>
      <c r="K101" s="60">
        <f t="shared" si="39"/>
        <v>0.53156314835454443</v>
      </c>
      <c r="L101" s="32">
        <f t="shared" si="34"/>
        <v>0.55424037436943241</v>
      </c>
      <c r="M101" s="5">
        <f t="shared" si="43"/>
        <v>20.020566544004616</v>
      </c>
      <c r="N101" s="5">
        <f t="shared" si="43"/>
        <v>23.274530272459049</v>
      </c>
      <c r="O101" s="5">
        <f t="shared" si="43"/>
        <v>7.7643351649079744</v>
      </c>
      <c r="P101" s="5">
        <f t="shared" si="43"/>
        <v>-8.0698820220289917</v>
      </c>
      <c r="Q101" s="5">
        <f t="shared" si="43"/>
        <v>30.828773893288723</v>
      </c>
      <c r="R101" s="14"/>
      <c r="S101" s="14"/>
      <c r="T101" s="14"/>
    </row>
    <row r="102" spans="1:20" s="25" customFormat="1" ht="19.5" customHeight="1" x14ac:dyDescent="0.25">
      <c r="A102" s="30" t="s">
        <v>107</v>
      </c>
      <c r="B102" s="1"/>
      <c r="C102" s="1"/>
      <c r="D102" s="1"/>
      <c r="E102" s="4"/>
      <c r="F102" s="4"/>
      <c r="G102" s="37"/>
      <c r="H102" s="31"/>
      <c r="I102" s="60"/>
      <c r="J102" s="60"/>
      <c r="K102" s="60"/>
      <c r="L102" s="32"/>
      <c r="M102" s="3"/>
      <c r="N102" s="3"/>
      <c r="O102" s="5"/>
      <c r="P102" s="5"/>
      <c r="Q102" s="5"/>
      <c r="R102" s="14"/>
      <c r="S102" s="14"/>
      <c r="T102" s="14"/>
    </row>
    <row r="103" spans="1:20" s="25" customFormat="1" ht="19.5" customHeight="1" x14ac:dyDescent="0.25">
      <c r="A103" s="26" t="s">
        <v>108</v>
      </c>
      <c r="B103" s="40">
        <f t="shared" ref="B103:G103" si="44">SUM(B104)</f>
        <v>27457.815149999991</v>
      </c>
      <c r="C103" s="33">
        <f t="shared" si="44"/>
        <v>23261.95406</v>
      </c>
      <c r="D103" s="33">
        <f t="shared" si="44"/>
        <v>18708.022800000002</v>
      </c>
      <c r="E103" s="33">
        <f t="shared" si="44"/>
        <v>16050.887490000005</v>
      </c>
      <c r="F103" s="33">
        <f t="shared" si="44"/>
        <v>10434.367360000002</v>
      </c>
      <c r="G103" s="34">
        <f t="shared" si="44"/>
        <v>13897.489099999979</v>
      </c>
      <c r="H103" s="35">
        <f>C103/$C$6*100</f>
        <v>7.5897344073932477E-2</v>
      </c>
      <c r="I103" s="3">
        <f>D103/$D$6*100</f>
        <v>6.4183355262947342E-2</v>
      </c>
      <c r="J103" s="3">
        <f t="shared" si="33"/>
        <v>4.9076857620399816E-2</v>
      </c>
      <c r="K103" s="60">
        <f t="shared" si="39"/>
        <v>2.8729067760076818E-2</v>
      </c>
      <c r="L103" s="32">
        <f t="shared" si="34"/>
        <v>3.0495220368117266E-2</v>
      </c>
      <c r="M103" s="3">
        <f t="shared" ref="M103:Q104" si="45">((C103-B103)/B103)*100</f>
        <v>-15.281117842327644</v>
      </c>
      <c r="N103" s="3">
        <f t="shared" si="45"/>
        <v>-19.576735678584679</v>
      </c>
      <c r="O103" s="3">
        <f t="shared" si="45"/>
        <v>-14.203186185982183</v>
      </c>
      <c r="P103" s="3">
        <f t="shared" si="45"/>
        <v>-34.99195999909162</v>
      </c>
      <c r="Q103" s="3">
        <f t="shared" si="45"/>
        <v>33.189570776238959</v>
      </c>
      <c r="R103" s="14"/>
      <c r="S103" s="14"/>
      <c r="T103" s="14"/>
    </row>
    <row r="104" spans="1:20" s="25" customFormat="1" ht="19.5" customHeight="1" x14ac:dyDescent="0.25">
      <c r="A104" s="38" t="s">
        <v>109</v>
      </c>
      <c r="B104" s="4">
        <v>27457.815149999991</v>
      </c>
      <c r="C104" s="4">
        <v>23261.95406</v>
      </c>
      <c r="D104" s="4">
        <v>18708.022800000002</v>
      </c>
      <c r="E104" s="4">
        <v>16050.887490000005</v>
      </c>
      <c r="F104" s="4">
        <v>10434.367360000002</v>
      </c>
      <c r="G104" s="37">
        <v>13897.489099999979</v>
      </c>
      <c r="H104" s="31">
        <f>C104/$C$6*100</f>
        <v>7.5897344073932477E-2</v>
      </c>
      <c r="I104" s="60">
        <f>D104/$D$6*100</f>
        <v>6.4183355262947342E-2</v>
      </c>
      <c r="J104" s="60">
        <f t="shared" si="33"/>
        <v>4.9076857620399816E-2</v>
      </c>
      <c r="K104" s="60">
        <f t="shared" si="39"/>
        <v>2.8729067760076818E-2</v>
      </c>
      <c r="L104" s="32">
        <f t="shared" si="34"/>
        <v>3.0495220368117266E-2</v>
      </c>
      <c r="M104" s="5">
        <f t="shared" si="45"/>
        <v>-15.281117842327644</v>
      </c>
      <c r="N104" s="5">
        <f t="shared" si="45"/>
        <v>-19.576735678584679</v>
      </c>
      <c r="O104" s="5">
        <f t="shared" si="45"/>
        <v>-14.203186185982183</v>
      </c>
      <c r="P104" s="5">
        <f t="shared" si="45"/>
        <v>-34.99195999909162</v>
      </c>
      <c r="Q104" s="5">
        <f t="shared" si="45"/>
        <v>33.189570776238959</v>
      </c>
      <c r="R104" s="14"/>
      <c r="S104" s="14"/>
      <c r="T104" s="14"/>
    </row>
    <row r="105" spans="1:20" s="25" customFormat="1" ht="24.75" customHeight="1" x14ac:dyDescent="0.25">
      <c r="A105" s="30" t="s">
        <v>110</v>
      </c>
      <c r="B105" s="1"/>
      <c r="C105" s="1"/>
      <c r="D105" s="1"/>
      <c r="E105" s="4"/>
      <c r="F105" s="4"/>
      <c r="G105" s="37"/>
      <c r="H105" s="31"/>
      <c r="I105" s="60"/>
      <c r="J105" s="60"/>
      <c r="K105" s="3"/>
      <c r="L105" s="6"/>
      <c r="M105" s="3"/>
      <c r="N105" s="3"/>
      <c r="O105" s="5"/>
      <c r="P105" s="5"/>
      <c r="Q105" s="5"/>
      <c r="R105" s="14"/>
      <c r="S105" s="14"/>
      <c r="T105" s="14"/>
    </row>
    <row r="106" spans="1:20" s="25" customFormat="1" ht="19.5" customHeight="1" x14ac:dyDescent="0.25">
      <c r="A106" s="26" t="s">
        <v>111</v>
      </c>
      <c r="B106" s="40">
        <f t="shared" ref="B106:G106" si="46">SUM(B107:B117)</f>
        <v>1016470.82361</v>
      </c>
      <c r="C106" s="33">
        <f t="shared" si="46"/>
        <v>1254563.8052400001</v>
      </c>
      <c r="D106" s="33">
        <f t="shared" si="46"/>
        <v>1767102.4527499997</v>
      </c>
      <c r="E106" s="33">
        <f t="shared" si="46"/>
        <v>2550159.9829199947</v>
      </c>
      <c r="F106" s="33">
        <f t="shared" si="46"/>
        <v>2868827.1141699986</v>
      </c>
      <c r="G106" s="34">
        <f t="shared" si="46"/>
        <v>4039401.2743100077</v>
      </c>
      <c r="H106" s="35">
        <f t="shared" ref="H106:H117" si="47">C106/$C$6*100</f>
        <v>4.0932958832007209</v>
      </c>
      <c r="I106" s="3">
        <f t="shared" ref="I106:I117" si="48">D106/$D$6*100</f>
        <v>6.0625628760126826</v>
      </c>
      <c r="J106" s="3">
        <f t="shared" si="33"/>
        <v>7.7973157851227191</v>
      </c>
      <c r="K106" s="3">
        <f t="shared" si="39"/>
        <v>7.898775815665311</v>
      </c>
      <c r="L106" s="6">
        <f t="shared" si="34"/>
        <v>8.863646600401907</v>
      </c>
      <c r="M106" s="3">
        <f t="shared" ref="M106:Q117" si="49">((C106-B106)/B106)*100</f>
        <v>23.423493926211485</v>
      </c>
      <c r="N106" s="3">
        <f t="shared" si="49"/>
        <v>40.853932288597314</v>
      </c>
      <c r="O106" s="3">
        <f t="shared" si="49"/>
        <v>44.313080373545148</v>
      </c>
      <c r="P106" s="3">
        <f t="shared" si="49"/>
        <v>12.495966268168097</v>
      </c>
      <c r="Q106" s="3">
        <f t="shared" si="49"/>
        <v>40.803231200590368</v>
      </c>
      <c r="R106" s="14"/>
      <c r="S106" s="14"/>
      <c r="T106" s="14"/>
    </row>
    <row r="107" spans="1:20" s="25" customFormat="1" ht="19.5" customHeight="1" x14ac:dyDescent="0.25">
      <c r="A107" s="36" t="s">
        <v>112</v>
      </c>
      <c r="B107" s="4">
        <v>301593.73049000045</v>
      </c>
      <c r="C107" s="4">
        <v>390070.72378</v>
      </c>
      <c r="D107" s="4">
        <v>605642.39387999999</v>
      </c>
      <c r="E107" s="4">
        <v>856587.35369999858</v>
      </c>
      <c r="F107" s="4">
        <v>1067062.4173099999</v>
      </c>
      <c r="G107" s="37">
        <v>1351449.9675500039</v>
      </c>
      <c r="H107" s="31">
        <f t="shared" si="47"/>
        <v>1.2726932509425879</v>
      </c>
      <c r="I107" s="60">
        <f t="shared" si="48"/>
        <v>2.077833737122766</v>
      </c>
      <c r="J107" s="60">
        <f t="shared" si="33"/>
        <v>2.6190835630217153</v>
      </c>
      <c r="K107" s="60">
        <f t="shared" si="39"/>
        <v>2.9379556453655806</v>
      </c>
      <c r="L107" s="32">
        <f t="shared" si="34"/>
        <v>2.9654827775272263</v>
      </c>
      <c r="M107" s="5">
        <f t="shared" si="49"/>
        <v>29.336482938902826</v>
      </c>
      <c r="N107" s="5">
        <f t="shared" si="49"/>
        <v>55.264765325372757</v>
      </c>
      <c r="O107" s="5">
        <f t="shared" si="49"/>
        <v>41.434510258163996</v>
      </c>
      <c r="P107" s="5">
        <f t="shared" si="49"/>
        <v>24.571348467948052</v>
      </c>
      <c r="Q107" s="5">
        <f t="shared" si="49"/>
        <v>26.651444716507573</v>
      </c>
      <c r="R107" s="14"/>
      <c r="S107" s="14"/>
      <c r="T107" s="14"/>
    </row>
    <row r="108" spans="1:20" s="25" customFormat="1" ht="19.5" customHeight="1" x14ac:dyDescent="0.25">
      <c r="A108" s="36" t="s">
        <v>113</v>
      </c>
      <c r="B108" s="4">
        <v>417458.59562999988</v>
      </c>
      <c r="C108" s="4">
        <v>521902.26562000002</v>
      </c>
      <c r="D108" s="4">
        <v>744782.99715999991</v>
      </c>
      <c r="E108" s="4">
        <v>1076227.8836699962</v>
      </c>
      <c r="F108" s="4">
        <v>1145467.6923199981</v>
      </c>
      <c r="G108" s="37">
        <v>1781485.3661200025</v>
      </c>
      <c r="H108" s="31">
        <f t="shared" si="47"/>
        <v>1.7028232333602173</v>
      </c>
      <c r="I108" s="60">
        <f t="shared" si="48"/>
        <v>2.5551963567482376</v>
      </c>
      <c r="J108" s="60">
        <f t="shared" si="33"/>
        <v>3.290651850053969</v>
      </c>
      <c r="K108" s="60">
        <f t="shared" si="39"/>
        <v>3.1538298216136456</v>
      </c>
      <c r="L108" s="32">
        <f t="shared" si="34"/>
        <v>3.9091082159874202</v>
      </c>
      <c r="M108" s="5">
        <f t="shared" si="49"/>
        <v>25.018929082626968</v>
      </c>
      <c r="N108" s="5">
        <f t="shared" si="49"/>
        <v>42.70545391774187</v>
      </c>
      <c r="O108" s="5">
        <f t="shared" si="49"/>
        <v>44.502209069468428</v>
      </c>
      <c r="P108" s="5">
        <f t="shared" si="49"/>
        <v>6.4335639041324901</v>
      </c>
      <c r="Q108" s="5">
        <f t="shared" si="49"/>
        <v>55.524715194003605</v>
      </c>
      <c r="R108" s="14"/>
      <c r="S108" s="14"/>
      <c r="T108" s="14"/>
    </row>
    <row r="109" spans="1:20" s="25" customFormat="1" ht="19.5" customHeight="1" x14ac:dyDescent="0.25">
      <c r="A109" s="36" t="s">
        <v>114</v>
      </c>
      <c r="B109" s="4">
        <v>34541.81412999997</v>
      </c>
      <c r="C109" s="4">
        <v>33140.830300000001</v>
      </c>
      <c r="D109" s="4">
        <v>43922.940729999995</v>
      </c>
      <c r="E109" s="4">
        <v>47011.576639999985</v>
      </c>
      <c r="F109" s="4">
        <v>54456.692569999985</v>
      </c>
      <c r="G109" s="37">
        <v>69677.33632000006</v>
      </c>
      <c r="H109" s="31">
        <f t="shared" si="47"/>
        <v>0.10812939418963442</v>
      </c>
      <c r="I109" s="60">
        <f t="shared" si="48"/>
        <v>0.15069052134504393</v>
      </c>
      <c r="J109" s="60">
        <f t="shared" si="33"/>
        <v>0.14374161271202035</v>
      </c>
      <c r="K109" s="60">
        <f t="shared" si="39"/>
        <v>0.14993625936831123</v>
      </c>
      <c r="L109" s="32">
        <f t="shared" si="34"/>
        <v>0.15289277872085727</v>
      </c>
      <c r="M109" s="5">
        <f t="shared" si="49"/>
        <v>-4.0559069211804877</v>
      </c>
      <c r="N109" s="5">
        <f t="shared" si="49"/>
        <v>32.534219367461027</v>
      </c>
      <c r="O109" s="5">
        <f t="shared" si="49"/>
        <v>7.0319424397975423</v>
      </c>
      <c r="P109" s="5">
        <f t="shared" si="49"/>
        <v>15.836771412736015</v>
      </c>
      <c r="Q109" s="5">
        <f t="shared" si="49"/>
        <v>27.949996651807457</v>
      </c>
      <c r="R109" s="14"/>
      <c r="S109" s="14"/>
      <c r="T109" s="14"/>
    </row>
    <row r="110" spans="1:20" s="25" customFormat="1" ht="19.5" customHeight="1" x14ac:dyDescent="0.25">
      <c r="A110" s="36" t="s">
        <v>115</v>
      </c>
      <c r="B110" s="4">
        <v>311.05829000000006</v>
      </c>
      <c r="C110" s="4">
        <v>252.93029000000001</v>
      </c>
      <c r="D110" s="4">
        <v>307.96226000000001</v>
      </c>
      <c r="E110" s="4">
        <v>68.243869999999987</v>
      </c>
      <c r="F110" s="4">
        <v>166.80698999999998</v>
      </c>
      <c r="G110" s="37">
        <v>384.23039999999997</v>
      </c>
      <c r="H110" s="31">
        <f t="shared" si="47"/>
        <v>8.2524181749026818E-4</v>
      </c>
      <c r="I110" s="60">
        <f t="shared" si="48"/>
        <v>1.0565547921590173E-3</v>
      </c>
      <c r="J110" s="60">
        <f t="shared" si="33"/>
        <v>2.0866102846597631E-4</v>
      </c>
      <c r="K110" s="60">
        <f t="shared" si="39"/>
        <v>4.5927166959209442E-4</v>
      </c>
      <c r="L110" s="32">
        <f t="shared" si="34"/>
        <v>8.4311566181619524E-4</v>
      </c>
      <c r="M110" s="5">
        <f t="shared" si="49"/>
        <v>-18.687172748233145</v>
      </c>
      <c r="N110" s="5">
        <f t="shared" si="49"/>
        <v>21.75776179278488</v>
      </c>
      <c r="O110" s="5">
        <f t="shared" si="49"/>
        <v>-77.840184053721401</v>
      </c>
      <c r="P110" s="5">
        <f t="shared" si="49"/>
        <v>144.42779988883984</v>
      </c>
      <c r="Q110" s="5">
        <f t="shared" si="49"/>
        <v>130.34430391676034</v>
      </c>
      <c r="R110" s="14"/>
      <c r="S110" s="14"/>
      <c r="T110" s="14"/>
    </row>
    <row r="111" spans="1:20" s="25" customFormat="1" ht="19.5" customHeight="1" x14ac:dyDescent="0.25">
      <c r="A111" s="36" t="s">
        <v>116</v>
      </c>
      <c r="B111" s="4">
        <v>111221.53666999993</v>
      </c>
      <c r="C111" s="4">
        <v>130935.33167</v>
      </c>
      <c r="D111" s="4">
        <v>167453.43124999999</v>
      </c>
      <c r="E111" s="4">
        <v>309116.93504000013</v>
      </c>
      <c r="F111" s="4">
        <v>332788.92783000099</v>
      </c>
      <c r="G111" s="37">
        <v>484529.88132000132</v>
      </c>
      <c r="H111" s="31">
        <f t="shared" si="47"/>
        <v>0.4272058956680983</v>
      </c>
      <c r="I111" s="60">
        <f t="shared" si="48"/>
        <v>0.5744980740518596</v>
      </c>
      <c r="J111" s="60">
        <f t="shared" si="33"/>
        <v>0.94514947029963015</v>
      </c>
      <c r="K111" s="60">
        <f t="shared" si="39"/>
        <v>0.91627171323124756</v>
      </c>
      <c r="L111" s="32">
        <f t="shared" si="34"/>
        <v>1.0632025252526494</v>
      </c>
      <c r="M111" s="5">
        <f t="shared" si="49"/>
        <v>17.724800061423288</v>
      </c>
      <c r="N111" s="5">
        <f t="shared" si="49"/>
        <v>27.890179918769054</v>
      </c>
      <c r="O111" s="5">
        <f t="shared" si="49"/>
        <v>84.59874648880934</v>
      </c>
      <c r="P111" s="5">
        <f t="shared" si="49"/>
        <v>7.6579410917547026</v>
      </c>
      <c r="Q111" s="5">
        <f t="shared" si="49"/>
        <v>45.596755420755578</v>
      </c>
      <c r="R111" s="14"/>
      <c r="S111" s="14"/>
      <c r="T111" s="14"/>
    </row>
    <row r="112" spans="1:20" s="25" customFormat="1" ht="19.5" customHeight="1" x14ac:dyDescent="0.25">
      <c r="A112" s="36" t="s">
        <v>117</v>
      </c>
      <c r="B112" s="4">
        <v>600.3865199999999</v>
      </c>
      <c r="C112" s="4">
        <v>1465.3165300000001</v>
      </c>
      <c r="D112" s="4">
        <v>1311.59789</v>
      </c>
      <c r="E112" s="4">
        <v>2721.9556200000002</v>
      </c>
      <c r="F112" s="4">
        <v>2389.01577</v>
      </c>
      <c r="G112" s="37">
        <v>1063.2065000000002</v>
      </c>
      <c r="H112" s="31">
        <f t="shared" si="47"/>
        <v>4.7809239313161469E-3</v>
      </c>
      <c r="I112" s="60">
        <f t="shared" si="48"/>
        <v>4.4998209717812682E-3</v>
      </c>
      <c r="J112" s="60">
        <f t="shared" si="33"/>
        <v>8.3225945291195286E-3</v>
      </c>
      <c r="K112" s="60">
        <f t="shared" si="39"/>
        <v>6.5777055348204732E-3</v>
      </c>
      <c r="L112" s="32">
        <f t="shared" si="34"/>
        <v>2.3329909655633208E-3</v>
      </c>
      <c r="M112" s="5">
        <f t="shared" si="49"/>
        <v>144.06219679948848</v>
      </c>
      <c r="N112" s="5">
        <f t="shared" si="49"/>
        <v>-10.490473345032152</v>
      </c>
      <c r="O112" s="5">
        <f t="shared" si="49"/>
        <v>107.52973458961574</v>
      </c>
      <c r="P112" s="5">
        <f t="shared" si="49"/>
        <v>-12.231641381427085</v>
      </c>
      <c r="Q112" s="5">
        <f t="shared" si="49"/>
        <v>-55.496045134938555</v>
      </c>
      <c r="R112" s="14"/>
      <c r="S112" s="14"/>
      <c r="T112" s="14"/>
    </row>
    <row r="113" spans="1:20" s="25" customFormat="1" ht="19.5" customHeight="1" x14ac:dyDescent="0.25">
      <c r="A113" s="36" t="s">
        <v>118</v>
      </c>
      <c r="B113" s="4">
        <v>2898.8743799999997</v>
      </c>
      <c r="C113" s="4">
        <v>7162.1310199999998</v>
      </c>
      <c r="D113" s="4">
        <v>5205.4546900000005</v>
      </c>
      <c r="E113" s="4">
        <v>15659.327050000002</v>
      </c>
      <c r="F113" s="4">
        <v>8086.9538899999998</v>
      </c>
      <c r="G113" s="37">
        <v>5826.4840899999999</v>
      </c>
      <c r="H113" s="31">
        <f t="shared" si="47"/>
        <v>2.3368059318036712E-2</v>
      </c>
      <c r="I113" s="60">
        <f t="shared" si="48"/>
        <v>1.7858837956592901E-2</v>
      </c>
      <c r="J113" s="60">
        <f t="shared" si="33"/>
        <v>4.787963061500005E-2</v>
      </c>
      <c r="K113" s="60">
        <f t="shared" si="39"/>
        <v>2.2265906332669769E-2</v>
      </c>
      <c r="L113" s="32">
        <f t="shared" si="34"/>
        <v>1.2785037283884573E-2</v>
      </c>
      <c r="M113" s="5">
        <f t="shared" si="49"/>
        <v>147.06593253620048</v>
      </c>
      <c r="N113" s="5">
        <f t="shared" si="49"/>
        <v>-27.319750567757691</v>
      </c>
      <c r="O113" s="5">
        <f t="shared" si="49"/>
        <v>200.82534538399756</v>
      </c>
      <c r="P113" s="5">
        <f t="shared" si="49"/>
        <v>-48.356951328888691</v>
      </c>
      <c r="Q113" s="5">
        <f t="shared" si="49"/>
        <v>-27.952055010418764</v>
      </c>
      <c r="R113" s="14"/>
      <c r="S113" s="14"/>
      <c r="T113" s="14"/>
    </row>
    <row r="114" spans="1:20" s="25" customFormat="1" ht="19.5" customHeight="1" x14ac:dyDescent="0.25">
      <c r="A114" s="36" t="s">
        <v>119</v>
      </c>
      <c r="B114" s="4">
        <v>2392.3635600000002</v>
      </c>
      <c r="C114" s="4">
        <v>5886.0623900000001</v>
      </c>
      <c r="D114" s="4">
        <v>5397.2950099999998</v>
      </c>
      <c r="E114" s="4">
        <v>4411.6242300000004</v>
      </c>
      <c r="F114" s="4">
        <v>10494.845800000003</v>
      </c>
      <c r="G114" s="37">
        <v>9084.5108700000001</v>
      </c>
      <c r="H114" s="31">
        <f t="shared" si="47"/>
        <v>1.9204599119325372E-2</v>
      </c>
      <c r="I114" s="60">
        <f t="shared" si="48"/>
        <v>1.8517002399941637E-2</v>
      </c>
      <c r="J114" s="60">
        <f t="shared" si="33"/>
        <v>1.348888990377042E-2</v>
      </c>
      <c r="K114" s="60">
        <f t="shared" si="39"/>
        <v>2.8895583768267636E-2</v>
      </c>
      <c r="L114" s="32">
        <f t="shared" si="34"/>
        <v>1.9934116078364622E-2</v>
      </c>
      <c r="M114" s="5">
        <f t="shared" si="49"/>
        <v>146.03544747187169</v>
      </c>
      <c r="N114" s="5">
        <f t="shared" si="49"/>
        <v>-8.3038090257143917</v>
      </c>
      <c r="O114" s="5">
        <f t="shared" si="49"/>
        <v>-18.262310623632182</v>
      </c>
      <c r="P114" s="5">
        <f t="shared" si="49"/>
        <v>137.89074619349441</v>
      </c>
      <c r="Q114" s="5">
        <f t="shared" si="49"/>
        <v>-13.438357807982298</v>
      </c>
      <c r="R114" s="14"/>
      <c r="S114" s="14"/>
      <c r="T114" s="14"/>
    </row>
    <row r="115" spans="1:20" s="25" customFormat="1" ht="19.5" customHeight="1" x14ac:dyDescent="0.25">
      <c r="A115" s="36" t="s">
        <v>120</v>
      </c>
      <c r="B115" s="4">
        <v>134.99922000000001</v>
      </c>
      <c r="C115" s="4">
        <v>50.168800000000005</v>
      </c>
      <c r="D115" s="4">
        <v>555.95740000000001</v>
      </c>
      <c r="E115" s="4">
        <v>2607.2859000000003</v>
      </c>
      <c r="F115" s="4">
        <v>3347.6352699999998</v>
      </c>
      <c r="G115" s="37">
        <v>5580.4575199999999</v>
      </c>
      <c r="H115" s="31">
        <f t="shared" si="47"/>
        <v>1.6368696565882151E-4</v>
      </c>
      <c r="I115" s="60">
        <f t="shared" si="48"/>
        <v>1.9073748036732409E-3</v>
      </c>
      <c r="J115" s="60">
        <f t="shared" si="33"/>
        <v>7.9719827934558625E-3</v>
      </c>
      <c r="K115" s="60">
        <f t="shared" si="39"/>
        <v>9.2170840061215776E-3</v>
      </c>
      <c r="L115" s="32">
        <f t="shared" si="34"/>
        <v>1.2245181888814535E-2</v>
      </c>
      <c r="M115" s="5">
        <f t="shared" si="49"/>
        <v>-62.837711210479583</v>
      </c>
      <c r="N115" s="5">
        <f t="shared" si="49"/>
        <v>1008.1736059064597</v>
      </c>
      <c r="O115" s="5">
        <f t="shared" si="49"/>
        <v>368.97224499574975</v>
      </c>
      <c r="P115" s="5">
        <f t="shared" si="49"/>
        <v>28.395404201740948</v>
      </c>
      <c r="Q115" s="5">
        <f t="shared" si="49"/>
        <v>66.698492216566962</v>
      </c>
      <c r="R115" s="14"/>
      <c r="S115" s="14"/>
      <c r="T115" s="14"/>
    </row>
    <row r="116" spans="1:20" s="25" customFormat="1" ht="19.5" customHeight="1" x14ac:dyDescent="0.25">
      <c r="A116" s="36" t="s">
        <v>121</v>
      </c>
      <c r="B116" s="4">
        <v>61362.390559999971</v>
      </c>
      <c r="C116" s="4">
        <v>72762.475219999993</v>
      </c>
      <c r="D116" s="4">
        <v>87037.789860000004</v>
      </c>
      <c r="E116" s="4">
        <v>101654.72065999999</v>
      </c>
      <c r="F116" s="4">
        <v>112687.2439100004</v>
      </c>
      <c r="G116" s="37">
        <v>135482.15784000044</v>
      </c>
      <c r="H116" s="31">
        <f t="shared" si="47"/>
        <v>0.23740390008505263</v>
      </c>
      <c r="I116" s="60">
        <f t="shared" si="48"/>
        <v>0.2986086476164726</v>
      </c>
      <c r="J116" s="60">
        <f t="shared" si="33"/>
        <v>0.3108173461050367</v>
      </c>
      <c r="K116" s="60">
        <f t="shared" si="39"/>
        <v>0.3102631289748557</v>
      </c>
      <c r="L116" s="32">
        <f t="shared" si="34"/>
        <v>0.29728810935198829</v>
      </c>
      <c r="M116" s="5">
        <f t="shared" si="49"/>
        <v>18.578292918449861</v>
      </c>
      <c r="N116" s="5">
        <f t="shared" si="49"/>
        <v>19.619061331872064</v>
      </c>
      <c r="O116" s="5">
        <f t="shared" si="49"/>
        <v>16.793775236608457</v>
      </c>
      <c r="P116" s="5">
        <f t="shared" si="49"/>
        <v>10.852937451769105</v>
      </c>
      <c r="Q116" s="5">
        <f t="shared" si="49"/>
        <v>20.228477633374002</v>
      </c>
      <c r="R116" s="14"/>
      <c r="S116" s="14"/>
      <c r="T116" s="14"/>
    </row>
    <row r="117" spans="1:20" s="25" customFormat="1" ht="19.5" customHeight="1" x14ac:dyDescent="0.25">
      <c r="A117" s="36" t="s">
        <v>122</v>
      </c>
      <c r="B117" s="4">
        <v>83955.074159999844</v>
      </c>
      <c r="C117" s="4">
        <v>90935.569620000009</v>
      </c>
      <c r="D117" s="4">
        <v>105484.63262</v>
      </c>
      <c r="E117" s="4">
        <v>134093.07653999975</v>
      </c>
      <c r="F117" s="4">
        <v>131878.88251000005</v>
      </c>
      <c r="G117" s="37">
        <v>194837.67578000008</v>
      </c>
      <c r="H117" s="31">
        <f t="shared" si="47"/>
        <v>0.2966976978033023</v>
      </c>
      <c r="I117" s="60">
        <f t="shared" si="48"/>
        <v>0.36189594820415455</v>
      </c>
      <c r="J117" s="60">
        <f t="shared" si="33"/>
        <v>0.41000018406053507</v>
      </c>
      <c r="K117" s="60">
        <f t="shared" si="39"/>
        <v>0.36310369580020235</v>
      </c>
      <c r="L117" s="32">
        <f t="shared" si="34"/>
        <v>0.42753175168332347</v>
      </c>
      <c r="M117" s="5">
        <f t="shared" si="49"/>
        <v>8.3145605311441706</v>
      </c>
      <c r="N117" s="5">
        <f t="shared" si="49"/>
        <v>15.999309248072418</v>
      </c>
      <c r="O117" s="5">
        <f t="shared" si="49"/>
        <v>27.120958958125573</v>
      </c>
      <c r="P117" s="5">
        <f t="shared" si="49"/>
        <v>-1.6512366537725032</v>
      </c>
      <c r="Q117" s="5">
        <f t="shared" si="49"/>
        <v>47.739859537576848</v>
      </c>
      <c r="R117" s="14"/>
      <c r="S117" s="14"/>
      <c r="T117" s="14"/>
    </row>
    <row r="118" spans="1:20" s="25" customFormat="1" ht="19.5" customHeight="1" x14ac:dyDescent="0.25">
      <c r="A118" s="30" t="s">
        <v>123</v>
      </c>
      <c r="B118" s="1"/>
      <c r="C118" s="1"/>
      <c r="D118" s="1"/>
      <c r="E118" s="4"/>
      <c r="F118" s="4"/>
      <c r="G118" s="37"/>
      <c r="H118" s="31"/>
      <c r="I118" s="60"/>
      <c r="J118" s="60"/>
      <c r="K118" s="3"/>
      <c r="L118" s="6"/>
      <c r="M118" s="3"/>
      <c r="N118" s="3"/>
      <c r="O118" s="5"/>
      <c r="P118" s="5"/>
      <c r="Q118" s="5"/>
      <c r="R118" s="14"/>
      <c r="S118" s="14"/>
      <c r="T118" s="14"/>
    </row>
    <row r="119" spans="1:20" s="25" customFormat="1" ht="19.5" customHeight="1" x14ac:dyDescent="0.25">
      <c r="A119" s="26" t="s">
        <v>124</v>
      </c>
      <c r="B119" s="40">
        <f t="shared" ref="B119:G119" si="50">SUM(B120:B121)</f>
        <v>4075169.4017800018</v>
      </c>
      <c r="C119" s="33">
        <f t="shared" si="50"/>
        <v>4819881.6607600003</v>
      </c>
      <c r="D119" s="33">
        <f t="shared" si="50"/>
        <v>5230103.2882599998</v>
      </c>
      <c r="E119" s="33">
        <f t="shared" si="50"/>
        <v>6760823.6399200223</v>
      </c>
      <c r="F119" s="33">
        <f t="shared" si="50"/>
        <v>7309675.9209199604</v>
      </c>
      <c r="G119" s="34">
        <f t="shared" si="50"/>
        <v>8516076.0582299773</v>
      </c>
      <c r="H119" s="35">
        <f>C119/$C$6*100</f>
        <v>15.725945286401224</v>
      </c>
      <c r="I119" s="3">
        <f>D119/$D$6*100</f>
        <v>17.943402197067059</v>
      </c>
      <c r="J119" s="3">
        <f t="shared" si="33"/>
        <v>20.67175284729306</v>
      </c>
      <c r="K119" s="3">
        <f t="shared" si="39"/>
        <v>20.125817655351501</v>
      </c>
      <c r="L119" s="6">
        <f t="shared" si="34"/>
        <v>18.686801205504882</v>
      </c>
      <c r="M119" s="3">
        <f t="shared" ref="M119:Q121" si="51">((C119-B119)/B119)*100</f>
        <v>18.274387775259456</v>
      </c>
      <c r="N119" s="3">
        <f t="shared" si="51"/>
        <v>8.5110311076665646</v>
      </c>
      <c r="O119" s="3">
        <f t="shared" si="51"/>
        <v>29.267497548203814</v>
      </c>
      <c r="P119" s="3">
        <f t="shared" si="51"/>
        <v>8.1181274683631699</v>
      </c>
      <c r="Q119" s="3">
        <f t="shared" si="51"/>
        <v>16.504153540615317</v>
      </c>
      <c r="R119" s="14"/>
      <c r="S119" s="14"/>
      <c r="T119" s="14"/>
    </row>
    <row r="120" spans="1:20" s="25" customFormat="1" ht="19.5" customHeight="1" x14ac:dyDescent="0.25">
      <c r="A120" s="38" t="s">
        <v>125</v>
      </c>
      <c r="B120" s="4">
        <v>2172275.9428900029</v>
      </c>
      <c r="C120" s="4">
        <v>2605504.6838699998</v>
      </c>
      <c r="D120" s="4">
        <v>2854229.7156700003</v>
      </c>
      <c r="E120" s="4">
        <v>4148404.1638100171</v>
      </c>
      <c r="F120" s="4">
        <v>4195174.7767999722</v>
      </c>
      <c r="G120" s="37">
        <v>4542115.3680599807</v>
      </c>
      <c r="H120" s="31">
        <f>C120/$C$6*100</f>
        <v>8.5010435910870346</v>
      </c>
      <c r="I120" s="60">
        <f>D120/$D$6*100</f>
        <v>9.792271572542063</v>
      </c>
      <c r="J120" s="60">
        <f t="shared" si="33"/>
        <v>12.684073738976654</v>
      </c>
      <c r="K120" s="60">
        <f t="shared" si="39"/>
        <v>11.550624610944455</v>
      </c>
      <c r="L120" s="32">
        <f t="shared" si="34"/>
        <v>9.9667506906986088</v>
      </c>
      <c r="M120" s="5">
        <f t="shared" si="51"/>
        <v>19.943540893042716</v>
      </c>
      <c r="N120" s="5">
        <f t="shared" si="51"/>
        <v>9.5461364295290778</v>
      </c>
      <c r="O120" s="5">
        <f t="shared" si="51"/>
        <v>45.34233670944117</v>
      </c>
      <c r="P120" s="5">
        <f t="shared" si="51"/>
        <v>1.127436265684383</v>
      </c>
      <c r="Q120" s="5">
        <f t="shared" si="51"/>
        <v>8.269991352413939</v>
      </c>
      <c r="R120" s="14"/>
      <c r="S120" s="14"/>
      <c r="T120" s="14"/>
    </row>
    <row r="121" spans="1:20" s="25" customFormat="1" ht="26.25" customHeight="1" x14ac:dyDescent="0.25">
      <c r="A121" s="36" t="s">
        <v>126</v>
      </c>
      <c r="B121" s="4">
        <v>1902893.458889999</v>
      </c>
      <c r="C121" s="4">
        <v>2214376.97689</v>
      </c>
      <c r="D121" s="4">
        <v>2375873.57259</v>
      </c>
      <c r="E121" s="4">
        <v>2612419.4761100058</v>
      </c>
      <c r="F121" s="4">
        <v>3114501.1441199887</v>
      </c>
      <c r="G121" s="37">
        <v>3973960.690169997</v>
      </c>
      <c r="H121" s="31">
        <f>C121/$C$6*100</f>
        <v>7.2249016953141867</v>
      </c>
      <c r="I121" s="60">
        <f>D121/$D$6*100</f>
        <v>8.1511306245249955</v>
      </c>
      <c r="J121" s="60">
        <f t="shared" si="33"/>
        <v>7.9876791083164074</v>
      </c>
      <c r="K121" s="60">
        <f t="shared" si="39"/>
        <v>8.5751930444070457</v>
      </c>
      <c r="L121" s="32">
        <f t="shared" si="34"/>
        <v>8.7200505148062764</v>
      </c>
      <c r="M121" s="5">
        <f t="shared" si="51"/>
        <v>16.368941547662711</v>
      </c>
      <c r="N121" s="5">
        <f t="shared" si="51"/>
        <v>7.2930940569484779</v>
      </c>
      <c r="O121" s="5">
        <f t="shared" si="51"/>
        <v>9.9561654394825858</v>
      </c>
      <c r="P121" s="5">
        <f t="shared" si="51"/>
        <v>19.219029432348364</v>
      </c>
      <c r="Q121" s="5">
        <f t="shared" si="51"/>
        <v>27.59541596806352</v>
      </c>
      <c r="R121" s="14"/>
      <c r="S121" s="14"/>
      <c r="T121" s="14"/>
    </row>
    <row r="122" spans="1:20" s="25" customFormat="1" ht="19.5" customHeight="1" x14ac:dyDescent="0.25">
      <c r="A122" s="30" t="s">
        <v>127</v>
      </c>
      <c r="B122" s="1"/>
      <c r="C122" s="1"/>
      <c r="D122" s="1"/>
      <c r="E122" s="4"/>
      <c r="F122" s="4"/>
      <c r="G122" s="37"/>
      <c r="H122" s="31"/>
      <c r="I122" s="60"/>
      <c r="J122" s="60"/>
      <c r="K122" s="3"/>
      <c r="L122" s="6"/>
      <c r="M122" s="3"/>
      <c r="N122" s="3"/>
      <c r="O122" s="5"/>
      <c r="P122" s="5"/>
      <c r="Q122" s="5"/>
      <c r="R122" s="14"/>
      <c r="S122" s="14"/>
      <c r="T122" s="14"/>
    </row>
    <row r="123" spans="1:20" s="25" customFormat="1" ht="19.5" customHeight="1" x14ac:dyDescent="0.25">
      <c r="A123" s="26" t="s">
        <v>128</v>
      </c>
      <c r="B123" s="40">
        <f t="shared" ref="B123:G123" si="52">SUM(B124:B127)</f>
        <v>1327174.2853500005</v>
      </c>
      <c r="C123" s="33">
        <f t="shared" si="52"/>
        <v>1768063.2817999998</v>
      </c>
      <c r="D123" s="33">
        <f t="shared" si="52"/>
        <v>2331155.3314</v>
      </c>
      <c r="E123" s="33">
        <f t="shared" si="52"/>
        <v>2353259.2868900029</v>
      </c>
      <c r="F123" s="33">
        <f t="shared" si="52"/>
        <v>1980260.7954800013</v>
      </c>
      <c r="G123" s="34">
        <f t="shared" si="52"/>
        <v>2645381.805339999</v>
      </c>
      <c r="H123" s="35">
        <f>C123/$C$6*100</f>
        <v>5.7687031320386337</v>
      </c>
      <c r="I123" s="3">
        <f>D123/$D$6*100</f>
        <v>7.9977115918610027</v>
      </c>
      <c r="J123" s="3">
        <f t="shared" si="33"/>
        <v>7.1952763383667726</v>
      </c>
      <c r="K123" s="3">
        <f t="shared" si="39"/>
        <v>5.4522756016871314</v>
      </c>
      <c r="L123" s="6">
        <f t="shared" si="34"/>
        <v>5.8047536883228261</v>
      </c>
      <c r="M123" s="3">
        <f t="shared" ref="M123:Q127" si="53">((C123-B123)/B123)*100</f>
        <v>33.220128005548922</v>
      </c>
      <c r="N123" s="3">
        <f t="shared" si="53"/>
        <v>31.847957898132307</v>
      </c>
      <c r="O123" s="3">
        <f t="shared" si="53"/>
        <v>0.94819745352310392</v>
      </c>
      <c r="P123" s="3">
        <f t="shared" si="53"/>
        <v>-15.850292974003102</v>
      </c>
      <c r="Q123" s="3">
        <f t="shared" si="53"/>
        <v>33.587546215031601</v>
      </c>
      <c r="R123" s="14"/>
      <c r="S123" s="14"/>
      <c r="T123" s="14"/>
    </row>
    <row r="124" spans="1:20" s="25" customFormat="1" ht="19.5" customHeight="1" x14ac:dyDescent="0.25">
      <c r="A124" s="38" t="s">
        <v>129</v>
      </c>
      <c r="B124" s="4">
        <v>6555.6791000000003</v>
      </c>
      <c r="C124" s="4">
        <v>5159.0144600000003</v>
      </c>
      <c r="D124" s="4">
        <v>6794.3540300000004</v>
      </c>
      <c r="E124" s="4">
        <v>15055.367689999995</v>
      </c>
      <c r="F124" s="4">
        <v>8238.4915399999991</v>
      </c>
      <c r="G124" s="37">
        <v>14228.589479999999</v>
      </c>
      <c r="H124" s="31">
        <f>C124/$C$6*100</f>
        <v>1.6832442130315727E-2</v>
      </c>
      <c r="I124" s="60">
        <f>D124/$D$6*100</f>
        <v>2.3310022825593728E-2</v>
      </c>
      <c r="J124" s="60">
        <f t="shared" si="33"/>
        <v>4.6032977117634585E-2</v>
      </c>
      <c r="K124" s="60">
        <f t="shared" si="39"/>
        <v>2.2683136746824251E-2</v>
      </c>
      <c r="L124" s="32">
        <f t="shared" si="34"/>
        <v>3.1221752979829692E-2</v>
      </c>
      <c r="M124" s="5">
        <f t="shared" si="53"/>
        <v>-21.304652328086039</v>
      </c>
      <c r="N124" s="5">
        <f t="shared" si="53"/>
        <v>31.698681650913613</v>
      </c>
      <c r="O124" s="5">
        <f t="shared" si="53"/>
        <v>121.58644697529833</v>
      </c>
      <c r="P124" s="5">
        <f t="shared" si="53"/>
        <v>-45.278709164492007</v>
      </c>
      <c r="Q124" s="5">
        <f t="shared" si="53"/>
        <v>72.708673801709097</v>
      </c>
      <c r="R124" s="14"/>
      <c r="S124" s="14"/>
      <c r="T124" s="14"/>
    </row>
    <row r="125" spans="1:20" s="25" customFormat="1" ht="25.5" customHeight="1" x14ac:dyDescent="0.25">
      <c r="A125" s="36" t="s">
        <v>130</v>
      </c>
      <c r="B125" s="4">
        <v>266185.83831000008</v>
      </c>
      <c r="C125" s="4">
        <v>466840.59477999998</v>
      </c>
      <c r="D125" s="4">
        <v>573675.81246000004</v>
      </c>
      <c r="E125" s="4">
        <v>637602.080100002</v>
      </c>
      <c r="F125" s="4">
        <v>562369.66915000067</v>
      </c>
      <c r="G125" s="37">
        <v>673442.56981999846</v>
      </c>
      <c r="H125" s="31">
        <f>C125/$C$6*100</f>
        <v>1.5231721788421819</v>
      </c>
      <c r="I125" s="60">
        <f>D125/$D$6*100</f>
        <v>1.968163010624518</v>
      </c>
      <c r="J125" s="60">
        <f t="shared" si="33"/>
        <v>1.9495187741508835</v>
      </c>
      <c r="K125" s="60">
        <f t="shared" si="39"/>
        <v>1.548379098972259</v>
      </c>
      <c r="L125" s="32">
        <f t="shared" si="34"/>
        <v>1.4777330943855234</v>
      </c>
      <c r="M125" s="5">
        <f t="shared" si="53"/>
        <v>75.381454454506837</v>
      </c>
      <c r="N125" s="5">
        <f t="shared" si="53"/>
        <v>22.884731720973509</v>
      </c>
      <c r="O125" s="5">
        <f t="shared" si="53"/>
        <v>11.143273997534846</v>
      </c>
      <c r="P125" s="5">
        <f t="shared" si="53"/>
        <v>-11.799273135715275</v>
      </c>
      <c r="Q125" s="5">
        <f t="shared" si="53"/>
        <v>19.750869714911911</v>
      </c>
      <c r="R125" s="14"/>
      <c r="S125" s="14"/>
      <c r="T125" s="14"/>
    </row>
    <row r="126" spans="1:20" s="25" customFormat="1" ht="19.5" customHeight="1" x14ac:dyDescent="0.25">
      <c r="A126" s="36" t="s">
        <v>131</v>
      </c>
      <c r="B126" s="4">
        <v>870273.70785000036</v>
      </c>
      <c r="C126" s="4">
        <v>940117.98805999989</v>
      </c>
      <c r="D126" s="4">
        <v>1313757.4471400001</v>
      </c>
      <c r="E126" s="4">
        <v>845006.77248000039</v>
      </c>
      <c r="F126" s="4">
        <v>934980.5985400005</v>
      </c>
      <c r="G126" s="37">
        <v>1316831.4289600002</v>
      </c>
      <c r="H126" s="31">
        <f>C126/$C$6*100</f>
        <v>3.067345856923378</v>
      </c>
      <c r="I126" s="60">
        <f>D126/$D$6*100</f>
        <v>4.5072299654846137</v>
      </c>
      <c r="J126" s="60">
        <f t="shared" si="33"/>
        <v>2.5836750202822927</v>
      </c>
      <c r="K126" s="60">
        <f t="shared" si="39"/>
        <v>2.5742932027469703</v>
      </c>
      <c r="L126" s="32">
        <f t="shared" si="34"/>
        <v>2.8895194178492298</v>
      </c>
      <c r="M126" s="5">
        <f t="shared" si="53"/>
        <v>8.0255532920268156</v>
      </c>
      <c r="N126" s="5">
        <f t="shared" si="53"/>
        <v>39.743890003746415</v>
      </c>
      <c r="O126" s="5">
        <f t="shared" si="53"/>
        <v>-35.680153568716364</v>
      </c>
      <c r="P126" s="5">
        <f t="shared" si="53"/>
        <v>10.64770472737597</v>
      </c>
      <c r="Q126" s="5">
        <f t="shared" si="53"/>
        <v>40.840508457209793</v>
      </c>
      <c r="R126" s="14"/>
      <c r="S126" s="14"/>
      <c r="T126" s="14"/>
    </row>
    <row r="127" spans="1:20" s="25" customFormat="1" ht="19.5" customHeight="1" x14ac:dyDescent="0.25">
      <c r="A127" s="36" t="s">
        <v>132</v>
      </c>
      <c r="B127" s="4">
        <v>184159.0600900001</v>
      </c>
      <c r="C127" s="4">
        <v>355945.68449999997</v>
      </c>
      <c r="D127" s="4">
        <v>436927.71776999999</v>
      </c>
      <c r="E127" s="4">
        <v>855595.06662000064</v>
      </c>
      <c r="F127" s="4">
        <v>474672.03625000024</v>
      </c>
      <c r="G127" s="37">
        <v>640879.21708000021</v>
      </c>
      <c r="H127" s="31">
        <f>C127/$C$6*100</f>
        <v>1.1613526541427581</v>
      </c>
      <c r="I127" s="60">
        <f>D127/$D$6*100</f>
        <v>1.4990085929262762</v>
      </c>
      <c r="J127" s="60">
        <f t="shared" si="33"/>
        <v>2.6160495668159629</v>
      </c>
      <c r="K127" s="60">
        <f t="shared" si="39"/>
        <v>1.3069201632210785</v>
      </c>
      <c r="L127" s="32">
        <f t="shared" si="34"/>
        <v>1.4062794231082432</v>
      </c>
      <c r="M127" s="5">
        <f t="shared" si="53"/>
        <v>93.281657891849733</v>
      </c>
      <c r="N127" s="5">
        <f t="shared" si="53"/>
        <v>22.751233347232791</v>
      </c>
      <c r="O127" s="5">
        <f t="shared" si="53"/>
        <v>95.820734602694245</v>
      </c>
      <c r="P127" s="5">
        <f t="shared" si="53"/>
        <v>-44.521415004743297</v>
      </c>
      <c r="Q127" s="5">
        <f t="shared" si="53"/>
        <v>35.015161656260283</v>
      </c>
      <c r="R127" s="14"/>
      <c r="S127" s="14"/>
      <c r="T127" s="14"/>
    </row>
    <row r="128" spans="1:20" s="25" customFormat="1" ht="19.5" customHeight="1" x14ac:dyDescent="0.25">
      <c r="A128" s="30" t="s">
        <v>133</v>
      </c>
      <c r="B128" s="1"/>
      <c r="C128" s="1"/>
      <c r="D128" s="1"/>
      <c r="E128" s="4"/>
      <c r="F128" s="4"/>
      <c r="G128" s="37"/>
      <c r="H128" s="31"/>
      <c r="I128" s="60"/>
      <c r="J128" s="60"/>
      <c r="K128" s="3"/>
      <c r="L128" s="6"/>
      <c r="M128" s="3"/>
      <c r="N128" s="3"/>
      <c r="O128" s="5"/>
      <c r="P128" s="5"/>
      <c r="Q128" s="5"/>
      <c r="R128" s="14"/>
      <c r="S128" s="14"/>
      <c r="T128" s="14"/>
    </row>
    <row r="129" spans="1:20" s="25" customFormat="1" ht="19.5" customHeight="1" x14ac:dyDescent="0.25">
      <c r="A129" s="26" t="s">
        <v>134</v>
      </c>
      <c r="B129" s="40">
        <f t="shared" ref="B129:G129" si="54">SUM(B130:B132)</f>
        <v>237050.51012000002</v>
      </c>
      <c r="C129" s="33">
        <f t="shared" si="54"/>
        <v>270098.93417000002</v>
      </c>
      <c r="D129" s="33">
        <f t="shared" si="54"/>
        <v>387889.24714000005</v>
      </c>
      <c r="E129" s="33">
        <f t="shared" si="54"/>
        <v>456113.20961000049</v>
      </c>
      <c r="F129" s="33">
        <f t="shared" si="54"/>
        <v>717631.50783999916</v>
      </c>
      <c r="G129" s="34">
        <f t="shared" si="54"/>
        <v>927524.86933000223</v>
      </c>
      <c r="H129" s="35">
        <f>C129/$C$6*100</f>
        <v>0.88125837097895665</v>
      </c>
      <c r="I129" s="3">
        <f>D129/$D$6*100</f>
        <v>1.3307677469723738</v>
      </c>
      <c r="J129" s="3">
        <f t="shared" si="33"/>
        <v>1.3946022025735079</v>
      </c>
      <c r="K129" s="3">
        <f t="shared" si="39"/>
        <v>1.9758633661429215</v>
      </c>
      <c r="L129" s="6">
        <f t="shared" si="34"/>
        <v>2.0352651535540787</v>
      </c>
      <c r="M129" s="3">
        <f t="shared" ref="M129:Q132" si="55">((C129-B129)/B129)*100</f>
        <v>13.941511466594264</v>
      </c>
      <c r="N129" s="3">
        <f t="shared" si="55"/>
        <v>43.610062117410244</v>
      </c>
      <c r="O129" s="3">
        <f t="shared" si="55"/>
        <v>17.588516044987578</v>
      </c>
      <c r="P129" s="3">
        <f t="shared" si="55"/>
        <v>57.336269312088071</v>
      </c>
      <c r="Q129" s="3">
        <f t="shared" si="55"/>
        <v>29.248069405670552</v>
      </c>
      <c r="R129" s="14"/>
      <c r="S129" s="14"/>
      <c r="T129" s="14"/>
    </row>
    <row r="130" spans="1:20" s="25" customFormat="1" ht="19.5" customHeight="1" x14ac:dyDescent="0.25">
      <c r="A130" s="36" t="s">
        <v>135</v>
      </c>
      <c r="B130" s="4">
        <v>203221.67176000003</v>
      </c>
      <c r="C130" s="4">
        <v>239809.24903000001</v>
      </c>
      <c r="D130" s="4">
        <v>357779.45092000003</v>
      </c>
      <c r="E130" s="4">
        <v>420824.73790000053</v>
      </c>
      <c r="F130" s="4">
        <v>683404.37583999918</v>
      </c>
      <c r="G130" s="37">
        <v>896316.59005000233</v>
      </c>
      <c r="H130" s="31">
        <f>C130/$C$6*100</f>
        <v>0.78243147754463693</v>
      </c>
      <c r="I130" s="60">
        <f>D130/$D$6*100</f>
        <v>1.2274672662992794</v>
      </c>
      <c r="J130" s="60">
        <f t="shared" si="33"/>
        <v>1.2867049101133778</v>
      </c>
      <c r="K130" s="60">
        <f t="shared" si="39"/>
        <v>1.8816253965051444</v>
      </c>
      <c r="L130" s="32">
        <f t="shared" si="34"/>
        <v>1.966784916073385</v>
      </c>
      <c r="M130" s="5">
        <f t="shared" si="55"/>
        <v>18.003777330012834</v>
      </c>
      <c r="N130" s="5">
        <f t="shared" si="55"/>
        <v>49.193349450521829</v>
      </c>
      <c r="O130" s="5">
        <f t="shared" si="55"/>
        <v>17.621271098126179</v>
      </c>
      <c r="P130" s="5">
        <f t="shared" si="55"/>
        <v>62.396435924922919</v>
      </c>
      <c r="Q130" s="5">
        <f t="shared" si="55"/>
        <v>31.154646024662103</v>
      </c>
      <c r="R130" s="14"/>
      <c r="S130" s="14"/>
      <c r="T130" s="14"/>
    </row>
    <row r="131" spans="1:20" s="25" customFormat="1" ht="19.5" customHeight="1" x14ac:dyDescent="0.25">
      <c r="A131" s="36" t="s">
        <v>136</v>
      </c>
      <c r="B131" s="4">
        <v>30426.596570000002</v>
      </c>
      <c r="C131" s="4">
        <v>24853.491120000002</v>
      </c>
      <c r="D131" s="4">
        <v>26338.437420000002</v>
      </c>
      <c r="E131" s="4">
        <v>31894.88651999996</v>
      </c>
      <c r="F131" s="4">
        <v>30517.557559999943</v>
      </c>
      <c r="G131" s="37">
        <v>25631.824829999969</v>
      </c>
      <c r="H131" s="31">
        <f>C131/$C$6*100</f>
        <v>8.1090090802675471E-2</v>
      </c>
      <c r="I131" s="60">
        <f>D131/$D$6*100</f>
        <v>9.0361728979652833E-2</v>
      </c>
      <c r="J131" s="60">
        <f t="shared" si="33"/>
        <v>9.7521137415987641E-2</v>
      </c>
      <c r="K131" s="60">
        <f t="shared" si="39"/>
        <v>8.4024354209940602E-2</v>
      </c>
      <c r="L131" s="32">
        <f t="shared" si="34"/>
        <v>5.6243839516868559E-2</v>
      </c>
      <c r="M131" s="5">
        <f t="shared" si="55"/>
        <v>-18.31655879479786</v>
      </c>
      <c r="N131" s="5">
        <f t="shared" si="55"/>
        <v>5.9747996481872105</v>
      </c>
      <c r="O131" s="5">
        <f t="shared" si="55"/>
        <v>21.096350597399859</v>
      </c>
      <c r="P131" s="5">
        <f t="shared" si="55"/>
        <v>-4.3183378600088487</v>
      </c>
      <c r="Q131" s="5">
        <f t="shared" si="55"/>
        <v>-16.009579798102241</v>
      </c>
      <c r="R131" s="14"/>
      <c r="S131" s="14"/>
      <c r="T131" s="14"/>
    </row>
    <row r="132" spans="1:20" s="25" customFormat="1" ht="19.5" customHeight="1" x14ac:dyDescent="0.25">
      <c r="A132" s="36" t="s">
        <v>137</v>
      </c>
      <c r="B132" s="4">
        <v>3402.2417900000009</v>
      </c>
      <c r="C132" s="4">
        <v>5436.1940199999999</v>
      </c>
      <c r="D132" s="4">
        <v>3771.3588</v>
      </c>
      <c r="E132" s="4">
        <v>3393.585189999998</v>
      </c>
      <c r="F132" s="4">
        <v>3709.5744399999985</v>
      </c>
      <c r="G132" s="37">
        <v>5576.4544499999993</v>
      </c>
      <c r="H132" s="31">
        <f>C132/$C$6*100</f>
        <v>1.7736802631644184E-2</v>
      </c>
      <c r="I132" s="60">
        <f>D132/$D$6*100</f>
        <v>1.2938751693441528E-2</v>
      </c>
      <c r="J132" s="60">
        <f t="shared" si="33"/>
        <v>1.0376155044142504E-2</v>
      </c>
      <c r="K132" s="60">
        <f t="shared" si="39"/>
        <v>1.0213615427836437E-2</v>
      </c>
      <c r="L132" s="32">
        <f t="shared" si="34"/>
        <v>1.2236397963824875E-2</v>
      </c>
      <c r="M132" s="5">
        <f t="shared" si="55"/>
        <v>59.782706684112483</v>
      </c>
      <c r="N132" s="5">
        <f t="shared" si="55"/>
        <v>-30.625014741471645</v>
      </c>
      <c r="O132" s="5">
        <f t="shared" si="55"/>
        <v>-10.016909820407488</v>
      </c>
      <c r="P132" s="5">
        <f t="shared" si="55"/>
        <v>9.3113693132306707</v>
      </c>
      <c r="Q132" s="5">
        <f t="shared" si="55"/>
        <v>50.325988605852089</v>
      </c>
      <c r="R132" s="14"/>
      <c r="S132" s="14"/>
      <c r="T132" s="14"/>
    </row>
    <row r="133" spans="1:20" s="25" customFormat="1" ht="19.5" customHeight="1" x14ac:dyDescent="0.25">
      <c r="A133" s="30" t="s">
        <v>138</v>
      </c>
      <c r="B133" s="1"/>
      <c r="C133" s="1"/>
      <c r="D133" s="1"/>
      <c r="E133" s="4"/>
      <c r="F133" s="4"/>
      <c r="G133" s="37"/>
      <c r="H133" s="31"/>
      <c r="I133" s="60"/>
      <c r="J133" s="60"/>
      <c r="K133" s="3"/>
      <c r="L133" s="6"/>
      <c r="M133" s="3"/>
      <c r="N133" s="3"/>
      <c r="O133" s="5"/>
      <c r="P133" s="5"/>
      <c r="Q133" s="5"/>
      <c r="R133" s="14"/>
      <c r="S133" s="14"/>
      <c r="T133" s="14"/>
    </row>
    <row r="134" spans="1:20" s="25" customFormat="1" ht="19.5" customHeight="1" x14ac:dyDescent="0.25">
      <c r="A134" s="26" t="s">
        <v>139</v>
      </c>
      <c r="B134" s="42">
        <f t="shared" ref="B134:G134" si="56">SUM(B135)</f>
        <v>36.522300000000001</v>
      </c>
      <c r="C134" s="33">
        <f t="shared" si="56"/>
        <v>259.80257999999998</v>
      </c>
      <c r="D134" s="33">
        <f t="shared" si="56"/>
        <v>6846.5144800000007</v>
      </c>
      <c r="E134" s="33">
        <f t="shared" si="56"/>
        <v>3126.7044499999997</v>
      </c>
      <c r="F134" s="33">
        <f t="shared" si="56"/>
        <v>0</v>
      </c>
      <c r="G134" s="34">
        <f t="shared" si="56"/>
        <v>950.5609300000001</v>
      </c>
      <c r="H134" s="35">
        <f>C134/$C$6*100</f>
        <v>8.4766420545305489E-4</v>
      </c>
      <c r="I134" s="3">
        <f>D134/$D$6*100</f>
        <v>2.3488974536782857E-2</v>
      </c>
      <c r="J134" s="3">
        <f t="shared" si="33"/>
        <v>9.5601460797306009E-3</v>
      </c>
      <c r="K134" s="3">
        <f t="shared" si="39"/>
        <v>0</v>
      </c>
      <c r="L134" s="6">
        <f t="shared" si="34"/>
        <v>2.085813115239107E-3</v>
      </c>
      <c r="M134" s="3">
        <v>0</v>
      </c>
      <c r="N134" s="3">
        <f t="shared" ref="N134:P135" si="57">((D134-C134)/C134)*100</f>
        <v>2535.2757851750362</v>
      </c>
      <c r="O134" s="3">
        <f t="shared" si="57"/>
        <v>-54.331441799565148</v>
      </c>
      <c r="P134" s="3">
        <f>((F134-E134)/E134)*100</f>
        <v>-100</v>
      </c>
      <c r="Q134" s="3" t="s">
        <v>0</v>
      </c>
      <c r="R134" s="14"/>
      <c r="S134" s="14"/>
      <c r="T134" s="14"/>
    </row>
    <row r="135" spans="1:20" s="25" customFormat="1" ht="19.5" customHeight="1" x14ac:dyDescent="0.25">
      <c r="A135" s="36" t="s">
        <v>140</v>
      </c>
      <c r="B135" s="4">
        <v>36.522300000000001</v>
      </c>
      <c r="C135" s="4">
        <v>259.80257999999998</v>
      </c>
      <c r="D135" s="4">
        <v>6846.5144800000007</v>
      </c>
      <c r="E135" s="4">
        <v>3126.7044499999997</v>
      </c>
      <c r="F135" s="4">
        <f t="shared" ref="F135" si="58">R135</f>
        <v>0</v>
      </c>
      <c r="G135" s="37">
        <v>950.5609300000001</v>
      </c>
      <c r="H135" s="31">
        <f>C135/$C$6*100</f>
        <v>8.4766420545305489E-4</v>
      </c>
      <c r="I135" s="60">
        <f>D135/$D$6*100</f>
        <v>2.3488974536782857E-2</v>
      </c>
      <c r="J135" s="60">
        <f t="shared" si="33"/>
        <v>9.5601460797306009E-3</v>
      </c>
      <c r="K135" s="60">
        <f t="shared" si="39"/>
        <v>0</v>
      </c>
      <c r="L135" s="32">
        <f t="shared" si="34"/>
        <v>2.085813115239107E-3</v>
      </c>
      <c r="M135" s="5">
        <v>0</v>
      </c>
      <c r="N135" s="5">
        <f t="shared" si="57"/>
        <v>2535.2757851750362</v>
      </c>
      <c r="O135" s="5">
        <f t="shared" si="57"/>
        <v>-54.331441799565148</v>
      </c>
      <c r="P135" s="5">
        <f t="shared" si="57"/>
        <v>-100</v>
      </c>
      <c r="Q135" s="12" t="s">
        <v>0</v>
      </c>
      <c r="R135" s="14"/>
      <c r="S135" s="14"/>
      <c r="T135" s="14"/>
    </row>
    <row r="136" spans="1:20" s="25" customFormat="1" ht="19.5" customHeight="1" x14ac:dyDescent="0.25">
      <c r="A136" s="30" t="s">
        <v>141</v>
      </c>
      <c r="B136" s="1"/>
      <c r="C136" s="1"/>
      <c r="D136" s="1"/>
      <c r="E136" s="4"/>
      <c r="F136" s="4"/>
      <c r="G136" s="37"/>
      <c r="H136" s="31"/>
      <c r="I136" s="60"/>
      <c r="J136" s="60"/>
      <c r="K136" s="3"/>
      <c r="L136" s="6"/>
      <c r="M136" s="3"/>
      <c r="N136" s="3"/>
      <c r="O136" s="5"/>
      <c r="P136" s="5"/>
      <c r="Q136" s="5"/>
      <c r="R136" s="14"/>
      <c r="S136" s="14"/>
      <c r="T136" s="14"/>
    </row>
    <row r="137" spans="1:20" s="25" customFormat="1" ht="19.5" customHeight="1" x14ac:dyDescent="0.25">
      <c r="A137" s="26" t="s">
        <v>142</v>
      </c>
      <c r="B137" s="40">
        <f t="shared" ref="B137:G137" si="59">SUM(B138:B140)</f>
        <v>1093226.6955299987</v>
      </c>
      <c r="C137" s="33">
        <f t="shared" si="59"/>
        <v>1099490.8578199998</v>
      </c>
      <c r="D137" s="33">
        <f t="shared" si="59"/>
        <v>1172917.77248</v>
      </c>
      <c r="E137" s="33">
        <f t="shared" si="59"/>
        <v>1667661.18359</v>
      </c>
      <c r="F137" s="33">
        <f t="shared" si="59"/>
        <v>1618551.748250002</v>
      </c>
      <c r="G137" s="34">
        <f t="shared" si="59"/>
        <v>2396664.236949997</v>
      </c>
      <c r="H137" s="35">
        <f>C137/$C$6*100</f>
        <v>3.5873356007353272</v>
      </c>
      <c r="I137" s="3">
        <f>D137/$D$6*100</f>
        <v>4.02403818351711</v>
      </c>
      <c r="J137" s="3">
        <f t="shared" ref="J137:J143" si="60">E137/$E$6*100</f>
        <v>5.0990059283079461</v>
      </c>
      <c r="K137" s="3">
        <f t="shared" si="39"/>
        <v>4.4563777797320236</v>
      </c>
      <c r="L137" s="6">
        <f t="shared" ref="L137:L143" si="61">G137/$G$6*100</f>
        <v>5.2589934432239183</v>
      </c>
      <c r="M137" s="3">
        <f t="shared" ref="M137:Q143" si="62">((C137-B137)/B137)*100</f>
        <v>0.57299755994013435</v>
      </c>
      <c r="N137" s="3">
        <f t="shared" si="62"/>
        <v>6.6782651386102874</v>
      </c>
      <c r="O137" s="3">
        <f t="shared" si="62"/>
        <v>42.180570771293013</v>
      </c>
      <c r="P137" s="3">
        <f t="shared" si="62"/>
        <v>-2.9448089230139267</v>
      </c>
      <c r="Q137" s="3">
        <f t="shared" si="62"/>
        <v>48.074612970595453</v>
      </c>
      <c r="R137" s="14"/>
      <c r="S137" s="14"/>
      <c r="T137" s="14"/>
    </row>
    <row r="138" spans="1:20" s="25" customFormat="1" ht="19.5" customHeight="1" x14ac:dyDescent="0.25">
      <c r="A138" s="36" t="s">
        <v>143</v>
      </c>
      <c r="B138" s="4">
        <v>800998.75025999884</v>
      </c>
      <c r="C138" s="4">
        <v>814865.41079999995</v>
      </c>
      <c r="D138" s="4">
        <v>860888.47532000009</v>
      </c>
      <c r="E138" s="4">
        <v>1336032.80159</v>
      </c>
      <c r="F138" s="4">
        <v>1265050.6527600016</v>
      </c>
      <c r="G138" s="37">
        <v>1986609.0903599965</v>
      </c>
      <c r="H138" s="31">
        <f>C138/$C$6*100</f>
        <v>2.6586812224765404</v>
      </c>
      <c r="I138" s="60">
        <f>D138/$D$6*100</f>
        <v>2.9535302283916733</v>
      </c>
      <c r="J138" s="60">
        <f t="shared" si="60"/>
        <v>4.0850259289815938</v>
      </c>
      <c r="K138" s="60">
        <f t="shared" si="39"/>
        <v>3.4830790089291517</v>
      </c>
      <c r="L138" s="32">
        <f t="shared" si="61"/>
        <v>4.3592106142276572</v>
      </c>
      <c r="M138" s="5">
        <f t="shared" si="62"/>
        <v>1.7311713077579824</v>
      </c>
      <c r="N138" s="5">
        <f t="shared" si="62"/>
        <v>5.6479344821884947</v>
      </c>
      <c r="O138" s="5">
        <f t="shared" si="62"/>
        <v>55.19232047953534</v>
      </c>
      <c r="P138" s="5">
        <f t="shared" si="62"/>
        <v>-5.3129046491615517</v>
      </c>
      <c r="Q138" s="5">
        <f t="shared" si="62"/>
        <v>57.037908800390547</v>
      </c>
      <c r="R138" s="14"/>
      <c r="S138" s="14"/>
      <c r="T138" s="14"/>
    </row>
    <row r="139" spans="1:20" s="25" customFormat="1" ht="19.5" customHeight="1" x14ac:dyDescent="0.25">
      <c r="A139" s="36" t="s">
        <v>144</v>
      </c>
      <c r="B139" s="4">
        <v>131307.17182000011</v>
      </c>
      <c r="C139" s="4">
        <v>138342.35905999999</v>
      </c>
      <c r="D139" s="4">
        <v>143439.18638</v>
      </c>
      <c r="E139" s="4">
        <v>179404.90843999982</v>
      </c>
      <c r="F139" s="4">
        <v>187865.37587000022</v>
      </c>
      <c r="G139" s="37">
        <v>249813.80367000037</v>
      </c>
      <c r="H139" s="31">
        <f>C139/$C$6*100</f>
        <v>0.4513729843371691</v>
      </c>
      <c r="I139" s="60">
        <f>D139/$D$6*100</f>
        <v>0.49211016880178571</v>
      </c>
      <c r="J139" s="60">
        <f t="shared" si="60"/>
        <v>0.54854469283372531</v>
      </c>
      <c r="K139" s="60">
        <f t="shared" si="39"/>
        <v>0.51725197387928035</v>
      </c>
      <c r="L139" s="32">
        <f t="shared" si="61"/>
        <v>0.54816571102144307</v>
      </c>
      <c r="M139" s="5">
        <f t="shared" si="62"/>
        <v>5.3578088252817855</v>
      </c>
      <c r="N139" s="5">
        <f t="shared" si="62"/>
        <v>3.684213103370229</v>
      </c>
      <c r="O139" s="5">
        <f t="shared" si="62"/>
        <v>25.073846950525226</v>
      </c>
      <c r="P139" s="5">
        <f t="shared" si="62"/>
        <v>4.7158505882406869</v>
      </c>
      <c r="Q139" s="5">
        <f t="shared" si="62"/>
        <v>32.974904243593798</v>
      </c>
      <c r="R139" s="14"/>
      <c r="S139" s="14"/>
      <c r="T139" s="14"/>
    </row>
    <row r="140" spans="1:20" s="25" customFormat="1" ht="19.5" customHeight="1" x14ac:dyDescent="0.25">
      <c r="A140" s="36" t="s">
        <v>145</v>
      </c>
      <c r="B140" s="4">
        <v>160920.7734499998</v>
      </c>
      <c r="C140" s="4">
        <v>146283.08796</v>
      </c>
      <c r="D140" s="4">
        <v>168590.11077999999</v>
      </c>
      <c r="E140" s="4">
        <v>152223.47356000013</v>
      </c>
      <c r="F140" s="4">
        <v>165635.71962000011</v>
      </c>
      <c r="G140" s="37">
        <v>160241.34292000026</v>
      </c>
      <c r="H140" s="31">
        <f>C140/$C$6*100</f>
        <v>0.47728139392161828</v>
      </c>
      <c r="I140" s="60">
        <f>D140/$D$6*100</f>
        <v>0.5783977863236508</v>
      </c>
      <c r="J140" s="60">
        <f t="shared" si="60"/>
        <v>0.46543530649262682</v>
      </c>
      <c r="K140" s="60">
        <f t="shared" si="39"/>
        <v>0.45604679692359107</v>
      </c>
      <c r="L140" s="32">
        <f t="shared" si="61"/>
        <v>0.35161711797481909</v>
      </c>
      <c r="M140" s="5">
        <f t="shared" si="62"/>
        <v>-9.0962062735473506</v>
      </c>
      <c r="N140" s="5">
        <f t="shared" si="62"/>
        <v>15.24921515609492</v>
      </c>
      <c r="O140" s="5">
        <f t="shared" si="62"/>
        <v>-9.7079461804004268</v>
      </c>
      <c r="P140" s="5">
        <f t="shared" si="62"/>
        <v>8.8108921353140914</v>
      </c>
      <c r="Q140" s="5">
        <f t="shared" si="62"/>
        <v>-3.2567713729717092</v>
      </c>
      <c r="R140" s="14"/>
      <c r="S140" s="14"/>
      <c r="T140" s="14"/>
    </row>
    <row r="141" spans="1:20" s="25" customFormat="1" ht="19.5" customHeight="1" x14ac:dyDescent="0.25">
      <c r="A141" s="30" t="s">
        <v>146</v>
      </c>
      <c r="B141" s="1"/>
      <c r="C141" s="1"/>
      <c r="D141" s="1"/>
      <c r="E141" s="4"/>
      <c r="F141" s="4"/>
      <c r="G141" s="37"/>
      <c r="H141" s="31"/>
      <c r="I141" s="60"/>
      <c r="J141" s="60"/>
      <c r="K141" s="3"/>
      <c r="L141" s="6"/>
      <c r="M141" s="3"/>
      <c r="N141" s="3"/>
      <c r="O141" s="5"/>
      <c r="P141" s="5"/>
      <c r="Q141" s="5"/>
      <c r="R141" s="14"/>
      <c r="S141" s="14"/>
      <c r="T141" s="14"/>
    </row>
    <row r="142" spans="1:20" s="25" customFormat="1" ht="19.5" customHeight="1" x14ac:dyDescent="0.25">
      <c r="A142" s="26" t="s">
        <v>147</v>
      </c>
      <c r="B142" s="40">
        <f t="shared" ref="B142:G142" si="63">SUM(B143)</f>
        <v>501.64834000000002</v>
      </c>
      <c r="C142" s="33">
        <f t="shared" si="63"/>
        <v>1493.7953500000001</v>
      </c>
      <c r="D142" s="33">
        <f t="shared" si="63"/>
        <v>836.83505000000002</v>
      </c>
      <c r="E142" s="33">
        <f t="shared" si="63"/>
        <v>1297.1593599999999</v>
      </c>
      <c r="F142" s="33">
        <f t="shared" si="63"/>
        <v>1630.1147400000002</v>
      </c>
      <c r="G142" s="34">
        <f t="shared" si="63"/>
        <v>1382.3535399999998</v>
      </c>
      <c r="H142" s="35">
        <f>C142/$C$6*100</f>
        <v>4.8738424709532067E-3</v>
      </c>
      <c r="I142" s="3">
        <f>D142/$D$6*100</f>
        <v>2.871007903124658E-3</v>
      </c>
      <c r="J142" s="3">
        <f t="shared" si="60"/>
        <v>3.9661673076551432E-3</v>
      </c>
      <c r="K142" s="3">
        <f t="shared" si="39"/>
        <v>4.4882143024490943E-3</v>
      </c>
      <c r="L142" s="6">
        <f t="shared" si="61"/>
        <v>3.0332943976870658E-3</v>
      </c>
      <c r="M142" s="3">
        <f>((C142-B142)/B142)*100</f>
        <v>197.77739322330859</v>
      </c>
      <c r="N142" s="3">
        <f>((D142-C142)/C142)*100</f>
        <v>-43.979270654444065</v>
      </c>
      <c r="O142" s="3">
        <f t="shared" si="62"/>
        <v>55.007771244763212</v>
      </c>
      <c r="P142" s="3">
        <f t="shared" si="62"/>
        <v>25.668039738771988</v>
      </c>
      <c r="Q142" s="3">
        <f t="shared" si="62"/>
        <v>-15.199003721664422</v>
      </c>
      <c r="R142" s="14"/>
      <c r="S142" s="14"/>
      <c r="T142" s="14"/>
    </row>
    <row r="143" spans="1:20" s="25" customFormat="1" ht="19.5" customHeight="1" x14ac:dyDescent="0.25">
      <c r="A143" s="43" t="s">
        <v>148</v>
      </c>
      <c r="B143" s="7">
        <v>501.64834000000002</v>
      </c>
      <c r="C143" s="7">
        <v>1493.7953500000001</v>
      </c>
      <c r="D143" s="7">
        <v>836.83505000000002</v>
      </c>
      <c r="E143" s="7">
        <v>1297.1593599999999</v>
      </c>
      <c r="F143" s="7">
        <v>1630.1147400000002</v>
      </c>
      <c r="G143" s="44">
        <v>1382.3535399999998</v>
      </c>
      <c r="H143" s="45">
        <f>C143/$C$6*100</f>
        <v>4.8738424709532067E-3</v>
      </c>
      <c r="I143" s="8">
        <f>D143/$D$6*100</f>
        <v>2.871007903124658E-3</v>
      </c>
      <c r="J143" s="8">
        <f t="shared" si="60"/>
        <v>3.9661673076551432E-3</v>
      </c>
      <c r="K143" s="8">
        <f>F143/$F$6*100</f>
        <v>4.4882143024490943E-3</v>
      </c>
      <c r="L143" s="73">
        <f t="shared" si="61"/>
        <v>3.0332943976870658E-3</v>
      </c>
      <c r="M143" s="8">
        <f>((C143-B143)/B143)*100</f>
        <v>197.77739322330859</v>
      </c>
      <c r="N143" s="8">
        <f>((D143-C143)/C143)*100</f>
        <v>-43.979270654444065</v>
      </c>
      <c r="O143" s="8">
        <f t="shared" si="62"/>
        <v>55.007771244763212</v>
      </c>
      <c r="P143" s="8">
        <f t="shared" si="62"/>
        <v>25.668039738771988</v>
      </c>
      <c r="Q143" s="8">
        <f t="shared" si="62"/>
        <v>-15.199003721664422</v>
      </c>
      <c r="R143" s="14"/>
      <c r="S143" s="14"/>
      <c r="T143" s="14"/>
    </row>
    <row r="144" spans="1:20" s="11" customFormat="1" ht="19.5" customHeight="1" x14ac:dyDescent="0.4">
      <c r="A144" s="9" t="s">
        <v>1</v>
      </c>
      <c r="B144" s="46"/>
      <c r="C144" s="46"/>
      <c r="D144" s="46"/>
      <c r="E144" s="46"/>
      <c r="F144" s="47"/>
      <c r="G144" s="47"/>
      <c r="H144" s="47"/>
      <c r="I144" s="47"/>
      <c r="J144" s="47"/>
      <c r="N144" s="15"/>
      <c r="Q144" s="15" t="s">
        <v>149</v>
      </c>
      <c r="R144" s="14"/>
      <c r="S144" s="14"/>
      <c r="T144" s="14"/>
    </row>
    <row r="145" spans="1:20" s="11" customFormat="1" ht="19.5" customHeight="1" x14ac:dyDescent="0.25">
      <c r="A145" s="9"/>
      <c r="B145" s="46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R145" s="14"/>
      <c r="S145" s="14"/>
      <c r="T145" s="14"/>
    </row>
    <row r="146" spans="1:20" s="11" customFormat="1" ht="19.5" customHeight="1" x14ac:dyDescent="0.25">
      <c r="B146" s="48"/>
      <c r="C146" s="48"/>
      <c r="D146" s="48"/>
      <c r="E146" s="48"/>
      <c r="F146" s="49"/>
      <c r="G146" s="49"/>
      <c r="H146" s="49"/>
      <c r="I146" s="49"/>
      <c r="J146" s="49"/>
      <c r="K146" s="49"/>
      <c r="L146" s="49"/>
      <c r="R146" s="14"/>
      <c r="S146" s="14"/>
      <c r="T146" s="14"/>
    </row>
    <row r="147" spans="1:20" s="11" customFormat="1" ht="19.5" customHeight="1" x14ac:dyDescent="0.25">
      <c r="B147" s="48"/>
      <c r="C147" s="48"/>
      <c r="D147" s="48"/>
      <c r="E147" s="48"/>
      <c r="F147" s="49"/>
      <c r="G147" s="49"/>
      <c r="H147" s="49"/>
      <c r="I147" s="49"/>
      <c r="J147" s="49"/>
      <c r="K147" s="49"/>
      <c r="L147" s="49"/>
      <c r="R147" s="14"/>
      <c r="S147" s="14"/>
      <c r="T147" s="14"/>
    </row>
    <row r="148" spans="1:20" s="11" customFormat="1" ht="19.5" customHeight="1" x14ac:dyDescent="0.25">
      <c r="B148" s="48"/>
      <c r="C148" s="48"/>
      <c r="D148" s="48"/>
      <c r="E148" s="48"/>
      <c r="F148" s="49"/>
      <c r="G148" s="49"/>
      <c r="H148" s="49"/>
      <c r="I148" s="49"/>
      <c r="J148" s="49"/>
      <c r="K148" s="49"/>
      <c r="L148" s="49"/>
      <c r="R148" s="14"/>
      <c r="S148" s="14"/>
      <c r="T148" s="14"/>
    </row>
    <row r="149" spans="1:20" s="11" customFormat="1" ht="19.5" customHeight="1" x14ac:dyDescent="0.25">
      <c r="F149" s="50"/>
      <c r="G149" s="50"/>
      <c r="H149" s="50"/>
      <c r="I149" s="50"/>
      <c r="J149" s="50"/>
      <c r="K149" s="50"/>
      <c r="L149" s="50"/>
      <c r="R149" s="14"/>
      <c r="S149" s="14"/>
      <c r="T149" s="14"/>
    </row>
    <row r="150" spans="1:20" s="11" customFormat="1" ht="19.5" customHeight="1" x14ac:dyDescent="0.25">
      <c r="F150" s="50"/>
      <c r="G150" s="50"/>
      <c r="H150" s="50"/>
      <c r="I150" s="50"/>
      <c r="J150" s="50"/>
      <c r="K150" s="50"/>
      <c r="L150" s="50"/>
      <c r="R150" s="14"/>
      <c r="S150" s="14"/>
      <c r="T150" s="14"/>
    </row>
    <row r="151" spans="1:20" s="11" customFormat="1" ht="19.5" customHeight="1" x14ac:dyDescent="0.25">
      <c r="F151" s="50"/>
      <c r="G151" s="50"/>
      <c r="H151" s="50"/>
      <c r="I151" s="50"/>
      <c r="J151" s="50"/>
      <c r="K151" s="50"/>
      <c r="L151" s="50"/>
      <c r="R151" s="14"/>
      <c r="S151" s="14"/>
      <c r="T151" s="14"/>
    </row>
    <row r="152" spans="1:20" s="11" customFormat="1" ht="19.5" customHeight="1" x14ac:dyDescent="0.25">
      <c r="F152" s="50"/>
      <c r="G152" s="50"/>
      <c r="H152" s="50"/>
      <c r="I152" s="50"/>
      <c r="J152" s="50"/>
      <c r="K152" s="50"/>
      <c r="L152" s="50"/>
      <c r="R152" s="14"/>
      <c r="S152" s="14"/>
      <c r="T152" s="14"/>
    </row>
    <row r="153" spans="1:20" s="11" customFormat="1" ht="19.5" customHeight="1" x14ac:dyDescent="0.25">
      <c r="F153" s="50"/>
      <c r="G153" s="50"/>
      <c r="H153" s="50"/>
      <c r="I153" s="50"/>
      <c r="J153" s="50"/>
      <c r="K153" s="50"/>
      <c r="L153" s="50"/>
      <c r="R153" s="14"/>
      <c r="S153" s="14"/>
      <c r="T153" s="14"/>
    </row>
    <row r="154" spans="1:20" s="11" customFormat="1" ht="19.5" customHeight="1" x14ac:dyDescent="0.25">
      <c r="A154" s="51"/>
      <c r="B154" s="51"/>
      <c r="C154" s="51"/>
      <c r="D154" s="51"/>
      <c r="E154" s="51"/>
      <c r="F154" s="50"/>
      <c r="G154" s="50"/>
      <c r="H154" s="50"/>
      <c r="I154" s="50"/>
      <c r="J154" s="50"/>
      <c r="K154" s="50"/>
      <c r="L154" s="50"/>
      <c r="R154" s="14"/>
      <c r="S154" s="14"/>
      <c r="T154" s="14"/>
    </row>
    <row r="155" spans="1:20" s="11" customFormat="1" ht="19.5" customHeight="1" x14ac:dyDescent="0.25">
      <c r="A155" s="66"/>
      <c r="B155" s="52"/>
      <c r="C155" s="52"/>
      <c r="D155" s="52"/>
      <c r="E155" s="52"/>
      <c r="F155" s="50"/>
      <c r="G155" s="50"/>
      <c r="H155" s="50"/>
      <c r="I155" s="50"/>
      <c r="J155" s="50"/>
      <c r="K155" s="50"/>
      <c r="L155" s="50"/>
      <c r="R155" s="14"/>
      <c r="S155" s="14"/>
      <c r="T155" s="14"/>
    </row>
    <row r="156" spans="1:20" s="11" customFormat="1" ht="19.5" customHeight="1" x14ac:dyDescent="0.25">
      <c r="A156" s="66"/>
      <c r="B156" s="51"/>
      <c r="C156" s="51"/>
      <c r="D156" s="51"/>
      <c r="E156" s="51"/>
      <c r="F156" s="50"/>
      <c r="G156" s="50"/>
      <c r="H156" s="50"/>
      <c r="I156" s="50"/>
      <c r="J156" s="50"/>
      <c r="K156" s="50"/>
      <c r="L156" s="50"/>
      <c r="R156" s="14"/>
      <c r="S156" s="14"/>
      <c r="T156" s="14"/>
    </row>
    <row r="157" spans="1:20" s="11" customFormat="1" ht="19.5" customHeight="1" x14ac:dyDescent="0.25">
      <c r="A157" s="66"/>
      <c r="B157" s="51"/>
      <c r="C157" s="51"/>
      <c r="D157" s="51"/>
      <c r="E157" s="51"/>
      <c r="F157" s="50"/>
      <c r="G157" s="50"/>
      <c r="H157" s="50"/>
      <c r="I157" s="50"/>
      <c r="J157" s="50"/>
      <c r="K157" s="50"/>
      <c r="L157" s="50"/>
      <c r="R157" s="14"/>
      <c r="S157" s="14"/>
      <c r="T157" s="14"/>
    </row>
    <row r="158" spans="1:20" s="11" customFormat="1" ht="19.5" customHeight="1" x14ac:dyDescent="0.25">
      <c r="A158" s="66"/>
      <c r="B158" s="53"/>
      <c r="C158" s="53"/>
      <c r="D158" s="53"/>
      <c r="E158" s="53"/>
      <c r="F158" s="50"/>
      <c r="G158" s="50"/>
      <c r="H158" s="50"/>
      <c r="I158" s="50"/>
      <c r="J158" s="50"/>
      <c r="K158" s="50"/>
      <c r="L158" s="50"/>
      <c r="R158" s="14"/>
      <c r="S158" s="14"/>
      <c r="T158" s="14"/>
    </row>
    <row r="159" spans="1:20" s="11" customFormat="1" ht="19.5" customHeight="1" x14ac:dyDescent="0.25">
      <c r="A159" s="66"/>
      <c r="B159" s="51"/>
      <c r="C159" s="51"/>
      <c r="D159" s="51"/>
      <c r="E159" s="51"/>
      <c r="F159" s="50"/>
      <c r="G159" s="50"/>
      <c r="H159" s="50"/>
      <c r="I159" s="50"/>
      <c r="J159" s="50"/>
      <c r="K159" s="50"/>
      <c r="L159" s="50"/>
      <c r="R159" s="14"/>
      <c r="S159" s="14"/>
      <c r="T159" s="14"/>
    </row>
    <row r="160" spans="1:20" s="11" customFormat="1" ht="19.5" customHeight="1" x14ac:dyDescent="0.25">
      <c r="A160" s="66"/>
      <c r="B160" s="54"/>
      <c r="C160" s="54"/>
      <c r="D160" s="54"/>
      <c r="E160" s="54"/>
      <c r="F160" s="50"/>
      <c r="G160" s="50"/>
      <c r="H160" s="50"/>
      <c r="I160" s="50"/>
      <c r="J160" s="50"/>
      <c r="K160" s="50"/>
      <c r="L160" s="50"/>
      <c r="R160" s="14"/>
      <c r="S160" s="14"/>
      <c r="T160" s="14"/>
    </row>
    <row r="161" spans="1:20" s="11" customFormat="1" ht="19.5" customHeight="1" x14ac:dyDescent="0.25">
      <c r="A161" s="66"/>
      <c r="B161" s="51"/>
      <c r="C161" s="51"/>
      <c r="D161" s="51"/>
      <c r="E161" s="51"/>
      <c r="F161" s="50"/>
      <c r="G161" s="50"/>
      <c r="H161" s="50"/>
      <c r="I161" s="50"/>
      <c r="J161" s="50"/>
      <c r="K161" s="50"/>
      <c r="L161" s="50"/>
      <c r="R161" s="14"/>
      <c r="S161" s="14"/>
      <c r="T161" s="14"/>
    </row>
    <row r="162" spans="1:20" s="11" customFormat="1" ht="19.5" customHeight="1" x14ac:dyDescent="0.25">
      <c r="A162" s="66"/>
      <c r="B162" s="55"/>
      <c r="C162" s="55"/>
      <c r="D162" s="55"/>
      <c r="E162" s="55"/>
      <c r="F162" s="50"/>
      <c r="G162" s="50"/>
      <c r="H162" s="50"/>
      <c r="I162" s="50"/>
      <c r="J162" s="50"/>
      <c r="K162" s="50"/>
      <c r="L162" s="50"/>
      <c r="R162" s="14"/>
      <c r="S162" s="14"/>
      <c r="T162" s="14"/>
    </row>
    <row r="163" spans="1:20" s="11" customFormat="1" ht="19.5" customHeight="1" x14ac:dyDescent="0.25">
      <c r="A163" s="66"/>
      <c r="B163" s="56"/>
      <c r="C163" s="56"/>
      <c r="D163" s="56"/>
      <c r="E163" s="56"/>
      <c r="F163" s="50"/>
      <c r="G163" s="50"/>
      <c r="H163" s="50"/>
      <c r="I163" s="50"/>
      <c r="J163" s="50"/>
      <c r="K163" s="50"/>
      <c r="L163" s="50"/>
      <c r="R163" s="14"/>
      <c r="S163" s="14"/>
      <c r="T163" s="14"/>
    </row>
    <row r="164" spans="1:20" s="11" customFormat="1" ht="19.5" customHeight="1" x14ac:dyDescent="0.25">
      <c r="A164" s="66"/>
      <c r="B164" s="57"/>
      <c r="C164" s="57"/>
      <c r="D164" s="57"/>
      <c r="E164" s="57"/>
      <c r="F164" s="50"/>
      <c r="G164" s="50"/>
      <c r="H164" s="50"/>
      <c r="I164" s="50"/>
      <c r="J164" s="50"/>
      <c r="K164" s="50"/>
      <c r="L164" s="50"/>
      <c r="R164" s="14"/>
      <c r="S164" s="14"/>
      <c r="T164" s="14"/>
    </row>
    <row r="165" spans="1:20" s="11" customFormat="1" ht="19.5" customHeight="1" x14ac:dyDescent="0.25">
      <c r="A165" s="66"/>
      <c r="B165" s="58"/>
      <c r="C165" s="58"/>
      <c r="D165" s="58"/>
      <c r="E165" s="58"/>
      <c r="F165" s="50"/>
      <c r="G165" s="50"/>
      <c r="H165" s="50"/>
      <c r="I165" s="50"/>
      <c r="J165" s="50"/>
      <c r="K165" s="50"/>
      <c r="L165" s="50"/>
      <c r="R165" s="14"/>
      <c r="S165" s="14"/>
      <c r="T165" s="14"/>
    </row>
    <row r="166" spans="1:20" s="11" customFormat="1" ht="19.5" customHeight="1" x14ac:dyDescent="0.25">
      <c r="F166" s="50"/>
      <c r="G166" s="50"/>
      <c r="H166" s="50"/>
      <c r="I166" s="50"/>
      <c r="J166" s="50"/>
      <c r="K166" s="50"/>
      <c r="L166" s="50"/>
      <c r="R166" s="14"/>
      <c r="S166" s="14"/>
      <c r="T166" s="14"/>
    </row>
    <row r="167" spans="1:20" s="11" customFormat="1" ht="19.5" customHeight="1" x14ac:dyDescent="0.25">
      <c r="F167" s="50"/>
      <c r="G167" s="50"/>
      <c r="H167" s="50"/>
      <c r="I167" s="50"/>
      <c r="J167" s="50"/>
      <c r="K167" s="50"/>
      <c r="L167" s="50"/>
      <c r="R167" s="14"/>
      <c r="S167" s="14"/>
      <c r="T167" s="14"/>
    </row>
    <row r="168" spans="1:20" s="11" customFormat="1" ht="19.5" customHeight="1" x14ac:dyDescent="0.25">
      <c r="F168" s="50"/>
      <c r="G168" s="50"/>
      <c r="H168" s="50"/>
      <c r="I168" s="50"/>
      <c r="J168" s="50"/>
      <c r="K168" s="50"/>
      <c r="L168" s="50"/>
      <c r="R168" s="14"/>
      <c r="S168" s="14"/>
      <c r="T168" s="14"/>
    </row>
    <row r="169" spans="1:20" s="11" customFormat="1" ht="19.5" customHeight="1" x14ac:dyDescent="0.25">
      <c r="F169" s="50"/>
      <c r="G169" s="50"/>
      <c r="H169" s="50"/>
      <c r="I169" s="50"/>
      <c r="J169" s="50"/>
      <c r="K169" s="50"/>
      <c r="L169" s="50"/>
      <c r="R169" s="14"/>
      <c r="S169" s="14"/>
      <c r="T169" s="14"/>
    </row>
    <row r="170" spans="1:20" s="11" customFormat="1" ht="19.5" customHeight="1" x14ac:dyDescent="0.25">
      <c r="F170" s="50"/>
      <c r="G170" s="50"/>
      <c r="H170" s="50"/>
      <c r="I170" s="50"/>
      <c r="J170" s="50"/>
      <c r="K170" s="50"/>
      <c r="L170" s="50"/>
      <c r="R170" s="14"/>
      <c r="S170" s="14"/>
      <c r="T170" s="14"/>
    </row>
    <row r="171" spans="1:20" s="11" customFormat="1" ht="19.5" customHeight="1" x14ac:dyDescent="0.25">
      <c r="F171" s="50"/>
      <c r="G171" s="50"/>
      <c r="H171" s="50"/>
      <c r="I171" s="50"/>
      <c r="J171" s="50"/>
      <c r="K171" s="50"/>
      <c r="L171" s="50"/>
      <c r="R171" s="14"/>
      <c r="S171" s="14"/>
      <c r="T171" s="14"/>
    </row>
    <row r="172" spans="1:20" s="11" customFormat="1" ht="19.5" customHeight="1" x14ac:dyDescent="0.25">
      <c r="F172" s="50"/>
      <c r="G172" s="50"/>
      <c r="H172" s="50"/>
      <c r="I172" s="50"/>
      <c r="J172" s="50"/>
      <c r="K172" s="50"/>
      <c r="L172" s="50"/>
      <c r="R172" s="14"/>
      <c r="S172" s="14"/>
      <c r="T172" s="14"/>
    </row>
    <row r="173" spans="1:20" s="11" customFormat="1" ht="19.5" customHeight="1" x14ac:dyDescent="0.25">
      <c r="F173" s="50"/>
      <c r="G173" s="50"/>
      <c r="H173" s="50"/>
      <c r="I173" s="50"/>
      <c r="J173" s="50"/>
      <c r="K173" s="50"/>
      <c r="L173" s="50"/>
      <c r="R173" s="14"/>
      <c r="S173" s="14"/>
      <c r="T173" s="14"/>
    </row>
    <row r="174" spans="1:20" s="11" customFormat="1" ht="19.5" customHeight="1" x14ac:dyDescent="0.25">
      <c r="F174" s="50"/>
      <c r="G174" s="50"/>
      <c r="H174" s="50"/>
      <c r="I174" s="50"/>
      <c r="J174" s="50"/>
      <c r="K174" s="50"/>
      <c r="L174" s="50"/>
      <c r="R174" s="14"/>
      <c r="S174" s="14"/>
      <c r="T174" s="14"/>
    </row>
    <row r="175" spans="1:20" s="11" customFormat="1" ht="19.5" customHeight="1" x14ac:dyDescent="0.25">
      <c r="F175" s="50"/>
      <c r="G175" s="50"/>
      <c r="H175" s="50"/>
      <c r="I175" s="50"/>
      <c r="J175" s="50"/>
      <c r="K175" s="50"/>
      <c r="L175" s="50"/>
      <c r="R175" s="14"/>
      <c r="S175" s="14"/>
      <c r="T175" s="14"/>
    </row>
    <row r="176" spans="1:20" s="11" customFormat="1" ht="19.5" customHeight="1" x14ac:dyDescent="0.25">
      <c r="F176" s="50"/>
      <c r="G176" s="50"/>
      <c r="H176" s="50"/>
      <c r="I176" s="50"/>
      <c r="J176" s="50"/>
      <c r="K176" s="50"/>
      <c r="L176" s="50"/>
      <c r="R176" s="14"/>
      <c r="S176" s="14"/>
      <c r="T176" s="14"/>
    </row>
    <row r="177" spans="6:20" s="11" customFormat="1" ht="19.5" customHeight="1" x14ac:dyDescent="0.25">
      <c r="F177" s="50"/>
      <c r="G177" s="50"/>
      <c r="H177" s="50"/>
      <c r="I177" s="50"/>
      <c r="J177" s="50"/>
      <c r="K177" s="50"/>
      <c r="L177" s="50"/>
      <c r="R177" s="14"/>
      <c r="S177" s="14"/>
      <c r="T177" s="14"/>
    </row>
    <row r="178" spans="6:20" s="11" customFormat="1" ht="19.5" customHeight="1" x14ac:dyDescent="0.25">
      <c r="F178" s="50"/>
      <c r="G178" s="50"/>
      <c r="H178" s="50"/>
      <c r="I178" s="50"/>
      <c r="J178" s="50"/>
      <c r="K178" s="50"/>
      <c r="L178" s="50"/>
      <c r="R178" s="14"/>
      <c r="S178" s="14"/>
      <c r="T178" s="14"/>
    </row>
    <row r="179" spans="6:20" s="11" customFormat="1" ht="19.5" customHeight="1" x14ac:dyDescent="0.25">
      <c r="F179" s="50"/>
      <c r="G179" s="50"/>
      <c r="H179" s="50"/>
      <c r="I179" s="50"/>
      <c r="J179" s="50"/>
      <c r="K179" s="50"/>
      <c r="L179" s="50"/>
      <c r="R179" s="14"/>
      <c r="S179" s="14"/>
      <c r="T179" s="14"/>
    </row>
    <row r="180" spans="6:20" s="11" customFormat="1" ht="19.5" customHeight="1" x14ac:dyDescent="0.25">
      <c r="F180" s="50"/>
      <c r="G180" s="50"/>
      <c r="H180" s="50"/>
      <c r="I180" s="50"/>
      <c r="J180" s="50"/>
      <c r="K180" s="50"/>
      <c r="L180" s="50"/>
      <c r="R180" s="14"/>
      <c r="S180" s="14"/>
      <c r="T180" s="14"/>
    </row>
    <row r="181" spans="6:20" s="11" customFormat="1" ht="19.5" customHeight="1" x14ac:dyDescent="0.25">
      <c r="F181" s="50"/>
      <c r="G181" s="50"/>
      <c r="H181" s="50"/>
      <c r="I181" s="50"/>
      <c r="J181" s="50"/>
      <c r="K181" s="50"/>
      <c r="L181" s="50"/>
      <c r="R181" s="14"/>
      <c r="S181" s="14"/>
      <c r="T181" s="14"/>
    </row>
    <row r="182" spans="6:20" s="11" customFormat="1" ht="19.5" customHeight="1" x14ac:dyDescent="0.25">
      <c r="F182" s="50"/>
      <c r="G182" s="50"/>
      <c r="H182" s="50"/>
      <c r="I182" s="50"/>
      <c r="J182" s="50"/>
      <c r="K182" s="50"/>
      <c r="L182" s="50"/>
      <c r="R182" s="14"/>
      <c r="S182" s="14"/>
      <c r="T182" s="14"/>
    </row>
    <row r="183" spans="6:20" s="11" customFormat="1" ht="19.5" customHeight="1" x14ac:dyDescent="0.25">
      <c r="F183" s="50"/>
      <c r="G183" s="50"/>
      <c r="H183" s="50"/>
      <c r="I183" s="50"/>
      <c r="J183" s="50"/>
      <c r="K183" s="50"/>
      <c r="L183" s="50"/>
      <c r="R183" s="14"/>
      <c r="S183" s="14"/>
      <c r="T183" s="14"/>
    </row>
    <row r="184" spans="6:20" s="11" customFormat="1" ht="19.5" customHeight="1" x14ac:dyDescent="0.25">
      <c r="F184" s="50"/>
      <c r="G184" s="50"/>
      <c r="H184" s="50"/>
      <c r="I184" s="50"/>
      <c r="J184" s="50"/>
      <c r="K184" s="50"/>
      <c r="L184" s="50"/>
      <c r="R184" s="14"/>
      <c r="S184" s="14"/>
      <c r="T184" s="14"/>
    </row>
    <row r="185" spans="6:20" s="11" customFormat="1" ht="19.5" customHeight="1" x14ac:dyDescent="0.25">
      <c r="F185" s="50"/>
      <c r="G185" s="50"/>
      <c r="H185" s="50"/>
      <c r="I185" s="50"/>
      <c r="J185" s="50"/>
      <c r="K185" s="50"/>
      <c r="L185" s="50"/>
      <c r="R185" s="14"/>
      <c r="S185" s="14"/>
      <c r="T185" s="14"/>
    </row>
    <row r="186" spans="6:20" s="11" customFormat="1" ht="19.5" customHeight="1" x14ac:dyDescent="0.25">
      <c r="F186" s="50"/>
      <c r="G186" s="50"/>
      <c r="H186" s="50"/>
      <c r="I186" s="50"/>
      <c r="J186" s="50"/>
      <c r="K186" s="50"/>
      <c r="L186" s="50"/>
      <c r="R186" s="14"/>
      <c r="S186" s="14"/>
      <c r="T186" s="14"/>
    </row>
    <row r="187" spans="6:20" s="11" customFormat="1" ht="19.5" customHeight="1" x14ac:dyDescent="0.25">
      <c r="F187" s="50"/>
      <c r="G187" s="50"/>
      <c r="H187" s="50"/>
      <c r="I187" s="50"/>
      <c r="J187" s="50"/>
      <c r="K187" s="50"/>
      <c r="L187" s="50"/>
      <c r="R187" s="14"/>
      <c r="S187" s="14"/>
      <c r="T187" s="14"/>
    </row>
    <row r="188" spans="6:20" s="11" customFormat="1" ht="19.5" customHeight="1" x14ac:dyDescent="0.25">
      <c r="F188" s="50"/>
      <c r="G188" s="50"/>
      <c r="H188" s="50"/>
      <c r="I188" s="50"/>
      <c r="J188" s="50"/>
      <c r="K188" s="50"/>
      <c r="L188" s="50"/>
      <c r="R188" s="14"/>
      <c r="S188" s="14"/>
      <c r="T188" s="14"/>
    </row>
    <row r="189" spans="6:20" s="11" customFormat="1" ht="19.5" customHeight="1" x14ac:dyDescent="0.25">
      <c r="F189" s="50"/>
      <c r="G189" s="50"/>
      <c r="H189" s="50"/>
      <c r="I189" s="50"/>
      <c r="J189" s="50"/>
      <c r="K189" s="50"/>
      <c r="L189" s="50"/>
      <c r="R189" s="14"/>
      <c r="S189" s="14"/>
      <c r="T189" s="14"/>
    </row>
    <row r="190" spans="6:20" s="11" customFormat="1" ht="19.5" customHeight="1" x14ac:dyDescent="0.25">
      <c r="F190" s="50"/>
      <c r="G190" s="50"/>
      <c r="H190" s="50"/>
      <c r="I190" s="50"/>
      <c r="J190" s="50"/>
      <c r="K190" s="50"/>
      <c r="L190" s="50"/>
      <c r="R190" s="14"/>
      <c r="S190" s="14"/>
      <c r="T190" s="14"/>
    </row>
    <row r="191" spans="6:20" s="11" customFormat="1" ht="19.5" customHeight="1" x14ac:dyDescent="0.25">
      <c r="F191" s="50"/>
      <c r="G191" s="50"/>
      <c r="H191" s="50"/>
      <c r="I191" s="50"/>
      <c r="J191" s="50"/>
      <c r="K191" s="50"/>
      <c r="L191" s="50"/>
      <c r="R191" s="14"/>
      <c r="S191" s="14"/>
      <c r="T191" s="14"/>
    </row>
    <row r="192" spans="6:20" s="11" customFormat="1" ht="19.5" customHeight="1" x14ac:dyDescent="0.25">
      <c r="F192" s="50"/>
      <c r="G192" s="50"/>
      <c r="H192" s="50"/>
      <c r="I192" s="50"/>
      <c r="J192" s="50"/>
      <c r="K192" s="50"/>
      <c r="L192" s="50"/>
      <c r="R192" s="14"/>
      <c r="S192" s="14"/>
      <c r="T192" s="14"/>
    </row>
    <row r="193" spans="2:20" s="11" customFormat="1" ht="19.5" customHeight="1" x14ac:dyDescent="0.25">
      <c r="F193" s="50"/>
      <c r="G193" s="50"/>
      <c r="H193" s="50"/>
      <c r="I193" s="50"/>
      <c r="J193" s="50"/>
      <c r="K193" s="50"/>
      <c r="L193" s="50"/>
      <c r="R193" s="14"/>
      <c r="S193" s="14"/>
      <c r="T193" s="14"/>
    </row>
    <row r="194" spans="2:20" s="11" customFormat="1" ht="19.5" customHeight="1" x14ac:dyDescent="0.25">
      <c r="F194" s="50"/>
      <c r="G194" s="50"/>
      <c r="H194" s="50"/>
      <c r="I194" s="50"/>
      <c r="J194" s="50"/>
      <c r="K194" s="50"/>
      <c r="L194" s="50"/>
      <c r="R194" s="14"/>
      <c r="S194" s="14"/>
      <c r="T194" s="14"/>
    </row>
    <row r="195" spans="2:20" s="11" customFormat="1" ht="19.5" customHeight="1" x14ac:dyDescent="0.25">
      <c r="F195" s="50"/>
      <c r="G195" s="50"/>
      <c r="H195" s="50"/>
      <c r="I195" s="50"/>
      <c r="J195" s="50"/>
      <c r="K195" s="50"/>
      <c r="L195" s="50"/>
      <c r="R195" s="14"/>
      <c r="S195" s="14"/>
      <c r="T195" s="14"/>
    </row>
    <row r="196" spans="2:20" s="11" customFormat="1" ht="19.5" customHeight="1" x14ac:dyDescent="0.25">
      <c r="F196" s="50"/>
      <c r="G196" s="50"/>
      <c r="H196" s="50"/>
      <c r="I196" s="50"/>
      <c r="J196" s="50"/>
      <c r="K196" s="50"/>
      <c r="L196" s="50"/>
      <c r="R196" s="14"/>
      <c r="S196" s="14"/>
      <c r="T196" s="14"/>
    </row>
    <row r="197" spans="2:20" s="11" customFormat="1" ht="19.5" customHeight="1" x14ac:dyDescent="0.25">
      <c r="F197" s="50"/>
      <c r="G197" s="50"/>
      <c r="H197" s="50"/>
      <c r="I197" s="50"/>
      <c r="J197" s="50"/>
      <c r="K197" s="50"/>
      <c r="L197" s="50"/>
      <c r="R197" s="14"/>
      <c r="S197" s="14"/>
      <c r="T197" s="14"/>
    </row>
    <row r="198" spans="2:20" ht="19.5" customHeight="1" x14ac:dyDescent="0.25">
      <c r="B198" s="11"/>
      <c r="C198" s="11"/>
      <c r="D198" s="11"/>
      <c r="E198" s="11"/>
      <c r="F198" s="50"/>
      <c r="G198" s="50"/>
      <c r="H198" s="50"/>
      <c r="I198" s="50"/>
      <c r="J198" s="50"/>
      <c r="K198" s="50"/>
      <c r="L198" s="50"/>
    </row>
    <row r="199" spans="2:20" ht="19.5" customHeight="1" x14ac:dyDescent="0.25">
      <c r="B199" s="11"/>
      <c r="C199" s="11"/>
      <c r="D199" s="11"/>
      <c r="E199" s="11"/>
      <c r="F199" s="50"/>
      <c r="G199" s="50"/>
      <c r="H199" s="50"/>
      <c r="I199" s="50"/>
      <c r="J199" s="50"/>
      <c r="K199" s="50"/>
      <c r="L199" s="50"/>
    </row>
    <row r="200" spans="2:20" ht="19.5" customHeight="1" x14ac:dyDescent="0.25">
      <c r="B200" s="11"/>
      <c r="C200" s="11"/>
      <c r="D200" s="11"/>
      <c r="E200" s="11"/>
      <c r="F200" s="50"/>
      <c r="G200" s="50"/>
      <c r="H200" s="50"/>
      <c r="I200" s="50"/>
      <c r="J200" s="50"/>
      <c r="K200" s="50"/>
      <c r="L200" s="50"/>
    </row>
    <row r="201" spans="2:20" ht="19.5" customHeight="1" x14ac:dyDescent="0.25">
      <c r="B201" s="11"/>
      <c r="C201" s="11"/>
      <c r="D201" s="11"/>
      <c r="E201" s="11"/>
      <c r="F201" s="50"/>
      <c r="G201" s="50"/>
      <c r="H201" s="50"/>
      <c r="I201" s="50"/>
      <c r="J201" s="50"/>
      <c r="K201" s="50"/>
      <c r="L201" s="50"/>
    </row>
    <row r="202" spans="2:20" ht="19.5" customHeight="1" x14ac:dyDescent="0.25">
      <c r="B202" s="11"/>
      <c r="C202" s="11"/>
      <c r="D202" s="11"/>
      <c r="E202" s="11"/>
      <c r="F202" s="50"/>
      <c r="G202" s="50"/>
      <c r="H202" s="50"/>
      <c r="I202" s="50"/>
      <c r="J202" s="50"/>
      <c r="K202" s="50"/>
      <c r="L202" s="50"/>
    </row>
    <row r="203" spans="2:20" ht="19.5" customHeight="1" x14ac:dyDescent="0.25">
      <c r="B203" s="11"/>
      <c r="C203" s="11"/>
      <c r="D203" s="11"/>
      <c r="E203" s="11"/>
      <c r="F203" s="50"/>
      <c r="G203" s="50"/>
      <c r="H203" s="50"/>
      <c r="I203" s="50"/>
      <c r="J203" s="50"/>
      <c r="K203" s="50"/>
      <c r="L203" s="50"/>
    </row>
    <row r="204" spans="2:20" ht="19.5" customHeight="1" x14ac:dyDescent="0.25">
      <c r="B204" s="11"/>
      <c r="C204" s="11"/>
      <c r="D204" s="11"/>
      <c r="E204" s="11"/>
      <c r="F204" s="50"/>
      <c r="G204" s="50"/>
      <c r="H204" s="50"/>
      <c r="I204" s="50"/>
      <c r="J204" s="50"/>
      <c r="K204" s="50"/>
      <c r="L204" s="50"/>
    </row>
    <row r="205" spans="2:20" ht="19.5" customHeight="1" x14ac:dyDescent="0.25">
      <c r="B205" s="11"/>
      <c r="C205" s="11"/>
      <c r="D205" s="11"/>
      <c r="E205" s="11"/>
      <c r="F205" s="50"/>
      <c r="G205" s="50"/>
      <c r="H205" s="50"/>
      <c r="I205" s="50"/>
      <c r="J205" s="50"/>
      <c r="K205" s="50"/>
      <c r="L205" s="50"/>
    </row>
    <row r="206" spans="2:20" ht="19.5" customHeight="1" x14ac:dyDescent="0.25">
      <c r="B206" s="11"/>
      <c r="C206" s="11"/>
      <c r="D206" s="11"/>
      <c r="E206" s="11"/>
      <c r="F206" s="50"/>
      <c r="G206" s="50"/>
      <c r="H206" s="50"/>
      <c r="I206" s="50"/>
      <c r="J206" s="50"/>
      <c r="K206" s="50"/>
      <c r="L206" s="50"/>
    </row>
    <row r="207" spans="2:20" ht="19.5" customHeight="1" x14ac:dyDescent="0.25">
      <c r="B207" s="11"/>
      <c r="C207" s="11"/>
      <c r="D207" s="11"/>
      <c r="E207" s="11"/>
      <c r="F207" s="50"/>
      <c r="G207" s="50"/>
      <c r="H207" s="50"/>
      <c r="I207" s="50"/>
      <c r="J207" s="50"/>
      <c r="K207" s="50"/>
      <c r="L207" s="50"/>
    </row>
    <row r="208" spans="2:20" ht="19.5" customHeight="1" x14ac:dyDescent="0.25">
      <c r="B208" s="11"/>
      <c r="C208" s="11"/>
      <c r="D208" s="11"/>
      <c r="E208" s="11"/>
      <c r="F208" s="50"/>
      <c r="G208" s="50"/>
      <c r="H208" s="50"/>
      <c r="I208" s="50"/>
      <c r="J208" s="50"/>
      <c r="K208" s="50"/>
      <c r="L208" s="50"/>
    </row>
    <row r="209" spans="2:12" ht="19.5" customHeight="1" x14ac:dyDescent="0.25">
      <c r="B209" s="11"/>
      <c r="C209" s="11"/>
      <c r="D209" s="11"/>
      <c r="E209" s="11"/>
      <c r="F209" s="50"/>
      <c r="G209" s="50"/>
      <c r="H209" s="50"/>
      <c r="I209" s="50"/>
      <c r="J209" s="50"/>
      <c r="K209" s="50"/>
      <c r="L209" s="50"/>
    </row>
    <row r="210" spans="2:12" ht="19.5" customHeight="1" x14ac:dyDescent="0.25">
      <c r="B210" s="11"/>
      <c r="C210" s="11"/>
      <c r="D210" s="11"/>
      <c r="E210" s="11"/>
      <c r="F210" s="50"/>
      <c r="G210" s="50"/>
      <c r="H210" s="50"/>
      <c r="I210" s="50"/>
      <c r="J210" s="50"/>
      <c r="K210" s="50"/>
      <c r="L210" s="50"/>
    </row>
    <row r="211" spans="2:12" ht="19.5" customHeight="1" x14ac:dyDescent="0.25">
      <c r="B211" s="11"/>
      <c r="C211" s="11"/>
      <c r="D211" s="11"/>
      <c r="E211" s="11"/>
      <c r="F211" s="50"/>
      <c r="G211" s="50"/>
      <c r="H211" s="50"/>
      <c r="I211" s="50"/>
      <c r="J211" s="50"/>
      <c r="K211" s="50"/>
      <c r="L211" s="50"/>
    </row>
    <row r="212" spans="2:12" ht="19.5" customHeight="1" x14ac:dyDescent="0.25">
      <c r="B212" s="11"/>
      <c r="C212" s="11"/>
      <c r="D212" s="11"/>
      <c r="E212" s="11"/>
      <c r="F212" s="50"/>
      <c r="G212" s="50"/>
      <c r="H212" s="50"/>
      <c r="I212" s="50"/>
      <c r="J212" s="50"/>
      <c r="K212" s="50"/>
      <c r="L212" s="50"/>
    </row>
    <row r="213" spans="2:12" ht="19.5" customHeight="1" x14ac:dyDescent="0.25">
      <c r="B213" s="11"/>
      <c r="C213" s="11"/>
      <c r="D213" s="11"/>
      <c r="E213" s="11"/>
      <c r="F213" s="50"/>
      <c r="G213" s="50"/>
      <c r="H213" s="50"/>
      <c r="I213" s="50"/>
      <c r="J213" s="50"/>
      <c r="K213" s="50"/>
      <c r="L213" s="50"/>
    </row>
    <row r="214" spans="2:12" ht="19.5" customHeight="1" x14ac:dyDescent="0.25">
      <c r="B214" s="11"/>
      <c r="C214" s="11"/>
      <c r="D214" s="11"/>
      <c r="E214" s="11"/>
      <c r="F214" s="50"/>
      <c r="G214" s="50"/>
      <c r="H214" s="50"/>
      <c r="I214" s="50"/>
      <c r="J214" s="50"/>
      <c r="K214" s="50"/>
      <c r="L214" s="50"/>
    </row>
    <row r="215" spans="2:12" ht="19.5" customHeight="1" x14ac:dyDescent="0.25">
      <c r="B215" s="11"/>
      <c r="C215" s="11"/>
      <c r="D215" s="11"/>
      <c r="E215" s="11"/>
      <c r="F215" s="50"/>
      <c r="G215" s="50"/>
      <c r="H215" s="50"/>
      <c r="I215" s="50"/>
      <c r="J215" s="50"/>
      <c r="K215" s="50"/>
      <c r="L215" s="50"/>
    </row>
    <row r="216" spans="2:12" ht="19.5" customHeight="1" x14ac:dyDescent="0.25">
      <c r="B216" s="11"/>
      <c r="C216" s="11"/>
      <c r="D216" s="11"/>
      <c r="E216" s="11"/>
      <c r="F216" s="50"/>
      <c r="G216" s="50"/>
      <c r="H216" s="50"/>
      <c r="I216" s="50"/>
      <c r="J216" s="50"/>
      <c r="K216" s="50"/>
      <c r="L216" s="50"/>
    </row>
    <row r="217" spans="2:12" ht="19.5" customHeight="1" x14ac:dyDescent="0.25">
      <c r="B217" s="11"/>
      <c r="C217" s="11"/>
      <c r="D217" s="11"/>
      <c r="E217" s="11"/>
      <c r="F217" s="50"/>
      <c r="G217" s="50"/>
      <c r="H217" s="50"/>
      <c r="I217" s="50"/>
      <c r="J217" s="50"/>
      <c r="K217" s="50"/>
      <c r="L217" s="50"/>
    </row>
    <row r="218" spans="2:12" ht="19.5" customHeight="1" x14ac:dyDescent="0.25">
      <c r="B218" s="11"/>
      <c r="C218" s="11"/>
      <c r="D218" s="11"/>
      <c r="E218" s="11"/>
      <c r="F218" s="50"/>
      <c r="G218" s="50"/>
      <c r="H218" s="50"/>
      <c r="I218" s="50"/>
      <c r="J218" s="50"/>
      <c r="K218" s="50"/>
      <c r="L218" s="50"/>
    </row>
    <row r="219" spans="2:12" ht="19.5" customHeight="1" x14ac:dyDescent="0.25">
      <c r="B219" s="11"/>
      <c r="C219" s="11"/>
      <c r="D219" s="11"/>
      <c r="E219" s="11"/>
      <c r="F219" s="50"/>
      <c r="G219" s="50"/>
      <c r="H219" s="50"/>
      <c r="I219" s="50"/>
      <c r="J219" s="50"/>
      <c r="K219" s="50"/>
      <c r="L219" s="50"/>
    </row>
    <row r="220" spans="2:12" ht="19.5" customHeight="1" x14ac:dyDescent="0.25">
      <c r="B220" s="11"/>
      <c r="C220" s="11"/>
      <c r="D220" s="11"/>
      <c r="E220" s="11"/>
      <c r="F220" s="50"/>
      <c r="G220" s="50"/>
      <c r="H220" s="50"/>
      <c r="I220" s="50"/>
      <c r="J220" s="50"/>
      <c r="K220" s="50"/>
      <c r="L220" s="50"/>
    </row>
    <row r="221" spans="2:12" ht="19.5" customHeight="1" x14ac:dyDescent="0.25">
      <c r="B221" s="11"/>
      <c r="C221" s="11"/>
      <c r="D221" s="11"/>
      <c r="E221" s="11"/>
      <c r="F221" s="50"/>
      <c r="G221" s="50"/>
      <c r="H221" s="50"/>
      <c r="I221" s="50"/>
      <c r="J221" s="50"/>
      <c r="K221" s="50"/>
      <c r="L221" s="50"/>
    </row>
    <row r="222" spans="2:12" ht="19.5" customHeight="1" x14ac:dyDescent="0.25">
      <c r="B222" s="11"/>
      <c r="C222" s="11"/>
      <c r="D222" s="11"/>
      <c r="E222" s="11"/>
      <c r="F222" s="50"/>
      <c r="G222" s="50"/>
      <c r="H222" s="50"/>
      <c r="I222" s="50"/>
      <c r="J222" s="50"/>
      <c r="K222" s="50"/>
      <c r="L222" s="50"/>
    </row>
    <row r="223" spans="2:12" ht="19.5" customHeight="1" x14ac:dyDescent="0.25">
      <c r="B223" s="11"/>
      <c r="C223" s="11"/>
      <c r="D223" s="11"/>
      <c r="E223" s="11"/>
      <c r="F223" s="50"/>
      <c r="G223" s="50"/>
      <c r="H223" s="50"/>
      <c r="I223" s="50"/>
      <c r="J223" s="50"/>
      <c r="K223" s="50"/>
      <c r="L223" s="50"/>
    </row>
    <row r="224" spans="2:12" ht="19.5" customHeight="1" x14ac:dyDescent="0.25">
      <c r="B224" s="11"/>
      <c r="C224" s="11"/>
      <c r="D224" s="11"/>
      <c r="E224" s="11"/>
      <c r="F224" s="50"/>
      <c r="G224" s="50"/>
      <c r="H224" s="50"/>
      <c r="I224" s="50"/>
      <c r="J224" s="50"/>
      <c r="K224" s="50"/>
      <c r="L224" s="50"/>
    </row>
    <row r="225" spans="2:12" ht="19.5" customHeight="1" x14ac:dyDescent="0.25">
      <c r="B225" s="11"/>
      <c r="C225" s="11"/>
      <c r="D225" s="11"/>
      <c r="E225" s="11"/>
      <c r="F225" s="50"/>
      <c r="G225" s="50"/>
      <c r="H225" s="50"/>
      <c r="I225" s="50"/>
      <c r="J225" s="50"/>
      <c r="K225" s="50"/>
      <c r="L225" s="50"/>
    </row>
    <row r="226" spans="2:12" ht="19.5" customHeight="1" x14ac:dyDescent="0.25">
      <c r="B226" s="11"/>
      <c r="C226" s="11"/>
      <c r="D226" s="11"/>
      <c r="E226" s="11"/>
      <c r="F226" s="50"/>
      <c r="G226" s="50"/>
      <c r="H226" s="50"/>
      <c r="I226" s="50"/>
      <c r="J226" s="50"/>
      <c r="K226" s="50"/>
      <c r="L226" s="50"/>
    </row>
    <row r="227" spans="2:12" ht="19.5" customHeight="1" x14ac:dyDescent="0.25">
      <c r="B227" s="11"/>
      <c r="C227" s="11"/>
      <c r="D227" s="11"/>
      <c r="E227" s="11"/>
      <c r="F227" s="50"/>
      <c r="G227" s="50"/>
      <c r="H227" s="50"/>
      <c r="I227" s="50"/>
      <c r="J227" s="50"/>
      <c r="K227" s="50"/>
      <c r="L227" s="50"/>
    </row>
    <row r="228" spans="2:12" ht="19.5" customHeight="1" x14ac:dyDescent="0.25">
      <c r="B228" s="11"/>
      <c r="C228" s="11"/>
      <c r="D228" s="11"/>
      <c r="E228" s="11"/>
      <c r="F228" s="50"/>
      <c r="G228" s="50"/>
      <c r="H228" s="50"/>
      <c r="I228" s="50"/>
      <c r="J228" s="50"/>
      <c r="K228" s="50"/>
      <c r="L228" s="50"/>
    </row>
    <row r="229" spans="2:12" ht="19.5" customHeight="1" x14ac:dyDescent="0.25">
      <c r="B229" s="11"/>
      <c r="C229" s="11"/>
      <c r="D229" s="11"/>
      <c r="E229" s="11"/>
      <c r="F229" s="50"/>
      <c r="G229" s="50"/>
      <c r="H229" s="50"/>
      <c r="I229" s="50"/>
      <c r="J229" s="50"/>
      <c r="K229" s="50"/>
      <c r="L229" s="50"/>
    </row>
    <row r="230" spans="2:12" ht="19.5" customHeight="1" x14ac:dyDescent="0.25">
      <c r="B230" s="11"/>
      <c r="C230" s="11"/>
      <c r="D230" s="11"/>
      <c r="E230" s="11"/>
      <c r="F230" s="50"/>
      <c r="G230" s="50"/>
      <c r="H230" s="50"/>
      <c r="I230" s="50"/>
      <c r="J230" s="50"/>
      <c r="K230" s="50"/>
      <c r="L230" s="50"/>
    </row>
    <row r="231" spans="2:12" ht="19.5" customHeight="1" x14ac:dyDescent="0.25">
      <c r="B231" s="11"/>
      <c r="C231" s="11"/>
      <c r="D231" s="11"/>
      <c r="E231" s="11"/>
      <c r="F231" s="50"/>
      <c r="G231" s="50"/>
      <c r="H231" s="50"/>
      <c r="I231" s="50"/>
      <c r="J231" s="50"/>
      <c r="K231" s="50"/>
      <c r="L231" s="50"/>
    </row>
    <row r="232" spans="2:12" x14ac:dyDescent="0.25">
      <c r="B232" s="11"/>
      <c r="C232" s="11"/>
      <c r="D232" s="11"/>
      <c r="E232" s="11"/>
      <c r="F232" s="50"/>
      <c r="G232" s="50"/>
      <c r="H232" s="50"/>
      <c r="I232" s="50"/>
      <c r="J232" s="50"/>
      <c r="K232" s="50"/>
      <c r="L232" s="50"/>
    </row>
    <row r="233" spans="2:12" x14ac:dyDescent="0.25">
      <c r="B233" s="11"/>
      <c r="C233" s="11"/>
      <c r="D233" s="11"/>
      <c r="E233" s="11"/>
      <c r="F233" s="50"/>
      <c r="G233" s="50"/>
      <c r="H233" s="50"/>
      <c r="I233" s="50"/>
      <c r="J233" s="50"/>
      <c r="K233" s="50"/>
      <c r="L233" s="50"/>
    </row>
    <row r="234" spans="2:12" x14ac:dyDescent="0.25">
      <c r="B234" s="11"/>
      <c r="C234" s="11"/>
      <c r="D234" s="11"/>
      <c r="E234" s="11"/>
      <c r="F234" s="50"/>
      <c r="G234" s="50"/>
      <c r="H234" s="50"/>
      <c r="I234" s="50"/>
      <c r="J234" s="50"/>
      <c r="K234" s="50"/>
      <c r="L234" s="50"/>
    </row>
    <row r="235" spans="2:12" x14ac:dyDescent="0.25">
      <c r="B235" s="11"/>
      <c r="C235" s="11"/>
      <c r="D235" s="11"/>
      <c r="E235" s="11"/>
      <c r="F235" s="50"/>
      <c r="G235" s="50"/>
      <c r="H235" s="50"/>
      <c r="I235" s="50"/>
      <c r="J235" s="50"/>
      <c r="K235" s="50"/>
      <c r="L235" s="50"/>
    </row>
    <row r="236" spans="2:12" x14ac:dyDescent="0.25">
      <c r="B236" s="11"/>
      <c r="C236" s="11"/>
      <c r="D236" s="11"/>
      <c r="E236" s="11"/>
      <c r="F236" s="50"/>
      <c r="G236" s="50"/>
      <c r="H236" s="50"/>
      <c r="I236" s="50"/>
      <c r="J236" s="50"/>
      <c r="K236" s="50"/>
      <c r="L236" s="50"/>
    </row>
    <row r="237" spans="2:12" x14ac:dyDescent="0.25">
      <c r="B237" s="11"/>
      <c r="C237" s="11"/>
      <c r="D237" s="11"/>
      <c r="E237" s="11"/>
      <c r="F237" s="50"/>
      <c r="G237" s="50"/>
      <c r="H237" s="50"/>
      <c r="I237" s="50"/>
      <c r="J237" s="50"/>
      <c r="K237" s="50"/>
      <c r="L237" s="50"/>
    </row>
    <row r="238" spans="2:12" x14ac:dyDescent="0.25">
      <c r="B238" s="11"/>
      <c r="C238" s="11"/>
      <c r="D238" s="11"/>
      <c r="E238" s="11"/>
      <c r="F238" s="50"/>
      <c r="G238" s="50"/>
      <c r="H238" s="50"/>
      <c r="I238" s="50"/>
      <c r="J238" s="50"/>
      <c r="K238" s="50"/>
      <c r="L238" s="50"/>
    </row>
    <row r="239" spans="2:12" x14ac:dyDescent="0.25">
      <c r="B239" s="11"/>
      <c r="C239" s="11"/>
      <c r="D239" s="11"/>
      <c r="E239" s="11"/>
      <c r="F239" s="50"/>
      <c r="G239" s="50"/>
      <c r="H239" s="50"/>
      <c r="I239" s="50"/>
      <c r="J239" s="50"/>
      <c r="K239" s="50"/>
      <c r="L239" s="50"/>
    </row>
    <row r="240" spans="2:12" x14ac:dyDescent="0.25">
      <c r="B240" s="11"/>
      <c r="C240" s="11"/>
      <c r="D240" s="11"/>
      <c r="E240" s="11"/>
      <c r="F240" s="50"/>
      <c r="G240" s="50"/>
      <c r="H240" s="50"/>
      <c r="I240" s="50"/>
      <c r="J240" s="50"/>
      <c r="K240" s="50"/>
      <c r="L240" s="50"/>
    </row>
    <row r="241" spans="2:12" x14ac:dyDescent="0.25">
      <c r="B241" s="11"/>
      <c r="C241" s="11"/>
      <c r="D241" s="11"/>
      <c r="E241" s="11"/>
      <c r="F241" s="50"/>
      <c r="G241" s="50"/>
      <c r="H241" s="50"/>
      <c r="I241" s="50"/>
      <c r="J241" s="50"/>
      <c r="K241" s="50"/>
      <c r="L241" s="50"/>
    </row>
    <row r="242" spans="2:12" x14ac:dyDescent="0.25">
      <c r="B242" s="11"/>
      <c r="C242" s="11"/>
      <c r="D242" s="11"/>
      <c r="E242" s="11"/>
      <c r="F242" s="50"/>
      <c r="G242" s="50"/>
      <c r="H242" s="50"/>
      <c r="I242" s="50"/>
      <c r="J242" s="50"/>
      <c r="K242" s="50"/>
      <c r="L242" s="50"/>
    </row>
    <row r="243" spans="2:12" x14ac:dyDescent="0.25">
      <c r="B243" s="11"/>
      <c r="C243" s="11"/>
      <c r="D243" s="11"/>
      <c r="E243" s="11"/>
      <c r="F243" s="50"/>
      <c r="G243" s="50"/>
      <c r="H243" s="50"/>
      <c r="I243" s="50"/>
      <c r="J243" s="50"/>
      <c r="K243" s="50"/>
      <c r="L243" s="50"/>
    </row>
    <row r="244" spans="2:12" x14ac:dyDescent="0.25">
      <c r="B244" s="11"/>
      <c r="C244" s="11"/>
      <c r="D244" s="11"/>
      <c r="E244" s="11"/>
      <c r="F244" s="50"/>
      <c r="G244" s="50"/>
      <c r="H244" s="50"/>
      <c r="I244" s="50"/>
      <c r="J244" s="50"/>
      <c r="K244" s="50"/>
      <c r="L244" s="50"/>
    </row>
    <row r="245" spans="2:12" x14ac:dyDescent="0.25">
      <c r="B245" s="11"/>
      <c r="C245" s="11"/>
      <c r="D245" s="11"/>
      <c r="E245" s="11"/>
      <c r="F245" s="50"/>
      <c r="G245" s="50"/>
      <c r="H245" s="50"/>
      <c r="I245" s="50"/>
      <c r="J245" s="50"/>
      <c r="K245" s="50"/>
      <c r="L245" s="50"/>
    </row>
    <row r="246" spans="2:12" x14ac:dyDescent="0.25">
      <c r="B246" s="11"/>
      <c r="C246" s="11"/>
      <c r="D246" s="11"/>
      <c r="E246" s="11"/>
      <c r="F246" s="50"/>
      <c r="G246" s="50"/>
      <c r="H246" s="50"/>
      <c r="I246" s="50"/>
      <c r="J246" s="50"/>
      <c r="K246" s="50"/>
      <c r="L246" s="50"/>
    </row>
    <row r="247" spans="2:12" x14ac:dyDescent="0.25">
      <c r="B247" s="11"/>
      <c r="C247" s="11"/>
      <c r="D247" s="11"/>
      <c r="E247" s="11"/>
      <c r="F247" s="50"/>
      <c r="G247" s="50"/>
      <c r="H247" s="50"/>
      <c r="I247" s="50"/>
      <c r="J247" s="50"/>
      <c r="K247" s="50"/>
      <c r="L247" s="50"/>
    </row>
    <row r="248" spans="2:12" x14ac:dyDescent="0.25">
      <c r="B248" s="11"/>
      <c r="C248" s="11"/>
      <c r="D248" s="11"/>
      <c r="E248" s="11"/>
      <c r="F248" s="50"/>
      <c r="G248" s="50"/>
      <c r="H248" s="50"/>
      <c r="I248" s="50"/>
      <c r="J248" s="50"/>
      <c r="K248" s="50"/>
      <c r="L248" s="50"/>
    </row>
    <row r="249" spans="2:12" x14ac:dyDescent="0.25">
      <c r="B249" s="11"/>
      <c r="C249" s="11"/>
      <c r="D249" s="11"/>
      <c r="E249" s="11"/>
      <c r="F249" s="50"/>
      <c r="G249" s="50"/>
      <c r="H249" s="50"/>
      <c r="I249" s="50"/>
      <c r="J249" s="50"/>
      <c r="K249" s="50"/>
      <c r="L249" s="50"/>
    </row>
  </sheetData>
  <mergeCells count="10">
    <mergeCell ref="A155:A165"/>
    <mergeCell ref="A1:P1"/>
    <mergeCell ref="A2:P2"/>
    <mergeCell ref="A3:A5"/>
    <mergeCell ref="C3:G3"/>
    <mergeCell ref="H3:L3"/>
    <mergeCell ref="M3:Q3"/>
    <mergeCell ref="C4:G4"/>
    <mergeCell ref="H4:L4"/>
    <mergeCell ref="M4:Q4"/>
  </mergeCells>
  <pageMargins left="0.7" right="0.7" top="0.75" bottom="0.75" header="0.3" footer="0.3"/>
  <pageSetup paperSize="9" scale="49" orientation="portrait" horizontalDpi="4294967295" verticalDpi="4294967295" r:id="rId1"/>
  <rowBreaks count="1" manualBreakCount="1">
    <brk id="75" max="16" man="1"/>
  </rowBreaks>
  <ignoredErrors>
    <ignoredError sqref="D134:G137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15.8</vt:lpstr>
      <vt:lpstr>'15.8'!Print_Area</vt:lpstr>
      <vt:lpstr>'15.8'!Print_Titles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2019-12-15T06:25:22Z</cp:lastPrinted>
  <dcterms:created xsi:type="dcterms:W3CDTF">2019-12-05T04:01:34Z</dcterms:created>
  <dcterms:modified xsi:type="dcterms:W3CDTF">2019-12-15T06:25:28Z</dcterms:modified>
</cp:coreProperties>
</file>