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5" sheetId="5" r:id="rId1"/>
  </sheets>
  <definedNames>
    <definedName name="_xlnm.Print_Area" localSheetId="0">'15.5'!$A$1:$AC$34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5" l="1"/>
  <c r="V33" i="5"/>
  <c r="V32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0" i="5"/>
  <c r="V11" i="5"/>
  <c r="V12" i="5"/>
  <c r="V13" i="5"/>
  <c r="V14" i="5"/>
  <c r="V15" i="5"/>
  <c r="V16" i="5"/>
  <c r="V9" i="5"/>
  <c r="V8" i="5"/>
  <c r="U7" i="5"/>
  <c r="AA25" i="5"/>
  <c r="AA23" i="5"/>
  <c r="AA17" i="5"/>
  <c r="AA11" i="5"/>
  <c r="AA33" i="5" l="1"/>
  <c r="Z33" i="5"/>
  <c r="Y33" i="5"/>
  <c r="X33" i="5"/>
  <c r="W33" i="5"/>
  <c r="AA32" i="5"/>
  <c r="Z32" i="5"/>
  <c r="Y32" i="5"/>
  <c r="X32" i="5"/>
  <c r="W32" i="5"/>
  <c r="X31" i="5"/>
  <c r="W31" i="5"/>
  <c r="Q30" i="5"/>
  <c r="AA30" i="5" s="1"/>
  <c r="P30" i="5"/>
  <c r="P7" i="5" s="1"/>
  <c r="O30" i="5"/>
  <c r="N30" i="5"/>
  <c r="X30" i="5" s="1"/>
  <c r="M30" i="5"/>
  <c r="W30" i="5" s="1"/>
  <c r="L30" i="5"/>
  <c r="K30" i="5"/>
  <c r="J30" i="5"/>
  <c r="I30" i="5"/>
  <c r="I7" i="5" s="1"/>
  <c r="H30" i="5"/>
  <c r="H7" i="5" s="1"/>
  <c r="G30" i="5"/>
  <c r="F30" i="5"/>
  <c r="E30" i="5"/>
  <c r="D30" i="5"/>
  <c r="C30" i="5"/>
  <c r="B30" i="5"/>
  <c r="AA29" i="5"/>
  <c r="Z29" i="5"/>
  <c r="Y29" i="5"/>
  <c r="X29" i="5"/>
  <c r="W29" i="5"/>
  <c r="AA28" i="5"/>
  <c r="Z28" i="5"/>
  <c r="Y28" i="5"/>
  <c r="X28" i="5"/>
  <c r="W28" i="5"/>
  <c r="AA27" i="5"/>
  <c r="Z27" i="5"/>
  <c r="Y27" i="5"/>
  <c r="X27" i="5"/>
  <c r="W27" i="5"/>
  <c r="AA26" i="5"/>
  <c r="Z26" i="5"/>
  <c r="Y26" i="5"/>
  <c r="X26" i="5"/>
  <c r="W26" i="5"/>
  <c r="Z25" i="5"/>
  <c r="Y25" i="5"/>
  <c r="X25" i="5"/>
  <c r="W25" i="5"/>
  <c r="AA24" i="5"/>
  <c r="Z24" i="5"/>
  <c r="Y24" i="5"/>
  <c r="X24" i="5"/>
  <c r="W24" i="5"/>
  <c r="Z23" i="5"/>
  <c r="Y23" i="5"/>
  <c r="X23" i="5"/>
  <c r="W23" i="5"/>
  <c r="AA22" i="5"/>
  <c r="X22" i="5"/>
  <c r="W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A21" i="5"/>
  <c r="Z21" i="5"/>
  <c r="Y21" i="5"/>
  <c r="X21" i="5"/>
  <c r="W21" i="5"/>
  <c r="AA20" i="5"/>
  <c r="Z20" i="5"/>
  <c r="Y20" i="5"/>
  <c r="X20" i="5"/>
  <c r="W20" i="5"/>
  <c r="AA19" i="5"/>
  <c r="Z19" i="5"/>
  <c r="Y19" i="5"/>
  <c r="X19" i="5"/>
  <c r="W19" i="5"/>
  <c r="AA18" i="5"/>
  <c r="X18" i="5"/>
  <c r="W18" i="5"/>
  <c r="Q18" i="5"/>
  <c r="P18" i="5"/>
  <c r="O18" i="5"/>
  <c r="N18" i="5"/>
  <c r="M18" i="5"/>
  <c r="L18" i="5"/>
  <c r="K18" i="5"/>
  <c r="J18" i="5"/>
  <c r="I18" i="5"/>
  <c r="H18" i="5"/>
  <c r="G18" i="5"/>
  <c r="G7" i="5" s="1"/>
  <c r="F18" i="5"/>
  <c r="E18" i="5"/>
  <c r="D18" i="5"/>
  <c r="C18" i="5"/>
  <c r="B18" i="5"/>
  <c r="Z17" i="5"/>
  <c r="Y17" i="5"/>
  <c r="X17" i="5"/>
  <c r="W17" i="5"/>
  <c r="AA16" i="5"/>
  <c r="Z16" i="5"/>
  <c r="Y16" i="5"/>
  <c r="X16" i="5"/>
  <c r="W16" i="5"/>
  <c r="Z15" i="5"/>
  <c r="Y15" i="5"/>
  <c r="X15" i="5"/>
  <c r="W15" i="5"/>
  <c r="AA14" i="5"/>
  <c r="Z14" i="5"/>
  <c r="Y14" i="5"/>
  <c r="X14" i="5"/>
  <c r="W14" i="5"/>
  <c r="AA13" i="5"/>
  <c r="Z13" i="5"/>
  <c r="Y13" i="5"/>
  <c r="X13" i="5"/>
  <c r="W13" i="5"/>
  <c r="AA12" i="5"/>
  <c r="Z12" i="5"/>
  <c r="Y12" i="5"/>
  <c r="X12" i="5"/>
  <c r="W12" i="5"/>
  <c r="Z11" i="5"/>
  <c r="Y11" i="5"/>
  <c r="X11" i="5"/>
  <c r="W11" i="5"/>
  <c r="AA10" i="5"/>
  <c r="Z10" i="5"/>
  <c r="Y10" i="5"/>
  <c r="X10" i="5"/>
  <c r="W10" i="5"/>
  <c r="AA9" i="5"/>
  <c r="Z9" i="5"/>
  <c r="Y9" i="5"/>
  <c r="X9" i="5"/>
  <c r="W9" i="5"/>
  <c r="Z8" i="5"/>
  <c r="W8" i="5"/>
  <c r="Q8" i="5"/>
  <c r="AA8" i="5" s="1"/>
  <c r="P8" i="5"/>
  <c r="O8" i="5"/>
  <c r="Y8" i="5" s="1"/>
  <c r="N8" i="5"/>
  <c r="X8" i="5" s="1"/>
  <c r="M8" i="5"/>
  <c r="L8" i="5"/>
  <c r="K8" i="5"/>
  <c r="J8" i="5"/>
  <c r="J7" i="5" s="1"/>
  <c r="I8" i="5"/>
  <c r="H8" i="5"/>
  <c r="G8" i="5"/>
  <c r="F8" i="5"/>
  <c r="E8" i="5"/>
  <c r="D8" i="5"/>
  <c r="C8" i="5"/>
  <c r="B8" i="5"/>
  <c r="B7" i="5" s="1"/>
  <c r="N7" i="5"/>
  <c r="S33" i="5" s="1"/>
  <c r="M7" i="5"/>
  <c r="R28" i="5" s="1"/>
  <c r="L7" i="5"/>
  <c r="K7" i="5"/>
  <c r="F7" i="5"/>
  <c r="E7" i="5"/>
  <c r="D7" i="5"/>
  <c r="C7" i="5"/>
  <c r="U32" i="5" l="1"/>
  <c r="U19" i="5"/>
  <c r="U31" i="5"/>
  <c r="U27" i="5"/>
  <c r="U23" i="5"/>
  <c r="Q7" i="5"/>
  <c r="AA7" i="5" s="1"/>
  <c r="S16" i="5"/>
  <c r="U18" i="5"/>
  <c r="R8" i="5"/>
  <c r="R22" i="5"/>
  <c r="U30" i="5"/>
  <c r="R12" i="5"/>
  <c r="S20" i="5"/>
  <c r="R30" i="5"/>
  <c r="S24" i="5"/>
  <c r="U22" i="5"/>
  <c r="U8" i="5"/>
  <c r="R18" i="5"/>
  <c r="S28" i="5"/>
  <c r="S8" i="5"/>
  <c r="U11" i="5"/>
  <c r="S12" i="5"/>
  <c r="U15" i="5"/>
  <c r="R17" i="5"/>
  <c r="R21" i="5"/>
  <c r="R25" i="5"/>
  <c r="R29" i="5"/>
  <c r="V31" i="5"/>
  <c r="U33" i="5"/>
  <c r="R9" i="5"/>
  <c r="R13" i="5"/>
  <c r="U16" i="5"/>
  <c r="S17" i="5"/>
  <c r="Y18" i="5"/>
  <c r="U20" i="5"/>
  <c r="S21" i="5"/>
  <c r="Y22" i="5"/>
  <c r="U24" i="5"/>
  <c r="S25" i="5"/>
  <c r="U28" i="5"/>
  <c r="S29" i="5"/>
  <c r="Y30" i="5"/>
  <c r="O7" i="5"/>
  <c r="Y7" i="5" s="1"/>
  <c r="W7" i="5"/>
  <c r="S9" i="5"/>
  <c r="U12" i="5"/>
  <c r="S13" i="5"/>
  <c r="Z18" i="5"/>
  <c r="Z22" i="5"/>
  <c r="R26" i="5"/>
  <c r="Z30" i="5"/>
  <c r="X7" i="5"/>
  <c r="R10" i="5"/>
  <c r="R14" i="5"/>
  <c r="U17" i="5"/>
  <c r="S18" i="5"/>
  <c r="U21" i="5"/>
  <c r="S22" i="5"/>
  <c r="U25" i="5"/>
  <c r="S26" i="5"/>
  <c r="U29" i="5"/>
  <c r="S30" i="5"/>
  <c r="R32" i="5"/>
  <c r="U9" i="5"/>
  <c r="S10" i="5"/>
  <c r="U13" i="5"/>
  <c r="S14" i="5"/>
  <c r="R19" i="5"/>
  <c r="R23" i="5"/>
  <c r="R27" i="5"/>
  <c r="R31" i="5"/>
  <c r="S32" i="5"/>
  <c r="R11" i="5"/>
  <c r="R15" i="5"/>
  <c r="S19" i="5"/>
  <c r="S23" i="5"/>
  <c r="U26" i="5"/>
  <c r="S27" i="5"/>
  <c r="S31" i="5"/>
  <c r="R33" i="5"/>
  <c r="U10" i="5"/>
  <c r="S11" i="5"/>
  <c r="U14" i="5"/>
  <c r="S15" i="5"/>
  <c r="R16" i="5"/>
  <c r="R20" i="5"/>
  <c r="R24" i="5"/>
  <c r="R7" i="5" l="1"/>
  <c r="Z7" i="5"/>
  <c r="S7" i="5"/>
  <c r="T31" i="5"/>
  <c r="T27" i="5"/>
  <c r="T23" i="5"/>
  <c r="T19" i="5"/>
  <c r="T11" i="5"/>
  <c r="T32" i="5"/>
  <c r="T14" i="5"/>
  <c r="T10" i="5"/>
  <c r="T26" i="5"/>
  <c r="T13" i="5"/>
  <c r="T9" i="5"/>
  <c r="T29" i="5"/>
  <c r="T25" i="5"/>
  <c r="T21" i="5"/>
  <c r="T17" i="5"/>
  <c r="T12" i="5"/>
  <c r="T15" i="5"/>
  <c r="T28" i="5"/>
  <c r="T24" i="5"/>
  <c r="T20" i="5"/>
  <c r="T16" i="5"/>
  <c r="T33" i="5"/>
  <c r="T18" i="5"/>
  <c r="T8" i="5"/>
  <c r="T30" i="5"/>
  <c r="T22" i="5"/>
  <c r="T7" i="5" l="1"/>
</calcChain>
</file>

<file path=xl/sharedStrings.xml><?xml version="1.0" encoding="utf-8"?>
<sst xmlns="http://schemas.openxmlformats.org/spreadsheetml/2006/main" count="65" uniqueCount="60">
  <si>
    <t>Country</t>
  </si>
  <si>
    <t>cniawtcaws ctogWviawfiheb</t>
  </si>
  <si>
    <t>% urwvcnim ivurutia eruvcSwrwhwa Iruk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</si>
  <si>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</si>
  <si>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</si>
  <si>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</si>
  <si>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</si>
  <si>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</si>
  <si>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</si>
  <si>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</si>
  <si>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</si>
  <si>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</si>
  <si>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</si>
  <si>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</si>
  <si>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</si>
  <si>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</si>
  <si>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</si>
  <si>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</si>
  <si>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</si>
  <si>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</si>
  <si>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</si>
  <si>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>America</t>
  </si>
  <si>
    <t>Oceania</t>
  </si>
  <si>
    <t>Others</t>
  </si>
  <si>
    <t>cnehinehea</t>
  </si>
  <si>
    <t>Africa</t>
  </si>
  <si>
    <t>India</t>
  </si>
  <si>
    <t>Sri Lanka</t>
  </si>
  <si>
    <t>WkcnwlIrcs</t>
  </si>
  <si>
    <t>Thailand</t>
  </si>
  <si>
    <t>cDcneliawt</t>
  </si>
  <si>
    <t>Japan</t>
  </si>
  <si>
    <t>cnWpwj</t>
  </si>
  <si>
    <t xml:space="preserve">Wkiremea </t>
  </si>
  <si>
    <t>itwmuriaudem</t>
  </si>
  <si>
    <t>WainExOa</t>
  </si>
  <si>
    <t>Source:  Maldives Customs Services</t>
  </si>
  <si>
    <t xml:space="preserve">cswsivrWs ccscmwTcswk cscviDclOm :ctWrwfivcaed utWmUluAwm     </t>
  </si>
  <si>
    <t>2018 - 2016 ,cawtumuawq unuvunof Wdum unuverukurEb cnEjcaWr : 15.5 ulwvWt</t>
  </si>
  <si>
    <t>Table  15.5: EXPORTS BY COUNTRY OF DESTINATION, 2016 -2018</t>
  </si>
  <si>
    <r>
      <t xml:space="preserve">      </t>
    </r>
    <r>
      <rPr>
        <b/>
        <sz val="10"/>
        <rFont val="Calibri"/>
        <family val="2"/>
      </rPr>
      <t xml:space="preserve">    Value (in MVR. '000) </t>
    </r>
    <r>
      <rPr>
        <b/>
        <sz val="10"/>
        <rFont val="A_Randhoo"/>
      </rPr>
      <t xml:space="preserve">  (cniaWyifur '000 ) ugwa</t>
    </r>
  </si>
  <si>
    <t>umuawq</t>
  </si>
  <si>
    <t>Spain</t>
  </si>
  <si>
    <t>cniaepcs</t>
  </si>
  <si>
    <t>Denmark</t>
  </si>
  <si>
    <t>ckWmcneD</t>
  </si>
  <si>
    <t xml:space="preserve">Wkircfea </t>
  </si>
  <si>
    <t>U.S.A.</t>
  </si>
  <si>
    <t>Ea.csea.Uy</t>
  </si>
  <si>
    <t>އޭޝިޔާ</t>
  </si>
  <si>
    <t>WyiDcnia</t>
  </si>
  <si>
    <t>Hong Kong</t>
  </si>
  <si>
    <t>gcnok gcnoh</t>
  </si>
  <si>
    <t>Taiwan</t>
  </si>
  <si>
    <t>ޓައިވާން</t>
  </si>
  <si>
    <t>Iran</t>
  </si>
  <si>
    <t>cnWria</t>
  </si>
  <si>
    <t>U.A.E.</t>
  </si>
  <si>
    <t>Ia .Ea .Uy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</si>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</sst>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#,##0.0"/>
    <numFmt numFmtId="171" formatCode="General_)"/>
    <numFmt numFmtId="172" formatCode="_-* #,##0.00\ _ރ_._-;_-* #,##0.00\ _ރ_.\-;_-* &quot;-&quot;??\ _ރ_._-;_-@_-"/>
    <numFmt numFmtId="173" formatCode="0.00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name val="A_Randhoo"/>
    </font>
    <font>
      <sz val="9"/>
      <name val="A_Randhoo"/>
    </font>
    <font>
      <b/>
      <sz val="12"/>
      <name val="Calibri"/>
      <family val="2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_Randhoo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7" fillId="0" borderId="0" applyFont="0" applyFill="0" applyBorder="0" applyAlignment="0" applyProtection="0"/>
    <xf numFmtId="171" fontId="20" fillId="0" borderId="0"/>
    <xf numFmtId="40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27" fillId="0" borderId="44" applyNumberFormat="0" applyFill="0" applyAlignment="0" applyProtection="0"/>
    <xf numFmtId="0" fontId="28" fillId="0" borderId="45" applyNumberFormat="0" applyFill="0" applyAlignment="0" applyProtection="0"/>
    <xf numFmtId="0" fontId="29" fillId="0" borderId="46" applyNumberFormat="0" applyFill="0" applyAlignment="0" applyProtection="0"/>
    <xf numFmtId="0" fontId="29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0" applyNumberFormat="0" applyBorder="0" applyAlignment="0" applyProtection="0"/>
    <xf numFmtId="0" fontId="33" fillId="8" borderId="47" applyNumberFormat="0" applyAlignment="0" applyProtection="0"/>
    <xf numFmtId="0" fontId="34" fillId="9" borderId="48" applyNumberFormat="0" applyAlignment="0" applyProtection="0"/>
    <xf numFmtId="0" fontId="35" fillId="9" borderId="47" applyNumberFormat="0" applyAlignment="0" applyProtection="0"/>
    <xf numFmtId="0" fontId="36" fillId="0" borderId="49" applyNumberFormat="0" applyFill="0" applyAlignment="0" applyProtection="0"/>
    <xf numFmtId="0" fontId="37" fillId="10" borderId="50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0" borderId="52" applyNumberFormat="0" applyFill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0" fillId="35" borderId="0" applyNumberFormat="0" applyBorder="0" applyAlignment="0" applyProtection="0"/>
    <xf numFmtId="0" fontId="41" fillId="0" borderId="0"/>
    <xf numFmtId="0" fontId="7" fillId="0" borderId="0"/>
    <xf numFmtId="172" fontId="7" fillId="0" borderId="0" applyFont="0" applyFill="0" applyBorder="0" applyAlignment="0" applyProtection="0"/>
    <xf numFmtId="173" fontId="42" fillId="0" borderId="0"/>
    <xf numFmtId="0" fontId="4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5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5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4" fillId="36" borderId="0" applyNumberFormat="0" applyBorder="0" applyAlignment="0" applyProtection="0"/>
  </cellStyleXfs>
  <cellXfs count="150">
    <xf numFmtId="0" fontId="0" fillId="0" borderId="0" xfId="0"/>
    <xf numFmtId="165" fontId="8" fillId="2" borderId="0" xfId="0" applyNumberFormat="1" applyFont="1" applyFill="1" applyBorder="1" applyAlignment="1" applyProtection="1">
      <alignment horizontal="right" vertical="center"/>
    </xf>
    <xf numFmtId="165" fontId="11" fillId="2" borderId="0" xfId="0" applyNumberFormat="1" applyFont="1" applyFill="1" applyBorder="1" applyAlignment="1" applyProtection="1">
      <alignment horizontal="right" vertical="center"/>
    </xf>
    <xf numFmtId="165" fontId="11" fillId="2" borderId="3" xfId="0" applyNumberFormat="1" applyFont="1" applyFill="1" applyBorder="1" applyAlignment="1" applyProtection="1">
      <alignment horizontal="right" vertical="center"/>
    </xf>
    <xf numFmtId="165" fontId="8" fillId="2" borderId="1" xfId="0" applyNumberFormat="1" applyFont="1" applyFill="1" applyBorder="1" applyAlignment="1" applyProtection="1">
      <alignment horizontal="right" vertical="center"/>
    </xf>
    <xf numFmtId="3" fontId="3" fillId="2" borderId="11" xfId="0" applyNumberFormat="1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vertical="center"/>
    </xf>
    <xf numFmtId="171" fontId="4" fillId="2" borderId="13" xfId="2" applyFont="1" applyFill="1" applyBorder="1" applyAlignment="1">
      <alignment vertical="center"/>
    </xf>
    <xf numFmtId="171" fontId="5" fillId="2" borderId="14" xfId="2" applyFont="1" applyFill="1" applyBorder="1" applyAlignment="1" applyProtection="1">
      <alignment vertical="center"/>
    </xf>
    <xf numFmtId="171" fontId="6" fillId="2" borderId="15" xfId="2" applyFont="1" applyFill="1" applyBorder="1" applyAlignment="1" applyProtection="1">
      <alignment vertical="center"/>
    </xf>
    <xf numFmtId="171" fontId="14" fillId="2" borderId="16" xfId="2" applyFont="1" applyFill="1" applyBorder="1" applyAlignment="1">
      <alignment vertical="center"/>
    </xf>
    <xf numFmtId="171" fontId="6" fillId="2" borderId="3" xfId="2" applyFont="1" applyFill="1" applyBorder="1" applyAlignment="1" applyProtection="1">
      <alignment horizontal="center" vertical="center"/>
    </xf>
    <xf numFmtId="171" fontId="6" fillId="2" borderId="0" xfId="2" applyFont="1" applyFill="1" applyBorder="1" applyAlignment="1" applyProtection="1">
      <alignment horizontal="center" vertical="center"/>
    </xf>
    <xf numFmtId="171" fontId="14" fillId="2" borderId="0" xfId="2" applyFont="1" applyFill="1" applyBorder="1" applyAlignment="1">
      <alignment vertical="center"/>
    </xf>
    <xf numFmtId="171" fontId="14" fillId="2" borderId="18" xfId="2" applyFont="1" applyFill="1" applyBorder="1" applyAlignment="1">
      <alignment vertical="center"/>
    </xf>
    <xf numFmtId="171" fontId="18" fillId="2" borderId="1" xfId="2" applyFont="1" applyFill="1" applyBorder="1" applyAlignment="1" applyProtection="1">
      <alignment vertical="center"/>
    </xf>
    <xf numFmtId="0" fontId="9" fillId="2" borderId="23" xfId="0" applyFont="1" applyFill="1" applyBorder="1" applyAlignment="1" applyProtection="1">
      <alignment vertical="center"/>
    </xf>
    <xf numFmtId="0" fontId="9" fillId="2" borderId="23" xfId="0" applyFont="1" applyFill="1" applyBorder="1" applyAlignment="1" applyProtection="1">
      <alignment horizontal="center" vertical="center"/>
    </xf>
    <xf numFmtId="171" fontId="18" fillId="2" borderId="25" xfId="2" applyFont="1" applyFill="1" applyBorder="1" applyAlignment="1" applyProtection="1">
      <alignment vertical="center"/>
    </xf>
    <xf numFmtId="171" fontId="18" fillId="2" borderId="26" xfId="2" applyFont="1" applyFill="1" applyBorder="1" applyAlignment="1" applyProtection="1">
      <alignment vertical="center"/>
    </xf>
    <xf numFmtId="171" fontId="18" fillId="2" borderId="2" xfId="2" applyFont="1" applyFill="1" applyBorder="1" applyAlignment="1" applyProtection="1">
      <alignment vertical="center"/>
    </xf>
    <xf numFmtId="171" fontId="18" fillId="2" borderId="27" xfId="2" applyFont="1" applyFill="1" applyBorder="1" applyAlignment="1" applyProtection="1">
      <alignment vertical="center"/>
    </xf>
    <xf numFmtId="171" fontId="15" fillId="2" borderId="6" xfId="2" applyFont="1" applyFill="1" applyBorder="1" applyAlignment="1" applyProtection="1">
      <alignment horizontal="center"/>
    </xf>
    <xf numFmtId="171" fontId="15" fillId="2" borderId="6" xfId="2" applyFont="1" applyFill="1" applyBorder="1" applyAlignment="1" applyProtection="1">
      <alignment horizontal="right"/>
    </xf>
    <xf numFmtId="171" fontId="8" fillId="2" borderId="6" xfId="2" applyFont="1" applyFill="1" applyBorder="1" applyAlignment="1" applyProtection="1">
      <alignment horizontal="right" vertical="center"/>
    </xf>
    <xf numFmtId="171" fontId="8" fillId="2" borderId="3" xfId="2" applyFont="1" applyFill="1" applyBorder="1" applyAlignment="1" applyProtection="1">
      <alignment horizontal="right" vertical="center"/>
    </xf>
    <xf numFmtId="171" fontId="8" fillId="2" borderId="10" xfId="2" applyFont="1" applyFill="1" applyBorder="1" applyAlignment="1" applyProtection="1">
      <alignment horizontal="right" vertical="center"/>
    </xf>
    <xf numFmtId="171" fontId="8" fillId="2" borderId="29" xfId="2" applyFont="1" applyFill="1" applyBorder="1" applyAlignment="1" applyProtection="1">
      <alignment horizontal="right" vertical="center"/>
    </xf>
    <xf numFmtId="171" fontId="8" fillId="2" borderId="30" xfId="2" applyFont="1" applyFill="1" applyBorder="1" applyAlignment="1" applyProtection="1">
      <alignment horizontal="right" vertical="center"/>
    </xf>
    <xf numFmtId="171" fontId="8" fillId="2" borderId="31" xfId="2" applyFont="1" applyFill="1" applyBorder="1" applyAlignment="1" applyProtection="1">
      <alignment horizontal="right" vertical="center"/>
    </xf>
    <xf numFmtId="171" fontId="8" fillId="2" borderId="0" xfId="2" applyFont="1" applyFill="1" applyBorder="1" applyAlignment="1" applyProtection="1">
      <alignment horizontal="right" vertical="center"/>
    </xf>
    <xf numFmtId="171" fontId="14" fillId="2" borderId="13" xfId="2" applyFont="1" applyFill="1" applyBorder="1" applyAlignment="1">
      <alignment horizontal="center" vertical="center"/>
    </xf>
    <xf numFmtId="171" fontId="8" fillId="3" borderId="18" xfId="2" applyFont="1" applyFill="1" applyBorder="1" applyAlignment="1" applyProtection="1">
      <alignment horizontal="left" vertical="center"/>
    </xf>
    <xf numFmtId="4" fontId="15" fillId="3" borderId="18" xfId="2" applyNumberFormat="1" applyFont="1" applyFill="1" applyBorder="1" applyAlignment="1" applyProtection="1">
      <alignment horizontal="right"/>
    </xf>
    <xf numFmtId="3" fontId="8" fillId="3" borderId="32" xfId="2" applyNumberFormat="1" applyFont="1" applyFill="1" applyBorder="1" applyAlignment="1" applyProtection="1">
      <alignment horizontal="right" vertical="center"/>
    </xf>
    <xf numFmtId="3" fontId="8" fillId="3" borderId="33" xfId="2" applyNumberFormat="1" applyFont="1" applyFill="1" applyBorder="1" applyAlignment="1" applyProtection="1">
      <alignment horizontal="right" vertical="center"/>
    </xf>
    <xf numFmtId="3" fontId="8" fillId="3" borderId="34" xfId="2" applyNumberFormat="1" applyFont="1" applyFill="1" applyBorder="1" applyAlignment="1" applyProtection="1">
      <alignment horizontal="right" vertical="center"/>
    </xf>
    <xf numFmtId="3" fontId="8" fillId="3" borderId="35" xfId="2" applyNumberFormat="1" applyFont="1" applyFill="1" applyBorder="1" applyAlignment="1" applyProtection="1">
      <alignment horizontal="right" vertical="center"/>
    </xf>
    <xf numFmtId="3" fontId="8" fillId="4" borderId="36" xfId="3" applyNumberFormat="1" applyFont="1" applyFill="1" applyBorder="1" applyAlignment="1">
      <alignment horizontal="right" vertical="center"/>
    </xf>
    <xf numFmtId="3" fontId="8" fillId="4" borderId="34" xfId="3" applyNumberFormat="1" applyFont="1" applyFill="1" applyBorder="1" applyAlignment="1">
      <alignment horizontal="right" vertical="center"/>
    </xf>
    <xf numFmtId="3" fontId="8" fillId="4" borderId="35" xfId="3" applyNumberFormat="1" applyFont="1" applyFill="1" applyBorder="1" applyAlignment="1">
      <alignment horizontal="right" vertical="center"/>
    </xf>
    <xf numFmtId="0" fontId="9" fillId="2" borderId="23" xfId="0" applyFont="1" applyFill="1" applyBorder="1" applyAlignment="1">
      <alignment horizontal="right"/>
    </xf>
    <xf numFmtId="171" fontId="14" fillId="2" borderId="13" xfId="2" applyFont="1" applyFill="1" applyBorder="1" applyAlignment="1"/>
    <xf numFmtId="171" fontId="8" fillId="4" borderId="13" xfId="2" applyFont="1" applyFill="1" applyBorder="1" applyAlignment="1"/>
    <xf numFmtId="4" fontId="15" fillId="4" borderId="13" xfId="3" applyNumberFormat="1" applyFont="1" applyFill="1" applyBorder="1" applyAlignment="1">
      <alignment horizontal="right"/>
    </xf>
    <xf numFmtId="3" fontId="8" fillId="4" borderId="13" xfId="3" applyNumberFormat="1" applyFont="1" applyFill="1" applyBorder="1" applyAlignment="1">
      <alignment horizontal="right" vertical="center"/>
    </xf>
    <xf numFmtId="3" fontId="8" fillId="4" borderId="4" xfId="3" applyNumberFormat="1" applyFont="1" applyFill="1" applyBorder="1" applyAlignment="1">
      <alignment horizontal="right" vertical="center"/>
    </xf>
    <xf numFmtId="3" fontId="8" fillId="4" borderId="11" xfId="3" applyNumberFormat="1" applyFont="1" applyFill="1" applyBorder="1" applyAlignment="1">
      <alignment horizontal="right" vertical="center"/>
    </xf>
    <xf numFmtId="3" fontId="8" fillId="4" borderId="37" xfId="3" applyNumberFormat="1" applyFont="1" applyFill="1" applyBorder="1" applyAlignment="1">
      <alignment horizontal="right" vertical="center"/>
    </xf>
    <xf numFmtId="165" fontId="8" fillId="4" borderId="38" xfId="3" applyNumberFormat="1" applyFont="1" applyFill="1" applyBorder="1" applyAlignment="1">
      <alignment horizontal="right" vertical="center"/>
    </xf>
    <xf numFmtId="165" fontId="8" fillId="4" borderId="11" xfId="3" applyNumberFormat="1" applyFont="1" applyFill="1" applyBorder="1" applyAlignment="1">
      <alignment horizontal="right" vertical="center"/>
    </xf>
    <xf numFmtId="165" fontId="8" fillId="4" borderId="37" xfId="3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/>
    </xf>
    <xf numFmtId="171" fontId="11" fillId="4" borderId="13" xfId="2" applyFont="1" applyFill="1" applyBorder="1" applyAlignment="1" applyProtection="1">
      <alignment horizontal="left"/>
    </xf>
    <xf numFmtId="4" fontId="17" fillId="4" borderId="13" xfId="1" applyNumberFormat="1" applyFont="1" applyFill="1" applyBorder="1" applyAlignment="1">
      <alignment horizontal="right"/>
    </xf>
    <xf numFmtId="3" fontId="11" fillId="4" borderId="13" xfId="1" applyNumberFormat="1" applyFont="1" applyFill="1" applyBorder="1" applyAlignment="1">
      <alignment horizontal="right" vertical="center"/>
    </xf>
    <xf numFmtId="3" fontId="11" fillId="4" borderId="4" xfId="1" applyNumberFormat="1" applyFont="1" applyFill="1" applyBorder="1" applyAlignment="1">
      <alignment horizontal="right" vertical="center"/>
    </xf>
    <xf numFmtId="3" fontId="11" fillId="4" borderId="11" xfId="1" applyNumberFormat="1" applyFont="1" applyFill="1" applyBorder="1" applyAlignment="1">
      <alignment horizontal="right" vertical="center"/>
    </xf>
    <xf numFmtId="3" fontId="11" fillId="4" borderId="37" xfId="1" applyNumberFormat="1" applyFont="1" applyFill="1" applyBorder="1" applyAlignment="1">
      <alignment horizontal="right" vertical="center"/>
    </xf>
    <xf numFmtId="165" fontId="11" fillId="4" borderId="38" xfId="3" applyNumberFormat="1" applyFont="1" applyFill="1" applyBorder="1" applyAlignment="1">
      <alignment horizontal="right" vertical="center"/>
    </xf>
    <xf numFmtId="165" fontId="11" fillId="4" borderId="11" xfId="3" applyNumberFormat="1" applyFont="1" applyFill="1" applyBorder="1" applyAlignment="1">
      <alignment horizontal="right" vertical="center"/>
    </xf>
    <xf numFmtId="165" fontId="11" fillId="4" borderId="37" xfId="3" applyNumberFormat="1" applyFont="1" applyFill="1" applyBorder="1" applyAlignment="1">
      <alignment horizontal="right" vertical="center"/>
    </xf>
    <xf numFmtId="0" fontId="12" fillId="2" borderId="12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right"/>
    </xf>
    <xf numFmtId="171" fontId="8" fillId="2" borderId="13" xfId="2" applyFont="1" applyFill="1" applyBorder="1" applyAlignment="1"/>
    <xf numFmtId="4" fontId="15" fillId="4" borderId="13" xfId="1" applyNumberFormat="1" applyFont="1" applyFill="1" applyBorder="1" applyAlignment="1">
      <alignment horizontal="right"/>
    </xf>
    <xf numFmtId="3" fontId="8" fillId="4" borderId="13" xfId="1" applyNumberFormat="1" applyFont="1" applyFill="1" applyBorder="1" applyAlignment="1">
      <alignment horizontal="right" vertical="center"/>
    </xf>
    <xf numFmtId="3" fontId="8" fillId="4" borderId="4" xfId="1" applyNumberFormat="1" applyFont="1" applyFill="1" applyBorder="1" applyAlignment="1">
      <alignment horizontal="right" vertical="center"/>
    </xf>
    <xf numFmtId="3" fontId="8" fillId="4" borderId="11" xfId="1" applyNumberFormat="1" applyFont="1" applyFill="1" applyBorder="1" applyAlignment="1">
      <alignment horizontal="right" vertical="center"/>
    </xf>
    <xf numFmtId="3" fontId="8" fillId="4" borderId="37" xfId="1" applyNumberFormat="1" applyFont="1" applyFill="1" applyBorder="1" applyAlignment="1">
      <alignment horizontal="right" vertical="center"/>
    </xf>
    <xf numFmtId="4" fontId="15" fillId="2" borderId="13" xfId="3" applyNumberFormat="1" applyFont="1" applyFill="1" applyBorder="1" applyAlignment="1">
      <alignment horizontal="right"/>
    </xf>
    <xf numFmtId="3" fontId="8" fillId="2" borderId="13" xfId="3" applyNumberFormat="1" applyFont="1" applyFill="1" applyBorder="1" applyAlignment="1">
      <alignment horizontal="right" vertical="center"/>
    </xf>
    <xf numFmtId="3" fontId="8" fillId="2" borderId="4" xfId="3" applyNumberFormat="1" applyFont="1" applyFill="1" applyBorder="1" applyAlignment="1">
      <alignment horizontal="right" vertical="center"/>
    </xf>
    <xf numFmtId="3" fontId="8" fillId="2" borderId="11" xfId="3" applyNumberFormat="1" applyFont="1" applyFill="1" applyBorder="1" applyAlignment="1">
      <alignment horizontal="right" vertical="center"/>
    </xf>
    <xf numFmtId="3" fontId="8" fillId="2" borderId="37" xfId="3" applyNumberFormat="1" applyFont="1" applyFill="1" applyBorder="1" applyAlignment="1">
      <alignment horizontal="right" vertical="center"/>
    </xf>
    <xf numFmtId="171" fontId="11" fillId="2" borderId="13" xfId="2" applyFont="1" applyFill="1" applyBorder="1" applyAlignment="1" applyProtection="1">
      <alignment horizontal="left"/>
    </xf>
    <xf numFmtId="4" fontId="17" fillId="2" borderId="13" xfId="4" applyNumberFormat="1" applyFont="1" applyFill="1" applyBorder="1" applyAlignment="1">
      <alignment horizontal="right"/>
    </xf>
    <xf numFmtId="3" fontId="11" fillId="2" borderId="13" xfId="4" applyNumberFormat="1" applyFont="1" applyFill="1" applyBorder="1" applyAlignment="1">
      <alignment horizontal="right" vertical="center"/>
    </xf>
    <xf numFmtId="3" fontId="11" fillId="2" borderId="4" xfId="4" applyNumberFormat="1" applyFont="1" applyFill="1" applyBorder="1" applyAlignment="1">
      <alignment horizontal="right" vertical="center"/>
    </xf>
    <xf numFmtId="3" fontId="11" fillId="2" borderId="11" xfId="4" applyNumberFormat="1" applyFont="1" applyFill="1" applyBorder="1" applyAlignment="1">
      <alignment horizontal="right" vertical="center"/>
    </xf>
    <xf numFmtId="3" fontId="11" fillId="4" borderId="11" xfId="4" applyNumberFormat="1" applyFont="1" applyFill="1" applyBorder="1" applyAlignment="1">
      <alignment horizontal="right" vertical="center"/>
    </xf>
    <xf numFmtId="3" fontId="11" fillId="4" borderId="37" xfId="4" applyNumberFormat="1" applyFont="1" applyFill="1" applyBorder="1" applyAlignment="1">
      <alignment horizontal="right" vertical="center"/>
    </xf>
    <xf numFmtId="171" fontId="8" fillId="4" borderId="13" xfId="2" applyFont="1" applyFill="1" applyBorder="1" applyAlignment="1" applyProtection="1">
      <alignment horizontal="left"/>
    </xf>
    <xf numFmtId="4" fontId="15" fillId="2" borderId="13" xfId="4" applyNumberFormat="1" applyFont="1" applyFill="1" applyBorder="1" applyAlignment="1">
      <alignment horizontal="right"/>
    </xf>
    <xf numFmtId="3" fontId="8" fillId="2" borderId="13" xfId="4" applyNumberFormat="1" applyFont="1" applyFill="1" applyBorder="1" applyAlignment="1">
      <alignment horizontal="right" vertical="center"/>
    </xf>
    <xf numFmtId="3" fontId="8" fillId="2" borderId="4" xfId="4" applyNumberFormat="1" applyFont="1" applyFill="1" applyBorder="1" applyAlignment="1">
      <alignment horizontal="right" vertical="center"/>
    </xf>
    <xf numFmtId="3" fontId="8" fillId="2" borderId="11" xfId="4" applyNumberFormat="1" applyFont="1" applyFill="1" applyBorder="1" applyAlignment="1">
      <alignment horizontal="right" vertical="center"/>
    </xf>
    <xf numFmtId="3" fontId="8" fillId="2" borderId="37" xfId="4" applyNumberFormat="1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right"/>
    </xf>
    <xf numFmtId="0" fontId="22" fillId="2" borderId="12" xfId="0" applyFont="1" applyFill="1" applyBorder="1" applyAlignment="1">
      <alignment horizontal="right"/>
    </xf>
    <xf numFmtId="0" fontId="18" fillId="2" borderId="13" xfId="0" applyFont="1" applyFill="1" applyBorder="1" applyAlignment="1">
      <alignment horizontal="right"/>
    </xf>
    <xf numFmtId="4" fontId="17" fillId="2" borderId="13" xfId="1" applyNumberFormat="1" applyFont="1" applyFill="1" applyBorder="1" applyAlignment="1">
      <alignment horizontal="right"/>
    </xf>
    <xf numFmtId="3" fontId="11" fillId="2" borderId="13" xfId="1" applyNumberFormat="1" applyFont="1" applyFill="1" applyBorder="1" applyAlignment="1">
      <alignment horizontal="right" vertical="center"/>
    </xf>
    <xf numFmtId="3" fontId="11" fillId="2" borderId="4" xfId="1" applyNumberFormat="1" applyFont="1" applyFill="1" applyBorder="1" applyAlignment="1">
      <alignment horizontal="right" vertical="center"/>
    </xf>
    <xf numFmtId="3" fontId="11" fillId="2" borderId="11" xfId="1" applyNumberFormat="1" applyFont="1" applyFill="1" applyBorder="1" applyAlignment="1">
      <alignment horizontal="right" vertical="center"/>
    </xf>
    <xf numFmtId="165" fontId="23" fillId="4" borderId="38" xfId="3" applyNumberFormat="1" applyFont="1" applyFill="1" applyBorder="1" applyAlignment="1">
      <alignment horizontal="right" vertical="center"/>
    </xf>
    <xf numFmtId="165" fontId="23" fillId="4" borderId="11" xfId="3" applyNumberFormat="1" applyFont="1" applyFill="1" applyBorder="1" applyAlignment="1">
      <alignment horizontal="right" vertical="center"/>
    </xf>
    <xf numFmtId="171" fontId="4" fillId="2" borderId="13" xfId="2" applyFont="1" applyFill="1" applyBorder="1" applyAlignment="1"/>
    <xf numFmtId="171" fontId="11" fillId="2" borderId="13" xfId="2" applyFont="1" applyFill="1" applyBorder="1" applyAlignment="1"/>
    <xf numFmtId="0" fontId="9" fillId="2" borderId="13" xfId="0" applyFont="1" applyFill="1" applyBorder="1" applyAlignment="1">
      <alignment horizontal="right"/>
    </xf>
    <xf numFmtId="0" fontId="19" fillId="2" borderId="12" xfId="0" applyFont="1" applyFill="1" applyBorder="1" applyAlignment="1">
      <alignment horizontal="right"/>
    </xf>
    <xf numFmtId="171" fontId="8" fillId="2" borderId="13" xfId="2" applyFont="1" applyFill="1" applyBorder="1" applyAlignment="1" applyProtection="1">
      <alignment horizontal="left"/>
    </xf>
    <xf numFmtId="4" fontId="15" fillId="2" borderId="13" xfId="1" applyNumberFormat="1" applyFont="1" applyFill="1" applyBorder="1" applyAlignment="1">
      <alignment horizontal="right"/>
    </xf>
    <xf numFmtId="3" fontId="8" fillId="2" borderId="13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3" fontId="8" fillId="2" borderId="11" xfId="1" applyNumberFormat="1" applyFont="1" applyFill="1" applyBorder="1" applyAlignment="1">
      <alignment horizontal="right" vertical="center"/>
    </xf>
    <xf numFmtId="3" fontId="8" fillId="2" borderId="37" xfId="1" applyNumberFormat="1" applyFont="1" applyFill="1" applyBorder="1" applyAlignment="1">
      <alignment horizontal="right" vertical="center"/>
    </xf>
    <xf numFmtId="165" fontId="24" fillId="4" borderId="38" xfId="3" applyNumberFormat="1" applyFont="1" applyFill="1" applyBorder="1" applyAlignment="1">
      <alignment horizontal="right" vertical="center"/>
    </xf>
    <xf numFmtId="165" fontId="24" fillId="4" borderId="11" xfId="3" applyNumberFormat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171" fontId="11" fillId="2" borderId="39" xfId="2" applyFont="1" applyFill="1" applyBorder="1" applyAlignment="1"/>
    <xf numFmtId="4" fontId="17" fillId="2" borderId="39" xfId="1" applyNumberFormat="1" applyFont="1" applyFill="1" applyBorder="1" applyAlignment="1">
      <alignment horizontal="right"/>
    </xf>
    <xf numFmtId="3" fontId="11" fillId="2" borderId="39" xfId="1" applyNumberFormat="1" applyFont="1" applyFill="1" applyBorder="1" applyAlignment="1">
      <alignment horizontal="right" vertical="center"/>
    </xf>
    <xf numFmtId="3" fontId="11" fillId="2" borderId="7" xfId="1" applyNumberFormat="1" applyFont="1" applyFill="1" applyBorder="1" applyAlignment="1">
      <alignment horizontal="right" vertical="center"/>
    </xf>
    <xf numFmtId="3" fontId="11" fillId="2" borderId="40" xfId="1" applyNumberFormat="1" applyFont="1" applyFill="1" applyBorder="1" applyAlignment="1">
      <alignment horizontal="right" vertical="center"/>
    </xf>
    <xf numFmtId="3" fontId="11" fillId="4" borderId="40" xfId="1" applyNumberFormat="1" applyFont="1" applyFill="1" applyBorder="1" applyAlignment="1">
      <alignment horizontal="right" vertical="center"/>
    </xf>
    <xf numFmtId="3" fontId="11" fillId="4" borderId="41" xfId="1" applyNumberFormat="1" applyFont="1" applyFill="1" applyBorder="1" applyAlignment="1">
      <alignment horizontal="right" vertical="center"/>
    </xf>
    <xf numFmtId="165" fontId="23" fillId="4" borderId="42" xfId="3" applyNumberFormat="1" applyFont="1" applyFill="1" applyBorder="1" applyAlignment="1">
      <alignment horizontal="right" vertical="center"/>
    </xf>
    <xf numFmtId="165" fontId="11" fillId="4" borderId="40" xfId="3" applyNumberFormat="1" applyFont="1" applyFill="1" applyBorder="1" applyAlignment="1">
      <alignment horizontal="right" vertical="center"/>
    </xf>
    <xf numFmtId="165" fontId="23" fillId="4" borderId="40" xfId="3" applyNumberFormat="1" applyFont="1" applyFill="1" applyBorder="1" applyAlignment="1">
      <alignment horizontal="right" vertical="center"/>
    </xf>
    <xf numFmtId="165" fontId="11" fillId="4" borderId="41" xfId="3" applyNumberFormat="1" applyFont="1" applyFill="1" applyBorder="1" applyAlignment="1">
      <alignment horizontal="right" vertical="center"/>
    </xf>
    <xf numFmtId="0" fontId="12" fillId="2" borderId="43" xfId="0" applyFont="1" applyFill="1" applyBorder="1" applyAlignment="1">
      <alignment horizontal="right"/>
    </xf>
    <xf numFmtId="0" fontId="16" fillId="2" borderId="18" xfId="0" applyFont="1" applyFill="1" applyBorder="1" applyAlignment="1" applyProtection="1">
      <alignment horizontal="left" vertical="center"/>
    </xf>
    <xf numFmtId="4" fontId="17" fillId="2" borderId="18" xfId="1" applyNumberFormat="1" applyFont="1" applyFill="1" applyBorder="1" applyAlignment="1">
      <alignment horizontal="right"/>
    </xf>
    <xf numFmtId="171" fontId="25" fillId="2" borderId="18" xfId="2" applyFont="1" applyFill="1" applyBorder="1" applyAlignment="1"/>
    <xf numFmtId="0" fontId="13" fillId="2" borderId="18" xfId="0" applyFont="1" applyFill="1" applyBorder="1" applyAlignment="1">
      <alignment horizontal="right" readingOrder="2"/>
    </xf>
    <xf numFmtId="171" fontId="26" fillId="2" borderId="18" xfId="2" applyFont="1" applyFill="1" applyBorder="1" applyAlignment="1"/>
    <xf numFmtId="171" fontId="10" fillId="2" borderId="13" xfId="2" applyFont="1" applyFill="1" applyBorder="1" applyAlignment="1">
      <alignment vertical="center"/>
    </xf>
    <xf numFmtId="171" fontId="4" fillId="2" borderId="13" xfId="2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171" fontId="5" fillId="2" borderId="5" xfId="2" applyFont="1" applyFill="1" applyBorder="1" applyAlignment="1" applyProtection="1">
      <alignment horizontal="center" vertical="center"/>
    </xf>
    <xf numFmtId="171" fontId="5" fillId="2" borderId="14" xfId="2" applyFont="1" applyFill="1" applyBorder="1" applyAlignment="1" applyProtection="1">
      <alignment horizontal="center" vertical="center"/>
    </xf>
    <xf numFmtId="171" fontId="8" fillId="2" borderId="17" xfId="2" applyFont="1" applyFill="1" applyBorder="1" applyAlignment="1" applyProtection="1">
      <alignment horizontal="left" vertical="center"/>
    </xf>
    <xf numFmtId="171" fontId="8" fillId="2" borderId="24" xfId="2" applyFont="1" applyFill="1" applyBorder="1" applyAlignment="1" applyProtection="1">
      <alignment horizontal="left" vertical="center"/>
    </xf>
    <xf numFmtId="171" fontId="8" fillId="2" borderId="6" xfId="2" applyFont="1" applyFill="1" applyBorder="1" applyAlignment="1" applyProtection="1">
      <alignment horizontal="left" vertical="center"/>
    </xf>
    <xf numFmtId="171" fontId="18" fillId="2" borderId="19" xfId="2" applyFont="1" applyFill="1" applyBorder="1" applyAlignment="1" applyProtection="1">
      <alignment horizontal="center" vertical="center"/>
    </xf>
    <xf numFmtId="171" fontId="18" fillId="2" borderId="1" xfId="2" applyFont="1" applyFill="1" applyBorder="1" applyAlignment="1" applyProtection="1">
      <alignment horizontal="center" vertical="center"/>
    </xf>
    <xf numFmtId="171" fontId="18" fillId="2" borderId="8" xfId="2" applyFont="1" applyFill="1" applyBorder="1" applyAlignment="1" applyProtection="1">
      <alignment horizontal="center" vertical="center"/>
    </xf>
    <xf numFmtId="0" fontId="9" fillId="2" borderId="20" xfId="0" applyFont="1" applyFill="1" applyBorder="1" applyAlignment="1" applyProtection="1">
      <alignment horizontal="center" vertical="center"/>
    </xf>
    <xf numFmtId="0" fontId="9" fillId="2" borderId="21" xfId="0" applyFont="1" applyFill="1" applyBorder="1" applyAlignment="1" applyProtection="1">
      <alignment horizontal="center" vertical="center"/>
    </xf>
    <xf numFmtId="0" fontId="9" fillId="2" borderId="22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15" fillId="2" borderId="28" xfId="0" applyFont="1" applyFill="1" applyBorder="1" applyAlignment="1" applyProtection="1">
      <alignment horizontal="center" vertical="center"/>
    </xf>
    <xf numFmtId="0" fontId="15" fillId="2" borderId="2" xfId="0" applyFont="1" applyFill="1" applyBorder="1" applyAlignment="1" applyProtection="1">
      <alignment horizontal="center" vertical="center"/>
    </xf>
    <xf numFmtId="0" fontId="15" fillId="2" borderId="27" xfId="0" applyFont="1" applyFill="1" applyBorder="1" applyAlignment="1" applyProtection="1">
      <alignment horizontal="center" vertical="center"/>
    </xf>
  </cellXfs>
  <cellStyles count="72">
    <cellStyle name="1" xfId="48"/>
    <cellStyle name="20% - Accent1" xfId="24" builtinId="30" customBuiltin="1"/>
    <cellStyle name="20% - Accent1 2" xfId="59"/>
    <cellStyle name="20% - Accent2" xfId="28" builtinId="34" customBuiltin="1"/>
    <cellStyle name="20% - Accent2 2" xfId="61"/>
    <cellStyle name="20% - Accent3" xfId="32" builtinId="38" customBuiltin="1"/>
    <cellStyle name="20% - Accent3 2" xfId="63"/>
    <cellStyle name="20% - Accent4" xfId="36" builtinId="42" customBuiltin="1"/>
    <cellStyle name="20% - Accent4 2" xfId="65"/>
    <cellStyle name="20% - Accent5" xfId="40" builtinId="46" customBuiltin="1"/>
    <cellStyle name="20% - Accent5 2" xfId="67"/>
    <cellStyle name="20% - Accent6" xfId="44" builtinId="50" customBuiltin="1"/>
    <cellStyle name="20% - Accent6 2" xfId="69"/>
    <cellStyle name="40% - Accent1" xfId="25" builtinId="31" customBuiltin="1"/>
    <cellStyle name="40% - Accent1 2" xfId="60"/>
    <cellStyle name="40% - Accent2" xfId="29" builtinId="35" customBuiltin="1"/>
    <cellStyle name="40% - Accent2 2" xfId="62"/>
    <cellStyle name="40% - Accent3" xfId="33" builtinId="39" customBuiltin="1"/>
    <cellStyle name="40% - Accent3 2" xfId="64"/>
    <cellStyle name="40% - Accent4" xfId="37" builtinId="43" customBuiltin="1"/>
    <cellStyle name="40% - Accent4 2" xfId="66"/>
    <cellStyle name="40% - Accent5" xfId="41" builtinId="47" customBuiltin="1"/>
    <cellStyle name="40% - Accent5 2" xfId="68"/>
    <cellStyle name="40% - Accent6" xfId="45" builtinId="51" customBuiltin="1"/>
    <cellStyle name="40% - Accent6 2" xfId="70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49"/>
    <cellStyle name="Comma 3" xfId="1"/>
    <cellStyle name="Comma 4" xfId="53"/>
    <cellStyle name="Comma 5" xfId="56"/>
    <cellStyle name="Comma_XII7" xfId="4"/>
    <cellStyle name="Comma_XII-7 (Commerce)" xfId="3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/>
    <cellStyle name="Normal 2" xfId="6"/>
    <cellStyle name="Normal 3" xfId="52"/>
    <cellStyle name="Normal 4" xfId="55"/>
    <cellStyle name="Normal 5" xfId="5"/>
    <cellStyle name="Normal 6" xfId="58"/>
    <cellStyle name="Normal 7" xfId="47"/>
    <cellStyle name="Normal_XII-7 (Commerce)" xfId="2"/>
    <cellStyle name="Note 2" xfId="54"/>
    <cellStyle name="Note 3" xfId="57"/>
    <cellStyle name="Output" xfId="16" builtinId="21" customBuiltin="1"/>
    <cellStyle name="Percent 2" xfId="7"/>
    <cellStyle name="Title 2" xfId="51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tabSelected="1" zoomScaleNormal="100" workbookViewId="0">
      <selection activeCell="Z25" sqref="Z25"/>
    </sheetView>
  </sheetViews>
  <sheetFormatPr defaultColWidth="11" defaultRowHeight="15.75" x14ac:dyDescent="0.25"/>
  <cols>
    <col min="1" max="1" width="22.140625" style="127" customWidth="1"/>
    <col min="2" max="2" width="10.85546875" style="128" hidden="1" customWidth="1"/>
    <col min="3" max="3" width="11.140625" style="128" hidden="1" customWidth="1"/>
    <col min="4" max="4" width="11" style="128" hidden="1" customWidth="1"/>
    <col min="5" max="5" width="10.85546875" style="128" hidden="1" customWidth="1"/>
    <col min="6" max="12" width="9.5703125" style="7" hidden="1" customWidth="1"/>
    <col min="13" max="14" width="10.42578125" style="7" hidden="1" customWidth="1"/>
    <col min="15" max="15" width="10.42578125" style="7" customWidth="1"/>
    <col min="16" max="16" width="12.28515625" style="7" bestFit="1" customWidth="1"/>
    <col min="17" max="17" width="12.28515625" style="7" customWidth="1"/>
    <col min="18" max="18" width="9.140625" style="7" hidden="1" customWidth="1"/>
    <col min="19" max="19" width="1.42578125" style="7" customWidth="1"/>
    <col min="20" max="21" width="9.85546875" style="7" customWidth="1"/>
    <col min="22" max="22" width="8.28515625" style="7" customWidth="1"/>
    <col min="23" max="24" width="9" style="7" hidden="1" customWidth="1"/>
    <col min="25" max="27" width="9" style="7" customWidth="1"/>
    <col min="28" max="28" width="13" style="7" customWidth="1"/>
    <col min="29" max="29" width="1.85546875" style="7" customWidth="1"/>
    <col min="30" max="30" width="23.7109375" style="7" customWidth="1"/>
    <col min="31" max="16384" width="11" style="7"/>
  </cols>
  <sheetData>
    <row r="1" spans="1:30" ht="19.5" x14ac:dyDescent="0.25">
      <c r="A1" s="133" t="s">
        <v>38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5"/>
      <c r="AD1" s="6"/>
    </row>
    <row r="2" spans="1:30" s="10" customFormat="1" x14ac:dyDescent="0.25">
      <c r="A2" s="135" t="s">
        <v>39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8"/>
      <c r="AD2" s="9"/>
    </row>
    <row r="3" spans="1:30" s="13" customForma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  <c r="S3" s="12"/>
      <c r="T3" s="12"/>
      <c r="U3" s="12"/>
      <c r="V3" s="12"/>
      <c r="W3" s="11"/>
      <c r="X3" s="11"/>
      <c r="Y3" s="11"/>
      <c r="Z3" s="11"/>
      <c r="AA3" s="11"/>
      <c r="AB3" s="11"/>
      <c r="AC3" s="12"/>
    </row>
    <row r="4" spans="1:30" s="14" customFormat="1" x14ac:dyDescent="0.25">
      <c r="A4" s="137" t="s">
        <v>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40" t="s">
        <v>40</v>
      </c>
      <c r="N4" s="141"/>
      <c r="O4" s="141"/>
      <c r="P4" s="141"/>
      <c r="Q4" s="142"/>
      <c r="R4" s="143" t="s">
        <v>1</v>
      </c>
      <c r="S4" s="144"/>
      <c r="T4" s="144"/>
      <c r="U4" s="144"/>
      <c r="V4" s="145"/>
      <c r="W4" s="146" t="s">
        <v>2</v>
      </c>
      <c r="X4" s="129"/>
      <c r="Y4" s="129"/>
      <c r="Z4" s="129"/>
      <c r="AA4" s="129"/>
      <c r="AB4" s="131" t="s">
        <v>41</v>
      </c>
      <c r="AC4" s="16"/>
      <c r="AD4" s="17"/>
    </row>
    <row r="5" spans="1:30" s="14" customFormat="1" x14ac:dyDescent="0.25">
      <c r="A5" s="138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1"/>
      <c r="R5" s="147" t="s">
        <v>3</v>
      </c>
      <c r="S5" s="148"/>
      <c r="T5" s="148"/>
      <c r="U5" s="148"/>
      <c r="V5" s="149"/>
      <c r="W5" s="147" t="s">
        <v>4</v>
      </c>
      <c r="X5" s="148"/>
      <c r="Y5" s="148"/>
      <c r="Z5" s="148"/>
      <c r="AA5" s="148"/>
      <c r="AB5" s="130"/>
      <c r="AC5" s="16"/>
      <c r="AD5" s="17"/>
    </row>
    <row r="6" spans="1:30" s="31" customFormat="1" x14ac:dyDescent="0.2">
      <c r="A6" s="139"/>
      <c r="B6" s="22">
        <v>2003</v>
      </c>
      <c r="C6" s="22">
        <v>2004</v>
      </c>
      <c r="D6" s="23">
        <v>2005</v>
      </c>
      <c r="E6" s="23">
        <v>2006</v>
      </c>
      <c r="F6" s="24">
        <v>2007</v>
      </c>
      <c r="G6" s="24">
        <v>2008</v>
      </c>
      <c r="H6" s="24">
        <v>2009</v>
      </c>
      <c r="I6" s="24">
        <v>2010</v>
      </c>
      <c r="J6" s="25">
        <v>2011</v>
      </c>
      <c r="K6" s="25">
        <v>2012</v>
      </c>
      <c r="L6" s="25">
        <v>2013</v>
      </c>
      <c r="M6" s="25">
        <v>2014</v>
      </c>
      <c r="N6" s="25">
        <v>2015</v>
      </c>
      <c r="O6" s="25">
        <v>2016</v>
      </c>
      <c r="P6" s="25">
        <v>2017</v>
      </c>
      <c r="Q6" s="26">
        <v>2018</v>
      </c>
      <c r="R6" s="27">
        <v>2014</v>
      </c>
      <c r="S6" s="28">
        <v>2015</v>
      </c>
      <c r="T6" s="28">
        <v>2016</v>
      </c>
      <c r="U6" s="28">
        <v>2017</v>
      </c>
      <c r="V6" s="29">
        <v>2018</v>
      </c>
      <c r="W6" s="30">
        <v>2014</v>
      </c>
      <c r="X6" s="25">
        <v>2015</v>
      </c>
      <c r="Y6" s="25">
        <v>2016</v>
      </c>
      <c r="Z6" s="25">
        <v>2017</v>
      </c>
      <c r="AA6" s="25">
        <v>2018</v>
      </c>
      <c r="AB6" s="132"/>
    </row>
    <row r="7" spans="1:30" s="42" customFormat="1" ht="18" x14ac:dyDescent="0.4">
      <c r="A7" s="32" t="s">
        <v>5</v>
      </c>
      <c r="B7" s="33">
        <f>SUM(B8,B17,B18,B22,B30)</f>
        <v>1445921.9455699997</v>
      </c>
      <c r="C7" s="33">
        <f t="shared" ref="C7:N7" si="0">SUM(C8,C17,C18,C22,C30,C21)</f>
        <v>1572277.1540399997</v>
      </c>
      <c r="D7" s="33">
        <f t="shared" si="0"/>
        <v>1334059.5760799998</v>
      </c>
      <c r="E7" s="33">
        <f t="shared" si="0"/>
        <v>1735722.3422600001</v>
      </c>
      <c r="F7" s="34">
        <f t="shared" si="0"/>
        <v>1384588.6013099998</v>
      </c>
      <c r="G7" s="34">
        <f t="shared" si="0"/>
        <v>1617451.5994499999</v>
      </c>
      <c r="H7" s="34">
        <f t="shared" si="0"/>
        <v>981317.9378099998</v>
      </c>
      <c r="I7" s="34">
        <f t="shared" si="0"/>
        <v>949797.71056999988</v>
      </c>
      <c r="J7" s="35">
        <f t="shared" si="0"/>
        <v>1770329.63121</v>
      </c>
      <c r="K7" s="36">
        <f t="shared" si="0"/>
        <v>2483060.3319799998</v>
      </c>
      <c r="L7" s="36">
        <f t="shared" si="0"/>
        <v>2558635.1909499997</v>
      </c>
      <c r="M7" s="36">
        <f t="shared" si="0"/>
        <v>2227693.2185499994</v>
      </c>
      <c r="N7" s="36">
        <f t="shared" si="0"/>
        <v>2215411.7713000001</v>
      </c>
      <c r="O7" s="36">
        <f>SUM(O8,O17,O18,O22,O30,O21)</f>
        <v>2145317.2528799996</v>
      </c>
      <c r="P7" s="36">
        <f>SUM(P8,P17,P18,P22,P30,P21)</f>
        <v>3068176.8116000001</v>
      </c>
      <c r="Q7" s="37">
        <f>SUM(Q8,Q17,Q18,Q22,Q30,Q21)</f>
        <v>2796690.3097900008</v>
      </c>
      <c r="R7" s="38">
        <f>SUM(R30,R22,R18,R17,R8,R21)</f>
        <v>100.00000000000004</v>
      </c>
      <c r="S7" s="39">
        <f t="shared" ref="S7" si="1">SUM(S30,S22,S18,S17,S8,S21)</f>
        <v>99.999999999999986</v>
      </c>
      <c r="T7" s="39">
        <f>SUM(T30,T22,T18,T17,T8,T21)</f>
        <v>100</v>
      </c>
      <c r="U7" s="39">
        <f>SUM(U30,U22,U18,U17,U8,U21)</f>
        <v>100</v>
      </c>
      <c r="V7" s="40">
        <f>SUM(V30,V22,V18,V17,V8,V21)</f>
        <v>100</v>
      </c>
      <c r="W7" s="4">
        <f>((M7-L7)/L7)*100</f>
        <v>-12.934316450057281</v>
      </c>
      <c r="X7" s="1">
        <f>((N7-M7)/M7)*100</f>
        <v>-0.55130783483702639</v>
      </c>
      <c r="Y7" s="1">
        <f>((O7-N7)/N7)*100</f>
        <v>-3.1639498953672711</v>
      </c>
      <c r="Z7" s="1">
        <f>((P7-O7)/O7)*100</f>
        <v>43.017393230819351</v>
      </c>
      <c r="AA7" s="1">
        <f>((Q7-P7)/P7)*100</f>
        <v>-8.8484633865811642</v>
      </c>
      <c r="AB7" s="41" t="s">
        <v>6</v>
      </c>
    </row>
    <row r="8" spans="1:30" s="42" customFormat="1" ht="18" x14ac:dyDescent="0.4">
      <c r="A8" s="43" t="s">
        <v>7</v>
      </c>
      <c r="B8" s="44">
        <f t="shared" ref="B8:G8" si="2">SUM(B9:B16)</f>
        <v>227667.37286999996</v>
      </c>
      <c r="C8" s="44">
        <f t="shared" si="2"/>
        <v>305996.71087999997</v>
      </c>
      <c r="D8" s="44">
        <f t="shared" si="2"/>
        <v>352329.63900000002</v>
      </c>
      <c r="E8" s="44">
        <f t="shared" si="2"/>
        <v>427133.72319999995</v>
      </c>
      <c r="F8" s="45">
        <f t="shared" si="2"/>
        <v>405176.84723000001</v>
      </c>
      <c r="G8" s="45">
        <f t="shared" si="2"/>
        <v>501890.46439999994</v>
      </c>
      <c r="H8" s="45">
        <f t="shared" ref="H8:Q8" si="3">SUM(H9:H16)</f>
        <v>421839.11106999998</v>
      </c>
      <c r="I8" s="45">
        <f t="shared" si="3"/>
        <v>337218.64825000009</v>
      </c>
      <c r="J8" s="46">
        <f t="shared" si="3"/>
        <v>812744.67657999997</v>
      </c>
      <c r="K8" s="47">
        <f t="shared" si="3"/>
        <v>1127850.1691099999</v>
      </c>
      <c r="L8" s="47">
        <f t="shared" si="3"/>
        <v>970103.83279999997</v>
      </c>
      <c r="M8" s="47">
        <f t="shared" si="3"/>
        <v>888622.34262000001</v>
      </c>
      <c r="N8" s="47">
        <f t="shared" si="3"/>
        <v>914364.13443999994</v>
      </c>
      <c r="O8" s="47">
        <f t="shared" si="3"/>
        <v>825995.70250999986</v>
      </c>
      <c r="P8" s="47">
        <f t="shared" si="3"/>
        <v>1013711.50981</v>
      </c>
      <c r="Q8" s="48">
        <f t="shared" si="3"/>
        <v>1134613.3933700004</v>
      </c>
      <c r="R8" s="49">
        <f>(M8/$M$7)*100</f>
        <v>39.889798793677812</v>
      </c>
      <c r="S8" s="50">
        <f>(N8/$N$7)*100</f>
        <v>41.272875150584419</v>
      </c>
      <c r="T8" s="50">
        <f>(O8/$O$7)*100</f>
        <v>38.50226354172721</v>
      </c>
      <c r="U8" s="50">
        <f>(P8/$P$7)*100</f>
        <v>33.039540158748778</v>
      </c>
      <c r="V8" s="51">
        <f>(Q8/$Q$7)*100</f>
        <v>40.569861789780965</v>
      </c>
      <c r="W8" s="1">
        <f t="shared" ref="W8:Y33" si="4">((M8-L8)/L8)*100</f>
        <v>-8.3992545359624895</v>
      </c>
      <c r="X8" s="1">
        <f t="shared" si="4"/>
        <v>2.8968202334529689</v>
      </c>
      <c r="Y8" s="1">
        <f>((O8-N8)/N8)*100</f>
        <v>-9.6644683011458135</v>
      </c>
      <c r="Z8" s="1">
        <f t="shared" ref="Z8:AA33" si="5">((P8-O8)/O8)*100</f>
        <v>22.726002899237546</v>
      </c>
      <c r="AA8" s="1">
        <f t="shared" si="5"/>
        <v>11.92665589667233</v>
      </c>
      <c r="AB8" s="52" t="s">
        <v>8</v>
      </c>
    </row>
    <row r="9" spans="1:30" s="42" customFormat="1" ht="18" x14ac:dyDescent="0.4">
      <c r="A9" s="53" t="s">
        <v>18</v>
      </c>
      <c r="B9" s="54">
        <v>7269.4838300000001</v>
      </c>
      <c r="C9" s="54">
        <v>36289.345409999994</v>
      </c>
      <c r="D9" s="54">
        <v>52684.412360000002</v>
      </c>
      <c r="E9" s="54">
        <v>88149.976580000002</v>
      </c>
      <c r="F9" s="55">
        <v>102118.17361</v>
      </c>
      <c r="G9" s="55">
        <v>141451.09388999999</v>
      </c>
      <c r="H9" s="55">
        <v>110347.48964</v>
      </c>
      <c r="I9" s="55">
        <v>103389.08512</v>
      </c>
      <c r="J9" s="56">
        <v>295587.50266999996</v>
      </c>
      <c r="K9" s="57">
        <v>410733.49375999998</v>
      </c>
      <c r="L9" s="57">
        <v>345366.26675999997</v>
      </c>
      <c r="M9" s="57">
        <v>322181.28967000003</v>
      </c>
      <c r="N9" s="57">
        <v>232558.78039</v>
      </c>
      <c r="O9" s="57">
        <v>188612.58134999961</v>
      </c>
      <c r="P9" s="57">
        <v>213766.68318999998</v>
      </c>
      <c r="Q9" s="58">
        <v>206197.43750000015</v>
      </c>
      <c r="R9" s="59">
        <f>(M9/$M$7)*100</f>
        <v>14.462551979204171</v>
      </c>
      <c r="S9" s="60">
        <f t="shared" ref="S9:S33" si="6">(N9/$N$7)*100</f>
        <v>10.49731627333256</v>
      </c>
      <c r="T9" s="60">
        <f>(O9/$O$7)*100</f>
        <v>8.791826994203074</v>
      </c>
      <c r="U9" s="60">
        <f t="shared" ref="U9:U32" si="7">(P9/$P$7)*100</f>
        <v>6.9672217840185162</v>
      </c>
      <c r="V9" s="61">
        <f>(Q9/$Q$7)*100</f>
        <v>7.3729092126572704</v>
      </c>
      <c r="W9" s="2">
        <f t="shared" si="4"/>
        <v>-6.7131562406213572</v>
      </c>
      <c r="X9" s="2">
        <f t="shared" si="4"/>
        <v>-27.817415893951353</v>
      </c>
      <c r="Y9" s="2">
        <f t="shared" si="4"/>
        <v>-18.896813513685792</v>
      </c>
      <c r="Z9" s="2">
        <f t="shared" si="5"/>
        <v>13.336385971688214</v>
      </c>
      <c r="AA9" s="2">
        <f t="shared" si="5"/>
        <v>-3.5408912076687566</v>
      </c>
      <c r="AB9" s="62" t="s">
        <v>19</v>
      </c>
    </row>
    <row r="10" spans="1:30" s="42" customFormat="1" ht="18" x14ac:dyDescent="0.4">
      <c r="A10" s="53" t="s">
        <v>13</v>
      </c>
      <c r="B10" s="54">
        <v>11497.32883</v>
      </c>
      <c r="C10" s="54">
        <v>26967.876410000001</v>
      </c>
      <c r="D10" s="54">
        <v>25537.643619999999</v>
      </c>
      <c r="E10" s="54">
        <v>63823.594700000001</v>
      </c>
      <c r="F10" s="55">
        <v>58306.332060000001</v>
      </c>
      <c r="G10" s="55">
        <v>134426.35631</v>
      </c>
      <c r="H10" s="55">
        <v>125663.85926000001</v>
      </c>
      <c r="I10" s="55">
        <v>88064.559600000008</v>
      </c>
      <c r="J10" s="56">
        <v>177242.35548000003</v>
      </c>
      <c r="K10" s="57">
        <v>190472.78999000002</v>
      </c>
      <c r="L10" s="57">
        <v>126668.46704</v>
      </c>
      <c r="M10" s="57">
        <v>78885.759760000001</v>
      </c>
      <c r="N10" s="57">
        <v>124085.05331999999</v>
      </c>
      <c r="O10" s="57">
        <v>105654.97153000002</v>
      </c>
      <c r="P10" s="57">
        <v>88683.157289999988</v>
      </c>
      <c r="Q10" s="58">
        <v>122151.57711999999</v>
      </c>
      <c r="R10" s="59">
        <f t="shared" ref="R10:R33" si="8">(M10/$M$7)*100</f>
        <v>3.5411410827630281</v>
      </c>
      <c r="S10" s="60">
        <f t="shared" si="6"/>
        <v>5.6009927782945326</v>
      </c>
      <c r="T10" s="60">
        <f t="shared" ref="T10:T32" si="9">(O10/$O$7)*100</f>
        <v>4.9249112870444964</v>
      </c>
      <c r="U10" s="60">
        <f t="shared" si="7"/>
        <v>2.8904187318902683</v>
      </c>
      <c r="V10" s="61">
        <f t="shared" ref="V10:V16" si="10">(Q10/$Q$7)*100</f>
        <v>4.3677191104213522</v>
      </c>
      <c r="W10" s="2">
        <f t="shared" si="4"/>
        <v>-37.722653787947827</v>
      </c>
      <c r="X10" s="2">
        <f t="shared" si="4"/>
        <v>57.297151852898622</v>
      </c>
      <c r="Y10" s="2">
        <f t="shared" si="4"/>
        <v>-14.852781456660269</v>
      </c>
      <c r="Z10" s="2">
        <f t="shared" si="5"/>
        <v>-16.063431747914485</v>
      </c>
      <c r="AA10" s="2">
        <f t="shared" si="5"/>
        <v>37.739319226711757</v>
      </c>
      <c r="AB10" s="62" t="s">
        <v>14</v>
      </c>
    </row>
    <row r="11" spans="1:30" s="42" customFormat="1" ht="18" x14ac:dyDescent="0.4">
      <c r="A11" s="53" t="s">
        <v>15</v>
      </c>
      <c r="B11" s="54">
        <v>140226.35119999998</v>
      </c>
      <c r="C11" s="54">
        <v>153662.96505</v>
      </c>
      <c r="D11" s="54">
        <v>183635.94294000001</v>
      </c>
      <c r="E11" s="54">
        <v>168865.24539</v>
      </c>
      <c r="F11" s="55">
        <v>158540.01175000001</v>
      </c>
      <c r="G11" s="55">
        <v>123445.25870999999</v>
      </c>
      <c r="H11" s="55">
        <v>98090.754780000003</v>
      </c>
      <c r="I11" s="55">
        <v>90589.378890000007</v>
      </c>
      <c r="J11" s="56">
        <v>125746.90523</v>
      </c>
      <c r="K11" s="57">
        <v>184244.46200999999</v>
      </c>
      <c r="L11" s="57">
        <v>139580.98009999999</v>
      </c>
      <c r="M11" s="57">
        <v>104104.1945</v>
      </c>
      <c r="N11" s="57">
        <v>127377.47684999999</v>
      </c>
      <c r="O11" s="57">
        <v>88713.561470000001</v>
      </c>
      <c r="P11" s="57">
        <v>175357.36434999996</v>
      </c>
      <c r="Q11" s="58">
        <v>258059.13361999998</v>
      </c>
      <c r="R11" s="59">
        <f>(M11/$M$7)*100</f>
        <v>4.6731836158194708</v>
      </c>
      <c r="S11" s="60">
        <f t="shared" si="6"/>
        <v>5.7496072964916625</v>
      </c>
      <c r="T11" s="60">
        <f>(O11/$O$7)*100</f>
        <v>4.1352187584799269</v>
      </c>
      <c r="U11" s="60">
        <f t="shared" si="7"/>
        <v>5.7153604605516257</v>
      </c>
      <c r="V11" s="61">
        <f t="shared" si="10"/>
        <v>9.22730460060761</v>
      </c>
      <c r="W11" s="2">
        <f t="shared" si="4"/>
        <v>-25.416633107593427</v>
      </c>
      <c r="X11" s="2">
        <f t="shared" si="4"/>
        <v>22.35575853766391</v>
      </c>
      <c r="Y11" s="2">
        <f t="shared" si="4"/>
        <v>-30.353808488082006</v>
      </c>
      <c r="Z11" s="2">
        <f t="shared" si="5"/>
        <v>97.666919740675766</v>
      </c>
      <c r="AA11" s="2">
        <f>((Q11-P11)/P11)*100</f>
        <v>47.161845512763058</v>
      </c>
      <c r="AB11" s="62" t="s">
        <v>16</v>
      </c>
    </row>
    <row r="12" spans="1:30" s="42" customFormat="1" ht="18" x14ac:dyDescent="0.4">
      <c r="A12" s="53" t="s">
        <v>11</v>
      </c>
      <c r="B12" s="54">
        <v>55127.474479999997</v>
      </c>
      <c r="C12" s="54">
        <v>77192.205239999996</v>
      </c>
      <c r="D12" s="54">
        <v>70964.544049999997</v>
      </c>
      <c r="E12" s="54">
        <v>66325.581210000004</v>
      </c>
      <c r="F12" s="55">
        <v>21994.62098</v>
      </c>
      <c r="G12" s="55">
        <v>43164.361729999997</v>
      </c>
      <c r="H12" s="55">
        <v>33888.798379999993</v>
      </c>
      <c r="I12" s="55">
        <v>26841.330399999999</v>
      </c>
      <c r="J12" s="56">
        <v>45612.352340000005</v>
      </c>
      <c r="K12" s="57">
        <v>84795.587150000007</v>
      </c>
      <c r="L12" s="57">
        <v>153742.89004</v>
      </c>
      <c r="M12" s="57">
        <v>148550.84917</v>
      </c>
      <c r="N12" s="57">
        <v>154077.37527000002</v>
      </c>
      <c r="O12" s="57">
        <v>187349.15192000015</v>
      </c>
      <c r="P12" s="57">
        <v>220705.70510999995</v>
      </c>
      <c r="Q12" s="58">
        <v>355433.42591000017</v>
      </c>
      <c r="R12" s="59">
        <f t="shared" si="8"/>
        <v>6.6683710276180408</v>
      </c>
      <c r="S12" s="60">
        <f t="shared" si="6"/>
        <v>6.9547962715566705</v>
      </c>
      <c r="T12" s="60">
        <f t="shared" si="9"/>
        <v>8.7329345656681632</v>
      </c>
      <c r="U12" s="60">
        <f t="shared" si="7"/>
        <v>7.1933828674921054</v>
      </c>
      <c r="V12" s="61">
        <f t="shared" si="10"/>
        <v>12.709073459645559</v>
      </c>
      <c r="W12" s="2">
        <f t="shared" si="4"/>
        <v>-3.3770933203149491</v>
      </c>
      <c r="X12" s="2">
        <f t="shared" si="4"/>
        <v>3.720292499759136</v>
      </c>
      <c r="Y12" s="2">
        <f t="shared" si="4"/>
        <v>21.594200051562265</v>
      </c>
      <c r="Z12" s="2">
        <f t="shared" si="5"/>
        <v>17.804485821341409</v>
      </c>
      <c r="AA12" s="2">
        <f t="shared" si="5"/>
        <v>61.044058980193462</v>
      </c>
      <c r="AB12" s="62" t="s">
        <v>12</v>
      </c>
    </row>
    <row r="13" spans="1:30" s="42" customFormat="1" ht="18" x14ac:dyDescent="0.4">
      <c r="A13" s="53" t="s">
        <v>9</v>
      </c>
      <c r="B13" s="54">
        <v>6340.2722599999997</v>
      </c>
      <c r="C13" s="54">
        <v>7133.5454099999997</v>
      </c>
      <c r="D13" s="54">
        <v>16781.176620000002</v>
      </c>
      <c r="E13" s="54">
        <v>33239.617559999999</v>
      </c>
      <c r="F13" s="55">
        <v>57391.865570000009</v>
      </c>
      <c r="G13" s="55">
        <v>26543.30904</v>
      </c>
      <c r="H13" s="55">
        <v>22690.00978</v>
      </c>
      <c r="I13" s="55">
        <v>4283.7419600000003</v>
      </c>
      <c r="J13" s="56">
        <v>48266.869429999999</v>
      </c>
      <c r="K13" s="57">
        <v>60907.614139999998</v>
      </c>
      <c r="L13" s="57">
        <v>40617.725859999999</v>
      </c>
      <c r="M13" s="57">
        <v>15023.796869999998</v>
      </c>
      <c r="N13" s="57">
        <v>79772.600709999999</v>
      </c>
      <c r="O13" s="57">
        <v>38876.185309999979</v>
      </c>
      <c r="P13" s="57">
        <v>10599.19361</v>
      </c>
      <c r="Q13" s="58">
        <v>17857.254080000002</v>
      </c>
      <c r="R13" s="59">
        <f t="shared" si="8"/>
        <v>0.67441049534544772</v>
      </c>
      <c r="S13" s="60">
        <f t="shared" si="6"/>
        <v>3.6008024216279013</v>
      </c>
      <c r="T13" s="60">
        <f t="shared" si="9"/>
        <v>1.8121415495918054</v>
      </c>
      <c r="U13" s="60">
        <f t="shared" si="7"/>
        <v>0.34545576284675417</v>
      </c>
      <c r="V13" s="61">
        <f t="shared" si="10"/>
        <v>0.63851381819036213</v>
      </c>
      <c r="W13" s="2">
        <f t="shared" si="4"/>
        <v>-63.011723202368373</v>
      </c>
      <c r="X13" s="2">
        <f t="shared" si="4"/>
        <v>430.97496857996333</v>
      </c>
      <c r="Y13" s="2">
        <f t="shared" si="4"/>
        <v>-51.266243090998273</v>
      </c>
      <c r="Z13" s="2">
        <f t="shared" si="5"/>
        <v>-72.736024572674282</v>
      </c>
      <c r="AA13" s="2">
        <f t="shared" si="5"/>
        <v>68.477477976742065</v>
      </c>
      <c r="AB13" s="62" t="s">
        <v>10</v>
      </c>
    </row>
    <row r="14" spans="1:30" s="42" customFormat="1" ht="18" x14ac:dyDescent="0.4">
      <c r="A14" s="53" t="s">
        <v>42</v>
      </c>
      <c r="B14" s="54">
        <v>45.265140000000002</v>
      </c>
      <c r="C14" s="54">
        <v>377.38648999999998</v>
      </c>
      <c r="D14" s="54">
        <v>128.16974999999999</v>
      </c>
      <c r="E14" s="54">
        <v>3054.9268700000002</v>
      </c>
      <c r="F14" s="55">
        <v>840.57092</v>
      </c>
      <c r="G14" s="55">
        <v>25133.824350000003</v>
      </c>
      <c r="H14" s="55">
        <v>20697.92165</v>
      </c>
      <c r="I14" s="55">
        <v>7511.9376700000003</v>
      </c>
      <c r="J14" s="56">
        <v>42375.93649</v>
      </c>
      <c r="K14" s="57">
        <v>57565.46413</v>
      </c>
      <c r="L14" s="57">
        <v>32338.50923</v>
      </c>
      <c r="M14" s="57">
        <v>24090.784899999999</v>
      </c>
      <c r="N14" s="57">
        <v>23866.289929999999</v>
      </c>
      <c r="O14" s="57">
        <v>29675.590509999976</v>
      </c>
      <c r="P14" s="57">
        <v>62741.776270000002</v>
      </c>
      <c r="Q14" s="58">
        <v>56278.4859</v>
      </c>
      <c r="R14" s="59">
        <f t="shared" si="8"/>
        <v>1.0814229131460316</v>
      </c>
      <c r="S14" s="60">
        <f t="shared" si="6"/>
        <v>1.0772846041165205</v>
      </c>
      <c r="T14" s="60">
        <f t="shared" si="9"/>
        <v>1.3832728222439699</v>
      </c>
      <c r="U14" s="60">
        <f t="shared" si="7"/>
        <v>2.0449204893534563</v>
      </c>
      <c r="V14" s="61">
        <f t="shared" si="10"/>
        <v>2.012324557459702</v>
      </c>
      <c r="W14" s="2">
        <f t="shared" si="4"/>
        <v>-25.504343046056981</v>
      </c>
      <c r="X14" s="2">
        <f t="shared" si="4"/>
        <v>-0.93187071708900515</v>
      </c>
      <c r="Y14" s="2">
        <f t="shared" si="4"/>
        <v>24.341029112772443</v>
      </c>
      <c r="Z14" s="2">
        <f t="shared" si="5"/>
        <v>111.42553590924331</v>
      </c>
      <c r="AA14" s="2">
        <f t="shared" si="5"/>
        <v>-10.301414391244174</v>
      </c>
      <c r="AB14" s="62" t="s">
        <v>43</v>
      </c>
    </row>
    <row r="15" spans="1:30" s="42" customFormat="1" ht="18" x14ac:dyDescent="0.4">
      <c r="A15" s="53" t="s">
        <v>44</v>
      </c>
      <c r="B15" s="54">
        <v>0</v>
      </c>
      <c r="C15" s="54">
        <v>4.3176000000000005</v>
      </c>
      <c r="D15" s="54">
        <v>1903.0851599999999</v>
      </c>
      <c r="E15" s="54">
        <v>2417.5982300000001</v>
      </c>
      <c r="F15" s="55">
        <v>1395.1529599999999</v>
      </c>
      <c r="G15" s="55">
        <v>6491.0110599999998</v>
      </c>
      <c r="H15" s="55">
        <v>4735.0923499999999</v>
      </c>
      <c r="I15" s="55">
        <v>503.90512999999999</v>
      </c>
      <c r="J15" s="56">
        <v>9750.6953300000005</v>
      </c>
      <c r="K15" s="57">
        <v>10682.216560000001</v>
      </c>
      <c r="L15" s="57">
        <v>4380.2525700000006</v>
      </c>
      <c r="M15" s="57">
        <v>437.6617</v>
      </c>
      <c r="N15" s="57">
        <v>804.31664000000001</v>
      </c>
      <c r="O15" s="57">
        <v>81.074569999999994</v>
      </c>
      <c r="P15" s="57">
        <v>0</v>
      </c>
      <c r="Q15" s="58">
        <v>14.380469999999999</v>
      </c>
      <c r="R15" s="59">
        <f t="shared" si="8"/>
        <v>1.9646408058146939E-2</v>
      </c>
      <c r="S15" s="60">
        <f t="shared" si="6"/>
        <v>3.6305514415860857E-2</v>
      </c>
      <c r="T15" s="60">
        <f t="shared" si="9"/>
        <v>3.7791412851018065E-3</v>
      </c>
      <c r="U15" s="60">
        <f t="shared" si="7"/>
        <v>0</v>
      </c>
      <c r="V15" s="61">
        <f t="shared" si="10"/>
        <v>5.1419601053646186E-4</v>
      </c>
      <c r="W15" s="2">
        <f t="shared" si="4"/>
        <v>-90.008299909518684</v>
      </c>
      <c r="X15" s="2">
        <f t="shared" si="4"/>
        <v>83.77587986337393</v>
      </c>
      <c r="Y15" s="2">
        <f t="shared" si="4"/>
        <v>-89.920068046832895</v>
      </c>
      <c r="Z15" s="2">
        <f t="shared" si="5"/>
        <v>-100</v>
      </c>
      <c r="AA15" s="2">
        <v>0</v>
      </c>
      <c r="AB15" s="63" t="s">
        <v>45</v>
      </c>
    </row>
    <row r="16" spans="1:30" s="42" customFormat="1" ht="18" x14ac:dyDescent="0.4">
      <c r="A16" s="53" t="s">
        <v>23</v>
      </c>
      <c r="B16" s="54">
        <v>7161.1971300000005</v>
      </c>
      <c r="C16" s="54">
        <v>4369.06927</v>
      </c>
      <c r="D16" s="54">
        <v>694.66449999999998</v>
      </c>
      <c r="E16" s="54">
        <v>1257.1826599999999</v>
      </c>
      <c r="F16" s="55">
        <v>4590.1193800000001</v>
      </c>
      <c r="G16" s="55">
        <v>1235.2493099999999</v>
      </c>
      <c r="H16" s="55">
        <v>5725.1852300000173</v>
      </c>
      <c r="I16" s="55">
        <v>16034.709480000001</v>
      </c>
      <c r="J16" s="56">
        <v>68162.059609999997</v>
      </c>
      <c r="K16" s="57">
        <v>128448.54136999999</v>
      </c>
      <c r="L16" s="57">
        <v>127408.74120000002</v>
      </c>
      <c r="M16" s="57">
        <v>195348.00605000008</v>
      </c>
      <c r="N16" s="57">
        <v>171822.24132999999</v>
      </c>
      <c r="O16" s="57">
        <v>187032.58585</v>
      </c>
      <c r="P16" s="57">
        <v>241857.62999000002</v>
      </c>
      <c r="Q16" s="58">
        <v>118621.69877000025</v>
      </c>
      <c r="R16" s="59">
        <f t="shared" si="8"/>
        <v>8.769071271723476</v>
      </c>
      <c r="S16" s="60">
        <f t="shared" si="6"/>
        <v>7.7557699907487159</v>
      </c>
      <c r="T16" s="60">
        <f t="shared" si="9"/>
        <v>8.71817842321067</v>
      </c>
      <c r="U16" s="60">
        <f t="shared" si="7"/>
        <v>7.8827800625960514</v>
      </c>
      <c r="V16" s="61">
        <f t="shared" si="10"/>
        <v>4.2415028347885748</v>
      </c>
      <c r="W16" s="2">
        <f t="shared" si="4"/>
        <v>53.323864760073505</v>
      </c>
      <c r="X16" s="2">
        <f t="shared" si="4"/>
        <v>-12.043002227511133</v>
      </c>
      <c r="Y16" s="2">
        <f t="shared" si="4"/>
        <v>8.8523723135395418</v>
      </c>
      <c r="Z16" s="2">
        <f t="shared" si="5"/>
        <v>29.313097442800505</v>
      </c>
      <c r="AA16" s="2">
        <f t="shared" si="5"/>
        <v>-50.953915005739184</v>
      </c>
      <c r="AB16" s="62" t="s">
        <v>24</v>
      </c>
    </row>
    <row r="17" spans="1:30" s="42" customFormat="1" ht="18" x14ac:dyDescent="0.4">
      <c r="A17" s="64" t="s">
        <v>25</v>
      </c>
      <c r="B17" s="65">
        <v>0</v>
      </c>
      <c r="C17" s="65">
        <v>594.31763999999998</v>
      </c>
      <c r="D17" s="65">
        <v>2.4671999999999996</v>
      </c>
      <c r="E17" s="65">
        <v>8378.0071000000007</v>
      </c>
      <c r="F17" s="66">
        <v>2058.7313300000001</v>
      </c>
      <c r="G17" s="66">
        <v>1475.0535299999999</v>
      </c>
      <c r="H17" s="66">
        <v>24448.0602</v>
      </c>
      <c r="I17" s="66">
        <v>5135.28287</v>
      </c>
      <c r="J17" s="67">
        <v>2067.8895699999998</v>
      </c>
      <c r="K17" s="68">
        <v>1.84344</v>
      </c>
      <c r="L17" s="68">
        <v>351.10524000000004</v>
      </c>
      <c r="M17" s="68">
        <v>129.80619999999999</v>
      </c>
      <c r="N17" s="68">
        <v>2396.2584499999998</v>
      </c>
      <c r="O17" s="68">
        <v>50.37229</v>
      </c>
      <c r="P17" s="68">
        <v>625.16800000000001</v>
      </c>
      <c r="Q17" s="69">
        <v>6677.9539800000002</v>
      </c>
      <c r="R17" s="49">
        <f t="shared" si="8"/>
        <v>5.8269333909671166E-3</v>
      </c>
      <c r="S17" s="50">
        <f t="shared" si="6"/>
        <v>0.10816311807325457</v>
      </c>
      <c r="T17" s="50">
        <f>(O17/$O$7)*100</f>
        <v>2.3480112292192348E-3</v>
      </c>
      <c r="U17" s="50">
        <f t="shared" si="7"/>
        <v>2.0375879174772394E-2</v>
      </c>
      <c r="V17" s="51">
        <f t="shared" ref="V17:V30" si="11">(Q17/$Q$7)*100</f>
        <v>0.23878060279407332</v>
      </c>
      <c r="W17" s="1">
        <f t="shared" si="4"/>
        <v>-63.029261539930317</v>
      </c>
      <c r="X17" s="1">
        <f>((N17-M17)/M17)*100</f>
        <v>1746.027732111409</v>
      </c>
      <c r="Y17" s="1">
        <f>((O17-N17)/N17)*100</f>
        <v>-97.897877418022262</v>
      </c>
      <c r="Z17" s="1">
        <f t="shared" si="5"/>
        <v>1141.0950544436237</v>
      </c>
      <c r="AA17" s="1">
        <f>((Q17-P17)/P17)*100</f>
        <v>968.18550853530587</v>
      </c>
      <c r="AB17" s="52" t="s">
        <v>46</v>
      </c>
    </row>
    <row r="18" spans="1:30" s="42" customFormat="1" ht="18" x14ac:dyDescent="0.4">
      <c r="A18" s="64" t="s">
        <v>21</v>
      </c>
      <c r="B18" s="70">
        <f t="shared" ref="B18:G18" si="12">SUM(B19:B20)</f>
        <v>481150.80481999996</v>
      </c>
      <c r="C18" s="70">
        <f t="shared" si="12"/>
        <v>416906.88068999996</v>
      </c>
      <c r="D18" s="70">
        <f t="shared" si="12"/>
        <v>11107.855440000001</v>
      </c>
      <c r="E18" s="70">
        <f t="shared" si="12"/>
        <v>15696.14811</v>
      </c>
      <c r="F18" s="71">
        <f t="shared" si="12"/>
        <v>16789.653780000001</v>
      </c>
      <c r="G18" s="71">
        <f t="shared" si="12"/>
        <v>19422.227800000001</v>
      </c>
      <c r="H18" s="71">
        <f t="shared" ref="H18:M18" si="13">SUM(H19:H20)</f>
        <v>7644.4892799999998</v>
      </c>
      <c r="I18" s="71">
        <f t="shared" si="13"/>
        <v>6445.1383699999997</v>
      </c>
      <c r="J18" s="72">
        <f t="shared" si="13"/>
        <v>17034.936679999999</v>
      </c>
      <c r="K18" s="73">
        <f t="shared" si="13"/>
        <v>93126.190189999994</v>
      </c>
      <c r="L18" s="73">
        <f t="shared" si="13"/>
        <v>123909.38989999999</v>
      </c>
      <c r="M18" s="73">
        <f t="shared" si="13"/>
        <v>208448.00935000001</v>
      </c>
      <c r="N18" s="73">
        <f>SUM(N19:N20)</f>
        <v>233868.07108000002</v>
      </c>
      <c r="O18" s="73">
        <f>SUM(O19:O20)</f>
        <v>194037.17799</v>
      </c>
      <c r="P18" s="73">
        <f>SUM(P19:P20)</f>
        <v>226921.45573999983</v>
      </c>
      <c r="Q18" s="74">
        <f>SUM(Q19:Q20)</f>
        <v>248219.53900999992</v>
      </c>
      <c r="R18" s="49">
        <f t="shared" si="8"/>
        <v>9.3571236656041155</v>
      </c>
      <c r="S18" s="50">
        <f t="shared" si="6"/>
        <v>10.556415475880884</v>
      </c>
      <c r="T18" s="50">
        <f t="shared" si="9"/>
        <v>9.0446845439532595</v>
      </c>
      <c r="U18" s="50">
        <f t="shared" si="7"/>
        <v>7.3959706260104454</v>
      </c>
      <c r="V18" s="51">
        <f t="shared" si="11"/>
        <v>8.8754746330364469</v>
      </c>
      <c r="W18" s="1">
        <f t="shared" si="4"/>
        <v>68.226160679369158</v>
      </c>
      <c r="X18" s="1">
        <f t="shared" si="4"/>
        <v>12.194917000774906</v>
      </c>
      <c r="Y18" s="1">
        <f t="shared" si="4"/>
        <v>-17.03135143932279</v>
      </c>
      <c r="Z18" s="1">
        <f t="shared" si="5"/>
        <v>16.947410847056627</v>
      </c>
      <c r="AA18" s="1">
        <f t="shared" si="5"/>
        <v>9.3856630703104731</v>
      </c>
      <c r="AB18" s="52" t="s">
        <v>33</v>
      </c>
    </row>
    <row r="19" spans="1:30" s="42" customFormat="1" ht="18" x14ac:dyDescent="0.4">
      <c r="A19" s="75" t="s">
        <v>47</v>
      </c>
      <c r="B19" s="76">
        <v>466817.25089999998</v>
      </c>
      <c r="C19" s="76">
        <v>416676.35837999999</v>
      </c>
      <c r="D19" s="76">
        <v>11107.855440000001</v>
      </c>
      <c r="E19" s="76">
        <v>13904.56633</v>
      </c>
      <c r="F19" s="77">
        <v>15968.31367</v>
      </c>
      <c r="G19" s="77">
        <v>19349.7281</v>
      </c>
      <c r="H19" s="77">
        <v>7603.2997699999996</v>
      </c>
      <c r="I19" s="77">
        <v>6408.4228499999999</v>
      </c>
      <c r="J19" s="78">
        <v>16471.234039999999</v>
      </c>
      <c r="K19" s="79">
        <v>75873.706749999998</v>
      </c>
      <c r="L19" s="79">
        <v>111382.46312</v>
      </c>
      <c r="M19" s="79">
        <v>201277.28934000002</v>
      </c>
      <c r="N19" s="79">
        <v>225544.64430000001</v>
      </c>
      <c r="O19" s="80">
        <v>190111.46001000001</v>
      </c>
      <c r="P19" s="80">
        <v>213849.82423999984</v>
      </c>
      <c r="Q19" s="81">
        <v>231443.47718999995</v>
      </c>
      <c r="R19" s="59">
        <f t="shared" si="8"/>
        <v>9.0352337415207895</v>
      </c>
      <c r="S19" s="60">
        <f t="shared" si="6"/>
        <v>10.180709844637629</v>
      </c>
      <c r="T19" s="60">
        <f t="shared" si="9"/>
        <v>8.8616944535724613</v>
      </c>
      <c r="U19" s="60">
        <f t="shared" si="7"/>
        <v>6.9699315708106448</v>
      </c>
      <c r="V19" s="61">
        <f t="shared" si="11"/>
        <v>8.2756205211501825</v>
      </c>
      <c r="W19" s="2">
        <f t="shared" si="4"/>
        <v>80.708240509235395</v>
      </c>
      <c r="X19" s="2">
        <f t="shared" si="4"/>
        <v>12.056678147631096</v>
      </c>
      <c r="Y19" s="2">
        <f t="shared" si="4"/>
        <v>-15.710053501811306</v>
      </c>
      <c r="Z19" s="2">
        <f t="shared" si="5"/>
        <v>12.486550904796152</v>
      </c>
      <c r="AA19" s="2">
        <f t="shared" si="5"/>
        <v>8.2271065746844201</v>
      </c>
      <c r="AB19" s="62" t="s">
        <v>48</v>
      </c>
    </row>
    <row r="20" spans="1:30" s="42" customFormat="1" ht="18" x14ac:dyDescent="0.4">
      <c r="A20" s="53" t="s">
        <v>23</v>
      </c>
      <c r="B20" s="76">
        <v>14333.553919999998</v>
      </c>
      <c r="C20" s="76">
        <v>230.52231</v>
      </c>
      <c r="D20" s="76">
        <v>0</v>
      </c>
      <c r="E20" s="76">
        <v>1791.58178</v>
      </c>
      <c r="F20" s="77">
        <v>821.34010999999998</v>
      </c>
      <c r="G20" s="77">
        <v>72.49969999999999</v>
      </c>
      <c r="H20" s="77">
        <v>41.189510000000155</v>
      </c>
      <c r="I20" s="77">
        <v>36.715519999999998</v>
      </c>
      <c r="J20" s="78">
        <v>563.70264000000009</v>
      </c>
      <c r="K20" s="79">
        <v>17252.48344</v>
      </c>
      <c r="L20" s="79">
        <v>12526.92678</v>
      </c>
      <c r="M20" s="79">
        <v>7170.72000999999</v>
      </c>
      <c r="N20" s="79">
        <v>8323.4267799999998</v>
      </c>
      <c r="O20" s="80">
        <v>3925.717979999999</v>
      </c>
      <c r="P20" s="80">
        <v>13071.6315</v>
      </c>
      <c r="Q20" s="81">
        <v>16776.061819999974</v>
      </c>
      <c r="R20" s="59">
        <f t="shared" si="8"/>
        <v>0.32188992408332578</v>
      </c>
      <c r="S20" s="60">
        <f t="shared" si="6"/>
        <v>0.37570563124325307</v>
      </c>
      <c r="T20" s="60">
        <f t="shared" si="9"/>
        <v>0.18299009038079964</v>
      </c>
      <c r="U20" s="60">
        <f t="shared" si="7"/>
        <v>0.4260390551998004</v>
      </c>
      <c r="V20" s="61">
        <f t="shared" si="11"/>
        <v>0.59985411188626248</v>
      </c>
      <c r="W20" s="2">
        <f t="shared" si="4"/>
        <v>-42.757548312260589</v>
      </c>
      <c r="X20" s="2">
        <f t="shared" si="4"/>
        <v>16.075188661563867</v>
      </c>
      <c r="Y20" s="2">
        <f t="shared" si="4"/>
        <v>-52.835315504511485</v>
      </c>
      <c r="Z20" s="2">
        <f t="shared" si="5"/>
        <v>232.97428818358475</v>
      </c>
      <c r="AA20" s="2">
        <f t="shared" si="5"/>
        <v>28.339464128865433</v>
      </c>
      <c r="AB20" s="62" t="s">
        <v>24</v>
      </c>
    </row>
    <row r="21" spans="1:30" s="42" customFormat="1" ht="18" x14ac:dyDescent="0.4">
      <c r="A21" s="82" t="s">
        <v>22</v>
      </c>
      <c r="B21" s="83">
        <v>0</v>
      </c>
      <c r="C21" s="83">
        <v>27.254849999999998</v>
      </c>
      <c r="D21" s="83">
        <v>23.907679999999999</v>
      </c>
      <c r="E21" s="83">
        <v>180.79217</v>
      </c>
      <c r="F21" s="84">
        <v>0</v>
      </c>
      <c r="G21" s="84">
        <v>0</v>
      </c>
      <c r="H21" s="84">
        <v>0</v>
      </c>
      <c r="I21" s="84">
        <v>7.7090000000000006E-2</v>
      </c>
      <c r="J21" s="85">
        <v>1443.5039400000001</v>
      </c>
      <c r="K21" s="86">
        <v>13354.008320000001</v>
      </c>
      <c r="L21" s="86">
        <v>9366.7566999999999</v>
      </c>
      <c r="M21" s="86">
        <v>6235.70118</v>
      </c>
      <c r="N21" s="86">
        <v>3136.9294399999999</v>
      </c>
      <c r="O21" s="86">
        <v>8726.4297100000022</v>
      </c>
      <c r="P21" s="86">
        <v>10181.431139999997</v>
      </c>
      <c r="Q21" s="87">
        <v>8395.0911799999994</v>
      </c>
      <c r="R21" s="49">
        <f t="shared" si="8"/>
        <v>0.27991741089281602</v>
      </c>
      <c r="S21" s="50">
        <f t="shared" si="6"/>
        <v>0.14159577378065724</v>
      </c>
      <c r="T21" s="50">
        <f t="shared" si="9"/>
        <v>0.40676639775702783</v>
      </c>
      <c r="U21" s="50">
        <f t="shared" si="7"/>
        <v>0.33183977864334879</v>
      </c>
      <c r="V21" s="51">
        <f t="shared" si="11"/>
        <v>0.30017950684823497</v>
      </c>
      <c r="W21" s="1">
        <f t="shared" si="4"/>
        <v>-33.427317696850182</v>
      </c>
      <c r="X21" s="1">
        <f t="shared" si="4"/>
        <v>-49.694038417665162</v>
      </c>
      <c r="Y21" s="1">
        <f t="shared" si="4"/>
        <v>178.18380607247585</v>
      </c>
      <c r="Z21" s="1">
        <f t="shared" si="5"/>
        <v>16.673501974497594</v>
      </c>
      <c r="AA21" s="1">
        <f t="shared" si="5"/>
        <v>-17.545077263077165</v>
      </c>
      <c r="AB21" s="88" t="s">
        <v>35</v>
      </c>
    </row>
    <row r="22" spans="1:30" s="42" customFormat="1" ht="19.5" x14ac:dyDescent="0.5">
      <c r="A22" s="64" t="s">
        <v>17</v>
      </c>
      <c r="B22" s="70">
        <f t="shared" ref="B22:M22" si="14">SUM(B23:B29)</f>
        <v>736982.01227999991</v>
      </c>
      <c r="C22" s="70">
        <f t="shared" si="14"/>
        <v>847600.65657999995</v>
      </c>
      <c r="D22" s="70">
        <f t="shared" si="14"/>
        <v>970014.63735999982</v>
      </c>
      <c r="E22" s="70">
        <f t="shared" si="14"/>
        <v>1178313.5199200001</v>
      </c>
      <c r="F22" s="71">
        <f t="shared" si="14"/>
        <v>906441.20994999993</v>
      </c>
      <c r="G22" s="71">
        <f t="shared" si="14"/>
        <v>1047633.37697</v>
      </c>
      <c r="H22" s="71">
        <f t="shared" si="14"/>
        <v>469915.08199999994</v>
      </c>
      <c r="I22" s="71">
        <f t="shared" si="14"/>
        <v>571604.85386999988</v>
      </c>
      <c r="J22" s="72">
        <f t="shared" si="14"/>
        <v>894713.68382999999</v>
      </c>
      <c r="K22" s="73">
        <f t="shared" si="14"/>
        <v>1163184.78082</v>
      </c>
      <c r="L22" s="73">
        <f t="shared" si="14"/>
        <v>1276541.0895799999</v>
      </c>
      <c r="M22" s="73">
        <f t="shared" si="14"/>
        <v>1098464.48795</v>
      </c>
      <c r="N22" s="73">
        <f>SUM(N23:N29)</f>
        <v>1047063.67667</v>
      </c>
      <c r="O22" s="73">
        <f>SUM(O23:O29)</f>
        <v>1107208.3564599999</v>
      </c>
      <c r="P22" s="73">
        <f>SUM(P23:P29)</f>
        <v>1808076.4558700006</v>
      </c>
      <c r="Q22" s="74">
        <f>SUM(Q23:Q29)</f>
        <v>1388178.0647500004</v>
      </c>
      <c r="R22" s="49">
        <f t="shared" si="8"/>
        <v>49.309504504618822</v>
      </c>
      <c r="S22" s="50">
        <f t="shared" si="6"/>
        <v>47.2627116202233</v>
      </c>
      <c r="T22" s="50">
        <f t="shared" si="9"/>
        <v>51.610471829917856</v>
      </c>
      <c r="U22" s="50">
        <f t="shared" si="7"/>
        <v>58.929995462912075</v>
      </c>
      <c r="V22" s="51">
        <f t="shared" si="11"/>
        <v>49.636459921593413</v>
      </c>
      <c r="W22" s="1">
        <f t="shared" si="4"/>
        <v>-13.949931035011936</v>
      </c>
      <c r="X22" s="1">
        <f t="shared" si="4"/>
        <v>-4.6793330001888682</v>
      </c>
      <c r="Y22" s="1">
        <f t="shared" si="4"/>
        <v>5.7441281872444891</v>
      </c>
      <c r="Z22" s="1">
        <f t="shared" si="5"/>
        <v>63.300470532108108</v>
      </c>
      <c r="AA22" s="1">
        <f t="shared" si="5"/>
        <v>-23.223486471314942</v>
      </c>
      <c r="AB22" s="89" t="s">
        <v>49</v>
      </c>
      <c r="AD22" s="90"/>
    </row>
    <row r="23" spans="1:30" s="42" customFormat="1" ht="18" x14ac:dyDescent="0.4">
      <c r="A23" s="75" t="s">
        <v>29</v>
      </c>
      <c r="B23" s="91">
        <v>236958.24240000002</v>
      </c>
      <c r="C23" s="91">
        <v>368871.09668999998</v>
      </c>
      <c r="D23" s="91">
        <v>290968.84031</v>
      </c>
      <c r="E23" s="91">
        <v>452121.15557</v>
      </c>
      <c r="F23" s="92">
        <v>566511.96591000003</v>
      </c>
      <c r="G23" s="92">
        <v>792374.70192999998</v>
      </c>
      <c r="H23" s="92">
        <v>203565.13146999999</v>
      </c>
      <c r="I23" s="92">
        <v>283653.46064</v>
      </c>
      <c r="J23" s="93">
        <v>471377.23420999997</v>
      </c>
      <c r="K23" s="94">
        <v>680549.75017999997</v>
      </c>
      <c r="L23" s="94">
        <v>947437.27882000001</v>
      </c>
      <c r="M23" s="94">
        <v>717658.82430999994</v>
      </c>
      <c r="N23" s="94">
        <v>563446.57271000009</v>
      </c>
      <c r="O23" s="57">
        <v>738371.18641999969</v>
      </c>
      <c r="P23" s="57">
        <v>1492075.1333200005</v>
      </c>
      <c r="Q23" s="58">
        <v>1014092.3380200005</v>
      </c>
      <c r="R23" s="95">
        <f t="shared" si="8"/>
        <v>32.215334604157142</v>
      </c>
      <c r="S23" s="60">
        <f t="shared" si="6"/>
        <v>25.433040485262499</v>
      </c>
      <c r="T23" s="96">
        <f t="shared" si="9"/>
        <v>34.417808621487893</v>
      </c>
      <c r="U23" s="60">
        <f t="shared" si="7"/>
        <v>48.63067629214985</v>
      </c>
      <c r="V23" s="61">
        <f t="shared" si="11"/>
        <v>36.260444514364096</v>
      </c>
      <c r="W23" s="2">
        <f t="shared" si="4"/>
        <v>-24.252629661794721</v>
      </c>
      <c r="X23" s="2">
        <f t="shared" si="4"/>
        <v>-21.488240146460779</v>
      </c>
      <c r="Y23" s="2">
        <f t="shared" si="4"/>
        <v>31.045465920338717</v>
      </c>
      <c r="Z23" s="2">
        <f t="shared" si="5"/>
        <v>102.07656538635293</v>
      </c>
      <c r="AA23" s="2">
        <f>((Q23-P23)/P23)*100</f>
        <v>-32.034767192751588</v>
      </c>
      <c r="AB23" s="63" t="s">
        <v>30</v>
      </c>
    </row>
    <row r="24" spans="1:30" s="97" customFormat="1" ht="18" x14ac:dyDescent="0.4">
      <c r="A24" s="53" t="s">
        <v>27</v>
      </c>
      <c r="B24" s="91">
        <v>196404.68191999997</v>
      </c>
      <c r="C24" s="91">
        <v>193544.59653000001</v>
      </c>
      <c r="D24" s="91">
        <v>206513.42063000001</v>
      </c>
      <c r="E24" s="91">
        <v>222886.43302</v>
      </c>
      <c r="F24" s="92">
        <v>206929.14606</v>
      </c>
      <c r="G24" s="92">
        <v>153947.83643999998</v>
      </c>
      <c r="H24" s="92">
        <v>167768.14257</v>
      </c>
      <c r="I24" s="92">
        <v>185936.75373</v>
      </c>
      <c r="J24" s="93">
        <v>191377.87302</v>
      </c>
      <c r="K24" s="94">
        <v>179041.12006000002</v>
      </c>
      <c r="L24" s="94">
        <v>145757.13890000002</v>
      </c>
      <c r="M24" s="94">
        <v>134475.08106</v>
      </c>
      <c r="N24" s="94">
        <v>265745.48710999999</v>
      </c>
      <c r="O24" s="57">
        <v>218607.09901000018</v>
      </c>
      <c r="P24" s="57">
        <v>115670.73841000005</v>
      </c>
      <c r="Q24" s="58">
        <v>95499.532769999976</v>
      </c>
      <c r="R24" s="95">
        <f t="shared" si="8"/>
        <v>6.0365170545129878</v>
      </c>
      <c r="S24" s="60">
        <f t="shared" si="6"/>
        <v>11.99530897834225</v>
      </c>
      <c r="T24" s="96">
        <f t="shared" si="9"/>
        <v>10.189966016286366</v>
      </c>
      <c r="U24" s="60">
        <f t="shared" si="7"/>
        <v>3.7700154036976699</v>
      </c>
      <c r="V24" s="61">
        <f t="shared" si="11"/>
        <v>3.4147339244426709</v>
      </c>
      <c r="W24" s="2">
        <f t="shared" si="4"/>
        <v>-7.7403123614688498</v>
      </c>
      <c r="X24" s="2">
        <f t="shared" si="4"/>
        <v>97.616900480937318</v>
      </c>
      <c r="Y24" s="2">
        <f t="shared" si="4"/>
        <v>-17.738170688290118</v>
      </c>
      <c r="Z24" s="2">
        <f t="shared" si="5"/>
        <v>-47.087382370547495</v>
      </c>
      <c r="AA24" s="2">
        <f t="shared" si="5"/>
        <v>-17.438468810065292</v>
      </c>
      <c r="AB24" s="63" t="s">
        <v>28</v>
      </c>
    </row>
    <row r="25" spans="1:30" s="97" customFormat="1" ht="18" x14ac:dyDescent="0.4">
      <c r="A25" s="98" t="s">
        <v>31</v>
      </c>
      <c r="B25" s="91">
        <v>149645.58957999997</v>
      </c>
      <c r="C25" s="91">
        <v>184093.34530000002</v>
      </c>
      <c r="D25" s="91">
        <v>288251.24034000002</v>
      </c>
      <c r="E25" s="91">
        <v>261195.91558</v>
      </c>
      <c r="F25" s="92">
        <v>63083.403129999999</v>
      </c>
      <c r="G25" s="92">
        <v>46273.105510000001</v>
      </c>
      <c r="H25" s="92">
        <v>38991.252990000001</v>
      </c>
      <c r="I25" s="92">
        <v>16480.233820000001</v>
      </c>
      <c r="J25" s="93">
        <v>54258.660210000002</v>
      </c>
      <c r="K25" s="94">
        <v>51316.106850000004</v>
      </c>
      <c r="L25" s="94">
        <v>78734.15376999999</v>
      </c>
      <c r="M25" s="94">
        <v>118060.99639</v>
      </c>
      <c r="N25" s="94">
        <v>72469.581260000006</v>
      </c>
      <c r="O25" s="57">
        <v>45597.044409999995</v>
      </c>
      <c r="P25" s="57">
        <v>49020.427200000013</v>
      </c>
      <c r="Q25" s="58">
        <v>45114.810090000014</v>
      </c>
      <c r="R25" s="95">
        <f t="shared" si="8"/>
        <v>5.2996972566467493</v>
      </c>
      <c r="S25" s="60">
        <f t="shared" si="6"/>
        <v>3.2711562788833146</v>
      </c>
      <c r="T25" s="96">
        <f t="shared" si="9"/>
        <v>2.1254219789072151</v>
      </c>
      <c r="U25" s="60">
        <f t="shared" si="7"/>
        <v>1.5977054195399101</v>
      </c>
      <c r="V25" s="61">
        <f t="shared" si="11"/>
        <v>1.6131500127873515</v>
      </c>
      <c r="W25" s="2">
        <f t="shared" si="4"/>
        <v>49.948898587114407</v>
      </c>
      <c r="X25" s="2">
        <f t="shared" si="4"/>
        <v>-38.616830726546091</v>
      </c>
      <c r="Y25" s="2">
        <f t="shared" si="4"/>
        <v>-37.08112615359137</v>
      </c>
      <c r="Z25" s="2">
        <f t="shared" si="5"/>
        <v>7.5079050282680777</v>
      </c>
      <c r="AA25" s="2">
        <f>((Q25-P25)/P25)*100</f>
        <v>-7.9673257315064738</v>
      </c>
      <c r="AB25" s="63" t="s">
        <v>32</v>
      </c>
    </row>
    <row r="26" spans="1:30" s="97" customFormat="1" ht="18" x14ac:dyDescent="0.4">
      <c r="A26" s="98" t="s">
        <v>26</v>
      </c>
      <c r="B26" s="91">
        <v>4458.6715899999999</v>
      </c>
      <c r="C26" s="91">
        <v>5861.9512400000003</v>
      </c>
      <c r="D26" s="91">
        <v>13045.729630000002</v>
      </c>
      <c r="E26" s="91">
        <v>16131.8279</v>
      </c>
      <c r="F26" s="92">
        <v>25340.82879</v>
      </c>
      <c r="G26" s="92">
        <v>25025.00534</v>
      </c>
      <c r="H26" s="92">
        <v>22142.620760000002</v>
      </c>
      <c r="I26" s="92">
        <v>32113.870320000002</v>
      </c>
      <c r="J26" s="93">
        <v>35851.549359999997</v>
      </c>
      <c r="K26" s="94">
        <v>43726.893990000004</v>
      </c>
      <c r="L26" s="94">
        <v>38741.918939999996</v>
      </c>
      <c r="M26" s="94">
        <v>44624.855320000002</v>
      </c>
      <c r="N26" s="94">
        <v>46284.728729999995</v>
      </c>
      <c r="O26" s="57">
        <v>23950.067069999997</v>
      </c>
      <c r="P26" s="57">
        <v>44038.268859999996</v>
      </c>
      <c r="Q26" s="58">
        <v>43345.408179999999</v>
      </c>
      <c r="R26" s="95">
        <f t="shared" si="8"/>
        <v>2.0031867470982481</v>
      </c>
      <c r="S26" s="60">
        <f t="shared" si="6"/>
        <v>2.0892156180446846</v>
      </c>
      <c r="T26" s="96">
        <f t="shared" si="9"/>
        <v>1.1163881257118509</v>
      </c>
      <c r="U26" s="60">
        <f t="shared" si="7"/>
        <v>1.4353236975620975</v>
      </c>
      <c r="V26" s="61">
        <f t="shared" si="11"/>
        <v>1.5498823029588407</v>
      </c>
      <c r="W26" s="2">
        <f t="shared" si="4"/>
        <v>15.184938023103529</v>
      </c>
      <c r="X26" s="2">
        <f t="shared" si="4"/>
        <v>3.7196163395874797</v>
      </c>
      <c r="Y26" s="2">
        <f t="shared" si="4"/>
        <v>-48.254926134035053</v>
      </c>
      <c r="Z26" s="2">
        <f t="shared" si="5"/>
        <v>83.875346700647057</v>
      </c>
      <c r="AA26" s="2">
        <f t="shared" si="5"/>
        <v>-1.5733149779402977</v>
      </c>
      <c r="AB26" s="63" t="s">
        <v>50</v>
      </c>
    </row>
    <row r="27" spans="1:30" s="42" customFormat="1" ht="18" x14ac:dyDescent="0.4">
      <c r="A27" s="75" t="s">
        <v>51</v>
      </c>
      <c r="B27" s="91">
        <v>26419.831440000002</v>
      </c>
      <c r="C27" s="91">
        <v>9612.1980899999999</v>
      </c>
      <c r="D27" s="91">
        <v>10335.22639</v>
      </c>
      <c r="E27" s="91">
        <v>12131.463880000001</v>
      </c>
      <c r="F27" s="92">
        <v>8562.7436799999996</v>
      </c>
      <c r="G27" s="92">
        <v>13705.628480000001</v>
      </c>
      <c r="H27" s="92">
        <v>10723.59333</v>
      </c>
      <c r="I27" s="92">
        <v>13073.370070000001</v>
      </c>
      <c r="J27" s="93">
        <v>19114.618079999997</v>
      </c>
      <c r="K27" s="94">
        <v>38394.42138</v>
      </c>
      <c r="L27" s="94">
        <v>26068.722659999999</v>
      </c>
      <c r="M27" s="94">
        <v>34156.213100000001</v>
      </c>
      <c r="N27" s="94">
        <v>34490.467920000003</v>
      </c>
      <c r="O27" s="57">
        <v>24069.963009999996</v>
      </c>
      <c r="P27" s="57">
        <v>18840.906169999995</v>
      </c>
      <c r="Q27" s="58">
        <v>22059.926910000009</v>
      </c>
      <c r="R27" s="95">
        <f t="shared" si="8"/>
        <v>1.5332547953901932</v>
      </c>
      <c r="S27" s="60">
        <f t="shared" si="6"/>
        <v>1.556842315582762</v>
      </c>
      <c r="T27" s="96">
        <f t="shared" si="9"/>
        <v>1.121976853432147</v>
      </c>
      <c r="U27" s="60">
        <f t="shared" si="7"/>
        <v>0.61407498090616219</v>
      </c>
      <c r="V27" s="61">
        <f t="shared" si="11"/>
        <v>0.78878690403359153</v>
      </c>
      <c r="W27" s="2">
        <f t="shared" si="4"/>
        <v>31.023731179623521</v>
      </c>
      <c r="X27" s="2">
        <f t="shared" si="4"/>
        <v>0.97860620268820697</v>
      </c>
      <c r="Y27" s="2">
        <f t="shared" si="4"/>
        <v>-30.212709593184339</v>
      </c>
      <c r="Z27" s="2">
        <f t="shared" si="5"/>
        <v>-21.724407460981809</v>
      </c>
      <c r="AA27" s="2">
        <f t="shared" si="5"/>
        <v>17.085275575150405</v>
      </c>
      <c r="AB27" s="63" t="s">
        <v>52</v>
      </c>
      <c r="AC27" s="99"/>
    </row>
    <row r="28" spans="1:30" s="42" customFormat="1" ht="19.5" x14ac:dyDescent="0.5">
      <c r="A28" s="75" t="s">
        <v>53</v>
      </c>
      <c r="B28" s="91"/>
      <c r="C28" s="91"/>
      <c r="D28" s="91"/>
      <c r="E28" s="91"/>
      <c r="F28" s="92">
        <v>1310.6936799999999</v>
      </c>
      <c r="G28" s="92">
        <v>5997.3564299999998</v>
      </c>
      <c r="H28" s="92">
        <v>25005.762059999997</v>
      </c>
      <c r="I28" s="92">
        <v>30391.28745</v>
      </c>
      <c r="J28" s="93">
        <v>99143.179940000002</v>
      </c>
      <c r="K28" s="94">
        <v>39560.130829999995</v>
      </c>
      <c r="L28" s="94">
        <v>30701.155260000003</v>
      </c>
      <c r="M28" s="94">
        <v>33576.012299999995</v>
      </c>
      <c r="N28" s="94">
        <v>30089.316559999999</v>
      </c>
      <c r="O28" s="57">
        <v>33303.357379999987</v>
      </c>
      <c r="P28" s="57">
        <v>37515.765119999996</v>
      </c>
      <c r="Q28" s="58">
        <v>35005.961599999995</v>
      </c>
      <c r="R28" s="95">
        <f t="shared" si="8"/>
        <v>1.5072098806250596</v>
      </c>
      <c r="S28" s="60">
        <f t="shared" si="6"/>
        <v>1.3581816685186086</v>
      </c>
      <c r="T28" s="96">
        <f t="shared" si="9"/>
        <v>1.5523744721342081</v>
      </c>
      <c r="U28" s="60">
        <f t="shared" si="7"/>
        <v>1.2227380435886999</v>
      </c>
      <c r="V28" s="61">
        <f t="shared" si="11"/>
        <v>1.2516924550944841</v>
      </c>
      <c r="W28" s="2">
        <f t="shared" si="4"/>
        <v>9.3640028059321683</v>
      </c>
      <c r="X28" s="2">
        <f t="shared" si="4"/>
        <v>-10.384484342114671</v>
      </c>
      <c r="Y28" s="2">
        <f t="shared" si="4"/>
        <v>10.68166773941504</v>
      </c>
      <c r="Z28" s="2">
        <f t="shared" si="5"/>
        <v>12.648597833351575</v>
      </c>
      <c r="AA28" s="2">
        <f t="shared" si="5"/>
        <v>-6.6899968905658875</v>
      </c>
      <c r="AB28" s="100" t="s">
        <v>54</v>
      </c>
      <c r="AC28" s="99"/>
    </row>
    <row r="29" spans="1:30" s="42" customFormat="1" ht="18" x14ac:dyDescent="0.4">
      <c r="A29" s="53" t="s">
        <v>23</v>
      </c>
      <c r="B29" s="91">
        <v>123094.99535000001</v>
      </c>
      <c r="C29" s="91">
        <v>85617.468730000008</v>
      </c>
      <c r="D29" s="91">
        <v>160900.18005999998</v>
      </c>
      <c r="E29" s="91">
        <v>213846.72397000002</v>
      </c>
      <c r="F29" s="92">
        <v>34702.428700000004</v>
      </c>
      <c r="G29" s="92">
        <v>10309.742839999999</v>
      </c>
      <c r="H29" s="92">
        <v>1718.5788199999188</v>
      </c>
      <c r="I29" s="92">
        <v>9955.8778400000047</v>
      </c>
      <c r="J29" s="93">
        <v>23590.569010000003</v>
      </c>
      <c r="K29" s="94">
        <v>130596.35752999999</v>
      </c>
      <c r="L29" s="94">
        <v>9100.7212299999992</v>
      </c>
      <c r="M29" s="94">
        <v>15912.505469999975</v>
      </c>
      <c r="N29" s="94">
        <v>34537.522380000002</v>
      </c>
      <c r="O29" s="57">
        <v>23309.639159999995</v>
      </c>
      <c r="P29" s="57">
        <v>50915.216789999999</v>
      </c>
      <c r="Q29" s="58">
        <v>133060.08717999986</v>
      </c>
      <c r="R29" s="95">
        <f t="shared" si="8"/>
        <v>0.71430416618843906</v>
      </c>
      <c r="S29" s="60">
        <f t="shared" si="6"/>
        <v>1.5589662755891849</v>
      </c>
      <c r="T29" s="96">
        <f t="shared" si="9"/>
        <v>1.0865357619581799</v>
      </c>
      <c r="U29" s="60">
        <f t="shared" si="7"/>
        <v>1.6594616254676866</v>
      </c>
      <c r="V29" s="61">
        <f t="shared" si="11"/>
        <v>4.7577698079123802</v>
      </c>
      <c r="W29" s="2">
        <f t="shared" si="4"/>
        <v>74.848839645206624</v>
      </c>
      <c r="X29" s="2">
        <f t="shared" si="4"/>
        <v>117.04641324468972</v>
      </c>
      <c r="Y29" s="2">
        <f t="shared" si="4"/>
        <v>-32.509231833322971</v>
      </c>
      <c r="Z29" s="2">
        <f t="shared" si="5"/>
        <v>118.42987976138197</v>
      </c>
      <c r="AA29" s="2">
        <f t="shared" si="5"/>
        <v>161.33658180973023</v>
      </c>
      <c r="AB29" s="62" t="s">
        <v>24</v>
      </c>
    </row>
    <row r="30" spans="1:30" s="42" customFormat="1" ht="18" x14ac:dyDescent="0.4">
      <c r="A30" s="101" t="s">
        <v>20</v>
      </c>
      <c r="B30" s="102">
        <f t="shared" ref="B30:M30" si="15">SUM(B31:B33)</f>
        <v>121.7556</v>
      </c>
      <c r="C30" s="102">
        <f t="shared" si="15"/>
        <v>1151.3334</v>
      </c>
      <c r="D30" s="102">
        <f t="shared" si="15"/>
        <v>581.06939999999997</v>
      </c>
      <c r="E30" s="102">
        <f t="shared" si="15"/>
        <v>106020.15176000001</v>
      </c>
      <c r="F30" s="103">
        <f t="shared" si="15"/>
        <v>54122.159019999999</v>
      </c>
      <c r="G30" s="103">
        <f t="shared" si="15"/>
        <v>47030.476750000002</v>
      </c>
      <c r="H30" s="103">
        <f t="shared" si="15"/>
        <v>57471.19526</v>
      </c>
      <c r="I30" s="103">
        <f t="shared" si="15"/>
        <v>29393.710120000003</v>
      </c>
      <c r="J30" s="104">
        <f t="shared" si="15"/>
        <v>42324.940609999991</v>
      </c>
      <c r="K30" s="105">
        <f t="shared" si="15"/>
        <v>85543.340099999987</v>
      </c>
      <c r="L30" s="105">
        <f t="shared" si="15"/>
        <v>178363.01673000003</v>
      </c>
      <c r="M30" s="105">
        <f t="shared" si="15"/>
        <v>25792.871249999997</v>
      </c>
      <c r="N30" s="105">
        <f>SUM(N31:N33)</f>
        <v>14582.701219999999</v>
      </c>
      <c r="O30" s="105">
        <f>SUM(O31:O33)</f>
        <v>9299.2139199999929</v>
      </c>
      <c r="P30" s="105">
        <f>SUM(P31:P33)</f>
        <v>8660.7910400000037</v>
      </c>
      <c r="Q30" s="106">
        <f>SUM(Q31:Q33)</f>
        <v>10606.267499999998</v>
      </c>
      <c r="R30" s="107">
        <f t="shared" si="8"/>
        <v>1.157828691815497</v>
      </c>
      <c r="S30" s="50">
        <f t="shared" si="6"/>
        <v>0.6582388614574749</v>
      </c>
      <c r="T30" s="108">
        <f t="shared" si="9"/>
        <v>0.43346567541542791</v>
      </c>
      <c r="U30" s="50">
        <f t="shared" si="7"/>
        <v>0.28227809451058178</v>
      </c>
      <c r="V30" s="51">
        <f t="shared" si="11"/>
        <v>0.37924354594686627</v>
      </c>
      <c r="W30" s="1">
        <f t="shared" si="4"/>
        <v>-85.539114709500353</v>
      </c>
      <c r="X30" s="1">
        <f t="shared" si="4"/>
        <v>-43.462280415950197</v>
      </c>
      <c r="Y30" s="1">
        <f t="shared" si="4"/>
        <v>-36.231197638156139</v>
      </c>
      <c r="Z30" s="1">
        <f>((P30-O30)/O30)*100</f>
        <v>-6.8653424417618902</v>
      </c>
      <c r="AA30" s="1">
        <f>((Q30-P30)/P30)*100</f>
        <v>22.46303427729384</v>
      </c>
      <c r="AB30" s="52" t="s">
        <v>34</v>
      </c>
    </row>
    <row r="31" spans="1:30" s="42" customFormat="1" hidden="1" x14ac:dyDescent="0.25">
      <c r="A31" s="75" t="s">
        <v>55</v>
      </c>
      <c r="B31" s="91">
        <v>0</v>
      </c>
      <c r="C31" s="91">
        <v>0</v>
      </c>
      <c r="D31" s="91">
        <v>0</v>
      </c>
      <c r="E31" s="91">
        <v>30243.985690000001</v>
      </c>
      <c r="F31" s="92">
        <v>39056.505799999999</v>
      </c>
      <c r="G31" s="92">
        <v>46127.536610000003</v>
      </c>
      <c r="H31" s="92">
        <v>57414.48128</v>
      </c>
      <c r="I31" s="92">
        <v>28344.640500000001</v>
      </c>
      <c r="J31" s="93">
        <v>38350.337409999993</v>
      </c>
      <c r="K31" s="94">
        <v>76554.130209999988</v>
      </c>
      <c r="L31" s="94">
        <v>165792.30936000001</v>
      </c>
      <c r="M31" s="94">
        <v>10200.435449999999</v>
      </c>
      <c r="N31" s="94">
        <v>0</v>
      </c>
      <c r="O31" s="57">
        <v>0</v>
      </c>
      <c r="P31" s="57">
        <v>0</v>
      </c>
      <c r="Q31" s="58">
        <v>0</v>
      </c>
      <c r="R31" s="95">
        <f t="shared" si="8"/>
        <v>0.45789228808800886</v>
      </c>
      <c r="S31" s="60">
        <f t="shared" si="6"/>
        <v>0</v>
      </c>
      <c r="T31" s="96">
        <f t="shared" si="9"/>
        <v>0</v>
      </c>
      <c r="U31" s="60">
        <f>(P31/$P$7)*100</f>
        <v>0</v>
      </c>
      <c r="V31" s="61">
        <f>(Q31/$P$7)*100</f>
        <v>0</v>
      </c>
      <c r="W31" s="2">
        <f t="shared" si="4"/>
        <v>-93.847461628723167</v>
      </c>
      <c r="X31" s="2">
        <f>((N31-M31)/M31)*100</f>
        <v>-100</v>
      </c>
      <c r="Y31" s="2">
        <v>0</v>
      </c>
      <c r="Z31" s="2">
        <v>0</v>
      </c>
      <c r="AA31" s="2">
        <v>0</v>
      </c>
      <c r="AB31" s="109" t="s">
        <v>56</v>
      </c>
    </row>
    <row r="32" spans="1:30" s="42" customFormat="1" ht="18" x14ac:dyDescent="0.4">
      <c r="A32" s="75" t="s">
        <v>57</v>
      </c>
      <c r="B32" s="91">
        <v>18.75</v>
      </c>
      <c r="C32" s="91">
        <v>191.95241000000001</v>
      </c>
      <c r="D32" s="91">
        <v>5.7803100000000001</v>
      </c>
      <c r="E32" s="91">
        <v>64859.86159</v>
      </c>
      <c r="F32" s="92">
        <v>1742.3332800000001</v>
      </c>
      <c r="G32" s="92">
        <v>893.19060000000002</v>
      </c>
      <c r="H32" s="92">
        <v>55.428980000000003</v>
      </c>
      <c r="I32" s="92">
        <v>1049.0696200000002</v>
      </c>
      <c r="J32" s="93">
        <v>3916.8488800000005</v>
      </c>
      <c r="K32" s="94">
        <v>7988.29943</v>
      </c>
      <c r="L32" s="94">
        <v>11252.54508</v>
      </c>
      <c r="M32" s="94">
        <v>12135.765150000001</v>
      </c>
      <c r="N32" s="94">
        <v>13968.84506</v>
      </c>
      <c r="O32" s="57">
        <v>9190.1724699999922</v>
      </c>
      <c r="P32" s="57">
        <v>8302.9928800000034</v>
      </c>
      <c r="Q32" s="58">
        <v>10142.288399999998</v>
      </c>
      <c r="R32" s="95">
        <f t="shared" si="8"/>
        <v>0.54476824048057859</v>
      </c>
      <c r="S32" s="60">
        <f t="shared" si="6"/>
        <v>0.63053041610423077</v>
      </c>
      <c r="T32" s="96">
        <f t="shared" si="9"/>
        <v>0.42838290969144843</v>
      </c>
      <c r="U32" s="60">
        <f t="shared" si="7"/>
        <v>0.27061650582223584</v>
      </c>
      <c r="V32" s="61">
        <f>(Q32/$Q$7)*100</f>
        <v>0.36265325354388511</v>
      </c>
      <c r="W32" s="2">
        <f t="shared" si="4"/>
        <v>7.8490693769342466</v>
      </c>
      <c r="X32" s="2">
        <f t="shared" si="4"/>
        <v>15.104774089996281</v>
      </c>
      <c r="Y32" s="2">
        <f t="shared" si="4"/>
        <v>-34.20950386001352</v>
      </c>
      <c r="Z32" s="2">
        <f t="shared" si="5"/>
        <v>-9.6535684492979872</v>
      </c>
      <c r="AA32" s="2">
        <f t="shared" si="5"/>
        <v>22.152199171824336</v>
      </c>
      <c r="AB32" s="63" t="s">
        <v>58</v>
      </c>
    </row>
    <row r="33" spans="1:29" s="42" customFormat="1" ht="18" x14ac:dyDescent="0.4">
      <c r="A33" s="110" t="s">
        <v>59</v>
      </c>
      <c r="B33" s="111">
        <v>103.0056</v>
      </c>
      <c r="C33" s="111">
        <v>959.38099</v>
      </c>
      <c r="D33" s="111">
        <v>575.28908999999999</v>
      </c>
      <c r="E33" s="111">
        <v>10916.304479999999</v>
      </c>
      <c r="F33" s="112">
        <v>13323.319939999999</v>
      </c>
      <c r="G33" s="112">
        <v>9.7495399999999997</v>
      </c>
      <c r="H33" s="112">
        <v>1.2850000000004442</v>
      </c>
      <c r="I33" s="112">
        <v>0</v>
      </c>
      <c r="J33" s="113">
        <v>57.75432</v>
      </c>
      <c r="K33" s="114">
        <v>1000.9104600000001</v>
      </c>
      <c r="L33" s="114">
        <v>1318.16229</v>
      </c>
      <c r="M33" s="114">
        <v>3456.6706499999964</v>
      </c>
      <c r="N33" s="114">
        <v>613.85615999999993</v>
      </c>
      <c r="O33" s="115">
        <v>109.04145</v>
      </c>
      <c r="P33" s="115">
        <v>357.79816000000005</v>
      </c>
      <c r="Q33" s="116">
        <v>463.97909999999996</v>
      </c>
      <c r="R33" s="117">
        <f t="shared" si="8"/>
        <v>0.15516816324690955</v>
      </c>
      <c r="S33" s="118">
        <f t="shared" si="6"/>
        <v>2.7708445353244199E-2</v>
      </c>
      <c r="T33" s="119">
        <f>(O33/$O$7)*100</f>
        <v>5.0827657239793491E-3</v>
      </c>
      <c r="U33" s="118">
        <f>(P33/$P$7)*100</f>
        <v>1.1661588688345983E-2</v>
      </c>
      <c r="V33" s="120">
        <f>(Q33/$Q$7)*100</f>
        <v>1.6590292402981134E-2</v>
      </c>
      <c r="W33" s="3">
        <f t="shared" si="4"/>
        <v>162.23407210351891</v>
      </c>
      <c r="X33" s="3">
        <f t="shared" si="4"/>
        <v>-82.241404456626483</v>
      </c>
      <c r="Y33" s="3">
        <f t="shared" si="4"/>
        <v>-82.236644819203235</v>
      </c>
      <c r="Z33" s="3">
        <f t="shared" si="5"/>
        <v>228.13041279256657</v>
      </c>
      <c r="AA33" s="3">
        <f t="shared" si="5"/>
        <v>29.676211862017372</v>
      </c>
      <c r="AB33" s="121" t="s">
        <v>24</v>
      </c>
    </row>
    <row r="34" spans="1:29" s="42" customFormat="1" ht="18" x14ac:dyDescent="0.4">
      <c r="A34" s="122" t="s">
        <v>36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5" t="s">
        <v>37</v>
      </c>
      <c r="AC34" s="126"/>
    </row>
  </sheetData>
  <mergeCells count="9">
    <mergeCell ref="A1:AB1"/>
    <mergeCell ref="A2:AB2"/>
    <mergeCell ref="A4:A6"/>
    <mergeCell ref="M4:Q4"/>
    <mergeCell ref="R4:V4"/>
    <mergeCell ref="W4:AA4"/>
    <mergeCell ref="AB4:AB6"/>
    <mergeCell ref="R5:V5"/>
    <mergeCell ref="W5:AA5"/>
  </mergeCells>
  <pageMargins left="0.7" right="0.7" top="0.75" bottom="0.75" header="0.3" footer="0.3"/>
  <pageSetup paperSize="9" scale="6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2019-12-15T06:17:18Z</cp:lastPrinted>
  <dcterms:created xsi:type="dcterms:W3CDTF">2019-12-05T04:01:34Z</dcterms:created>
  <dcterms:modified xsi:type="dcterms:W3CDTF">2019-12-15T06:17:26Z</dcterms:modified>
</cp:coreProperties>
</file>