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5. FOREIGN TRADE AND BOP\"/>
    </mc:Choice>
  </mc:AlternateContent>
  <bookViews>
    <workbookView xWindow="0" yWindow="0" windowWidth="28800" windowHeight="11430" tabRatio="698"/>
  </bookViews>
  <sheets>
    <sheet name="15.4" sheetId="4" r:id="rId1"/>
  </sheets>
  <definedNames>
    <definedName name="_xlnm.Print_Area" localSheetId="0">'15.4'!$A$1:$H$33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4" l="1"/>
  <c r="E16" i="4" s="1"/>
  <c r="B15" i="4"/>
  <c r="B13" i="4"/>
  <c r="E13" i="4" s="1"/>
  <c r="B12" i="4"/>
  <c r="B11" i="4"/>
  <c r="E11" i="4" s="1"/>
  <c r="B10" i="4"/>
  <c r="B9" i="4"/>
  <c r="F9" i="4" s="1"/>
  <c r="B8" i="4"/>
  <c r="F7" i="4"/>
  <c r="B7" i="4"/>
  <c r="F5" i="4"/>
  <c r="E5" i="4"/>
  <c r="F16" i="4" l="1"/>
  <c r="E12" i="4"/>
  <c r="E10" i="4"/>
  <c r="E8" i="4"/>
  <c r="F13" i="4"/>
  <c r="E15" i="4"/>
  <c r="B6" i="4"/>
  <c r="T24" i="4" s="1"/>
  <c r="E9" i="4"/>
  <c r="F15" i="4"/>
  <c r="E7" i="4"/>
  <c r="T28" i="4" l="1"/>
  <c r="T32" i="4"/>
  <c r="T27" i="4"/>
  <c r="T30" i="4"/>
  <c r="T23" i="4"/>
  <c r="T26" i="4"/>
  <c r="T25" i="4"/>
  <c r="T31" i="4"/>
  <c r="T29" i="4" l="1"/>
  <c r="T33" i="4" s="1"/>
</calcChain>
</file>

<file path=xl/sharedStrings.xml><?xml version="1.0" encoding="utf-8"?>
<sst xmlns="http://schemas.openxmlformats.org/spreadsheetml/2006/main" count="53" uniqueCount="39">
  <si>
    <t>Total</t>
  </si>
  <si>
    <t>Others</t>
  </si>
  <si>
    <t>Source:  Maldives Customs Services</t>
  </si>
  <si>
    <t>Data Compile: National Bureau of Statistics</t>
  </si>
  <si>
    <t>wlcmuj</t>
  </si>
  <si>
    <t>-</t>
  </si>
  <si>
    <t>Items</t>
  </si>
  <si>
    <t xml:space="preserve">        Value (in MVR. '000)</t>
  </si>
  <si>
    <t>(cniaWyifur '000) ugwa</t>
  </si>
  <si>
    <t>wlcaimwa</t>
  </si>
  <si>
    <t>urWkurws</t>
  </si>
  <si>
    <t>Private</t>
  </si>
  <si>
    <t>Government</t>
  </si>
  <si>
    <t>Fresh or Chilled Tuna</t>
  </si>
  <si>
    <t>Fresh or Chilled Reef Fish</t>
  </si>
  <si>
    <t>Frozen Fish</t>
  </si>
  <si>
    <t>Dried Fish</t>
  </si>
  <si>
    <t>Salted Dried Fish</t>
  </si>
  <si>
    <t>Sea Cucumber</t>
  </si>
  <si>
    <t>Canned Fish</t>
  </si>
  <si>
    <t>Live Reef Fish</t>
  </si>
  <si>
    <t>Fish Meal</t>
  </si>
  <si>
    <t>Other Marine Products</t>
  </si>
  <si>
    <t xml:space="preserve">wlcmuj  </t>
  </si>
  <si>
    <t xml:space="preserve">cswmwncnuh iawfcaokinif wtwvun WzWt    </t>
  </si>
  <si>
    <t xml:space="preserve">cswmurwfwncnuh iawfcaokinif wtwvun WzWt    </t>
  </si>
  <si>
    <t xml:space="preserve">cswmirukinif  </t>
  </si>
  <si>
    <t xml:space="preserve">cswmikihiLeaunol   </t>
  </si>
  <si>
    <t xml:space="preserve">Wdnwlifiauh  </t>
  </si>
  <si>
    <t xml:space="preserve">cswmirukudcnwb iawguLwd  </t>
  </si>
  <si>
    <t xml:space="preserve">cswmurwfErid  </t>
  </si>
  <si>
    <t xml:space="preserve">cawtctwvWbeguDnwkcnehinehea        </t>
  </si>
  <si>
    <t>2018 ,WsWluh egukwtctwvWb eguDnwk unuverukurEb cnEjcaWr : 15.4 ulwvWt</t>
  </si>
  <si>
    <t>Table  15.4 :  SUMMARY OF MARINE PRODUCT EXPORTS BY COMMODITY, 2018</t>
  </si>
  <si>
    <t>% share</t>
  </si>
  <si>
    <t>ބާވަތް</t>
  </si>
  <si>
    <t>cswmikih</t>
  </si>
  <si>
    <t>WnWk uhwm</t>
  </si>
  <si>
    <t xml:space="preserve">cswsivrWs ccscmwTcswk cscviDclOm :ctWrwfivcaed utWmUluAwm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</si>
</sst>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  <numFmt numFmtId="167" formatCode="_-* #,##0.00\ _ރ_._-;_-* #,##0.00\ _ރ_.\-;_-* &quot;-&quot;??\ _ރ_._-;_-@_-"/>
    <numFmt numFmtId="168" formatCode="0.00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name val="A_Randhoo"/>
    </font>
    <font>
      <sz val="9"/>
      <name val="A_Randhoo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</font>
    <font>
      <b/>
      <sz val="10"/>
      <name val="A_Randhoo"/>
    </font>
    <font>
      <b/>
      <sz val="11"/>
      <color theme="1"/>
      <name val="A_Randhoo"/>
    </font>
    <font>
      <b/>
      <sz val="11"/>
      <color rgb="FFFF0000"/>
      <name val="A_Randhoo"/>
    </font>
    <font>
      <b/>
      <sz val="11"/>
      <color theme="1"/>
      <name val="Calibri"/>
      <family val="2"/>
    </font>
    <font>
      <b/>
      <sz val="9"/>
      <name val="Faruma"/>
    </font>
    <font>
      <i/>
      <sz val="10"/>
      <name val="A_Randhoo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0" applyNumberFormat="0" applyBorder="0" applyAlignment="0" applyProtection="0"/>
    <xf numFmtId="0" fontId="27" fillId="6" borderId="12" applyNumberFormat="0" applyAlignment="0" applyProtection="0"/>
    <xf numFmtId="0" fontId="28" fillId="7" borderId="13" applyNumberFormat="0" applyAlignment="0" applyProtection="0"/>
    <xf numFmtId="0" fontId="29" fillId="7" borderId="12" applyNumberFormat="0" applyAlignment="0" applyProtection="0"/>
    <xf numFmtId="0" fontId="30" fillId="0" borderId="14" applyNumberFormat="0" applyFill="0" applyAlignment="0" applyProtection="0"/>
    <xf numFmtId="0" fontId="31" fillId="8" borderId="15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3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4" fillId="29" borderId="0" applyNumberFormat="0" applyBorder="0" applyAlignment="0" applyProtection="0"/>
    <xf numFmtId="0" fontId="3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4" fillId="33" borderId="0" applyNumberFormat="0" applyBorder="0" applyAlignment="0" applyProtection="0"/>
    <xf numFmtId="0" fontId="35" fillId="0" borderId="0"/>
    <xf numFmtId="0" fontId="5" fillId="0" borderId="0"/>
    <xf numFmtId="167" fontId="5" fillId="0" borderId="0" applyFont="0" applyFill="0" applyBorder="0" applyAlignment="0" applyProtection="0"/>
    <xf numFmtId="168" fontId="36" fillId="0" borderId="0"/>
    <xf numFmtId="0" fontId="3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6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6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8" fillId="34" borderId="0" applyNumberFormat="0" applyBorder="0" applyAlignment="0" applyProtection="0"/>
  </cellStyleXfs>
  <cellXfs count="57">
    <xf numFmtId="0" fontId="0" fillId="0" borderId="0" xfId="0"/>
    <xf numFmtId="0" fontId="3" fillId="2" borderId="0" xfId="0" applyFont="1" applyFill="1" applyBorder="1" applyAlignment="1">
      <alignment vertical="center"/>
    </xf>
    <xf numFmtId="3" fontId="9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 applyProtection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/>
    </xf>
    <xf numFmtId="165" fontId="9" fillId="2" borderId="0" xfId="1" applyNumberFormat="1" applyFont="1" applyFill="1" applyBorder="1" applyAlignment="1">
      <alignment horizontal="right" vertical="center"/>
    </xf>
    <xf numFmtId="0" fontId="0" fillId="2" borderId="0" xfId="0" applyFill="1"/>
    <xf numFmtId="0" fontId="8" fillId="2" borderId="6" xfId="0" applyFont="1" applyFill="1" applyBorder="1" applyAlignment="1">
      <alignment vertical="center"/>
    </xf>
    <xf numFmtId="0" fontId="15" fillId="2" borderId="6" xfId="0" applyFont="1" applyFill="1" applyBorder="1" applyAlignment="1">
      <alignment horizontal="right" vertical="center"/>
    </xf>
    <xf numFmtId="0" fontId="0" fillId="2" borderId="0" xfId="0" applyFill="1" applyBorder="1"/>
    <xf numFmtId="0" fontId="4" fillId="2" borderId="0" xfId="0" applyFont="1" applyFill="1" applyBorder="1" applyAlignment="1">
      <alignment vertical="center"/>
    </xf>
    <xf numFmtId="0" fontId="8" fillId="2" borderId="2" xfId="0" applyFont="1" applyFill="1" applyBorder="1" applyAlignment="1" applyProtection="1">
      <alignment horizontal="right" vertical="center"/>
    </xf>
    <xf numFmtId="3" fontId="17" fillId="2" borderId="0" xfId="0" applyNumberFormat="1" applyFont="1" applyFill="1" applyBorder="1" applyAlignment="1">
      <alignment vertical="center"/>
    </xf>
    <xf numFmtId="0" fontId="14" fillId="2" borderId="0" xfId="0" applyFont="1" applyFill="1" applyBorder="1" applyAlignment="1" applyProtection="1">
      <alignment vertical="center"/>
    </xf>
    <xf numFmtId="0" fontId="8" fillId="2" borderId="6" xfId="0" applyFont="1" applyFill="1" applyBorder="1" applyAlignment="1" applyProtection="1">
      <alignment horizontal="left" vertical="center"/>
    </xf>
    <xf numFmtId="0" fontId="8" fillId="2" borderId="8" xfId="0" applyFont="1" applyFill="1" applyBorder="1" applyAlignment="1" applyProtection="1">
      <alignment horizontal="right" vertical="center"/>
    </xf>
    <xf numFmtId="0" fontId="8" fillId="2" borderId="7" xfId="0" applyFont="1" applyFill="1" applyBorder="1" applyAlignment="1" applyProtection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8" fillId="2" borderId="4" xfId="0" applyFont="1" applyFill="1" applyBorder="1" applyAlignment="1" applyProtection="1">
      <alignment horizontal="right" vertical="center"/>
    </xf>
    <xf numFmtId="0" fontId="6" fillId="2" borderId="0" xfId="0" applyNumberFormat="1" applyFont="1" applyFill="1" applyBorder="1" applyAlignment="1" applyProtection="1">
      <alignment vertical="center" wrapText="1"/>
    </xf>
    <xf numFmtId="165" fontId="6" fillId="2" borderId="0" xfId="1" applyNumberFormat="1" applyFont="1" applyFill="1" applyBorder="1" applyAlignment="1">
      <alignment horizontal="right" vertical="center"/>
    </xf>
    <xf numFmtId="165" fontId="6" fillId="2" borderId="1" xfId="1" applyNumberFormat="1" applyFont="1" applyFill="1" applyBorder="1" applyAlignment="1">
      <alignment horizontal="right" vertical="center"/>
    </xf>
    <xf numFmtId="165" fontId="6" fillId="2" borderId="5" xfId="1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 wrapText="1"/>
    </xf>
    <xf numFmtId="0" fontId="9" fillId="2" borderId="0" xfId="0" applyNumberFormat="1" applyFont="1" applyFill="1" applyBorder="1" applyAlignment="1">
      <alignment horizontal="left" vertical="center" wrapText="1" indent="2"/>
    </xf>
    <xf numFmtId="0" fontId="10" fillId="2" borderId="0" xfId="0" applyFont="1" applyFill="1" applyBorder="1" applyAlignment="1">
      <alignment horizontal="right" vertical="center" wrapText="1" indent="2"/>
    </xf>
    <xf numFmtId="43" fontId="0" fillId="2" borderId="0" xfId="0" applyNumberFormat="1" applyFill="1" applyBorder="1"/>
    <xf numFmtId="37" fontId="9" fillId="2" borderId="0" xfId="1" applyNumberFormat="1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right" vertical="center" wrapText="1" indent="2"/>
    </xf>
    <xf numFmtId="0" fontId="9" fillId="2" borderId="2" xfId="0" applyNumberFormat="1" applyFont="1" applyFill="1" applyBorder="1" applyAlignment="1">
      <alignment horizontal="left" vertical="center" wrapText="1" indent="2"/>
    </xf>
    <xf numFmtId="165" fontId="6" fillId="2" borderId="2" xfId="1" applyNumberFormat="1" applyFont="1" applyFill="1" applyBorder="1" applyAlignment="1">
      <alignment horizontal="right" vertical="center"/>
    </xf>
    <xf numFmtId="165" fontId="9" fillId="2" borderId="2" xfId="1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 wrapText="1" indent="2" readingOrder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1" fillId="2" borderId="3" xfId="0" applyFont="1" applyFill="1" applyBorder="1" applyAlignment="1">
      <alignment horizontal="right" vertical="center" readingOrder="2"/>
    </xf>
    <xf numFmtId="0" fontId="9" fillId="2" borderId="0" xfId="0" applyNumberFormat="1" applyFont="1" applyFill="1" applyBorder="1" applyAlignment="1">
      <alignment horizontal="left" wrapText="1"/>
    </xf>
    <xf numFmtId="164" fontId="0" fillId="2" borderId="0" xfId="0" applyNumberFormat="1" applyFill="1" applyBorder="1" applyAlignment="1"/>
    <xf numFmtId="0" fontId="9" fillId="2" borderId="2" xfId="0" applyNumberFormat="1" applyFont="1" applyFill="1" applyBorder="1" applyAlignment="1">
      <alignment horizontal="left" wrapText="1"/>
    </xf>
    <xf numFmtId="164" fontId="0" fillId="2" borderId="0" xfId="0" applyNumberFormat="1" applyFill="1" applyBorder="1"/>
    <xf numFmtId="0" fontId="13" fillId="2" borderId="0" xfId="0" applyNumberFormat="1" applyFont="1" applyFill="1" applyBorder="1" applyAlignment="1">
      <alignment horizontal="left" vertical="center" wrapText="1" indent="2"/>
    </xf>
    <xf numFmtId="166" fontId="3" fillId="2" borderId="0" xfId="0" applyNumberFormat="1" applyFont="1" applyFill="1" applyBorder="1" applyAlignment="1">
      <alignment vertical="center"/>
    </xf>
    <xf numFmtId="3" fontId="9" fillId="2" borderId="2" xfId="1" applyNumberFormat="1" applyFont="1" applyFill="1" applyBorder="1" applyAlignment="1">
      <alignment horizontal="right" vertical="center"/>
    </xf>
    <xf numFmtId="164" fontId="0" fillId="2" borderId="0" xfId="0" applyNumberFormat="1" applyFill="1"/>
    <xf numFmtId="0" fontId="9" fillId="35" borderId="0" xfId="0" applyNumberFormat="1" applyFont="1" applyFill="1" applyBorder="1" applyAlignment="1">
      <alignment horizontal="left" wrapText="1"/>
    </xf>
    <xf numFmtId="164" fontId="0" fillId="35" borderId="0" xfId="0" applyNumberFormat="1" applyFill="1" applyBorder="1" applyAlignment="1"/>
    <xf numFmtId="3" fontId="9" fillId="2" borderId="5" xfId="1" applyNumberFormat="1" applyFont="1" applyFill="1" applyBorder="1" applyAlignment="1">
      <alignment horizontal="right" vertical="center"/>
    </xf>
    <xf numFmtId="3" fontId="9" fillId="2" borderId="4" xfId="1" applyNumberFormat="1" applyFont="1" applyFill="1" applyBorder="1" applyAlignment="1">
      <alignment horizontal="right" vertical="center"/>
    </xf>
    <xf numFmtId="3" fontId="16" fillId="2" borderId="0" xfId="0" applyNumberFormat="1" applyFont="1" applyFill="1" applyAlignment="1">
      <alignment horizontal="center" vertical="center"/>
    </xf>
    <xf numFmtId="0" fontId="18" fillId="2" borderId="2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horizontal="left" vertical="center"/>
    </xf>
    <xf numFmtId="0" fontId="6" fillId="2" borderId="2" xfId="0" applyFont="1" applyFill="1" applyBorder="1" applyAlignment="1" applyProtection="1">
      <alignment horizontal="left" vertical="center"/>
    </xf>
    <xf numFmtId="0" fontId="19" fillId="2" borderId="1" xfId="0" applyFont="1" applyFill="1" applyBorder="1" applyAlignment="1">
      <alignment horizontal="right" vertical="center"/>
    </xf>
    <xf numFmtId="0" fontId="19" fillId="2" borderId="0" xfId="0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right" vertical="center"/>
    </xf>
  </cellXfs>
  <cellStyles count="69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Figure 15.3:  Percentage distribution of marine product exports by product, 2018</a:t>
            </a:r>
          </a:p>
        </c:rich>
      </c:tx>
      <c:layout>
        <c:manualLayout>
          <c:xMode val="edge"/>
          <c:yMode val="edge"/>
          <c:x val="0.13145947729904212"/>
          <c:y val="3.56317857345272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9515754381425213"/>
          <c:y val="0.21439432851806001"/>
          <c:w val="0.39512730912950422"/>
          <c:h val="0.832352422337689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2BB-44E9-956A-4D79B477CB9E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02BB-44E9-956A-4D79B477CB9E}"/>
              </c:ext>
            </c:extLst>
          </c:dPt>
          <c:dPt>
            <c:idx val="2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02BB-44E9-956A-4D79B477CB9E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02BB-44E9-956A-4D79B477CB9E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02BB-44E9-956A-4D79B477CB9E}"/>
              </c:ext>
            </c:extLst>
          </c:dPt>
          <c:dPt>
            <c:idx val="5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02BB-44E9-956A-4D79B477CB9E}"/>
              </c:ext>
            </c:extLst>
          </c:dPt>
          <c:dPt>
            <c:idx val="6"/>
            <c:bubble3D val="0"/>
            <c:spPr>
              <a:solidFill>
                <a:schemeClr val="bg1">
                  <a:lumMod val="9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02BB-44E9-956A-4D79B477CB9E}"/>
              </c:ext>
            </c:extLst>
          </c:dPt>
          <c:dLbls>
            <c:dLbl>
              <c:idx val="0"/>
              <c:layout>
                <c:manualLayout>
                  <c:x val="-0.14392328228952506"/>
                  <c:y val="5.56488070311888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2BB-44E9-956A-4D79B477CB9E}"/>
                </c:ext>
              </c:extLst>
            </c:dLbl>
            <c:dLbl>
              <c:idx val="1"/>
              <c:layout>
                <c:manualLayout>
                  <c:x val="0.10927336893109806"/>
                  <c:y val="-0.1805713164657430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2BB-44E9-956A-4D79B477CB9E}"/>
                </c:ext>
              </c:extLst>
            </c:dLbl>
            <c:dLbl>
              <c:idx val="2"/>
              <c:layout>
                <c:manualLayout>
                  <c:x val="0.12857066691739247"/>
                  <c:y val="0.1074304302774124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2BB-44E9-956A-4D79B477CB9E}"/>
                </c:ext>
              </c:extLst>
            </c:dLbl>
            <c:dLbl>
              <c:idx val="6"/>
              <c:layout>
                <c:manualLayout>
                  <c:x val="8.4937386849586918E-2"/>
                  <c:y val="1.73043590403667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02BB-44E9-956A-4D79B477CB9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'15.4'!$S$23:$S$29</c:f>
              <c:strCache>
                <c:ptCount val="7"/>
                <c:pt idx="0">
                  <c:v>Frozen Fish</c:v>
                </c:pt>
                <c:pt idx="1">
                  <c:v>Fresh or Chilled Tuna</c:v>
                </c:pt>
                <c:pt idx="2">
                  <c:v>Canned Fish</c:v>
                </c:pt>
                <c:pt idx="3">
                  <c:v>Dried Fish</c:v>
                </c:pt>
                <c:pt idx="4">
                  <c:v>Other Marine Products</c:v>
                </c:pt>
                <c:pt idx="5">
                  <c:v>Fresh or Chilled Reef Fish</c:v>
                </c:pt>
                <c:pt idx="6">
                  <c:v>Others</c:v>
                </c:pt>
              </c:strCache>
            </c:strRef>
          </c:cat>
          <c:val>
            <c:numRef>
              <c:f>'15.4'!$T$23:$T$29</c:f>
              <c:numCache>
                <c:formatCode>0.0</c:formatCode>
                <c:ptCount val="7"/>
                <c:pt idx="0">
                  <c:v>43.189711448259139</c:v>
                </c:pt>
                <c:pt idx="1">
                  <c:v>26.837893188144495</c:v>
                </c:pt>
                <c:pt idx="2">
                  <c:v>22.71691320066445</c:v>
                </c:pt>
                <c:pt idx="3">
                  <c:v>2.6457550015562141</c:v>
                </c:pt>
                <c:pt idx="4">
                  <c:v>1.851532284479497</c:v>
                </c:pt>
                <c:pt idx="5">
                  <c:v>1.5709612247595972</c:v>
                </c:pt>
                <c:pt idx="6">
                  <c:v>1.1872336521365909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2BB-44E9-956A-4D79B477CB9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623530</xdr:colOff>
      <xdr:row>19</xdr:row>
      <xdr:rowOff>69397</xdr:rowOff>
    </xdr:from>
    <xdr:to>
      <xdr:col>6</xdr:col>
      <xdr:colOff>1356956</xdr:colOff>
      <xdr:row>32</xdr:row>
      <xdr:rowOff>114090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abSelected="1" zoomScaleNormal="100" workbookViewId="0">
      <selection activeCell="K1" sqref="K1:N1048576"/>
    </sheetView>
  </sheetViews>
  <sheetFormatPr defaultColWidth="9.140625" defaultRowHeight="15" x14ac:dyDescent="0.25"/>
  <cols>
    <col min="1" max="1" width="28.28515625" style="7" customWidth="1"/>
    <col min="2" max="2" width="20.5703125" style="7" bestFit="1" customWidth="1"/>
    <col min="3" max="3" width="12" style="7" bestFit="1" customWidth="1"/>
    <col min="4" max="4" width="13.85546875" style="7" customWidth="1"/>
    <col min="5" max="6" width="11.85546875" style="7" customWidth="1"/>
    <col min="7" max="7" width="30.85546875" style="7" customWidth="1"/>
    <col min="8" max="8" width="1.7109375" style="10" customWidth="1"/>
    <col min="9" max="9" width="25.42578125" style="10" bestFit="1" customWidth="1"/>
    <col min="10" max="17" width="14" style="10" customWidth="1"/>
    <col min="18" max="18" width="35.85546875" style="10" customWidth="1"/>
    <col min="19" max="22" width="9.140625" style="7"/>
    <col min="23" max="23" width="22.140625" style="7" customWidth="1"/>
    <col min="24" max="24" width="9.140625" style="7"/>
    <col min="25" max="25" width="25.7109375" style="7" customWidth="1"/>
    <col min="26" max="16384" width="9.140625" style="7"/>
  </cols>
  <sheetData>
    <row r="1" spans="1:18" ht="18" x14ac:dyDescent="0.25">
      <c r="A1" s="49" t="s">
        <v>32</v>
      </c>
      <c r="B1" s="49"/>
      <c r="C1" s="49"/>
      <c r="D1" s="49"/>
      <c r="E1" s="49"/>
      <c r="F1" s="49"/>
      <c r="G1" s="49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5" customHeight="1" x14ac:dyDescent="0.25">
      <c r="A2" s="50" t="s">
        <v>33</v>
      </c>
      <c r="B2" s="50"/>
      <c r="C2" s="50"/>
      <c r="D2" s="50"/>
      <c r="E2" s="50"/>
      <c r="F2" s="50"/>
      <c r="G2" s="50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18" customHeight="1" x14ac:dyDescent="0.25">
      <c r="A3" s="51" t="s">
        <v>6</v>
      </c>
      <c r="B3" s="15" t="s">
        <v>7</v>
      </c>
      <c r="C3" s="8"/>
      <c r="D3" s="9" t="s">
        <v>8</v>
      </c>
      <c r="E3" s="16" t="s">
        <v>34</v>
      </c>
      <c r="F3" s="17" t="s">
        <v>34</v>
      </c>
      <c r="G3" s="54" t="s">
        <v>35</v>
      </c>
    </row>
    <row r="4" spans="1:18" x14ac:dyDescent="0.25">
      <c r="A4" s="52"/>
      <c r="B4" s="4" t="s">
        <v>4</v>
      </c>
      <c r="C4" s="4" t="s">
        <v>9</v>
      </c>
      <c r="D4" s="4" t="s">
        <v>10</v>
      </c>
      <c r="E4" s="18" t="s">
        <v>9</v>
      </c>
      <c r="F4" s="4" t="s">
        <v>10</v>
      </c>
      <c r="G4" s="55"/>
    </row>
    <row r="5" spans="1:18" x14ac:dyDescent="0.25">
      <c r="A5" s="53"/>
      <c r="B5" s="12" t="s">
        <v>0</v>
      </c>
      <c r="C5" s="12" t="s">
        <v>11</v>
      </c>
      <c r="D5" s="12" t="s">
        <v>12</v>
      </c>
      <c r="E5" s="19" t="str">
        <f>C5</f>
        <v>Private</v>
      </c>
      <c r="F5" s="12" t="str">
        <f>D5</f>
        <v>Government</v>
      </c>
      <c r="G5" s="56"/>
    </row>
    <row r="6" spans="1:18" x14ac:dyDescent="0.25">
      <c r="A6" s="20" t="s">
        <v>0</v>
      </c>
      <c r="B6" s="21">
        <f>SUM(B7:B16)</f>
        <v>2745561.6618799996</v>
      </c>
      <c r="C6" s="22"/>
      <c r="D6" s="22"/>
      <c r="E6" s="23"/>
      <c r="F6" s="21"/>
      <c r="G6" s="24" t="s">
        <v>23</v>
      </c>
    </row>
    <row r="7" spans="1:18" ht="23.25" customHeight="1" x14ac:dyDescent="0.25">
      <c r="A7" s="25" t="s">
        <v>13</v>
      </c>
      <c r="B7" s="21">
        <f>SUM(C7:D7)</f>
        <v>736850.90622999915</v>
      </c>
      <c r="C7" s="6">
        <v>732694.75569999916</v>
      </c>
      <c r="D7" s="6">
        <v>4156.1505300000008</v>
      </c>
      <c r="E7" s="47">
        <f>C7/B7*100</f>
        <v>99.435957736516272</v>
      </c>
      <c r="F7" s="2">
        <f>D7/B7*100</f>
        <v>0.56404226348372144</v>
      </c>
      <c r="G7" s="26" t="s">
        <v>24</v>
      </c>
      <c r="H7" s="27"/>
      <c r="I7" s="27"/>
    </row>
    <row r="8" spans="1:18" ht="23.25" customHeight="1" x14ac:dyDescent="0.25">
      <c r="A8" s="25" t="s">
        <v>14</v>
      </c>
      <c r="B8" s="21">
        <f t="shared" ref="B8:B16" si="0">SUM(C8:D8)</f>
        <v>43131.709109999996</v>
      </c>
      <c r="C8" s="6">
        <v>43131.709109999996</v>
      </c>
      <c r="D8" s="6">
        <v>0</v>
      </c>
      <c r="E8" s="47">
        <f t="shared" ref="E8:E16" si="1">C8/B8*100</f>
        <v>100</v>
      </c>
      <c r="F8" s="2">
        <v>0</v>
      </c>
      <c r="G8" s="26" t="s">
        <v>25</v>
      </c>
      <c r="H8" s="27"/>
      <c r="I8" s="27"/>
    </row>
    <row r="9" spans="1:18" ht="23.25" customHeight="1" x14ac:dyDescent="0.25">
      <c r="A9" s="25" t="s">
        <v>15</v>
      </c>
      <c r="B9" s="21">
        <f t="shared" si="0"/>
        <v>1185800.1594</v>
      </c>
      <c r="C9" s="6">
        <v>324516.93308999995</v>
      </c>
      <c r="D9" s="6">
        <v>861283.22631000006</v>
      </c>
      <c r="E9" s="47">
        <f t="shared" si="1"/>
        <v>27.366915961134751</v>
      </c>
      <c r="F9" s="2">
        <f t="shared" ref="F9" si="2">D9/B9*100</f>
        <v>72.633084038865249</v>
      </c>
      <c r="G9" s="26" t="s">
        <v>26</v>
      </c>
      <c r="H9" s="27"/>
      <c r="I9" s="27"/>
    </row>
    <row r="10" spans="1:18" ht="23.25" customHeight="1" x14ac:dyDescent="0.25">
      <c r="A10" s="25" t="s">
        <v>16</v>
      </c>
      <c r="B10" s="21">
        <f t="shared" si="0"/>
        <v>72640.834990000003</v>
      </c>
      <c r="C10" s="6">
        <v>72640.834990000003</v>
      </c>
      <c r="D10" s="6">
        <v>0</v>
      </c>
      <c r="E10" s="47">
        <f t="shared" si="1"/>
        <v>100</v>
      </c>
      <c r="F10" s="2">
        <v>0</v>
      </c>
      <c r="G10" s="26" t="s">
        <v>36</v>
      </c>
      <c r="H10" s="27"/>
      <c r="I10" s="27"/>
    </row>
    <row r="11" spans="1:18" ht="23.25" customHeight="1" x14ac:dyDescent="0.25">
      <c r="A11" s="25" t="s">
        <v>17</v>
      </c>
      <c r="B11" s="21">
        <f t="shared" si="0"/>
        <v>14047.712369999999</v>
      </c>
      <c r="C11" s="6">
        <v>14047.712369999999</v>
      </c>
      <c r="D11" s="6">
        <v>0</v>
      </c>
      <c r="E11" s="47">
        <f t="shared" si="1"/>
        <v>100</v>
      </c>
      <c r="F11" s="2">
        <v>0</v>
      </c>
      <c r="G11" s="26" t="s">
        <v>27</v>
      </c>
      <c r="H11" s="27"/>
      <c r="I11" s="27"/>
    </row>
    <row r="12" spans="1:18" ht="23.25" customHeight="1" x14ac:dyDescent="0.25">
      <c r="A12" s="25" t="s">
        <v>18</v>
      </c>
      <c r="B12" s="21">
        <f t="shared" si="0"/>
        <v>3700.6051600000005</v>
      </c>
      <c r="C12" s="6">
        <v>3700.6051600000005</v>
      </c>
      <c r="D12" s="6">
        <v>0</v>
      </c>
      <c r="E12" s="47">
        <f t="shared" si="1"/>
        <v>100</v>
      </c>
      <c r="F12" s="2">
        <v>0</v>
      </c>
      <c r="G12" s="29" t="s">
        <v>28</v>
      </c>
      <c r="H12" s="27"/>
      <c r="I12" s="27"/>
    </row>
    <row r="13" spans="1:18" ht="15" customHeight="1" x14ac:dyDescent="0.25">
      <c r="A13" s="25" t="s">
        <v>19</v>
      </c>
      <c r="B13" s="21">
        <f t="shared" si="0"/>
        <v>623706.85959999985</v>
      </c>
      <c r="C13" s="6">
        <v>382054.64675999992</v>
      </c>
      <c r="D13" s="28">
        <v>241652.21283999996</v>
      </c>
      <c r="E13" s="47">
        <f t="shared" si="1"/>
        <v>61.255482584402223</v>
      </c>
      <c r="F13" s="2">
        <f t="shared" ref="F13:F16" si="3">D13/B13*100</f>
        <v>38.744517415597784</v>
      </c>
      <c r="G13" s="26" t="s">
        <v>29</v>
      </c>
      <c r="H13" s="27"/>
      <c r="I13" s="27"/>
    </row>
    <row r="14" spans="1:18" ht="21.75" hidden="1" customHeight="1" x14ac:dyDescent="0.25">
      <c r="A14" s="25" t="s">
        <v>21</v>
      </c>
      <c r="B14" s="21">
        <v>0</v>
      </c>
      <c r="C14" s="6"/>
      <c r="D14" s="6"/>
      <c r="E14" s="47" t="s">
        <v>5</v>
      </c>
      <c r="F14" s="2" t="s">
        <v>5</v>
      </c>
      <c r="G14" s="26" t="s">
        <v>37</v>
      </c>
      <c r="H14" s="27"/>
      <c r="I14" s="27"/>
    </row>
    <row r="15" spans="1:18" ht="15" customHeight="1" x14ac:dyDescent="0.25">
      <c r="A15" s="25" t="s">
        <v>20</v>
      </c>
      <c r="B15" s="21">
        <f t="shared" si="0"/>
        <v>14847.914459999996</v>
      </c>
      <c r="C15" s="6">
        <v>14847.914459999996</v>
      </c>
      <c r="D15" s="6">
        <v>0</v>
      </c>
      <c r="E15" s="47">
        <f t="shared" si="1"/>
        <v>100</v>
      </c>
      <c r="F15" s="2">
        <f t="shared" si="3"/>
        <v>0</v>
      </c>
      <c r="G15" s="26" t="s">
        <v>30</v>
      </c>
      <c r="H15" s="27"/>
      <c r="I15" s="27"/>
    </row>
    <row r="16" spans="1:18" ht="23.25" customHeight="1" x14ac:dyDescent="0.25">
      <c r="A16" s="30" t="s">
        <v>22</v>
      </c>
      <c r="B16" s="31">
        <f t="shared" si="0"/>
        <v>50834.96056</v>
      </c>
      <c r="C16" s="32">
        <v>24879.677580000003</v>
      </c>
      <c r="D16" s="32">
        <v>25955.282979999996</v>
      </c>
      <c r="E16" s="48">
        <f t="shared" si="1"/>
        <v>48.942061341101592</v>
      </c>
      <c r="F16" s="43">
        <f t="shared" si="3"/>
        <v>51.057938658898408</v>
      </c>
      <c r="G16" s="33" t="s">
        <v>31</v>
      </c>
      <c r="H16" s="27"/>
      <c r="I16" s="27"/>
    </row>
    <row r="17" spans="1:20" x14ac:dyDescent="0.25">
      <c r="A17" s="3" t="s">
        <v>2</v>
      </c>
      <c r="B17" s="34"/>
      <c r="C17" s="34"/>
      <c r="D17" s="11"/>
      <c r="E17" s="35"/>
      <c r="F17" s="35"/>
      <c r="G17" s="36" t="s">
        <v>38</v>
      </c>
      <c r="H17" s="11"/>
      <c r="R17" s="5"/>
    </row>
    <row r="18" spans="1:20" ht="12" customHeight="1" x14ac:dyDescent="0.25">
      <c r="A18" s="3" t="s">
        <v>3</v>
      </c>
      <c r="B18" s="34"/>
      <c r="C18" s="34"/>
      <c r="D18" s="11"/>
      <c r="E18" s="35"/>
      <c r="F18" s="35"/>
      <c r="G18" s="35"/>
      <c r="H18" s="1"/>
      <c r="P18" s="7"/>
      <c r="Q18" s="7"/>
      <c r="R18" s="5"/>
    </row>
    <row r="19" spans="1:20" ht="12" customHeight="1" x14ac:dyDescent="0.25">
      <c r="A19" s="3"/>
      <c r="B19" s="34"/>
      <c r="C19" s="34"/>
      <c r="D19" s="11"/>
      <c r="E19" s="35"/>
      <c r="F19" s="35"/>
      <c r="G19" s="35"/>
      <c r="H19" s="1"/>
      <c r="P19" s="7"/>
      <c r="Q19" s="7"/>
      <c r="R19" s="5"/>
    </row>
    <row r="20" spans="1:20" ht="12" customHeight="1" x14ac:dyDescent="0.25">
      <c r="A20" s="3"/>
      <c r="B20" s="34"/>
      <c r="C20" s="34"/>
      <c r="D20" s="11"/>
      <c r="E20" s="35"/>
      <c r="F20" s="35"/>
      <c r="G20" s="35"/>
      <c r="H20" s="1"/>
      <c r="P20" s="7"/>
      <c r="Q20" s="7"/>
      <c r="R20" s="5"/>
    </row>
    <row r="21" spans="1:20" ht="12" customHeight="1" x14ac:dyDescent="0.25">
      <c r="A21" s="3"/>
      <c r="B21" s="34"/>
      <c r="C21" s="34"/>
      <c r="D21" s="11"/>
      <c r="E21" s="35"/>
      <c r="F21" s="35"/>
      <c r="G21" s="35"/>
      <c r="H21" s="1"/>
      <c r="P21" s="7"/>
      <c r="Q21" s="7"/>
      <c r="R21" s="5"/>
    </row>
    <row r="22" spans="1:20" ht="26.25" customHeight="1" x14ac:dyDescent="0.25">
      <c r="B22" s="34"/>
      <c r="C22" s="34"/>
      <c r="D22" s="11"/>
      <c r="E22" s="35"/>
      <c r="F22" s="35"/>
      <c r="P22" s="7"/>
      <c r="Q22" s="7"/>
    </row>
    <row r="23" spans="1:20" ht="26.25" customHeight="1" x14ac:dyDescent="0.25">
      <c r="S23" s="37" t="s">
        <v>15</v>
      </c>
      <c r="T23" s="38">
        <f>B9/$B$6*100</f>
        <v>43.189711448259139</v>
      </c>
    </row>
    <row r="24" spans="1:20" ht="26.25" customHeight="1" x14ac:dyDescent="0.25">
      <c r="S24" s="37" t="s">
        <v>13</v>
      </c>
      <c r="T24" s="38">
        <f>B7/$B$6*100</f>
        <v>26.837893188144495</v>
      </c>
    </row>
    <row r="25" spans="1:20" ht="26.25" customHeight="1" x14ac:dyDescent="0.25">
      <c r="S25" s="37" t="s">
        <v>19</v>
      </c>
      <c r="T25" s="38">
        <f>B13/$B$6*100</f>
        <v>22.71691320066445</v>
      </c>
    </row>
    <row r="26" spans="1:20" ht="26.25" customHeight="1" x14ac:dyDescent="0.25">
      <c r="B26" s="34"/>
      <c r="C26" s="34"/>
      <c r="D26" s="11"/>
      <c r="E26" s="35"/>
      <c r="F26" s="35"/>
      <c r="S26" s="37" t="s">
        <v>16</v>
      </c>
      <c r="T26" s="38">
        <f>B10/$B$6*100</f>
        <v>2.6457550015562141</v>
      </c>
    </row>
    <row r="27" spans="1:20" ht="26.25" customHeight="1" x14ac:dyDescent="0.25">
      <c r="S27" s="39" t="s">
        <v>22</v>
      </c>
      <c r="T27" s="38">
        <f>B16/$B$6*100</f>
        <v>1.851532284479497</v>
      </c>
    </row>
    <row r="28" spans="1:20" ht="26.25" customHeight="1" x14ac:dyDescent="0.25">
      <c r="S28" s="37" t="s">
        <v>14</v>
      </c>
      <c r="T28" s="38">
        <f>B8/$B$6*100</f>
        <v>1.5709612247595972</v>
      </c>
    </row>
    <row r="29" spans="1:20" ht="26.25" customHeight="1" x14ac:dyDescent="0.25">
      <c r="S29" s="7" t="s">
        <v>1</v>
      </c>
      <c r="T29" s="44">
        <f>SUM(T30:T32)</f>
        <v>1.1872336521365909</v>
      </c>
    </row>
    <row r="30" spans="1:20" ht="26.25" customHeight="1" x14ac:dyDescent="0.25">
      <c r="S30" s="45" t="s">
        <v>17</v>
      </c>
      <c r="T30" s="46">
        <f>B11/$B$6*100</f>
        <v>0.51165168005663919</v>
      </c>
    </row>
    <row r="31" spans="1:20" ht="26.25" customHeight="1" x14ac:dyDescent="0.25">
      <c r="S31" s="45" t="s">
        <v>20</v>
      </c>
      <c r="T31" s="46">
        <f>B15/$B$6*100</f>
        <v>0.54079697666790028</v>
      </c>
    </row>
    <row r="32" spans="1:20" ht="26.25" customHeight="1" x14ac:dyDescent="0.25">
      <c r="S32" s="45" t="s">
        <v>18</v>
      </c>
      <c r="T32" s="46">
        <f>B12/$B$6*100</f>
        <v>0.13478499541205144</v>
      </c>
    </row>
    <row r="33" spans="1:20" ht="26.25" customHeight="1" x14ac:dyDescent="0.25">
      <c r="Q33" s="40"/>
      <c r="T33" s="40">
        <f>SUM(T23:T32)</f>
        <v>101.1872336521366</v>
      </c>
    </row>
    <row r="34" spans="1:20" ht="26.25" customHeight="1" x14ac:dyDescent="0.25">
      <c r="A34" s="41"/>
      <c r="B34" s="34"/>
      <c r="C34" s="34"/>
      <c r="D34" s="11"/>
      <c r="E34" s="35"/>
      <c r="F34" s="35"/>
      <c r="G34" s="35"/>
      <c r="H34" s="42"/>
    </row>
    <row r="35" spans="1:20" ht="26.25" customHeight="1" x14ac:dyDescent="0.25">
      <c r="B35" s="34"/>
      <c r="C35" s="34"/>
      <c r="D35" s="11"/>
      <c r="E35" s="35"/>
      <c r="F35" s="35"/>
    </row>
    <row r="36" spans="1:20" ht="26.25" customHeight="1" x14ac:dyDescent="0.25"/>
    <row r="37" spans="1:20" ht="26.25" customHeight="1" x14ac:dyDescent="0.25"/>
    <row r="38" spans="1:20" ht="26.25" customHeight="1" x14ac:dyDescent="0.25"/>
    <row r="39" spans="1:20" ht="26.25" customHeight="1" x14ac:dyDescent="0.25">
      <c r="B39" s="34"/>
      <c r="C39" s="34"/>
      <c r="D39" s="11"/>
      <c r="E39" s="35"/>
      <c r="F39" s="35"/>
    </row>
    <row r="40" spans="1:20" ht="26.25" customHeight="1" x14ac:dyDescent="0.25"/>
    <row r="41" spans="1:20" ht="26.25" customHeight="1" x14ac:dyDescent="0.25"/>
    <row r="42" spans="1:20" ht="26.25" customHeight="1" x14ac:dyDescent="0.25"/>
  </sheetData>
  <mergeCells count="4">
    <mergeCell ref="A1:G1"/>
    <mergeCell ref="A2:G2"/>
    <mergeCell ref="A3:A5"/>
    <mergeCell ref="G3:G5"/>
  </mergeCells>
  <pageMargins left="0.7" right="0.7" top="0.75" bottom="0.75" header="0.3" footer="0.3"/>
  <pageSetup paperSize="9" scale="6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15.4</vt:lpstr>
      <vt:lpstr>'15.4'!Print_Area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2019-12-15T06:13:17Z</cp:lastPrinted>
  <dcterms:created xsi:type="dcterms:W3CDTF">2019-12-05T04:01:34Z</dcterms:created>
  <dcterms:modified xsi:type="dcterms:W3CDTF">2019-12-15T06:17:37Z</dcterms:modified>
</cp:coreProperties>
</file>