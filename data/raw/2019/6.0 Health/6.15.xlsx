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6. HEALTH\"/>
    </mc:Choice>
  </mc:AlternateContent>
  <bookViews>
    <workbookView xWindow="0" yWindow="0" windowWidth="28800" windowHeight="11730" tabRatio="811"/>
  </bookViews>
  <sheets>
    <sheet name="6.15" sheetId="15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xlnm.Print_Area" localSheetId="0">'6.15'!$A$1:$H$63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15" l="1"/>
  <c r="AC23" i="15" s="1"/>
  <c r="B42" i="15"/>
  <c r="B41" i="15"/>
  <c r="B39" i="15"/>
  <c r="B38" i="15"/>
  <c r="B37" i="15"/>
  <c r="AC22" i="15"/>
  <c r="AC21" i="15"/>
  <c r="AC20" i="15"/>
  <c r="AC19" i="15"/>
  <c r="AC18" i="15"/>
  <c r="AC17" i="15"/>
  <c r="B15" i="15"/>
  <c r="AC16" i="15" s="1"/>
  <c r="B13" i="15"/>
  <c r="B11" i="15"/>
  <c r="AC15" i="15" s="1"/>
  <c r="B10" i="15"/>
  <c r="B7" i="15"/>
  <c r="AC14" i="15" s="1"/>
  <c r="B6" i="15"/>
  <c r="B5" i="15"/>
</calcChain>
</file>

<file path=xl/sharedStrings.xml><?xml version="1.0" encoding="utf-8"?>
<sst xmlns="http://schemas.openxmlformats.org/spreadsheetml/2006/main" count="41" uniqueCount="14">
  <si>
    <t>Total</t>
  </si>
  <si>
    <t>Type of Treatment</t>
  </si>
  <si>
    <t>0 - 14</t>
  </si>
  <si>
    <t>15 - 24</t>
  </si>
  <si>
    <t>25 - 34</t>
  </si>
  <si>
    <t>35 - 44</t>
  </si>
  <si>
    <t>45 &amp; over</t>
  </si>
  <si>
    <t>Cases Under Treatment</t>
  </si>
  <si>
    <t>Cases Released from Control</t>
  </si>
  <si>
    <t>Newly Detected Tuberculosis Cases</t>
  </si>
  <si>
    <t>Source:Health Protection Agency</t>
  </si>
  <si>
    <t xml:space="preserve">މަޢުލޫމާތު ދެއްވީ: ހެލްތް ޕްރޮޓެކްޝަން އޭޖެންސީ </t>
  </si>
  <si>
    <t>Table 6.15 : TUBERCULOSIS CASES, BY AGE GROUP, 2011 - 2018</t>
  </si>
  <si>
    <t>ތާވަލު 6.15: ޓީ.ބީގެ ބަލިމީހުންގެ ޢަދަދު، ޢުމުރުފުރާގެ ގޮތުން، 2011 - 2018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</si>
</sst>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5" formatCode="General_)"/>
    <numFmt numFmtId="169" formatCode="0_);[Red]\(0\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Faruma"/>
    </font>
    <font>
      <sz val="10"/>
      <color theme="1"/>
      <name val="Faruma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theme="1" tint="4.9989318521683403E-2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9" fillId="0" borderId="0"/>
    <xf numFmtId="165" fontId="9" fillId="0" borderId="0"/>
    <xf numFmtId="165" fontId="9" fillId="0" borderId="0"/>
    <xf numFmtId="40" fontId="10" fillId="0" borderId="0" applyFont="0" applyFill="0" applyBorder="0" applyAlignment="0" applyProtection="0"/>
    <xf numFmtId="165" fontId="9" fillId="0" borderId="0"/>
    <xf numFmtId="0" fontId="1" fillId="0" borderId="0"/>
  </cellStyleXfs>
  <cellXfs count="31">
    <xf numFmtId="0" fontId="0" fillId="0" borderId="0" xfId="0"/>
    <xf numFmtId="165" fontId="3" fillId="2" borderId="0" xfId="0" applyNumberFormat="1" applyFont="1" applyFill="1" applyAlignment="1">
      <alignment vertical="center"/>
    </xf>
    <xf numFmtId="165" fontId="3" fillId="2" borderId="1" xfId="0" applyNumberFormat="1" applyFont="1" applyFill="1" applyBorder="1" applyAlignment="1">
      <alignment vertical="center"/>
    </xf>
    <xf numFmtId="165" fontId="5" fillId="2" borderId="2" xfId="2" applyNumberFormat="1" applyFont="1" applyFill="1" applyBorder="1" applyAlignment="1">
      <alignment vertical="center"/>
    </xf>
    <xf numFmtId="165" fontId="5" fillId="2" borderId="2" xfId="2" applyNumberFormat="1" applyFont="1" applyFill="1" applyBorder="1" applyAlignment="1">
      <alignment horizontal="right" vertical="center"/>
    </xf>
    <xf numFmtId="38" fontId="3" fillId="2" borderId="0" xfId="1" applyNumberFormat="1" applyFont="1" applyFill="1" applyBorder="1" applyAlignment="1">
      <alignment vertical="center"/>
    </xf>
    <xf numFmtId="38" fontId="5" fillId="2" borderId="0" xfId="1" applyNumberFormat="1" applyFont="1" applyFill="1" applyBorder="1" applyAlignment="1">
      <alignment vertical="center"/>
    </xf>
    <xf numFmtId="38" fontId="3" fillId="2" borderId="2" xfId="1" applyNumberFormat="1" applyFont="1" applyFill="1" applyBorder="1" applyAlignment="1">
      <alignment vertical="center"/>
    </xf>
    <xf numFmtId="38" fontId="5" fillId="2" borderId="6" xfId="1" applyNumberFormat="1" applyFont="1" applyFill="1" applyBorder="1" applyAlignment="1">
      <alignment vertical="center"/>
    </xf>
    <xf numFmtId="38" fontId="3" fillId="2" borderId="6" xfId="1" applyNumberFormat="1" applyFont="1" applyFill="1" applyBorder="1" applyAlignment="1">
      <alignment vertical="center"/>
    </xf>
    <xf numFmtId="169" fontId="5" fillId="2" borderId="3" xfId="1" applyNumberFormat="1" applyFont="1" applyFill="1" applyBorder="1" applyAlignment="1">
      <alignment vertical="center"/>
    </xf>
    <xf numFmtId="38" fontId="5" fillId="3" borderId="6" xfId="1" applyNumberFormat="1" applyFont="1" applyFill="1" applyBorder="1" applyAlignment="1">
      <alignment vertical="center"/>
    </xf>
    <xf numFmtId="169" fontId="5" fillId="2" borderId="0" xfId="1" applyNumberFormat="1" applyFont="1" applyFill="1" applyBorder="1" applyAlignment="1">
      <alignment vertical="center"/>
    </xf>
    <xf numFmtId="38" fontId="5" fillId="2" borderId="0" xfId="1" applyNumberFormat="1" applyFont="1" applyFill="1" applyBorder="1" applyAlignment="1">
      <alignment horizontal="right" vertical="center"/>
    </xf>
    <xf numFmtId="38" fontId="3" fillId="2" borderId="0" xfId="1" applyNumberFormat="1" applyFont="1" applyFill="1" applyBorder="1" applyAlignment="1"/>
    <xf numFmtId="1" fontId="3" fillId="2" borderId="0" xfId="0" applyNumberFormat="1" applyFont="1" applyFill="1" applyAlignment="1">
      <alignment vertical="center"/>
    </xf>
    <xf numFmtId="38" fontId="3" fillId="2" borderId="6" xfId="1" applyNumberFormat="1" applyFont="1" applyFill="1" applyBorder="1" applyAlignment="1"/>
    <xf numFmtId="38" fontId="5" fillId="2" borderId="2" xfId="1" applyNumberFormat="1" applyFont="1" applyFill="1" applyBorder="1" applyAlignment="1">
      <alignment vertical="center"/>
    </xf>
    <xf numFmtId="38" fontId="3" fillId="2" borderId="2" xfId="1" applyNumberFormat="1" applyFont="1" applyFill="1" applyBorder="1" applyAlignment="1"/>
    <xf numFmtId="38" fontId="5" fillId="2" borderId="2" xfId="1" applyNumberFormat="1" applyFont="1" applyFill="1" applyBorder="1" applyAlignment="1">
      <alignment horizontal="right" vertical="center"/>
    </xf>
    <xf numFmtId="38" fontId="5" fillId="2" borderId="4" xfId="1" applyNumberFormat="1" applyFont="1" applyFill="1" applyBorder="1" applyAlignment="1">
      <alignment horizontal="right" vertical="center"/>
    </xf>
    <xf numFmtId="38" fontId="3" fillId="2" borderId="0" xfId="1" applyNumberFormat="1" applyFont="1" applyFill="1"/>
    <xf numFmtId="38" fontId="3" fillId="2" borderId="2" xfId="1" applyNumberFormat="1" applyFont="1" applyFill="1" applyBorder="1"/>
    <xf numFmtId="165" fontId="4" fillId="2" borderId="0" xfId="2" applyNumberFormat="1" applyFont="1" applyFill="1" applyBorder="1" applyAlignment="1" applyProtection="1">
      <alignment horizontal="left" vertical="center"/>
    </xf>
    <xf numFmtId="165" fontId="5" fillId="2" borderId="0" xfId="2" applyNumberFormat="1" applyFont="1" applyFill="1" applyBorder="1" applyAlignment="1">
      <alignment vertical="center"/>
    </xf>
    <xf numFmtId="165" fontId="3" fillId="2" borderId="0" xfId="2" applyNumberFormat="1" applyFont="1" applyFill="1" applyBorder="1" applyAlignment="1">
      <alignment vertical="center"/>
    </xf>
    <xf numFmtId="165" fontId="7" fillId="2" borderId="0" xfId="2" applyNumberFormat="1" applyFont="1" applyFill="1" applyBorder="1" applyAlignment="1">
      <alignment vertical="center"/>
    </xf>
    <xf numFmtId="165" fontId="5" fillId="2" borderId="0" xfId="0" applyNumberFormat="1" applyFont="1" applyFill="1" applyAlignment="1">
      <alignment vertical="center"/>
    </xf>
    <xf numFmtId="169" fontId="5" fillId="2" borderId="5" xfId="1" applyNumberFormat="1" applyFont="1" applyFill="1" applyBorder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165" fontId="2" fillId="2" borderId="2" xfId="2" applyNumberFormat="1" applyFont="1" applyFill="1" applyBorder="1" applyAlignment="1">
      <alignment horizontal="center" vertical="center"/>
    </xf>
  </cellXfs>
  <cellStyles count="9">
    <cellStyle name="Comma" xfId="1" builtinId="3"/>
    <cellStyle name="Comma 3" xfId="6"/>
    <cellStyle name="Normal" xfId="0" builtinId="0"/>
    <cellStyle name="Normal 14" xfId="3"/>
    <cellStyle name="Normal 15" xfId="5"/>
    <cellStyle name="Normal 17" xfId="8"/>
    <cellStyle name="Normal 2" xfId="2"/>
    <cellStyle name="Normal 3" xfId="4"/>
    <cellStyle name="Normal 9" xfId="7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692618657872623E-2"/>
          <c:y val="0.19904508269083632"/>
          <c:w val="0.91505143799361954"/>
          <c:h val="0.6849751338944147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00C0B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'[4]6.7'!$AA$27:$AA$33</c:f>
              <c:numCache>
                <c:formatCode>General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cat>
          <c:val>
            <c:numRef>
              <c:f>'[4]6.7'!$AB$27:$AB$33</c:f>
              <c:numCache>
                <c:formatCode>General</c:formatCode>
                <c:ptCount val="7"/>
                <c:pt idx="0">
                  <c:v>99</c:v>
                </c:pt>
                <c:pt idx="1">
                  <c:v>100</c:v>
                </c:pt>
                <c:pt idx="2">
                  <c:v>88</c:v>
                </c:pt>
                <c:pt idx="3">
                  <c:v>110</c:v>
                </c:pt>
                <c:pt idx="4">
                  <c:v>110</c:v>
                </c:pt>
                <c:pt idx="5">
                  <c:v>131</c:v>
                </c:pt>
                <c:pt idx="6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0-41A8-9A39-117D231BD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885120"/>
        <c:axId val="88886656"/>
      </c:barChart>
      <c:catAx>
        <c:axId val="8888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88886656"/>
        <c:crosses val="autoZero"/>
        <c:auto val="1"/>
        <c:lblAlgn val="ctr"/>
        <c:lblOffset val="100"/>
        <c:noMultiLvlLbl val="0"/>
      </c:catAx>
      <c:valAx>
        <c:axId val="88886656"/>
        <c:scaling>
          <c:orientation val="minMax"/>
          <c:max val="16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8888512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692618657872623E-2"/>
          <c:y val="0.19904508269083632"/>
          <c:w val="0.91505143799361954"/>
          <c:h val="0.68497513389441478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00C0B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'[5]6.7'!$AA$27:$AA$33</c:f>
              <c:numCache>
                <c:formatCode>General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cat>
          <c:val>
            <c:numRef>
              <c:f>'[5]6.7'!$AB$27:$AB$33</c:f>
              <c:numCache>
                <c:formatCode>General</c:formatCode>
                <c:ptCount val="7"/>
                <c:pt idx="0">
                  <c:v>99</c:v>
                </c:pt>
                <c:pt idx="1">
                  <c:v>100</c:v>
                </c:pt>
                <c:pt idx="2">
                  <c:v>88</c:v>
                </c:pt>
                <c:pt idx="3">
                  <c:v>110</c:v>
                </c:pt>
                <c:pt idx="4">
                  <c:v>110</c:v>
                </c:pt>
                <c:pt idx="5">
                  <c:v>131</c:v>
                </c:pt>
                <c:pt idx="6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9-4C2D-B8CD-1C1D0FE2B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948736"/>
        <c:axId val="88950272"/>
      </c:barChart>
      <c:catAx>
        <c:axId val="8894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88950272"/>
        <c:crosses val="autoZero"/>
        <c:auto val="1"/>
        <c:lblAlgn val="ctr"/>
        <c:lblOffset val="100"/>
        <c:noMultiLvlLbl val="0"/>
      </c:catAx>
      <c:valAx>
        <c:axId val="88950272"/>
        <c:scaling>
          <c:orientation val="minMax"/>
          <c:max val="16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8894873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692618657872623E-2"/>
          <c:y val="0.19904508269083632"/>
          <c:w val="0.91505143799361954"/>
          <c:h val="0.6849751338944147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50000"/>
              </a:schemeClr>
            </a:solidFill>
          </c:spPr>
          <c:invertIfNegative val="0"/>
          <c:cat>
            <c:numRef>
              <c:f>'6.15'!$AB$14:$AB$23</c:f>
              <c:numCache>
                <c:formatCode>0</c:formatCode>
                <c:ptCount val="10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</c:numCache>
            </c:numRef>
          </c:cat>
          <c:val>
            <c:numRef>
              <c:f>'6.15'!$AC$14:$AC$23</c:f>
              <c:numCache>
                <c:formatCode>0</c:formatCode>
                <c:ptCount val="10"/>
                <c:pt idx="0">
                  <c:v>99</c:v>
                </c:pt>
                <c:pt idx="1">
                  <c:v>100</c:v>
                </c:pt>
                <c:pt idx="2">
                  <c:v>88</c:v>
                </c:pt>
                <c:pt idx="3">
                  <c:v>110</c:v>
                </c:pt>
                <c:pt idx="4">
                  <c:v>110</c:v>
                </c:pt>
                <c:pt idx="5">
                  <c:v>131</c:v>
                </c:pt>
                <c:pt idx="6">
                  <c:v>153</c:v>
                </c:pt>
                <c:pt idx="7">
                  <c:v>163</c:v>
                </c:pt>
                <c:pt idx="8" formatCode="General_)">
                  <c:v>136</c:v>
                </c:pt>
                <c:pt idx="9" formatCode="General_)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4A-4F2A-82E5-5783BD670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963520"/>
        <c:axId val="43965056"/>
      </c:barChart>
      <c:catAx>
        <c:axId val="4396352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crossAx val="43965056"/>
        <c:crosses val="autoZero"/>
        <c:auto val="1"/>
        <c:lblAlgn val="ctr"/>
        <c:lblOffset val="100"/>
        <c:noMultiLvlLbl val="0"/>
      </c:catAx>
      <c:valAx>
        <c:axId val="43965056"/>
        <c:scaling>
          <c:orientation val="minMax"/>
          <c:max val="18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43963520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190499</xdr:colOff>
      <xdr:row>45</xdr:row>
      <xdr:rowOff>28575</xdr:rowOff>
    </xdr:from>
    <xdr:to>
      <xdr:col>7</xdr:col>
      <xdr:colOff>409574</xdr:colOff>
      <xdr:row>62</xdr:row>
      <xdr:rowOff>19050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1225412</xdr:colOff>
      <xdr:row>47</xdr:row>
      <xdr:rowOff>61291</xdr:rowOff>
    </xdr:from>
    <xdr:to>
      <xdr:col>6</xdr:col>
      <xdr:colOff>368162</xdr:colOff>
      <xdr:row>47</xdr:row>
      <xdr:rowOff>61291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1225412" y="6585916"/>
          <a:ext cx="455295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0</xdr:col>
      <xdr:colOff>190499</xdr:colOff>
      <xdr:row>45</xdr:row>
      <xdr:rowOff>28575</xdr:rowOff>
    </xdr:from>
    <xdr:to>
      <xdr:col>7</xdr:col>
      <xdr:colOff>409574</xdr:colOff>
      <xdr:row>62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1225412</xdr:colOff>
      <xdr:row>47</xdr:row>
      <xdr:rowOff>61291</xdr:rowOff>
    </xdr:from>
    <xdr:to>
      <xdr:col>6</xdr:col>
      <xdr:colOff>368162</xdr:colOff>
      <xdr:row>47</xdr:row>
      <xdr:rowOff>61291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225412" y="6585916"/>
          <a:ext cx="455295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0</xdr:col>
      <xdr:colOff>190499</xdr:colOff>
      <xdr:row>45</xdr:row>
      <xdr:rowOff>28575</xdr:rowOff>
    </xdr:from>
    <xdr:to>
      <xdr:col>7</xdr:col>
      <xdr:colOff>409574</xdr:colOff>
      <xdr:row>62</xdr:row>
      <xdr:rowOff>19050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0.1563</cdr:x>
      <cdr:y>0.03472</cdr:y>
    </cdr:from>
    <cdr:to>
      <cdr:x>0.92236</cdr:x>
      <cdr:y>0.15278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80881" y="94395"/>
          <a:ext cx="4807628" cy="3209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andara" pitchFamily="34" charset="0"/>
              <a:ea typeface="+mn-ea"/>
              <a:cs typeface="+mn-cs"/>
            </a:rPr>
            <a:t>Figure 6.6: Number of newly detected tuberculosis cases, 2009 - 2015</a:t>
          </a:r>
          <a:endParaRPr lang="en-US" sz="1200" b="1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0.00759</cdr:x>
      <cdr:y>0.11897</cdr:y>
    </cdr:from>
    <cdr:to>
      <cdr:x>0.10327</cdr:x>
      <cdr:y>0.16658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8" y="323437"/>
          <a:ext cx="600487" cy="1294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700" b="1"/>
            <a:t>in numbers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0.1563</cdr:x>
      <cdr:y>0.03472</cdr:y>
    </cdr:from>
    <cdr:to>
      <cdr:x>0.92236</cdr:x>
      <cdr:y>0.15278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80881" y="94395"/>
          <a:ext cx="4807628" cy="3209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andara" pitchFamily="34" charset="0"/>
              <a:ea typeface="+mn-ea"/>
              <a:cs typeface="+mn-cs"/>
            </a:rPr>
            <a:t>Figure 6.12: Number of newly detected tuberculosis cases, 2009 - 2015</a:t>
          </a:r>
          <a:endParaRPr lang="en-US" sz="1200" b="1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0.00759</cdr:x>
      <cdr:y>0.11897</cdr:y>
    </cdr:from>
    <cdr:to>
      <cdr:x>0.10327</cdr:x>
      <cdr:y>0.16658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28" y="323437"/>
          <a:ext cx="600487" cy="1294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700" b="1"/>
            <a:t>in numbers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0.1563</cdr:x>
      <cdr:y>0.03472</cdr:y>
    </cdr:from>
    <cdr:to>
      <cdr:x>0.92236</cdr:x>
      <cdr:y>0.15278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980881" y="94395"/>
          <a:ext cx="4807628" cy="3209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andara" pitchFamily="34" charset="0"/>
              <a:ea typeface="+mn-ea"/>
              <a:cs typeface="+mn-cs"/>
            </a:rPr>
            <a:t>Figure 6.13: Number of newly detected tuberculosis cases, 2009 - 2018</a:t>
          </a:r>
          <a:endParaRPr lang="en-US" sz="1200" b="1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0.00759</cdr:x>
      <cdr:y>0.10417</cdr:y>
    </cdr:from>
    <cdr:to>
      <cdr:x>0.13809</cdr:x>
      <cdr:y>0.16658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47642" y="285751"/>
          <a:ext cx="819134" cy="1712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700" b="1"/>
            <a:t>in </a:t>
          </a:r>
          <a:r>
            <a:rPr lang="en-US" sz="800" b="1"/>
            <a:t>numbers</a:t>
          </a:r>
          <a:endParaRPr lang="en-US" sz="700" b="1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6.%20HEAL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Health%20-%20Police%20new%20to%20mai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NBS%20data%20(5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TB%20data%20to%20NBS%20-%202017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FINAL\web\New%20folder\6.HEALTH\6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"/>
      <sheetName val="6.2"/>
      <sheetName val="6.3"/>
      <sheetName val="6.4"/>
      <sheetName val="6.5"/>
      <sheetName val="6.6"/>
      <sheetName val="6.7"/>
      <sheetName val="6.8"/>
      <sheetName val="6.9"/>
      <sheetName val="6.10"/>
      <sheetName val="6.11"/>
      <sheetName val="6.12"/>
      <sheetName val="6.13"/>
      <sheetName val="6.14"/>
      <sheetName val="6.15"/>
      <sheetName val="6.16"/>
      <sheetName val="6.17"/>
      <sheetName val="6.18"/>
      <sheetName val="6.19"/>
      <sheetName val="6.20"/>
      <sheetName val="6.21"/>
      <sheetName val="6.22"/>
      <sheetName val="Sheet1"/>
      <sheetName val="new"/>
      <sheetName val="new rev"/>
      <sheetName val="new2"/>
      <sheetName val="new3"/>
      <sheetName val="6.23"/>
      <sheetName val="6.24"/>
    </sheetNames>
    <sheetDataSet>
      <sheetData sheetId="0"/>
      <sheetData sheetId="1"/>
      <sheetData sheetId="2"/>
      <sheetData sheetId="3">
        <row r="17">
          <cell r="A17" t="str">
            <v>HA</v>
          </cell>
          <cell r="C17">
            <v>82</v>
          </cell>
        </row>
        <row r="18">
          <cell r="A18" t="str">
            <v>HDH</v>
          </cell>
          <cell r="C18">
            <v>109</v>
          </cell>
        </row>
        <row r="19">
          <cell r="A19" t="str">
            <v>SH</v>
          </cell>
          <cell r="C19">
            <v>16</v>
          </cell>
        </row>
        <row r="20">
          <cell r="A20" t="str">
            <v>N</v>
          </cell>
          <cell r="C20">
            <v>60</v>
          </cell>
          <cell r="Z20" t="str">
            <v>Public</v>
          </cell>
          <cell r="AA20">
            <v>1634</v>
          </cell>
        </row>
        <row r="21">
          <cell r="A21" t="str">
            <v>R</v>
          </cell>
          <cell r="C21">
            <v>94</v>
          </cell>
          <cell r="Z21" t="str">
            <v>Private</v>
          </cell>
          <cell r="AA21">
            <v>103</v>
          </cell>
        </row>
        <row r="22">
          <cell r="A22" t="str">
            <v>B</v>
          </cell>
          <cell r="C22">
            <v>63</v>
          </cell>
        </row>
        <row r="23">
          <cell r="A23" t="str">
            <v>LH</v>
          </cell>
          <cell r="C23">
            <v>55</v>
          </cell>
        </row>
        <row r="24">
          <cell r="A24" t="str">
            <v>K</v>
          </cell>
          <cell r="C24">
            <v>47</v>
          </cell>
        </row>
        <row r="25">
          <cell r="A25" t="str">
            <v>AA</v>
          </cell>
          <cell r="C25">
            <v>49</v>
          </cell>
        </row>
        <row r="26">
          <cell r="A26" t="str">
            <v>ADH</v>
          </cell>
          <cell r="C26">
            <v>67</v>
          </cell>
        </row>
        <row r="27">
          <cell r="A27" t="str">
            <v>V</v>
          </cell>
          <cell r="C27">
            <v>7</v>
          </cell>
        </row>
        <row r="28">
          <cell r="A28" t="str">
            <v>M</v>
          </cell>
          <cell r="C28">
            <v>46</v>
          </cell>
        </row>
        <row r="29">
          <cell r="A29" t="str">
            <v>F</v>
          </cell>
          <cell r="C29">
            <v>38</v>
          </cell>
        </row>
        <row r="30">
          <cell r="A30" t="str">
            <v>DH</v>
          </cell>
          <cell r="C30">
            <v>39</v>
          </cell>
        </row>
        <row r="31">
          <cell r="A31" t="str">
            <v>TH</v>
          </cell>
          <cell r="C31">
            <v>112</v>
          </cell>
        </row>
        <row r="32">
          <cell r="A32" t="str">
            <v>L</v>
          </cell>
          <cell r="C32">
            <v>113</v>
          </cell>
        </row>
        <row r="33">
          <cell r="A33" t="str">
            <v>GA</v>
          </cell>
          <cell r="C33">
            <v>67</v>
          </cell>
        </row>
        <row r="34">
          <cell r="A34" t="str">
            <v>GDH</v>
          </cell>
          <cell r="C34">
            <v>111</v>
          </cell>
        </row>
        <row r="35">
          <cell r="A35" t="str">
            <v>GN</v>
          </cell>
          <cell r="C35">
            <v>33</v>
          </cell>
        </row>
        <row r="36">
          <cell r="A36" t="str">
            <v>S</v>
          </cell>
          <cell r="C36">
            <v>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C4" t="str">
            <v>B - Thal Major (%)</v>
          </cell>
          <cell r="D4" t="str">
            <v>B - Thal Non - Carrier  (%)</v>
          </cell>
          <cell r="E4" t="str">
            <v>B - Thal carrier  (%)</v>
          </cell>
        </row>
        <row r="21">
          <cell r="C21">
            <v>0.05</v>
          </cell>
          <cell r="D21">
            <v>58.3</v>
          </cell>
          <cell r="E21">
            <v>14.9</v>
          </cell>
          <cell r="F21"/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 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2"/>
    </sheetNames>
    <sheetDataSet>
      <sheetData sheetId="0">
        <row r="4">
          <cell r="C4" t="str">
            <v>Under 16</v>
          </cell>
          <cell r="D4" t="str">
            <v>16 - 24</v>
          </cell>
          <cell r="E4" t="str">
            <v>25 - 39</v>
          </cell>
          <cell r="F4" t="str">
            <v>40+</v>
          </cell>
        </row>
        <row r="21">
          <cell r="C21">
            <v>4</v>
          </cell>
          <cell r="D21">
            <v>229</v>
          </cell>
          <cell r="E21">
            <v>308</v>
          </cell>
          <cell r="F21">
            <v>86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7"/>
      <sheetName val="6.10"/>
      <sheetName val="6.11"/>
      <sheetName val="6.14"/>
      <sheetName val="6.15"/>
      <sheetName val="6.16"/>
      <sheetName val="6.17"/>
      <sheetName val="6.18"/>
      <sheetName val="6.20"/>
      <sheetName val="6.21"/>
    </sheetNames>
    <sheetDataSet>
      <sheetData sheetId="0">
        <row r="27">
          <cell r="AA27">
            <v>2009</v>
          </cell>
          <cell r="AB27">
            <v>99</v>
          </cell>
        </row>
        <row r="28">
          <cell r="AA28">
            <v>2010</v>
          </cell>
          <cell r="AB28">
            <v>100</v>
          </cell>
        </row>
        <row r="29">
          <cell r="AA29">
            <v>2011</v>
          </cell>
          <cell r="AB29">
            <v>88</v>
          </cell>
        </row>
        <row r="30">
          <cell r="AA30">
            <v>2012</v>
          </cell>
          <cell r="AB30">
            <v>110</v>
          </cell>
        </row>
        <row r="31">
          <cell r="AA31">
            <v>2013</v>
          </cell>
          <cell r="AB31">
            <v>110</v>
          </cell>
        </row>
        <row r="32">
          <cell r="AA32">
            <v>2014</v>
          </cell>
          <cell r="AB32">
            <v>131</v>
          </cell>
        </row>
        <row r="33">
          <cell r="AA33">
            <v>2015</v>
          </cell>
          <cell r="AB33">
            <v>153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.15"/>
    </sheetNames>
    <sheetDataSet>
      <sheetData sheetId="0">
        <row r="4">
          <cell r="B4" t="str">
            <v xml:space="preserve">Acute Respiratory Infection </v>
          </cell>
          <cell r="D4" t="str">
            <v>Viral Fever</v>
          </cell>
          <cell r="F4" t="str">
            <v xml:space="preserve">Diarrhoea </v>
          </cell>
        </row>
        <row r="5">
          <cell r="B5" t="str">
            <v>Under 5 years</v>
          </cell>
          <cell r="C5" t="str">
            <v>Above 5 years</v>
          </cell>
          <cell r="D5" t="str">
            <v>Under 5 years</v>
          </cell>
          <cell r="E5" t="str">
            <v>Above 5 years</v>
          </cell>
          <cell r="F5" t="str">
            <v>Under 5 years</v>
          </cell>
          <cell r="G5" t="str">
            <v>Above 5 years</v>
          </cell>
        </row>
        <row r="7">
          <cell r="A7" t="str">
            <v xml:space="preserve">Male' </v>
          </cell>
          <cell r="B7">
            <v>21902</v>
          </cell>
          <cell r="C7">
            <v>79985</v>
          </cell>
          <cell r="D7">
            <v>7806</v>
          </cell>
          <cell r="E7">
            <v>20744</v>
          </cell>
          <cell r="F7">
            <v>3692</v>
          </cell>
          <cell r="G7">
            <v>11873</v>
          </cell>
        </row>
        <row r="8">
          <cell r="A8" t="str">
            <v xml:space="preserve">Atoll </v>
          </cell>
          <cell r="B8">
            <v>54195</v>
          </cell>
          <cell r="C8">
            <v>76449</v>
          </cell>
          <cell r="D8">
            <v>17687</v>
          </cell>
          <cell r="E8">
            <v>28253</v>
          </cell>
          <cell r="F8">
            <v>4538</v>
          </cell>
          <cell r="G8">
            <v>9879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"/>
  <sheetViews>
    <sheetView tabSelected="1" topLeftCell="A13" zoomScaleNormal="100" workbookViewId="0">
      <selection activeCell="Q54" sqref="Q54"/>
    </sheetView>
  </sheetViews>
  <sheetFormatPr defaultColWidth="9.140625" defaultRowHeight="12.75" x14ac:dyDescent="0.25"/>
  <cols>
    <col min="1" max="1" width="32.5703125" style="1" customWidth="1"/>
    <col min="2" max="2" width="9.7109375" style="27" customWidth="1"/>
    <col min="3" max="7" width="9.7109375" style="1" customWidth="1"/>
    <col min="8" max="16384" width="9.140625" style="1"/>
  </cols>
  <sheetData>
    <row r="1" spans="1:29" ht="21" x14ac:dyDescent="0.25">
      <c r="A1" s="29" t="s">
        <v>13</v>
      </c>
      <c r="B1" s="29"/>
      <c r="C1" s="29"/>
      <c r="D1" s="29"/>
      <c r="E1" s="29"/>
      <c r="F1" s="29"/>
      <c r="G1" s="29"/>
    </row>
    <row r="2" spans="1:29" s="2" customFormat="1" ht="15" x14ac:dyDescent="0.25">
      <c r="A2" s="30" t="s">
        <v>12</v>
      </c>
      <c r="B2" s="30"/>
      <c r="C2" s="30"/>
      <c r="D2" s="30"/>
      <c r="E2" s="30"/>
      <c r="F2" s="30"/>
      <c r="G2" s="30"/>
    </row>
    <row r="3" spans="1:29" x14ac:dyDescent="0.25">
      <c r="A3" s="3" t="s">
        <v>1</v>
      </c>
      <c r="B3" s="4" t="s">
        <v>0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1:29" hidden="1" x14ac:dyDescent="0.25">
      <c r="B4" s="28">
        <v>2009</v>
      </c>
      <c r="C4" s="28"/>
      <c r="D4" s="28"/>
      <c r="E4" s="28"/>
      <c r="F4" s="28"/>
      <c r="G4" s="28"/>
    </row>
    <row r="5" spans="1:29" hidden="1" x14ac:dyDescent="0.25">
      <c r="A5" s="5" t="s">
        <v>7</v>
      </c>
      <c r="B5" s="6">
        <f>C5+D5+E5+F5+G5</f>
        <v>154</v>
      </c>
      <c r="C5" s="5">
        <v>5</v>
      </c>
      <c r="D5" s="5">
        <v>20</v>
      </c>
      <c r="E5" s="5">
        <v>50</v>
      </c>
      <c r="F5" s="5">
        <v>44</v>
      </c>
      <c r="G5" s="5">
        <v>35</v>
      </c>
    </row>
    <row r="6" spans="1:29" hidden="1" x14ac:dyDescent="0.25">
      <c r="A6" s="5" t="s">
        <v>8</v>
      </c>
      <c r="B6" s="6">
        <f>C6+D6+E6+F6+G6</f>
        <v>113</v>
      </c>
      <c r="C6" s="5">
        <v>2</v>
      </c>
      <c r="D6" s="5">
        <v>29</v>
      </c>
      <c r="E6" s="5">
        <v>25</v>
      </c>
      <c r="F6" s="5">
        <v>11</v>
      </c>
      <c r="G6" s="5">
        <v>46</v>
      </c>
    </row>
    <row r="7" spans="1:29" hidden="1" x14ac:dyDescent="0.25">
      <c r="A7" s="7" t="s">
        <v>9</v>
      </c>
      <c r="B7" s="8">
        <f>C7+D7+E7+F7+G7</f>
        <v>99</v>
      </c>
      <c r="C7" s="9">
        <v>3</v>
      </c>
      <c r="D7" s="9">
        <v>30</v>
      </c>
      <c r="E7" s="9">
        <v>17</v>
      </c>
      <c r="F7" s="9">
        <v>35</v>
      </c>
      <c r="G7" s="9">
        <v>14</v>
      </c>
    </row>
    <row r="8" spans="1:29" hidden="1" x14ac:dyDescent="0.25">
      <c r="A8" s="10"/>
      <c r="B8" s="28">
        <v>2010</v>
      </c>
      <c r="C8" s="28"/>
      <c r="D8" s="28"/>
      <c r="E8" s="28"/>
      <c r="F8" s="28"/>
      <c r="G8" s="28"/>
    </row>
    <row r="9" spans="1:29" hidden="1" x14ac:dyDescent="0.25">
      <c r="A9" s="5" t="s">
        <v>7</v>
      </c>
      <c r="B9" s="6">
        <v>130</v>
      </c>
      <c r="C9" s="5">
        <v>12</v>
      </c>
      <c r="D9" s="5">
        <v>30</v>
      </c>
      <c r="E9" s="5">
        <v>18</v>
      </c>
      <c r="F9" s="5">
        <v>28</v>
      </c>
      <c r="G9" s="5">
        <v>42</v>
      </c>
    </row>
    <row r="10" spans="1:29" hidden="1" x14ac:dyDescent="0.25">
      <c r="A10" s="5" t="s">
        <v>8</v>
      </c>
      <c r="B10" s="6">
        <f>C10+D10+E10+F10+G10</f>
        <v>105</v>
      </c>
      <c r="C10" s="5">
        <v>10</v>
      </c>
      <c r="D10" s="5">
        <v>30</v>
      </c>
      <c r="E10" s="5">
        <v>15</v>
      </c>
      <c r="F10" s="5">
        <v>35</v>
      </c>
      <c r="G10" s="5">
        <v>15</v>
      </c>
    </row>
    <row r="11" spans="1:29" hidden="1" x14ac:dyDescent="0.25">
      <c r="A11" s="7" t="s">
        <v>9</v>
      </c>
      <c r="B11" s="11">
        <f>C11+D11+E11+F11+G11</f>
        <v>100</v>
      </c>
      <c r="C11" s="9">
        <v>9</v>
      </c>
      <c r="D11" s="9">
        <v>18</v>
      </c>
      <c r="E11" s="9">
        <v>20</v>
      </c>
      <c r="F11" s="9">
        <v>13</v>
      </c>
      <c r="G11" s="9">
        <v>40</v>
      </c>
    </row>
    <row r="12" spans="1:29" x14ac:dyDescent="0.25">
      <c r="A12" s="12"/>
      <c r="B12" s="28">
        <v>2011</v>
      </c>
      <c r="C12" s="28"/>
      <c r="D12" s="28"/>
      <c r="E12" s="28"/>
      <c r="F12" s="28"/>
      <c r="G12" s="28"/>
    </row>
    <row r="13" spans="1:29" x14ac:dyDescent="0.2">
      <c r="A13" s="5" t="s">
        <v>7</v>
      </c>
      <c r="B13" s="13">
        <f>C13+D13+E13+F13+G13</f>
        <v>126</v>
      </c>
      <c r="C13" s="14">
        <v>6</v>
      </c>
      <c r="D13" s="14">
        <v>18</v>
      </c>
      <c r="E13" s="14">
        <v>28</v>
      </c>
      <c r="F13" s="14">
        <v>24</v>
      </c>
      <c r="G13" s="14">
        <v>50</v>
      </c>
    </row>
    <row r="14" spans="1:29" x14ac:dyDescent="0.2">
      <c r="A14" s="5" t="s">
        <v>8</v>
      </c>
      <c r="B14" s="13">
        <v>73</v>
      </c>
      <c r="C14" s="14">
        <v>5</v>
      </c>
      <c r="D14" s="14">
        <v>24</v>
      </c>
      <c r="E14" s="14">
        <v>10</v>
      </c>
      <c r="F14" s="14">
        <v>9</v>
      </c>
      <c r="G14" s="14">
        <v>25</v>
      </c>
      <c r="AB14" s="15">
        <v>2009</v>
      </c>
      <c r="AC14" s="15">
        <f>B7</f>
        <v>99</v>
      </c>
    </row>
    <row r="15" spans="1:29" x14ac:dyDescent="0.2">
      <c r="A15" s="7" t="s">
        <v>9</v>
      </c>
      <c r="B15" s="8">
        <f>C15+D15+E15+F15+G15</f>
        <v>88</v>
      </c>
      <c r="C15" s="16">
        <v>3</v>
      </c>
      <c r="D15" s="16">
        <v>21</v>
      </c>
      <c r="E15" s="16">
        <v>30</v>
      </c>
      <c r="F15" s="16">
        <v>9</v>
      </c>
      <c r="G15" s="16">
        <v>25</v>
      </c>
      <c r="AB15" s="15">
        <v>2010</v>
      </c>
      <c r="AC15" s="15">
        <f>B11</f>
        <v>100</v>
      </c>
    </row>
    <row r="16" spans="1:29" x14ac:dyDescent="0.25">
      <c r="A16" s="12"/>
      <c r="B16" s="28">
        <v>2012</v>
      </c>
      <c r="C16" s="28"/>
      <c r="D16" s="28"/>
      <c r="E16" s="28"/>
      <c r="F16" s="28"/>
      <c r="G16" s="28"/>
      <c r="AB16" s="15">
        <v>2011</v>
      </c>
      <c r="AC16" s="15">
        <f>B15</f>
        <v>88</v>
      </c>
    </row>
    <row r="17" spans="1:29" x14ac:dyDescent="0.2">
      <c r="A17" s="5" t="s">
        <v>7</v>
      </c>
      <c r="B17" s="13">
        <v>120</v>
      </c>
      <c r="C17" s="14">
        <v>12</v>
      </c>
      <c r="D17" s="14">
        <v>26</v>
      </c>
      <c r="E17" s="14">
        <v>27</v>
      </c>
      <c r="F17" s="14">
        <v>8</v>
      </c>
      <c r="G17" s="14">
        <v>47</v>
      </c>
      <c r="AB17" s="15">
        <v>2012</v>
      </c>
      <c r="AC17" s="15">
        <f>B19</f>
        <v>110</v>
      </c>
    </row>
    <row r="18" spans="1:29" x14ac:dyDescent="0.2">
      <c r="A18" s="5" t="s">
        <v>8</v>
      </c>
      <c r="B18" s="13">
        <v>108</v>
      </c>
      <c r="C18" s="14">
        <v>7</v>
      </c>
      <c r="D18" s="14">
        <v>12</v>
      </c>
      <c r="E18" s="14">
        <v>20</v>
      </c>
      <c r="F18" s="14">
        <v>19</v>
      </c>
      <c r="G18" s="14">
        <v>50</v>
      </c>
      <c r="AB18" s="15">
        <v>2013</v>
      </c>
      <c r="AC18" s="15">
        <f>B23</f>
        <v>110</v>
      </c>
    </row>
    <row r="19" spans="1:29" x14ac:dyDescent="0.2">
      <c r="A19" s="7" t="s">
        <v>9</v>
      </c>
      <c r="B19" s="17">
        <v>110</v>
      </c>
      <c r="C19" s="18">
        <v>10</v>
      </c>
      <c r="D19" s="18">
        <v>22</v>
      </c>
      <c r="E19" s="18">
        <v>23</v>
      </c>
      <c r="F19" s="18">
        <v>15</v>
      </c>
      <c r="G19" s="18">
        <v>40</v>
      </c>
      <c r="AB19" s="15">
        <v>2014</v>
      </c>
      <c r="AC19" s="15">
        <f>B27</f>
        <v>131</v>
      </c>
    </row>
    <row r="20" spans="1:29" x14ac:dyDescent="0.25">
      <c r="A20" s="12"/>
      <c r="B20" s="28">
        <v>2013</v>
      </c>
      <c r="C20" s="28"/>
      <c r="D20" s="28"/>
      <c r="E20" s="28"/>
      <c r="F20" s="28"/>
      <c r="G20" s="28"/>
      <c r="AB20" s="15">
        <v>2015</v>
      </c>
      <c r="AC20" s="15">
        <f>B31</f>
        <v>153</v>
      </c>
    </row>
    <row r="21" spans="1:29" x14ac:dyDescent="0.2">
      <c r="A21" s="5" t="s">
        <v>7</v>
      </c>
      <c r="B21" s="13">
        <v>165</v>
      </c>
      <c r="C21" s="14">
        <v>15</v>
      </c>
      <c r="D21" s="14">
        <v>44</v>
      </c>
      <c r="E21" s="14">
        <v>40</v>
      </c>
      <c r="F21" s="14">
        <v>13</v>
      </c>
      <c r="G21" s="14">
        <v>53</v>
      </c>
      <c r="AB21" s="15">
        <v>2016</v>
      </c>
      <c r="AC21" s="15">
        <f>B35</f>
        <v>163</v>
      </c>
    </row>
    <row r="22" spans="1:29" x14ac:dyDescent="0.2">
      <c r="A22" s="5" t="s">
        <v>8</v>
      </c>
      <c r="B22" s="13">
        <v>99</v>
      </c>
      <c r="C22" s="14">
        <v>7</v>
      </c>
      <c r="D22" s="14">
        <v>24</v>
      </c>
      <c r="E22" s="14">
        <v>25</v>
      </c>
      <c r="F22" s="14">
        <v>9</v>
      </c>
      <c r="G22" s="14">
        <v>34</v>
      </c>
      <c r="AB22" s="15">
        <v>2017</v>
      </c>
      <c r="AC22" s="1">
        <f>B39</f>
        <v>136</v>
      </c>
    </row>
    <row r="23" spans="1:29" x14ac:dyDescent="0.2">
      <c r="A23" s="7" t="s">
        <v>9</v>
      </c>
      <c r="B23" s="17">
        <v>110</v>
      </c>
      <c r="C23" s="18">
        <v>9</v>
      </c>
      <c r="D23" s="18">
        <v>31</v>
      </c>
      <c r="E23" s="18">
        <v>26</v>
      </c>
      <c r="F23" s="18">
        <v>7</v>
      </c>
      <c r="G23" s="18">
        <v>37</v>
      </c>
      <c r="AB23" s="15">
        <v>2018</v>
      </c>
      <c r="AC23" s="1">
        <f>B43</f>
        <v>138</v>
      </c>
    </row>
    <row r="24" spans="1:29" x14ac:dyDescent="0.25">
      <c r="A24" s="12"/>
      <c r="B24" s="28">
        <v>2014</v>
      </c>
      <c r="C24" s="28"/>
      <c r="D24" s="28"/>
      <c r="E24" s="28"/>
      <c r="F24" s="28"/>
      <c r="G24" s="28"/>
    </row>
    <row r="25" spans="1:29" x14ac:dyDescent="0.2">
      <c r="A25" s="5" t="s">
        <v>7</v>
      </c>
      <c r="B25" s="13">
        <v>127</v>
      </c>
      <c r="C25" s="14">
        <v>9</v>
      </c>
      <c r="D25" s="14">
        <v>14</v>
      </c>
      <c r="E25" s="14">
        <v>12</v>
      </c>
      <c r="F25" s="14">
        <v>24</v>
      </c>
      <c r="G25" s="14">
        <v>68</v>
      </c>
    </row>
    <row r="26" spans="1:29" x14ac:dyDescent="0.2">
      <c r="A26" s="5" t="s">
        <v>8</v>
      </c>
      <c r="B26" s="13">
        <v>104</v>
      </c>
      <c r="C26" s="14">
        <v>4</v>
      </c>
      <c r="D26" s="14">
        <v>12</v>
      </c>
      <c r="E26" s="14">
        <v>15</v>
      </c>
      <c r="F26" s="14">
        <v>35</v>
      </c>
      <c r="G26" s="14">
        <v>38</v>
      </c>
    </row>
    <row r="27" spans="1:29" x14ac:dyDescent="0.2">
      <c r="A27" s="7" t="s">
        <v>9</v>
      </c>
      <c r="B27" s="17">
        <v>131</v>
      </c>
      <c r="C27" s="18">
        <v>14</v>
      </c>
      <c r="D27" s="18">
        <v>19</v>
      </c>
      <c r="E27" s="18">
        <v>25</v>
      </c>
      <c r="F27" s="18">
        <v>8</v>
      </c>
      <c r="G27" s="18">
        <v>65</v>
      </c>
    </row>
    <row r="28" spans="1:29" x14ac:dyDescent="0.25">
      <c r="A28" s="12"/>
      <c r="B28" s="28">
        <v>2015</v>
      </c>
      <c r="C28" s="28"/>
      <c r="D28" s="28"/>
      <c r="E28" s="28"/>
      <c r="F28" s="28"/>
      <c r="G28" s="28"/>
    </row>
    <row r="29" spans="1:29" x14ac:dyDescent="0.2">
      <c r="A29" s="5" t="s">
        <v>7</v>
      </c>
      <c r="B29" s="13">
        <v>137</v>
      </c>
      <c r="C29" s="14">
        <v>9</v>
      </c>
      <c r="D29" s="14">
        <v>11</v>
      </c>
      <c r="E29" s="14">
        <v>20</v>
      </c>
      <c r="F29" s="14">
        <v>44</v>
      </c>
      <c r="G29" s="14">
        <v>53</v>
      </c>
    </row>
    <row r="30" spans="1:29" x14ac:dyDescent="0.2">
      <c r="A30" s="5" t="s">
        <v>8</v>
      </c>
      <c r="B30" s="13">
        <v>142</v>
      </c>
      <c r="C30" s="14">
        <v>10</v>
      </c>
      <c r="D30" s="14">
        <v>8</v>
      </c>
      <c r="E30" s="14">
        <v>27</v>
      </c>
      <c r="F30" s="14">
        <v>40</v>
      </c>
      <c r="G30" s="14">
        <v>57</v>
      </c>
    </row>
    <row r="31" spans="1:29" x14ac:dyDescent="0.2">
      <c r="A31" s="7" t="s">
        <v>9</v>
      </c>
      <c r="B31" s="17">
        <v>153</v>
      </c>
      <c r="C31" s="18">
        <v>10</v>
      </c>
      <c r="D31" s="18">
        <v>25</v>
      </c>
      <c r="E31" s="18">
        <v>33</v>
      </c>
      <c r="F31" s="18">
        <v>28</v>
      </c>
      <c r="G31" s="18">
        <v>57</v>
      </c>
    </row>
    <row r="32" spans="1:29" x14ac:dyDescent="0.25">
      <c r="A32" s="12"/>
      <c r="B32" s="28">
        <v>2016</v>
      </c>
      <c r="C32" s="28"/>
      <c r="D32" s="28"/>
      <c r="E32" s="28"/>
      <c r="F32" s="28"/>
      <c r="G32" s="28"/>
    </row>
    <row r="33" spans="1:7" x14ac:dyDescent="0.2">
      <c r="A33" s="5" t="s">
        <v>7</v>
      </c>
      <c r="B33" s="13">
        <v>239</v>
      </c>
      <c r="C33" s="14">
        <v>13</v>
      </c>
      <c r="D33" s="14">
        <v>41</v>
      </c>
      <c r="E33" s="14">
        <v>61</v>
      </c>
      <c r="F33" s="14">
        <v>35</v>
      </c>
      <c r="G33" s="14">
        <v>89</v>
      </c>
    </row>
    <row r="34" spans="1:7" x14ac:dyDescent="0.2">
      <c r="A34" s="5" t="s">
        <v>8</v>
      </c>
      <c r="B34" s="13">
        <v>132</v>
      </c>
      <c r="C34" s="14">
        <v>10</v>
      </c>
      <c r="D34" s="14">
        <v>19</v>
      </c>
      <c r="E34" s="14">
        <v>27</v>
      </c>
      <c r="F34" s="14">
        <v>20</v>
      </c>
      <c r="G34" s="14">
        <v>56</v>
      </c>
    </row>
    <row r="35" spans="1:7" x14ac:dyDescent="0.2">
      <c r="A35" s="7" t="s">
        <v>9</v>
      </c>
      <c r="B35" s="19">
        <v>163</v>
      </c>
      <c r="C35" s="18">
        <v>8</v>
      </c>
      <c r="D35" s="18">
        <v>30</v>
      </c>
      <c r="E35" s="18">
        <v>50</v>
      </c>
      <c r="F35" s="18">
        <v>16</v>
      </c>
      <c r="G35" s="18">
        <v>59</v>
      </c>
    </row>
    <row r="36" spans="1:7" x14ac:dyDescent="0.25">
      <c r="A36" s="12"/>
      <c r="B36" s="28">
        <v>2017</v>
      </c>
      <c r="C36" s="28"/>
      <c r="D36" s="28"/>
      <c r="E36" s="28"/>
      <c r="F36" s="28"/>
      <c r="G36" s="28"/>
    </row>
    <row r="37" spans="1:7" x14ac:dyDescent="0.2">
      <c r="A37" s="5" t="s">
        <v>7</v>
      </c>
      <c r="B37" s="20">
        <f>SUM(C37:G37)</f>
        <v>202</v>
      </c>
      <c r="C37" s="14">
        <v>4</v>
      </c>
      <c r="D37" s="14">
        <v>30</v>
      </c>
      <c r="E37" s="14">
        <v>69</v>
      </c>
      <c r="F37" s="14">
        <v>57</v>
      </c>
      <c r="G37" s="14">
        <v>42</v>
      </c>
    </row>
    <row r="38" spans="1:7" x14ac:dyDescent="0.2">
      <c r="A38" s="5" t="s">
        <v>8</v>
      </c>
      <c r="B38" s="13">
        <f t="shared" ref="B38:B39" si="0">SUM(C38:G38)</f>
        <v>113</v>
      </c>
      <c r="C38" s="14">
        <v>3</v>
      </c>
      <c r="D38" s="14">
        <v>15</v>
      </c>
      <c r="E38" s="14">
        <v>38</v>
      </c>
      <c r="F38" s="14">
        <v>15</v>
      </c>
      <c r="G38" s="14">
        <v>42</v>
      </c>
    </row>
    <row r="39" spans="1:7" x14ac:dyDescent="0.2">
      <c r="A39" s="7" t="s">
        <v>9</v>
      </c>
      <c r="B39" s="19">
        <f t="shared" si="0"/>
        <v>136</v>
      </c>
      <c r="C39" s="18">
        <v>3</v>
      </c>
      <c r="D39" s="18">
        <v>17</v>
      </c>
      <c r="E39" s="18">
        <v>45</v>
      </c>
      <c r="F39" s="18">
        <v>23</v>
      </c>
      <c r="G39" s="18">
        <v>48</v>
      </c>
    </row>
    <row r="40" spans="1:7" x14ac:dyDescent="0.25">
      <c r="A40" s="12"/>
      <c r="B40" s="28">
        <v>2018</v>
      </c>
      <c r="C40" s="28"/>
      <c r="D40" s="28"/>
      <c r="E40" s="28"/>
      <c r="F40" s="28"/>
      <c r="G40" s="28"/>
    </row>
    <row r="41" spans="1:7" x14ac:dyDescent="0.2">
      <c r="A41" s="5" t="s">
        <v>7</v>
      </c>
      <c r="B41" s="20">
        <f>SUM(C41:G41)</f>
        <v>204</v>
      </c>
      <c r="C41" s="21">
        <v>6</v>
      </c>
      <c r="D41" s="21">
        <v>28</v>
      </c>
      <c r="E41" s="21">
        <v>62</v>
      </c>
      <c r="F41" s="21">
        <v>44</v>
      </c>
      <c r="G41" s="21">
        <v>64</v>
      </c>
    </row>
    <row r="42" spans="1:7" x14ac:dyDescent="0.2">
      <c r="A42" s="5" t="s">
        <v>8</v>
      </c>
      <c r="B42" s="13">
        <f t="shared" ref="B42:B43" si="1">SUM(C42:G42)</f>
        <v>112</v>
      </c>
      <c r="C42" s="21">
        <v>3</v>
      </c>
      <c r="D42" s="21">
        <v>13</v>
      </c>
      <c r="E42" s="21">
        <v>34</v>
      </c>
      <c r="F42" s="21">
        <v>17</v>
      </c>
      <c r="G42" s="21">
        <v>45</v>
      </c>
    </row>
    <row r="43" spans="1:7" x14ac:dyDescent="0.2">
      <c r="A43" s="7" t="s">
        <v>9</v>
      </c>
      <c r="B43" s="19">
        <f t="shared" si="1"/>
        <v>138</v>
      </c>
      <c r="C43" s="22">
        <v>5</v>
      </c>
      <c r="D43" s="22">
        <v>20</v>
      </c>
      <c r="E43" s="22">
        <v>37</v>
      </c>
      <c r="F43" s="22">
        <v>33</v>
      </c>
      <c r="G43" s="22">
        <v>43</v>
      </c>
    </row>
    <row r="44" spans="1:7" ht="18.75" x14ac:dyDescent="0.25">
      <c r="A44" s="23" t="s">
        <v>10</v>
      </c>
      <c r="B44" s="24"/>
      <c r="C44" s="25"/>
      <c r="D44" s="25"/>
      <c r="E44" s="25"/>
      <c r="F44" s="25"/>
      <c r="G44" s="26" t="s">
        <v>11</v>
      </c>
    </row>
  </sheetData>
  <mergeCells count="12">
    <mergeCell ref="B40:G40"/>
    <mergeCell ref="A1:G1"/>
    <mergeCell ref="A2:G2"/>
    <mergeCell ref="B4:G4"/>
    <mergeCell ref="B8:G8"/>
    <mergeCell ref="B12:G12"/>
    <mergeCell ref="B16:G16"/>
    <mergeCell ref="B20:G20"/>
    <mergeCell ref="B24:G24"/>
    <mergeCell ref="B28:G28"/>
    <mergeCell ref="B32:G32"/>
    <mergeCell ref="B36:G36"/>
  </mergeCells>
  <pageMargins left="0.7" right="0.7" top="0.75" bottom="0.75" header="0.3" footer="0.3"/>
  <pageSetup paperSize="9" scale="87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6.15</vt:lpstr>
      <vt:lpstr>'6.15'!Print_Area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2019-08-08T04:57:56Z</cp:lastPrinted>
  <dcterms:created xsi:type="dcterms:W3CDTF">2019-08-06T05:35:20Z</dcterms:created>
  <dcterms:modified xsi:type="dcterms:W3CDTF">2019-08-08T04:58:13Z</dcterms:modified>
</cp:coreProperties>
</file>