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Dissemination\Publications\Statistical Year Book\YEARBOOK 2019\web\6. HEALTH\"/>
    </mc:Choice>
  </mc:AlternateContent>
  <bookViews>
    <workbookView xWindow="0" yWindow="0" windowWidth="28800" windowHeight="11730" tabRatio="811"/>
  </bookViews>
  <sheets>
    <sheet name="6.19" sheetId="19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</externalReferences>
  <definedNames>
    <definedName name="_xlnm.Print_Area" localSheetId="0">'6.19'!$A$1:$O$50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3" i="19" l="1"/>
  <c r="C33" i="19"/>
  <c r="B33" i="19"/>
  <c r="K32" i="19"/>
  <c r="K34" i="19" s="1"/>
  <c r="D32" i="19"/>
  <c r="D34" i="19" s="1"/>
  <c r="C32" i="19"/>
  <c r="C34" i="19" s="1"/>
  <c r="F31" i="19"/>
  <c r="E31" i="19"/>
  <c r="F30" i="19"/>
  <c r="E30" i="19"/>
  <c r="F29" i="19"/>
  <c r="E29" i="19"/>
  <c r="F28" i="19"/>
  <c r="E28" i="19"/>
  <c r="F27" i="19"/>
  <c r="E27" i="19"/>
  <c r="F26" i="19"/>
  <c r="E26" i="19"/>
  <c r="F25" i="19"/>
  <c r="E25" i="19"/>
  <c r="F24" i="19"/>
  <c r="E24" i="19"/>
  <c r="F23" i="19"/>
  <c r="E23" i="19"/>
  <c r="F22" i="19"/>
  <c r="E22" i="19"/>
  <c r="F21" i="19"/>
  <c r="E21" i="19"/>
  <c r="F20" i="19"/>
  <c r="E20" i="19"/>
  <c r="F19" i="19"/>
  <c r="E19" i="19"/>
  <c r="F18" i="19"/>
  <c r="E18" i="19"/>
  <c r="F17" i="19"/>
  <c r="E17" i="19"/>
  <c r="F16" i="19"/>
  <c r="E16" i="19"/>
  <c r="F15" i="19"/>
  <c r="E15" i="19"/>
  <c r="F14" i="19"/>
  <c r="E14" i="19"/>
  <c r="F13" i="19"/>
  <c r="E13" i="19"/>
  <c r="B13" i="19"/>
  <c r="B11" i="19" s="1"/>
  <c r="B32" i="19" s="1"/>
  <c r="B34" i="19" s="1"/>
  <c r="F12" i="19"/>
  <c r="E12" i="19"/>
  <c r="B12" i="19"/>
  <c r="N11" i="19"/>
  <c r="N32" i="19" s="1"/>
  <c r="N34" i="19" s="1"/>
  <c r="M11" i="19"/>
  <c r="M32" i="19" s="1"/>
  <c r="M34" i="19" s="1"/>
  <c r="L11" i="19"/>
  <c r="L32" i="19" s="1"/>
  <c r="L34" i="19" s="1"/>
  <c r="K11" i="19"/>
  <c r="K9" i="19" s="1"/>
  <c r="J11" i="19"/>
  <c r="J32" i="19" s="1"/>
  <c r="J34" i="19" s="1"/>
  <c r="I11" i="19"/>
  <c r="I32" i="19" s="1"/>
  <c r="I34" i="19" s="1"/>
  <c r="H11" i="19"/>
  <c r="H32" i="19" s="1"/>
  <c r="H34" i="19" s="1"/>
  <c r="G11" i="19"/>
  <c r="D11" i="19"/>
  <c r="C11" i="19"/>
  <c r="G10" i="19"/>
  <c r="F10" i="19"/>
  <c r="E10" i="19"/>
  <c r="D10" i="19"/>
  <c r="C10" i="19"/>
  <c r="C9" i="19" s="1"/>
  <c r="N9" i="19"/>
  <c r="M9" i="19"/>
  <c r="L9" i="19"/>
  <c r="H9" i="19"/>
  <c r="G9" i="19"/>
  <c r="D9" i="19"/>
  <c r="F11" i="19" l="1"/>
  <c r="I9" i="19"/>
  <c r="G32" i="19"/>
  <c r="G34" i="19" s="1"/>
  <c r="E11" i="19"/>
  <c r="E9" i="19" s="1"/>
  <c r="F32" i="19"/>
  <c r="F34" i="19" s="1"/>
  <c r="F9" i="19"/>
  <c r="B9" i="19"/>
  <c r="J9" i="19"/>
  <c r="E32" i="19" l="1"/>
  <c r="E34" i="19" s="1"/>
</calcChain>
</file>

<file path=xl/sharedStrings.xml><?xml version="1.0" encoding="utf-8"?>
<sst xmlns="http://schemas.openxmlformats.org/spreadsheetml/2006/main" count="111" uniqueCount="104">
  <si>
    <t>elWm</t>
  </si>
  <si>
    <t>cawtuLotwa</t>
  </si>
  <si>
    <t>Republic</t>
  </si>
  <si>
    <t>Male'</t>
  </si>
  <si>
    <t>Atolls</t>
  </si>
  <si>
    <t>ބީ.ސީ.ޖީ</t>
  </si>
  <si>
    <t>ޓެޓްނަސް ޑިޕްތީރިއާ</t>
  </si>
  <si>
    <t>ހެޕަޓައިޓިސް ބީ</t>
  </si>
  <si>
    <t>ޕެންޓަވަލެންޓް ވެކްސިން</t>
  </si>
  <si>
    <t>cnisckev OailOp clwrOa</t>
  </si>
  <si>
    <t xml:space="preserve">އައި ޕީ </t>
  </si>
  <si>
    <t>އަތޮޅު</t>
  </si>
  <si>
    <t>މީސްލްސް، ރުބެއްލާ</t>
  </si>
  <si>
    <t>އެމް އެމް އާރް</t>
  </si>
  <si>
    <t>uzOD (IjIsIb) cnireaug</t>
  </si>
  <si>
    <t>uzOD (Td)</t>
  </si>
  <si>
    <t>uzOD (IvIpOa)</t>
  </si>
  <si>
    <t>Locality</t>
  </si>
  <si>
    <t>csclcsIm</t>
  </si>
  <si>
    <t>Bacillus Calmette–Guérin</t>
  </si>
  <si>
    <t>Tetanus Diptheria</t>
  </si>
  <si>
    <t>Hepatitis B</t>
  </si>
  <si>
    <t>Pentavalent Vaccine</t>
  </si>
  <si>
    <t>Oral Polio Vaccine</t>
  </si>
  <si>
    <t xml:space="preserve">IPV </t>
  </si>
  <si>
    <t xml:space="preserve">Measles Rubella </t>
  </si>
  <si>
    <t>MMR</t>
  </si>
  <si>
    <t>(Td Dozes *</t>
  </si>
  <si>
    <t>(bOPV) Dozes</t>
  </si>
  <si>
    <t>(BCG) Dozes</t>
  </si>
  <si>
    <t>1st</t>
  </si>
  <si>
    <t>2nd</t>
  </si>
  <si>
    <t>3rd</t>
  </si>
  <si>
    <t>ejcaWriLum</t>
  </si>
  <si>
    <t xml:space="preserve"> North Thiladhunmathi (H.A)</t>
  </si>
  <si>
    <t xml:space="preserve"> South Thiladhunmathi (H.Dh)</t>
  </si>
  <si>
    <t xml:space="preserve"> North Miladhunmadulu (Sh)</t>
  </si>
  <si>
    <t xml:space="preserve"> South Miladhunmadulu (N)</t>
  </si>
  <si>
    <t xml:space="preserve"> North Maalhosmadulu (R)</t>
  </si>
  <si>
    <t xml:space="preserve"> South Maalhosmadulu (B)</t>
  </si>
  <si>
    <t xml:space="preserve"> Faadhippolhu (Lh)</t>
  </si>
  <si>
    <t xml:space="preserve"> Male' Atoll (K)</t>
  </si>
  <si>
    <t xml:space="preserve"> North Ari Atoll (AA)</t>
  </si>
  <si>
    <t xml:space="preserve"> South Ari Atoll (ADh)</t>
  </si>
  <si>
    <t xml:space="preserve"> Felidhu Atoll (V)</t>
  </si>
  <si>
    <t xml:space="preserve"> Mulakatholhu (M)</t>
  </si>
  <si>
    <t xml:space="preserve"> North Nilandhe Atoll (F)</t>
  </si>
  <si>
    <t xml:space="preserve"> South Nilandhe Atoll (D)</t>
  </si>
  <si>
    <t xml:space="preserve"> Kolhumadulu (Th)</t>
  </si>
  <si>
    <t xml:space="preserve"> Hadhdhunmathi (L)</t>
  </si>
  <si>
    <t xml:space="preserve"> North Huvadhu Atoll (GA)</t>
  </si>
  <si>
    <t xml:space="preserve"> South Huvadhu Atoll (GDh)</t>
  </si>
  <si>
    <t xml:space="preserve"> Fuvahmulah (Gn)</t>
  </si>
  <si>
    <t xml:space="preserve"> Addu Atoll (S)</t>
  </si>
  <si>
    <t>Children vaccinated</t>
  </si>
  <si>
    <t>cniduk unuvedcnisckev</t>
  </si>
  <si>
    <t>Eligible children</t>
  </si>
  <si>
    <t>cniduk EhejcnEdcnisckev</t>
  </si>
  <si>
    <t>Coverage</t>
  </si>
  <si>
    <t>urwvcnim unuvedcnisckev</t>
  </si>
  <si>
    <t xml:space="preserve">* Td Dose is given to 15 - 49 yrs woman, 1st Pregnancy: Td1, Td2 </t>
  </si>
  <si>
    <t xml:space="preserve">           bOPV - bivalent Oral Polio Vaccine</t>
  </si>
  <si>
    <t>.eveSwnunehcnwa egudemed iaWrwhwa 49 iawWrwhwa 15 Ineved czOD cޑިޕްތީރިއާ cswncTeT</t>
  </si>
  <si>
    <t>Estimated coverage based on data's received from atoll health facilities</t>
  </si>
  <si>
    <t xml:space="preserve">             Td - Tetanus Toxide (Adult)</t>
  </si>
  <si>
    <t>ސިއްޚީ ފަރުވާދޭ ތަންތަނުން ލިބިފައިވާ މަޢުލޫމާތަށް ބިނާކޮށް ހަދާފައިވާ އަންދާޒީއެކެވެ.</t>
  </si>
  <si>
    <r>
      <rPr>
        <b/>
        <i/>
        <sz val="10"/>
        <rFont val="Calibri"/>
        <family val="2"/>
        <scheme val="minor"/>
      </rPr>
      <t>At Birth:</t>
    </r>
    <r>
      <rPr>
        <i/>
        <sz val="10"/>
        <rFont val="Calibri"/>
        <family val="2"/>
        <scheme val="minor"/>
      </rPr>
      <t xml:space="preserve"> BCG, Hepatitis B1,      </t>
    </r>
  </si>
  <si>
    <r>
      <rPr>
        <b/>
        <sz val="10"/>
        <color theme="1"/>
        <rFont val="Faruma"/>
      </rPr>
      <t>މަޢުލޫމާތު ދެއްވީ:</t>
    </r>
    <r>
      <rPr>
        <sz val="10"/>
        <color theme="1"/>
        <rFont val="Faruma"/>
      </rPr>
      <t xml:space="preserve"> ޤައުމީ ވެކްސިން ޕްރޮގްރާމް، ހެލްތް ޕްރޮޓެކްޝަން އޭޖެންސީ </t>
    </r>
  </si>
  <si>
    <r>
      <rPr>
        <b/>
        <i/>
        <sz val="10"/>
        <rFont val="Calibri"/>
        <family val="2"/>
        <scheme val="minor"/>
      </rPr>
      <t>2 months:</t>
    </r>
    <r>
      <rPr>
        <i/>
        <sz val="10"/>
        <rFont val="Calibri"/>
        <family val="2"/>
        <scheme val="minor"/>
      </rPr>
      <t xml:space="preserve"> bOPV1, Pentavalent 1  </t>
    </r>
  </si>
  <si>
    <r>
      <rPr>
        <b/>
        <i/>
        <sz val="10"/>
        <rFont val="Calibri"/>
        <family val="2"/>
        <scheme val="minor"/>
      </rPr>
      <t>4 months:</t>
    </r>
    <r>
      <rPr>
        <i/>
        <sz val="10"/>
        <rFont val="Calibri"/>
        <family val="2"/>
        <scheme val="minor"/>
      </rPr>
      <t xml:space="preserve"> bOPV2, Pentavalent 2</t>
    </r>
  </si>
  <si>
    <r>
      <rPr>
        <b/>
        <i/>
        <sz val="10"/>
        <rFont val="Calibri"/>
        <family val="2"/>
        <scheme val="minor"/>
      </rPr>
      <t xml:space="preserve">6 </t>
    </r>
    <r>
      <rPr>
        <sz val="11"/>
        <color theme="1"/>
        <rFont val="Calibri"/>
        <family val="2"/>
        <scheme val="minor"/>
      </rPr>
      <t>months:</t>
    </r>
    <r>
      <rPr>
        <i/>
        <sz val="10"/>
        <rFont val="Calibri"/>
        <family val="2"/>
        <scheme val="minor"/>
      </rPr>
      <t xml:space="preserve"> bOPV3, Pentavalent 3</t>
    </r>
  </si>
  <si>
    <t>IPV</t>
  </si>
  <si>
    <r>
      <rPr>
        <b/>
        <i/>
        <sz val="10"/>
        <rFont val="Calibri"/>
        <family val="2"/>
        <scheme val="minor"/>
      </rPr>
      <t>9 Months:</t>
    </r>
    <r>
      <rPr>
        <i/>
        <sz val="10"/>
        <rFont val="Calibri"/>
        <family val="2"/>
        <scheme val="minor"/>
      </rPr>
      <t xml:space="preserve"> Measles Rubella, Vitamin A  1</t>
    </r>
  </si>
  <si>
    <r>
      <rPr>
        <b/>
        <i/>
        <sz val="10"/>
        <rFont val="Calibri"/>
        <family val="2"/>
        <scheme val="minor"/>
      </rPr>
      <t>18 Months:</t>
    </r>
    <r>
      <rPr>
        <i/>
        <sz val="10"/>
        <rFont val="Calibri"/>
        <family val="2"/>
        <scheme val="minor"/>
      </rPr>
      <t xml:space="preserve"> Measles-Mumps-Rubella (MMR), Vitamin A 2</t>
    </r>
  </si>
  <si>
    <t>Td Vaccine:</t>
  </si>
  <si>
    <r>
      <rPr>
        <b/>
        <i/>
        <sz val="10"/>
        <rFont val="Calibri"/>
        <family val="2"/>
        <scheme val="minor"/>
      </rPr>
      <t>Childhood vaccine not completed:</t>
    </r>
    <r>
      <rPr>
        <i/>
        <sz val="10"/>
        <rFont val="Calibri"/>
        <family val="2"/>
        <scheme val="minor"/>
      </rPr>
      <t xml:space="preserve"> Td1st dose, Td2nd dose, Td3rd dose, Td4th dose, Td5th dose                                                                                               </t>
    </r>
  </si>
  <si>
    <r>
      <rPr>
        <b/>
        <i/>
        <sz val="10"/>
        <color theme="1"/>
        <rFont val="Times New Roman"/>
        <family val="1"/>
      </rPr>
      <t>Childhood vaccine completed:</t>
    </r>
    <r>
      <rPr>
        <i/>
        <sz val="10"/>
        <color theme="1"/>
        <rFont val="Times New Roman"/>
        <family val="1"/>
      </rPr>
      <t xml:space="preserve"> Td3rd dose, Td4th dose , Td5th dose</t>
    </r>
  </si>
  <si>
    <t>Diptheria Partasis Tatnus (DPT) Dozes: Combined with Pantavalent Vaccine since 2013</t>
  </si>
  <si>
    <t>Hepatitis B: Combined with Pantavalent Vaccine since 2013</t>
  </si>
  <si>
    <t>TT is replaced by Td in 2015</t>
  </si>
  <si>
    <t>Measles vaccine replaced by MR in 2017</t>
  </si>
  <si>
    <r>
      <rPr>
        <b/>
        <sz val="9"/>
        <rFont val="Calibri"/>
        <family val="2"/>
        <scheme val="minor"/>
      </rPr>
      <t xml:space="preserve">Source: </t>
    </r>
    <r>
      <rPr>
        <sz val="9"/>
        <rFont val="Calibri"/>
        <family val="2"/>
        <scheme val="minor"/>
      </rPr>
      <t>Health Protection Agency / National program on Immunization</t>
    </r>
  </si>
  <si>
    <t>Table 6.19: ESTIMATED IMMUNIZATION COVERAGE, 2018</t>
  </si>
  <si>
    <t>2018 ,WzWdcnwa egurwvcnim Wviawfivedcnisckev  :6.19 ulwvWt</t>
  </si>
  <si>
    <t xml:space="preserve">       (ah)  iruburutua Itwmcnudwlit</t>
  </si>
  <si>
    <t>(dh) irubunuked Itwmcnudwlit</t>
  </si>
  <si>
    <t>(S) iruburutua uluDwmcnudwlim</t>
  </si>
  <si>
    <t>(n) irubunuked uluDwmcnudwlim</t>
  </si>
  <si>
    <t>(r) iruburutuauluDwmcsoLWm</t>
  </si>
  <si>
    <t>(b) irubunukeduluDwcsoLWm</t>
  </si>
  <si>
    <t>(L) uLopcaidWf</t>
  </si>
  <si>
    <t>(k) uLotwa elWm</t>
  </si>
  <si>
    <t>(aa) iruburutuauLotwairwa</t>
  </si>
  <si>
    <t>(da) iruburutuauLotwairwa</t>
  </si>
  <si>
    <t>(v) uLotwa udilef</t>
  </si>
  <si>
    <t>(m) uLotwkwlum</t>
  </si>
  <si>
    <t>(f) iruburutua uLotwaedcnwlin</t>
  </si>
  <si>
    <t>(d) irubunuked uLotwaedcnwlin</t>
  </si>
  <si>
    <t>(t) uluDwmuLok</t>
  </si>
  <si>
    <t>(l) itwmcnudcawh</t>
  </si>
  <si>
    <t>(ag) iruburutua uLotwaudwvuh</t>
  </si>
  <si>
    <t xml:space="preserve"> (dg) irubunuked uLotwaudwvuh</t>
  </si>
  <si>
    <t>(N)cawlumcawvuf</t>
  </si>
  <si>
    <t>(s) uLotwauDcawa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</si>
</sst>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(* #,##0.00_);_(* \(#,##0.00\);_(* &quot;-&quot;??_);_(@_)"/>
    <numFmt numFmtId="165" formatCode="General_)"/>
    <numFmt numFmtId="166" formatCode="#,##0.0"/>
    <numFmt numFmtId="167" formatCode="0.0"/>
    <numFmt numFmtId="170" formatCode="0.0%"/>
  </numFmts>
  <fonts count="3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b/>
      <sz val="10"/>
      <name val="Faruma"/>
    </font>
    <font>
      <b/>
      <sz val="1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i/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name val="Faruma"/>
    </font>
    <font>
      <b/>
      <i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A_Randhoo"/>
    </font>
    <font>
      <b/>
      <sz val="9"/>
      <name val="Faruma"/>
    </font>
    <font>
      <sz val="9"/>
      <name val="A_Randhoo"/>
    </font>
    <font>
      <i/>
      <sz val="10"/>
      <name val="Calibri"/>
      <family val="2"/>
      <scheme val="minor"/>
    </font>
    <font>
      <sz val="10"/>
      <color theme="1"/>
      <name val="Faruma"/>
    </font>
    <font>
      <sz val="10"/>
      <name val="Faruma"/>
    </font>
    <font>
      <sz val="10"/>
      <name val="A_Randhoo"/>
    </font>
    <font>
      <sz val="10"/>
      <name val="Arial"/>
      <family val="2"/>
    </font>
    <font>
      <sz val="9"/>
      <name val="A_Faseyha"/>
    </font>
    <font>
      <sz val="10"/>
      <name val="Courier"/>
      <family val="3"/>
    </font>
    <font>
      <sz val="10"/>
      <name val="MS Sans Serif"/>
      <family val="2"/>
    </font>
    <font>
      <b/>
      <sz val="9"/>
      <name val="Calibri"/>
      <family val="2"/>
      <scheme val="minor"/>
    </font>
    <font>
      <b/>
      <sz val="10"/>
      <color theme="1"/>
      <name val="Faruma"/>
    </font>
    <font>
      <b/>
      <sz val="10"/>
      <color theme="1"/>
      <name val="A_Faseyha"/>
    </font>
    <font>
      <b/>
      <sz val="11"/>
      <color theme="1"/>
      <name val="A_Faseyha"/>
    </font>
    <font>
      <b/>
      <sz val="8"/>
      <name val="A_Ilham"/>
    </font>
    <font>
      <b/>
      <sz val="8"/>
      <name val="Faruma"/>
    </font>
    <font>
      <sz val="8"/>
      <name val="A_Huraa"/>
    </font>
    <font>
      <b/>
      <sz val="8"/>
      <name val="A_Huraa"/>
    </font>
    <font>
      <b/>
      <i/>
      <u/>
      <sz val="10"/>
      <name val="Calibri"/>
      <family val="2"/>
      <scheme val="minor"/>
    </font>
    <font>
      <i/>
      <sz val="10"/>
      <color theme="1"/>
      <name val="Times New Roman"/>
      <family val="1"/>
    </font>
    <font>
      <b/>
      <i/>
      <sz val="10"/>
      <color theme="1"/>
      <name val="Times New Roman"/>
      <family val="1"/>
    </font>
    <font>
      <sz val="10"/>
      <color rgb="FFFF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8">
    <border>
      <left/>
      <right/>
      <top/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theme="1" tint="4.9989318521683403E-2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theme="0"/>
      </bottom>
      <diagonal/>
    </border>
    <border>
      <left/>
      <right style="hair">
        <color indexed="64"/>
      </right>
      <top style="thin">
        <color indexed="64"/>
      </top>
      <bottom style="thin">
        <color theme="0"/>
      </bottom>
      <diagonal/>
    </border>
    <border>
      <left style="hair">
        <color indexed="64"/>
      </left>
      <right/>
      <top style="thin">
        <color indexed="64"/>
      </top>
      <bottom style="thin">
        <color theme="0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theme="0"/>
      </top>
      <bottom style="thin">
        <color theme="0"/>
      </bottom>
      <diagonal/>
    </border>
    <border>
      <left/>
      <right style="hair">
        <color indexed="64"/>
      </right>
      <top style="thin">
        <color theme="0"/>
      </top>
      <bottom style="thin">
        <color theme="0"/>
      </bottom>
      <diagonal/>
    </border>
    <border>
      <left style="hair">
        <color indexed="64"/>
      </left>
      <right/>
      <top style="thin">
        <color theme="0"/>
      </top>
      <bottom style="hair">
        <color theme="1" tint="4.9989318521683403E-2"/>
      </bottom>
      <diagonal/>
    </border>
    <border>
      <left/>
      <right/>
      <top style="thin">
        <color theme="0"/>
      </top>
      <bottom style="hair">
        <color theme="1" tint="4.9989318521683403E-2"/>
      </bottom>
      <diagonal/>
    </border>
    <border>
      <left style="hair">
        <color indexed="64"/>
      </left>
      <right/>
      <top/>
      <bottom style="hair">
        <color theme="1" tint="4.9989318521683403E-2"/>
      </bottom>
      <diagonal/>
    </border>
    <border>
      <left/>
      <right style="hair">
        <color indexed="64"/>
      </right>
      <top/>
      <bottom style="hair">
        <color theme="1" tint="4.9989318521683403E-2"/>
      </bottom>
      <diagonal/>
    </border>
    <border>
      <left style="hair">
        <color indexed="64"/>
      </left>
      <right style="hair">
        <color indexed="64"/>
      </right>
      <top style="thin">
        <color theme="0"/>
      </top>
      <bottom/>
      <diagonal/>
    </border>
    <border>
      <left style="hair">
        <color indexed="64"/>
      </left>
      <right/>
      <top style="hair">
        <color theme="1" tint="4.9989318521683403E-2"/>
      </top>
      <bottom style="thin">
        <color theme="0"/>
      </bottom>
      <diagonal/>
    </border>
    <border>
      <left/>
      <right/>
      <top style="hair">
        <color theme="1" tint="4.9989318521683403E-2"/>
      </top>
      <bottom style="thin">
        <color theme="0"/>
      </bottom>
      <diagonal/>
    </border>
    <border>
      <left style="hair">
        <color theme="1" tint="4.9989318521683403E-2"/>
      </left>
      <right/>
      <top style="hair">
        <color theme="1" tint="4.9989318521683403E-2"/>
      </top>
      <bottom/>
      <diagonal/>
    </border>
    <border>
      <left style="hair">
        <color indexed="64"/>
      </left>
      <right/>
      <top style="hair">
        <color theme="1" tint="4.9989318521683403E-2"/>
      </top>
      <bottom/>
      <diagonal/>
    </border>
    <border>
      <left/>
      <right/>
      <top style="hair">
        <color theme="1" tint="4.9989318521683403E-2"/>
      </top>
      <bottom/>
      <diagonal/>
    </border>
    <border>
      <left/>
      <right style="hair">
        <color indexed="64"/>
      </right>
      <top style="hair">
        <color theme="1" tint="4.9989318521683403E-2"/>
      </top>
      <bottom/>
      <diagonal/>
    </border>
    <border>
      <left style="hair">
        <color indexed="64"/>
      </left>
      <right style="hair">
        <color indexed="64"/>
      </right>
      <top/>
      <bottom style="thin">
        <color theme="0"/>
      </bottom>
      <diagonal/>
    </border>
    <border>
      <left style="hair">
        <color indexed="64"/>
      </left>
      <right/>
      <top style="thin">
        <color theme="0"/>
      </top>
      <bottom style="hair">
        <color indexed="64"/>
      </bottom>
      <diagonal/>
    </border>
    <border>
      <left/>
      <right/>
      <top style="thin">
        <color theme="0"/>
      </top>
      <bottom style="hair">
        <color indexed="64"/>
      </bottom>
      <diagonal/>
    </border>
    <border>
      <left style="hair">
        <color theme="1" tint="4.9989318521683403E-2"/>
      </left>
      <right/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theme="0"/>
      </top>
      <bottom style="thin">
        <color indexed="64"/>
      </bottom>
      <diagonal/>
    </border>
    <border>
      <left/>
      <right style="hair">
        <color indexed="64"/>
      </right>
      <top style="thin">
        <color theme="0"/>
      </top>
      <bottom style="thin">
        <color indexed="64"/>
      </bottom>
      <diagonal/>
    </border>
    <border>
      <left style="hair">
        <color indexed="64"/>
      </left>
      <right style="thin">
        <color theme="0"/>
      </right>
      <top style="hair">
        <color indexed="64"/>
      </top>
      <bottom style="thin">
        <color indexed="64"/>
      </bottom>
      <diagonal/>
    </border>
    <border>
      <left style="thin">
        <color theme="0"/>
      </left>
      <right/>
      <top style="hair">
        <color indexed="64"/>
      </top>
      <bottom style="thin">
        <color indexed="64"/>
      </bottom>
      <diagonal/>
    </border>
    <border>
      <left style="hair">
        <color theme="1" tint="4.9989318521683403E-2"/>
      </left>
      <right style="hair">
        <color theme="1" tint="4.9989318521683403E-2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theme="0"/>
      </right>
      <top style="hair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theme="0"/>
      </top>
      <bottom style="thin">
        <color theme="0"/>
      </bottom>
      <diagonal/>
    </border>
  </borders>
  <cellStyleXfs count="12">
    <xf numFmtId="0" fontId="0" fillId="0" borderId="0"/>
    <xf numFmtId="43" fontId="1" fillId="0" borderId="0" applyFont="0" applyFill="0" applyBorder="0" applyAlignment="0" applyProtection="0"/>
    <xf numFmtId="0" fontId="1" fillId="0" borderId="0"/>
    <xf numFmtId="0" fontId="20" fillId="0" borderId="0"/>
    <xf numFmtId="165" fontId="22" fillId="0" borderId="0"/>
    <xf numFmtId="165" fontId="22" fillId="0" borderId="0"/>
    <xf numFmtId="165" fontId="22" fillId="0" borderId="0"/>
    <xf numFmtId="40" fontId="23" fillId="0" borderId="0" applyFont="0" applyFill="0" applyBorder="0" applyAlignment="0" applyProtection="0"/>
    <xf numFmtId="165" fontId="22" fillId="0" borderId="0"/>
    <xf numFmtId="9" fontId="1" fillId="0" borderId="0" applyFont="0" applyFill="0" applyBorder="0" applyAlignment="0" applyProtection="0"/>
    <xf numFmtId="0" fontId="1" fillId="0" borderId="0"/>
    <xf numFmtId="0" fontId="20" fillId="0" borderId="0"/>
  </cellStyleXfs>
  <cellXfs count="106">
    <xf numFmtId="0" fontId="0" fillId="0" borderId="0" xfId="0"/>
    <xf numFmtId="165" fontId="17" fillId="2" borderId="0" xfId="2" applyNumberFormat="1" applyFont="1" applyFill="1" applyBorder="1" applyAlignment="1">
      <alignment vertical="center"/>
    </xf>
    <xf numFmtId="3" fontId="5" fillId="2" borderId="0" xfId="3" applyNumberFormat="1" applyFont="1" applyFill="1" applyBorder="1" applyAlignment="1" applyProtection="1">
      <alignment vertical="center"/>
    </xf>
    <xf numFmtId="3" fontId="20" fillId="2" borderId="0" xfId="3" applyNumberFormat="1" applyFont="1" applyFill="1" applyBorder="1" applyAlignment="1">
      <alignment vertical="center"/>
    </xf>
    <xf numFmtId="3" fontId="26" fillId="2" borderId="0" xfId="3" applyNumberFormat="1" applyFont="1" applyFill="1" applyBorder="1" applyAlignment="1">
      <alignment vertical="center"/>
    </xf>
    <xf numFmtId="3" fontId="28" fillId="2" borderId="12" xfId="3" applyNumberFormat="1" applyFont="1" applyFill="1" applyBorder="1" applyAlignment="1" applyProtection="1">
      <alignment horizontal="left" vertical="center"/>
    </xf>
    <xf numFmtId="3" fontId="28" fillId="2" borderId="13" xfId="3" applyNumberFormat="1" applyFont="1" applyFill="1" applyBorder="1" applyAlignment="1">
      <alignment horizontal="right" vertical="center" wrapText="1"/>
    </xf>
    <xf numFmtId="3" fontId="28" fillId="2" borderId="14" xfId="3" applyNumberFormat="1" applyFont="1" applyFill="1" applyBorder="1" applyAlignment="1">
      <alignment horizontal="center" vertical="center"/>
    </xf>
    <xf numFmtId="3" fontId="29" fillId="2" borderId="12" xfId="3" applyNumberFormat="1" applyFont="1" applyFill="1" applyBorder="1" applyAlignment="1">
      <alignment horizontal="center" vertical="center"/>
    </xf>
    <xf numFmtId="3" fontId="28" fillId="2" borderId="2" xfId="3" applyNumberFormat="1" applyFont="1" applyFill="1" applyBorder="1" applyAlignment="1">
      <alignment vertical="center"/>
    </xf>
    <xf numFmtId="3" fontId="30" fillId="2" borderId="1" xfId="3" applyNumberFormat="1" applyFont="1" applyFill="1" applyBorder="1" applyAlignment="1">
      <alignment vertical="center"/>
    </xf>
    <xf numFmtId="3" fontId="29" fillId="2" borderId="17" xfId="3" applyNumberFormat="1" applyFont="1" applyFill="1" applyBorder="1" applyAlignment="1">
      <alignment horizontal="center" vertical="center"/>
    </xf>
    <xf numFmtId="3" fontId="31" fillId="2" borderId="18" xfId="3" applyNumberFormat="1" applyFont="1" applyFill="1" applyBorder="1" applyAlignment="1">
      <alignment horizontal="center" vertical="center"/>
    </xf>
    <xf numFmtId="3" fontId="31" fillId="2" borderId="20" xfId="3" applyNumberFormat="1" applyFont="1" applyFill="1" applyBorder="1" applyAlignment="1">
      <alignment vertical="center"/>
    </xf>
    <xf numFmtId="3" fontId="31" fillId="2" borderId="2" xfId="3" applyNumberFormat="1" applyFont="1" applyFill="1" applyBorder="1" applyAlignment="1">
      <alignment vertical="center"/>
    </xf>
    <xf numFmtId="3" fontId="5" fillId="2" borderId="1" xfId="3" applyNumberFormat="1" applyFont="1" applyFill="1" applyBorder="1" applyAlignment="1" applyProtection="1">
      <alignment horizontal="left" vertical="center"/>
    </xf>
    <xf numFmtId="3" fontId="31" fillId="2" borderId="17" xfId="3" applyNumberFormat="1" applyFont="1" applyFill="1" applyBorder="1" applyAlignment="1">
      <alignment horizontal="right" vertical="center"/>
    </xf>
    <xf numFmtId="3" fontId="5" fillId="2" borderId="17" xfId="3" applyNumberFormat="1" applyFont="1" applyFill="1" applyBorder="1" applyAlignment="1" applyProtection="1">
      <alignment horizontal="right" vertical="center"/>
    </xf>
    <xf numFmtId="3" fontId="5" fillId="2" borderId="2" xfId="3" applyNumberFormat="1" applyFont="1" applyFill="1" applyBorder="1" applyAlignment="1">
      <alignment vertical="center"/>
    </xf>
    <xf numFmtId="3" fontId="5" fillId="2" borderId="3" xfId="3" applyNumberFormat="1" applyFont="1" applyFill="1" applyBorder="1" applyAlignment="1">
      <alignment vertical="center"/>
    </xf>
    <xf numFmtId="3" fontId="5" fillId="2" borderId="35" xfId="3" applyNumberFormat="1" applyFont="1" applyFill="1" applyBorder="1" applyAlignment="1" applyProtection="1">
      <alignment horizontal="right" vertical="center"/>
    </xf>
    <xf numFmtId="3" fontId="5" fillId="2" borderId="36" xfId="3" applyNumberFormat="1" applyFont="1" applyFill="1" applyBorder="1" applyAlignment="1" applyProtection="1">
      <alignment horizontal="center" vertical="center"/>
    </xf>
    <xf numFmtId="3" fontId="5" fillId="2" borderId="37" xfId="3" applyNumberFormat="1" applyFont="1" applyFill="1" applyBorder="1" applyAlignment="1" applyProtection="1">
      <alignment horizontal="right" vertical="center"/>
    </xf>
    <xf numFmtId="3" fontId="5" fillId="2" borderId="38" xfId="3" applyNumberFormat="1" applyFont="1" applyFill="1" applyBorder="1" applyAlignment="1" applyProtection="1">
      <alignment horizontal="right" vertical="center"/>
    </xf>
    <xf numFmtId="3" fontId="5" fillId="2" borderId="39" xfId="3" applyNumberFormat="1" applyFont="1" applyFill="1" applyBorder="1" applyAlignment="1" applyProtection="1">
      <alignment horizontal="center" vertical="center"/>
    </xf>
    <xf numFmtId="3" fontId="12" fillId="2" borderId="5" xfId="3" applyNumberFormat="1" applyFont="1" applyFill="1" applyBorder="1" applyAlignment="1" applyProtection="1">
      <alignment horizontal="center" vertical="center" wrapText="1"/>
    </xf>
    <xf numFmtId="3" fontId="12" fillId="2" borderId="40" xfId="3" applyNumberFormat="1" applyFont="1" applyFill="1" applyBorder="1" applyAlignment="1" applyProtection="1">
      <alignment horizontal="center" vertical="center" wrapText="1"/>
    </xf>
    <xf numFmtId="3" fontId="5" fillId="2" borderId="41" xfId="3" applyNumberFormat="1" applyFont="1" applyFill="1" applyBorder="1" applyAlignment="1" applyProtection="1">
      <alignment horizontal="right" vertical="center"/>
    </xf>
    <xf numFmtId="3" fontId="5" fillId="2" borderId="42" xfId="3" applyNumberFormat="1" applyFont="1" applyFill="1" applyBorder="1" applyAlignment="1" applyProtection="1">
      <alignment horizontal="right" vertical="center"/>
    </xf>
    <xf numFmtId="3" fontId="5" fillId="2" borderId="42" xfId="3" applyNumberFormat="1" applyFont="1" applyFill="1" applyBorder="1" applyAlignment="1" applyProtection="1">
      <alignment horizontal="right" vertical="center" wrapText="1"/>
    </xf>
    <xf numFmtId="3" fontId="5" fillId="2" borderId="0" xfId="3" applyNumberFormat="1" applyFont="1" applyFill="1" applyBorder="1" applyAlignment="1" applyProtection="1">
      <alignment horizontal="left" vertical="center"/>
    </xf>
    <xf numFmtId="3" fontId="5" fillId="2" borderId="43" xfId="3" applyNumberFormat="1" applyFont="1" applyFill="1" applyBorder="1" applyAlignment="1" applyProtection="1">
      <alignment horizontal="center" vertical="center"/>
    </xf>
    <xf numFmtId="3" fontId="13" fillId="2" borderId="0" xfId="3" applyNumberFormat="1" applyFont="1" applyFill="1" applyBorder="1" applyAlignment="1">
      <alignment horizontal="right" vertical="center"/>
    </xf>
    <xf numFmtId="3" fontId="2" fillId="2" borderId="0" xfId="3" applyNumberFormat="1" applyFont="1" applyFill="1" applyBorder="1" applyAlignment="1">
      <alignment vertical="center"/>
    </xf>
    <xf numFmtId="3" fontId="5" fillId="2" borderId="45" xfId="3" applyNumberFormat="1" applyFont="1" applyFill="1" applyBorder="1" applyAlignment="1">
      <alignment horizontal="center" vertical="center"/>
    </xf>
    <xf numFmtId="0" fontId="7" fillId="2" borderId="0" xfId="3" applyFont="1" applyFill="1" applyBorder="1" applyAlignment="1" applyProtection="1">
      <alignment horizontal="left" vertical="center"/>
    </xf>
    <xf numFmtId="3" fontId="5" fillId="2" borderId="6" xfId="3" applyNumberFormat="1" applyFont="1" applyFill="1" applyBorder="1" applyAlignment="1" applyProtection="1">
      <alignment horizontal="left" vertical="center"/>
    </xf>
    <xf numFmtId="166" fontId="5" fillId="2" borderId="46" xfId="3" applyNumberFormat="1" applyFont="1" applyFill="1" applyBorder="1" applyAlignment="1">
      <alignment horizontal="center" vertical="center"/>
    </xf>
    <xf numFmtId="3" fontId="5" fillId="2" borderId="46" xfId="3" applyNumberFormat="1" applyFont="1" applyFill="1" applyBorder="1" applyAlignment="1">
      <alignment horizontal="center" vertical="center"/>
    </xf>
    <xf numFmtId="167" fontId="5" fillId="2" borderId="46" xfId="9" applyNumberFormat="1" applyFont="1" applyFill="1" applyBorder="1" applyAlignment="1">
      <alignment horizontal="center" vertical="center"/>
    </xf>
    <xf numFmtId="3" fontId="13" fillId="2" borderId="6" xfId="3" applyNumberFormat="1" applyFont="1" applyFill="1" applyBorder="1" applyAlignment="1">
      <alignment horizontal="right" vertical="center"/>
    </xf>
    <xf numFmtId="3" fontId="6" fillId="2" borderId="0" xfId="3" applyNumberFormat="1" applyFont="1" applyFill="1" applyBorder="1" applyAlignment="1" applyProtection="1">
      <alignment horizontal="left" vertical="center"/>
    </xf>
    <xf numFmtId="9" fontId="24" fillId="2" borderId="0" xfId="3" applyNumberFormat="1" applyFont="1" applyFill="1" applyBorder="1" applyAlignment="1">
      <alignment horizontal="center" vertical="center"/>
    </xf>
    <xf numFmtId="170" fontId="24" fillId="2" borderId="0" xfId="3" applyNumberFormat="1" applyFont="1" applyFill="1" applyBorder="1" applyAlignment="1">
      <alignment horizontal="left" vertical="center"/>
    </xf>
    <xf numFmtId="9" fontId="14" fillId="2" borderId="0" xfId="3" applyNumberFormat="1" applyFont="1" applyFill="1" applyBorder="1" applyAlignment="1">
      <alignment horizontal="center" vertical="center"/>
    </xf>
    <xf numFmtId="37" fontId="9" fillId="2" borderId="0" xfId="1" applyNumberFormat="1" applyFont="1" applyFill="1" applyBorder="1" applyAlignment="1">
      <alignment horizontal="right" vertical="center"/>
    </xf>
    <xf numFmtId="170" fontId="14" fillId="2" borderId="0" xfId="3" applyNumberFormat="1" applyFont="1" applyFill="1" applyBorder="1" applyAlignment="1">
      <alignment horizontal="center" vertical="center"/>
    </xf>
    <xf numFmtId="3" fontId="21" fillId="2" borderId="0" xfId="3" applyNumberFormat="1" applyFont="1" applyFill="1" applyBorder="1" applyAlignment="1">
      <alignment horizontal="right" vertical="center"/>
    </xf>
    <xf numFmtId="3" fontId="8" fillId="2" borderId="0" xfId="3" applyNumberFormat="1" applyFont="1" applyFill="1" applyBorder="1" applyAlignment="1" applyProtection="1">
      <alignment horizontal="left" vertical="center"/>
    </xf>
    <xf numFmtId="37" fontId="12" fillId="2" borderId="0" xfId="1" applyNumberFormat="1" applyFont="1" applyFill="1" applyBorder="1" applyAlignment="1">
      <alignment horizontal="right" vertical="center"/>
    </xf>
    <xf numFmtId="3" fontId="10" fillId="2" borderId="0" xfId="3" applyNumberFormat="1" applyFont="1" applyFill="1" applyBorder="1" applyAlignment="1">
      <alignment horizontal="right" vertical="center"/>
    </xf>
    <xf numFmtId="3" fontId="16" fillId="2" borderId="0" xfId="3" applyNumberFormat="1" applyFont="1" applyFill="1" applyBorder="1" applyAlignment="1">
      <alignment vertical="center"/>
    </xf>
    <xf numFmtId="3" fontId="6" fillId="2" borderId="0" xfId="3" applyNumberFormat="1" applyFont="1" applyFill="1" applyBorder="1" applyAlignment="1">
      <alignment vertical="center"/>
    </xf>
    <xf numFmtId="3" fontId="10" fillId="2" borderId="0" xfId="3" applyNumberFormat="1" applyFont="1" applyFill="1" applyBorder="1" applyAlignment="1">
      <alignment vertical="center"/>
    </xf>
    <xf numFmtId="3" fontId="15" fillId="2" borderId="0" xfId="3" applyNumberFormat="1" applyFont="1" applyFill="1" applyBorder="1" applyAlignment="1">
      <alignment horizontal="right" vertical="center"/>
    </xf>
    <xf numFmtId="3" fontId="32" fillId="2" borderId="0" xfId="3" applyNumberFormat="1" applyFont="1" applyFill="1" applyBorder="1" applyAlignment="1">
      <alignment vertical="center"/>
    </xf>
    <xf numFmtId="3" fontId="33" fillId="2" borderId="0" xfId="3" applyNumberFormat="1" applyFont="1" applyFill="1" applyBorder="1" applyAlignment="1">
      <alignment vertical="center"/>
    </xf>
    <xf numFmtId="3" fontId="5" fillId="2" borderId="47" xfId="3" applyNumberFormat="1" applyFont="1" applyFill="1" applyBorder="1" applyAlignment="1" applyProtection="1"/>
    <xf numFmtId="3" fontId="5" fillId="2" borderId="47" xfId="3" applyNumberFormat="1" applyFont="1" applyFill="1" applyBorder="1" applyAlignment="1" applyProtection="1">
      <alignment vertical="center"/>
    </xf>
    <xf numFmtId="3" fontId="5" fillId="2" borderId="44" xfId="3" applyNumberFormat="1" applyFont="1" applyFill="1" applyBorder="1" applyAlignment="1" applyProtection="1">
      <alignment horizontal="center" vertical="center"/>
    </xf>
    <xf numFmtId="1" fontId="9" fillId="2" borderId="45" xfId="10" applyNumberFormat="1" applyFont="1" applyFill="1" applyBorder="1" applyAlignment="1">
      <alignment horizontal="center"/>
    </xf>
    <xf numFmtId="3" fontId="18" fillId="2" borderId="0" xfId="3" applyNumberFormat="1" applyFont="1" applyFill="1" applyBorder="1" applyAlignment="1">
      <alignment vertical="center"/>
    </xf>
    <xf numFmtId="3" fontId="9" fillId="2" borderId="2" xfId="3" applyNumberFormat="1" applyFont="1" applyFill="1" applyBorder="1" applyAlignment="1">
      <alignment vertical="center"/>
    </xf>
    <xf numFmtId="3" fontId="9" fillId="2" borderId="0" xfId="3" applyNumberFormat="1" applyFont="1" applyFill="1" applyBorder="1" applyAlignment="1">
      <alignment vertical="center"/>
    </xf>
    <xf numFmtId="3" fontId="19" fillId="2" borderId="0" xfId="11" applyNumberFormat="1" applyFont="1" applyFill="1" applyBorder="1" applyAlignment="1" applyProtection="1">
      <alignment horizontal="right" vertical="center" indent="1"/>
    </xf>
    <xf numFmtId="3" fontId="27" fillId="2" borderId="0" xfId="3" applyNumberFormat="1" applyFont="1" applyFill="1" applyBorder="1" applyAlignment="1">
      <alignment horizontal="center" vertical="center"/>
    </xf>
    <xf numFmtId="3" fontId="3" fillId="2" borderId="0" xfId="3" applyNumberFormat="1" applyFont="1" applyFill="1" applyBorder="1" applyAlignment="1" applyProtection="1">
      <alignment horizontal="center" vertical="center"/>
    </xf>
    <xf numFmtId="3" fontId="14" fillId="2" borderId="15" xfId="3" applyNumberFormat="1" applyFont="1" applyFill="1" applyBorder="1" applyAlignment="1">
      <alignment horizontal="center" vertical="center"/>
    </xf>
    <xf numFmtId="3" fontId="14" fillId="2" borderId="12" xfId="3" applyNumberFormat="1" applyFont="1" applyFill="1" applyBorder="1" applyAlignment="1">
      <alignment horizontal="center" vertical="center"/>
    </xf>
    <xf numFmtId="3" fontId="29" fillId="2" borderId="16" xfId="3" applyNumberFormat="1" applyFont="1" applyFill="1" applyBorder="1" applyAlignment="1">
      <alignment horizontal="center" vertical="center"/>
    </xf>
    <xf numFmtId="3" fontId="29" fillId="2" borderId="21" xfId="3" applyNumberFormat="1" applyFont="1" applyFill="1" applyBorder="1" applyAlignment="1">
      <alignment horizontal="center" vertical="center"/>
    </xf>
    <xf numFmtId="3" fontId="29" fillId="2" borderId="4" xfId="3" applyNumberFormat="1" applyFont="1" applyFill="1" applyBorder="1" applyAlignment="1">
      <alignment horizontal="center" vertical="center"/>
    </xf>
    <xf numFmtId="3" fontId="29" fillId="2" borderId="7" xfId="3" applyNumberFormat="1" applyFont="1" applyFill="1" applyBorder="1" applyAlignment="1">
      <alignment horizontal="center" vertical="center"/>
    </xf>
    <xf numFmtId="3" fontId="29" fillId="2" borderId="11" xfId="3" applyNumberFormat="1" applyFont="1" applyFill="1" applyBorder="1" applyAlignment="1">
      <alignment horizontal="center" vertical="center"/>
    </xf>
    <xf numFmtId="3" fontId="29" fillId="2" borderId="22" xfId="3" applyNumberFormat="1" applyFont="1" applyFill="1" applyBorder="1" applyAlignment="1">
      <alignment horizontal="center" vertical="center"/>
    </xf>
    <xf numFmtId="3" fontId="28" fillId="2" borderId="15" xfId="3" applyNumberFormat="1" applyFont="1" applyFill="1" applyBorder="1" applyAlignment="1">
      <alignment horizontal="center" vertical="center"/>
    </xf>
    <xf numFmtId="3" fontId="28" fillId="2" borderId="12" xfId="3" applyNumberFormat="1" applyFont="1" applyFill="1" applyBorder="1" applyAlignment="1">
      <alignment horizontal="center" vertical="center"/>
    </xf>
    <xf numFmtId="3" fontId="4" fillId="2" borderId="4" xfId="3" applyNumberFormat="1" applyFont="1" applyFill="1" applyBorder="1" applyAlignment="1">
      <alignment horizontal="right" vertical="center"/>
    </xf>
    <xf numFmtId="3" fontId="4" fillId="2" borderId="0" xfId="3" applyNumberFormat="1" applyFont="1" applyFill="1" applyBorder="1" applyAlignment="1">
      <alignment horizontal="right" vertical="center"/>
    </xf>
    <xf numFmtId="3" fontId="4" fillId="2" borderId="6" xfId="3" applyNumberFormat="1" applyFont="1" applyFill="1" applyBorder="1" applyAlignment="1">
      <alignment horizontal="right" vertical="center"/>
    </xf>
    <xf numFmtId="3" fontId="31" fillId="2" borderId="19" xfId="3" applyNumberFormat="1" applyFont="1" applyFill="1" applyBorder="1" applyAlignment="1">
      <alignment horizontal="center" vertical="center"/>
    </xf>
    <xf numFmtId="3" fontId="31" fillId="2" borderId="20" xfId="3" applyNumberFormat="1" applyFont="1" applyFill="1" applyBorder="1" applyAlignment="1">
      <alignment horizontal="center" vertical="center"/>
    </xf>
    <xf numFmtId="3" fontId="5" fillId="2" borderId="23" xfId="3" applyNumberFormat="1" applyFont="1" applyFill="1" applyBorder="1" applyAlignment="1" applyProtection="1">
      <alignment horizontal="center" vertical="center" wrapText="1"/>
    </xf>
    <xf numFmtId="3" fontId="5" fillId="2" borderId="30" xfId="3" applyNumberFormat="1" applyFont="1" applyFill="1" applyBorder="1" applyAlignment="1" applyProtection="1">
      <alignment horizontal="center" vertical="center" wrapText="1"/>
    </xf>
    <xf numFmtId="3" fontId="5" fillId="2" borderId="24" xfId="3" applyNumberFormat="1" applyFont="1" applyFill="1" applyBorder="1" applyAlignment="1" applyProtection="1">
      <alignment horizontal="center" vertical="center"/>
    </xf>
    <xf numFmtId="3" fontId="5" fillId="2" borderId="25" xfId="3" applyNumberFormat="1" applyFont="1" applyFill="1" applyBorder="1" applyAlignment="1" applyProtection="1">
      <alignment horizontal="center" vertical="center"/>
    </xf>
    <xf numFmtId="3" fontId="5" fillId="2" borderId="26" xfId="3" applyNumberFormat="1" applyFont="1" applyFill="1" applyBorder="1" applyAlignment="1" applyProtection="1">
      <alignment horizontal="center" vertical="center"/>
    </xf>
    <xf numFmtId="3" fontId="5" fillId="2" borderId="33" xfId="3" applyNumberFormat="1" applyFont="1" applyFill="1" applyBorder="1" applyAlignment="1" applyProtection="1">
      <alignment horizontal="center" vertical="center"/>
    </xf>
    <xf numFmtId="3" fontId="12" fillId="2" borderId="27" xfId="3" applyNumberFormat="1" applyFont="1" applyFill="1" applyBorder="1" applyAlignment="1">
      <alignment horizontal="center" vertical="center"/>
    </xf>
    <xf numFmtId="3" fontId="12" fillId="2" borderId="28" xfId="3" applyNumberFormat="1" applyFont="1" applyFill="1" applyBorder="1" applyAlignment="1">
      <alignment horizontal="center" vertical="center"/>
    </xf>
    <xf numFmtId="3" fontId="12" fillId="2" borderId="29" xfId="3" applyNumberFormat="1" applyFont="1" applyFill="1" applyBorder="1" applyAlignment="1">
      <alignment horizontal="center" vertical="center"/>
    </xf>
    <xf numFmtId="3" fontId="12" fillId="2" borderId="34" xfId="3" applyNumberFormat="1" applyFont="1" applyFill="1" applyBorder="1" applyAlignment="1">
      <alignment horizontal="center" vertical="center"/>
    </xf>
    <xf numFmtId="3" fontId="12" fillId="2" borderId="8" xfId="3" applyNumberFormat="1" applyFont="1" applyFill="1" applyBorder="1" applyAlignment="1">
      <alignment horizontal="center" vertical="center"/>
    </xf>
    <xf numFmtId="3" fontId="12" fillId="2" borderId="9" xfId="3" applyNumberFormat="1" applyFont="1" applyFill="1" applyBorder="1" applyAlignment="1">
      <alignment horizontal="center" vertical="center"/>
    </xf>
    <xf numFmtId="3" fontId="5" fillId="2" borderId="28" xfId="3" applyNumberFormat="1" applyFont="1" applyFill="1" applyBorder="1" applyAlignment="1" applyProtection="1">
      <alignment horizontal="right" vertical="center"/>
    </xf>
    <xf numFmtId="3" fontId="5" fillId="2" borderId="8" xfId="3" applyNumberFormat="1" applyFont="1" applyFill="1" applyBorder="1" applyAlignment="1" applyProtection="1">
      <alignment horizontal="right" vertical="center"/>
    </xf>
    <xf numFmtId="3" fontId="5" fillId="2" borderId="31" xfId="3" applyNumberFormat="1" applyFont="1" applyFill="1" applyBorder="1" applyAlignment="1" applyProtection="1">
      <alignment horizontal="center" vertical="center"/>
    </xf>
    <xf numFmtId="3" fontId="5" fillId="2" borderId="32" xfId="3" applyNumberFormat="1" applyFont="1" applyFill="1" applyBorder="1" applyAlignment="1" applyProtection="1">
      <alignment horizontal="center" vertical="center"/>
    </xf>
    <xf numFmtId="3" fontId="28" fillId="2" borderId="0" xfId="3" applyNumberFormat="1" applyFont="1" applyFill="1" applyBorder="1" applyAlignment="1">
      <alignment vertical="center"/>
    </xf>
    <xf numFmtId="3" fontId="31" fillId="2" borderId="0" xfId="3" applyNumberFormat="1" applyFont="1" applyFill="1" applyBorder="1" applyAlignment="1">
      <alignment vertical="center"/>
    </xf>
    <xf numFmtId="3" fontId="5" fillId="2" borderId="0" xfId="3" applyNumberFormat="1" applyFont="1" applyFill="1" applyBorder="1" applyAlignment="1">
      <alignment vertical="center"/>
    </xf>
    <xf numFmtId="0" fontId="35" fillId="2" borderId="0" xfId="0" applyFont="1" applyFill="1" applyBorder="1" applyAlignment="1">
      <alignment horizontal="center" vertical="center" wrapText="1"/>
    </xf>
    <xf numFmtId="3" fontId="9" fillId="2" borderId="0" xfId="3" applyNumberFormat="1" applyFont="1" applyFill="1" applyBorder="1" applyAlignment="1">
      <alignment horizontal="center" vertical="center"/>
    </xf>
    <xf numFmtId="3" fontId="5" fillId="2" borderId="10" xfId="3" applyNumberFormat="1" applyFont="1" applyFill="1" applyBorder="1" applyAlignment="1" applyProtection="1">
      <alignment horizontal="left" vertical="center"/>
    </xf>
    <xf numFmtId="3" fontId="5" fillId="2" borderId="44" xfId="3" applyNumberFormat="1" applyFont="1" applyFill="1" applyBorder="1" applyAlignment="1">
      <alignment horizontal="center" vertical="center"/>
    </xf>
    <xf numFmtId="3" fontId="13" fillId="2" borderId="10" xfId="3" applyNumberFormat="1" applyFont="1" applyFill="1" applyBorder="1" applyAlignment="1">
      <alignment horizontal="right" vertical="center"/>
    </xf>
  </cellXfs>
  <cellStyles count="12">
    <cellStyle name="Comma" xfId="1" builtinId="3"/>
    <cellStyle name="Comma 3" xfId="7"/>
    <cellStyle name="Normal" xfId="0" builtinId="0"/>
    <cellStyle name="Normal 14" xfId="4"/>
    <cellStyle name="Normal 15" xfId="6"/>
    <cellStyle name="Normal 17" xfId="10"/>
    <cellStyle name="Normal 2" xfId="2"/>
    <cellStyle name="Normal 3" xfId="5"/>
    <cellStyle name="Normal 9" xfId="8"/>
    <cellStyle name="Normal_II-15(Population) 2" xfId="11"/>
    <cellStyle name="Normal_immunization" xfId="3"/>
    <cellStyle name="Percent" xfId="9" builtinId="5"/>
  </cellStyles>
  <dxfs count="0"/>
  <tableStyles count="0" defaultTableStyle="TableStyleMedium2" defaultPivotStyle="PivotStyleLight16"/>
  <colors>
    <mruColors>
      <color rgb="FFFFFCF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4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3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6.%20HEALTH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issemination\Publications\Statistical%20Year%20Book\YEARBOOK%202018\FINAL\web\New%20folder\6.HEALTH\6.1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9/RECEIVED/Health%20-%20Police%20new%20to%20mail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athimath.shifaza\AppData\Local\Microsoft\Windows\INetCache\Content.Outlook\362P0D1J\NBS%20data%20(5)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athimath.shifaza\AppData\Local\Microsoft\Windows\INetCache\Content.Outlook\362P0D1J\TB%20data%20to%20NBS%20-%202017%20(2)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issemination\Publications\Statistical%20Year%20Book\YEARBOOK%202018\FINAL\web\New%20folder\6.HEALTH\6.15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CD%20Division/National%20Vaccination%20Program/Section/Vaccine%20Coverage%202012-2018/Vaccine%20coverage%202018/Immunization%20Coverage%20-Final%202018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6.1"/>
      <sheetName val="6.2"/>
      <sheetName val="6.3"/>
      <sheetName val="6.4"/>
      <sheetName val="6.5"/>
      <sheetName val="6.6"/>
      <sheetName val="6.7"/>
      <sheetName val="6.8"/>
      <sheetName val="6.9"/>
      <sheetName val="6.10"/>
      <sheetName val="6.11"/>
      <sheetName val="6.12"/>
      <sheetName val="6.13"/>
      <sheetName val="6.14"/>
      <sheetName val="6.15"/>
      <sheetName val="6.16"/>
      <sheetName val="6.17"/>
      <sheetName val="6.18"/>
      <sheetName val="6.19"/>
      <sheetName val="6.20"/>
      <sheetName val="6.21"/>
      <sheetName val="6.22"/>
      <sheetName val="Sheet1"/>
      <sheetName val="new"/>
      <sheetName val="new rev"/>
      <sheetName val="new2"/>
      <sheetName val="new3"/>
      <sheetName val="6.23"/>
      <sheetName val="6.24"/>
    </sheetNames>
    <sheetDataSet>
      <sheetData sheetId="0"/>
      <sheetData sheetId="1"/>
      <sheetData sheetId="2"/>
      <sheetData sheetId="3">
        <row r="17">
          <cell r="A17" t="str">
            <v>HA</v>
          </cell>
          <cell r="C17">
            <v>82</v>
          </cell>
        </row>
        <row r="18">
          <cell r="A18" t="str">
            <v>HDH</v>
          </cell>
          <cell r="C18">
            <v>109</v>
          </cell>
        </row>
        <row r="19">
          <cell r="A19" t="str">
            <v>SH</v>
          </cell>
          <cell r="C19">
            <v>16</v>
          </cell>
        </row>
        <row r="20">
          <cell r="A20" t="str">
            <v>N</v>
          </cell>
          <cell r="C20">
            <v>60</v>
          </cell>
          <cell r="Z20" t="str">
            <v>Public</v>
          </cell>
          <cell r="AA20">
            <v>1634</v>
          </cell>
        </row>
        <row r="21">
          <cell r="A21" t="str">
            <v>R</v>
          </cell>
          <cell r="C21">
            <v>94</v>
          </cell>
          <cell r="Z21" t="str">
            <v>Private</v>
          </cell>
          <cell r="AA21">
            <v>103</v>
          </cell>
        </row>
        <row r="22">
          <cell r="A22" t="str">
            <v>B</v>
          </cell>
          <cell r="C22">
            <v>63</v>
          </cell>
        </row>
        <row r="23">
          <cell r="A23" t="str">
            <v>LH</v>
          </cell>
          <cell r="C23">
            <v>55</v>
          </cell>
        </row>
        <row r="24">
          <cell r="A24" t="str">
            <v>K</v>
          </cell>
          <cell r="C24">
            <v>47</v>
          </cell>
        </row>
        <row r="25">
          <cell r="A25" t="str">
            <v>AA</v>
          </cell>
          <cell r="C25">
            <v>49</v>
          </cell>
        </row>
        <row r="26">
          <cell r="A26" t="str">
            <v>ADH</v>
          </cell>
          <cell r="C26">
            <v>67</v>
          </cell>
        </row>
        <row r="27">
          <cell r="A27" t="str">
            <v>V</v>
          </cell>
          <cell r="C27">
            <v>7</v>
          </cell>
        </row>
        <row r="28">
          <cell r="A28" t="str">
            <v>M</v>
          </cell>
          <cell r="C28">
            <v>46</v>
          </cell>
        </row>
        <row r="29">
          <cell r="A29" t="str">
            <v>F</v>
          </cell>
          <cell r="C29">
            <v>38</v>
          </cell>
        </row>
        <row r="30">
          <cell r="A30" t="str">
            <v>DH</v>
          </cell>
          <cell r="C30">
            <v>39</v>
          </cell>
        </row>
        <row r="31">
          <cell r="A31" t="str">
            <v>TH</v>
          </cell>
          <cell r="C31">
            <v>112</v>
          </cell>
        </row>
        <row r="32">
          <cell r="A32" t="str">
            <v>L</v>
          </cell>
          <cell r="C32">
            <v>113</v>
          </cell>
        </row>
        <row r="33">
          <cell r="A33" t="str">
            <v>GA</v>
          </cell>
          <cell r="C33">
            <v>67</v>
          </cell>
        </row>
        <row r="34">
          <cell r="A34" t="str">
            <v>GDH</v>
          </cell>
          <cell r="C34">
            <v>111</v>
          </cell>
        </row>
        <row r="35">
          <cell r="A35" t="str">
            <v>GN</v>
          </cell>
          <cell r="C35">
            <v>33</v>
          </cell>
        </row>
        <row r="36">
          <cell r="A36" t="str">
            <v>S</v>
          </cell>
          <cell r="C36">
            <v>69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>
        <row r="4">
          <cell r="C4" t="str">
            <v>B - Thal Major (%)</v>
          </cell>
          <cell r="D4" t="str">
            <v>B - Thal Non - Carrier  (%)</v>
          </cell>
          <cell r="E4" t="str">
            <v>B - Thal carrier  (%)</v>
          </cell>
        </row>
        <row r="21">
          <cell r="C21">
            <v>0.05</v>
          </cell>
          <cell r="D21">
            <v>58.3</v>
          </cell>
          <cell r="E21">
            <v>14.9</v>
          </cell>
          <cell r="F21"/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6.12"/>
    </sheetNames>
    <sheetDataSet>
      <sheetData sheetId="0">
        <row r="4">
          <cell r="C4" t="str">
            <v>Under 16</v>
          </cell>
          <cell r="D4" t="str">
            <v>16 - 24</v>
          </cell>
          <cell r="E4" t="str">
            <v>25 - 39</v>
          </cell>
          <cell r="F4" t="str">
            <v>40 +</v>
          </cell>
        </row>
        <row r="21">
          <cell r="C21">
            <v>4</v>
          </cell>
          <cell r="D21">
            <v>229</v>
          </cell>
          <cell r="E21">
            <v>308</v>
          </cell>
          <cell r="F21">
            <v>86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6.12"/>
    </sheetNames>
    <sheetDataSet>
      <sheetData sheetId="0">
        <row r="4">
          <cell r="C4" t="str">
            <v>Under 16</v>
          </cell>
          <cell r="D4" t="str">
            <v>16 - 24</v>
          </cell>
          <cell r="E4" t="str">
            <v>25 - 39</v>
          </cell>
          <cell r="F4" t="str">
            <v>40+</v>
          </cell>
        </row>
        <row r="21">
          <cell r="C21">
            <v>4</v>
          </cell>
          <cell r="D21">
            <v>229</v>
          </cell>
          <cell r="E21">
            <v>308</v>
          </cell>
          <cell r="F21">
            <v>86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6.7"/>
      <sheetName val="6.10"/>
      <sheetName val="6.11"/>
      <sheetName val="6.14"/>
      <sheetName val="6.15"/>
      <sheetName val="6.16"/>
      <sheetName val="6.17"/>
      <sheetName val="6.18"/>
      <sheetName val="6.20"/>
      <sheetName val="6.21"/>
    </sheetNames>
    <sheetDataSet>
      <sheetData sheetId="0">
        <row r="27">
          <cell r="AA27">
            <v>2009</v>
          </cell>
          <cell r="AB27">
            <v>99</v>
          </cell>
        </row>
        <row r="28">
          <cell r="AA28">
            <v>2010</v>
          </cell>
          <cell r="AB28">
            <v>100</v>
          </cell>
        </row>
        <row r="29">
          <cell r="AA29">
            <v>2011</v>
          </cell>
          <cell r="AB29">
            <v>88</v>
          </cell>
        </row>
        <row r="30">
          <cell r="AA30">
            <v>2012</v>
          </cell>
          <cell r="AB30">
            <v>110</v>
          </cell>
        </row>
        <row r="31">
          <cell r="AA31">
            <v>2013</v>
          </cell>
          <cell r="AB31">
            <v>110</v>
          </cell>
        </row>
        <row r="32">
          <cell r="AA32">
            <v>2014</v>
          </cell>
          <cell r="AB32">
            <v>131</v>
          </cell>
        </row>
        <row r="33">
          <cell r="AA33">
            <v>2015</v>
          </cell>
          <cell r="AB33">
            <v>153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6.7"/>
      <sheetName val="6.10"/>
      <sheetName val="6.11"/>
      <sheetName val="6.14"/>
      <sheetName val="6.15"/>
      <sheetName val="6.16"/>
      <sheetName val="6.17"/>
      <sheetName val="6.18"/>
      <sheetName val="6.20"/>
      <sheetName val="6.21"/>
    </sheetNames>
    <sheetDataSet>
      <sheetData sheetId="0">
        <row r="27">
          <cell r="AA27">
            <v>2009</v>
          </cell>
          <cell r="AB27">
            <v>99</v>
          </cell>
        </row>
        <row r="28">
          <cell r="AA28">
            <v>2010</v>
          </cell>
          <cell r="AB28">
            <v>100</v>
          </cell>
        </row>
        <row r="29">
          <cell r="AA29">
            <v>2011</v>
          </cell>
          <cell r="AB29">
            <v>88</v>
          </cell>
        </row>
        <row r="30">
          <cell r="AA30">
            <v>2012</v>
          </cell>
          <cell r="AB30">
            <v>110</v>
          </cell>
        </row>
        <row r="31">
          <cell r="AA31">
            <v>2013</v>
          </cell>
          <cell r="AB31">
            <v>110</v>
          </cell>
        </row>
        <row r="32">
          <cell r="AA32">
            <v>2014</v>
          </cell>
          <cell r="AB32">
            <v>131</v>
          </cell>
        </row>
        <row r="33">
          <cell r="AA33">
            <v>2015</v>
          </cell>
          <cell r="AB33">
            <v>153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6.15"/>
    </sheetNames>
    <sheetDataSet>
      <sheetData sheetId="0">
        <row r="4">
          <cell r="B4" t="str">
            <v xml:space="preserve">Acute Respiratory Infection </v>
          </cell>
          <cell r="D4" t="str">
            <v>Viral Fever</v>
          </cell>
          <cell r="F4" t="str">
            <v xml:space="preserve">Diarrhoea </v>
          </cell>
        </row>
        <row r="5">
          <cell r="B5" t="str">
            <v>Under 5 years</v>
          </cell>
          <cell r="C5" t="str">
            <v>Above 5 years</v>
          </cell>
          <cell r="D5" t="str">
            <v>Under 5 years</v>
          </cell>
          <cell r="E5" t="str">
            <v>Above 5 years</v>
          </cell>
          <cell r="F5" t="str">
            <v>Under 5 years</v>
          </cell>
          <cell r="G5" t="str">
            <v>Above 5 years</v>
          </cell>
        </row>
        <row r="7">
          <cell r="A7" t="str">
            <v xml:space="preserve">Male' </v>
          </cell>
          <cell r="B7">
            <v>21902</v>
          </cell>
          <cell r="C7">
            <v>79985</v>
          </cell>
          <cell r="D7">
            <v>7806</v>
          </cell>
          <cell r="E7">
            <v>20744</v>
          </cell>
          <cell r="F7">
            <v>3692</v>
          </cell>
          <cell r="G7">
            <v>11873</v>
          </cell>
        </row>
        <row r="8">
          <cell r="A8" t="str">
            <v xml:space="preserve">Atoll </v>
          </cell>
          <cell r="B8">
            <v>54195</v>
          </cell>
          <cell r="C8">
            <v>76449</v>
          </cell>
          <cell r="D8">
            <v>17687</v>
          </cell>
          <cell r="E8">
            <v>28253</v>
          </cell>
          <cell r="F8">
            <v>4538</v>
          </cell>
          <cell r="G8">
            <v>9879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toll Final"/>
      <sheetName val="vaccine coverage Atoll Sheet"/>
      <sheetName val="Haa Alif"/>
      <sheetName val="Haa Dhaal"/>
      <sheetName val="Shavi"/>
      <sheetName val="Noonu"/>
      <sheetName val="Raa"/>
      <sheetName val="Baa"/>
      <sheetName val="Lhaviyani"/>
      <sheetName val="Kaafu"/>
      <sheetName val="AA"/>
      <sheetName val="ADh"/>
      <sheetName val="Vaavu"/>
      <sheetName val="Faafu"/>
      <sheetName val="Dhaal"/>
      <sheetName val="Thaa"/>
      <sheetName val="Laamu"/>
      <sheetName val="Meemu"/>
      <sheetName val="GA"/>
      <sheetName val="GaafDha"/>
      <sheetName val="Gnaviyani"/>
      <sheetName val="Seenu"/>
      <sheetName val="Male"/>
      <sheetName val="TT"/>
      <sheetName val="CHK List"/>
      <sheetName val="Sheet2"/>
    </sheetNames>
    <sheetDataSet>
      <sheetData sheetId="0" refreshError="1">
        <row r="4">
          <cell r="K4">
            <v>318</v>
          </cell>
          <cell r="P4">
            <v>148.33333333333334</v>
          </cell>
        </row>
        <row r="7">
          <cell r="K7">
            <v>482</v>
          </cell>
          <cell r="P7">
            <v>140</v>
          </cell>
        </row>
        <row r="10">
          <cell r="P10">
            <v>153</v>
          </cell>
        </row>
        <row r="16">
          <cell r="P16">
            <v>105</v>
          </cell>
        </row>
        <row r="19">
          <cell r="P19">
            <v>204</v>
          </cell>
        </row>
        <row r="22">
          <cell r="P22">
            <v>129</v>
          </cell>
        </row>
        <row r="25">
          <cell r="P25">
            <v>98</v>
          </cell>
        </row>
        <row r="31">
          <cell r="P31">
            <v>41</v>
          </cell>
        </row>
        <row r="34">
          <cell r="P34">
            <v>61</v>
          </cell>
        </row>
        <row r="37">
          <cell r="P37">
            <v>101</v>
          </cell>
        </row>
        <row r="40">
          <cell r="P40">
            <v>9</v>
          </cell>
        </row>
        <row r="46">
          <cell r="P46">
            <v>43</v>
          </cell>
        </row>
        <row r="49">
          <cell r="P49">
            <v>67</v>
          </cell>
        </row>
        <row r="52">
          <cell r="P52">
            <v>51</v>
          </cell>
        </row>
        <row r="58">
          <cell r="P58">
            <v>125</v>
          </cell>
        </row>
        <row r="61">
          <cell r="P61">
            <v>80</v>
          </cell>
        </row>
        <row r="67">
          <cell r="P67">
            <v>75</v>
          </cell>
        </row>
        <row r="70">
          <cell r="P70">
            <v>124</v>
          </cell>
        </row>
        <row r="76">
          <cell r="P76">
            <v>105</v>
          </cell>
        </row>
        <row r="79">
          <cell r="P79">
            <v>148</v>
          </cell>
        </row>
        <row r="85">
          <cell r="B85">
            <v>4327</v>
          </cell>
          <cell r="C85">
            <v>4383</v>
          </cell>
          <cell r="M85">
            <v>2265</v>
          </cell>
          <cell r="P85">
            <v>2562</v>
          </cell>
        </row>
        <row r="89">
          <cell r="C89">
            <v>6508</v>
          </cell>
          <cell r="K89">
            <v>6504</v>
          </cell>
          <cell r="M89">
            <v>6228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X529"/>
  <sheetViews>
    <sheetView tabSelected="1" topLeftCell="A15" zoomScaleNormal="100" workbookViewId="0">
      <selection activeCell="I44" sqref="I44"/>
    </sheetView>
  </sheetViews>
  <sheetFormatPr defaultColWidth="11.140625" defaultRowHeight="18.75" x14ac:dyDescent="0.25"/>
  <cols>
    <col min="1" max="1" width="27.5703125" style="3" customWidth="1"/>
    <col min="2" max="2" width="15.28515625" style="61" customWidth="1"/>
    <col min="3" max="3" width="11.42578125" style="61" customWidth="1"/>
    <col min="4" max="4" width="15.5703125" style="61" customWidth="1"/>
    <col min="5" max="5" width="11.7109375" style="61" customWidth="1"/>
    <col min="6" max="6" width="10.5703125" style="61" customWidth="1"/>
    <col min="7" max="7" width="11.85546875" style="61" customWidth="1"/>
    <col min="8" max="9" width="7" style="62" customWidth="1"/>
    <col min="10" max="10" width="8.5703125" style="62" customWidth="1"/>
    <col min="11" max="11" width="9.42578125" style="61" customWidth="1"/>
    <col min="12" max="12" width="9.7109375" style="61" customWidth="1"/>
    <col min="13" max="14" width="9.42578125" style="61" customWidth="1"/>
    <col min="15" max="15" width="22" style="61" customWidth="1"/>
    <col min="16" max="16384" width="11.140625" style="3"/>
  </cols>
  <sheetData>
    <row r="1" spans="1:76" ht="15.75" x14ac:dyDescent="0.25">
      <c r="A1" s="2"/>
      <c r="B1" s="2"/>
      <c r="C1" s="2"/>
      <c r="D1" s="3"/>
      <c r="E1" s="3"/>
      <c r="F1" s="3"/>
      <c r="G1" s="3"/>
      <c r="H1" s="4"/>
      <c r="I1" s="4"/>
      <c r="J1" s="4"/>
      <c r="K1" s="3"/>
      <c r="L1" s="3"/>
      <c r="M1" s="3"/>
      <c r="N1" s="3"/>
      <c r="O1" s="3"/>
    </row>
    <row r="2" spans="1:76" ht="18" x14ac:dyDescent="0.25">
      <c r="A2" s="65" t="s">
        <v>83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</row>
    <row r="3" spans="1:76" ht="15" x14ac:dyDescent="0.25">
      <c r="A3" s="66" t="s">
        <v>82</v>
      </c>
      <c r="B3" s="66"/>
      <c r="C3" s="66"/>
      <c r="D3" s="66"/>
      <c r="E3" s="66"/>
      <c r="F3" s="66"/>
      <c r="G3" s="66"/>
      <c r="H3" s="66"/>
      <c r="I3" s="66"/>
      <c r="J3" s="66"/>
      <c r="K3" s="66"/>
      <c r="L3" s="66"/>
      <c r="M3" s="66"/>
      <c r="N3" s="66"/>
      <c r="O3" s="66"/>
    </row>
    <row r="4" spans="1:76" s="9" customFormat="1" ht="17.25" customHeight="1" x14ac:dyDescent="0.25">
      <c r="A4" s="5"/>
      <c r="B4" s="6"/>
      <c r="C4" s="6"/>
      <c r="D4" s="7" t="s">
        <v>5</v>
      </c>
      <c r="E4" s="67" t="s">
        <v>6</v>
      </c>
      <c r="F4" s="68"/>
      <c r="G4" s="69" t="s">
        <v>7</v>
      </c>
      <c r="H4" s="69" t="s">
        <v>8</v>
      </c>
      <c r="I4" s="71"/>
      <c r="J4" s="72"/>
      <c r="K4" s="75" t="s">
        <v>9</v>
      </c>
      <c r="L4" s="76"/>
      <c r="M4" s="76"/>
      <c r="N4" s="8" t="s">
        <v>10</v>
      </c>
      <c r="O4" s="77" t="s">
        <v>11</v>
      </c>
      <c r="P4" s="98"/>
      <c r="Q4" s="98"/>
      <c r="R4" s="98"/>
      <c r="S4" s="98"/>
      <c r="T4" s="98"/>
      <c r="U4" s="98"/>
      <c r="V4" s="98"/>
      <c r="W4" s="98"/>
      <c r="X4" s="98"/>
      <c r="Y4" s="98"/>
      <c r="Z4" s="98"/>
      <c r="AA4" s="98"/>
      <c r="AB4" s="98"/>
      <c r="AC4" s="98"/>
      <c r="AD4" s="98"/>
      <c r="AE4" s="98"/>
      <c r="AF4" s="98"/>
      <c r="AG4" s="98"/>
      <c r="AH4" s="98"/>
      <c r="AI4" s="98"/>
      <c r="AJ4" s="98"/>
      <c r="AK4" s="98"/>
      <c r="AL4" s="98"/>
      <c r="AM4" s="98"/>
      <c r="AN4" s="98"/>
      <c r="AO4" s="98"/>
      <c r="AP4" s="98"/>
      <c r="AQ4" s="98"/>
      <c r="AR4" s="98"/>
      <c r="AS4" s="98"/>
      <c r="AT4" s="98"/>
      <c r="AU4" s="98"/>
      <c r="AV4" s="98"/>
      <c r="AW4" s="98"/>
      <c r="AX4" s="98"/>
      <c r="AY4" s="98"/>
      <c r="AZ4" s="98"/>
      <c r="BA4" s="98"/>
      <c r="BB4" s="98"/>
      <c r="BC4" s="98"/>
      <c r="BD4" s="98"/>
      <c r="BE4" s="98"/>
      <c r="BF4" s="98"/>
      <c r="BG4" s="98"/>
      <c r="BH4" s="98"/>
      <c r="BI4" s="98"/>
      <c r="BJ4" s="98"/>
      <c r="BK4" s="98"/>
      <c r="BL4" s="98"/>
      <c r="BM4" s="98"/>
      <c r="BN4" s="98"/>
      <c r="BO4" s="98"/>
      <c r="BP4" s="98"/>
      <c r="BQ4" s="98"/>
      <c r="BR4" s="98"/>
      <c r="BS4" s="98"/>
      <c r="BT4" s="98"/>
      <c r="BU4" s="98"/>
      <c r="BV4" s="98"/>
      <c r="BW4" s="98"/>
      <c r="BX4" s="98"/>
    </row>
    <row r="5" spans="1:76" s="14" customFormat="1" ht="16.5" customHeight="1" x14ac:dyDescent="0.25">
      <c r="A5" s="10"/>
      <c r="B5" s="11" t="s">
        <v>12</v>
      </c>
      <c r="C5" s="11" t="s">
        <v>13</v>
      </c>
      <c r="D5" s="12" t="s">
        <v>14</v>
      </c>
      <c r="E5" s="80" t="s">
        <v>15</v>
      </c>
      <c r="F5" s="81"/>
      <c r="G5" s="70"/>
      <c r="H5" s="70"/>
      <c r="I5" s="73"/>
      <c r="J5" s="74"/>
      <c r="K5" s="80" t="s">
        <v>16</v>
      </c>
      <c r="L5" s="81"/>
      <c r="M5" s="81"/>
      <c r="N5" s="13"/>
      <c r="O5" s="78"/>
      <c r="P5" s="99"/>
      <c r="Q5" s="99"/>
      <c r="R5" s="99"/>
      <c r="S5" s="99"/>
      <c r="T5" s="99"/>
      <c r="U5" s="99"/>
      <c r="V5" s="99"/>
      <c r="W5" s="99"/>
      <c r="X5" s="99"/>
      <c r="Y5" s="99"/>
      <c r="Z5" s="99"/>
      <c r="AA5" s="99"/>
      <c r="AB5" s="99"/>
      <c r="AC5" s="99"/>
      <c r="AD5" s="99"/>
      <c r="AE5" s="99"/>
      <c r="AF5" s="99"/>
      <c r="AG5" s="99"/>
      <c r="AH5" s="99"/>
      <c r="AI5" s="99"/>
      <c r="AJ5" s="99"/>
      <c r="AK5" s="99"/>
      <c r="AL5" s="99"/>
      <c r="AM5" s="99"/>
      <c r="AN5" s="99"/>
      <c r="AO5" s="99"/>
      <c r="AP5" s="99"/>
      <c r="AQ5" s="99"/>
      <c r="AR5" s="99"/>
      <c r="AS5" s="99"/>
      <c r="AT5" s="99"/>
      <c r="AU5" s="99"/>
      <c r="AV5" s="99"/>
      <c r="AW5" s="99"/>
      <c r="AX5" s="99"/>
      <c r="AY5" s="99"/>
      <c r="AZ5" s="99"/>
      <c r="BA5" s="99"/>
      <c r="BB5" s="99"/>
      <c r="BC5" s="99"/>
      <c r="BD5" s="99"/>
      <c r="BE5" s="99"/>
      <c r="BF5" s="99"/>
      <c r="BG5" s="99"/>
      <c r="BH5" s="99"/>
      <c r="BI5" s="99"/>
      <c r="BJ5" s="99"/>
      <c r="BK5" s="99"/>
      <c r="BL5" s="99"/>
      <c r="BM5" s="99"/>
      <c r="BN5" s="99"/>
      <c r="BO5" s="99"/>
      <c r="BP5" s="99"/>
      <c r="BQ5" s="99"/>
      <c r="BR5" s="99"/>
      <c r="BS5" s="99"/>
      <c r="BT5" s="99"/>
      <c r="BU5" s="99"/>
      <c r="BV5" s="99"/>
      <c r="BW5" s="99"/>
      <c r="BX5" s="99"/>
    </row>
    <row r="6" spans="1:76" s="18" customFormat="1" ht="15" customHeight="1" x14ac:dyDescent="0.25">
      <c r="A6" s="15" t="s">
        <v>17</v>
      </c>
      <c r="B6" s="16" t="s">
        <v>18</v>
      </c>
      <c r="C6" s="17"/>
      <c r="D6" s="82" t="s">
        <v>19</v>
      </c>
      <c r="E6" s="84" t="s">
        <v>20</v>
      </c>
      <c r="F6" s="85"/>
      <c r="G6" s="86" t="s">
        <v>21</v>
      </c>
      <c r="H6" s="88" t="s">
        <v>22</v>
      </c>
      <c r="I6" s="89"/>
      <c r="J6" s="90"/>
      <c r="K6" s="84" t="s">
        <v>23</v>
      </c>
      <c r="L6" s="85"/>
      <c r="M6" s="85"/>
      <c r="N6" s="94" t="s">
        <v>24</v>
      </c>
      <c r="O6" s="78"/>
      <c r="P6" s="100"/>
      <c r="Q6" s="100"/>
      <c r="R6" s="100"/>
      <c r="S6" s="100"/>
      <c r="T6" s="100"/>
      <c r="U6" s="100"/>
      <c r="V6" s="100"/>
      <c r="W6" s="100"/>
      <c r="X6" s="100"/>
      <c r="Y6" s="100"/>
      <c r="Z6" s="100"/>
      <c r="AA6" s="100"/>
      <c r="AB6" s="100"/>
      <c r="AC6" s="100"/>
      <c r="AD6" s="100"/>
      <c r="AE6" s="100"/>
      <c r="AF6" s="100"/>
      <c r="AG6" s="100"/>
      <c r="AH6" s="100"/>
      <c r="AI6" s="100"/>
      <c r="AJ6" s="100"/>
      <c r="AK6" s="100"/>
      <c r="AL6" s="100"/>
      <c r="AM6" s="100"/>
      <c r="AN6" s="100"/>
      <c r="AO6" s="100"/>
      <c r="AP6" s="100"/>
      <c r="AQ6" s="100"/>
      <c r="AR6" s="100"/>
      <c r="AS6" s="100"/>
      <c r="AT6" s="100"/>
      <c r="AU6" s="100"/>
      <c r="AV6" s="100"/>
      <c r="AW6" s="100"/>
      <c r="AX6" s="100"/>
      <c r="AY6" s="100"/>
      <c r="AZ6" s="100"/>
      <c r="BA6" s="100"/>
      <c r="BB6" s="100"/>
      <c r="BC6" s="100"/>
      <c r="BD6" s="100"/>
      <c r="BE6" s="100"/>
      <c r="BF6" s="100"/>
      <c r="BG6" s="100"/>
      <c r="BH6" s="100"/>
      <c r="BI6" s="100"/>
      <c r="BJ6" s="100"/>
      <c r="BK6" s="100"/>
      <c r="BL6" s="100"/>
      <c r="BM6" s="100"/>
      <c r="BN6" s="100"/>
      <c r="BO6" s="100"/>
      <c r="BP6" s="100"/>
      <c r="BQ6" s="100"/>
      <c r="BR6" s="100"/>
      <c r="BS6" s="100"/>
      <c r="BT6" s="100"/>
      <c r="BU6" s="100"/>
      <c r="BV6" s="100"/>
      <c r="BW6" s="100"/>
      <c r="BX6" s="100"/>
    </row>
    <row r="7" spans="1:76" s="18" customFormat="1" ht="15" customHeight="1" x14ac:dyDescent="0.25">
      <c r="A7" s="15"/>
      <c r="B7" s="17" t="s">
        <v>25</v>
      </c>
      <c r="C7" s="17" t="s">
        <v>26</v>
      </c>
      <c r="D7" s="83"/>
      <c r="E7" s="96" t="s">
        <v>27</v>
      </c>
      <c r="F7" s="97"/>
      <c r="G7" s="87"/>
      <c r="H7" s="91"/>
      <c r="I7" s="92"/>
      <c r="J7" s="93"/>
      <c r="K7" s="96" t="s">
        <v>28</v>
      </c>
      <c r="L7" s="97"/>
      <c r="M7" s="97"/>
      <c r="N7" s="95"/>
      <c r="O7" s="78"/>
      <c r="P7" s="100"/>
      <c r="Q7" s="100"/>
      <c r="R7" s="100"/>
      <c r="S7" s="100"/>
      <c r="T7" s="100"/>
      <c r="U7" s="100"/>
      <c r="V7" s="100"/>
      <c r="W7" s="100"/>
      <c r="X7" s="100"/>
      <c r="Y7" s="100"/>
      <c r="Z7" s="100"/>
      <c r="AA7" s="100"/>
      <c r="AB7" s="100"/>
      <c r="AC7" s="100"/>
      <c r="AD7" s="100"/>
      <c r="AE7" s="100"/>
      <c r="AF7" s="100"/>
      <c r="AG7" s="100"/>
      <c r="AH7" s="100"/>
      <c r="AI7" s="100"/>
      <c r="AJ7" s="100"/>
      <c r="AK7" s="100"/>
      <c r="AL7" s="100"/>
      <c r="AM7" s="100"/>
      <c r="AN7" s="100"/>
      <c r="AO7" s="100"/>
      <c r="AP7" s="100"/>
      <c r="AQ7" s="100"/>
      <c r="AR7" s="100"/>
      <c r="AS7" s="100"/>
      <c r="AT7" s="100"/>
      <c r="AU7" s="100"/>
      <c r="AV7" s="100"/>
      <c r="AW7" s="100"/>
      <c r="AX7" s="100"/>
      <c r="AY7" s="100"/>
      <c r="AZ7" s="100"/>
      <c r="BA7" s="100"/>
      <c r="BB7" s="100"/>
      <c r="BC7" s="100"/>
      <c r="BD7" s="100"/>
      <c r="BE7" s="100"/>
      <c r="BF7" s="100"/>
      <c r="BG7" s="100"/>
      <c r="BH7" s="100"/>
      <c r="BI7" s="100"/>
      <c r="BJ7" s="100"/>
      <c r="BK7" s="100"/>
      <c r="BL7" s="100"/>
      <c r="BM7" s="100"/>
      <c r="BN7" s="100"/>
      <c r="BO7" s="100"/>
      <c r="BP7" s="100"/>
      <c r="BQ7" s="100"/>
      <c r="BR7" s="100"/>
      <c r="BS7" s="100"/>
      <c r="BT7" s="100"/>
      <c r="BU7" s="100"/>
      <c r="BV7" s="100"/>
      <c r="BW7" s="100"/>
      <c r="BX7" s="100"/>
    </row>
    <row r="8" spans="1:76" s="18" customFormat="1" ht="15" customHeight="1" x14ac:dyDescent="0.25">
      <c r="A8" s="19"/>
      <c r="B8" s="20"/>
      <c r="C8" s="20"/>
      <c r="D8" s="21" t="s">
        <v>29</v>
      </c>
      <c r="E8" s="22" t="s">
        <v>30</v>
      </c>
      <c r="F8" s="23" t="s">
        <v>31</v>
      </c>
      <c r="G8" s="24" t="s">
        <v>30</v>
      </c>
      <c r="H8" s="25" t="s">
        <v>30</v>
      </c>
      <c r="I8" s="25" t="s">
        <v>31</v>
      </c>
      <c r="J8" s="26" t="s">
        <v>32</v>
      </c>
      <c r="K8" s="27" t="s">
        <v>30</v>
      </c>
      <c r="L8" s="28" t="s">
        <v>31</v>
      </c>
      <c r="M8" s="29" t="s">
        <v>32</v>
      </c>
      <c r="N8" s="27" t="s">
        <v>30</v>
      </c>
      <c r="O8" s="79"/>
      <c r="P8" s="100"/>
      <c r="Q8" s="100"/>
      <c r="R8" s="101"/>
      <c r="S8" s="101"/>
      <c r="T8" s="101"/>
      <c r="U8" s="101"/>
      <c r="V8" s="101"/>
      <c r="W8" s="101"/>
      <c r="X8" s="101"/>
      <c r="Y8" s="100"/>
      <c r="Z8" s="100"/>
      <c r="AA8" s="100"/>
      <c r="AB8" s="100"/>
      <c r="AC8" s="100"/>
      <c r="AD8" s="100"/>
      <c r="AE8" s="100"/>
      <c r="AF8" s="100"/>
      <c r="AG8" s="100"/>
      <c r="AH8" s="100"/>
      <c r="AI8" s="100"/>
      <c r="AJ8" s="100"/>
      <c r="AK8" s="100"/>
      <c r="AL8" s="100"/>
      <c r="AM8" s="100"/>
      <c r="AN8" s="100"/>
      <c r="AO8" s="100"/>
      <c r="AP8" s="100"/>
      <c r="AQ8" s="100"/>
      <c r="AR8" s="100"/>
      <c r="AS8" s="100"/>
      <c r="AT8" s="100"/>
      <c r="AU8" s="100"/>
      <c r="AV8" s="100"/>
      <c r="AW8" s="100"/>
      <c r="AX8" s="100"/>
      <c r="AY8" s="100"/>
      <c r="AZ8" s="100"/>
      <c r="BA8" s="100"/>
      <c r="BB8" s="100"/>
      <c r="BC8" s="100"/>
      <c r="BD8" s="100"/>
      <c r="BE8" s="100"/>
      <c r="BF8" s="100"/>
      <c r="BG8" s="100"/>
      <c r="BH8" s="100"/>
      <c r="BI8" s="100"/>
      <c r="BJ8" s="100"/>
      <c r="BK8" s="100"/>
      <c r="BL8" s="100"/>
      <c r="BM8" s="100"/>
      <c r="BN8" s="100"/>
      <c r="BO8" s="100"/>
      <c r="BP8" s="100"/>
      <c r="BQ8" s="100"/>
      <c r="BR8" s="100"/>
      <c r="BS8" s="100"/>
      <c r="BT8" s="100"/>
      <c r="BU8" s="100"/>
      <c r="BV8" s="100"/>
      <c r="BW8" s="100"/>
      <c r="BX8" s="100"/>
    </row>
    <row r="9" spans="1:76" s="33" customFormat="1" ht="15" x14ac:dyDescent="0.25">
      <c r="A9" s="30" t="s">
        <v>2</v>
      </c>
      <c r="B9" s="31">
        <f>B10+B11</f>
        <v>6495</v>
      </c>
      <c r="C9" s="31">
        <f t="shared" ref="C9" si="0">C10+C11</f>
        <v>6209</v>
      </c>
      <c r="D9" s="31">
        <f>D10+D11</f>
        <v>6483</v>
      </c>
      <c r="E9" s="31">
        <f>E10+E11</f>
        <v>4569.3333333333339</v>
      </c>
      <c r="F9" s="31">
        <f>F10+F11</f>
        <v>4569.3333333333339</v>
      </c>
      <c r="G9" s="31">
        <f t="shared" ref="G9" si="1">G10+G11</f>
        <v>6536</v>
      </c>
      <c r="H9" s="31">
        <f>H10+H11</f>
        <v>6583</v>
      </c>
      <c r="I9" s="31">
        <f>I10+I11</f>
        <v>6548</v>
      </c>
      <c r="J9" s="31">
        <f>J10+J11</f>
        <v>6532</v>
      </c>
      <c r="K9" s="31">
        <f t="shared" ref="K9" si="2">K10+K11</f>
        <v>6574</v>
      </c>
      <c r="L9" s="31">
        <f>L10+L11</f>
        <v>6557</v>
      </c>
      <c r="M9" s="31">
        <f t="shared" ref="M9:N9" si="3">M10+M11</f>
        <v>6535</v>
      </c>
      <c r="N9" s="31">
        <f t="shared" si="3"/>
        <v>6524</v>
      </c>
      <c r="O9" s="32" t="s">
        <v>33</v>
      </c>
      <c r="R9" s="101"/>
      <c r="S9" s="101"/>
      <c r="T9" s="101"/>
      <c r="U9" s="101"/>
      <c r="V9" s="101"/>
      <c r="W9" s="101"/>
      <c r="X9" s="101"/>
    </row>
    <row r="10" spans="1:76" s="33" customFormat="1" ht="15" customHeight="1" x14ac:dyDescent="0.25">
      <c r="A10" s="30" t="s">
        <v>3</v>
      </c>
      <c r="B10" s="59">
        <v>2247</v>
      </c>
      <c r="C10" s="59">
        <f>'[7]Atoll Final'!$M$85</f>
        <v>2265</v>
      </c>
      <c r="D10" s="59">
        <f>'[7]Atoll Final'!$B$85</f>
        <v>4327</v>
      </c>
      <c r="E10" s="59">
        <f>'[7]Atoll Final'!$P$85</f>
        <v>2562</v>
      </c>
      <c r="F10" s="59">
        <f>'[7]Atoll Final'!$P$85</f>
        <v>2562</v>
      </c>
      <c r="G10" s="59">
        <f>'[7]Atoll Final'!$C$85</f>
        <v>4383</v>
      </c>
      <c r="H10" s="59">
        <v>2469</v>
      </c>
      <c r="I10" s="59">
        <v>2433</v>
      </c>
      <c r="J10" s="59">
        <v>2411</v>
      </c>
      <c r="K10" s="59">
        <v>2460</v>
      </c>
      <c r="L10" s="59">
        <v>2443</v>
      </c>
      <c r="M10" s="59">
        <v>2412</v>
      </c>
      <c r="N10" s="59">
        <v>2412</v>
      </c>
      <c r="O10" s="32" t="s">
        <v>0</v>
      </c>
    </row>
    <row r="11" spans="1:76" s="33" customFormat="1" ht="15" customHeight="1" x14ac:dyDescent="0.25">
      <c r="A11" s="30" t="s">
        <v>4</v>
      </c>
      <c r="B11" s="34">
        <f>SUM(B12:B31)</f>
        <v>4248</v>
      </c>
      <c r="C11" s="34">
        <f>SUM(C12:C31)</f>
        <v>3944</v>
      </c>
      <c r="D11" s="34">
        <f>SUM(D12:D31)</f>
        <v>2156</v>
      </c>
      <c r="E11" s="34">
        <f>SUM(E12:E31)</f>
        <v>2007.3333333333335</v>
      </c>
      <c r="F11" s="34">
        <f>SUM(F12:F31)</f>
        <v>2007.3333333333335</v>
      </c>
      <c r="G11" s="34">
        <f t="shared" ref="G11" si="4">SUM(G12:G31)</f>
        <v>2153</v>
      </c>
      <c r="H11" s="34">
        <f>SUM(H12:H31)</f>
        <v>4114</v>
      </c>
      <c r="I11" s="34">
        <f t="shared" ref="I11" si="5">SUM(I12:I31)</f>
        <v>4115</v>
      </c>
      <c r="J11" s="34">
        <f>SUM(J12:J31)</f>
        <v>4121</v>
      </c>
      <c r="K11" s="34">
        <f>SUM(K12:K31)</f>
        <v>4114</v>
      </c>
      <c r="L11" s="34">
        <f>SUM(L12:L31)</f>
        <v>4114</v>
      </c>
      <c r="M11" s="34">
        <f t="shared" ref="M11" si="6">SUM(M12:M31)</f>
        <v>4123</v>
      </c>
      <c r="N11" s="34">
        <f>SUM(N12:N31)</f>
        <v>4112</v>
      </c>
      <c r="O11" s="32" t="s">
        <v>1</v>
      </c>
    </row>
    <row r="12" spans="1:76" ht="15" customHeight="1" x14ac:dyDescent="0.2">
      <c r="A12" s="35" t="s">
        <v>34</v>
      </c>
      <c r="B12" s="60">
        <f>'[7]Atoll Final'!$K$4</f>
        <v>318</v>
      </c>
      <c r="C12" s="60">
        <v>298</v>
      </c>
      <c r="D12" s="60">
        <v>125</v>
      </c>
      <c r="E12" s="60">
        <f>'[7]Atoll Final'!$P$4</f>
        <v>148.33333333333334</v>
      </c>
      <c r="F12" s="60">
        <f>'[7]Atoll Final'!$P$4</f>
        <v>148.33333333333334</v>
      </c>
      <c r="G12" s="60">
        <v>125</v>
      </c>
      <c r="H12" s="60">
        <v>293</v>
      </c>
      <c r="I12" s="60">
        <v>299</v>
      </c>
      <c r="J12" s="60">
        <v>299</v>
      </c>
      <c r="K12" s="60">
        <v>293</v>
      </c>
      <c r="L12" s="60">
        <v>299</v>
      </c>
      <c r="M12" s="60">
        <v>299</v>
      </c>
      <c r="N12" s="60">
        <v>296</v>
      </c>
      <c r="O12" s="64" t="s">
        <v>84</v>
      </c>
    </row>
    <row r="13" spans="1:76" ht="15" customHeight="1" x14ac:dyDescent="0.2">
      <c r="A13" s="35" t="s">
        <v>35</v>
      </c>
      <c r="B13" s="60">
        <f>'[7]Atoll Final'!$K$7</f>
        <v>482</v>
      </c>
      <c r="C13" s="60">
        <v>424</v>
      </c>
      <c r="D13" s="60">
        <v>348</v>
      </c>
      <c r="E13" s="60">
        <f>'[7]Atoll Final'!$P$7</f>
        <v>140</v>
      </c>
      <c r="F13" s="60">
        <f>'[7]Atoll Final'!$P$7</f>
        <v>140</v>
      </c>
      <c r="G13" s="60">
        <v>348</v>
      </c>
      <c r="H13" s="60">
        <v>431</v>
      </c>
      <c r="I13" s="60">
        <v>433</v>
      </c>
      <c r="J13" s="60">
        <v>433</v>
      </c>
      <c r="K13" s="60">
        <v>431</v>
      </c>
      <c r="L13" s="60">
        <v>433</v>
      </c>
      <c r="M13" s="60">
        <v>433</v>
      </c>
      <c r="N13" s="60">
        <v>433</v>
      </c>
      <c r="O13" s="64" t="s">
        <v>85</v>
      </c>
    </row>
    <row r="14" spans="1:76" ht="15" customHeight="1" x14ac:dyDescent="0.2">
      <c r="A14" s="35" t="s">
        <v>36</v>
      </c>
      <c r="B14" s="60">
        <v>272</v>
      </c>
      <c r="C14" s="60">
        <v>263</v>
      </c>
      <c r="D14" s="60">
        <v>72</v>
      </c>
      <c r="E14" s="60">
        <f>'[7]Atoll Final'!$P$10</f>
        <v>153</v>
      </c>
      <c r="F14" s="60">
        <f>'[7]Atoll Final'!$P$10</f>
        <v>153</v>
      </c>
      <c r="G14" s="60">
        <v>72</v>
      </c>
      <c r="H14" s="60">
        <v>262</v>
      </c>
      <c r="I14" s="60">
        <v>262</v>
      </c>
      <c r="J14" s="60">
        <v>259</v>
      </c>
      <c r="K14" s="60">
        <v>262</v>
      </c>
      <c r="L14" s="60">
        <v>262</v>
      </c>
      <c r="M14" s="60">
        <v>259</v>
      </c>
      <c r="N14" s="60">
        <v>258</v>
      </c>
      <c r="O14" s="64" t="s">
        <v>86</v>
      </c>
    </row>
    <row r="15" spans="1:76" ht="15" customHeight="1" x14ac:dyDescent="0.2">
      <c r="A15" s="35" t="s">
        <v>37</v>
      </c>
      <c r="B15" s="60">
        <v>271</v>
      </c>
      <c r="C15" s="60">
        <v>215</v>
      </c>
      <c r="D15" s="60">
        <v>53</v>
      </c>
      <c r="E15" s="60">
        <f>'[7]Atoll Final'!$P$16</f>
        <v>105</v>
      </c>
      <c r="F15" s="60">
        <f>'[7]Atoll Final'!$P$16</f>
        <v>105</v>
      </c>
      <c r="G15" s="60">
        <v>53</v>
      </c>
      <c r="H15" s="60">
        <v>213</v>
      </c>
      <c r="I15" s="60">
        <v>213</v>
      </c>
      <c r="J15" s="60">
        <v>215</v>
      </c>
      <c r="K15" s="60">
        <v>213</v>
      </c>
      <c r="L15" s="60">
        <v>213</v>
      </c>
      <c r="M15" s="60">
        <v>215</v>
      </c>
      <c r="N15" s="60">
        <v>214</v>
      </c>
      <c r="O15" s="64" t="s">
        <v>87</v>
      </c>
    </row>
    <row r="16" spans="1:76" ht="15" customHeight="1" x14ac:dyDescent="0.2">
      <c r="A16" s="35" t="s">
        <v>38</v>
      </c>
      <c r="B16" s="60">
        <v>363</v>
      </c>
      <c r="C16" s="60">
        <v>356</v>
      </c>
      <c r="D16" s="60">
        <v>300</v>
      </c>
      <c r="E16" s="60">
        <f>'[7]Atoll Final'!$P$19</f>
        <v>204</v>
      </c>
      <c r="F16" s="60">
        <f>'[7]Atoll Final'!$P$19</f>
        <v>204</v>
      </c>
      <c r="G16" s="60">
        <v>300</v>
      </c>
      <c r="H16" s="60">
        <v>364</v>
      </c>
      <c r="I16" s="60">
        <v>364</v>
      </c>
      <c r="J16" s="60">
        <v>363</v>
      </c>
      <c r="K16" s="60">
        <v>364</v>
      </c>
      <c r="L16" s="60">
        <v>364</v>
      </c>
      <c r="M16" s="60">
        <v>363</v>
      </c>
      <c r="N16" s="60">
        <v>361</v>
      </c>
      <c r="O16" s="64" t="s">
        <v>88</v>
      </c>
    </row>
    <row r="17" spans="1:15" ht="15" customHeight="1" x14ac:dyDescent="0.2">
      <c r="A17" s="35" t="s">
        <v>39</v>
      </c>
      <c r="B17" s="60">
        <v>196</v>
      </c>
      <c r="C17" s="60">
        <v>196</v>
      </c>
      <c r="D17" s="60">
        <v>72</v>
      </c>
      <c r="E17" s="60">
        <f>'[7]Atoll Final'!$P$22</f>
        <v>129</v>
      </c>
      <c r="F17" s="60">
        <f>'[7]Atoll Final'!$P$22</f>
        <v>129</v>
      </c>
      <c r="G17" s="60">
        <v>72</v>
      </c>
      <c r="H17" s="60">
        <v>195</v>
      </c>
      <c r="I17" s="60">
        <v>195</v>
      </c>
      <c r="J17" s="60">
        <v>195</v>
      </c>
      <c r="K17" s="60">
        <v>195</v>
      </c>
      <c r="L17" s="60">
        <v>195</v>
      </c>
      <c r="M17" s="60">
        <v>195</v>
      </c>
      <c r="N17" s="60">
        <v>195</v>
      </c>
      <c r="O17" s="64" t="s">
        <v>89</v>
      </c>
    </row>
    <row r="18" spans="1:15" ht="15" customHeight="1" x14ac:dyDescent="0.2">
      <c r="A18" s="35" t="s">
        <v>40</v>
      </c>
      <c r="B18" s="60">
        <v>189</v>
      </c>
      <c r="C18" s="60">
        <v>141</v>
      </c>
      <c r="D18" s="60">
        <v>95</v>
      </c>
      <c r="E18" s="60">
        <f>'[7]Atoll Final'!$P$25</f>
        <v>98</v>
      </c>
      <c r="F18" s="60">
        <f>'[7]Atoll Final'!$P$25</f>
        <v>98</v>
      </c>
      <c r="G18" s="60">
        <v>95</v>
      </c>
      <c r="H18" s="60">
        <v>189</v>
      </c>
      <c r="I18" s="60">
        <v>190</v>
      </c>
      <c r="J18" s="60">
        <v>188</v>
      </c>
      <c r="K18" s="60">
        <v>189</v>
      </c>
      <c r="L18" s="60">
        <v>190</v>
      </c>
      <c r="M18" s="60">
        <v>188</v>
      </c>
      <c r="N18" s="60">
        <v>188</v>
      </c>
      <c r="O18" s="64" t="s">
        <v>90</v>
      </c>
    </row>
    <row r="19" spans="1:15" ht="15" customHeight="1" x14ac:dyDescent="0.2">
      <c r="A19" s="35" t="s">
        <v>41</v>
      </c>
      <c r="B19" s="60">
        <v>209</v>
      </c>
      <c r="C19" s="60">
        <v>246</v>
      </c>
      <c r="D19" s="60">
        <v>6</v>
      </c>
      <c r="E19" s="60">
        <f>'[7]Atoll Final'!$P$31</f>
        <v>41</v>
      </c>
      <c r="F19" s="60">
        <f>'[7]Atoll Final'!$P$31</f>
        <v>41</v>
      </c>
      <c r="G19" s="60">
        <v>6</v>
      </c>
      <c r="H19" s="60">
        <v>207</v>
      </c>
      <c r="I19" s="60">
        <v>206</v>
      </c>
      <c r="J19" s="60">
        <v>209</v>
      </c>
      <c r="K19" s="60">
        <v>207</v>
      </c>
      <c r="L19" s="60">
        <v>206</v>
      </c>
      <c r="M19" s="60">
        <v>209</v>
      </c>
      <c r="N19" s="60">
        <v>209</v>
      </c>
      <c r="O19" s="64" t="s">
        <v>91</v>
      </c>
    </row>
    <row r="20" spans="1:15" ht="15" customHeight="1" x14ac:dyDescent="0.2">
      <c r="A20" s="35" t="s">
        <v>42</v>
      </c>
      <c r="B20" s="60">
        <v>151</v>
      </c>
      <c r="C20" s="60">
        <v>144</v>
      </c>
      <c r="D20" s="60">
        <v>16</v>
      </c>
      <c r="E20" s="60">
        <f>'[7]Atoll Final'!$P$34</f>
        <v>61</v>
      </c>
      <c r="F20" s="60">
        <f>'[7]Atoll Final'!$P$34</f>
        <v>61</v>
      </c>
      <c r="G20" s="60">
        <v>16</v>
      </c>
      <c r="H20" s="60">
        <v>119</v>
      </c>
      <c r="I20" s="60">
        <v>122</v>
      </c>
      <c r="J20" s="60">
        <v>118</v>
      </c>
      <c r="K20" s="60">
        <v>119</v>
      </c>
      <c r="L20" s="60">
        <v>119</v>
      </c>
      <c r="M20" s="60">
        <v>122</v>
      </c>
      <c r="N20" s="60">
        <v>118</v>
      </c>
      <c r="O20" s="64" t="s">
        <v>92</v>
      </c>
    </row>
    <row r="21" spans="1:15" ht="15" customHeight="1" x14ac:dyDescent="0.2">
      <c r="A21" s="35" t="s">
        <v>43</v>
      </c>
      <c r="B21" s="60">
        <v>171</v>
      </c>
      <c r="C21" s="60">
        <v>179</v>
      </c>
      <c r="D21" s="60">
        <v>64</v>
      </c>
      <c r="E21" s="60">
        <f>'[7]Atoll Final'!$P$37</f>
        <v>101</v>
      </c>
      <c r="F21" s="60">
        <f>'[7]Atoll Final'!$P$37</f>
        <v>101</v>
      </c>
      <c r="G21" s="60">
        <v>64</v>
      </c>
      <c r="H21" s="60">
        <v>171</v>
      </c>
      <c r="I21" s="60">
        <v>172</v>
      </c>
      <c r="J21" s="60">
        <v>175</v>
      </c>
      <c r="K21" s="60">
        <v>171</v>
      </c>
      <c r="L21" s="60">
        <v>172</v>
      </c>
      <c r="M21" s="60">
        <v>175</v>
      </c>
      <c r="N21" s="60">
        <v>174</v>
      </c>
      <c r="O21" s="64" t="s">
        <v>93</v>
      </c>
    </row>
    <row r="22" spans="1:15" ht="15" customHeight="1" x14ac:dyDescent="0.2">
      <c r="A22" s="35" t="s">
        <v>44</v>
      </c>
      <c r="B22" s="60">
        <v>32</v>
      </c>
      <c r="C22" s="60">
        <v>20</v>
      </c>
      <c r="D22" s="60">
        <v>0</v>
      </c>
      <c r="E22" s="60">
        <f>'[7]Atoll Final'!$P$40</f>
        <v>9</v>
      </c>
      <c r="F22" s="60">
        <f>'[7]Atoll Final'!$P$40</f>
        <v>9</v>
      </c>
      <c r="G22" s="60">
        <v>0</v>
      </c>
      <c r="H22" s="60">
        <v>22</v>
      </c>
      <c r="I22" s="60">
        <v>21</v>
      </c>
      <c r="J22" s="60">
        <v>22</v>
      </c>
      <c r="K22" s="60">
        <v>22</v>
      </c>
      <c r="L22" s="60">
        <v>21</v>
      </c>
      <c r="M22" s="60">
        <v>21</v>
      </c>
      <c r="N22" s="60">
        <v>21</v>
      </c>
      <c r="O22" s="64" t="s">
        <v>94</v>
      </c>
    </row>
    <row r="23" spans="1:15" ht="15" customHeight="1" x14ac:dyDescent="0.2">
      <c r="A23" s="35" t="s">
        <v>45</v>
      </c>
      <c r="B23" s="60">
        <v>87</v>
      </c>
      <c r="C23" s="60">
        <v>70</v>
      </c>
      <c r="D23" s="60">
        <v>9</v>
      </c>
      <c r="E23" s="60">
        <f>'[7]Atoll Final'!$P$46</f>
        <v>43</v>
      </c>
      <c r="F23" s="60">
        <f>'[7]Atoll Final'!$P$46</f>
        <v>43</v>
      </c>
      <c r="G23" s="60">
        <v>9</v>
      </c>
      <c r="H23" s="60">
        <v>93</v>
      </c>
      <c r="I23" s="60">
        <v>93</v>
      </c>
      <c r="J23" s="60">
        <v>93</v>
      </c>
      <c r="K23" s="60">
        <v>93</v>
      </c>
      <c r="L23" s="60">
        <v>93</v>
      </c>
      <c r="M23" s="60">
        <v>93</v>
      </c>
      <c r="N23" s="60">
        <v>94</v>
      </c>
      <c r="O23" s="64" t="s">
        <v>95</v>
      </c>
    </row>
    <row r="24" spans="1:15" ht="15" customHeight="1" x14ac:dyDescent="0.2">
      <c r="A24" s="35" t="s">
        <v>46</v>
      </c>
      <c r="B24" s="60">
        <v>99</v>
      </c>
      <c r="C24" s="60">
        <v>89</v>
      </c>
      <c r="D24" s="60">
        <v>22</v>
      </c>
      <c r="E24" s="60">
        <f>'[7]Atoll Final'!$P$49</f>
        <v>67</v>
      </c>
      <c r="F24" s="60">
        <f>'[7]Atoll Final'!$P$49</f>
        <v>67</v>
      </c>
      <c r="G24" s="60">
        <v>22</v>
      </c>
      <c r="H24" s="60">
        <v>100</v>
      </c>
      <c r="I24" s="60">
        <v>100</v>
      </c>
      <c r="J24" s="60">
        <v>101</v>
      </c>
      <c r="K24" s="60">
        <v>100</v>
      </c>
      <c r="L24" s="60">
        <v>100</v>
      </c>
      <c r="M24" s="60">
        <v>101</v>
      </c>
      <c r="N24" s="60">
        <v>101</v>
      </c>
      <c r="O24" s="64" t="s">
        <v>96</v>
      </c>
    </row>
    <row r="25" spans="1:15" ht="15" customHeight="1" x14ac:dyDescent="0.2">
      <c r="A25" s="35" t="s">
        <v>47</v>
      </c>
      <c r="B25" s="60">
        <v>108</v>
      </c>
      <c r="C25" s="60">
        <v>117</v>
      </c>
      <c r="D25" s="60">
        <v>57</v>
      </c>
      <c r="E25" s="60">
        <f>'[7]Atoll Final'!$P$52</f>
        <v>51</v>
      </c>
      <c r="F25" s="60">
        <f>'[7]Atoll Final'!$P$52</f>
        <v>51</v>
      </c>
      <c r="G25" s="60">
        <v>57</v>
      </c>
      <c r="H25" s="60">
        <v>114</v>
      </c>
      <c r="I25" s="60">
        <v>114</v>
      </c>
      <c r="J25" s="60">
        <v>115</v>
      </c>
      <c r="K25" s="60">
        <v>114</v>
      </c>
      <c r="L25" s="60">
        <v>114</v>
      </c>
      <c r="M25" s="60">
        <v>115</v>
      </c>
      <c r="N25" s="60">
        <v>115</v>
      </c>
      <c r="O25" s="64" t="s">
        <v>97</v>
      </c>
    </row>
    <row r="26" spans="1:15" ht="15" customHeight="1" x14ac:dyDescent="0.2">
      <c r="A26" s="35" t="s">
        <v>48</v>
      </c>
      <c r="B26" s="60">
        <v>203</v>
      </c>
      <c r="C26" s="60">
        <v>176</v>
      </c>
      <c r="D26" s="60">
        <v>97</v>
      </c>
      <c r="E26" s="60">
        <f>'[7]Atoll Final'!$P$58</f>
        <v>125</v>
      </c>
      <c r="F26" s="60">
        <f>'[7]Atoll Final'!$P$58</f>
        <v>125</v>
      </c>
      <c r="G26" s="60">
        <v>97</v>
      </c>
      <c r="H26" s="60">
        <v>216</v>
      </c>
      <c r="I26" s="60">
        <v>216</v>
      </c>
      <c r="J26" s="60">
        <v>218</v>
      </c>
      <c r="K26" s="60">
        <v>216</v>
      </c>
      <c r="L26" s="60">
        <v>216</v>
      </c>
      <c r="M26" s="60">
        <v>216</v>
      </c>
      <c r="N26" s="60">
        <v>218</v>
      </c>
      <c r="O26" s="64" t="s">
        <v>98</v>
      </c>
    </row>
    <row r="27" spans="1:15" ht="15" customHeight="1" x14ac:dyDescent="0.2">
      <c r="A27" s="35" t="s">
        <v>49</v>
      </c>
      <c r="B27" s="60">
        <v>240</v>
      </c>
      <c r="C27" s="60">
        <v>205</v>
      </c>
      <c r="D27" s="60">
        <v>150</v>
      </c>
      <c r="E27" s="60">
        <f>'[7]Atoll Final'!$P$61</f>
        <v>80</v>
      </c>
      <c r="F27" s="60">
        <f>'[7]Atoll Final'!$P$61</f>
        <v>80</v>
      </c>
      <c r="G27" s="60">
        <v>148</v>
      </c>
      <c r="H27" s="60">
        <v>219</v>
      </c>
      <c r="I27" s="60">
        <v>219</v>
      </c>
      <c r="J27" s="60">
        <v>222</v>
      </c>
      <c r="K27" s="60">
        <v>219</v>
      </c>
      <c r="L27" s="60">
        <v>219</v>
      </c>
      <c r="M27" s="60">
        <v>222</v>
      </c>
      <c r="N27" s="60">
        <v>222</v>
      </c>
      <c r="O27" s="64" t="s">
        <v>99</v>
      </c>
    </row>
    <row r="28" spans="1:15" ht="15" customHeight="1" x14ac:dyDescent="0.2">
      <c r="A28" s="35" t="s">
        <v>50</v>
      </c>
      <c r="B28" s="60">
        <v>151</v>
      </c>
      <c r="C28" s="60">
        <v>109</v>
      </c>
      <c r="D28" s="60">
        <v>45</v>
      </c>
      <c r="E28" s="60">
        <f>'[7]Atoll Final'!$P$67</f>
        <v>75</v>
      </c>
      <c r="F28" s="60">
        <f>'[7]Atoll Final'!$P$67</f>
        <v>75</v>
      </c>
      <c r="G28" s="60">
        <v>45</v>
      </c>
      <c r="H28" s="60">
        <v>171</v>
      </c>
      <c r="I28" s="60">
        <v>160</v>
      </c>
      <c r="J28" s="60">
        <v>159</v>
      </c>
      <c r="K28" s="60">
        <v>170</v>
      </c>
      <c r="L28" s="60">
        <v>162</v>
      </c>
      <c r="M28" s="60">
        <v>158</v>
      </c>
      <c r="N28" s="60">
        <v>158</v>
      </c>
      <c r="O28" s="64" t="s">
        <v>100</v>
      </c>
    </row>
    <row r="29" spans="1:15" ht="15" customHeight="1" x14ac:dyDescent="0.2">
      <c r="A29" s="35" t="s">
        <v>51</v>
      </c>
      <c r="B29" s="60">
        <v>197</v>
      </c>
      <c r="C29" s="60">
        <v>243</v>
      </c>
      <c r="D29" s="60">
        <v>197</v>
      </c>
      <c r="E29" s="60">
        <f>'[7]Atoll Final'!$P$70</f>
        <v>124</v>
      </c>
      <c r="F29" s="60">
        <f>'[7]Atoll Final'!$P$70</f>
        <v>124</v>
      </c>
      <c r="G29" s="60">
        <v>197</v>
      </c>
      <c r="H29" s="60">
        <v>211</v>
      </c>
      <c r="I29" s="60">
        <v>213</v>
      </c>
      <c r="J29" s="60">
        <v>212</v>
      </c>
      <c r="K29" s="60">
        <v>212</v>
      </c>
      <c r="L29" s="60">
        <v>213</v>
      </c>
      <c r="M29" s="60">
        <v>214</v>
      </c>
      <c r="N29" s="60">
        <v>212</v>
      </c>
      <c r="O29" s="64" t="s">
        <v>101</v>
      </c>
    </row>
    <row r="30" spans="1:15" ht="15" customHeight="1" x14ac:dyDescent="0.2">
      <c r="A30" s="35" t="s">
        <v>52</v>
      </c>
      <c r="B30" s="60">
        <v>148</v>
      </c>
      <c r="C30" s="60">
        <v>137</v>
      </c>
      <c r="D30" s="60">
        <v>147</v>
      </c>
      <c r="E30" s="60">
        <f>'[7]Atoll Final'!$P$76</f>
        <v>105</v>
      </c>
      <c r="F30" s="60">
        <f>'[7]Atoll Final'!$P$76</f>
        <v>105</v>
      </c>
      <c r="G30" s="60">
        <v>147</v>
      </c>
      <c r="H30" s="60">
        <v>157</v>
      </c>
      <c r="I30" s="60">
        <v>155</v>
      </c>
      <c r="J30" s="60">
        <v>156</v>
      </c>
      <c r="K30" s="60">
        <v>157</v>
      </c>
      <c r="L30" s="60">
        <v>155</v>
      </c>
      <c r="M30" s="60">
        <v>156</v>
      </c>
      <c r="N30" s="60">
        <v>156</v>
      </c>
      <c r="O30" s="64" t="s">
        <v>102</v>
      </c>
    </row>
    <row r="31" spans="1:15" ht="15" customHeight="1" x14ac:dyDescent="0.2">
      <c r="A31" s="35" t="s">
        <v>53</v>
      </c>
      <c r="B31" s="60">
        <v>361</v>
      </c>
      <c r="C31" s="60">
        <v>316</v>
      </c>
      <c r="D31" s="60">
        <v>281</v>
      </c>
      <c r="E31" s="60">
        <f>'[7]Atoll Final'!$P$79</f>
        <v>148</v>
      </c>
      <c r="F31" s="60">
        <f>'[7]Atoll Final'!$P$79</f>
        <v>148</v>
      </c>
      <c r="G31" s="60">
        <v>280</v>
      </c>
      <c r="H31" s="60">
        <v>367</v>
      </c>
      <c r="I31" s="60">
        <v>368</v>
      </c>
      <c r="J31" s="60">
        <v>369</v>
      </c>
      <c r="K31" s="60">
        <v>367</v>
      </c>
      <c r="L31" s="60">
        <v>368</v>
      </c>
      <c r="M31" s="60">
        <v>369</v>
      </c>
      <c r="N31" s="60">
        <v>369</v>
      </c>
      <c r="O31" s="64" t="s">
        <v>103</v>
      </c>
    </row>
    <row r="32" spans="1:15" s="33" customFormat="1" ht="15" customHeight="1" x14ac:dyDescent="0.25">
      <c r="A32" s="103" t="s">
        <v>54</v>
      </c>
      <c r="B32" s="104">
        <f>B11+B10</f>
        <v>6495</v>
      </c>
      <c r="C32" s="104">
        <f>C11+C10</f>
        <v>6209</v>
      </c>
      <c r="D32" s="104">
        <f>D11+D10</f>
        <v>6483</v>
      </c>
      <c r="E32" s="104">
        <f>E10+E11</f>
        <v>4569.3333333333339</v>
      </c>
      <c r="F32" s="104">
        <f>F11+F10</f>
        <v>4569.3333333333339</v>
      </c>
      <c r="G32" s="104">
        <f t="shared" ref="G32:N32" si="7">G11+G10</f>
        <v>6536</v>
      </c>
      <c r="H32" s="104">
        <f t="shared" si="7"/>
        <v>6583</v>
      </c>
      <c r="I32" s="104">
        <f t="shared" si="7"/>
        <v>6548</v>
      </c>
      <c r="J32" s="104">
        <f t="shared" si="7"/>
        <v>6532</v>
      </c>
      <c r="K32" s="104">
        <f t="shared" si="7"/>
        <v>6574</v>
      </c>
      <c r="L32" s="104">
        <f t="shared" si="7"/>
        <v>6557</v>
      </c>
      <c r="M32" s="104">
        <f t="shared" si="7"/>
        <v>6535</v>
      </c>
      <c r="N32" s="104">
        <f t="shared" si="7"/>
        <v>6524</v>
      </c>
      <c r="O32" s="105" t="s">
        <v>55</v>
      </c>
    </row>
    <row r="33" spans="1:15" s="33" customFormat="1" ht="15" customHeight="1" x14ac:dyDescent="0.25">
      <c r="A33" s="30" t="s">
        <v>56</v>
      </c>
      <c r="B33" s="34">
        <f>'[7]Atoll Final'!$K$89</f>
        <v>6504</v>
      </c>
      <c r="C33" s="34">
        <f>'[7]Atoll Final'!$M$89</f>
        <v>6228</v>
      </c>
      <c r="D33" s="34">
        <v>6508</v>
      </c>
      <c r="E33" s="34">
        <v>4570</v>
      </c>
      <c r="F33" s="34">
        <v>4569.5833333333339</v>
      </c>
      <c r="G33" s="34">
        <f>'[7]Atoll Final'!$C$89</f>
        <v>6508</v>
      </c>
      <c r="H33" s="34">
        <v>6609</v>
      </c>
      <c r="I33" s="34">
        <v>6609</v>
      </c>
      <c r="J33" s="34">
        <v>6609</v>
      </c>
      <c r="K33" s="34">
        <v>6609</v>
      </c>
      <c r="L33" s="34">
        <v>6609</v>
      </c>
      <c r="M33" s="34">
        <v>6609</v>
      </c>
      <c r="N33" s="34">
        <v>6609</v>
      </c>
      <c r="O33" s="32" t="s">
        <v>57</v>
      </c>
    </row>
    <row r="34" spans="1:15" s="33" customFormat="1" ht="15" customHeight="1" x14ac:dyDescent="0.25">
      <c r="A34" s="36" t="s">
        <v>58</v>
      </c>
      <c r="B34" s="37">
        <f>B32/B33*100</f>
        <v>99.861623616236159</v>
      </c>
      <c r="C34" s="37">
        <f t="shared" ref="C34" si="8">C32/C33*100</f>
        <v>99.694926140012839</v>
      </c>
      <c r="D34" s="37">
        <f>D32/D33*100</f>
        <v>99.6158574062692</v>
      </c>
      <c r="E34" s="38">
        <f>E32/E33*100</f>
        <v>99.98541210795041</v>
      </c>
      <c r="F34" s="38">
        <f>F32/F33*100</f>
        <v>99.994529041670461</v>
      </c>
      <c r="G34" s="38">
        <f t="shared" ref="G34:J34" si="9">G32/G33*100</f>
        <v>100.43023970497849</v>
      </c>
      <c r="H34" s="37">
        <f t="shared" si="9"/>
        <v>99.606597064608877</v>
      </c>
      <c r="I34" s="37">
        <f t="shared" si="9"/>
        <v>99.077016190043878</v>
      </c>
      <c r="J34" s="39">
        <f t="shared" si="9"/>
        <v>98.834922075957039</v>
      </c>
      <c r="K34" s="37">
        <f>K32/K33*100</f>
        <v>99.470419125435015</v>
      </c>
      <c r="L34" s="37">
        <f>L32/L33*100</f>
        <v>99.213194129217726</v>
      </c>
      <c r="M34" s="37">
        <f>M32/M33*100</f>
        <v>98.880314722348317</v>
      </c>
      <c r="N34" s="39">
        <f>N32/N33*100</f>
        <v>98.713875018913598</v>
      </c>
      <c r="O34" s="40" t="s">
        <v>59</v>
      </c>
    </row>
    <row r="35" spans="1:15" ht="17.25" x14ac:dyDescent="0.25">
      <c r="A35" s="41" t="s">
        <v>60</v>
      </c>
      <c r="B35" s="42"/>
      <c r="C35" s="42"/>
      <c r="D35" s="42"/>
      <c r="E35" s="43"/>
      <c r="F35" s="41" t="s">
        <v>61</v>
      </c>
      <c r="G35" s="44"/>
      <c r="H35" s="45"/>
      <c r="I35" s="45"/>
      <c r="J35" s="45"/>
      <c r="K35" s="44"/>
      <c r="L35" s="44"/>
      <c r="M35" s="46"/>
      <c r="N35" s="44"/>
      <c r="O35" s="47" t="s">
        <v>62</v>
      </c>
    </row>
    <row r="36" spans="1:15" ht="17.25" x14ac:dyDescent="0.25">
      <c r="A36" s="48" t="s">
        <v>63</v>
      </c>
      <c r="B36" s="42"/>
      <c r="C36" s="42"/>
      <c r="D36" s="42"/>
      <c r="E36" s="43"/>
      <c r="F36" s="41" t="s">
        <v>64</v>
      </c>
      <c r="G36" s="44"/>
      <c r="H36" s="49"/>
      <c r="I36" s="49"/>
      <c r="J36" s="49"/>
      <c r="K36" s="44"/>
      <c r="L36" s="44"/>
      <c r="M36" s="46"/>
      <c r="N36" s="44"/>
      <c r="O36" s="50" t="s">
        <v>65</v>
      </c>
    </row>
    <row r="37" spans="1:15" x14ac:dyDescent="0.25">
      <c r="A37" s="51" t="s">
        <v>66</v>
      </c>
      <c r="B37" s="52"/>
      <c r="C37" s="52"/>
      <c r="D37" s="52"/>
      <c r="E37" s="52"/>
      <c r="F37" s="52"/>
      <c r="G37" s="53"/>
      <c r="H37" s="45"/>
      <c r="I37" s="45"/>
      <c r="J37" s="45"/>
      <c r="K37" s="53"/>
      <c r="L37" s="53"/>
      <c r="M37" s="53"/>
      <c r="N37" s="50"/>
      <c r="O37" s="1" t="s">
        <v>67</v>
      </c>
    </row>
    <row r="38" spans="1:15" ht="17.25" x14ac:dyDescent="0.25">
      <c r="A38" s="51" t="s">
        <v>68</v>
      </c>
      <c r="B38" s="52"/>
      <c r="C38" s="52"/>
      <c r="D38" s="52"/>
      <c r="E38" s="52"/>
      <c r="F38" s="52"/>
      <c r="G38" s="51"/>
      <c r="H38" s="45"/>
      <c r="I38" s="45"/>
      <c r="J38" s="45"/>
      <c r="K38" s="53"/>
      <c r="L38" s="53"/>
      <c r="M38" s="53"/>
      <c r="N38" s="50"/>
      <c r="O38" s="54"/>
    </row>
    <row r="39" spans="1:15" ht="17.25" x14ac:dyDescent="0.25">
      <c r="A39" s="51" t="s">
        <v>69</v>
      </c>
      <c r="B39" s="52"/>
      <c r="C39" s="52"/>
      <c r="D39" s="52"/>
      <c r="E39" s="52"/>
      <c r="F39" s="52"/>
      <c r="G39" s="51"/>
      <c r="H39" s="45"/>
      <c r="I39" s="45"/>
      <c r="J39" s="45"/>
      <c r="K39" s="53"/>
      <c r="L39" s="53"/>
      <c r="M39" s="53"/>
      <c r="N39" s="50"/>
      <c r="O39" s="54"/>
    </row>
    <row r="40" spans="1:15" ht="17.25" x14ac:dyDescent="0.25">
      <c r="A40" s="51" t="s">
        <v>70</v>
      </c>
      <c r="B40" s="52" t="s">
        <v>71</v>
      </c>
      <c r="C40" s="52"/>
      <c r="D40" s="52"/>
      <c r="E40" s="52"/>
      <c r="F40" s="52"/>
      <c r="G40" s="51"/>
      <c r="H40" s="45"/>
      <c r="I40" s="45"/>
      <c r="J40" s="45"/>
      <c r="K40" s="53"/>
      <c r="L40" s="53"/>
      <c r="M40" s="53"/>
      <c r="N40" s="50"/>
      <c r="O40" s="54"/>
    </row>
    <row r="41" spans="1:15" ht="17.25" x14ac:dyDescent="0.25">
      <c r="A41" s="51" t="s">
        <v>72</v>
      </c>
      <c r="B41" s="52"/>
      <c r="C41" s="52"/>
      <c r="D41" s="52"/>
      <c r="E41" s="52"/>
      <c r="F41" s="52"/>
      <c r="G41" s="51"/>
      <c r="H41" s="45"/>
      <c r="I41" s="45"/>
      <c r="J41" s="45"/>
      <c r="K41" s="53"/>
      <c r="L41" s="53"/>
      <c r="M41" s="53"/>
      <c r="N41" s="50"/>
      <c r="O41" s="54"/>
    </row>
    <row r="42" spans="1:15" ht="17.25" x14ac:dyDescent="0.25">
      <c r="A42" s="51" t="s">
        <v>73</v>
      </c>
      <c r="B42" s="52"/>
      <c r="C42" s="52"/>
      <c r="D42" s="52"/>
      <c r="E42" s="52"/>
      <c r="F42" s="52"/>
      <c r="G42" s="51"/>
      <c r="H42" s="45"/>
      <c r="I42" s="45"/>
      <c r="J42" s="45"/>
      <c r="K42" s="53"/>
      <c r="L42" s="53"/>
      <c r="M42" s="53"/>
      <c r="N42" s="50"/>
      <c r="O42" s="54"/>
    </row>
    <row r="43" spans="1:15" ht="17.25" x14ac:dyDescent="0.25">
      <c r="A43" s="55" t="s">
        <v>74</v>
      </c>
      <c r="B43" s="52"/>
      <c r="C43" s="52"/>
      <c r="D43" s="52"/>
      <c r="E43" s="52"/>
      <c r="F43" s="52"/>
      <c r="G43" s="51"/>
      <c r="H43" s="45"/>
      <c r="I43" s="45"/>
      <c r="J43" s="45"/>
      <c r="K43" s="53"/>
      <c r="L43" s="53"/>
      <c r="M43" s="53"/>
      <c r="N43" s="50"/>
      <c r="O43" s="54"/>
    </row>
    <row r="44" spans="1:15" ht="17.25" x14ac:dyDescent="0.25">
      <c r="A44" s="51" t="s">
        <v>75</v>
      </c>
      <c r="B44" s="52"/>
      <c r="C44" s="52"/>
      <c r="D44" s="52"/>
      <c r="E44" s="52"/>
      <c r="F44" s="52"/>
      <c r="G44" s="51"/>
      <c r="H44" s="45"/>
      <c r="I44" s="45"/>
      <c r="J44" s="45"/>
      <c r="K44" s="53"/>
      <c r="L44" s="53"/>
      <c r="M44" s="53"/>
      <c r="N44" s="50"/>
      <c r="O44" s="54"/>
    </row>
    <row r="45" spans="1:15" ht="17.25" x14ac:dyDescent="0.25">
      <c r="A45" s="56" t="s">
        <v>76</v>
      </c>
      <c r="B45" s="52"/>
      <c r="C45" s="52"/>
      <c r="D45" s="52"/>
      <c r="E45" s="52"/>
      <c r="F45" s="52"/>
      <c r="G45" s="51"/>
      <c r="H45" s="45"/>
      <c r="I45" s="45"/>
      <c r="J45" s="45"/>
      <c r="K45" s="53"/>
      <c r="L45" s="53"/>
      <c r="M45" s="53"/>
      <c r="N45" s="50"/>
      <c r="O45" s="54"/>
    </row>
    <row r="46" spans="1:15" ht="15.75" customHeight="1" x14ac:dyDescent="0.2">
      <c r="A46" s="57" t="s">
        <v>77</v>
      </c>
      <c r="B46" s="52"/>
      <c r="C46" s="52"/>
      <c r="D46" s="52"/>
      <c r="E46" s="52"/>
      <c r="F46" s="52"/>
      <c r="G46" s="51"/>
      <c r="H46" s="45"/>
      <c r="I46" s="45"/>
      <c r="J46" s="45"/>
      <c r="K46" s="53"/>
      <c r="L46" s="53"/>
      <c r="M46" s="53"/>
      <c r="N46" s="50"/>
      <c r="O46" s="54"/>
    </row>
    <row r="47" spans="1:15" ht="17.25" x14ac:dyDescent="0.25">
      <c r="A47" s="58" t="s">
        <v>78</v>
      </c>
      <c r="B47" s="52"/>
      <c r="C47" s="52"/>
      <c r="D47" s="52"/>
      <c r="E47" s="52"/>
      <c r="F47" s="52"/>
      <c r="G47" s="51"/>
      <c r="H47" s="45"/>
      <c r="I47" s="45"/>
      <c r="J47" s="45"/>
      <c r="K47" s="53"/>
      <c r="L47" s="53"/>
      <c r="M47" s="53"/>
      <c r="N47" s="50"/>
      <c r="O47" s="54"/>
    </row>
    <row r="48" spans="1:15" ht="17.25" x14ac:dyDescent="0.25">
      <c r="A48" s="2" t="s">
        <v>79</v>
      </c>
      <c r="B48" s="52"/>
      <c r="C48" s="52"/>
      <c r="D48" s="52"/>
      <c r="E48" s="52"/>
      <c r="F48" s="52"/>
      <c r="G48" s="51"/>
      <c r="H48" s="45"/>
      <c r="I48" s="45"/>
      <c r="J48" s="45"/>
      <c r="K48" s="53"/>
      <c r="L48" s="53"/>
      <c r="M48" s="53"/>
      <c r="N48" s="50"/>
      <c r="O48" s="54"/>
    </row>
    <row r="49" spans="1:15" ht="17.25" x14ac:dyDescent="0.25">
      <c r="A49" s="2" t="s">
        <v>80</v>
      </c>
      <c r="B49" s="52"/>
      <c r="C49" s="52"/>
      <c r="D49" s="52"/>
      <c r="E49" s="52"/>
      <c r="F49" s="52"/>
      <c r="G49" s="51"/>
      <c r="H49" s="45"/>
      <c r="I49" s="45"/>
      <c r="J49" s="45"/>
      <c r="K49" s="53"/>
      <c r="L49" s="53"/>
      <c r="M49" s="53"/>
      <c r="N49" s="50"/>
      <c r="O49" s="54"/>
    </row>
    <row r="50" spans="1:15" ht="17.25" x14ac:dyDescent="0.25">
      <c r="A50" s="41" t="s">
        <v>81</v>
      </c>
      <c r="B50" s="52"/>
      <c r="C50" s="52"/>
      <c r="D50" s="52"/>
      <c r="E50" s="52"/>
      <c r="F50" s="52"/>
      <c r="G50" s="41"/>
      <c r="H50" s="45"/>
      <c r="I50" s="45"/>
      <c r="J50" s="45"/>
      <c r="K50" s="53"/>
      <c r="L50" s="53"/>
      <c r="M50" s="53"/>
      <c r="N50" s="50"/>
      <c r="O50" s="54"/>
    </row>
    <row r="51" spans="1:15" ht="17.25" x14ac:dyDescent="0.25">
      <c r="B51" s="52"/>
      <c r="C51" s="52"/>
      <c r="D51" s="52"/>
      <c r="E51" s="52"/>
      <c r="F51" s="52"/>
      <c r="G51" s="41"/>
      <c r="H51" s="45"/>
      <c r="I51" s="45"/>
      <c r="J51" s="45"/>
      <c r="K51" s="53"/>
      <c r="L51" s="53"/>
      <c r="M51" s="53"/>
      <c r="N51" s="50"/>
      <c r="O51" s="54"/>
    </row>
    <row r="52" spans="1:15" ht="12.75" x14ac:dyDescent="0.25">
      <c r="B52" s="3"/>
      <c r="C52" s="3"/>
      <c r="D52" s="3"/>
      <c r="E52" s="3"/>
      <c r="F52" s="3"/>
      <c r="G52" s="3"/>
      <c r="H52" s="102"/>
      <c r="I52" s="102"/>
      <c r="J52" s="102"/>
      <c r="K52" s="3"/>
      <c r="L52" s="3"/>
      <c r="M52" s="3"/>
      <c r="N52" s="3"/>
      <c r="O52" s="3"/>
    </row>
    <row r="53" spans="1:15" ht="12.75" x14ac:dyDescent="0.25">
      <c r="B53" s="3"/>
      <c r="C53" s="3"/>
      <c r="D53" s="3"/>
      <c r="E53" s="3"/>
      <c r="F53" s="3"/>
      <c r="G53" s="3"/>
      <c r="H53" s="102"/>
      <c r="I53" s="102"/>
      <c r="J53" s="102"/>
      <c r="K53" s="3"/>
      <c r="L53" s="3"/>
      <c r="M53" s="3"/>
      <c r="N53" s="3"/>
      <c r="O53" s="3"/>
    </row>
    <row r="54" spans="1:15" ht="12.75" x14ac:dyDescent="0.25">
      <c r="B54" s="3"/>
      <c r="C54" s="3"/>
      <c r="D54" s="3"/>
      <c r="E54" s="3"/>
      <c r="F54" s="3"/>
      <c r="G54" s="3"/>
      <c r="H54" s="102"/>
      <c r="I54" s="102"/>
      <c r="J54" s="102"/>
      <c r="K54" s="3"/>
      <c r="L54" s="3"/>
      <c r="M54" s="3"/>
      <c r="N54" s="3"/>
      <c r="O54" s="3"/>
    </row>
    <row r="55" spans="1:15" ht="12.75" x14ac:dyDescent="0.25">
      <c r="B55" s="3"/>
      <c r="C55" s="3"/>
      <c r="D55" s="3"/>
      <c r="E55" s="3"/>
      <c r="F55" s="3"/>
      <c r="G55" s="3"/>
      <c r="H55" s="102"/>
      <c r="I55" s="102"/>
      <c r="J55" s="102"/>
      <c r="K55" s="3"/>
      <c r="L55" s="3"/>
      <c r="M55" s="3"/>
      <c r="N55" s="3"/>
      <c r="O55" s="3"/>
    </row>
    <row r="56" spans="1:15" ht="12.75" x14ac:dyDescent="0.25">
      <c r="B56" s="3"/>
      <c r="C56" s="3"/>
      <c r="D56" s="3"/>
      <c r="E56" s="3"/>
      <c r="F56" s="3"/>
      <c r="G56" s="3"/>
      <c r="H56" s="102"/>
      <c r="I56" s="102"/>
      <c r="J56" s="102"/>
      <c r="K56" s="3"/>
      <c r="L56" s="3"/>
      <c r="M56" s="3"/>
      <c r="N56" s="3"/>
      <c r="O56" s="3"/>
    </row>
    <row r="57" spans="1:15" ht="12.75" x14ac:dyDescent="0.25">
      <c r="B57" s="3"/>
      <c r="C57" s="3"/>
      <c r="D57" s="3"/>
      <c r="E57" s="3"/>
      <c r="F57" s="3"/>
      <c r="G57" s="3"/>
      <c r="H57" s="102"/>
      <c r="I57" s="102"/>
      <c r="J57" s="102"/>
      <c r="K57" s="3"/>
      <c r="L57" s="3"/>
      <c r="M57" s="3"/>
      <c r="N57" s="3"/>
      <c r="O57" s="3"/>
    </row>
    <row r="58" spans="1:15" ht="12.75" x14ac:dyDescent="0.25">
      <c r="B58" s="3"/>
      <c r="C58" s="3"/>
      <c r="D58" s="3"/>
      <c r="E58" s="3"/>
      <c r="F58" s="3"/>
      <c r="G58" s="3"/>
      <c r="H58" s="102"/>
      <c r="I58" s="102"/>
      <c r="J58" s="102"/>
      <c r="K58" s="3"/>
      <c r="L58" s="3"/>
      <c r="M58" s="3"/>
      <c r="N58" s="3"/>
      <c r="O58" s="3"/>
    </row>
    <row r="59" spans="1:15" ht="12.75" x14ac:dyDescent="0.25"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</row>
    <row r="60" spans="1:15" ht="12.75" x14ac:dyDescent="0.25"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</row>
    <row r="61" spans="1:15" ht="12.75" x14ac:dyDescent="0.25"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</row>
    <row r="62" spans="1:15" ht="12.75" x14ac:dyDescent="0.25"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</row>
    <row r="63" spans="1:15" ht="12.75" x14ac:dyDescent="0.25"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</row>
    <row r="64" spans="1:15" ht="12.75" x14ac:dyDescent="0.25"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</row>
    <row r="65" spans="2:15" ht="12.75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</row>
    <row r="66" spans="2:15" ht="12.75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</row>
    <row r="67" spans="2:15" ht="12.75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ht="12.75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</row>
    <row r="69" spans="2:15" ht="12.75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</row>
    <row r="70" spans="2:15" ht="12.75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</row>
    <row r="71" spans="2:15" ht="12.75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</row>
    <row r="72" spans="2:15" ht="12.75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</row>
    <row r="73" spans="2:15" ht="12.75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</row>
    <row r="74" spans="2:15" ht="12.75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</row>
    <row r="75" spans="2:15" ht="12.75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</row>
    <row r="76" spans="2:15" ht="12.75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</row>
    <row r="77" spans="2:15" ht="12.75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</row>
    <row r="78" spans="2:15" ht="12.75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</row>
    <row r="79" spans="2:15" ht="12.75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</row>
    <row r="80" spans="2:15" ht="12.75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</row>
    <row r="81" spans="2:15" ht="12.75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</row>
    <row r="82" spans="2:15" ht="12.75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2:15" ht="12.75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</row>
    <row r="84" spans="2:15" ht="12.75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</row>
    <row r="85" spans="2:15" ht="12.75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</row>
    <row r="86" spans="2:15" ht="12.75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</row>
    <row r="87" spans="2:15" ht="12.75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</row>
    <row r="88" spans="2:15" ht="12.75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</row>
    <row r="89" spans="2:15" ht="12.75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</row>
    <row r="90" spans="2:15" ht="12.75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2:15" ht="12.75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</row>
    <row r="92" spans="2:15" ht="12.75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</row>
    <row r="93" spans="2:15" ht="12.75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</row>
    <row r="94" spans="2:15" ht="12.75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</row>
    <row r="95" spans="2:15" ht="12.75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2:15" ht="12.75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</row>
    <row r="97" spans="2:15" ht="12.75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</row>
    <row r="98" spans="2:15" ht="12.75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</row>
    <row r="99" spans="2:15" ht="12.75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</row>
    <row r="100" spans="2:15" ht="12.75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</row>
    <row r="101" spans="2:15" ht="12.75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</row>
    <row r="102" spans="2:15" ht="12.75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</row>
    <row r="103" spans="2:15" ht="12.75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</row>
    <row r="104" spans="2:15" ht="12.75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</row>
    <row r="105" spans="2:15" ht="12.75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</row>
    <row r="106" spans="2:15" ht="12.75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</row>
    <row r="107" spans="2:15" ht="12.75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</row>
    <row r="108" spans="2:15" x14ac:dyDescent="0.25">
      <c r="H108" s="63"/>
      <c r="I108" s="63"/>
      <c r="J108" s="63"/>
    </row>
    <row r="109" spans="2:15" x14ac:dyDescent="0.25">
      <c r="H109" s="63"/>
      <c r="I109" s="63"/>
      <c r="J109" s="63"/>
    </row>
    <row r="110" spans="2:15" x14ac:dyDescent="0.25">
      <c r="H110" s="63"/>
      <c r="I110" s="63"/>
      <c r="J110" s="63"/>
    </row>
    <row r="111" spans="2:15" x14ac:dyDescent="0.25">
      <c r="H111" s="63"/>
      <c r="I111" s="63"/>
      <c r="J111" s="63"/>
    </row>
    <row r="112" spans="2:15" x14ac:dyDescent="0.25">
      <c r="H112" s="63"/>
      <c r="I112" s="63"/>
      <c r="J112" s="63"/>
    </row>
    <row r="113" spans="8:10" x14ac:dyDescent="0.25">
      <c r="H113" s="63"/>
      <c r="I113" s="63"/>
      <c r="J113" s="63"/>
    </row>
    <row r="114" spans="8:10" x14ac:dyDescent="0.25">
      <c r="H114" s="63"/>
      <c r="I114" s="63"/>
      <c r="J114" s="63"/>
    </row>
    <row r="115" spans="8:10" x14ac:dyDescent="0.25">
      <c r="H115" s="63"/>
      <c r="I115" s="63"/>
      <c r="J115" s="63"/>
    </row>
    <row r="116" spans="8:10" x14ac:dyDescent="0.25">
      <c r="H116" s="63"/>
      <c r="I116" s="63"/>
      <c r="J116" s="63"/>
    </row>
    <row r="117" spans="8:10" x14ac:dyDescent="0.25">
      <c r="H117" s="63"/>
      <c r="I117" s="63"/>
      <c r="J117" s="63"/>
    </row>
    <row r="118" spans="8:10" x14ac:dyDescent="0.25">
      <c r="H118" s="63"/>
      <c r="I118" s="63"/>
      <c r="J118" s="63"/>
    </row>
    <row r="119" spans="8:10" x14ac:dyDescent="0.25">
      <c r="H119" s="63"/>
      <c r="I119" s="63"/>
      <c r="J119" s="63"/>
    </row>
    <row r="120" spans="8:10" x14ac:dyDescent="0.25">
      <c r="H120" s="63"/>
      <c r="I120" s="63"/>
      <c r="J120" s="63"/>
    </row>
    <row r="121" spans="8:10" x14ac:dyDescent="0.25">
      <c r="H121" s="63"/>
      <c r="I121" s="63"/>
      <c r="J121" s="63"/>
    </row>
    <row r="122" spans="8:10" x14ac:dyDescent="0.25">
      <c r="H122" s="63"/>
      <c r="I122" s="63"/>
      <c r="J122" s="63"/>
    </row>
    <row r="123" spans="8:10" x14ac:dyDescent="0.25">
      <c r="H123" s="63"/>
      <c r="I123" s="63"/>
      <c r="J123" s="63"/>
    </row>
    <row r="124" spans="8:10" x14ac:dyDescent="0.25">
      <c r="H124" s="63"/>
      <c r="I124" s="63"/>
      <c r="J124" s="63"/>
    </row>
    <row r="125" spans="8:10" x14ac:dyDescent="0.25">
      <c r="H125" s="63"/>
      <c r="I125" s="63"/>
      <c r="J125" s="63"/>
    </row>
    <row r="126" spans="8:10" x14ac:dyDescent="0.25">
      <c r="H126" s="63"/>
      <c r="I126" s="63"/>
      <c r="J126" s="63"/>
    </row>
    <row r="127" spans="8:10" x14ac:dyDescent="0.25">
      <c r="H127" s="63"/>
      <c r="I127" s="63"/>
      <c r="J127" s="63"/>
    </row>
    <row r="128" spans="8:10" x14ac:dyDescent="0.25">
      <c r="H128" s="63"/>
      <c r="I128" s="63"/>
      <c r="J128" s="63"/>
    </row>
    <row r="129" spans="8:10" x14ac:dyDescent="0.25">
      <c r="H129" s="63"/>
      <c r="I129" s="63"/>
      <c r="J129" s="63"/>
    </row>
    <row r="130" spans="8:10" x14ac:dyDescent="0.25">
      <c r="H130" s="63"/>
      <c r="I130" s="63"/>
      <c r="J130" s="63"/>
    </row>
    <row r="131" spans="8:10" x14ac:dyDescent="0.25">
      <c r="H131" s="63"/>
      <c r="I131" s="63"/>
      <c r="J131" s="63"/>
    </row>
    <row r="132" spans="8:10" x14ac:dyDescent="0.25">
      <c r="H132" s="63"/>
      <c r="I132" s="63"/>
      <c r="J132" s="63"/>
    </row>
    <row r="133" spans="8:10" x14ac:dyDescent="0.25">
      <c r="H133" s="63"/>
      <c r="I133" s="63"/>
      <c r="J133" s="63"/>
    </row>
    <row r="134" spans="8:10" x14ac:dyDescent="0.25">
      <c r="H134" s="63"/>
      <c r="I134" s="63"/>
      <c r="J134" s="63"/>
    </row>
    <row r="135" spans="8:10" x14ac:dyDescent="0.25">
      <c r="H135" s="63"/>
      <c r="I135" s="63"/>
      <c r="J135" s="63"/>
    </row>
    <row r="136" spans="8:10" x14ac:dyDescent="0.25">
      <c r="H136" s="63"/>
      <c r="I136" s="63"/>
      <c r="J136" s="63"/>
    </row>
    <row r="137" spans="8:10" x14ac:dyDescent="0.25">
      <c r="H137" s="63"/>
      <c r="I137" s="63"/>
      <c r="J137" s="63"/>
    </row>
    <row r="138" spans="8:10" x14ac:dyDescent="0.25">
      <c r="H138" s="63"/>
      <c r="I138" s="63"/>
      <c r="J138" s="63"/>
    </row>
    <row r="139" spans="8:10" x14ac:dyDescent="0.25">
      <c r="H139" s="63"/>
      <c r="I139" s="63"/>
      <c r="J139" s="63"/>
    </row>
    <row r="140" spans="8:10" x14ac:dyDescent="0.25">
      <c r="H140" s="63"/>
      <c r="I140" s="63"/>
      <c r="J140" s="63"/>
    </row>
    <row r="141" spans="8:10" x14ac:dyDescent="0.25">
      <c r="H141" s="63"/>
      <c r="I141" s="63"/>
      <c r="J141" s="63"/>
    </row>
    <row r="142" spans="8:10" x14ac:dyDescent="0.25">
      <c r="H142" s="63"/>
      <c r="I142" s="63"/>
      <c r="J142" s="63"/>
    </row>
    <row r="143" spans="8:10" x14ac:dyDescent="0.25">
      <c r="H143" s="63"/>
      <c r="I143" s="63"/>
      <c r="J143" s="63"/>
    </row>
    <row r="144" spans="8:10" x14ac:dyDescent="0.25">
      <c r="H144" s="63"/>
      <c r="I144" s="63"/>
      <c r="J144" s="63"/>
    </row>
    <row r="145" spans="8:10" x14ac:dyDescent="0.25">
      <c r="H145" s="63"/>
      <c r="I145" s="63"/>
      <c r="J145" s="63"/>
    </row>
    <row r="146" spans="8:10" x14ac:dyDescent="0.25">
      <c r="H146" s="63"/>
      <c r="I146" s="63"/>
      <c r="J146" s="63"/>
    </row>
    <row r="147" spans="8:10" x14ac:dyDescent="0.25">
      <c r="H147" s="63"/>
      <c r="I147" s="63"/>
      <c r="J147" s="63"/>
    </row>
    <row r="148" spans="8:10" x14ac:dyDescent="0.25">
      <c r="H148" s="63"/>
      <c r="I148" s="63"/>
      <c r="J148" s="63"/>
    </row>
    <row r="149" spans="8:10" x14ac:dyDescent="0.25">
      <c r="H149" s="63"/>
      <c r="I149" s="63"/>
      <c r="J149" s="63"/>
    </row>
    <row r="150" spans="8:10" x14ac:dyDescent="0.25">
      <c r="H150" s="63"/>
      <c r="I150" s="63"/>
      <c r="J150" s="63"/>
    </row>
    <row r="151" spans="8:10" x14ac:dyDescent="0.25">
      <c r="H151" s="63"/>
      <c r="I151" s="63"/>
      <c r="J151" s="63"/>
    </row>
    <row r="152" spans="8:10" x14ac:dyDescent="0.25">
      <c r="H152" s="63"/>
      <c r="I152" s="63"/>
      <c r="J152" s="63"/>
    </row>
    <row r="153" spans="8:10" x14ac:dyDescent="0.25">
      <c r="H153" s="63"/>
      <c r="I153" s="63"/>
      <c r="J153" s="63"/>
    </row>
    <row r="154" spans="8:10" x14ac:dyDescent="0.25">
      <c r="H154" s="63"/>
      <c r="I154" s="63"/>
      <c r="J154" s="63"/>
    </row>
    <row r="155" spans="8:10" x14ac:dyDescent="0.25">
      <c r="H155" s="63"/>
      <c r="I155" s="63"/>
      <c r="J155" s="63"/>
    </row>
    <row r="156" spans="8:10" x14ac:dyDescent="0.25">
      <c r="H156" s="63"/>
      <c r="I156" s="63"/>
      <c r="J156" s="63"/>
    </row>
    <row r="157" spans="8:10" x14ac:dyDescent="0.25">
      <c r="H157" s="63"/>
      <c r="I157" s="63"/>
      <c r="J157" s="63"/>
    </row>
    <row r="158" spans="8:10" x14ac:dyDescent="0.25">
      <c r="H158" s="63"/>
      <c r="I158" s="63"/>
      <c r="J158" s="63"/>
    </row>
    <row r="159" spans="8:10" x14ac:dyDescent="0.25">
      <c r="H159" s="63"/>
      <c r="I159" s="63"/>
      <c r="J159" s="63"/>
    </row>
    <row r="160" spans="8:10" x14ac:dyDescent="0.25">
      <c r="H160" s="63"/>
      <c r="I160" s="63"/>
      <c r="J160" s="63"/>
    </row>
    <row r="161" spans="8:10" x14ac:dyDescent="0.25">
      <c r="H161" s="63"/>
      <c r="I161" s="63"/>
      <c r="J161" s="63"/>
    </row>
    <row r="162" spans="8:10" x14ac:dyDescent="0.25">
      <c r="H162" s="63"/>
      <c r="I162" s="63"/>
      <c r="J162" s="63"/>
    </row>
    <row r="163" spans="8:10" x14ac:dyDescent="0.25">
      <c r="H163" s="63"/>
      <c r="I163" s="63"/>
      <c r="J163" s="63"/>
    </row>
    <row r="164" spans="8:10" x14ac:dyDescent="0.25">
      <c r="H164" s="63"/>
      <c r="I164" s="63"/>
      <c r="J164" s="63"/>
    </row>
    <row r="165" spans="8:10" x14ac:dyDescent="0.25">
      <c r="H165" s="63"/>
      <c r="I165" s="63"/>
      <c r="J165" s="63"/>
    </row>
    <row r="166" spans="8:10" x14ac:dyDescent="0.25">
      <c r="H166" s="63"/>
      <c r="I166" s="63"/>
      <c r="J166" s="63"/>
    </row>
    <row r="167" spans="8:10" x14ac:dyDescent="0.25">
      <c r="H167" s="63"/>
      <c r="I167" s="63"/>
      <c r="J167" s="63"/>
    </row>
    <row r="168" spans="8:10" x14ac:dyDescent="0.25">
      <c r="H168" s="63"/>
      <c r="I168" s="63"/>
      <c r="J168" s="63"/>
    </row>
    <row r="169" spans="8:10" x14ac:dyDescent="0.25">
      <c r="H169" s="63"/>
      <c r="I169" s="63"/>
      <c r="J169" s="63"/>
    </row>
    <row r="170" spans="8:10" x14ac:dyDescent="0.25">
      <c r="H170" s="63"/>
      <c r="I170" s="63"/>
      <c r="J170" s="63"/>
    </row>
    <row r="171" spans="8:10" x14ac:dyDescent="0.25">
      <c r="H171" s="63"/>
      <c r="I171" s="63"/>
      <c r="J171" s="63"/>
    </row>
    <row r="172" spans="8:10" x14ac:dyDescent="0.25">
      <c r="H172" s="63"/>
      <c r="I172" s="63"/>
      <c r="J172" s="63"/>
    </row>
    <row r="173" spans="8:10" x14ac:dyDescent="0.25">
      <c r="H173" s="63"/>
      <c r="I173" s="63"/>
      <c r="J173" s="63"/>
    </row>
    <row r="174" spans="8:10" x14ac:dyDescent="0.25">
      <c r="H174" s="63"/>
      <c r="I174" s="63"/>
      <c r="J174" s="63"/>
    </row>
    <row r="175" spans="8:10" x14ac:dyDescent="0.25">
      <c r="H175" s="63"/>
      <c r="I175" s="63"/>
      <c r="J175" s="63"/>
    </row>
    <row r="176" spans="8:10" x14ac:dyDescent="0.25">
      <c r="H176" s="63"/>
      <c r="I176" s="63"/>
      <c r="J176" s="63"/>
    </row>
    <row r="177" spans="8:10" x14ac:dyDescent="0.25">
      <c r="H177" s="63"/>
      <c r="I177" s="63"/>
      <c r="J177" s="63"/>
    </row>
    <row r="178" spans="8:10" x14ac:dyDescent="0.25">
      <c r="H178" s="63"/>
      <c r="I178" s="63"/>
      <c r="J178" s="63"/>
    </row>
    <row r="179" spans="8:10" x14ac:dyDescent="0.25">
      <c r="H179" s="63"/>
      <c r="I179" s="63"/>
      <c r="J179" s="63"/>
    </row>
    <row r="180" spans="8:10" x14ac:dyDescent="0.25">
      <c r="H180" s="63"/>
      <c r="I180" s="63"/>
      <c r="J180" s="63"/>
    </row>
    <row r="181" spans="8:10" x14ac:dyDescent="0.25">
      <c r="H181" s="63"/>
      <c r="I181" s="63"/>
      <c r="J181" s="63"/>
    </row>
    <row r="182" spans="8:10" x14ac:dyDescent="0.25">
      <c r="H182" s="63"/>
      <c r="I182" s="63"/>
      <c r="J182" s="63"/>
    </row>
    <row r="183" spans="8:10" x14ac:dyDescent="0.25">
      <c r="H183" s="63"/>
      <c r="I183" s="63"/>
      <c r="J183" s="63"/>
    </row>
    <row r="184" spans="8:10" x14ac:dyDescent="0.25">
      <c r="H184" s="63"/>
      <c r="I184" s="63"/>
      <c r="J184" s="63"/>
    </row>
    <row r="185" spans="8:10" x14ac:dyDescent="0.25">
      <c r="H185" s="63"/>
      <c r="I185" s="63"/>
      <c r="J185" s="63"/>
    </row>
    <row r="186" spans="8:10" x14ac:dyDescent="0.25">
      <c r="H186" s="63"/>
      <c r="I186" s="63"/>
      <c r="J186" s="63"/>
    </row>
    <row r="187" spans="8:10" x14ac:dyDescent="0.25">
      <c r="H187" s="63"/>
      <c r="I187" s="63"/>
      <c r="J187" s="63"/>
    </row>
    <row r="188" spans="8:10" x14ac:dyDescent="0.25">
      <c r="H188" s="63"/>
      <c r="I188" s="63"/>
      <c r="J188" s="63"/>
    </row>
    <row r="189" spans="8:10" x14ac:dyDescent="0.25">
      <c r="H189" s="63"/>
      <c r="I189" s="63"/>
      <c r="J189" s="63"/>
    </row>
    <row r="190" spans="8:10" x14ac:dyDescent="0.25">
      <c r="H190" s="63"/>
      <c r="I190" s="63"/>
      <c r="J190" s="63"/>
    </row>
    <row r="191" spans="8:10" x14ac:dyDescent="0.25">
      <c r="H191" s="63"/>
      <c r="I191" s="63"/>
      <c r="J191" s="63"/>
    </row>
    <row r="192" spans="8:10" x14ac:dyDescent="0.25">
      <c r="H192" s="63"/>
      <c r="I192" s="63"/>
      <c r="J192" s="63"/>
    </row>
    <row r="193" spans="8:10" x14ac:dyDescent="0.25">
      <c r="H193" s="63"/>
      <c r="I193" s="63"/>
      <c r="J193" s="63"/>
    </row>
    <row r="194" spans="8:10" x14ac:dyDescent="0.25">
      <c r="H194" s="63"/>
      <c r="I194" s="63"/>
      <c r="J194" s="63"/>
    </row>
    <row r="195" spans="8:10" x14ac:dyDescent="0.25">
      <c r="H195" s="63"/>
      <c r="I195" s="63"/>
      <c r="J195" s="63"/>
    </row>
    <row r="196" spans="8:10" x14ac:dyDescent="0.25">
      <c r="H196" s="63"/>
      <c r="I196" s="63"/>
      <c r="J196" s="63"/>
    </row>
    <row r="197" spans="8:10" x14ac:dyDescent="0.25">
      <c r="H197" s="63"/>
      <c r="I197" s="63"/>
      <c r="J197" s="63"/>
    </row>
    <row r="198" spans="8:10" x14ac:dyDescent="0.25">
      <c r="H198" s="63"/>
      <c r="I198" s="63"/>
      <c r="J198" s="63"/>
    </row>
    <row r="199" spans="8:10" x14ac:dyDescent="0.25">
      <c r="H199" s="63"/>
      <c r="I199" s="63"/>
      <c r="J199" s="63"/>
    </row>
    <row r="200" spans="8:10" x14ac:dyDescent="0.25">
      <c r="H200" s="63"/>
      <c r="I200" s="63"/>
      <c r="J200" s="63"/>
    </row>
    <row r="201" spans="8:10" x14ac:dyDescent="0.25">
      <c r="H201" s="63"/>
      <c r="I201" s="63"/>
      <c r="J201" s="63"/>
    </row>
    <row r="202" spans="8:10" x14ac:dyDescent="0.25">
      <c r="H202" s="63"/>
      <c r="I202" s="63"/>
      <c r="J202" s="63"/>
    </row>
    <row r="203" spans="8:10" x14ac:dyDescent="0.25">
      <c r="H203" s="63"/>
      <c r="I203" s="63"/>
      <c r="J203" s="63"/>
    </row>
    <row r="204" spans="8:10" x14ac:dyDescent="0.25">
      <c r="H204" s="63"/>
      <c r="I204" s="63"/>
      <c r="J204" s="63"/>
    </row>
    <row r="205" spans="8:10" x14ac:dyDescent="0.25">
      <c r="H205" s="63"/>
      <c r="I205" s="63"/>
      <c r="J205" s="63"/>
    </row>
    <row r="206" spans="8:10" x14ac:dyDescent="0.25">
      <c r="H206" s="63"/>
      <c r="I206" s="63"/>
      <c r="J206" s="63"/>
    </row>
    <row r="207" spans="8:10" x14ac:dyDescent="0.25">
      <c r="H207" s="63"/>
      <c r="I207" s="63"/>
      <c r="J207" s="63"/>
    </row>
    <row r="208" spans="8:10" x14ac:dyDescent="0.25">
      <c r="H208" s="63"/>
      <c r="I208" s="63"/>
      <c r="J208" s="63"/>
    </row>
    <row r="209" spans="8:10" x14ac:dyDescent="0.25">
      <c r="H209" s="63"/>
      <c r="I209" s="63"/>
      <c r="J209" s="63"/>
    </row>
    <row r="210" spans="8:10" x14ac:dyDescent="0.25">
      <c r="H210" s="63"/>
      <c r="I210" s="63"/>
      <c r="J210" s="63"/>
    </row>
    <row r="211" spans="8:10" x14ac:dyDescent="0.25">
      <c r="H211" s="63"/>
      <c r="I211" s="63"/>
      <c r="J211" s="63"/>
    </row>
    <row r="212" spans="8:10" x14ac:dyDescent="0.25">
      <c r="H212" s="63"/>
      <c r="I212" s="63"/>
      <c r="J212" s="63"/>
    </row>
    <row r="213" spans="8:10" x14ac:dyDescent="0.25">
      <c r="H213" s="63"/>
      <c r="I213" s="63"/>
      <c r="J213" s="63"/>
    </row>
    <row r="214" spans="8:10" x14ac:dyDescent="0.25">
      <c r="H214" s="63"/>
      <c r="I214" s="63"/>
      <c r="J214" s="63"/>
    </row>
    <row r="215" spans="8:10" x14ac:dyDescent="0.25">
      <c r="H215" s="63"/>
      <c r="I215" s="63"/>
      <c r="J215" s="63"/>
    </row>
    <row r="216" spans="8:10" x14ac:dyDescent="0.25">
      <c r="H216" s="63"/>
      <c r="I216" s="63"/>
      <c r="J216" s="63"/>
    </row>
    <row r="217" spans="8:10" x14ac:dyDescent="0.25">
      <c r="H217" s="63"/>
      <c r="I217" s="63"/>
      <c r="J217" s="63"/>
    </row>
    <row r="218" spans="8:10" x14ac:dyDescent="0.25">
      <c r="H218" s="63"/>
      <c r="I218" s="63"/>
      <c r="J218" s="63"/>
    </row>
    <row r="219" spans="8:10" x14ac:dyDescent="0.25">
      <c r="H219" s="63"/>
      <c r="I219" s="63"/>
      <c r="J219" s="63"/>
    </row>
    <row r="220" spans="8:10" x14ac:dyDescent="0.25">
      <c r="H220" s="63"/>
      <c r="I220" s="63"/>
      <c r="J220" s="63"/>
    </row>
    <row r="221" spans="8:10" x14ac:dyDescent="0.25">
      <c r="H221" s="63"/>
      <c r="I221" s="63"/>
      <c r="J221" s="63"/>
    </row>
    <row r="222" spans="8:10" x14ac:dyDescent="0.25">
      <c r="H222" s="63"/>
      <c r="I222" s="63"/>
      <c r="J222" s="63"/>
    </row>
    <row r="223" spans="8:10" x14ac:dyDescent="0.25">
      <c r="H223" s="63"/>
      <c r="I223" s="63"/>
      <c r="J223" s="63"/>
    </row>
    <row r="224" spans="8:10" x14ac:dyDescent="0.25">
      <c r="H224" s="63"/>
      <c r="I224" s="63"/>
      <c r="J224" s="63"/>
    </row>
    <row r="225" spans="8:10" x14ac:dyDescent="0.25">
      <c r="H225" s="63"/>
      <c r="I225" s="63"/>
      <c r="J225" s="63"/>
    </row>
    <row r="226" spans="8:10" x14ac:dyDescent="0.25">
      <c r="H226" s="63"/>
      <c r="I226" s="63"/>
      <c r="J226" s="63"/>
    </row>
    <row r="227" spans="8:10" x14ac:dyDescent="0.25">
      <c r="H227" s="63"/>
      <c r="I227" s="63"/>
      <c r="J227" s="63"/>
    </row>
    <row r="228" spans="8:10" x14ac:dyDescent="0.25">
      <c r="H228" s="63"/>
      <c r="I228" s="63"/>
      <c r="J228" s="63"/>
    </row>
    <row r="229" spans="8:10" x14ac:dyDescent="0.25">
      <c r="H229" s="63"/>
      <c r="I229" s="63"/>
      <c r="J229" s="63"/>
    </row>
    <row r="230" spans="8:10" x14ac:dyDescent="0.25">
      <c r="H230" s="63"/>
      <c r="I230" s="63"/>
      <c r="J230" s="63"/>
    </row>
    <row r="231" spans="8:10" x14ac:dyDescent="0.25">
      <c r="H231" s="63"/>
      <c r="I231" s="63"/>
      <c r="J231" s="63"/>
    </row>
    <row r="232" spans="8:10" x14ac:dyDescent="0.25">
      <c r="H232" s="63"/>
      <c r="I232" s="63"/>
      <c r="J232" s="63"/>
    </row>
    <row r="233" spans="8:10" x14ac:dyDescent="0.25">
      <c r="H233" s="63"/>
      <c r="I233" s="63"/>
      <c r="J233" s="63"/>
    </row>
    <row r="234" spans="8:10" x14ac:dyDescent="0.25">
      <c r="H234" s="63"/>
      <c r="I234" s="63"/>
      <c r="J234" s="63"/>
    </row>
    <row r="235" spans="8:10" x14ac:dyDescent="0.25">
      <c r="H235" s="63"/>
      <c r="I235" s="63"/>
      <c r="J235" s="63"/>
    </row>
    <row r="236" spans="8:10" x14ac:dyDescent="0.25">
      <c r="H236" s="63"/>
      <c r="I236" s="63"/>
      <c r="J236" s="63"/>
    </row>
    <row r="237" spans="8:10" x14ac:dyDescent="0.25">
      <c r="H237" s="63"/>
      <c r="I237" s="63"/>
      <c r="J237" s="63"/>
    </row>
    <row r="238" spans="8:10" x14ac:dyDescent="0.25">
      <c r="H238" s="63"/>
      <c r="I238" s="63"/>
      <c r="J238" s="63"/>
    </row>
    <row r="239" spans="8:10" x14ac:dyDescent="0.25">
      <c r="H239" s="63"/>
      <c r="I239" s="63"/>
      <c r="J239" s="63"/>
    </row>
    <row r="240" spans="8:10" x14ac:dyDescent="0.25">
      <c r="H240" s="63"/>
      <c r="I240" s="63"/>
      <c r="J240" s="63"/>
    </row>
    <row r="241" spans="8:10" x14ac:dyDescent="0.25">
      <c r="H241" s="63"/>
      <c r="I241" s="63"/>
      <c r="J241" s="63"/>
    </row>
    <row r="242" spans="8:10" x14ac:dyDescent="0.25">
      <c r="H242" s="63"/>
      <c r="I242" s="63"/>
      <c r="J242" s="63"/>
    </row>
    <row r="243" spans="8:10" x14ac:dyDescent="0.25">
      <c r="H243" s="63"/>
      <c r="I243" s="63"/>
      <c r="J243" s="63"/>
    </row>
    <row r="244" spans="8:10" x14ac:dyDescent="0.25">
      <c r="H244" s="63"/>
      <c r="I244" s="63"/>
      <c r="J244" s="63"/>
    </row>
    <row r="245" spans="8:10" x14ac:dyDescent="0.25">
      <c r="H245" s="63"/>
      <c r="I245" s="63"/>
      <c r="J245" s="63"/>
    </row>
    <row r="246" spans="8:10" x14ac:dyDescent="0.25">
      <c r="H246" s="63"/>
      <c r="I246" s="63"/>
      <c r="J246" s="63"/>
    </row>
    <row r="247" spans="8:10" x14ac:dyDescent="0.25">
      <c r="H247" s="63"/>
      <c r="I247" s="63"/>
      <c r="J247" s="63"/>
    </row>
    <row r="248" spans="8:10" x14ac:dyDescent="0.25">
      <c r="H248" s="63"/>
      <c r="I248" s="63"/>
      <c r="J248" s="63"/>
    </row>
    <row r="249" spans="8:10" x14ac:dyDescent="0.25">
      <c r="H249" s="63"/>
      <c r="I249" s="63"/>
      <c r="J249" s="63"/>
    </row>
    <row r="250" spans="8:10" x14ac:dyDescent="0.25">
      <c r="H250" s="63"/>
      <c r="I250" s="63"/>
      <c r="J250" s="63"/>
    </row>
    <row r="251" spans="8:10" x14ac:dyDescent="0.25">
      <c r="H251" s="63"/>
      <c r="I251" s="63"/>
      <c r="J251" s="63"/>
    </row>
    <row r="252" spans="8:10" x14ac:dyDescent="0.25">
      <c r="H252" s="63"/>
      <c r="I252" s="63"/>
      <c r="J252" s="63"/>
    </row>
    <row r="253" spans="8:10" x14ac:dyDescent="0.25">
      <c r="H253" s="63"/>
      <c r="I253" s="63"/>
      <c r="J253" s="63"/>
    </row>
    <row r="254" spans="8:10" x14ac:dyDescent="0.25">
      <c r="H254" s="63"/>
      <c r="I254" s="63"/>
      <c r="J254" s="63"/>
    </row>
    <row r="255" spans="8:10" x14ac:dyDescent="0.25">
      <c r="H255" s="63"/>
      <c r="I255" s="63"/>
      <c r="J255" s="63"/>
    </row>
    <row r="256" spans="8:10" x14ac:dyDescent="0.25">
      <c r="H256" s="63"/>
      <c r="I256" s="63"/>
      <c r="J256" s="63"/>
    </row>
    <row r="257" spans="8:10" x14ac:dyDescent="0.25">
      <c r="H257" s="63"/>
      <c r="I257" s="63"/>
      <c r="J257" s="63"/>
    </row>
    <row r="258" spans="8:10" x14ac:dyDescent="0.25">
      <c r="H258" s="63"/>
      <c r="I258" s="63"/>
      <c r="J258" s="63"/>
    </row>
    <row r="259" spans="8:10" x14ac:dyDescent="0.25">
      <c r="H259" s="63"/>
      <c r="I259" s="63"/>
      <c r="J259" s="63"/>
    </row>
    <row r="260" spans="8:10" x14ac:dyDescent="0.25">
      <c r="H260" s="63"/>
      <c r="I260" s="63"/>
      <c r="J260" s="63"/>
    </row>
    <row r="261" spans="8:10" x14ac:dyDescent="0.25">
      <c r="H261" s="63"/>
      <c r="I261" s="63"/>
      <c r="J261" s="63"/>
    </row>
    <row r="262" spans="8:10" x14ac:dyDescent="0.25">
      <c r="H262" s="63"/>
      <c r="I262" s="63"/>
      <c r="J262" s="63"/>
    </row>
    <row r="263" spans="8:10" x14ac:dyDescent="0.25">
      <c r="H263" s="63"/>
      <c r="I263" s="63"/>
      <c r="J263" s="63"/>
    </row>
    <row r="264" spans="8:10" x14ac:dyDescent="0.25">
      <c r="H264" s="63"/>
      <c r="I264" s="63"/>
      <c r="J264" s="63"/>
    </row>
    <row r="265" spans="8:10" x14ac:dyDescent="0.25">
      <c r="H265" s="63"/>
      <c r="I265" s="63"/>
      <c r="J265" s="63"/>
    </row>
    <row r="266" spans="8:10" x14ac:dyDescent="0.25">
      <c r="H266" s="63"/>
      <c r="I266" s="63"/>
      <c r="J266" s="63"/>
    </row>
    <row r="267" spans="8:10" x14ac:dyDescent="0.25">
      <c r="H267" s="63"/>
      <c r="I267" s="63"/>
      <c r="J267" s="63"/>
    </row>
    <row r="268" spans="8:10" x14ac:dyDescent="0.25">
      <c r="H268" s="63"/>
      <c r="I268" s="63"/>
      <c r="J268" s="63"/>
    </row>
    <row r="269" spans="8:10" x14ac:dyDescent="0.25">
      <c r="H269" s="63"/>
      <c r="I269" s="63"/>
      <c r="J269" s="63"/>
    </row>
    <row r="270" spans="8:10" x14ac:dyDescent="0.25">
      <c r="H270" s="63"/>
      <c r="I270" s="63"/>
      <c r="J270" s="63"/>
    </row>
    <row r="271" spans="8:10" x14ac:dyDescent="0.25">
      <c r="H271" s="63"/>
      <c r="I271" s="63"/>
      <c r="J271" s="63"/>
    </row>
    <row r="272" spans="8:10" x14ac:dyDescent="0.25">
      <c r="H272" s="63"/>
      <c r="I272" s="63"/>
      <c r="J272" s="63"/>
    </row>
    <row r="273" spans="8:10" x14ac:dyDescent="0.25">
      <c r="H273" s="63"/>
      <c r="I273" s="63"/>
      <c r="J273" s="63"/>
    </row>
    <row r="274" spans="8:10" x14ac:dyDescent="0.25">
      <c r="H274" s="63"/>
      <c r="I274" s="63"/>
      <c r="J274" s="63"/>
    </row>
    <row r="275" spans="8:10" x14ac:dyDescent="0.25">
      <c r="H275" s="63"/>
      <c r="I275" s="63"/>
      <c r="J275" s="63"/>
    </row>
    <row r="276" spans="8:10" x14ac:dyDescent="0.25">
      <c r="H276" s="63"/>
      <c r="I276" s="63"/>
      <c r="J276" s="63"/>
    </row>
    <row r="277" spans="8:10" x14ac:dyDescent="0.25">
      <c r="H277" s="63"/>
      <c r="I277" s="63"/>
      <c r="J277" s="63"/>
    </row>
    <row r="278" spans="8:10" x14ac:dyDescent="0.25">
      <c r="H278" s="63"/>
      <c r="I278" s="63"/>
      <c r="J278" s="63"/>
    </row>
    <row r="279" spans="8:10" x14ac:dyDescent="0.25">
      <c r="H279" s="63"/>
      <c r="I279" s="63"/>
      <c r="J279" s="63"/>
    </row>
    <row r="280" spans="8:10" x14ac:dyDescent="0.25">
      <c r="H280" s="63"/>
      <c r="I280" s="63"/>
      <c r="J280" s="63"/>
    </row>
    <row r="281" spans="8:10" x14ac:dyDescent="0.25">
      <c r="H281" s="63"/>
      <c r="I281" s="63"/>
      <c r="J281" s="63"/>
    </row>
    <row r="282" spans="8:10" x14ac:dyDescent="0.25">
      <c r="H282" s="63"/>
      <c r="I282" s="63"/>
      <c r="J282" s="63"/>
    </row>
    <row r="283" spans="8:10" x14ac:dyDescent="0.25">
      <c r="H283" s="63"/>
      <c r="I283" s="63"/>
      <c r="J283" s="63"/>
    </row>
    <row r="284" spans="8:10" x14ac:dyDescent="0.25">
      <c r="H284" s="63"/>
      <c r="I284" s="63"/>
      <c r="J284" s="63"/>
    </row>
    <row r="285" spans="8:10" x14ac:dyDescent="0.25">
      <c r="H285" s="63"/>
      <c r="I285" s="63"/>
      <c r="J285" s="63"/>
    </row>
    <row r="286" spans="8:10" x14ac:dyDescent="0.25">
      <c r="H286" s="63"/>
      <c r="I286" s="63"/>
      <c r="J286" s="63"/>
    </row>
    <row r="287" spans="8:10" x14ac:dyDescent="0.25">
      <c r="H287" s="63"/>
      <c r="I287" s="63"/>
      <c r="J287" s="63"/>
    </row>
    <row r="288" spans="8:10" x14ac:dyDescent="0.25">
      <c r="H288" s="63"/>
      <c r="I288" s="63"/>
      <c r="J288" s="63"/>
    </row>
    <row r="289" spans="8:10" x14ac:dyDescent="0.25">
      <c r="H289" s="63"/>
      <c r="I289" s="63"/>
      <c r="J289" s="63"/>
    </row>
    <row r="290" spans="8:10" x14ac:dyDescent="0.25">
      <c r="H290" s="63"/>
      <c r="I290" s="63"/>
      <c r="J290" s="63"/>
    </row>
    <row r="291" spans="8:10" x14ac:dyDescent="0.25">
      <c r="H291" s="63"/>
      <c r="I291" s="63"/>
      <c r="J291" s="63"/>
    </row>
    <row r="292" spans="8:10" x14ac:dyDescent="0.25">
      <c r="H292" s="63"/>
      <c r="I292" s="63"/>
      <c r="J292" s="63"/>
    </row>
    <row r="293" spans="8:10" x14ac:dyDescent="0.25">
      <c r="H293" s="63"/>
      <c r="I293" s="63"/>
      <c r="J293" s="63"/>
    </row>
    <row r="294" spans="8:10" x14ac:dyDescent="0.25">
      <c r="H294" s="63"/>
      <c r="I294" s="63"/>
      <c r="J294" s="63"/>
    </row>
    <row r="295" spans="8:10" x14ac:dyDescent="0.25">
      <c r="H295" s="63"/>
      <c r="I295" s="63"/>
      <c r="J295" s="63"/>
    </row>
    <row r="296" spans="8:10" x14ac:dyDescent="0.25">
      <c r="H296" s="63"/>
      <c r="I296" s="63"/>
      <c r="J296" s="63"/>
    </row>
    <row r="297" spans="8:10" x14ac:dyDescent="0.25">
      <c r="H297" s="63"/>
      <c r="I297" s="63"/>
      <c r="J297" s="63"/>
    </row>
    <row r="298" spans="8:10" x14ac:dyDescent="0.25">
      <c r="H298" s="63"/>
      <c r="I298" s="63"/>
      <c r="J298" s="63"/>
    </row>
    <row r="299" spans="8:10" x14ac:dyDescent="0.25">
      <c r="H299" s="63"/>
      <c r="I299" s="63"/>
      <c r="J299" s="63"/>
    </row>
    <row r="300" spans="8:10" x14ac:dyDescent="0.25">
      <c r="H300" s="63"/>
      <c r="I300" s="63"/>
      <c r="J300" s="63"/>
    </row>
    <row r="301" spans="8:10" x14ac:dyDescent="0.25">
      <c r="H301" s="63"/>
      <c r="I301" s="63"/>
      <c r="J301" s="63"/>
    </row>
    <row r="302" spans="8:10" x14ac:dyDescent="0.25">
      <c r="H302" s="63"/>
      <c r="I302" s="63"/>
      <c r="J302" s="63"/>
    </row>
    <row r="303" spans="8:10" x14ac:dyDescent="0.25">
      <c r="H303" s="63"/>
      <c r="I303" s="63"/>
      <c r="J303" s="63"/>
    </row>
    <row r="304" spans="8:10" x14ac:dyDescent="0.25">
      <c r="H304" s="63"/>
      <c r="I304" s="63"/>
      <c r="J304" s="63"/>
    </row>
    <row r="305" spans="8:10" x14ac:dyDescent="0.25">
      <c r="H305" s="63"/>
      <c r="I305" s="63"/>
      <c r="J305" s="63"/>
    </row>
    <row r="306" spans="8:10" x14ac:dyDescent="0.25">
      <c r="H306" s="63"/>
      <c r="I306" s="63"/>
      <c r="J306" s="63"/>
    </row>
    <row r="307" spans="8:10" x14ac:dyDescent="0.25">
      <c r="H307" s="63"/>
      <c r="I307" s="63"/>
      <c r="J307" s="63"/>
    </row>
    <row r="308" spans="8:10" x14ac:dyDescent="0.25">
      <c r="H308" s="63"/>
      <c r="I308" s="63"/>
      <c r="J308" s="63"/>
    </row>
    <row r="309" spans="8:10" x14ac:dyDescent="0.25">
      <c r="H309" s="63"/>
      <c r="I309" s="63"/>
      <c r="J309" s="63"/>
    </row>
    <row r="310" spans="8:10" x14ac:dyDescent="0.25">
      <c r="H310" s="63"/>
      <c r="I310" s="63"/>
      <c r="J310" s="63"/>
    </row>
    <row r="311" spans="8:10" x14ac:dyDescent="0.25">
      <c r="H311" s="63"/>
      <c r="I311" s="63"/>
      <c r="J311" s="63"/>
    </row>
    <row r="312" spans="8:10" x14ac:dyDescent="0.25">
      <c r="H312" s="63"/>
      <c r="I312" s="63"/>
      <c r="J312" s="63"/>
    </row>
    <row r="313" spans="8:10" x14ac:dyDescent="0.25">
      <c r="H313" s="63"/>
      <c r="I313" s="63"/>
      <c r="J313" s="63"/>
    </row>
    <row r="314" spans="8:10" x14ac:dyDescent="0.25">
      <c r="H314" s="63"/>
      <c r="I314" s="63"/>
      <c r="J314" s="63"/>
    </row>
    <row r="315" spans="8:10" x14ac:dyDescent="0.25">
      <c r="H315" s="63"/>
      <c r="I315" s="63"/>
      <c r="J315" s="63"/>
    </row>
    <row r="316" spans="8:10" x14ac:dyDescent="0.25">
      <c r="H316" s="63"/>
      <c r="I316" s="63"/>
      <c r="J316" s="63"/>
    </row>
    <row r="317" spans="8:10" x14ac:dyDescent="0.25">
      <c r="H317" s="63"/>
      <c r="I317" s="63"/>
      <c r="J317" s="63"/>
    </row>
    <row r="318" spans="8:10" x14ac:dyDescent="0.25">
      <c r="H318" s="63"/>
      <c r="I318" s="63"/>
      <c r="J318" s="63"/>
    </row>
    <row r="319" spans="8:10" x14ac:dyDescent="0.25">
      <c r="H319" s="63"/>
      <c r="I319" s="63"/>
      <c r="J319" s="63"/>
    </row>
    <row r="320" spans="8:10" x14ac:dyDescent="0.25">
      <c r="H320" s="63"/>
      <c r="I320" s="63"/>
      <c r="J320" s="63"/>
    </row>
    <row r="321" spans="8:10" x14ac:dyDescent="0.25">
      <c r="H321" s="63"/>
      <c r="I321" s="63"/>
      <c r="J321" s="63"/>
    </row>
    <row r="322" spans="8:10" x14ac:dyDescent="0.25">
      <c r="H322" s="63"/>
      <c r="I322" s="63"/>
      <c r="J322" s="63"/>
    </row>
    <row r="323" spans="8:10" x14ac:dyDescent="0.25">
      <c r="H323" s="63"/>
      <c r="I323" s="63"/>
      <c r="J323" s="63"/>
    </row>
    <row r="324" spans="8:10" x14ac:dyDescent="0.25">
      <c r="H324" s="63"/>
      <c r="I324" s="63"/>
      <c r="J324" s="63"/>
    </row>
    <row r="325" spans="8:10" x14ac:dyDescent="0.25">
      <c r="H325" s="63"/>
      <c r="I325" s="63"/>
      <c r="J325" s="63"/>
    </row>
    <row r="326" spans="8:10" x14ac:dyDescent="0.25">
      <c r="H326" s="63"/>
      <c r="I326" s="63"/>
      <c r="J326" s="63"/>
    </row>
    <row r="327" spans="8:10" x14ac:dyDescent="0.25">
      <c r="H327" s="63"/>
      <c r="I327" s="63"/>
      <c r="J327" s="63"/>
    </row>
    <row r="328" spans="8:10" x14ac:dyDescent="0.25">
      <c r="H328" s="63"/>
      <c r="I328" s="63"/>
      <c r="J328" s="63"/>
    </row>
    <row r="329" spans="8:10" x14ac:dyDescent="0.25">
      <c r="H329" s="63"/>
      <c r="I329" s="63"/>
      <c r="J329" s="63"/>
    </row>
    <row r="330" spans="8:10" x14ac:dyDescent="0.25">
      <c r="H330" s="63"/>
      <c r="I330" s="63"/>
      <c r="J330" s="63"/>
    </row>
    <row r="331" spans="8:10" x14ac:dyDescent="0.25">
      <c r="H331" s="63"/>
      <c r="I331" s="63"/>
      <c r="J331" s="63"/>
    </row>
    <row r="332" spans="8:10" x14ac:dyDescent="0.25">
      <c r="H332" s="63"/>
      <c r="I332" s="63"/>
      <c r="J332" s="63"/>
    </row>
    <row r="333" spans="8:10" x14ac:dyDescent="0.25">
      <c r="H333" s="63"/>
      <c r="I333" s="63"/>
      <c r="J333" s="63"/>
    </row>
    <row r="334" spans="8:10" x14ac:dyDescent="0.25">
      <c r="H334" s="63"/>
      <c r="I334" s="63"/>
      <c r="J334" s="63"/>
    </row>
    <row r="335" spans="8:10" x14ac:dyDescent="0.25">
      <c r="H335" s="63"/>
      <c r="I335" s="63"/>
      <c r="J335" s="63"/>
    </row>
    <row r="336" spans="8:10" x14ac:dyDescent="0.25">
      <c r="H336" s="63"/>
      <c r="I336" s="63"/>
      <c r="J336" s="63"/>
    </row>
    <row r="337" spans="8:10" x14ac:dyDescent="0.25">
      <c r="H337" s="63"/>
      <c r="I337" s="63"/>
      <c r="J337" s="63"/>
    </row>
    <row r="338" spans="8:10" x14ac:dyDescent="0.25">
      <c r="H338" s="63"/>
      <c r="I338" s="63"/>
      <c r="J338" s="63"/>
    </row>
    <row r="339" spans="8:10" x14ac:dyDescent="0.25">
      <c r="H339" s="63"/>
      <c r="I339" s="63"/>
      <c r="J339" s="63"/>
    </row>
    <row r="340" spans="8:10" x14ac:dyDescent="0.25">
      <c r="H340" s="63"/>
      <c r="I340" s="63"/>
      <c r="J340" s="63"/>
    </row>
    <row r="341" spans="8:10" x14ac:dyDescent="0.25">
      <c r="H341" s="63"/>
      <c r="I341" s="63"/>
      <c r="J341" s="63"/>
    </row>
    <row r="342" spans="8:10" x14ac:dyDescent="0.25">
      <c r="H342" s="63"/>
      <c r="I342" s="63"/>
      <c r="J342" s="63"/>
    </row>
    <row r="343" spans="8:10" x14ac:dyDescent="0.25">
      <c r="H343" s="63"/>
      <c r="I343" s="63"/>
      <c r="J343" s="63"/>
    </row>
    <row r="344" spans="8:10" x14ac:dyDescent="0.25">
      <c r="H344" s="63"/>
      <c r="I344" s="63"/>
      <c r="J344" s="63"/>
    </row>
    <row r="345" spans="8:10" x14ac:dyDescent="0.25">
      <c r="H345" s="63"/>
      <c r="I345" s="63"/>
      <c r="J345" s="63"/>
    </row>
    <row r="346" spans="8:10" x14ac:dyDescent="0.25">
      <c r="H346" s="63"/>
      <c r="I346" s="63"/>
      <c r="J346" s="63"/>
    </row>
    <row r="347" spans="8:10" x14ac:dyDescent="0.25">
      <c r="H347" s="63"/>
      <c r="I347" s="63"/>
      <c r="J347" s="63"/>
    </row>
    <row r="348" spans="8:10" x14ac:dyDescent="0.25">
      <c r="H348" s="63"/>
      <c r="I348" s="63"/>
      <c r="J348" s="63"/>
    </row>
    <row r="349" spans="8:10" x14ac:dyDescent="0.25">
      <c r="H349" s="63"/>
      <c r="I349" s="63"/>
      <c r="J349" s="63"/>
    </row>
    <row r="350" spans="8:10" x14ac:dyDescent="0.25">
      <c r="H350" s="63"/>
      <c r="I350" s="63"/>
      <c r="J350" s="63"/>
    </row>
    <row r="351" spans="8:10" x14ac:dyDescent="0.25">
      <c r="H351" s="63"/>
      <c r="I351" s="63"/>
      <c r="J351" s="63"/>
    </row>
    <row r="352" spans="8:10" x14ac:dyDescent="0.25">
      <c r="H352" s="63"/>
      <c r="I352" s="63"/>
      <c r="J352" s="63"/>
    </row>
    <row r="353" spans="8:10" x14ac:dyDescent="0.25">
      <c r="H353" s="63"/>
      <c r="I353" s="63"/>
      <c r="J353" s="63"/>
    </row>
    <row r="354" spans="8:10" x14ac:dyDescent="0.25">
      <c r="H354" s="63"/>
      <c r="I354" s="63"/>
      <c r="J354" s="63"/>
    </row>
    <row r="355" spans="8:10" x14ac:dyDescent="0.25">
      <c r="H355" s="63"/>
      <c r="I355" s="63"/>
      <c r="J355" s="63"/>
    </row>
    <row r="356" spans="8:10" x14ac:dyDescent="0.25">
      <c r="H356" s="63"/>
      <c r="I356" s="63"/>
      <c r="J356" s="63"/>
    </row>
    <row r="357" spans="8:10" x14ac:dyDescent="0.25">
      <c r="H357" s="63"/>
      <c r="I357" s="63"/>
      <c r="J357" s="63"/>
    </row>
    <row r="358" spans="8:10" x14ac:dyDescent="0.25">
      <c r="H358" s="63"/>
      <c r="I358" s="63"/>
      <c r="J358" s="63"/>
    </row>
    <row r="359" spans="8:10" x14ac:dyDescent="0.25">
      <c r="H359" s="63"/>
      <c r="I359" s="63"/>
      <c r="J359" s="63"/>
    </row>
    <row r="360" spans="8:10" x14ac:dyDescent="0.25">
      <c r="H360" s="63"/>
      <c r="I360" s="63"/>
      <c r="J360" s="63"/>
    </row>
    <row r="361" spans="8:10" x14ac:dyDescent="0.25">
      <c r="H361" s="63"/>
      <c r="I361" s="63"/>
      <c r="J361" s="63"/>
    </row>
    <row r="362" spans="8:10" x14ac:dyDescent="0.25">
      <c r="H362" s="63"/>
      <c r="I362" s="63"/>
      <c r="J362" s="63"/>
    </row>
    <row r="363" spans="8:10" x14ac:dyDescent="0.25">
      <c r="H363" s="63"/>
      <c r="I363" s="63"/>
      <c r="J363" s="63"/>
    </row>
    <row r="364" spans="8:10" x14ac:dyDescent="0.25">
      <c r="H364" s="63"/>
      <c r="I364" s="63"/>
      <c r="J364" s="63"/>
    </row>
    <row r="365" spans="8:10" x14ac:dyDescent="0.25">
      <c r="H365" s="63"/>
      <c r="I365" s="63"/>
      <c r="J365" s="63"/>
    </row>
    <row r="366" spans="8:10" x14ac:dyDescent="0.25">
      <c r="H366" s="63"/>
      <c r="I366" s="63"/>
      <c r="J366" s="63"/>
    </row>
    <row r="367" spans="8:10" x14ac:dyDescent="0.25">
      <c r="H367" s="63"/>
      <c r="I367" s="63"/>
      <c r="J367" s="63"/>
    </row>
    <row r="368" spans="8:10" x14ac:dyDescent="0.25">
      <c r="H368" s="63"/>
      <c r="I368" s="63"/>
      <c r="J368" s="63"/>
    </row>
    <row r="369" spans="8:10" x14ac:dyDescent="0.25">
      <c r="H369" s="63"/>
      <c r="I369" s="63"/>
      <c r="J369" s="63"/>
    </row>
    <row r="370" spans="8:10" x14ac:dyDescent="0.25">
      <c r="H370" s="63"/>
      <c r="I370" s="63"/>
      <c r="J370" s="63"/>
    </row>
    <row r="371" spans="8:10" x14ac:dyDescent="0.25">
      <c r="H371" s="63"/>
      <c r="I371" s="63"/>
      <c r="J371" s="63"/>
    </row>
    <row r="372" spans="8:10" x14ac:dyDescent="0.25">
      <c r="H372" s="63"/>
      <c r="I372" s="63"/>
      <c r="J372" s="63"/>
    </row>
    <row r="373" spans="8:10" x14ac:dyDescent="0.25">
      <c r="H373" s="63"/>
      <c r="I373" s="63"/>
      <c r="J373" s="63"/>
    </row>
    <row r="374" spans="8:10" x14ac:dyDescent="0.25">
      <c r="H374" s="63"/>
      <c r="I374" s="63"/>
      <c r="J374" s="63"/>
    </row>
    <row r="375" spans="8:10" x14ac:dyDescent="0.25">
      <c r="H375" s="63"/>
      <c r="I375" s="63"/>
      <c r="J375" s="63"/>
    </row>
    <row r="376" spans="8:10" x14ac:dyDescent="0.25">
      <c r="H376" s="63"/>
      <c r="I376" s="63"/>
      <c r="J376" s="63"/>
    </row>
    <row r="377" spans="8:10" x14ac:dyDescent="0.25">
      <c r="H377" s="63"/>
      <c r="I377" s="63"/>
      <c r="J377" s="63"/>
    </row>
    <row r="378" spans="8:10" x14ac:dyDescent="0.25">
      <c r="H378" s="63"/>
      <c r="I378" s="63"/>
      <c r="J378" s="63"/>
    </row>
    <row r="379" spans="8:10" x14ac:dyDescent="0.25">
      <c r="H379" s="63"/>
      <c r="I379" s="63"/>
      <c r="J379" s="63"/>
    </row>
    <row r="380" spans="8:10" x14ac:dyDescent="0.25">
      <c r="H380" s="63"/>
      <c r="I380" s="63"/>
      <c r="J380" s="63"/>
    </row>
    <row r="381" spans="8:10" x14ac:dyDescent="0.25">
      <c r="H381" s="63"/>
      <c r="I381" s="63"/>
      <c r="J381" s="63"/>
    </row>
    <row r="382" spans="8:10" x14ac:dyDescent="0.25">
      <c r="H382" s="63"/>
      <c r="I382" s="63"/>
      <c r="J382" s="63"/>
    </row>
    <row r="383" spans="8:10" x14ac:dyDescent="0.25">
      <c r="H383" s="63"/>
      <c r="I383" s="63"/>
      <c r="J383" s="63"/>
    </row>
    <row r="384" spans="8:10" x14ac:dyDescent="0.25">
      <c r="H384" s="63"/>
      <c r="I384" s="63"/>
      <c r="J384" s="63"/>
    </row>
    <row r="385" spans="8:10" x14ac:dyDescent="0.25">
      <c r="H385" s="63"/>
      <c r="I385" s="63"/>
      <c r="J385" s="63"/>
    </row>
    <row r="386" spans="8:10" x14ac:dyDescent="0.25">
      <c r="H386" s="63"/>
      <c r="I386" s="63"/>
      <c r="J386" s="63"/>
    </row>
    <row r="387" spans="8:10" x14ac:dyDescent="0.25">
      <c r="H387" s="63"/>
      <c r="I387" s="63"/>
      <c r="J387" s="63"/>
    </row>
    <row r="388" spans="8:10" x14ac:dyDescent="0.25">
      <c r="H388" s="63"/>
      <c r="I388" s="63"/>
      <c r="J388" s="63"/>
    </row>
    <row r="389" spans="8:10" x14ac:dyDescent="0.25">
      <c r="H389" s="63"/>
      <c r="I389" s="63"/>
      <c r="J389" s="63"/>
    </row>
    <row r="390" spans="8:10" x14ac:dyDescent="0.25">
      <c r="H390" s="63"/>
      <c r="I390" s="63"/>
      <c r="J390" s="63"/>
    </row>
    <row r="391" spans="8:10" x14ac:dyDescent="0.25">
      <c r="H391" s="63"/>
      <c r="I391" s="63"/>
      <c r="J391" s="63"/>
    </row>
    <row r="392" spans="8:10" x14ac:dyDescent="0.25">
      <c r="H392" s="63"/>
      <c r="I392" s="63"/>
      <c r="J392" s="63"/>
    </row>
    <row r="393" spans="8:10" x14ac:dyDescent="0.25">
      <c r="H393" s="63"/>
      <c r="I393" s="63"/>
      <c r="J393" s="63"/>
    </row>
    <row r="394" spans="8:10" x14ac:dyDescent="0.25">
      <c r="H394" s="63"/>
      <c r="I394" s="63"/>
      <c r="J394" s="63"/>
    </row>
    <row r="395" spans="8:10" x14ac:dyDescent="0.25">
      <c r="H395" s="63"/>
      <c r="I395" s="63"/>
      <c r="J395" s="63"/>
    </row>
    <row r="396" spans="8:10" x14ac:dyDescent="0.25">
      <c r="H396" s="63"/>
      <c r="I396" s="63"/>
      <c r="J396" s="63"/>
    </row>
    <row r="397" spans="8:10" x14ac:dyDescent="0.25">
      <c r="H397" s="63"/>
      <c r="I397" s="63"/>
      <c r="J397" s="63"/>
    </row>
    <row r="398" spans="8:10" x14ac:dyDescent="0.25">
      <c r="H398" s="63"/>
      <c r="I398" s="63"/>
      <c r="J398" s="63"/>
    </row>
    <row r="399" spans="8:10" x14ac:dyDescent="0.25">
      <c r="H399" s="63"/>
      <c r="I399" s="63"/>
      <c r="J399" s="63"/>
    </row>
    <row r="400" spans="8:10" x14ac:dyDescent="0.25">
      <c r="H400" s="63"/>
      <c r="I400" s="63"/>
      <c r="J400" s="63"/>
    </row>
    <row r="401" spans="8:10" x14ac:dyDescent="0.25">
      <c r="H401" s="63"/>
      <c r="I401" s="63"/>
      <c r="J401" s="63"/>
    </row>
    <row r="402" spans="8:10" x14ac:dyDescent="0.25">
      <c r="H402" s="63"/>
      <c r="I402" s="63"/>
      <c r="J402" s="63"/>
    </row>
    <row r="403" spans="8:10" x14ac:dyDescent="0.25">
      <c r="H403" s="63"/>
      <c r="I403" s="63"/>
      <c r="J403" s="63"/>
    </row>
    <row r="404" spans="8:10" x14ac:dyDescent="0.25">
      <c r="H404" s="63"/>
      <c r="I404" s="63"/>
      <c r="J404" s="63"/>
    </row>
    <row r="405" spans="8:10" x14ac:dyDescent="0.25">
      <c r="H405" s="63"/>
      <c r="I405" s="63"/>
      <c r="J405" s="63"/>
    </row>
    <row r="406" spans="8:10" x14ac:dyDescent="0.25">
      <c r="H406" s="63"/>
      <c r="I406" s="63"/>
      <c r="J406" s="63"/>
    </row>
    <row r="407" spans="8:10" x14ac:dyDescent="0.25">
      <c r="H407" s="63"/>
      <c r="I407" s="63"/>
      <c r="J407" s="63"/>
    </row>
    <row r="408" spans="8:10" x14ac:dyDescent="0.25">
      <c r="H408" s="63"/>
      <c r="I408" s="63"/>
      <c r="J408" s="63"/>
    </row>
    <row r="409" spans="8:10" x14ac:dyDescent="0.25">
      <c r="H409" s="63"/>
      <c r="I409" s="63"/>
      <c r="J409" s="63"/>
    </row>
    <row r="410" spans="8:10" x14ac:dyDescent="0.25">
      <c r="H410" s="63"/>
      <c r="I410" s="63"/>
      <c r="J410" s="63"/>
    </row>
    <row r="411" spans="8:10" x14ac:dyDescent="0.25">
      <c r="H411" s="63"/>
      <c r="I411" s="63"/>
      <c r="J411" s="63"/>
    </row>
    <row r="412" spans="8:10" x14ac:dyDescent="0.25">
      <c r="H412" s="63"/>
      <c r="I412" s="63"/>
      <c r="J412" s="63"/>
    </row>
    <row r="413" spans="8:10" x14ac:dyDescent="0.25">
      <c r="H413" s="63"/>
      <c r="I413" s="63"/>
      <c r="J413" s="63"/>
    </row>
    <row r="414" spans="8:10" x14ac:dyDescent="0.25">
      <c r="H414" s="63"/>
      <c r="I414" s="63"/>
      <c r="J414" s="63"/>
    </row>
    <row r="415" spans="8:10" x14ac:dyDescent="0.25">
      <c r="H415" s="63"/>
      <c r="I415" s="63"/>
      <c r="J415" s="63"/>
    </row>
    <row r="416" spans="8:10" x14ac:dyDescent="0.25">
      <c r="H416" s="63"/>
      <c r="I416" s="63"/>
      <c r="J416" s="63"/>
    </row>
    <row r="417" spans="8:10" x14ac:dyDescent="0.25">
      <c r="H417" s="63"/>
      <c r="I417" s="63"/>
      <c r="J417" s="63"/>
    </row>
    <row r="418" spans="8:10" x14ac:dyDescent="0.25">
      <c r="H418" s="63"/>
      <c r="I418" s="63"/>
      <c r="J418" s="63"/>
    </row>
    <row r="419" spans="8:10" x14ac:dyDescent="0.25">
      <c r="H419" s="63"/>
      <c r="I419" s="63"/>
      <c r="J419" s="63"/>
    </row>
    <row r="420" spans="8:10" x14ac:dyDescent="0.25">
      <c r="H420" s="63"/>
      <c r="I420" s="63"/>
      <c r="J420" s="63"/>
    </row>
    <row r="421" spans="8:10" x14ac:dyDescent="0.25">
      <c r="H421" s="63"/>
      <c r="I421" s="63"/>
      <c r="J421" s="63"/>
    </row>
    <row r="422" spans="8:10" x14ac:dyDescent="0.25">
      <c r="H422" s="63"/>
      <c r="I422" s="63"/>
      <c r="J422" s="63"/>
    </row>
    <row r="423" spans="8:10" x14ac:dyDescent="0.25">
      <c r="H423" s="63"/>
      <c r="I423" s="63"/>
      <c r="J423" s="63"/>
    </row>
    <row r="424" spans="8:10" x14ac:dyDescent="0.25">
      <c r="H424" s="63"/>
      <c r="I424" s="63"/>
      <c r="J424" s="63"/>
    </row>
    <row r="425" spans="8:10" x14ac:dyDescent="0.25">
      <c r="H425" s="63"/>
      <c r="I425" s="63"/>
      <c r="J425" s="63"/>
    </row>
    <row r="426" spans="8:10" x14ac:dyDescent="0.25">
      <c r="H426" s="63"/>
      <c r="I426" s="63"/>
      <c r="J426" s="63"/>
    </row>
    <row r="427" spans="8:10" x14ac:dyDescent="0.25">
      <c r="H427" s="63"/>
      <c r="I427" s="63"/>
      <c r="J427" s="63"/>
    </row>
    <row r="428" spans="8:10" x14ac:dyDescent="0.25">
      <c r="H428" s="63"/>
      <c r="I428" s="63"/>
      <c r="J428" s="63"/>
    </row>
    <row r="429" spans="8:10" x14ac:dyDescent="0.25">
      <c r="H429" s="63"/>
      <c r="I429" s="63"/>
      <c r="J429" s="63"/>
    </row>
    <row r="430" spans="8:10" x14ac:dyDescent="0.25">
      <c r="H430" s="63"/>
      <c r="I430" s="63"/>
      <c r="J430" s="63"/>
    </row>
    <row r="431" spans="8:10" x14ac:dyDescent="0.25">
      <c r="H431" s="63"/>
      <c r="I431" s="63"/>
      <c r="J431" s="63"/>
    </row>
    <row r="432" spans="8:10" x14ac:dyDescent="0.25">
      <c r="H432" s="63"/>
      <c r="I432" s="63"/>
      <c r="J432" s="63"/>
    </row>
    <row r="433" spans="8:10" x14ac:dyDescent="0.25">
      <c r="H433" s="63"/>
      <c r="I433" s="63"/>
      <c r="J433" s="63"/>
    </row>
    <row r="434" spans="8:10" x14ac:dyDescent="0.25">
      <c r="H434" s="63"/>
      <c r="I434" s="63"/>
      <c r="J434" s="63"/>
    </row>
    <row r="435" spans="8:10" x14ac:dyDescent="0.25">
      <c r="H435" s="63"/>
      <c r="I435" s="63"/>
      <c r="J435" s="63"/>
    </row>
    <row r="436" spans="8:10" x14ac:dyDescent="0.25">
      <c r="H436" s="63"/>
      <c r="I436" s="63"/>
      <c r="J436" s="63"/>
    </row>
    <row r="437" spans="8:10" x14ac:dyDescent="0.25">
      <c r="H437" s="63"/>
      <c r="I437" s="63"/>
      <c r="J437" s="63"/>
    </row>
    <row r="438" spans="8:10" x14ac:dyDescent="0.25">
      <c r="H438" s="63"/>
      <c r="I438" s="63"/>
      <c r="J438" s="63"/>
    </row>
    <row r="439" spans="8:10" x14ac:dyDescent="0.25">
      <c r="H439" s="63"/>
      <c r="I439" s="63"/>
      <c r="J439" s="63"/>
    </row>
    <row r="440" spans="8:10" x14ac:dyDescent="0.25">
      <c r="H440" s="63"/>
      <c r="I440" s="63"/>
      <c r="J440" s="63"/>
    </row>
    <row r="441" spans="8:10" x14ac:dyDescent="0.25">
      <c r="H441" s="63"/>
      <c r="I441" s="63"/>
      <c r="J441" s="63"/>
    </row>
    <row r="442" spans="8:10" x14ac:dyDescent="0.25">
      <c r="H442" s="63"/>
      <c r="I442" s="63"/>
      <c r="J442" s="63"/>
    </row>
    <row r="443" spans="8:10" x14ac:dyDescent="0.25">
      <c r="H443" s="63"/>
      <c r="I443" s="63"/>
      <c r="J443" s="63"/>
    </row>
    <row r="444" spans="8:10" x14ac:dyDescent="0.25">
      <c r="H444" s="63"/>
      <c r="I444" s="63"/>
      <c r="J444" s="63"/>
    </row>
    <row r="445" spans="8:10" x14ac:dyDescent="0.25">
      <c r="H445" s="63"/>
      <c r="I445" s="63"/>
      <c r="J445" s="63"/>
    </row>
    <row r="446" spans="8:10" x14ac:dyDescent="0.25">
      <c r="H446" s="63"/>
      <c r="I446" s="63"/>
      <c r="J446" s="63"/>
    </row>
    <row r="447" spans="8:10" x14ac:dyDescent="0.25">
      <c r="H447" s="63"/>
      <c r="I447" s="63"/>
      <c r="J447" s="63"/>
    </row>
    <row r="448" spans="8:10" x14ac:dyDescent="0.25">
      <c r="H448" s="63"/>
      <c r="I448" s="63"/>
      <c r="J448" s="63"/>
    </row>
    <row r="449" spans="8:10" x14ac:dyDescent="0.25">
      <c r="H449" s="63"/>
      <c r="I449" s="63"/>
      <c r="J449" s="63"/>
    </row>
    <row r="450" spans="8:10" x14ac:dyDescent="0.25">
      <c r="H450" s="63"/>
      <c r="I450" s="63"/>
      <c r="J450" s="63"/>
    </row>
    <row r="451" spans="8:10" x14ac:dyDescent="0.25">
      <c r="H451" s="63"/>
      <c r="I451" s="63"/>
      <c r="J451" s="63"/>
    </row>
    <row r="452" spans="8:10" x14ac:dyDescent="0.25">
      <c r="H452" s="63"/>
      <c r="I452" s="63"/>
      <c r="J452" s="63"/>
    </row>
    <row r="453" spans="8:10" x14ac:dyDescent="0.25">
      <c r="H453" s="63"/>
      <c r="I453" s="63"/>
      <c r="J453" s="63"/>
    </row>
    <row r="454" spans="8:10" x14ac:dyDescent="0.25">
      <c r="H454" s="63"/>
      <c r="I454" s="63"/>
      <c r="J454" s="63"/>
    </row>
    <row r="455" spans="8:10" x14ac:dyDescent="0.25">
      <c r="H455" s="63"/>
      <c r="I455" s="63"/>
      <c r="J455" s="63"/>
    </row>
    <row r="456" spans="8:10" x14ac:dyDescent="0.25">
      <c r="H456" s="63"/>
      <c r="I456" s="63"/>
      <c r="J456" s="63"/>
    </row>
    <row r="457" spans="8:10" x14ac:dyDescent="0.25">
      <c r="H457" s="63"/>
      <c r="I457" s="63"/>
      <c r="J457" s="63"/>
    </row>
    <row r="458" spans="8:10" x14ac:dyDescent="0.25">
      <c r="H458" s="63"/>
      <c r="I458" s="63"/>
      <c r="J458" s="63"/>
    </row>
    <row r="459" spans="8:10" x14ac:dyDescent="0.25">
      <c r="H459" s="63"/>
      <c r="I459" s="63"/>
      <c r="J459" s="63"/>
    </row>
    <row r="460" spans="8:10" x14ac:dyDescent="0.25">
      <c r="H460" s="63"/>
      <c r="I460" s="63"/>
      <c r="J460" s="63"/>
    </row>
    <row r="461" spans="8:10" x14ac:dyDescent="0.25">
      <c r="H461" s="63"/>
      <c r="I461" s="63"/>
      <c r="J461" s="63"/>
    </row>
    <row r="462" spans="8:10" x14ac:dyDescent="0.25">
      <c r="H462" s="63"/>
      <c r="I462" s="63"/>
      <c r="J462" s="63"/>
    </row>
    <row r="463" spans="8:10" x14ac:dyDescent="0.25">
      <c r="H463" s="63"/>
      <c r="I463" s="63"/>
      <c r="J463" s="63"/>
    </row>
    <row r="464" spans="8:10" x14ac:dyDescent="0.25">
      <c r="H464" s="63"/>
      <c r="I464" s="63"/>
      <c r="J464" s="63"/>
    </row>
    <row r="465" spans="8:10" x14ac:dyDescent="0.25">
      <c r="H465" s="63"/>
      <c r="I465" s="63"/>
      <c r="J465" s="63"/>
    </row>
    <row r="466" spans="8:10" x14ac:dyDescent="0.25">
      <c r="H466" s="63"/>
      <c r="I466" s="63"/>
      <c r="J466" s="63"/>
    </row>
    <row r="467" spans="8:10" x14ac:dyDescent="0.25">
      <c r="H467" s="63"/>
      <c r="I467" s="63"/>
      <c r="J467" s="63"/>
    </row>
    <row r="468" spans="8:10" x14ac:dyDescent="0.25">
      <c r="H468" s="63"/>
      <c r="I468" s="63"/>
      <c r="J468" s="63"/>
    </row>
    <row r="469" spans="8:10" x14ac:dyDescent="0.25">
      <c r="H469" s="63"/>
      <c r="I469" s="63"/>
      <c r="J469" s="63"/>
    </row>
    <row r="470" spans="8:10" x14ac:dyDescent="0.25">
      <c r="H470" s="63"/>
      <c r="I470" s="63"/>
      <c r="J470" s="63"/>
    </row>
    <row r="471" spans="8:10" x14ac:dyDescent="0.25">
      <c r="H471" s="63"/>
      <c r="I471" s="63"/>
      <c r="J471" s="63"/>
    </row>
    <row r="472" spans="8:10" x14ac:dyDescent="0.25">
      <c r="H472" s="63"/>
      <c r="I472" s="63"/>
      <c r="J472" s="63"/>
    </row>
    <row r="473" spans="8:10" x14ac:dyDescent="0.25">
      <c r="H473" s="63"/>
      <c r="I473" s="63"/>
      <c r="J473" s="63"/>
    </row>
    <row r="474" spans="8:10" x14ac:dyDescent="0.25">
      <c r="H474" s="63"/>
      <c r="I474" s="63"/>
      <c r="J474" s="63"/>
    </row>
    <row r="475" spans="8:10" x14ac:dyDescent="0.25">
      <c r="H475" s="63"/>
      <c r="I475" s="63"/>
      <c r="J475" s="63"/>
    </row>
    <row r="476" spans="8:10" x14ac:dyDescent="0.25">
      <c r="H476" s="63"/>
      <c r="I476" s="63"/>
      <c r="J476" s="63"/>
    </row>
    <row r="477" spans="8:10" x14ac:dyDescent="0.25">
      <c r="H477" s="63"/>
      <c r="I477" s="63"/>
      <c r="J477" s="63"/>
    </row>
    <row r="478" spans="8:10" x14ac:dyDescent="0.25">
      <c r="H478" s="63"/>
      <c r="I478" s="63"/>
      <c r="J478" s="63"/>
    </row>
    <row r="479" spans="8:10" x14ac:dyDescent="0.25">
      <c r="H479" s="63"/>
      <c r="I479" s="63"/>
      <c r="J479" s="63"/>
    </row>
    <row r="480" spans="8:10" x14ac:dyDescent="0.25">
      <c r="H480" s="63"/>
      <c r="I480" s="63"/>
      <c r="J480" s="63"/>
    </row>
    <row r="481" spans="8:10" x14ac:dyDescent="0.25">
      <c r="H481" s="63"/>
      <c r="I481" s="63"/>
      <c r="J481" s="63"/>
    </row>
    <row r="482" spans="8:10" x14ac:dyDescent="0.25">
      <c r="H482" s="63"/>
      <c r="I482" s="63"/>
      <c r="J482" s="63"/>
    </row>
    <row r="483" spans="8:10" x14ac:dyDescent="0.25">
      <c r="H483" s="63"/>
      <c r="I483" s="63"/>
      <c r="J483" s="63"/>
    </row>
    <row r="484" spans="8:10" x14ac:dyDescent="0.25">
      <c r="H484" s="63"/>
      <c r="I484" s="63"/>
      <c r="J484" s="63"/>
    </row>
    <row r="485" spans="8:10" x14ac:dyDescent="0.25">
      <c r="H485" s="63"/>
      <c r="I485" s="63"/>
      <c r="J485" s="63"/>
    </row>
    <row r="486" spans="8:10" x14ac:dyDescent="0.25">
      <c r="H486" s="63"/>
      <c r="I486" s="63"/>
      <c r="J486" s="63"/>
    </row>
    <row r="487" spans="8:10" x14ac:dyDescent="0.25">
      <c r="H487" s="63"/>
      <c r="I487" s="63"/>
      <c r="J487" s="63"/>
    </row>
    <row r="488" spans="8:10" x14ac:dyDescent="0.25">
      <c r="H488" s="63"/>
      <c r="I488" s="63"/>
      <c r="J488" s="63"/>
    </row>
    <row r="489" spans="8:10" x14ac:dyDescent="0.25">
      <c r="H489" s="63"/>
      <c r="I489" s="63"/>
      <c r="J489" s="63"/>
    </row>
    <row r="490" spans="8:10" x14ac:dyDescent="0.25">
      <c r="H490" s="63"/>
      <c r="I490" s="63"/>
      <c r="J490" s="63"/>
    </row>
    <row r="491" spans="8:10" x14ac:dyDescent="0.25">
      <c r="H491" s="63"/>
      <c r="I491" s="63"/>
      <c r="J491" s="63"/>
    </row>
    <row r="492" spans="8:10" x14ac:dyDescent="0.25">
      <c r="H492" s="63"/>
      <c r="I492" s="63"/>
      <c r="J492" s="63"/>
    </row>
    <row r="493" spans="8:10" x14ac:dyDescent="0.25">
      <c r="H493" s="63"/>
      <c r="I493" s="63"/>
      <c r="J493" s="63"/>
    </row>
    <row r="494" spans="8:10" x14ac:dyDescent="0.25">
      <c r="H494" s="63"/>
      <c r="I494" s="63"/>
      <c r="J494" s="63"/>
    </row>
    <row r="495" spans="8:10" x14ac:dyDescent="0.25">
      <c r="H495" s="63"/>
      <c r="I495" s="63"/>
      <c r="J495" s="63"/>
    </row>
    <row r="496" spans="8:10" x14ac:dyDescent="0.25">
      <c r="H496" s="63"/>
      <c r="I496" s="63"/>
      <c r="J496" s="63"/>
    </row>
    <row r="497" spans="8:10" x14ac:dyDescent="0.25">
      <c r="H497" s="63"/>
      <c r="I497" s="63"/>
      <c r="J497" s="63"/>
    </row>
    <row r="498" spans="8:10" x14ac:dyDescent="0.25">
      <c r="H498" s="63"/>
      <c r="I498" s="63"/>
      <c r="J498" s="63"/>
    </row>
    <row r="499" spans="8:10" x14ac:dyDescent="0.25">
      <c r="H499" s="63"/>
      <c r="I499" s="63"/>
      <c r="J499" s="63"/>
    </row>
    <row r="500" spans="8:10" x14ac:dyDescent="0.25">
      <c r="H500" s="63"/>
      <c r="I500" s="63"/>
      <c r="J500" s="63"/>
    </row>
    <row r="501" spans="8:10" x14ac:dyDescent="0.25">
      <c r="H501" s="63"/>
      <c r="I501" s="63"/>
      <c r="J501" s="63"/>
    </row>
    <row r="502" spans="8:10" x14ac:dyDescent="0.25">
      <c r="H502" s="63"/>
      <c r="I502" s="63"/>
      <c r="J502" s="63"/>
    </row>
    <row r="503" spans="8:10" x14ac:dyDescent="0.25">
      <c r="H503" s="63"/>
      <c r="I503" s="63"/>
      <c r="J503" s="63"/>
    </row>
    <row r="504" spans="8:10" x14ac:dyDescent="0.25">
      <c r="H504" s="63"/>
      <c r="I504" s="63"/>
      <c r="J504" s="63"/>
    </row>
    <row r="505" spans="8:10" x14ac:dyDescent="0.25">
      <c r="H505" s="63"/>
      <c r="I505" s="63"/>
      <c r="J505" s="63"/>
    </row>
    <row r="506" spans="8:10" x14ac:dyDescent="0.25">
      <c r="H506" s="63"/>
      <c r="I506" s="63"/>
      <c r="J506" s="63"/>
    </row>
    <row r="507" spans="8:10" x14ac:dyDescent="0.25">
      <c r="H507" s="63"/>
      <c r="I507" s="63"/>
      <c r="J507" s="63"/>
    </row>
    <row r="508" spans="8:10" x14ac:dyDescent="0.25">
      <c r="H508" s="63"/>
      <c r="I508" s="63"/>
      <c r="J508" s="63"/>
    </row>
    <row r="509" spans="8:10" x14ac:dyDescent="0.25">
      <c r="H509" s="63"/>
      <c r="I509" s="63"/>
      <c r="J509" s="63"/>
    </row>
    <row r="510" spans="8:10" x14ac:dyDescent="0.25">
      <c r="H510" s="63"/>
      <c r="I510" s="63"/>
      <c r="J510" s="63"/>
    </row>
    <row r="511" spans="8:10" x14ac:dyDescent="0.25">
      <c r="H511" s="63"/>
      <c r="I511" s="63"/>
      <c r="J511" s="63"/>
    </row>
    <row r="512" spans="8:10" x14ac:dyDescent="0.25">
      <c r="H512" s="63"/>
      <c r="I512" s="63"/>
      <c r="J512" s="63"/>
    </row>
    <row r="513" spans="8:10" x14ac:dyDescent="0.25">
      <c r="H513" s="63"/>
      <c r="I513" s="63"/>
      <c r="J513" s="63"/>
    </row>
    <row r="514" spans="8:10" x14ac:dyDescent="0.25">
      <c r="H514" s="63"/>
      <c r="I514" s="63"/>
      <c r="J514" s="63"/>
    </row>
    <row r="515" spans="8:10" x14ac:dyDescent="0.25">
      <c r="H515" s="63"/>
      <c r="I515" s="63"/>
      <c r="J515" s="63"/>
    </row>
    <row r="516" spans="8:10" x14ac:dyDescent="0.25">
      <c r="H516" s="63"/>
      <c r="I516" s="63"/>
      <c r="J516" s="63"/>
    </row>
    <row r="517" spans="8:10" x14ac:dyDescent="0.25">
      <c r="H517" s="63"/>
      <c r="I517" s="63"/>
      <c r="J517" s="63"/>
    </row>
    <row r="518" spans="8:10" x14ac:dyDescent="0.25">
      <c r="H518" s="63"/>
      <c r="I518" s="63"/>
      <c r="J518" s="63"/>
    </row>
    <row r="519" spans="8:10" x14ac:dyDescent="0.25">
      <c r="H519" s="63"/>
      <c r="I519" s="63"/>
      <c r="J519" s="63"/>
    </row>
    <row r="520" spans="8:10" x14ac:dyDescent="0.25">
      <c r="H520" s="63"/>
      <c r="I520" s="63"/>
      <c r="J520" s="63"/>
    </row>
    <row r="521" spans="8:10" x14ac:dyDescent="0.25">
      <c r="H521" s="63"/>
      <c r="I521" s="63"/>
      <c r="J521" s="63"/>
    </row>
    <row r="522" spans="8:10" x14ac:dyDescent="0.25">
      <c r="H522" s="63"/>
      <c r="I522" s="63"/>
      <c r="J522" s="63"/>
    </row>
    <row r="523" spans="8:10" x14ac:dyDescent="0.25">
      <c r="H523" s="63"/>
      <c r="I523" s="63"/>
      <c r="J523" s="63"/>
    </row>
    <row r="524" spans="8:10" x14ac:dyDescent="0.25">
      <c r="H524" s="63"/>
      <c r="I524" s="63"/>
      <c r="J524" s="63"/>
    </row>
    <row r="525" spans="8:10" x14ac:dyDescent="0.25">
      <c r="H525" s="63"/>
      <c r="I525" s="63"/>
      <c r="J525" s="63"/>
    </row>
    <row r="526" spans="8:10" x14ac:dyDescent="0.25">
      <c r="H526" s="63"/>
      <c r="I526" s="63"/>
      <c r="J526" s="63"/>
    </row>
    <row r="527" spans="8:10" x14ac:dyDescent="0.25">
      <c r="H527" s="63"/>
      <c r="I527" s="63"/>
      <c r="J527" s="63"/>
    </row>
    <row r="528" spans="8:10" x14ac:dyDescent="0.25">
      <c r="H528" s="63"/>
      <c r="I528" s="63"/>
      <c r="J528" s="63"/>
    </row>
    <row r="529" spans="8:10" x14ac:dyDescent="0.25">
      <c r="H529" s="63"/>
      <c r="I529" s="63"/>
      <c r="J529" s="63"/>
    </row>
  </sheetData>
  <mergeCells count="18">
    <mergeCell ref="R8:X9"/>
    <mergeCell ref="E6:F6"/>
    <mergeCell ref="G6:G7"/>
    <mergeCell ref="H6:J7"/>
    <mergeCell ref="K6:M6"/>
    <mergeCell ref="N6:N7"/>
    <mergeCell ref="E7:F7"/>
    <mergeCell ref="K7:M7"/>
    <mergeCell ref="A2:O2"/>
    <mergeCell ref="A3:O3"/>
    <mergeCell ref="E4:F4"/>
    <mergeCell ref="G4:G5"/>
    <mergeCell ref="H4:J5"/>
    <mergeCell ref="K4:M4"/>
    <mergeCell ref="O4:O8"/>
    <mergeCell ref="E5:F5"/>
    <mergeCell ref="K5:M5"/>
    <mergeCell ref="D6:D7"/>
  </mergeCells>
  <pageMargins left="0.7" right="0.7" top="0.75" bottom="0.75" header="0.3" footer="0.3"/>
  <pageSetup paperSize="9" scale="46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6.19</vt:lpstr>
      <vt:lpstr>'6.19'!Print_Area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2019-08-08T05:04:38Z</cp:lastPrinted>
  <dcterms:created xsi:type="dcterms:W3CDTF">2019-08-06T05:35:20Z</dcterms:created>
  <dcterms:modified xsi:type="dcterms:W3CDTF">2019-08-08T05:04:57Z</dcterms:modified>
</cp:coreProperties>
</file>