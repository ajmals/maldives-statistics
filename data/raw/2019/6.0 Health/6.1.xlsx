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'6.1'!$A$1:$O$40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F18" i="1"/>
  <c r="D18" i="1"/>
  <c r="C18" i="1"/>
  <c r="B18" i="1" s="1"/>
  <c r="J17" i="1"/>
  <c r="F17" i="1"/>
  <c r="D17" i="1"/>
  <c r="C17" i="1"/>
  <c r="B17" i="1" s="1"/>
  <c r="B16" i="1" s="1"/>
  <c r="Z11" i="1" s="1"/>
  <c r="L16" i="1"/>
  <c r="K16" i="1"/>
  <c r="AG11" i="1" s="1"/>
  <c r="J16" i="1"/>
  <c r="H16" i="1"/>
  <c r="G16" i="1"/>
  <c r="AE11" i="1" s="1"/>
  <c r="AI11" i="1" s="1"/>
  <c r="F16" i="1"/>
  <c r="D16" i="1"/>
  <c r="J15" i="1"/>
  <c r="J13" i="1" s="1"/>
  <c r="F15" i="1"/>
  <c r="F13" i="1" s="1"/>
  <c r="D15" i="1"/>
  <c r="C15" i="1"/>
  <c r="B15" i="1" s="1"/>
  <c r="J14" i="1"/>
  <c r="F14" i="1"/>
  <c r="D14" i="1"/>
  <c r="C14" i="1"/>
  <c r="B14" i="1" s="1"/>
  <c r="B13" i="1" s="1"/>
  <c r="Z10" i="1" s="1"/>
  <c r="L13" i="1"/>
  <c r="K13" i="1"/>
  <c r="H13" i="1"/>
  <c r="G13" i="1"/>
  <c r="D13" i="1"/>
  <c r="AB10" i="1" s="1"/>
  <c r="AH11" i="1"/>
  <c r="AF11" i="1"/>
  <c r="AB11" i="1"/>
  <c r="Y11" i="1"/>
  <c r="J11" i="1"/>
  <c r="F11" i="1"/>
  <c r="D11" i="1"/>
  <c r="C11" i="1"/>
  <c r="B11" i="1"/>
  <c r="Z9" i="1" s="1"/>
  <c r="AI10" i="1"/>
  <c r="AH10" i="1"/>
  <c r="AG10" i="1"/>
  <c r="AF10" i="1"/>
  <c r="AE10" i="1"/>
  <c r="Y10" i="1"/>
  <c r="J10" i="1"/>
  <c r="F10" i="1"/>
  <c r="D10" i="1"/>
  <c r="C10" i="1"/>
  <c r="B10" i="1" s="1"/>
  <c r="Z8" i="1" s="1"/>
  <c r="AH9" i="1"/>
  <c r="AG9" i="1"/>
  <c r="AF9" i="1"/>
  <c r="AE9" i="1"/>
  <c r="AI9" i="1" s="1"/>
  <c r="AB9" i="1"/>
  <c r="AA9" i="1"/>
  <c r="Y9" i="1"/>
  <c r="J9" i="1"/>
  <c r="J7" i="1" s="1"/>
  <c r="F9" i="1"/>
  <c r="D9" i="1"/>
  <c r="C9" i="1"/>
  <c r="B9" i="1" s="1"/>
  <c r="AH8" i="1"/>
  <c r="AG8" i="1"/>
  <c r="AF8" i="1"/>
  <c r="AE8" i="1"/>
  <c r="AI8" i="1" s="1"/>
  <c r="AB8" i="1"/>
  <c r="AA8" i="1"/>
  <c r="Y8" i="1"/>
  <c r="J8" i="1"/>
  <c r="F8" i="1"/>
  <c r="D8" i="1"/>
  <c r="D7" i="1" s="1"/>
  <c r="C8" i="1"/>
  <c r="B8" i="1" s="1"/>
  <c r="B7" i="1" s="1"/>
  <c r="Y7" i="1"/>
  <c r="L7" i="1"/>
  <c r="AH7" i="1" s="1"/>
  <c r="K7" i="1"/>
  <c r="AG7" i="1" s="1"/>
  <c r="H7" i="1"/>
  <c r="AF7" i="1" s="1"/>
  <c r="G7" i="1"/>
  <c r="AE7" i="1" s="1"/>
  <c r="F7" i="1"/>
  <c r="F6" i="1" s="1"/>
  <c r="H6" i="1"/>
  <c r="G6" i="1"/>
  <c r="L6" i="1" l="1"/>
  <c r="J6" i="1"/>
  <c r="AI7" i="1"/>
  <c r="B6" i="1"/>
  <c r="Z7" i="1"/>
  <c r="AB7" i="1"/>
  <c r="D6" i="1"/>
  <c r="C7" i="1"/>
  <c r="C13" i="1"/>
  <c r="AA10" i="1" s="1"/>
  <c r="K6" i="1"/>
  <c r="C16" i="1"/>
  <c r="AA11" i="1" s="1"/>
  <c r="AA7" i="1" l="1"/>
  <c r="C6" i="1"/>
</calcChain>
</file>

<file path=xl/sharedStrings.xml><?xml version="1.0" encoding="utf-8"?>
<sst xmlns="http://schemas.openxmlformats.org/spreadsheetml/2006/main" count="64" uniqueCount="46">
  <si>
    <t>ތާވަލު 6.1: ޞިއްޙީ ދާއިރާގައި މަސައްކަތްކުރާ މީހުންގެ އަދަދު، 2018</t>
  </si>
  <si>
    <t>Table 6.1 :  DISTRIBUTION OF MEDICAL STAFF IN MALE' AND ATOLLS - 2018</t>
  </si>
  <si>
    <t>Categories of Health Personnel</t>
  </si>
  <si>
    <t xml:space="preserve"> ejcaWr</t>
  </si>
  <si>
    <t>elWm</t>
  </si>
  <si>
    <t>cawtuLotwa</t>
  </si>
  <si>
    <t>ސިއްހީ ދާއިރާގެ މުވައްޒިފުން</t>
  </si>
  <si>
    <t>Republic</t>
  </si>
  <si>
    <t>Male'</t>
  </si>
  <si>
    <t xml:space="preserve">Atolls </t>
  </si>
  <si>
    <t>Both sexes</t>
  </si>
  <si>
    <t>Male</t>
  </si>
  <si>
    <t>Female</t>
  </si>
  <si>
    <t>Atoll</t>
  </si>
  <si>
    <t>Total</t>
  </si>
  <si>
    <t>Doctors</t>
  </si>
  <si>
    <t>ޑޮކްޓަރުން</t>
  </si>
  <si>
    <t xml:space="preserve">         General duty doctors</t>
  </si>
  <si>
    <t xml:space="preserve">cnurwTckoD egukwtilwbumcaWA   </t>
  </si>
  <si>
    <t xml:space="preserve">         Specialists</t>
  </si>
  <si>
    <t xml:space="preserve">cnurwTckoD wBcaWH cSwkwtilwbikeaikea   </t>
  </si>
  <si>
    <t>Nurses</t>
  </si>
  <si>
    <t>cnuhurwn</t>
  </si>
  <si>
    <t>Allied Health Staff</t>
  </si>
  <si>
    <t xml:space="preserve">އެލައިޑް ހެލްތް ސްޓާފުން </t>
  </si>
  <si>
    <t xml:space="preserve"> 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</si>
  <si>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</si>
  <si>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</si>
  <si>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</si>
  <si>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</si>
  <si>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</si>
  <si>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</si>
  <si>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</si>
  <si>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</si>
  <si>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 xml:space="preserve">                 Trained</t>
  </si>
  <si>
    <t xml:space="preserve">  ތަމްރީން ދެވިފައި</t>
  </si>
  <si>
    <t xml:space="preserve">                 Untrained</t>
  </si>
  <si>
    <t xml:space="preserve">  ތަމްރީން ނުދެވި</t>
  </si>
  <si>
    <t>Note:</t>
  </si>
  <si>
    <t>Data as of : 01 January to 31 December 2018</t>
  </si>
  <si>
    <t xml:space="preserve"> Atoll data includes  hospitals  and Health Centers </t>
  </si>
  <si>
    <t xml:space="preserve"> Data taken from the HR reports collected from health facilities</t>
  </si>
  <si>
    <t>Pvt. Sector data  includes ADK,IMDC,Tree Top and FMDD hospital only</t>
  </si>
  <si>
    <t>IMDC is the only private hospital in periphery</t>
  </si>
  <si>
    <t>Source: Ministry of Health</t>
  </si>
  <si>
    <t>ޖުމްލަ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</si>
</sst>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General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1"/>
      <name val="Faruma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A_Randhoo"/>
    </font>
    <font>
      <b/>
      <sz val="11"/>
      <name val="A_Randhoo"/>
    </font>
    <font>
      <sz val="11"/>
      <name val="Faruma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9"/>
      <name val="Calibri Light"/>
      <family val="1"/>
      <scheme val="major"/>
    </font>
    <font>
      <i/>
      <sz val="10"/>
      <color theme="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8">
    <xf numFmtId="0" fontId="0" fillId="0" borderId="0"/>
    <xf numFmtId="0" fontId="1" fillId="0" borderId="0"/>
    <xf numFmtId="165" fontId="24" fillId="0" borderId="0"/>
    <xf numFmtId="165" fontId="24" fillId="0" borderId="0"/>
    <xf numFmtId="165" fontId="24" fillId="0" borderId="0"/>
    <xf numFmtId="40" fontId="25" fillId="0" borderId="0" applyFont="0" applyFill="0" applyBorder="0" applyAlignment="0" applyProtection="0"/>
    <xf numFmtId="165" fontId="24" fillId="0" borderId="0"/>
    <xf numFmtId="0" fontId="1" fillId="0" borderId="0"/>
  </cellStyleXfs>
  <cellXfs count="97">
    <xf numFmtId="0" fontId="0" fillId="0" borderId="0" xfId="0"/>
    <xf numFmtId="0" fontId="3" fillId="2" borderId="0" xfId="0" applyNumberFormat="1" applyFont="1" applyFill="1" applyBorder="1" applyAlignment="1">
      <alignment vertical="center" wrapText="1"/>
    </xf>
    <xf numFmtId="0" fontId="0" fillId="2" borderId="0" xfId="0" applyNumberFormat="1" applyFill="1" applyBorder="1" applyAlignment="1">
      <alignment vertical="center"/>
    </xf>
    <xf numFmtId="0" fontId="0" fillId="2" borderId="3" xfId="0" applyNumberFormat="1" applyFill="1" applyBorder="1" applyAlignment="1">
      <alignment vertical="center"/>
    </xf>
    <xf numFmtId="0" fontId="4" fillId="2" borderId="0" xfId="0" applyNumberFormat="1" applyFont="1" applyFill="1" applyBorder="1" applyAlignment="1" applyProtection="1">
      <alignment vertical="center"/>
    </xf>
    <xf numFmtId="0" fontId="6" fillId="2" borderId="7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8" fillId="2" borderId="10" xfId="0" applyNumberFormat="1" applyFont="1" applyFill="1" applyBorder="1" applyAlignment="1" applyProtection="1">
      <alignment vertical="center"/>
    </xf>
    <xf numFmtId="0" fontId="8" fillId="2" borderId="0" xfId="0" applyNumberFormat="1" applyFont="1" applyFill="1" applyBorder="1" applyAlignment="1" applyProtection="1">
      <alignment vertical="center"/>
    </xf>
    <xf numFmtId="0" fontId="9" fillId="2" borderId="14" xfId="0" applyNumberFormat="1" applyFont="1" applyFill="1" applyBorder="1" applyAlignment="1">
      <alignment horizontal="center" vertical="center"/>
    </xf>
    <xf numFmtId="0" fontId="9" fillId="2" borderId="13" xfId="0" applyNumberFormat="1" applyFont="1" applyFill="1" applyBorder="1" applyAlignment="1">
      <alignment horizontal="center" vertical="center"/>
    </xf>
    <xf numFmtId="0" fontId="9" fillId="2" borderId="15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right" vertical="center"/>
    </xf>
    <xf numFmtId="3" fontId="9" fillId="2" borderId="6" xfId="0" applyNumberFormat="1" applyFont="1" applyFill="1" applyBorder="1" applyAlignment="1">
      <alignment horizontal="right" vertical="center"/>
    </xf>
    <xf numFmtId="3" fontId="9" fillId="2" borderId="7" xfId="0" applyNumberFormat="1" applyFont="1" applyFill="1" applyBorder="1" applyAlignment="1">
      <alignment horizontal="right" vertical="center"/>
    </xf>
    <xf numFmtId="3" fontId="9" fillId="2" borderId="8" xfId="0" applyNumberFormat="1" applyFont="1" applyFill="1" applyBorder="1" applyAlignment="1">
      <alignment horizontal="right" vertical="center"/>
    </xf>
    <xf numFmtId="0" fontId="0" fillId="2" borderId="2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3" fontId="9" fillId="2" borderId="0" xfId="0" applyNumberFormat="1" applyFont="1" applyFill="1" applyBorder="1" applyAlignment="1" applyProtection="1">
      <alignment horizontal="right" vertical="center"/>
    </xf>
    <xf numFmtId="3" fontId="9" fillId="2" borderId="9" xfId="0" applyNumberFormat="1" applyFont="1" applyFill="1" applyBorder="1" applyAlignment="1" applyProtection="1">
      <alignment horizontal="right" vertical="center"/>
    </xf>
    <xf numFmtId="3" fontId="9" fillId="2" borderId="16" xfId="0" applyNumberFormat="1" applyFont="1" applyFill="1" applyBorder="1" applyAlignment="1" applyProtection="1">
      <alignment horizontal="right" vertical="center"/>
    </xf>
    <xf numFmtId="0" fontId="10" fillId="2" borderId="17" xfId="0" applyFont="1" applyFill="1" applyBorder="1" applyAlignment="1">
      <alignment horizontal="right" vertical="center"/>
    </xf>
    <xf numFmtId="3" fontId="0" fillId="2" borderId="0" xfId="0" applyNumberFormat="1" applyFill="1" applyBorder="1" applyAlignment="1">
      <alignment vertical="center"/>
    </xf>
    <xf numFmtId="3" fontId="12" fillId="2" borderId="0" xfId="0" applyNumberFormat="1" applyFont="1" applyFill="1" applyBorder="1" applyAlignment="1" applyProtection="1">
      <alignment horizontal="right" vertical="center"/>
    </xf>
    <xf numFmtId="3" fontId="12" fillId="2" borderId="9" xfId="0" applyNumberFormat="1" applyFont="1" applyFill="1" applyBorder="1" applyAlignment="1" applyProtection="1">
      <alignment horizontal="right" vertical="center"/>
    </xf>
    <xf numFmtId="3" fontId="12" fillId="2" borderId="16" xfId="0" applyNumberFormat="1" applyFont="1" applyFill="1" applyBorder="1" applyAlignment="1" applyProtection="1">
      <alignment horizontal="right" vertical="center"/>
    </xf>
    <xf numFmtId="0" fontId="13" fillId="2" borderId="17" xfId="0" applyFont="1" applyFill="1" applyBorder="1" applyAlignment="1">
      <alignment horizontal="right" vertical="center" indent="1"/>
    </xf>
    <xf numFmtId="0" fontId="13" fillId="2" borderId="1" xfId="0" applyFont="1" applyFill="1" applyBorder="1" applyAlignment="1">
      <alignment horizontal="right" vertical="center" indent="1"/>
    </xf>
    <xf numFmtId="0" fontId="14" fillId="2" borderId="1" xfId="0" applyFont="1" applyFill="1" applyBorder="1" applyAlignment="1">
      <alignment horizontal="right" vertical="center"/>
    </xf>
    <xf numFmtId="0" fontId="2" fillId="2" borderId="2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right" vertical="center" indent="1"/>
    </xf>
    <xf numFmtId="0" fontId="0" fillId="2" borderId="0" xfId="0" applyNumberFormat="1" applyFill="1" applyBorder="1" applyAlignment="1">
      <alignment horizontal="left" vertical="center" indent="1"/>
    </xf>
    <xf numFmtId="3" fontId="12" fillId="2" borderId="14" xfId="0" applyNumberFormat="1" applyFont="1" applyFill="1" applyBorder="1" applyAlignment="1" applyProtection="1">
      <alignment horizontal="right" vertical="center"/>
    </xf>
    <xf numFmtId="3" fontId="12" fillId="2" borderId="13" xfId="0" applyNumberFormat="1" applyFont="1" applyFill="1" applyBorder="1" applyAlignment="1" applyProtection="1">
      <alignment horizontal="right" vertical="center"/>
    </xf>
    <xf numFmtId="3" fontId="12" fillId="2" borderId="15" xfId="0" applyNumberFormat="1" applyFont="1" applyFill="1" applyBorder="1" applyAlignment="1" applyProtection="1">
      <alignment horizontal="right" vertical="center"/>
    </xf>
    <xf numFmtId="0" fontId="0" fillId="2" borderId="18" xfId="0" applyNumberFormat="1" applyFill="1" applyBorder="1" applyAlignment="1">
      <alignment vertical="center"/>
    </xf>
    <xf numFmtId="0" fontId="15" fillId="2" borderId="4" xfId="0" applyFont="1" applyFill="1" applyBorder="1" applyAlignment="1">
      <alignment horizontal="right" vertical="center" indent="1"/>
    </xf>
    <xf numFmtId="0" fontId="16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2" borderId="19" xfId="0" applyNumberFormat="1" applyFill="1" applyBorder="1" applyAlignment="1">
      <alignment vertical="center"/>
    </xf>
    <xf numFmtId="0" fontId="17" fillId="2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top"/>
    </xf>
    <xf numFmtId="0" fontId="18" fillId="2" borderId="0" xfId="0" applyFont="1" applyFill="1" applyBorder="1" applyAlignment="1">
      <alignment horizontal="right" vertical="top"/>
    </xf>
    <xf numFmtId="164" fontId="0" fillId="2" borderId="0" xfId="0" applyNumberFormat="1" applyFont="1" applyFill="1" applyBorder="1"/>
    <xf numFmtId="0" fontId="19" fillId="2" borderId="0" xfId="0" applyNumberFormat="1" applyFont="1" applyFill="1" applyBorder="1" applyAlignment="1" applyProtection="1">
      <alignment horizontal="left" vertical="center" wrapText="1"/>
    </xf>
    <xf numFmtId="14" fontId="16" fillId="2" borderId="0" xfId="0" applyNumberFormat="1" applyFont="1" applyFill="1" applyBorder="1" applyAlignment="1">
      <alignment horizontal="left" vertical="center"/>
    </xf>
    <xf numFmtId="0" fontId="0" fillId="2" borderId="0" xfId="0" applyFill="1"/>
    <xf numFmtId="164" fontId="0" fillId="2" borderId="0" xfId="0" applyNumberFormat="1" applyFill="1" applyBorder="1"/>
    <xf numFmtId="0" fontId="20" fillId="2" borderId="0" xfId="0" applyNumberFormat="1" applyFont="1" applyFill="1" applyBorder="1"/>
    <xf numFmtId="0" fontId="9" fillId="2" borderId="0" xfId="0" applyNumberFormat="1" applyFont="1" applyFill="1" applyBorder="1" applyAlignment="1">
      <alignment horizontal="center"/>
    </xf>
    <xf numFmtId="0" fontId="21" fillId="2" borderId="0" xfId="0" applyFont="1" applyFill="1" applyBorder="1" applyAlignment="1">
      <alignment horizontal="right" vertical="center"/>
    </xf>
    <xf numFmtId="0" fontId="22" fillId="2" borderId="0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vertical="center" wrapText="1"/>
    </xf>
    <xf numFmtId="0" fontId="0" fillId="2" borderId="2" xfId="0" applyNumberFormat="1" applyFill="1" applyBorder="1" applyAlignment="1">
      <alignment horizontal="right" vertical="center"/>
    </xf>
    <xf numFmtId="0" fontId="23" fillId="2" borderId="3" xfId="0" applyNumberFormat="1" applyFont="1" applyFill="1" applyBorder="1" applyAlignment="1">
      <alignment vertical="center" wrapText="1"/>
    </xf>
    <xf numFmtId="0" fontId="20" fillId="2" borderId="3" xfId="0" applyNumberFormat="1" applyFont="1" applyFill="1" applyBorder="1"/>
    <xf numFmtId="0" fontId="21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NumberFormat="1" applyFill="1" applyBorder="1" applyAlignment="1">
      <alignment vertical="center" wrapText="1"/>
    </xf>
    <xf numFmtId="0" fontId="0" fillId="2" borderId="3" xfId="0" applyNumberFormat="1" applyFill="1" applyBorder="1" applyAlignment="1">
      <alignment horizontal="right" vertical="center"/>
    </xf>
    <xf numFmtId="0" fontId="0" fillId="2" borderId="20" xfId="0" applyNumberFormat="1" applyFill="1" applyBorder="1" applyAlignment="1">
      <alignment vertical="center"/>
    </xf>
    <xf numFmtId="0" fontId="0" fillId="2" borderId="21" xfId="0" applyNumberFormat="1" applyFill="1" applyBorder="1" applyAlignment="1">
      <alignment vertical="center"/>
    </xf>
    <xf numFmtId="0" fontId="0" fillId="2" borderId="0" xfId="0" applyNumberFormat="1" applyFill="1" applyBorder="1" applyAlignment="1">
      <alignment vertical="center" wrapText="1"/>
    </xf>
    <xf numFmtId="0" fontId="0" fillId="2" borderId="0" xfId="0" applyNumberFormat="1" applyFill="1" applyBorder="1" applyAlignment="1">
      <alignment horizontal="right" vertical="center"/>
    </xf>
    <xf numFmtId="0" fontId="6" fillId="2" borderId="7" xfId="0" applyNumberFormat="1" applyFont="1" applyFill="1" applyBorder="1" applyAlignment="1">
      <alignment horizontal="center" vertical="center"/>
    </xf>
    <xf numFmtId="0" fontId="8" fillId="2" borderId="10" xfId="0" applyNumberFormat="1" applyFont="1" applyFill="1" applyBorder="1" applyAlignment="1" applyProtection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/>
    </xf>
    <xf numFmtId="0" fontId="8" fillId="2" borderId="10" xfId="0" applyNumberFormat="1" applyFont="1" applyFill="1" applyBorder="1" applyAlignment="1" applyProtection="1">
      <alignment horizontal="center" vertical="center"/>
    </xf>
    <xf numFmtId="0" fontId="8" fillId="2" borderId="11" xfId="0" applyNumberFormat="1" applyFont="1" applyFill="1" applyBorder="1" applyAlignment="1" applyProtection="1">
      <alignment horizontal="center" vertical="center"/>
    </xf>
    <xf numFmtId="0" fontId="8" fillId="2" borderId="12" xfId="0" applyNumberFormat="1" applyFont="1" applyFill="1" applyBorder="1" applyAlignment="1" applyProtection="1">
      <alignment horizontal="center" vertical="center"/>
    </xf>
    <xf numFmtId="0" fontId="5" fillId="2" borderId="7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 wrapText="1"/>
    </xf>
    <xf numFmtId="0" fontId="5" fillId="2" borderId="14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center" wrapText="1"/>
    </xf>
    <xf numFmtId="0" fontId="11" fillId="2" borderId="0" xfId="0" applyNumberFormat="1" applyFont="1" applyFill="1" applyBorder="1" applyAlignment="1" applyProtection="1">
      <alignment horizontal="left" vertical="center" wrapText="1"/>
    </xf>
    <xf numFmtId="0" fontId="11" fillId="2" borderId="0" xfId="0" applyNumberFormat="1" applyFont="1" applyFill="1" applyBorder="1" applyAlignment="1" applyProtection="1">
      <alignment horizontal="left" vertical="center" wrapText="1" indent="1"/>
    </xf>
    <xf numFmtId="0" fontId="11" fillId="2" borderId="14" xfId="0" applyNumberFormat="1" applyFont="1" applyFill="1" applyBorder="1" applyAlignment="1" applyProtection="1">
      <alignment horizontal="left" vertical="center" wrapText="1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62785541833252"/>
          <c:y val="0.23760220107746677"/>
          <c:w val="0.39422173908857538"/>
          <c:h val="0.85267664453009639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B8B0-45B8-9536-B8DAD5D7B064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B8B0-45B8-9536-B8DAD5D7B064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B8B0-45B8-9536-B8DAD5D7B064}"/>
              </c:ext>
            </c:extLst>
          </c:dPt>
          <c:dPt>
            <c:idx val="4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B8B0-45B8-9536-B8DAD5D7B064}"/>
              </c:ext>
            </c:extLst>
          </c:dPt>
          <c:dLbls>
            <c:dLbl>
              <c:idx val="0"/>
              <c:layout>
                <c:manualLayout>
                  <c:x val="2.1157588493973974E-2"/>
                  <c:y val="1.99600735662301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8B0-45B8-9536-B8DAD5D7B064}"/>
                </c:ext>
              </c:extLst>
            </c:dLbl>
            <c:dLbl>
              <c:idx val="2"/>
              <c:layout>
                <c:manualLayout>
                  <c:x val="9.4033726639884338E-3"/>
                  <c:y val="-6.187638522124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905237326872896"/>
                      <c:h val="0.16930134398876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8B0-45B8-9536-B8DAD5D7B064}"/>
                </c:ext>
              </c:extLst>
            </c:dLbl>
            <c:dLbl>
              <c:idx val="3"/>
              <c:layout>
                <c:manualLayout>
                  <c:x val="0.1151913151338583"/>
                  <c:y val="-0.131736485537119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8B0-45B8-9536-B8DAD5D7B064}"/>
                </c:ext>
              </c:extLst>
            </c:dLbl>
            <c:dLbl>
              <c:idx val="4"/>
              <c:layout>
                <c:manualLayout>
                  <c:x val="0.20099718324563332"/>
                  <c:y val="-2.79439458267886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6515384047252"/>
                      <c:h val="0.160798352649550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8B0-45B8-9536-B8DAD5D7B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'6.1'!$Y$7:$Y$11</c:f>
              <c:strCache>
                <c:ptCount val="5"/>
                <c:pt idx="0">
                  <c:v>Doctors</c:v>
                </c:pt>
                <c:pt idx="1">
                  <c:v>Nurses</c:v>
                </c:pt>
                <c:pt idx="2">
                  <c:v>Allied Health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'6.1'!$Z$7:$Z$11</c:f>
              <c:numCache>
                <c:formatCode>General</c:formatCode>
                <c:ptCount val="5"/>
                <c:pt idx="0">
                  <c:v>961</c:v>
                </c:pt>
                <c:pt idx="1">
                  <c:v>2881</c:v>
                </c:pt>
                <c:pt idx="2">
                  <c:v>574</c:v>
                </c:pt>
                <c:pt idx="3">
                  <c:v>453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B0-45B8-9536-B8DAD5D7B06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66"/>
        <c:holeSize val="1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307973157176148E-2"/>
          <c:y val="0.15759385413901913"/>
          <c:w val="0.88167203124041305"/>
          <c:h val="0.649436807687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'6.1'!$AD$7</c:f>
              <c:strCache>
                <c:ptCount val="1"/>
                <c:pt idx="0">
                  <c:v>Doctors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'6.1'!$AE$7:$AH$7</c:f>
              <c:numCache>
                <c:formatCode>#,##0</c:formatCode>
                <c:ptCount val="4"/>
                <c:pt idx="0">
                  <c:v>283</c:v>
                </c:pt>
                <c:pt idx="1">
                  <c:v>220</c:v>
                </c:pt>
                <c:pt idx="2">
                  <c:v>383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A-4704-B6BC-11B253F9AF20}"/>
            </c:ext>
          </c:extLst>
        </c:ser>
        <c:ser>
          <c:idx val="1"/>
          <c:order val="1"/>
          <c:tx>
            <c:strRef>
              <c:f>'6.1'!$AD$8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'6.1'!$AE$8:$AH$8</c:f>
              <c:numCache>
                <c:formatCode>#,##0</c:formatCode>
                <c:ptCount val="4"/>
                <c:pt idx="0">
                  <c:v>322</c:v>
                </c:pt>
                <c:pt idx="1">
                  <c:v>1000</c:v>
                </c:pt>
                <c:pt idx="2">
                  <c:v>110</c:v>
                </c:pt>
                <c:pt idx="3">
                  <c:v>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A-4704-B6BC-11B253F9AF20}"/>
            </c:ext>
          </c:extLst>
        </c:ser>
        <c:ser>
          <c:idx val="2"/>
          <c:order val="2"/>
          <c:tx>
            <c:strRef>
              <c:f>'6.1'!$AD$9</c:f>
              <c:strCache>
                <c:ptCount val="1"/>
                <c:pt idx="0">
                  <c:v>Allied Health Staff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'6.1'!$AE$9:$AH$9</c:f>
              <c:numCache>
                <c:formatCode>#,##0</c:formatCode>
                <c:ptCount val="4"/>
                <c:pt idx="0">
                  <c:v>116</c:v>
                </c:pt>
                <c:pt idx="1">
                  <c:v>202</c:v>
                </c:pt>
                <c:pt idx="2">
                  <c:v>139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A-4704-B6BC-11B253F9AF20}"/>
            </c:ext>
          </c:extLst>
        </c:ser>
        <c:ser>
          <c:idx val="3"/>
          <c:order val="3"/>
          <c:tx>
            <c:strRef>
              <c:f>'6.1'!$AD$10</c:f>
              <c:strCache>
                <c:ptCount val="1"/>
                <c:pt idx="0">
                  <c:v>Community Health Personnel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'6.1'!$AE$10:$AH$10</c:f>
              <c:numCache>
                <c:formatCode>#,##0</c:formatCode>
                <c:ptCount val="4"/>
                <c:pt idx="0">
                  <c:v>1</c:v>
                </c:pt>
                <c:pt idx="1">
                  <c:v>7</c:v>
                </c:pt>
                <c:pt idx="2">
                  <c:v>145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A-4704-B6BC-11B253F9AF20}"/>
            </c:ext>
          </c:extLst>
        </c:ser>
        <c:ser>
          <c:idx val="4"/>
          <c:order val="4"/>
          <c:tx>
            <c:strRef>
              <c:f>'6.1'!$AD$11</c:f>
              <c:strCache>
                <c:ptCount val="1"/>
                <c:pt idx="0">
                  <c:v>Traditional Birth Attendant (Foolhuma)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'6.1'!$AE$11:$AH$11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9A-4704-B6BC-11B253F9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27904"/>
        <c:axId val="60833792"/>
      </c:barChart>
      <c:catAx>
        <c:axId val="60827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0833792"/>
        <c:crosses val="autoZero"/>
        <c:auto val="1"/>
        <c:lblAlgn val="ctr"/>
        <c:lblOffset val="100"/>
        <c:noMultiLvlLbl val="0"/>
      </c:catAx>
      <c:valAx>
        <c:axId val="6083379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6082790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88379044574358"/>
          <c:y val="0.18285378289536722"/>
          <c:w val="0.75855352516743191"/>
          <c:h val="0.17746474914627589"/>
        </c:manualLayout>
      </c:layout>
      <c:overlay val="0"/>
      <c:spPr>
        <a:noFill/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166852</xdr:colOff>
      <xdr:row>25</xdr:row>
      <xdr:rowOff>121416</xdr:rowOff>
    </xdr:from>
    <xdr:to>
      <xdr:col>6</xdr:col>
      <xdr:colOff>301844</xdr:colOff>
      <xdr:row>38</xdr:row>
      <xdr:rowOff>83317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390523</xdr:colOff>
      <xdr:row>25</xdr:row>
      <xdr:rowOff>143202</xdr:rowOff>
    </xdr:from>
    <xdr:to>
      <xdr:col>13</xdr:col>
      <xdr:colOff>2047327</xdr:colOff>
      <xdr:row>38</xdr:row>
      <xdr:rowOff>54740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429312</xdr:colOff>
      <xdr:row>26</xdr:row>
      <xdr:rowOff>19121</xdr:rowOff>
    </xdr:from>
    <xdr:to>
      <xdr:col>14</xdr:col>
      <xdr:colOff>9525</xdr:colOff>
      <xdr:row>27</xdr:row>
      <xdr:rowOff>45507</xdr:rowOff>
    </xdr:to>
    <xdr:sp macro="" textlink="">
      <xdr:nvSpPr>
        <xdr:cNvPr id="4" name="TextBox 3"/>
        <xdr:cNvSpPr txBox="1"/>
      </xdr:nvSpPr>
      <xdr:spPr>
        <a:xfrm>
          <a:off x="5696637" y="5924621"/>
          <a:ext cx="5352363" cy="274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529020</xdr:colOff>
      <xdr:row>26</xdr:row>
      <xdr:rowOff>17188</xdr:rowOff>
    </xdr:from>
    <xdr:to>
      <xdr:col>5</xdr:col>
      <xdr:colOff>77624</xdr:colOff>
      <xdr:row>27</xdr:row>
      <xdr:rowOff>26714</xdr:rowOff>
    </xdr:to>
    <xdr:sp macro="" textlink="">
      <xdr:nvSpPr>
        <xdr:cNvPr id="5" name="TextBox 4"/>
        <xdr:cNvSpPr txBox="1"/>
      </xdr:nvSpPr>
      <xdr:spPr>
        <a:xfrm>
          <a:off x="529020" y="5922688"/>
          <a:ext cx="4120604" cy="257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6.1: Percentage of Health Personnel, 2018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Sheet1"/>
      <sheetName val="6.3"/>
      <sheetName val="6.4"/>
      <sheetName val="new"/>
      <sheetName val="new rev"/>
      <sheetName val="6.5"/>
      <sheetName val="6.6"/>
      <sheetName val="6.7"/>
      <sheetName val="6.8"/>
      <sheetName val="new2"/>
      <sheetName val="new3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6.23"/>
      <sheetName val="6.2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5" refreshError="1"/>
      <sheetData sheetId="6" refreshError="1"/>
      <sheetData sheetId="7" refreshError="1"/>
      <sheetData sheetId="8">
        <row r="4">
          <cell r="G4">
            <v>2010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2005</v>
          </cell>
        </row>
      </sheetData>
      <sheetData sheetId="14" refreshError="1"/>
      <sheetData sheetId="15" refreshError="1"/>
      <sheetData sheetId="16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  <sheetData sheetId="17">
        <row r="14">
          <cell r="AB14">
            <v>2009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95"/>
  <sheetViews>
    <sheetView tabSelected="1" zoomScaleNormal="100" workbookViewId="0">
      <selection activeCell="R12" sqref="R12"/>
    </sheetView>
  </sheetViews>
  <sheetFormatPr defaultRowHeight="19.5" customHeight="1" x14ac:dyDescent="0.25"/>
  <cols>
    <col min="1" max="1" width="35.7109375" style="68" customWidth="1"/>
    <col min="2" max="4" width="10.42578125" style="69" customWidth="1"/>
    <col min="5" max="5" width="1.5703125" style="69" customWidth="1"/>
    <col min="6" max="8" width="10.42578125" style="69" customWidth="1"/>
    <col min="9" max="9" width="1.5703125" style="69" customWidth="1"/>
    <col min="10" max="12" width="10.42578125" style="69" customWidth="1"/>
    <col min="13" max="13" width="1.85546875" style="3" customWidth="1"/>
    <col min="14" max="14" width="31" style="18" customWidth="1"/>
    <col min="15" max="15" width="2.140625" style="2" customWidth="1"/>
    <col min="16" max="24" width="17.85546875" style="2" customWidth="1"/>
    <col min="25" max="25" width="28.85546875" style="2" customWidth="1"/>
    <col min="26" max="26" width="7.140625" style="2" customWidth="1"/>
    <col min="27" max="27" width="9.140625" style="2"/>
    <col min="28" max="29" width="9.140625" style="2" customWidth="1"/>
    <col min="30" max="112" width="9.140625" style="2"/>
    <col min="113" max="272" width="9.140625" style="3"/>
    <col min="273" max="273" width="40.85546875" style="3" customWidth="1"/>
    <col min="274" max="276" width="11.140625" style="3" customWidth="1"/>
    <col min="277" max="277" width="4.140625" style="3" customWidth="1"/>
    <col min="278" max="280" width="11.140625" style="3" customWidth="1"/>
    <col min="281" max="281" width="3.28515625" style="3" customWidth="1"/>
    <col min="282" max="284" width="11.140625" style="3" customWidth="1"/>
    <col min="285" max="285" width="3.140625" style="3" bestFit="1" customWidth="1"/>
    <col min="286" max="286" width="6.5703125" style="3" bestFit="1" customWidth="1"/>
    <col min="287" max="287" width="20.85546875" style="3" customWidth="1"/>
    <col min="288" max="288" width="7.5703125" style="3" customWidth="1"/>
    <col min="289" max="528" width="9.140625" style="3"/>
    <col min="529" max="529" width="40.85546875" style="3" customWidth="1"/>
    <col min="530" max="532" width="11.140625" style="3" customWidth="1"/>
    <col min="533" max="533" width="4.140625" style="3" customWidth="1"/>
    <col min="534" max="536" width="11.140625" style="3" customWidth="1"/>
    <col min="537" max="537" width="3.28515625" style="3" customWidth="1"/>
    <col min="538" max="540" width="11.140625" style="3" customWidth="1"/>
    <col min="541" max="541" width="3.140625" style="3" bestFit="1" customWidth="1"/>
    <col min="542" max="542" width="6.5703125" style="3" bestFit="1" customWidth="1"/>
    <col min="543" max="543" width="20.85546875" style="3" customWidth="1"/>
    <col min="544" max="544" width="7.5703125" style="3" customWidth="1"/>
    <col min="545" max="784" width="9.140625" style="3"/>
    <col min="785" max="785" width="40.85546875" style="3" customWidth="1"/>
    <col min="786" max="788" width="11.140625" style="3" customWidth="1"/>
    <col min="789" max="789" width="4.140625" style="3" customWidth="1"/>
    <col min="790" max="792" width="11.140625" style="3" customWidth="1"/>
    <col min="793" max="793" width="3.28515625" style="3" customWidth="1"/>
    <col min="794" max="796" width="11.140625" style="3" customWidth="1"/>
    <col min="797" max="797" width="3.140625" style="3" bestFit="1" customWidth="1"/>
    <col min="798" max="798" width="6.5703125" style="3" bestFit="1" customWidth="1"/>
    <col min="799" max="799" width="20.85546875" style="3" customWidth="1"/>
    <col min="800" max="800" width="7.5703125" style="3" customWidth="1"/>
    <col min="801" max="1040" width="9.140625" style="3"/>
    <col min="1041" max="1041" width="40.85546875" style="3" customWidth="1"/>
    <col min="1042" max="1044" width="11.140625" style="3" customWidth="1"/>
    <col min="1045" max="1045" width="4.140625" style="3" customWidth="1"/>
    <col min="1046" max="1048" width="11.140625" style="3" customWidth="1"/>
    <col min="1049" max="1049" width="3.28515625" style="3" customWidth="1"/>
    <col min="1050" max="1052" width="11.140625" style="3" customWidth="1"/>
    <col min="1053" max="1053" width="3.140625" style="3" bestFit="1" customWidth="1"/>
    <col min="1054" max="1054" width="6.5703125" style="3" bestFit="1" customWidth="1"/>
    <col min="1055" max="1055" width="20.85546875" style="3" customWidth="1"/>
    <col min="1056" max="1056" width="7.5703125" style="3" customWidth="1"/>
    <col min="1057" max="1296" width="9.140625" style="3"/>
    <col min="1297" max="1297" width="40.85546875" style="3" customWidth="1"/>
    <col min="1298" max="1300" width="11.140625" style="3" customWidth="1"/>
    <col min="1301" max="1301" width="4.140625" style="3" customWidth="1"/>
    <col min="1302" max="1304" width="11.140625" style="3" customWidth="1"/>
    <col min="1305" max="1305" width="3.28515625" style="3" customWidth="1"/>
    <col min="1306" max="1308" width="11.140625" style="3" customWidth="1"/>
    <col min="1309" max="1309" width="3.140625" style="3" bestFit="1" customWidth="1"/>
    <col min="1310" max="1310" width="6.5703125" style="3" bestFit="1" customWidth="1"/>
    <col min="1311" max="1311" width="20.85546875" style="3" customWidth="1"/>
    <col min="1312" max="1312" width="7.5703125" style="3" customWidth="1"/>
    <col min="1313" max="1552" width="9.140625" style="3"/>
    <col min="1553" max="1553" width="40.85546875" style="3" customWidth="1"/>
    <col min="1554" max="1556" width="11.140625" style="3" customWidth="1"/>
    <col min="1557" max="1557" width="4.140625" style="3" customWidth="1"/>
    <col min="1558" max="1560" width="11.140625" style="3" customWidth="1"/>
    <col min="1561" max="1561" width="3.28515625" style="3" customWidth="1"/>
    <col min="1562" max="1564" width="11.140625" style="3" customWidth="1"/>
    <col min="1565" max="1565" width="3.140625" style="3" bestFit="1" customWidth="1"/>
    <col min="1566" max="1566" width="6.5703125" style="3" bestFit="1" customWidth="1"/>
    <col min="1567" max="1567" width="20.85546875" style="3" customWidth="1"/>
    <col min="1568" max="1568" width="7.5703125" style="3" customWidth="1"/>
    <col min="1569" max="1808" width="9.140625" style="3"/>
    <col min="1809" max="1809" width="40.85546875" style="3" customWidth="1"/>
    <col min="1810" max="1812" width="11.140625" style="3" customWidth="1"/>
    <col min="1813" max="1813" width="4.140625" style="3" customWidth="1"/>
    <col min="1814" max="1816" width="11.140625" style="3" customWidth="1"/>
    <col min="1817" max="1817" width="3.28515625" style="3" customWidth="1"/>
    <col min="1818" max="1820" width="11.140625" style="3" customWidth="1"/>
    <col min="1821" max="1821" width="3.140625" style="3" bestFit="1" customWidth="1"/>
    <col min="1822" max="1822" width="6.5703125" style="3" bestFit="1" customWidth="1"/>
    <col min="1823" max="1823" width="20.85546875" style="3" customWidth="1"/>
    <col min="1824" max="1824" width="7.5703125" style="3" customWidth="1"/>
    <col min="1825" max="2064" width="9.140625" style="3"/>
    <col min="2065" max="2065" width="40.85546875" style="3" customWidth="1"/>
    <col min="2066" max="2068" width="11.140625" style="3" customWidth="1"/>
    <col min="2069" max="2069" width="4.140625" style="3" customWidth="1"/>
    <col min="2070" max="2072" width="11.140625" style="3" customWidth="1"/>
    <col min="2073" max="2073" width="3.28515625" style="3" customWidth="1"/>
    <col min="2074" max="2076" width="11.140625" style="3" customWidth="1"/>
    <col min="2077" max="2077" width="3.140625" style="3" bestFit="1" customWidth="1"/>
    <col min="2078" max="2078" width="6.5703125" style="3" bestFit="1" customWidth="1"/>
    <col min="2079" max="2079" width="20.85546875" style="3" customWidth="1"/>
    <col min="2080" max="2080" width="7.5703125" style="3" customWidth="1"/>
    <col min="2081" max="2320" width="9.140625" style="3"/>
    <col min="2321" max="2321" width="40.85546875" style="3" customWidth="1"/>
    <col min="2322" max="2324" width="11.140625" style="3" customWidth="1"/>
    <col min="2325" max="2325" width="4.140625" style="3" customWidth="1"/>
    <col min="2326" max="2328" width="11.140625" style="3" customWidth="1"/>
    <col min="2329" max="2329" width="3.28515625" style="3" customWidth="1"/>
    <col min="2330" max="2332" width="11.140625" style="3" customWidth="1"/>
    <col min="2333" max="2333" width="3.140625" style="3" bestFit="1" customWidth="1"/>
    <col min="2334" max="2334" width="6.5703125" style="3" bestFit="1" customWidth="1"/>
    <col min="2335" max="2335" width="20.85546875" style="3" customWidth="1"/>
    <col min="2336" max="2336" width="7.5703125" style="3" customWidth="1"/>
    <col min="2337" max="2576" width="9.140625" style="3"/>
    <col min="2577" max="2577" width="40.85546875" style="3" customWidth="1"/>
    <col min="2578" max="2580" width="11.140625" style="3" customWidth="1"/>
    <col min="2581" max="2581" width="4.140625" style="3" customWidth="1"/>
    <col min="2582" max="2584" width="11.140625" style="3" customWidth="1"/>
    <col min="2585" max="2585" width="3.28515625" style="3" customWidth="1"/>
    <col min="2586" max="2588" width="11.140625" style="3" customWidth="1"/>
    <col min="2589" max="2589" width="3.140625" style="3" bestFit="1" customWidth="1"/>
    <col min="2590" max="2590" width="6.5703125" style="3" bestFit="1" customWidth="1"/>
    <col min="2591" max="2591" width="20.85546875" style="3" customWidth="1"/>
    <col min="2592" max="2592" width="7.5703125" style="3" customWidth="1"/>
    <col min="2593" max="2832" width="9.140625" style="3"/>
    <col min="2833" max="2833" width="40.85546875" style="3" customWidth="1"/>
    <col min="2834" max="2836" width="11.140625" style="3" customWidth="1"/>
    <col min="2837" max="2837" width="4.140625" style="3" customWidth="1"/>
    <col min="2838" max="2840" width="11.140625" style="3" customWidth="1"/>
    <col min="2841" max="2841" width="3.28515625" style="3" customWidth="1"/>
    <col min="2842" max="2844" width="11.140625" style="3" customWidth="1"/>
    <col min="2845" max="2845" width="3.140625" style="3" bestFit="1" customWidth="1"/>
    <col min="2846" max="2846" width="6.5703125" style="3" bestFit="1" customWidth="1"/>
    <col min="2847" max="2847" width="20.85546875" style="3" customWidth="1"/>
    <col min="2848" max="2848" width="7.5703125" style="3" customWidth="1"/>
    <col min="2849" max="3088" width="9.140625" style="3"/>
    <col min="3089" max="3089" width="40.85546875" style="3" customWidth="1"/>
    <col min="3090" max="3092" width="11.140625" style="3" customWidth="1"/>
    <col min="3093" max="3093" width="4.140625" style="3" customWidth="1"/>
    <col min="3094" max="3096" width="11.140625" style="3" customWidth="1"/>
    <col min="3097" max="3097" width="3.28515625" style="3" customWidth="1"/>
    <col min="3098" max="3100" width="11.140625" style="3" customWidth="1"/>
    <col min="3101" max="3101" width="3.140625" style="3" bestFit="1" customWidth="1"/>
    <col min="3102" max="3102" width="6.5703125" style="3" bestFit="1" customWidth="1"/>
    <col min="3103" max="3103" width="20.85546875" style="3" customWidth="1"/>
    <col min="3104" max="3104" width="7.5703125" style="3" customWidth="1"/>
    <col min="3105" max="3344" width="9.140625" style="3"/>
    <col min="3345" max="3345" width="40.85546875" style="3" customWidth="1"/>
    <col min="3346" max="3348" width="11.140625" style="3" customWidth="1"/>
    <col min="3349" max="3349" width="4.140625" style="3" customWidth="1"/>
    <col min="3350" max="3352" width="11.140625" style="3" customWidth="1"/>
    <col min="3353" max="3353" width="3.28515625" style="3" customWidth="1"/>
    <col min="3354" max="3356" width="11.140625" style="3" customWidth="1"/>
    <col min="3357" max="3357" width="3.140625" style="3" bestFit="1" customWidth="1"/>
    <col min="3358" max="3358" width="6.5703125" style="3" bestFit="1" customWidth="1"/>
    <col min="3359" max="3359" width="20.85546875" style="3" customWidth="1"/>
    <col min="3360" max="3360" width="7.5703125" style="3" customWidth="1"/>
    <col min="3361" max="3600" width="9.140625" style="3"/>
    <col min="3601" max="3601" width="40.85546875" style="3" customWidth="1"/>
    <col min="3602" max="3604" width="11.140625" style="3" customWidth="1"/>
    <col min="3605" max="3605" width="4.140625" style="3" customWidth="1"/>
    <col min="3606" max="3608" width="11.140625" style="3" customWidth="1"/>
    <col min="3609" max="3609" width="3.28515625" style="3" customWidth="1"/>
    <col min="3610" max="3612" width="11.140625" style="3" customWidth="1"/>
    <col min="3613" max="3613" width="3.140625" style="3" bestFit="1" customWidth="1"/>
    <col min="3614" max="3614" width="6.5703125" style="3" bestFit="1" customWidth="1"/>
    <col min="3615" max="3615" width="20.85546875" style="3" customWidth="1"/>
    <col min="3616" max="3616" width="7.5703125" style="3" customWidth="1"/>
    <col min="3617" max="3856" width="9.140625" style="3"/>
    <col min="3857" max="3857" width="40.85546875" style="3" customWidth="1"/>
    <col min="3858" max="3860" width="11.140625" style="3" customWidth="1"/>
    <col min="3861" max="3861" width="4.140625" style="3" customWidth="1"/>
    <col min="3862" max="3864" width="11.140625" style="3" customWidth="1"/>
    <col min="3865" max="3865" width="3.28515625" style="3" customWidth="1"/>
    <col min="3866" max="3868" width="11.140625" style="3" customWidth="1"/>
    <col min="3869" max="3869" width="3.140625" style="3" bestFit="1" customWidth="1"/>
    <col min="3870" max="3870" width="6.5703125" style="3" bestFit="1" customWidth="1"/>
    <col min="3871" max="3871" width="20.85546875" style="3" customWidth="1"/>
    <col min="3872" max="3872" width="7.5703125" style="3" customWidth="1"/>
    <col min="3873" max="4112" width="9.140625" style="3"/>
    <col min="4113" max="4113" width="40.85546875" style="3" customWidth="1"/>
    <col min="4114" max="4116" width="11.140625" style="3" customWidth="1"/>
    <col min="4117" max="4117" width="4.140625" style="3" customWidth="1"/>
    <col min="4118" max="4120" width="11.140625" style="3" customWidth="1"/>
    <col min="4121" max="4121" width="3.28515625" style="3" customWidth="1"/>
    <col min="4122" max="4124" width="11.140625" style="3" customWidth="1"/>
    <col min="4125" max="4125" width="3.140625" style="3" bestFit="1" customWidth="1"/>
    <col min="4126" max="4126" width="6.5703125" style="3" bestFit="1" customWidth="1"/>
    <col min="4127" max="4127" width="20.85546875" style="3" customWidth="1"/>
    <col min="4128" max="4128" width="7.5703125" style="3" customWidth="1"/>
    <col min="4129" max="4368" width="9.140625" style="3"/>
    <col min="4369" max="4369" width="40.85546875" style="3" customWidth="1"/>
    <col min="4370" max="4372" width="11.140625" style="3" customWidth="1"/>
    <col min="4373" max="4373" width="4.140625" style="3" customWidth="1"/>
    <col min="4374" max="4376" width="11.140625" style="3" customWidth="1"/>
    <col min="4377" max="4377" width="3.28515625" style="3" customWidth="1"/>
    <col min="4378" max="4380" width="11.140625" style="3" customWidth="1"/>
    <col min="4381" max="4381" width="3.140625" style="3" bestFit="1" customWidth="1"/>
    <col min="4382" max="4382" width="6.5703125" style="3" bestFit="1" customWidth="1"/>
    <col min="4383" max="4383" width="20.85546875" style="3" customWidth="1"/>
    <col min="4384" max="4384" width="7.5703125" style="3" customWidth="1"/>
    <col min="4385" max="4624" width="9.140625" style="3"/>
    <col min="4625" max="4625" width="40.85546875" style="3" customWidth="1"/>
    <col min="4626" max="4628" width="11.140625" style="3" customWidth="1"/>
    <col min="4629" max="4629" width="4.140625" style="3" customWidth="1"/>
    <col min="4630" max="4632" width="11.140625" style="3" customWidth="1"/>
    <col min="4633" max="4633" width="3.28515625" style="3" customWidth="1"/>
    <col min="4634" max="4636" width="11.140625" style="3" customWidth="1"/>
    <col min="4637" max="4637" width="3.140625" style="3" bestFit="1" customWidth="1"/>
    <col min="4638" max="4638" width="6.5703125" style="3" bestFit="1" customWidth="1"/>
    <col min="4639" max="4639" width="20.85546875" style="3" customWidth="1"/>
    <col min="4640" max="4640" width="7.5703125" style="3" customWidth="1"/>
    <col min="4641" max="4880" width="9.140625" style="3"/>
    <col min="4881" max="4881" width="40.85546875" style="3" customWidth="1"/>
    <col min="4882" max="4884" width="11.140625" style="3" customWidth="1"/>
    <col min="4885" max="4885" width="4.140625" style="3" customWidth="1"/>
    <col min="4886" max="4888" width="11.140625" style="3" customWidth="1"/>
    <col min="4889" max="4889" width="3.28515625" style="3" customWidth="1"/>
    <col min="4890" max="4892" width="11.140625" style="3" customWidth="1"/>
    <col min="4893" max="4893" width="3.140625" style="3" bestFit="1" customWidth="1"/>
    <col min="4894" max="4894" width="6.5703125" style="3" bestFit="1" customWidth="1"/>
    <col min="4895" max="4895" width="20.85546875" style="3" customWidth="1"/>
    <col min="4896" max="4896" width="7.5703125" style="3" customWidth="1"/>
    <col min="4897" max="5136" width="9.140625" style="3"/>
    <col min="5137" max="5137" width="40.85546875" style="3" customWidth="1"/>
    <col min="5138" max="5140" width="11.140625" style="3" customWidth="1"/>
    <col min="5141" max="5141" width="4.140625" style="3" customWidth="1"/>
    <col min="5142" max="5144" width="11.140625" style="3" customWidth="1"/>
    <col min="5145" max="5145" width="3.28515625" style="3" customWidth="1"/>
    <col min="5146" max="5148" width="11.140625" style="3" customWidth="1"/>
    <col min="5149" max="5149" width="3.140625" style="3" bestFit="1" customWidth="1"/>
    <col min="5150" max="5150" width="6.5703125" style="3" bestFit="1" customWidth="1"/>
    <col min="5151" max="5151" width="20.85546875" style="3" customWidth="1"/>
    <col min="5152" max="5152" width="7.5703125" style="3" customWidth="1"/>
    <col min="5153" max="5392" width="9.140625" style="3"/>
    <col min="5393" max="5393" width="40.85546875" style="3" customWidth="1"/>
    <col min="5394" max="5396" width="11.140625" style="3" customWidth="1"/>
    <col min="5397" max="5397" width="4.140625" style="3" customWidth="1"/>
    <col min="5398" max="5400" width="11.140625" style="3" customWidth="1"/>
    <col min="5401" max="5401" width="3.28515625" style="3" customWidth="1"/>
    <col min="5402" max="5404" width="11.140625" style="3" customWidth="1"/>
    <col min="5405" max="5405" width="3.140625" style="3" bestFit="1" customWidth="1"/>
    <col min="5406" max="5406" width="6.5703125" style="3" bestFit="1" customWidth="1"/>
    <col min="5407" max="5407" width="20.85546875" style="3" customWidth="1"/>
    <col min="5408" max="5408" width="7.5703125" style="3" customWidth="1"/>
    <col min="5409" max="5648" width="9.140625" style="3"/>
    <col min="5649" max="5649" width="40.85546875" style="3" customWidth="1"/>
    <col min="5650" max="5652" width="11.140625" style="3" customWidth="1"/>
    <col min="5653" max="5653" width="4.140625" style="3" customWidth="1"/>
    <col min="5654" max="5656" width="11.140625" style="3" customWidth="1"/>
    <col min="5657" max="5657" width="3.28515625" style="3" customWidth="1"/>
    <col min="5658" max="5660" width="11.140625" style="3" customWidth="1"/>
    <col min="5661" max="5661" width="3.140625" style="3" bestFit="1" customWidth="1"/>
    <col min="5662" max="5662" width="6.5703125" style="3" bestFit="1" customWidth="1"/>
    <col min="5663" max="5663" width="20.85546875" style="3" customWidth="1"/>
    <col min="5664" max="5664" width="7.5703125" style="3" customWidth="1"/>
    <col min="5665" max="5904" width="9.140625" style="3"/>
    <col min="5905" max="5905" width="40.85546875" style="3" customWidth="1"/>
    <col min="5906" max="5908" width="11.140625" style="3" customWidth="1"/>
    <col min="5909" max="5909" width="4.140625" style="3" customWidth="1"/>
    <col min="5910" max="5912" width="11.140625" style="3" customWidth="1"/>
    <col min="5913" max="5913" width="3.28515625" style="3" customWidth="1"/>
    <col min="5914" max="5916" width="11.140625" style="3" customWidth="1"/>
    <col min="5917" max="5917" width="3.140625" style="3" bestFit="1" customWidth="1"/>
    <col min="5918" max="5918" width="6.5703125" style="3" bestFit="1" customWidth="1"/>
    <col min="5919" max="5919" width="20.85546875" style="3" customWidth="1"/>
    <col min="5920" max="5920" width="7.5703125" style="3" customWidth="1"/>
    <col min="5921" max="6160" width="9.140625" style="3"/>
    <col min="6161" max="6161" width="40.85546875" style="3" customWidth="1"/>
    <col min="6162" max="6164" width="11.140625" style="3" customWidth="1"/>
    <col min="6165" max="6165" width="4.140625" style="3" customWidth="1"/>
    <col min="6166" max="6168" width="11.140625" style="3" customWidth="1"/>
    <col min="6169" max="6169" width="3.28515625" style="3" customWidth="1"/>
    <col min="6170" max="6172" width="11.140625" style="3" customWidth="1"/>
    <col min="6173" max="6173" width="3.140625" style="3" bestFit="1" customWidth="1"/>
    <col min="6174" max="6174" width="6.5703125" style="3" bestFit="1" customWidth="1"/>
    <col min="6175" max="6175" width="20.85546875" style="3" customWidth="1"/>
    <col min="6176" max="6176" width="7.5703125" style="3" customWidth="1"/>
    <col min="6177" max="6416" width="9.140625" style="3"/>
    <col min="6417" max="6417" width="40.85546875" style="3" customWidth="1"/>
    <col min="6418" max="6420" width="11.140625" style="3" customWidth="1"/>
    <col min="6421" max="6421" width="4.140625" style="3" customWidth="1"/>
    <col min="6422" max="6424" width="11.140625" style="3" customWidth="1"/>
    <col min="6425" max="6425" width="3.28515625" style="3" customWidth="1"/>
    <col min="6426" max="6428" width="11.140625" style="3" customWidth="1"/>
    <col min="6429" max="6429" width="3.140625" style="3" bestFit="1" customWidth="1"/>
    <col min="6430" max="6430" width="6.5703125" style="3" bestFit="1" customWidth="1"/>
    <col min="6431" max="6431" width="20.85546875" style="3" customWidth="1"/>
    <col min="6432" max="6432" width="7.5703125" style="3" customWidth="1"/>
    <col min="6433" max="6672" width="9.140625" style="3"/>
    <col min="6673" max="6673" width="40.85546875" style="3" customWidth="1"/>
    <col min="6674" max="6676" width="11.140625" style="3" customWidth="1"/>
    <col min="6677" max="6677" width="4.140625" style="3" customWidth="1"/>
    <col min="6678" max="6680" width="11.140625" style="3" customWidth="1"/>
    <col min="6681" max="6681" width="3.28515625" style="3" customWidth="1"/>
    <col min="6682" max="6684" width="11.140625" style="3" customWidth="1"/>
    <col min="6685" max="6685" width="3.140625" style="3" bestFit="1" customWidth="1"/>
    <col min="6686" max="6686" width="6.5703125" style="3" bestFit="1" customWidth="1"/>
    <col min="6687" max="6687" width="20.85546875" style="3" customWidth="1"/>
    <col min="6688" max="6688" width="7.5703125" style="3" customWidth="1"/>
    <col min="6689" max="6928" width="9.140625" style="3"/>
    <col min="6929" max="6929" width="40.85546875" style="3" customWidth="1"/>
    <col min="6930" max="6932" width="11.140625" style="3" customWidth="1"/>
    <col min="6933" max="6933" width="4.140625" style="3" customWidth="1"/>
    <col min="6934" max="6936" width="11.140625" style="3" customWidth="1"/>
    <col min="6937" max="6937" width="3.28515625" style="3" customWidth="1"/>
    <col min="6938" max="6940" width="11.140625" style="3" customWidth="1"/>
    <col min="6941" max="6941" width="3.140625" style="3" bestFit="1" customWidth="1"/>
    <col min="6942" max="6942" width="6.5703125" style="3" bestFit="1" customWidth="1"/>
    <col min="6943" max="6943" width="20.85546875" style="3" customWidth="1"/>
    <col min="6944" max="6944" width="7.5703125" style="3" customWidth="1"/>
    <col min="6945" max="7184" width="9.140625" style="3"/>
    <col min="7185" max="7185" width="40.85546875" style="3" customWidth="1"/>
    <col min="7186" max="7188" width="11.140625" style="3" customWidth="1"/>
    <col min="7189" max="7189" width="4.140625" style="3" customWidth="1"/>
    <col min="7190" max="7192" width="11.140625" style="3" customWidth="1"/>
    <col min="7193" max="7193" width="3.28515625" style="3" customWidth="1"/>
    <col min="7194" max="7196" width="11.140625" style="3" customWidth="1"/>
    <col min="7197" max="7197" width="3.140625" style="3" bestFit="1" customWidth="1"/>
    <col min="7198" max="7198" width="6.5703125" style="3" bestFit="1" customWidth="1"/>
    <col min="7199" max="7199" width="20.85546875" style="3" customWidth="1"/>
    <col min="7200" max="7200" width="7.5703125" style="3" customWidth="1"/>
    <col min="7201" max="7440" width="9.140625" style="3"/>
    <col min="7441" max="7441" width="40.85546875" style="3" customWidth="1"/>
    <col min="7442" max="7444" width="11.140625" style="3" customWidth="1"/>
    <col min="7445" max="7445" width="4.140625" style="3" customWidth="1"/>
    <col min="7446" max="7448" width="11.140625" style="3" customWidth="1"/>
    <col min="7449" max="7449" width="3.28515625" style="3" customWidth="1"/>
    <col min="7450" max="7452" width="11.140625" style="3" customWidth="1"/>
    <col min="7453" max="7453" width="3.140625" style="3" bestFit="1" customWidth="1"/>
    <col min="7454" max="7454" width="6.5703125" style="3" bestFit="1" customWidth="1"/>
    <col min="7455" max="7455" width="20.85546875" style="3" customWidth="1"/>
    <col min="7456" max="7456" width="7.5703125" style="3" customWidth="1"/>
    <col min="7457" max="7696" width="9.140625" style="3"/>
    <col min="7697" max="7697" width="40.85546875" style="3" customWidth="1"/>
    <col min="7698" max="7700" width="11.140625" style="3" customWidth="1"/>
    <col min="7701" max="7701" width="4.140625" style="3" customWidth="1"/>
    <col min="7702" max="7704" width="11.140625" style="3" customWidth="1"/>
    <col min="7705" max="7705" width="3.28515625" style="3" customWidth="1"/>
    <col min="7706" max="7708" width="11.140625" style="3" customWidth="1"/>
    <col min="7709" max="7709" width="3.140625" style="3" bestFit="1" customWidth="1"/>
    <col min="7710" max="7710" width="6.5703125" style="3" bestFit="1" customWidth="1"/>
    <col min="7711" max="7711" width="20.85546875" style="3" customWidth="1"/>
    <col min="7712" max="7712" width="7.5703125" style="3" customWidth="1"/>
    <col min="7713" max="7952" width="9.140625" style="3"/>
    <col min="7953" max="7953" width="40.85546875" style="3" customWidth="1"/>
    <col min="7954" max="7956" width="11.140625" style="3" customWidth="1"/>
    <col min="7957" max="7957" width="4.140625" style="3" customWidth="1"/>
    <col min="7958" max="7960" width="11.140625" style="3" customWidth="1"/>
    <col min="7961" max="7961" width="3.28515625" style="3" customWidth="1"/>
    <col min="7962" max="7964" width="11.140625" style="3" customWidth="1"/>
    <col min="7965" max="7965" width="3.140625" style="3" bestFit="1" customWidth="1"/>
    <col min="7966" max="7966" width="6.5703125" style="3" bestFit="1" customWidth="1"/>
    <col min="7967" max="7967" width="20.85546875" style="3" customWidth="1"/>
    <col min="7968" max="7968" width="7.5703125" style="3" customWidth="1"/>
    <col min="7969" max="8208" width="9.140625" style="3"/>
    <col min="8209" max="8209" width="40.85546875" style="3" customWidth="1"/>
    <col min="8210" max="8212" width="11.140625" style="3" customWidth="1"/>
    <col min="8213" max="8213" width="4.140625" style="3" customWidth="1"/>
    <col min="8214" max="8216" width="11.140625" style="3" customWidth="1"/>
    <col min="8217" max="8217" width="3.28515625" style="3" customWidth="1"/>
    <col min="8218" max="8220" width="11.140625" style="3" customWidth="1"/>
    <col min="8221" max="8221" width="3.140625" style="3" bestFit="1" customWidth="1"/>
    <col min="8222" max="8222" width="6.5703125" style="3" bestFit="1" customWidth="1"/>
    <col min="8223" max="8223" width="20.85546875" style="3" customWidth="1"/>
    <col min="8224" max="8224" width="7.5703125" style="3" customWidth="1"/>
    <col min="8225" max="8464" width="9.140625" style="3"/>
    <col min="8465" max="8465" width="40.85546875" style="3" customWidth="1"/>
    <col min="8466" max="8468" width="11.140625" style="3" customWidth="1"/>
    <col min="8469" max="8469" width="4.140625" style="3" customWidth="1"/>
    <col min="8470" max="8472" width="11.140625" style="3" customWidth="1"/>
    <col min="8473" max="8473" width="3.28515625" style="3" customWidth="1"/>
    <col min="8474" max="8476" width="11.140625" style="3" customWidth="1"/>
    <col min="8477" max="8477" width="3.140625" style="3" bestFit="1" customWidth="1"/>
    <col min="8478" max="8478" width="6.5703125" style="3" bestFit="1" customWidth="1"/>
    <col min="8479" max="8479" width="20.85546875" style="3" customWidth="1"/>
    <col min="8480" max="8480" width="7.5703125" style="3" customWidth="1"/>
    <col min="8481" max="8720" width="9.140625" style="3"/>
    <col min="8721" max="8721" width="40.85546875" style="3" customWidth="1"/>
    <col min="8722" max="8724" width="11.140625" style="3" customWidth="1"/>
    <col min="8725" max="8725" width="4.140625" style="3" customWidth="1"/>
    <col min="8726" max="8728" width="11.140625" style="3" customWidth="1"/>
    <col min="8729" max="8729" width="3.28515625" style="3" customWidth="1"/>
    <col min="8730" max="8732" width="11.140625" style="3" customWidth="1"/>
    <col min="8733" max="8733" width="3.140625" style="3" bestFit="1" customWidth="1"/>
    <col min="8734" max="8734" width="6.5703125" style="3" bestFit="1" customWidth="1"/>
    <col min="8735" max="8735" width="20.85546875" style="3" customWidth="1"/>
    <col min="8736" max="8736" width="7.5703125" style="3" customWidth="1"/>
    <col min="8737" max="8976" width="9.140625" style="3"/>
    <col min="8977" max="8977" width="40.85546875" style="3" customWidth="1"/>
    <col min="8978" max="8980" width="11.140625" style="3" customWidth="1"/>
    <col min="8981" max="8981" width="4.140625" style="3" customWidth="1"/>
    <col min="8982" max="8984" width="11.140625" style="3" customWidth="1"/>
    <col min="8985" max="8985" width="3.28515625" style="3" customWidth="1"/>
    <col min="8986" max="8988" width="11.140625" style="3" customWidth="1"/>
    <col min="8989" max="8989" width="3.140625" style="3" bestFit="1" customWidth="1"/>
    <col min="8990" max="8990" width="6.5703125" style="3" bestFit="1" customWidth="1"/>
    <col min="8991" max="8991" width="20.85546875" style="3" customWidth="1"/>
    <col min="8992" max="8992" width="7.5703125" style="3" customWidth="1"/>
    <col min="8993" max="9232" width="9.140625" style="3"/>
    <col min="9233" max="9233" width="40.85546875" style="3" customWidth="1"/>
    <col min="9234" max="9236" width="11.140625" style="3" customWidth="1"/>
    <col min="9237" max="9237" width="4.140625" style="3" customWidth="1"/>
    <col min="9238" max="9240" width="11.140625" style="3" customWidth="1"/>
    <col min="9241" max="9241" width="3.28515625" style="3" customWidth="1"/>
    <col min="9242" max="9244" width="11.140625" style="3" customWidth="1"/>
    <col min="9245" max="9245" width="3.140625" style="3" bestFit="1" customWidth="1"/>
    <col min="9246" max="9246" width="6.5703125" style="3" bestFit="1" customWidth="1"/>
    <col min="9247" max="9247" width="20.85546875" style="3" customWidth="1"/>
    <col min="9248" max="9248" width="7.5703125" style="3" customWidth="1"/>
    <col min="9249" max="9488" width="9.140625" style="3"/>
    <col min="9489" max="9489" width="40.85546875" style="3" customWidth="1"/>
    <col min="9490" max="9492" width="11.140625" style="3" customWidth="1"/>
    <col min="9493" max="9493" width="4.140625" style="3" customWidth="1"/>
    <col min="9494" max="9496" width="11.140625" style="3" customWidth="1"/>
    <col min="9497" max="9497" width="3.28515625" style="3" customWidth="1"/>
    <col min="9498" max="9500" width="11.140625" style="3" customWidth="1"/>
    <col min="9501" max="9501" width="3.140625" style="3" bestFit="1" customWidth="1"/>
    <col min="9502" max="9502" width="6.5703125" style="3" bestFit="1" customWidth="1"/>
    <col min="9503" max="9503" width="20.85546875" style="3" customWidth="1"/>
    <col min="9504" max="9504" width="7.5703125" style="3" customWidth="1"/>
    <col min="9505" max="9744" width="9.140625" style="3"/>
    <col min="9745" max="9745" width="40.85546875" style="3" customWidth="1"/>
    <col min="9746" max="9748" width="11.140625" style="3" customWidth="1"/>
    <col min="9749" max="9749" width="4.140625" style="3" customWidth="1"/>
    <col min="9750" max="9752" width="11.140625" style="3" customWidth="1"/>
    <col min="9753" max="9753" width="3.28515625" style="3" customWidth="1"/>
    <col min="9754" max="9756" width="11.140625" style="3" customWidth="1"/>
    <col min="9757" max="9757" width="3.140625" style="3" bestFit="1" customWidth="1"/>
    <col min="9758" max="9758" width="6.5703125" style="3" bestFit="1" customWidth="1"/>
    <col min="9759" max="9759" width="20.85546875" style="3" customWidth="1"/>
    <col min="9760" max="9760" width="7.5703125" style="3" customWidth="1"/>
    <col min="9761" max="10000" width="9.140625" style="3"/>
    <col min="10001" max="10001" width="40.85546875" style="3" customWidth="1"/>
    <col min="10002" max="10004" width="11.140625" style="3" customWidth="1"/>
    <col min="10005" max="10005" width="4.140625" style="3" customWidth="1"/>
    <col min="10006" max="10008" width="11.140625" style="3" customWidth="1"/>
    <col min="10009" max="10009" width="3.28515625" style="3" customWidth="1"/>
    <col min="10010" max="10012" width="11.140625" style="3" customWidth="1"/>
    <col min="10013" max="10013" width="3.140625" style="3" bestFit="1" customWidth="1"/>
    <col min="10014" max="10014" width="6.5703125" style="3" bestFit="1" customWidth="1"/>
    <col min="10015" max="10015" width="20.85546875" style="3" customWidth="1"/>
    <col min="10016" max="10016" width="7.5703125" style="3" customWidth="1"/>
    <col min="10017" max="10256" width="9.140625" style="3"/>
    <col min="10257" max="10257" width="40.85546875" style="3" customWidth="1"/>
    <col min="10258" max="10260" width="11.140625" style="3" customWidth="1"/>
    <col min="10261" max="10261" width="4.140625" style="3" customWidth="1"/>
    <col min="10262" max="10264" width="11.140625" style="3" customWidth="1"/>
    <col min="10265" max="10265" width="3.28515625" style="3" customWidth="1"/>
    <col min="10266" max="10268" width="11.140625" style="3" customWidth="1"/>
    <col min="10269" max="10269" width="3.140625" style="3" bestFit="1" customWidth="1"/>
    <col min="10270" max="10270" width="6.5703125" style="3" bestFit="1" customWidth="1"/>
    <col min="10271" max="10271" width="20.85546875" style="3" customWidth="1"/>
    <col min="10272" max="10272" width="7.5703125" style="3" customWidth="1"/>
    <col min="10273" max="10512" width="9.140625" style="3"/>
    <col min="10513" max="10513" width="40.85546875" style="3" customWidth="1"/>
    <col min="10514" max="10516" width="11.140625" style="3" customWidth="1"/>
    <col min="10517" max="10517" width="4.140625" style="3" customWidth="1"/>
    <col min="10518" max="10520" width="11.140625" style="3" customWidth="1"/>
    <col min="10521" max="10521" width="3.28515625" style="3" customWidth="1"/>
    <col min="10522" max="10524" width="11.140625" style="3" customWidth="1"/>
    <col min="10525" max="10525" width="3.140625" style="3" bestFit="1" customWidth="1"/>
    <col min="10526" max="10526" width="6.5703125" style="3" bestFit="1" customWidth="1"/>
    <col min="10527" max="10527" width="20.85546875" style="3" customWidth="1"/>
    <col min="10528" max="10528" width="7.5703125" style="3" customWidth="1"/>
    <col min="10529" max="10768" width="9.140625" style="3"/>
    <col min="10769" max="10769" width="40.85546875" style="3" customWidth="1"/>
    <col min="10770" max="10772" width="11.140625" style="3" customWidth="1"/>
    <col min="10773" max="10773" width="4.140625" style="3" customWidth="1"/>
    <col min="10774" max="10776" width="11.140625" style="3" customWidth="1"/>
    <col min="10777" max="10777" width="3.28515625" style="3" customWidth="1"/>
    <col min="10778" max="10780" width="11.140625" style="3" customWidth="1"/>
    <col min="10781" max="10781" width="3.140625" style="3" bestFit="1" customWidth="1"/>
    <col min="10782" max="10782" width="6.5703125" style="3" bestFit="1" customWidth="1"/>
    <col min="10783" max="10783" width="20.85546875" style="3" customWidth="1"/>
    <col min="10784" max="10784" width="7.5703125" style="3" customWidth="1"/>
    <col min="10785" max="11024" width="9.140625" style="3"/>
    <col min="11025" max="11025" width="40.85546875" style="3" customWidth="1"/>
    <col min="11026" max="11028" width="11.140625" style="3" customWidth="1"/>
    <col min="11029" max="11029" width="4.140625" style="3" customWidth="1"/>
    <col min="11030" max="11032" width="11.140625" style="3" customWidth="1"/>
    <col min="11033" max="11033" width="3.28515625" style="3" customWidth="1"/>
    <col min="11034" max="11036" width="11.140625" style="3" customWidth="1"/>
    <col min="11037" max="11037" width="3.140625" style="3" bestFit="1" customWidth="1"/>
    <col min="11038" max="11038" width="6.5703125" style="3" bestFit="1" customWidth="1"/>
    <col min="11039" max="11039" width="20.85546875" style="3" customWidth="1"/>
    <col min="11040" max="11040" width="7.5703125" style="3" customWidth="1"/>
    <col min="11041" max="11280" width="9.140625" style="3"/>
    <col min="11281" max="11281" width="40.85546875" style="3" customWidth="1"/>
    <col min="11282" max="11284" width="11.140625" style="3" customWidth="1"/>
    <col min="11285" max="11285" width="4.140625" style="3" customWidth="1"/>
    <col min="11286" max="11288" width="11.140625" style="3" customWidth="1"/>
    <col min="11289" max="11289" width="3.28515625" style="3" customWidth="1"/>
    <col min="11290" max="11292" width="11.140625" style="3" customWidth="1"/>
    <col min="11293" max="11293" width="3.140625" style="3" bestFit="1" customWidth="1"/>
    <col min="11294" max="11294" width="6.5703125" style="3" bestFit="1" customWidth="1"/>
    <col min="11295" max="11295" width="20.85546875" style="3" customWidth="1"/>
    <col min="11296" max="11296" width="7.5703125" style="3" customWidth="1"/>
    <col min="11297" max="11536" width="9.140625" style="3"/>
    <col min="11537" max="11537" width="40.85546875" style="3" customWidth="1"/>
    <col min="11538" max="11540" width="11.140625" style="3" customWidth="1"/>
    <col min="11541" max="11541" width="4.140625" style="3" customWidth="1"/>
    <col min="11542" max="11544" width="11.140625" style="3" customWidth="1"/>
    <col min="11545" max="11545" width="3.28515625" style="3" customWidth="1"/>
    <col min="11546" max="11548" width="11.140625" style="3" customWidth="1"/>
    <col min="11549" max="11549" width="3.140625" style="3" bestFit="1" customWidth="1"/>
    <col min="11550" max="11550" width="6.5703125" style="3" bestFit="1" customWidth="1"/>
    <col min="11551" max="11551" width="20.85546875" style="3" customWidth="1"/>
    <col min="11552" max="11552" width="7.5703125" style="3" customWidth="1"/>
    <col min="11553" max="11792" width="9.140625" style="3"/>
    <col min="11793" max="11793" width="40.85546875" style="3" customWidth="1"/>
    <col min="11794" max="11796" width="11.140625" style="3" customWidth="1"/>
    <col min="11797" max="11797" width="4.140625" style="3" customWidth="1"/>
    <col min="11798" max="11800" width="11.140625" style="3" customWidth="1"/>
    <col min="11801" max="11801" width="3.28515625" style="3" customWidth="1"/>
    <col min="11802" max="11804" width="11.140625" style="3" customWidth="1"/>
    <col min="11805" max="11805" width="3.140625" style="3" bestFit="1" customWidth="1"/>
    <col min="11806" max="11806" width="6.5703125" style="3" bestFit="1" customWidth="1"/>
    <col min="11807" max="11807" width="20.85546875" style="3" customWidth="1"/>
    <col min="11808" max="11808" width="7.5703125" style="3" customWidth="1"/>
    <col min="11809" max="12048" width="9.140625" style="3"/>
    <col min="12049" max="12049" width="40.85546875" style="3" customWidth="1"/>
    <col min="12050" max="12052" width="11.140625" style="3" customWidth="1"/>
    <col min="12053" max="12053" width="4.140625" style="3" customWidth="1"/>
    <col min="12054" max="12056" width="11.140625" style="3" customWidth="1"/>
    <col min="12057" max="12057" width="3.28515625" style="3" customWidth="1"/>
    <col min="12058" max="12060" width="11.140625" style="3" customWidth="1"/>
    <col min="12061" max="12061" width="3.140625" style="3" bestFit="1" customWidth="1"/>
    <col min="12062" max="12062" width="6.5703125" style="3" bestFit="1" customWidth="1"/>
    <col min="12063" max="12063" width="20.85546875" style="3" customWidth="1"/>
    <col min="12064" max="12064" width="7.5703125" style="3" customWidth="1"/>
    <col min="12065" max="12304" width="9.140625" style="3"/>
    <col min="12305" max="12305" width="40.85546875" style="3" customWidth="1"/>
    <col min="12306" max="12308" width="11.140625" style="3" customWidth="1"/>
    <col min="12309" max="12309" width="4.140625" style="3" customWidth="1"/>
    <col min="12310" max="12312" width="11.140625" style="3" customWidth="1"/>
    <col min="12313" max="12313" width="3.28515625" style="3" customWidth="1"/>
    <col min="12314" max="12316" width="11.140625" style="3" customWidth="1"/>
    <col min="12317" max="12317" width="3.140625" style="3" bestFit="1" customWidth="1"/>
    <col min="12318" max="12318" width="6.5703125" style="3" bestFit="1" customWidth="1"/>
    <col min="12319" max="12319" width="20.85546875" style="3" customWidth="1"/>
    <col min="12320" max="12320" width="7.5703125" style="3" customWidth="1"/>
    <col min="12321" max="12560" width="9.140625" style="3"/>
    <col min="12561" max="12561" width="40.85546875" style="3" customWidth="1"/>
    <col min="12562" max="12564" width="11.140625" style="3" customWidth="1"/>
    <col min="12565" max="12565" width="4.140625" style="3" customWidth="1"/>
    <col min="12566" max="12568" width="11.140625" style="3" customWidth="1"/>
    <col min="12569" max="12569" width="3.28515625" style="3" customWidth="1"/>
    <col min="12570" max="12572" width="11.140625" style="3" customWidth="1"/>
    <col min="12573" max="12573" width="3.140625" style="3" bestFit="1" customWidth="1"/>
    <col min="12574" max="12574" width="6.5703125" style="3" bestFit="1" customWidth="1"/>
    <col min="12575" max="12575" width="20.85546875" style="3" customWidth="1"/>
    <col min="12576" max="12576" width="7.5703125" style="3" customWidth="1"/>
    <col min="12577" max="12816" width="9.140625" style="3"/>
    <col min="12817" max="12817" width="40.85546875" style="3" customWidth="1"/>
    <col min="12818" max="12820" width="11.140625" style="3" customWidth="1"/>
    <col min="12821" max="12821" width="4.140625" style="3" customWidth="1"/>
    <col min="12822" max="12824" width="11.140625" style="3" customWidth="1"/>
    <col min="12825" max="12825" width="3.28515625" style="3" customWidth="1"/>
    <col min="12826" max="12828" width="11.140625" style="3" customWidth="1"/>
    <col min="12829" max="12829" width="3.140625" style="3" bestFit="1" customWidth="1"/>
    <col min="12830" max="12830" width="6.5703125" style="3" bestFit="1" customWidth="1"/>
    <col min="12831" max="12831" width="20.85546875" style="3" customWidth="1"/>
    <col min="12832" max="12832" width="7.5703125" style="3" customWidth="1"/>
    <col min="12833" max="13072" width="9.140625" style="3"/>
    <col min="13073" max="13073" width="40.85546875" style="3" customWidth="1"/>
    <col min="13074" max="13076" width="11.140625" style="3" customWidth="1"/>
    <col min="13077" max="13077" width="4.140625" style="3" customWidth="1"/>
    <col min="13078" max="13080" width="11.140625" style="3" customWidth="1"/>
    <col min="13081" max="13081" width="3.28515625" style="3" customWidth="1"/>
    <col min="13082" max="13084" width="11.140625" style="3" customWidth="1"/>
    <col min="13085" max="13085" width="3.140625" style="3" bestFit="1" customWidth="1"/>
    <col min="13086" max="13086" width="6.5703125" style="3" bestFit="1" customWidth="1"/>
    <col min="13087" max="13087" width="20.85546875" style="3" customWidth="1"/>
    <col min="13088" max="13088" width="7.5703125" style="3" customWidth="1"/>
    <col min="13089" max="13328" width="9.140625" style="3"/>
    <col min="13329" max="13329" width="40.85546875" style="3" customWidth="1"/>
    <col min="13330" max="13332" width="11.140625" style="3" customWidth="1"/>
    <col min="13333" max="13333" width="4.140625" style="3" customWidth="1"/>
    <col min="13334" max="13336" width="11.140625" style="3" customWidth="1"/>
    <col min="13337" max="13337" width="3.28515625" style="3" customWidth="1"/>
    <col min="13338" max="13340" width="11.140625" style="3" customWidth="1"/>
    <col min="13341" max="13341" width="3.140625" style="3" bestFit="1" customWidth="1"/>
    <col min="13342" max="13342" width="6.5703125" style="3" bestFit="1" customWidth="1"/>
    <col min="13343" max="13343" width="20.85546875" style="3" customWidth="1"/>
    <col min="13344" max="13344" width="7.5703125" style="3" customWidth="1"/>
    <col min="13345" max="13584" width="9.140625" style="3"/>
    <col min="13585" max="13585" width="40.85546875" style="3" customWidth="1"/>
    <col min="13586" max="13588" width="11.140625" style="3" customWidth="1"/>
    <col min="13589" max="13589" width="4.140625" style="3" customWidth="1"/>
    <col min="13590" max="13592" width="11.140625" style="3" customWidth="1"/>
    <col min="13593" max="13593" width="3.28515625" style="3" customWidth="1"/>
    <col min="13594" max="13596" width="11.140625" style="3" customWidth="1"/>
    <col min="13597" max="13597" width="3.140625" style="3" bestFit="1" customWidth="1"/>
    <col min="13598" max="13598" width="6.5703125" style="3" bestFit="1" customWidth="1"/>
    <col min="13599" max="13599" width="20.85546875" style="3" customWidth="1"/>
    <col min="13600" max="13600" width="7.5703125" style="3" customWidth="1"/>
    <col min="13601" max="13840" width="9.140625" style="3"/>
    <col min="13841" max="13841" width="40.85546875" style="3" customWidth="1"/>
    <col min="13842" max="13844" width="11.140625" style="3" customWidth="1"/>
    <col min="13845" max="13845" width="4.140625" style="3" customWidth="1"/>
    <col min="13846" max="13848" width="11.140625" style="3" customWidth="1"/>
    <col min="13849" max="13849" width="3.28515625" style="3" customWidth="1"/>
    <col min="13850" max="13852" width="11.140625" style="3" customWidth="1"/>
    <col min="13853" max="13853" width="3.140625" style="3" bestFit="1" customWidth="1"/>
    <col min="13854" max="13854" width="6.5703125" style="3" bestFit="1" customWidth="1"/>
    <col min="13855" max="13855" width="20.85546875" style="3" customWidth="1"/>
    <col min="13856" max="13856" width="7.5703125" style="3" customWidth="1"/>
    <col min="13857" max="14096" width="9.140625" style="3"/>
    <col min="14097" max="14097" width="40.85546875" style="3" customWidth="1"/>
    <col min="14098" max="14100" width="11.140625" style="3" customWidth="1"/>
    <col min="14101" max="14101" width="4.140625" style="3" customWidth="1"/>
    <col min="14102" max="14104" width="11.140625" style="3" customWidth="1"/>
    <col min="14105" max="14105" width="3.28515625" style="3" customWidth="1"/>
    <col min="14106" max="14108" width="11.140625" style="3" customWidth="1"/>
    <col min="14109" max="14109" width="3.140625" style="3" bestFit="1" customWidth="1"/>
    <col min="14110" max="14110" width="6.5703125" style="3" bestFit="1" customWidth="1"/>
    <col min="14111" max="14111" width="20.85546875" style="3" customWidth="1"/>
    <col min="14112" max="14112" width="7.5703125" style="3" customWidth="1"/>
    <col min="14113" max="14352" width="9.140625" style="3"/>
    <col min="14353" max="14353" width="40.85546875" style="3" customWidth="1"/>
    <col min="14354" max="14356" width="11.140625" style="3" customWidth="1"/>
    <col min="14357" max="14357" width="4.140625" style="3" customWidth="1"/>
    <col min="14358" max="14360" width="11.140625" style="3" customWidth="1"/>
    <col min="14361" max="14361" width="3.28515625" style="3" customWidth="1"/>
    <col min="14362" max="14364" width="11.140625" style="3" customWidth="1"/>
    <col min="14365" max="14365" width="3.140625" style="3" bestFit="1" customWidth="1"/>
    <col min="14366" max="14366" width="6.5703125" style="3" bestFit="1" customWidth="1"/>
    <col min="14367" max="14367" width="20.85546875" style="3" customWidth="1"/>
    <col min="14368" max="14368" width="7.5703125" style="3" customWidth="1"/>
    <col min="14369" max="14608" width="9.140625" style="3"/>
    <col min="14609" max="14609" width="40.85546875" style="3" customWidth="1"/>
    <col min="14610" max="14612" width="11.140625" style="3" customWidth="1"/>
    <col min="14613" max="14613" width="4.140625" style="3" customWidth="1"/>
    <col min="14614" max="14616" width="11.140625" style="3" customWidth="1"/>
    <col min="14617" max="14617" width="3.28515625" style="3" customWidth="1"/>
    <col min="14618" max="14620" width="11.140625" style="3" customWidth="1"/>
    <col min="14621" max="14621" width="3.140625" style="3" bestFit="1" customWidth="1"/>
    <col min="14622" max="14622" width="6.5703125" style="3" bestFit="1" customWidth="1"/>
    <col min="14623" max="14623" width="20.85546875" style="3" customWidth="1"/>
    <col min="14624" max="14624" width="7.5703125" style="3" customWidth="1"/>
    <col min="14625" max="14864" width="9.140625" style="3"/>
    <col min="14865" max="14865" width="40.85546875" style="3" customWidth="1"/>
    <col min="14866" max="14868" width="11.140625" style="3" customWidth="1"/>
    <col min="14869" max="14869" width="4.140625" style="3" customWidth="1"/>
    <col min="14870" max="14872" width="11.140625" style="3" customWidth="1"/>
    <col min="14873" max="14873" width="3.28515625" style="3" customWidth="1"/>
    <col min="14874" max="14876" width="11.140625" style="3" customWidth="1"/>
    <col min="14877" max="14877" width="3.140625" style="3" bestFit="1" customWidth="1"/>
    <col min="14878" max="14878" width="6.5703125" style="3" bestFit="1" customWidth="1"/>
    <col min="14879" max="14879" width="20.85546875" style="3" customWidth="1"/>
    <col min="14880" max="14880" width="7.5703125" style="3" customWidth="1"/>
    <col min="14881" max="15120" width="9.140625" style="3"/>
    <col min="15121" max="15121" width="40.85546875" style="3" customWidth="1"/>
    <col min="15122" max="15124" width="11.140625" style="3" customWidth="1"/>
    <col min="15125" max="15125" width="4.140625" style="3" customWidth="1"/>
    <col min="15126" max="15128" width="11.140625" style="3" customWidth="1"/>
    <col min="15129" max="15129" width="3.28515625" style="3" customWidth="1"/>
    <col min="15130" max="15132" width="11.140625" style="3" customWidth="1"/>
    <col min="15133" max="15133" width="3.140625" style="3" bestFit="1" customWidth="1"/>
    <col min="15134" max="15134" width="6.5703125" style="3" bestFit="1" customWidth="1"/>
    <col min="15135" max="15135" width="20.85546875" style="3" customWidth="1"/>
    <col min="15136" max="15136" width="7.5703125" style="3" customWidth="1"/>
    <col min="15137" max="15376" width="9.140625" style="3"/>
    <col min="15377" max="15377" width="40.85546875" style="3" customWidth="1"/>
    <col min="15378" max="15380" width="11.140625" style="3" customWidth="1"/>
    <col min="15381" max="15381" width="4.140625" style="3" customWidth="1"/>
    <col min="15382" max="15384" width="11.140625" style="3" customWidth="1"/>
    <col min="15385" max="15385" width="3.28515625" style="3" customWidth="1"/>
    <col min="15386" max="15388" width="11.140625" style="3" customWidth="1"/>
    <col min="15389" max="15389" width="3.140625" style="3" bestFit="1" customWidth="1"/>
    <col min="15390" max="15390" width="6.5703125" style="3" bestFit="1" customWidth="1"/>
    <col min="15391" max="15391" width="20.85546875" style="3" customWidth="1"/>
    <col min="15392" max="15392" width="7.5703125" style="3" customWidth="1"/>
    <col min="15393" max="15632" width="9.140625" style="3"/>
    <col min="15633" max="15633" width="40.85546875" style="3" customWidth="1"/>
    <col min="15634" max="15636" width="11.140625" style="3" customWidth="1"/>
    <col min="15637" max="15637" width="4.140625" style="3" customWidth="1"/>
    <col min="15638" max="15640" width="11.140625" style="3" customWidth="1"/>
    <col min="15641" max="15641" width="3.28515625" style="3" customWidth="1"/>
    <col min="15642" max="15644" width="11.140625" style="3" customWidth="1"/>
    <col min="15645" max="15645" width="3.140625" style="3" bestFit="1" customWidth="1"/>
    <col min="15646" max="15646" width="6.5703125" style="3" bestFit="1" customWidth="1"/>
    <col min="15647" max="15647" width="20.85546875" style="3" customWidth="1"/>
    <col min="15648" max="15648" width="7.5703125" style="3" customWidth="1"/>
    <col min="15649" max="15888" width="9.140625" style="3"/>
    <col min="15889" max="15889" width="40.85546875" style="3" customWidth="1"/>
    <col min="15890" max="15892" width="11.140625" style="3" customWidth="1"/>
    <col min="15893" max="15893" width="4.140625" style="3" customWidth="1"/>
    <col min="15894" max="15896" width="11.140625" style="3" customWidth="1"/>
    <col min="15897" max="15897" width="3.28515625" style="3" customWidth="1"/>
    <col min="15898" max="15900" width="11.140625" style="3" customWidth="1"/>
    <col min="15901" max="15901" width="3.140625" style="3" bestFit="1" customWidth="1"/>
    <col min="15902" max="15902" width="6.5703125" style="3" bestFit="1" customWidth="1"/>
    <col min="15903" max="15903" width="20.85546875" style="3" customWidth="1"/>
    <col min="15904" max="15904" width="7.5703125" style="3" customWidth="1"/>
    <col min="15905" max="16144" width="9.140625" style="3"/>
    <col min="16145" max="16145" width="40.85546875" style="3" customWidth="1"/>
    <col min="16146" max="16148" width="11.140625" style="3" customWidth="1"/>
    <col min="16149" max="16149" width="4.140625" style="3" customWidth="1"/>
    <col min="16150" max="16152" width="11.140625" style="3" customWidth="1"/>
    <col min="16153" max="16153" width="3.28515625" style="3" customWidth="1"/>
    <col min="16154" max="16156" width="11.140625" style="3" customWidth="1"/>
    <col min="16157" max="16157" width="3.140625" style="3" bestFit="1" customWidth="1"/>
    <col min="16158" max="16158" width="6.5703125" style="3" bestFit="1" customWidth="1"/>
    <col min="16159" max="16159" width="20.85546875" style="3" customWidth="1"/>
    <col min="16160" max="16160" width="7.5703125" style="3" customWidth="1"/>
    <col min="16161" max="16384" width="9.140625" style="3"/>
  </cols>
  <sheetData>
    <row r="1" spans="1:112" ht="19.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D1" s="1"/>
    </row>
    <row r="2" spans="1:112" ht="19.5" customHeight="1" x14ac:dyDescent="0.25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D2" s="4"/>
    </row>
    <row r="3" spans="1:112" ht="15.75" customHeight="1" x14ac:dyDescent="0.25">
      <c r="A3" s="90" t="s">
        <v>2</v>
      </c>
      <c r="B3" s="81" t="s">
        <v>3</v>
      </c>
      <c r="C3" s="81"/>
      <c r="D3" s="81"/>
      <c r="E3" s="74"/>
      <c r="F3" s="82" t="s">
        <v>4</v>
      </c>
      <c r="G3" s="81"/>
      <c r="H3" s="83"/>
      <c r="I3" s="74"/>
      <c r="J3" s="81" t="s">
        <v>5</v>
      </c>
      <c r="K3" s="81"/>
      <c r="L3" s="81"/>
      <c r="M3" s="5"/>
      <c r="N3" s="84" t="s">
        <v>6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112" ht="15.75" customHeight="1" x14ac:dyDescent="0.25">
      <c r="A4" s="91"/>
      <c r="B4" s="87" t="s">
        <v>7</v>
      </c>
      <c r="C4" s="87"/>
      <c r="D4" s="87"/>
      <c r="E4" s="75"/>
      <c r="F4" s="88" t="s">
        <v>8</v>
      </c>
      <c r="G4" s="87"/>
      <c r="H4" s="89"/>
      <c r="I4" s="75"/>
      <c r="J4" s="87" t="s">
        <v>9</v>
      </c>
      <c r="K4" s="87"/>
      <c r="L4" s="87"/>
      <c r="M4" s="7"/>
      <c r="N4" s="8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112" ht="19.5" customHeight="1" x14ac:dyDescent="0.25">
      <c r="A5" s="92"/>
      <c r="B5" s="9" t="s">
        <v>10</v>
      </c>
      <c r="C5" s="9" t="s">
        <v>11</v>
      </c>
      <c r="D5" s="9" t="s">
        <v>12</v>
      </c>
      <c r="E5" s="9"/>
      <c r="F5" s="10" t="s">
        <v>10</v>
      </c>
      <c r="G5" s="9" t="s">
        <v>11</v>
      </c>
      <c r="H5" s="11" t="s">
        <v>12</v>
      </c>
      <c r="I5" s="9"/>
      <c r="J5" s="9" t="s">
        <v>10</v>
      </c>
      <c r="K5" s="9" t="s">
        <v>11</v>
      </c>
      <c r="L5" s="9" t="s">
        <v>12</v>
      </c>
      <c r="M5" s="9"/>
      <c r="N5" s="86"/>
      <c r="Y5" s="12"/>
      <c r="Z5" s="12"/>
      <c r="AE5" s="76" t="s">
        <v>8</v>
      </c>
      <c r="AF5" s="76"/>
      <c r="AG5" s="76" t="s">
        <v>13</v>
      </c>
      <c r="AH5" s="76"/>
    </row>
    <row r="6" spans="1:112" ht="18" customHeight="1" x14ac:dyDescent="0.25">
      <c r="A6" s="93" t="s">
        <v>14</v>
      </c>
      <c r="B6" s="13">
        <f>B7+B10+B13+B16+B11</f>
        <v>4922</v>
      </c>
      <c r="C6" s="13">
        <f t="shared" ref="C6:L6" si="0">C7+C10+C13+C16+C11</f>
        <v>1499</v>
      </c>
      <c r="D6" s="13">
        <f t="shared" si="0"/>
        <v>3423</v>
      </c>
      <c r="E6" s="13"/>
      <c r="F6" s="14">
        <f t="shared" si="0"/>
        <v>2151</v>
      </c>
      <c r="G6" s="15">
        <f t="shared" si="0"/>
        <v>722</v>
      </c>
      <c r="H6" s="16">
        <f t="shared" si="0"/>
        <v>1429</v>
      </c>
      <c r="I6" s="13"/>
      <c r="J6" s="13">
        <f t="shared" si="0"/>
        <v>2771</v>
      </c>
      <c r="K6" s="13">
        <f t="shared" si="0"/>
        <v>777</v>
      </c>
      <c r="L6" s="13">
        <f t="shared" si="0"/>
        <v>1994</v>
      </c>
      <c r="M6" s="17"/>
      <c r="N6" s="22" t="s">
        <v>45</v>
      </c>
      <c r="AA6" s="2" t="s">
        <v>11</v>
      </c>
      <c r="AB6" s="2" t="s">
        <v>12</v>
      </c>
      <c r="AE6" s="2" t="s">
        <v>11</v>
      </c>
      <c r="AF6" s="2" t="s">
        <v>12</v>
      </c>
      <c r="AG6" s="2" t="s">
        <v>11</v>
      </c>
      <c r="AH6" s="2" t="s">
        <v>12</v>
      </c>
    </row>
    <row r="7" spans="1:112" ht="18" customHeight="1" x14ac:dyDescent="0.25">
      <c r="A7" s="93" t="s">
        <v>15</v>
      </c>
      <c r="B7" s="19">
        <f>SUM(B8:B9)</f>
        <v>961</v>
      </c>
      <c r="C7" s="19">
        <f>SUM(C8:C9)</f>
        <v>666</v>
      </c>
      <c r="D7" s="19">
        <f>SUM(D8:D9)</f>
        <v>295</v>
      </c>
      <c r="E7" s="19"/>
      <c r="F7" s="20">
        <f>SUM(F8:F9)</f>
        <v>503</v>
      </c>
      <c r="G7" s="19">
        <f>SUM(G8:G9)</f>
        <v>283</v>
      </c>
      <c r="H7" s="21">
        <f>SUM(H8:H9)</f>
        <v>220</v>
      </c>
      <c r="I7" s="19"/>
      <c r="J7" s="19">
        <f>SUM(J8:J9)</f>
        <v>458</v>
      </c>
      <c r="K7" s="19">
        <f t="shared" ref="K7:L7" si="1">SUM(K8:K9)</f>
        <v>383</v>
      </c>
      <c r="L7" s="19">
        <f t="shared" si="1"/>
        <v>75</v>
      </c>
      <c r="M7" s="17"/>
      <c r="N7" s="22" t="s">
        <v>16</v>
      </c>
      <c r="Y7" s="2" t="str">
        <f>A7</f>
        <v>Doctors</v>
      </c>
      <c r="Z7" s="2">
        <f>B7</f>
        <v>961</v>
      </c>
      <c r="AA7" s="23">
        <f>C7</f>
        <v>666</v>
      </c>
      <c r="AB7" s="23">
        <f>D7</f>
        <v>295</v>
      </c>
      <c r="AC7" s="23"/>
      <c r="AD7" s="2" t="s">
        <v>15</v>
      </c>
      <c r="AE7" s="23">
        <f>G7</f>
        <v>283</v>
      </c>
      <c r="AF7" s="23">
        <f>H7</f>
        <v>220</v>
      </c>
      <c r="AG7" s="23">
        <f>K7</f>
        <v>383</v>
      </c>
      <c r="AH7" s="23">
        <f>L7</f>
        <v>75</v>
      </c>
      <c r="AI7" s="23">
        <f>SUM(AE7:AH7)</f>
        <v>961</v>
      </c>
    </row>
    <row r="8" spans="1:112" ht="18" customHeight="1" x14ac:dyDescent="0.25">
      <c r="A8" s="94" t="s">
        <v>17</v>
      </c>
      <c r="B8" s="24">
        <f>SUM(C8:D8)</f>
        <v>514</v>
      </c>
      <c r="C8" s="24">
        <f>G8+K8</f>
        <v>350</v>
      </c>
      <c r="D8" s="24">
        <f>H8+L8</f>
        <v>164</v>
      </c>
      <c r="E8" s="24"/>
      <c r="F8" s="25">
        <f>SUM(G8:H8)</f>
        <v>212</v>
      </c>
      <c r="G8" s="24">
        <v>98</v>
      </c>
      <c r="H8" s="26">
        <v>114</v>
      </c>
      <c r="I8" s="24"/>
      <c r="J8" s="24">
        <f>SUM(K8:L8)</f>
        <v>302</v>
      </c>
      <c r="K8" s="24">
        <v>252</v>
      </c>
      <c r="L8" s="24">
        <v>50</v>
      </c>
      <c r="M8" s="17"/>
      <c r="N8" s="27" t="s">
        <v>18</v>
      </c>
      <c r="Y8" s="2" t="str">
        <f>A10</f>
        <v>Nurses</v>
      </c>
      <c r="Z8" s="2">
        <f>B10</f>
        <v>2881</v>
      </c>
      <c r="AA8" s="23">
        <f>C10</f>
        <v>432</v>
      </c>
      <c r="AB8" s="2">
        <f t="shared" ref="AB8:AB9" si="2">D10</f>
        <v>2449</v>
      </c>
      <c r="AD8" s="2" t="s">
        <v>21</v>
      </c>
      <c r="AE8" s="23">
        <f>G10</f>
        <v>322</v>
      </c>
      <c r="AF8" s="23">
        <f>H10</f>
        <v>1000</v>
      </c>
      <c r="AG8" s="23">
        <f>K10</f>
        <v>110</v>
      </c>
      <c r="AH8" s="23">
        <f>L10</f>
        <v>1449</v>
      </c>
      <c r="AI8" s="23">
        <f t="shared" ref="AI8:AI11" si="3">SUM(AE8:AH8)</f>
        <v>2881</v>
      </c>
    </row>
    <row r="9" spans="1:112" ht="18" customHeight="1" x14ac:dyDescent="0.25">
      <c r="A9" s="94" t="s">
        <v>19</v>
      </c>
      <c r="B9" s="24">
        <f t="shared" ref="B9:B10" si="4">SUM(C9:D9)</f>
        <v>447</v>
      </c>
      <c r="C9" s="24">
        <f t="shared" ref="C9:D11" si="5">G9+K9</f>
        <v>316</v>
      </c>
      <c r="D9" s="24">
        <f t="shared" si="5"/>
        <v>131</v>
      </c>
      <c r="E9" s="24"/>
      <c r="F9" s="25">
        <f t="shared" ref="F9:F10" si="6">SUM(G9:H9)</f>
        <v>291</v>
      </c>
      <c r="G9" s="24">
        <v>185</v>
      </c>
      <c r="H9" s="26">
        <v>106</v>
      </c>
      <c r="I9" s="24"/>
      <c r="J9" s="24">
        <f t="shared" ref="J9:J10" si="7">SUM(K9:L9)</f>
        <v>156</v>
      </c>
      <c r="K9" s="24">
        <v>131</v>
      </c>
      <c r="L9" s="24">
        <v>25</v>
      </c>
      <c r="M9" s="17"/>
      <c r="N9" s="28" t="s">
        <v>20</v>
      </c>
      <c r="Y9" s="2" t="str">
        <f>A11</f>
        <v>Allied Health Staff</v>
      </c>
      <c r="Z9" s="2">
        <f>B11</f>
        <v>574</v>
      </c>
      <c r="AA9" s="23">
        <f>C11</f>
        <v>255</v>
      </c>
      <c r="AB9" s="2">
        <f t="shared" si="2"/>
        <v>319</v>
      </c>
      <c r="AD9" s="2" t="s">
        <v>23</v>
      </c>
      <c r="AE9" s="23">
        <f>G11</f>
        <v>116</v>
      </c>
      <c r="AF9" s="23">
        <f>H11</f>
        <v>202</v>
      </c>
      <c r="AG9" s="23">
        <f>K11</f>
        <v>139</v>
      </c>
      <c r="AH9" s="23">
        <f>L11</f>
        <v>117</v>
      </c>
      <c r="AI9" s="23">
        <f t="shared" si="3"/>
        <v>574</v>
      </c>
    </row>
    <row r="10" spans="1:112" ht="18" customHeight="1" x14ac:dyDescent="0.25">
      <c r="A10" s="93" t="s">
        <v>21</v>
      </c>
      <c r="B10" s="24">
        <f t="shared" si="4"/>
        <v>2881</v>
      </c>
      <c r="C10" s="24">
        <f t="shared" si="5"/>
        <v>432</v>
      </c>
      <c r="D10" s="24">
        <f t="shared" si="5"/>
        <v>2449</v>
      </c>
      <c r="E10" s="19"/>
      <c r="F10" s="25">
        <f t="shared" si="6"/>
        <v>1322</v>
      </c>
      <c r="G10" s="24">
        <v>322</v>
      </c>
      <c r="H10" s="26">
        <v>1000</v>
      </c>
      <c r="I10" s="19"/>
      <c r="J10" s="24">
        <f t="shared" si="7"/>
        <v>1559</v>
      </c>
      <c r="K10" s="24">
        <v>110</v>
      </c>
      <c r="L10" s="24">
        <v>1449</v>
      </c>
      <c r="M10" s="17"/>
      <c r="N10" s="29" t="s">
        <v>22</v>
      </c>
      <c r="Y10" s="2" t="str">
        <f>A13</f>
        <v>Community Health Personnel</v>
      </c>
      <c r="Z10" s="2">
        <f>B13</f>
        <v>453</v>
      </c>
      <c r="AA10" s="23">
        <f>C13</f>
        <v>146</v>
      </c>
      <c r="AB10" s="2">
        <f t="shared" ref="AB10" si="8">D13</f>
        <v>307</v>
      </c>
      <c r="AD10" s="2" t="s">
        <v>26</v>
      </c>
      <c r="AE10" s="23">
        <f>G13</f>
        <v>1</v>
      </c>
      <c r="AF10" s="23">
        <f>H13</f>
        <v>7</v>
      </c>
      <c r="AG10" s="23">
        <f>K13</f>
        <v>145</v>
      </c>
      <c r="AH10" s="23">
        <f>L13</f>
        <v>300</v>
      </c>
      <c r="AI10" s="23">
        <f t="shared" si="3"/>
        <v>453</v>
      </c>
    </row>
    <row r="11" spans="1:112" s="34" customFormat="1" ht="18" customHeight="1" x14ac:dyDescent="0.25">
      <c r="A11" s="93" t="s">
        <v>23</v>
      </c>
      <c r="B11" s="19">
        <f>SUM(C11:D11)</f>
        <v>574</v>
      </c>
      <c r="C11" s="19">
        <f t="shared" si="5"/>
        <v>255</v>
      </c>
      <c r="D11" s="19">
        <f t="shared" si="5"/>
        <v>319</v>
      </c>
      <c r="E11" s="19"/>
      <c r="F11" s="20">
        <f>SUM(G11:H11)</f>
        <v>318</v>
      </c>
      <c r="G11" s="19">
        <v>116</v>
      </c>
      <c r="H11" s="21">
        <v>202</v>
      </c>
      <c r="I11" s="19"/>
      <c r="J11" s="19">
        <f>SUM(K11:L11)</f>
        <v>256</v>
      </c>
      <c r="K11" s="19">
        <v>139</v>
      </c>
      <c r="L11" s="19">
        <v>117</v>
      </c>
      <c r="M11" s="30"/>
      <c r="N11" s="31" t="s">
        <v>24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32" t="str">
        <f>A16</f>
        <v>Traditional Birth Attendant (Foolhuma)</v>
      </c>
      <c r="Z11" s="32">
        <f>B16</f>
        <v>53</v>
      </c>
      <c r="AA11" s="33">
        <f>C16</f>
        <v>0</v>
      </c>
      <c r="AB11" s="32">
        <f t="shared" ref="AB11" si="9">D16</f>
        <v>53</v>
      </c>
      <c r="AC11" s="32"/>
      <c r="AD11" s="32" t="s">
        <v>32</v>
      </c>
      <c r="AE11" s="23">
        <f>G16</f>
        <v>0</v>
      </c>
      <c r="AF11" s="23">
        <f>H16</f>
        <v>0</v>
      </c>
      <c r="AG11" s="23">
        <f>K16</f>
        <v>0</v>
      </c>
      <c r="AH11" s="23">
        <f>L16</f>
        <v>53</v>
      </c>
      <c r="AI11" s="23">
        <f t="shared" si="3"/>
        <v>53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</row>
    <row r="12" spans="1:112" ht="6.75" customHeight="1" x14ac:dyDescent="0.25">
      <c r="A12" s="95" t="s">
        <v>25</v>
      </c>
      <c r="B12" s="24"/>
      <c r="C12" s="24"/>
      <c r="D12" s="24"/>
      <c r="E12" s="24"/>
      <c r="F12" s="25"/>
      <c r="G12" s="19"/>
      <c r="H12" s="21"/>
      <c r="I12" s="19"/>
      <c r="J12" s="24"/>
      <c r="K12" s="19"/>
      <c r="L12" s="19"/>
      <c r="M12" s="17"/>
      <c r="N12" s="17"/>
    </row>
    <row r="13" spans="1:112" ht="18" customHeight="1" x14ac:dyDescent="0.25">
      <c r="A13" s="93" t="s">
        <v>26</v>
      </c>
      <c r="B13" s="19">
        <f>SUM(B14:B15)</f>
        <v>453</v>
      </c>
      <c r="C13" s="19">
        <f>SUM(C14:C15)</f>
        <v>146</v>
      </c>
      <c r="D13" s="19">
        <f>SUM(D14:D15)</f>
        <v>307</v>
      </c>
      <c r="E13" s="19"/>
      <c r="F13" s="20">
        <f>SUM(F14:F15)</f>
        <v>8</v>
      </c>
      <c r="G13" s="19">
        <f>SUM(G14:G15)</f>
        <v>1</v>
      </c>
      <c r="H13" s="21">
        <f>SUM(H14:H15)</f>
        <v>7</v>
      </c>
      <c r="I13" s="19"/>
      <c r="J13" s="19">
        <f>SUM(J14:J15)</f>
        <v>445</v>
      </c>
      <c r="K13" s="19">
        <f>SUM(K14:K15)</f>
        <v>145</v>
      </c>
      <c r="L13" s="19">
        <f t="shared" ref="L13" si="10">SUM(L14:L15)</f>
        <v>300</v>
      </c>
      <c r="M13" s="17"/>
      <c r="N13" s="31" t="s">
        <v>27</v>
      </c>
    </row>
    <row r="14" spans="1:112" ht="18" customHeight="1" x14ac:dyDescent="0.25">
      <c r="A14" s="94" t="s">
        <v>28</v>
      </c>
      <c r="B14" s="24">
        <f>SUM(C14:D14)</f>
        <v>216</v>
      </c>
      <c r="C14" s="24">
        <f t="shared" ref="C14:D15" si="11">G14+K14</f>
        <v>104</v>
      </c>
      <c r="D14" s="24">
        <f t="shared" si="11"/>
        <v>112</v>
      </c>
      <c r="E14" s="24"/>
      <c r="F14" s="25">
        <f>SUM(G14:H14)</f>
        <v>8</v>
      </c>
      <c r="G14" s="24">
        <v>1</v>
      </c>
      <c r="H14" s="26">
        <v>7</v>
      </c>
      <c r="I14" s="24"/>
      <c r="J14" s="24">
        <f>SUM(K14:L14)</f>
        <v>208</v>
      </c>
      <c r="K14" s="24">
        <v>103</v>
      </c>
      <c r="L14" s="24">
        <v>105</v>
      </c>
      <c r="M14" s="17"/>
      <c r="N14" s="35" t="s">
        <v>29</v>
      </c>
    </row>
    <row r="15" spans="1:112" ht="18" customHeight="1" x14ac:dyDescent="0.25">
      <c r="A15" s="94" t="s">
        <v>30</v>
      </c>
      <c r="B15" s="24">
        <f>SUM(C15:D15)</f>
        <v>237</v>
      </c>
      <c r="C15" s="24">
        <f t="shared" si="11"/>
        <v>42</v>
      </c>
      <c r="D15" s="24">
        <f t="shared" si="11"/>
        <v>195</v>
      </c>
      <c r="E15" s="24"/>
      <c r="F15" s="25">
        <f>SUM(G15:H15)</f>
        <v>0</v>
      </c>
      <c r="G15" s="24">
        <v>0</v>
      </c>
      <c r="H15" s="26">
        <v>0</v>
      </c>
      <c r="I15" s="24"/>
      <c r="J15" s="24">
        <f>SUM(K15:L15)</f>
        <v>237</v>
      </c>
      <c r="K15" s="24">
        <v>42</v>
      </c>
      <c r="L15" s="24">
        <v>195</v>
      </c>
      <c r="M15" s="17"/>
      <c r="N15" s="35" t="s">
        <v>31</v>
      </c>
    </row>
    <row r="16" spans="1:112" ht="18" customHeight="1" x14ac:dyDescent="0.25">
      <c r="A16" s="93" t="s">
        <v>32</v>
      </c>
      <c r="B16" s="19">
        <f>SUM(B17:B18)</f>
        <v>53</v>
      </c>
      <c r="C16" s="19">
        <f>SUM(C17:C18)</f>
        <v>0</v>
      </c>
      <c r="D16" s="19">
        <f>SUM(D17:D18)</f>
        <v>53</v>
      </c>
      <c r="E16" s="19"/>
      <c r="F16" s="20">
        <f>SUM(F17:F18)</f>
        <v>0</v>
      </c>
      <c r="G16" s="19">
        <f>SUM(G17:G18)</f>
        <v>0</v>
      </c>
      <c r="H16" s="21">
        <f>SUM(H17:H18)</f>
        <v>0</v>
      </c>
      <c r="I16" s="19"/>
      <c r="J16" s="19">
        <f>SUM(J17:J18)</f>
        <v>53</v>
      </c>
      <c r="K16" s="19">
        <f t="shared" ref="K16:L16" si="12">SUM(K17:K18)</f>
        <v>0</v>
      </c>
      <c r="L16" s="19">
        <f t="shared" si="12"/>
        <v>53</v>
      </c>
      <c r="M16" s="17"/>
      <c r="N16" s="31" t="s">
        <v>33</v>
      </c>
      <c r="AF16" s="36"/>
    </row>
    <row r="17" spans="1:24" ht="18" customHeight="1" x14ac:dyDescent="0.25">
      <c r="A17" s="94" t="s">
        <v>34</v>
      </c>
      <c r="B17" s="24">
        <f>SUM(C17:D17)</f>
        <v>53</v>
      </c>
      <c r="C17" s="24">
        <f t="shared" ref="C17:D18" si="13">G17+K17</f>
        <v>0</v>
      </c>
      <c r="D17" s="24">
        <f t="shared" si="13"/>
        <v>53</v>
      </c>
      <c r="E17" s="24"/>
      <c r="F17" s="25">
        <f>SUM(G17:H17)</f>
        <v>0</v>
      </c>
      <c r="G17" s="24">
        <v>0</v>
      </c>
      <c r="H17" s="26">
        <v>0</v>
      </c>
      <c r="I17" s="24"/>
      <c r="J17" s="24">
        <f>SUM(K17:L17)</f>
        <v>53</v>
      </c>
      <c r="K17" s="24">
        <v>0</v>
      </c>
      <c r="L17" s="24">
        <v>53</v>
      </c>
      <c r="M17" s="17"/>
      <c r="N17" s="35" t="s">
        <v>35</v>
      </c>
    </row>
    <row r="18" spans="1:24" ht="18" customHeight="1" x14ac:dyDescent="0.25">
      <c r="A18" s="96" t="s">
        <v>36</v>
      </c>
      <c r="B18" s="37">
        <f>SUM(C18:D18)</f>
        <v>0</v>
      </c>
      <c r="C18" s="37">
        <f t="shared" si="13"/>
        <v>0</v>
      </c>
      <c r="D18" s="37">
        <f t="shared" si="13"/>
        <v>0</v>
      </c>
      <c r="E18" s="37"/>
      <c r="F18" s="38">
        <f>SUM(G18:H18)</f>
        <v>0</v>
      </c>
      <c r="G18" s="37">
        <v>0</v>
      </c>
      <c r="H18" s="39">
        <v>0</v>
      </c>
      <c r="I18" s="37"/>
      <c r="J18" s="37">
        <f>SUM(K18:L18)</f>
        <v>0</v>
      </c>
      <c r="K18" s="37">
        <v>0</v>
      </c>
      <c r="L18" s="37">
        <v>0</v>
      </c>
      <c r="M18" s="40"/>
      <c r="N18" s="41" t="s">
        <v>37</v>
      </c>
    </row>
    <row r="19" spans="1:24" ht="19.5" customHeight="1" x14ac:dyDescent="0.25">
      <c r="A19" s="42" t="s">
        <v>38</v>
      </c>
      <c r="B19" s="43"/>
      <c r="C19" s="43"/>
      <c r="D19" s="44"/>
      <c r="E19" s="43"/>
      <c r="F19" s="43"/>
      <c r="G19" s="43"/>
      <c r="H19" s="43"/>
      <c r="I19" s="43"/>
      <c r="J19" s="43"/>
      <c r="K19" s="43"/>
      <c r="L19" s="43"/>
      <c r="M19" s="45"/>
      <c r="N19" s="17"/>
    </row>
    <row r="20" spans="1:24" ht="18.75" customHeight="1" x14ac:dyDescent="0.25">
      <c r="A20" s="46" t="s">
        <v>39</v>
      </c>
      <c r="B20" s="47"/>
      <c r="C20" s="47"/>
      <c r="D20" s="48"/>
      <c r="E20" s="47"/>
      <c r="F20" s="47"/>
      <c r="G20" s="47"/>
      <c r="H20" s="47"/>
      <c r="I20" s="47"/>
      <c r="J20" s="47"/>
      <c r="K20" s="47"/>
      <c r="L20" s="47"/>
      <c r="M20" s="17"/>
      <c r="N20" s="17"/>
    </row>
    <row r="21" spans="1:24" ht="18.75" customHeight="1" x14ac:dyDescent="0.25">
      <c r="A21" s="49" t="s">
        <v>40</v>
      </c>
      <c r="B21" s="50"/>
      <c r="C21" s="50"/>
      <c r="D21" s="51"/>
      <c r="E21" s="47"/>
      <c r="F21" s="47"/>
      <c r="G21" s="47"/>
      <c r="H21" s="47"/>
      <c r="I21" s="47"/>
      <c r="J21" s="47"/>
      <c r="K21" s="47"/>
      <c r="L21" s="47"/>
      <c r="M21" s="17"/>
      <c r="N21" s="17"/>
    </row>
    <row r="22" spans="1:24" ht="18.75" customHeight="1" x14ac:dyDescent="0.25">
      <c r="A22" s="46" t="s">
        <v>41</v>
      </c>
      <c r="B22" s="47"/>
      <c r="C22" s="47"/>
      <c r="D22" s="48"/>
      <c r="E22" s="52"/>
      <c r="F22" s="52"/>
      <c r="G22" s="47"/>
      <c r="H22" s="47"/>
      <c r="I22" s="47"/>
      <c r="J22" s="47"/>
      <c r="K22" s="47"/>
      <c r="L22" s="47"/>
      <c r="M22" s="17"/>
      <c r="N22" s="17"/>
    </row>
    <row r="23" spans="1:24" ht="18.75" customHeight="1" x14ac:dyDescent="0.25">
      <c r="A23" s="46" t="s">
        <v>42</v>
      </c>
      <c r="B23" s="47"/>
      <c r="C23" s="47"/>
      <c r="D23" s="48"/>
      <c r="E23" s="52"/>
      <c r="F23" s="52"/>
      <c r="G23" s="47"/>
      <c r="H23" s="47"/>
      <c r="I23" s="47"/>
      <c r="J23" s="47"/>
      <c r="K23" s="47"/>
      <c r="L23" s="47"/>
      <c r="M23" s="17"/>
      <c r="N23" s="17"/>
    </row>
    <row r="24" spans="1:24" ht="18.75" customHeight="1" x14ac:dyDescent="0.25">
      <c r="A24" s="46" t="s">
        <v>43</v>
      </c>
      <c r="B24" s="47"/>
      <c r="C24" s="47"/>
      <c r="D24" s="48"/>
      <c r="E24" s="52"/>
      <c r="F24" s="52"/>
      <c r="G24" s="47"/>
      <c r="H24" s="47"/>
      <c r="I24" s="47"/>
      <c r="J24" s="47"/>
      <c r="K24" s="47"/>
      <c r="L24" s="47"/>
      <c r="M24" s="17"/>
      <c r="N24" s="17"/>
    </row>
    <row r="25" spans="1:24" ht="19.5" customHeight="1" x14ac:dyDescent="0.25">
      <c r="A25" s="53" t="s">
        <v>44</v>
      </c>
      <c r="B25" s="43"/>
      <c r="C25" s="43"/>
      <c r="D25" s="44"/>
      <c r="E25" s="43"/>
      <c r="F25" s="43"/>
      <c r="G25" s="43"/>
      <c r="H25" s="43"/>
      <c r="I25" s="43"/>
      <c r="J25" s="43"/>
      <c r="K25" s="43"/>
      <c r="L25" s="43"/>
      <c r="M25" s="17"/>
      <c r="N25" s="17"/>
    </row>
    <row r="26" spans="1:24" ht="19.5" customHeight="1" x14ac:dyDescent="0.25">
      <c r="A26" s="54"/>
      <c r="B26" s="55"/>
      <c r="C26" s="43"/>
      <c r="D26" s="44"/>
      <c r="E26" s="56"/>
      <c r="F26" s="56"/>
      <c r="G26" s="3"/>
      <c r="H26" s="43"/>
      <c r="I26" s="43"/>
      <c r="J26" s="43"/>
      <c r="K26" s="55"/>
      <c r="L26" s="55"/>
      <c r="M26" s="17"/>
      <c r="N26" s="17"/>
    </row>
    <row r="27" spans="1:24" ht="19.5" customHeight="1" x14ac:dyDescent="0.2">
      <c r="A27" s="3"/>
      <c r="B27" s="57"/>
      <c r="C27" s="57"/>
      <c r="D27" s="57"/>
      <c r="E27" s="57"/>
      <c r="F27" s="57"/>
      <c r="G27" s="57"/>
      <c r="H27" s="57"/>
      <c r="I27" s="57"/>
      <c r="J27" s="58"/>
      <c r="K27" s="59"/>
      <c r="L27" s="60"/>
      <c r="M27" s="17"/>
      <c r="N27" s="17"/>
    </row>
    <row r="28" spans="1:24" ht="19.5" customHeight="1" x14ac:dyDescent="0.25">
      <c r="A28" s="43"/>
      <c r="B28" s="57"/>
      <c r="C28" s="57"/>
      <c r="D28" s="57"/>
      <c r="E28" s="57"/>
      <c r="F28" s="57"/>
      <c r="G28" s="57"/>
      <c r="H28" s="57"/>
      <c r="I28" s="57"/>
      <c r="J28" s="57"/>
      <c r="K28" s="59"/>
      <c r="L28" s="60"/>
      <c r="M28" s="17"/>
      <c r="N28" s="17"/>
    </row>
    <row r="29" spans="1:24" ht="19.5" customHeight="1" x14ac:dyDescent="0.25">
      <c r="A29" s="61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17"/>
      <c r="N29" s="17"/>
    </row>
    <row r="30" spans="1:24" ht="19.5" customHeight="1" x14ac:dyDescent="0.25">
      <c r="A30" s="61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17"/>
      <c r="N30" s="17"/>
    </row>
    <row r="31" spans="1:24" ht="19.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5"/>
      <c r="L31" s="60"/>
      <c r="M31" s="66"/>
      <c r="N31" s="66"/>
      <c r="O31" s="67"/>
      <c r="P31" s="67"/>
      <c r="Q31" s="67"/>
      <c r="R31" s="67"/>
      <c r="S31" s="67"/>
      <c r="T31" s="67"/>
      <c r="U31" s="67"/>
      <c r="V31" s="67"/>
      <c r="W31" s="67"/>
      <c r="X31" s="67"/>
    </row>
    <row r="35" spans="1:112" ht="19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12" ht="19.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12" ht="19.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12" ht="19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12" s="70" customFormat="1" ht="19.5" customHeight="1" x14ac:dyDescent="0.25">
      <c r="N39" s="7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 s="2" customFormat="1" ht="19.5" customHeight="1" x14ac:dyDescent="0.25"/>
    <row r="41" spans="1:112" s="2" customFormat="1" ht="19.5" customHeight="1" x14ac:dyDescent="0.25"/>
    <row r="42" spans="1:112" s="2" customFormat="1" ht="19.5" customHeight="1" x14ac:dyDescent="0.25"/>
    <row r="43" spans="1:112" s="2" customFormat="1" ht="19.5" customHeight="1" x14ac:dyDescent="0.25"/>
    <row r="44" spans="1:112" s="2" customFormat="1" ht="19.5" customHeight="1" x14ac:dyDescent="0.25"/>
    <row r="45" spans="1:112" s="2" customFormat="1" ht="19.5" customHeight="1" x14ac:dyDescent="0.25"/>
    <row r="46" spans="1:112" s="2" customFormat="1" ht="19.5" customHeight="1" x14ac:dyDescent="0.25"/>
    <row r="47" spans="1:112" s="2" customFormat="1" ht="19.5" customHeight="1" x14ac:dyDescent="0.25"/>
    <row r="48" spans="1:112" s="2" customFormat="1" ht="19.5" customHeight="1" x14ac:dyDescent="0.25"/>
    <row r="49" s="2" customFormat="1" ht="19.5" customHeight="1" x14ac:dyDescent="0.25"/>
    <row r="50" s="2" customFormat="1" ht="19.5" customHeight="1" x14ac:dyDescent="0.25"/>
    <row r="51" s="2" customFormat="1" ht="19.5" customHeight="1" x14ac:dyDescent="0.25"/>
    <row r="52" s="2" customFormat="1" ht="19.5" customHeight="1" x14ac:dyDescent="0.25"/>
    <row r="53" s="2" customFormat="1" ht="19.5" customHeight="1" x14ac:dyDescent="0.25"/>
    <row r="54" s="2" customFormat="1" ht="19.5" customHeight="1" x14ac:dyDescent="0.25"/>
    <row r="55" s="2" customFormat="1" ht="19.5" customHeight="1" x14ac:dyDescent="0.25"/>
    <row r="56" s="2" customFormat="1" ht="19.5" customHeight="1" x14ac:dyDescent="0.25"/>
    <row r="57" s="2" customFormat="1" ht="19.5" customHeight="1" x14ac:dyDescent="0.25"/>
    <row r="58" s="2" customFormat="1" ht="19.5" customHeight="1" x14ac:dyDescent="0.25"/>
    <row r="59" s="2" customFormat="1" ht="19.5" customHeight="1" x14ac:dyDescent="0.25"/>
    <row r="60" s="2" customFormat="1" ht="19.5" customHeight="1" x14ac:dyDescent="0.25"/>
    <row r="61" s="2" customFormat="1" ht="19.5" customHeight="1" x14ac:dyDescent="0.25"/>
    <row r="62" s="2" customFormat="1" ht="19.5" customHeight="1" x14ac:dyDescent="0.25"/>
    <row r="63" s="2" customFormat="1" ht="19.5" customHeight="1" x14ac:dyDescent="0.25"/>
    <row r="64" s="2" customFormat="1" ht="19.5" customHeight="1" x14ac:dyDescent="0.25"/>
    <row r="65" spans="1:12" s="2" customFormat="1" ht="19.5" customHeight="1" x14ac:dyDescent="0.25">
      <c r="A65" s="72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12" s="2" customFormat="1" ht="19.5" customHeight="1" x14ac:dyDescent="0.25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spans="1:12" s="2" customFormat="1" ht="19.5" customHeight="1" x14ac:dyDescent="0.25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spans="1:12" s="2" customFormat="1" ht="19.5" customHeight="1" x14ac:dyDescent="0.25">
      <c r="A68" s="72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2" s="2" customFormat="1" ht="19.5" customHeight="1" x14ac:dyDescent="0.25">
      <c r="A69" s="72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1:12" s="2" customFormat="1" ht="19.5" customHeight="1" x14ac:dyDescent="0.25"/>
    <row r="71" spans="1:12" s="2" customFormat="1" ht="19.5" customHeight="1" x14ac:dyDescent="0.25"/>
    <row r="72" spans="1:12" s="2" customFormat="1" ht="19.5" customHeight="1" x14ac:dyDescent="0.25"/>
    <row r="73" spans="1:12" s="2" customFormat="1" ht="19.5" customHeight="1" x14ac:dyDescent="0.25"/>
    <row r="74" spans="1:12" s="2" customFormat="1" ht="19.5" customHeight="1" x14ac:dyDescent="0.25"/>
    <row r="75" spans="1:12" s="2" customFormat="1" ht="19.5" customHeight="1" x14ac:dyDescent="0.25"/>
    <row r="76" spans="1:12" s="2" customFormat="1" ht="19.5" customHeight="1" x14ac:dyDescent="0.25"/>
    <row r="77" spans="1:12" s="2" customFormat="1" ht="19.5" customHeight="1" x14ac:dyDescent="0.25"/>
    <row r="78" spans="1:12" s="2" customFormat="1" ht="19.5" customHeight="1" x14ac:dyDescent="0.25"/>
    <row r="79" spans="1:12" s="2" customFormat="1" ht="19.5" customHeight="1" x14ac:dyDescent="0.25"/>
    <row r="80" spans="1:12" s="2" customFormat="1" ht="19.5" customHeight="1" x14ac:dyDescent="0.25"/>
    <row r="81" s="2" customFormat="1" ht="19.5" customHeight="1" x14ac:dyDescent="0.25"/>
    <row r="82" s="2" customFormat="1" ht="19.5" customHeight="1" x14ac:dyDescent="0.25"/>
    <row r="83" s="2" customFormat="1" ht="19.5" customHeight="1" x14ac:dyDescent="0.25"/>
    <row r="84" s="2" customFormat="1" ht="19.5" customHeight="1" x14ac:dyDescent="0.25"/>
    <row r="85" s="2" customFormat="1" ht="19.5" customHeight="1" x14ac:dyDescent="0.25"/>
    <row r="86" s="2" customFormat="1" ht="19.5" customHeight="1" x14ac:dyDescent="0.25"/>
    <row r="87" s="2" customFormat="1" ht="19.5" customHeight="1" x14ac:dyDescent="0.25"/>
    <row r="88" s="2" customFormat="1" ht="19.5" customHeight="1" x14ac:dyDescent="0.25"/>
    <row r="89" s="2" customFormat="1" ht="19.5" customHeight="1" x14ac:dyDescent="0.25"/>
    <row r="90" s="2" customFormat="1" ht="19.5" customHeight="1" x14ac:dyDescent="0.25"/>
    <row r="91" s="2" customFormat="1" ht="19.5" customHeight="1" x14ac:dyDescent="0.25"/>
    <row r="92" s="2" customFormat="1" ht="19.5" customHeight="1" x14ac:dyDescent="0.25"/>
    <row r="93" s="2" customFormat="1" ht="19.5" customHeight="1" x14ac:dyDescent="0.25"/>
    <row r="94" s="2" customFormat="1" ht="19.5" customHeight="1" x14ac:dyDescent="0.25"/>
    <row r="95" s="2" customFormat="1" ht="19.5" customHeight="1" x14ac:dyDescent="0.25"/>
    <row r="96" s="2" customFormat="1" ht="19.5" customHeight="1" x14ac:dyDescent="0.25"/>
    <row r="97" spans="1:12" s="2" customFormat="1" ht="19.5" customHeight="1" x14ac:dyDescent="0.25"/>
    <row r="98" spans="1:12" s="2" customFormat="1" ht="19.5" customHeight="1" x14ac:dyDescent="0.25"/>
    <row r="99" spans="1:12" s="2" customFormat="1" ht="19.5" customHeight="1" x14ac:dyDescent="0.25">
      <c r="A99" s="72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1:12" s="2" customFormat="1" ht="19.5" customHeight="1" x14ac:dyDescent="0.25">
      <c r="A100" s="72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1:12" s="2" customFormat="1" ht="19.5" customHeight="1" x14ac:dyDescent="0.25">
      <c r="A101" s="72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1:12" s="2" customFormat="1" ht="19.5" customHeight="1" x14ac:dyDescent="0.25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</row>
    <row r="103" spans="1:12" s="2" customFormat="1" ht="19.5" customHeight="1" x14ac:dyDescent="0.25">
      <c r="A103" s="72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</row>
    <row r="104" spans="1:12" s="2" customFormat="1" ht="19.5" customHeight="1" x14ac:dyDescent="0.25">
      <c r="A104" s="72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</row>
    <row r="105" spans="1:12" s="2" customFormat="1" ht="19.5" customHeight="1" x14ac:dyDescent="0.25">
      <c r="A105" s="72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</row>
    <row r="106" spans="1:12" s="2" customFormat="1" ht="19.5" customHeight="1" x14ac:dyDescent="0.25">
      <c r="A106" s="72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  <row r="107" spans="1:12" s="2" customFormat="1" ht="19.5" customHeight="1" x14ac:dyDescent="0.25">
      <c r="A107" s="72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</row>
    <row r="108" spans="1:12" s="2" customFormat="1" ht="19.5" customHeight="1" x14ac:dyDescent="0.25">
      <c r="A108" s="72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</row>
    <row r="109" spans="1:12" s="2" customFormat="1" ht="19.5" customHeight="1" x14ac:dyDescent="0.25">
      <c r="A109" s="72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</row>
    <row r="110" spans="1:12" s="2" customFormat="1" ht="19.5" customHeight="1" x14ac:dyDescent="0.25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</row>
    <row r="111" spans="1:12" s="2" customFormat="1" ht="19.5" customHeight="1" x14ac:dyDescent="0.25">
      <c r="A111" s="72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</row>
    <row r="112" spans="1:12" s="2" customFormat="1" ht="19.5" customHeight="1" x14ac:dyDescent="0.25">
      <c r="A112" s="72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</row>
    <row r="113" spans="1:12" s="2" customFormat="1" ht="19.5" customHeight="1" x14ac:dyDescent="0.25">
      <c r="A113" s="72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</row>
    <row r="114" spans="1:12" s="2" customFormat="1" ht="19.5" customHeight="1" x14ac:dyDescent="0.25">
      <c r="A114" s="72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</row>
    <row r="115" spans="1:12" s="2" customFormat="1" ht="19.5" customHeight="1" x14ac:dyDescent="0.25">
      <c r="A115" s="72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</row>
    <row r="116" spans="1:12" s="2" customFormat="1" ht="19.5" customHeight="1" x14ac:dyDescent="0.25">
      <c r="A116" s="72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</row>
    <row r="117" spans="1:12" s="2" customFormat="1" ht="19.5" customHeight="1" x14ac:dyDescent="0.25">
      <c r="A117" s="72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</row>
    <row r="118" spans="1:12" s="2" customFormat="1" ht="19.5" customHeight="1" x14ac:dyDescent="0.25">
      <c r="A118" s="72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</row>
    <row r="119" spans="1:12" s="2" customFormat="1" ht="19.5" customHeight="1" x14ac:dyDescent="0.25">
      <c r="A119" s="72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</row>
    <row r="120" spans="1:12" s="2" customFormat="1" ht="19.5" customHeight="1" x14ac:dyDescent="0.25">
      <c r="A120" s="72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</row>
    <row r="121" spans="1:12" s="2" customFormat="1" ht="19.5" customHeight="1" x14ac:dyDescent="0.25">
      <c r="A121" s="72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</row>
    <row r="122" spans="1:12" s="2" customFormat="1" ht="19.5" customHeight="1" x14ac:dyDescent="0.25">
      <c r="A122" s="72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</row>
    <row r="123" spans="1:12" s="2" customFormat="1" ht="19.5" customHeight="1" x14ac:dyDescent="0.25">
      <c r="A123" s="72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</row>
    <row r="124" spans="1:12" s="2" customFormat="1" ht="19.5" customHeight="1" x14ac:dyDescent="0.25">
      <c r="A124" s="72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</row>
    <row r="125" spans="1:12" s="2" customFormat="1" ht="19.5" customHeight="1" x14ac:dyDescent="0.25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</row>
    <row r="126" spans="1:12" s="2" customFormat="1" ht="19.5" customHeight="1" x14ac:dyDescent="0.25">
      <c r="A126" s="72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</row>
    <row r="127" spans="1:12" s="2" customFormat="1" ht="19.5" customHeight="1" x14ac:dyDescent="0.25">
      <c r="A127" s="72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</row>
    <row r="128" spans="1:12" s="2" customFormat="1" ht="19.5" customHeight="1" x14ac:dyDescent="0.25">
      <c r="A128" s="72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</row>
    <row r="129" spans="1:12" s="2" customFormat="1" ht="19.5" customHeight="1" x14ac:dyDescent="0.25">
      <c r="A129" s="72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</row>
    <row r="130" spans="1:12" s="2" customFormat="1" ht="19.5" customHeight="1" x14ac:dyDescent="0.25">
      <c r="A130" s="72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</row>
    <row r="131" spans="1:12" s="2" customFormat="1" ht="19.5" customHeight="1" x14ac:dyDescent="0.25">
      <c r="A131" s="72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</row>
    <row r="132" spans="1:12" s="2" customFormat="1" ht="19.5" customHeight="1" x14ac:dyDescent="0.25">
      <c r="A132" s="72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</row>
    <row r="133" spans="1:12" s="2" customFormat="1" ht="19.5" customHeight="1" x14ac:dyDescent="0.25">
      <c r="A133" s="72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</row>
    <row r="134" spans="1:12" s="2" customFormat="1" ht="19.5" customHeight="1" x14ac:dyDescent="0.25">
      <c r="A134" s="72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</row>
    <row r="135" spans="1:12" s="2" customFormat="1" ht="19.5" customHeight="1" x14ac:dyDescent="0.25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</row>
    <row r="136" spans="1:12" s="2" customFormat="1" ht="19.5" customHeight="1" x14ac:dyDescent="0.25">
      <c r="A136" s="72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</row>
    <row r="137" spans="1:12" s="2" customFormat="1" ht="19.5" customHeight="1" x14ac:dyDescent="0.25">
      <c r="A137" s="72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</row>
    <row r="138" spans="1:12" s="2" customFormat="1" ht="19.5" customHeight="1" x14ac:dyDescent="0.25">
      <c r="A138" s="72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</row>
    <row r="139" spans="1:12" s="2" customFormat="1" ht="19.5" customHeight="1" x14ac:dyDescent="0.25">
      <c r="A139" s="72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</row>
    <row r="140" spans="1:12" s="2" customFormat="1" ht="19.5" customHeight="1" x14ac:dyDescent="0.25">
      <c r="A140" s="72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</row>
    <row r="141" spans="1:12" s="2" customFormat="1" ht="19.5" customHeight="1" x14ac:dyDescent="0.25">
      <c r="A141" s="72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</row>
    <row r="142" spans="1:12" s="2" customFormat="1" ht="19.5" customHeight="1" x14ac:dyDescent="0.25">
      <c r="A142" s="72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</row>
    <row r="143" spans="1:12" s="2" customFormat="1" ht="19.5" customHeight="1" x14ac:dyDescent="0.25">
      <c r="A143" s="72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</row>
    <row r="144" spans="1:12" s="2" customFormat="1" ht="19.5" customHeight="1" x14ac:dyDescent="0.25">
      <c r="A144" s="72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</row>
    <row r="145" spans="1:12" s="2" customFormat="1" ht="19.5" customHeight="1" x14ac:dyDescent="0.25">
      <c r="A145" s="72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</row>
    <row r="146" spans="1:12" s="2" customFormat="1" ht="19.5" customHeight="1" x14ac:dyDescent="0.25">
      <c r="A146" s="72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</row>
    <row r="147" spans="1:12" s="2" customFormat="1" ht="19.5" customHeight="1" x14ac:dyDescent="0.25">
      <c r="A147" s="72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</row>
    <row r="148" spans="1:12" s="2" customFormat="1" ht="19.5" customHeight="1" x14ac:dyDescent="0.25">
      <c r="A148" s="72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</row>
    <row r="149" spans="1:12" s="2" customFormat="1" ht="19.5" customHeight="1" x14ac:dyDescent="0.25">
      <c r="A149" s="72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</row>
    <row r="150" spans="1:12" s="2" customFormat="1" ht="19.5" customHeight="1" x14ac:dyDescent="0.25">
      <c r="A150" s="72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</row>
    <row r="151" spans="1:12" s="2" customFormat="1" ht="19.5" customHeight="1" x14ac:dyDescent="0.25">
      <c r="A151" s="72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</row>
    <row r="152" spans="1:12" s="2" customFormat="1" ht="19.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</row>
    <row r="153" spans="1:12" s="2" customFormat="1" ht="19.5" customHeight="1" x14ac:dyDescent="0.25">
      <c r="A153" s="72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</row>
    <row r="154" spans="1:12" s="2" customFormat="1" ht="19.5" customHeight="1" x14ac:dyDescent="0.25">
      <c r="A154" s="72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</row>
    <row r="155" spans="1:12" s="2" customFormat="1" ht="19.5" customHeight="1" x14ac:dyDescent="0.25">
      <c r="A155" s="72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</row>
    <row r="156" spans="1:12" s="2" customFormat="1" ht="19.5" customHeight="1" x14ac:dyDescent="0.25">
      <c r="A156" s="72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</row>
    <row r="157" spans="1:12" s="2" customFormat="1" ht="19.5" customHeight="1" x14ac:dyDescent="0.25">
      <c r="A157" s="72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</row>
    <row r="158" spans="1:12" s="2" customFormat="1" ht="19.5" customHeight="1" x14ac:dyDescent="0.25">
      <c r="A158" s="72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</row>
    <row r="159" spans="1:12" s="2" customFormat="1" ht="19.5" customHeight="1" x14ac:dyDescent="0.25">
      <c r="A159" s="72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</row>
    <row r="160" spans="1:12" s="2" customFormat="1" ht="19.5" customHeight="1" x14ac:dyDescent="0.25">
      <c r="A160" s="72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</row>
    <row r="161" spans="1:12" s="2" customFormat="1" ht="19.5" customHeight="1" x14ac:dyDescent="0.25">
      <c r="A161" s="72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</row>
    <row r="162" spans="1:12" s="2" customFormat="1" ht="19.5" customHeight="1" x14ac:dyDescent="0.25">
      <c r="A162" s="72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</row>
    <row r="163" spans="1:12" s="2" customFormat="1" ht="19.5" customHeight="1" x14ac:dyDescent="0.25">
      <c r="A163" s="72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</row>
    <row r="164" spans="1:12" s="2" customFormat="1" ht="19.5" customHeight="1" x14ac:dyDescent="0.25">
      <c r="A164" s="72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</row>
    <row r="165" spans="1:12" s="2" customFormat="1" ht="19.5" customHeight="1" x14ac:dyDescent="0.25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</row>
    <row r="166" spans="1:12" s="2" customFormat="1" ht="19.5" customHeight="1" x14ac:dyDescent="0.25">
      <c r="A166" s="72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</row>
    <row r="167" spans="1:12" s="2" customFormat="1" ht="19.5" customHeight="1" x14ac:dyDescent="0.25">
      <c r="A167" s="72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</row>
    <row r="168" spans="1:12" s="2" customFormat="1" ht="19.5" customHeight="1" x14ac:dyDescent="0.25">
      <c r="A168" s="72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</row>
    <row r="169" spans="1:12" s="2" customFormat="1" ht="19.5" customHeight="1" x14ac:dyDescent="0.25">
      <c r="A169" s="72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</row>
    <row r="170" spans="1:12" s="2" customFormat="1" ht="19.5" customHeight="1" x14ac:dyDescent="0.25">
      <c r="A170" s="72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</row>
    <row r="171" spans="1:12" s="2" customFormat="1" ht="19.5" customHeight="1" x14ac:dyDescent="0.25">
      <c r="A171" s="72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</row>
    <row r="172" spans="1:12" s="2" customFormat="1" ht="19.5" customHeight="1" x14ac:dyDescent="0.25">
      <c r="A172" s="72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</row>
    <row r="173" spans="1:12" s="2" customFormat="1" ht="19.5" customHeight="1" x14ac:dyDescent="0.25">
      <c r="A173" s="72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</row>
    <row r="174" spans="1:12" s="2" customFormat="1" ht="19.5" customHeight="1" x14ac:dyDescent="0.25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</row>
    <row r="175" spans="1:12" s="2" customFormat="1" ht="19.5" customHeight="1" x14ac:dyDescent="0.25">
      <c r="A175" s="72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</row>
    <row r="176" spans="1:12" s="2" customFormat="1" ht="19.5" customHeight="1" x14ac:dyDescent="0.25">
      <c r="A176" s="72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</row>
    <row r="177" spans="1:12" s="2" customFormat="1" ht="19.5" customHeight="1" x14ac:dyDescent="0.25">
      <c r="A177" s="72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</row>
    <row r="178" spans="1:12" s="2" customFormat="1" ht="19.5" customHeight="1" x14ac:dyDescent="0.25">
      <c r="A178" s="72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</row>
    <row r="179" spans="1:12" s="2" customFormat="1" ht="19.5" customHeight="1" x14ac:dyDescent="0.25">
      <c r="A179" s="72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</row>
    <row r="180" spans="1:12" s="2" customFormat="1" ht="19.5" customHeight="1" x14ac:dyDescent="0.25">
      <c r="A180" s="72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</row>
    <row r="181" spans="1:12" s="2" customFormat="1" ht="19.5" customHeight="1" x14ac:dyDescent="0.25">
      <c r="A181" s="72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</row>
    <row r="182" spans="1:12" s="2" customFormat="1" ht="19.5" customHeight="1" x14ac:dyDescent="0.25">
      <c r="A182" s="72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</row>
    <row r="183" spans="1:12" s="2" customFormat="1" ht="19.5" customHeight="1" x14ac:dyDescent="0.25">
      <c r="A183" s="72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</row>
    <row r="184" spans="1:12" s="2" customFormat="1" ht="19.5" customHeight="1" x14ac:dyDescent="0.25">
      <c r="A184" s="72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</row>
    <row r="185" spans="1:12" s="2" customFormat="1" ht="19.5" customHeight="1" x14ac:dyDescent="0.25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</row>
    <row r="186" spans="1:12" s="2" customFormat="1" ht="19.5" customHeight="1" x14ac:dyDescent="0.25">
      <c r="A186" s="72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</row>
    <row r="187" spans="1:12" s="2" customFormat="1" ht="19.5" customHeight="1" x14ac:dyDescent="0.25">
      <c r="A187" s="72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</row>
    <row r="188" spans="1:12" s="2" customFormat="1" ht="19.5" customHeight="1" x14ac:dyDescent="0.25">
      <c r="A188" s="72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</row>
    <row r="189" spans="1:12" s="2" customFormat="1" ht="19.5" customHeight="1" x14ac:dyDescent="0.25">
      <c r="A189" s="72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</row>
    <row r="190" spans="1:12" s="2" customFormat="1" ht="19.5" customHeight="1" x14ac:dyDescent="0.25">
      <c r="A190" s="72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</row>
    <row r="191" spans="1:12" s="2" customFormat="1" ht="19.5" customHeight="1" x14ac:dyDescent="0.25">
      <c r="A191" s="72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</row>
    <row r="192" spans="1:12" s="2" customFormat="1" ht="19.5" customHeight="1" x14ac:dyDescent="0.25">
      <c r="A192" s="72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</row>
    <row r="193" spans="1:12" s="2" customFormat="1" ht="19.5" customHeight="1" x14ac:dyDescent="0.25">
      <c r="A193" s="72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</row>
    <row r="194" spans="1:12" s="2" customFormat="1" ht="19.5" customHeight="1" x14ac:dyDescent="0.25">
      <c r="A194" s="72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</row>
    <row r="195" spans="1:12" s="2" customFormat="1" ht="19.5" customHeight="1" x14ac:dyDescent="0.25">
      <c r="A195" s="72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</row>
    <row r="196" spans="1:12" s="2" customFormat="1" ht="19.5" customHeight="1" x14ac:dyDescent="0.25">
      <c r="A196" s="72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</row>
    <row r="197" spans="1:12" s="2" customFormat="1" ht="19.5" customHeight="1" x14ac:dyDescent="0.25">
      <c r="A197" s="72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</row>
    <row r="198" spans="1:12" s="2" customFormat="1" ht="19.5" customHeight="1" x14ac:dyDescent="0.25">
      <c r="A198" s="72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</row>
    <row r="199" spans="1:12" s="2" customFormat="1" ht="19.5" customHeight="1" x14ac:dyDescent="0.25">
      <c r="A199" s="72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</row>
    <row r="200" spans="1:12" s="2" customFormat="1" ht="19.5" customHeight="1" x14ac:dyDescent="0.25">
      <c r="A200" s="72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</row>
    <row r="201" spans="1:12" s="2" customFormat="1" ht="19.5" customHeight="1" x14ac:dyDescent="0.25">
      <c r="A201" s="72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</row>
    <row r="202" spans="1:12" s="2" customFormat="1" ht="19.5" customHeight="1" x14ac:dyDescent="0.25">
      <c r="A202" s="72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</row>
    <row r="203" spans="1:12" s="2" customFormat="1" ht="19.5" customHeight="1" x14ac:dyDescent="0.25">
      <c r="A203" s="72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</row>
    <row r="204" spans="1:12" s="2" customFormat="1" ht="19.5" customHeight="1" x14ac:dyDescent="0.25">
      <c r="A204" s="72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</row>
    <row r="205" spans="1:12" s="2" customFormat="1" ht="19.5" customHeight="1" x14ac:dyDescent="0.25">
      <c r="A205" s="72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</row>
    <row r="206" spans="1:12" s="2" customFormat="1" ht="19.5" customHeight="1" x14ac:dyDescent="0.25">
      <c r="A206" s="72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</row>
    <row r="207" spans="1:12" s="2" customFormat="1" ht="19.5" customHeight="1" x14ac:dyDescent="0.25">
      <c r="A207" s="72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</row>
    <row r="208" spans="1:12" s="2" customFormat="1" ht="19.5" customHeight="1" x14ac:dyDescent="0.25">
      <c r="A208" s="72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</row>
    <row r="209" spans="1:12" s="2" customFormat="1" ht="19.5" customHeight="1" x14ac:dyDescent="0.25">
      <c r="A209" s="72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</row>
    <row r="210" spans="1:12" s="2" customFormat="1" ht="19.5" customHeight="1" x14ac:dyDescent="0.25">
      <c r="A210" s="72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</row>
    <row r="211" spans="1:12" s="2" customFormat="1" ht="19.5" customHeight="1" x14ac:dyDescent="0.25">
      <c r="A211" s="72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</row>
    <row r="212" spans="1:12" s="2" customFormat="1" ht="19.5" customHeight="1" x14ac:dyDescent="0.25">
      <c r="A212" s="72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</row>
    <row r="213" spans="1:12" s="2" customFormat="1" ht="19.5" customHeight="1" x14ac:dyDescent="0.25">
      <c r="A213" s="72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</row>
    <row r="214" spans="1:12" s="2" customFormat="1" ht="19.5" customHeight="1" x14ac:dyDescent="0.25">
      <c r="A214" s="72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</row>
    <row r="215" spans="1:12" s="2" customFormat="1" ht="19.5" customHeight="1" x14ac:dyDescent="0.25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</row>
    <row r="216" spans="1:12" s="2" customFormat="1" ht="19.5" customHeight="1" x14ac:dyDescent="0.25">
      <c r="A216" s="72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</row>
    <row r="217" spans="1:12" s="2" customFormat="1" ht="19.5" customHeight="1" x14ac:dyDescent="0.25">
      <c r="A217" s="72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</row>
    <row r="218" spans="1:12" s="2" customFormat="1" ht="19.5" customHeight="1" x14ac:dyDescent="0.25">
      <c r="A218" s="72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</row>
    <row r="219" spans="1:12" s="2" customFormat="1" ht="19.5" customHeight="1" x14ac:dyDescent="0.25">
      <c r="A219" s="72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</row>
    <row r="220" spans="1:12" s="2" customFormat="1" ht="19.5" customHeight="1" x14ac:dyDescent="0.25">
      <c r="A220" s="72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</row>
    <row r="221" spans="1:12" s="2" customFormat="1" ht="19.5" customHeight="1" x14ac:dyDescent="0.25">
      <c r="A221" s="72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</row>
    <row r="222" spans="1:12" s="2" customFormat="1" ht="19.5" customHeight="1" x14ac:dyDescent="0.25">
      <c r="A222" s="72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</row>
    <row r="223" spans="1:12" s="2" customFormat="1" ht="19.5" customHeight="1" x14ac:dyDescent="0.25">
      <c r="A223" s="72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</row>
    <row r="224" spans="1:12" s="2" customFormat="1" ht="19.5" customHeight="1" x14ac:dyDescent="0.25">
      <c r="A224" s="72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</row>
    <row r="225" spans="1:12" s="2" customFormat="1" ht="19.5" customHeight="1" x14ac:dyDescent="0.25">
      <c r="A225" s="72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</row>
    <row r="226" spans="1:12" s="2" customFormat="1" ht="19.5" customHeight="1" x14ac:dyDescent="0.25">
      <c r="A226" s="72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</row>
    <row r="227" spans="1:12" s="2" customFormat="1" ht="19.5" customHeight="1" x14ac:dyDescent="0.25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</row>
    <row r="228" spans="1:12" s="2" customFormat="1" ht="19.5" customHeight="1" x14ac:dyDescent="0.25">
      <c r="A228" s="72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</row>
    <row r="229" spans="1:12" s="2" customFormat="1" ht="19.5" customHeight="1" x14ac:dyDescent="0.25">
      <c r="A229" s="72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</row>
    <row r="230" spans="1:12" s="2" customFormat="1" ht="19.5" customHeight="1" x14ac:dyDescent="0.25">
      <c r="A230" s="72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</row>
    <row r="231" spans="1:12" s="2" customFormat="1" ht="19.5" customHeight="1" x14ac:dyDescent="0.25">
      <c r="A231" s="72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</row>
    <row r="232" spans="1:12" s="2" customFormat="1" ht="19.5" customHeight="1" x14ac:dyDescent="0.25">
      <c r="A232" s="72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</row>
    <row r="233" spans="1:12" s="2" customFormat="1" ht="19.5" customHeight="1" x14ac:dyDescent="0.25">
      <c r="A233" s="72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</row>
    <row r="234" spans="1:12" s="2" customFormat="1" ht="19.5" customHeight="1" x14ac:dyDescent="0.25">
      <c r="A234" s="72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</row>
    <row r="235" spans="1:12" s="2" customFormat="1" ht="19.5" customHeight="1" x14ac:dyDescent="0.25">
      <c r="A235" s="72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</row>
    <row r="236" spans="1:12" s="2" customFormat="1" ht="19.5" customHeight="1" x14ac:dyDescent="0.25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</row>
    <row r="237" spans="1:12" s="2" customFormat="1" ht="19.5" customHeight="1" x14ac:dyDescent="0.25">
      <c r="A237" s="72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</row>
    <row r="238" spans="1:12" s="2" customFormat="1" ht="19.5" customHeight="1" x14ac:dyDescent="0.25">
      <c r="A238" s="72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</row>
    <row r="239" spans="1:12" s="2" customFormat="1" ht="19.5" customHeight="1" x14ac:dyDescent="0.25">
      <c r="A239" s="72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</row>
    <row r="240" spans="1:12" s="2" customFormat="1" ht="19.5" customHeight="1" x14ac:dyDescent="0.25">
      <c r="A240" s="72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</row>
    <row r="241" spans="1:12" s="2" customFormat="1" ht="19.5" customHeight="1" x14ac:dyDescent="0.25">
      <c r="A241" s="72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</row>
    <row r="242" spans="1:12" s="2" customFormat="1" ht="19.5" customHeight="1" x14ac:dyDescent="0.25">
      <c r="A242" s="72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</row>
    <row r="243" spans="1:12" s="2" customFormat="1" ht="19.5" customHeight="1" x14ac:dyDescent="0.25">
      <c r="A243" s="72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</row>
    <row r="244" spans="1:12" s="2" customFormat="1" ht="19.5" customHeight="1" x14ac:dyDescent="0.25">
      <c r="A244" s="72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</row>
    <row r="245" spans="1:12" s="2" customFormat="1" ht="19.5" customHeight="1" x14ac:dyDescent="0.25">
      <c r="A245" s="72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</row>
    <row r="246" spans="1:12" s="2" customFormat="1" ht="19.5" customHeight="1" x14ac:dyDescent="0.25">
      <c r="A246" s="72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</row>
    <row r="247" spans="1:12" s="2" customFormat="1" ht="19.5" customHeight="1" x14ac:dyDescent="0.25">
      <c r="A247" s="72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</row>
    <row r="248" spans="1:12" s="2" customFormat="1" ht="19.5" customHeight="1" x14ac:dyDescent="0.25">
      <c r="A248" s="72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</row>
    <row r="249" spans="1:12" s="2" customFormat="1" ht="19.5" customHeight="1" x14ac:dyDescent="0.25">
      <c r="A249" s="72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</row>
    <row r="250" spans="1:12" s="2" customFormat="1" ht="19.5" customHeight="1" x14ac:dyDescent="0.25">
      <c r="A250" s="72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</row>
    <row r="251" spans="1:12" s="2" customFormat="1" ht="19.5" customHeight="1" x14ac:dyDescent="0.25">
      <c r="A251" s="72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</row>
    <row r="252" spans="1:12" s="2" customFormat="1" ht="19.5" customHeight="1" x14ac:dyDescent="0.25">
      <c r="A252" s="72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</row>
    <row r="253" spans="1:12" s="2" customFormat="1" ht="19.5" customHeight="1" x14ac:dyDescent="0.25">
      <c r="A253" s="72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</row>
    <row r="254" spans="1:12" s="2" customFormat="1" ht="19.5" customHeight="1" x14ac:dyDescent="0.25">
      <c r="A254" s="72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</row>
    <row r="255" spans="1:12" s="2" customFormat="1" ht="19.5" customHeight="1" x14ac:dyDescent="0.25">
      <c r="A255" s="72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</row>
    <row r="256" spans="1:12" s="2" customFormat="1" ht="19.5" customHeight="1" x14ac:dyDescent="0.25">
      <c r="A256" s="72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</row>
    <row r="257" spans="1:12" s="2" customFormat="1" ht="19.5" customHeight="1" x14ac:dyDescent="0.25">
      <c r="A257" s="72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</row>
    <row r="258" spans="1:12" s="2" customFormat="1" ht="19.5" customHeight="1" x14ac:dyDescent="0.25">
      <c r="A258" s="72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</row>
    <row r="259" spans="1:12" s="2" customFormat="1" ht="19.5" customHeight="1" x14ac:dyDescent="0.25">
      <c r="A259" s="72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</row>
    <row r="260" spans="1:12" s="2" customFormat="1" ht="19.5" customHeight="1" x14ac:dyDescent="0.25">
      <c r="A260" s="72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</row>
    <row r="261" spans="1:12" s="2" customFormat="1" ht="19.5" customHeight="1" x14ac:dyDescent="0.25">
      <c r="A261" s="72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</row>
    <row r="262" spans="1:12" s="2" customFormat="1" ht="19.5" customHeight="1" x14ac:dyDescent="0.25">
      <c r="A262" s="72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</row>
    <row r="263" spans="1:12" s="2" customFormat="1" ht="19.5" customHeight="1" x14ac:dyDescent="0.25">
      <c r="A263" s="72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</row>
    <row r="264" spans="1:12" s="2" customFormat="1" ht="19.5" customHeight="1" x14ac:dyDescent="0.25">
      <c r="A264" s="72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</row>
    <row r="265" spans="1:12" s="2" customFormat="1" ht="19.5" customHeight="1" x14ac:dyDescent="0.25">
      <c r="A265" s="72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</row>
    <row r="266" spans="1:12" s="2" customFormat="1" ht="19.5" customHeight="1" x14ac:dyDescent="0.25">
      <c r="A266" s="72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</row>
    <row r="267" spans="1:12" s="2" customFormat="1" ht="19.5" customHeight="1" x14ac:dyDescent="0.25">
      <c r="A267" s="72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</row>
    <row r="268" spans="1:12" s="2" customFormat="1" ht="19.5" customHeight="1" x14ac:dyDescent="0.25">
      <c r="A268" s="72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</row>
    <row r="269" spans="1:12" s="2" customFormat="1" ht="19.5" customHeight="1" x14ac:dyDescent="0.25">
      <c r="A269" s="72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</row>
    <row r="270" spans="1:12" s="2" customFormat="1" ht="19.5" customHeight="1" x14ac:dyDescent="0.25">
      <c r="A270" s="72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</row>
    <row r="271" spans="1:12" s="2" customFormat="1" ht="19.5" customHeight="1" x14ac:dyDescent="0.25">
      <c r="A271" s="72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</row>
    <row r="272" spans="1:12" s="2" customFormat="1" ht="19.5" customHeight="1" x14ac:dyDescent="0.25">
      <c r="A272" s="72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</row>
    <row r="273" spans="1:12" s="2" customFormat="1" ht="19.5" customHeight="1" x14ac:dyDescent="0.25">
      <c r="A273" s="72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</row>
    <row r="274" spans="1:12" s="2" customFormat="1" ht="19.5" customHeight="1" x14ac:dyDescent="0.25">
      <c r="A274" s="72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</row>
    <row r="275" spans="1:12" s="2" customFormat="1" ht="19.5" customHeight="1" x14ac:dyDescent="0.25">
      <c r="A275" s="72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</row>
    <row r="276" spans="1:12" s="2" customFormat="1" ht="19.5" customHeight="1" x14ac:dyDescent="0.25">
      <c r="A276" s="72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</row>
    <row r="277" spans="1:12" s="2" customFormat="1" ht="19.5" customHeight="1" x14ac:dyDescent="0.25">
      <c r="A277" s="72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</row>
    <row r="278" spans="1:12" s="2" customFormat="1" ht="19.5" customHeight="1" x14ac:dyDescent="0.25">
      <c r="A278" s="72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</row>
    <row r="279" spans="1:12" s="2" customFormat="1" ht="19.5" customHeight="1" x14ac:dyDescent="0.25">
      <c r="A279" s="72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</row>
    <row r="280" spans="1:12" s="2" customFormat="1" ht="19.5" customHeight="1" x14ac:dyDescent="0.25">
      <c r="A280" s="72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</row>
    <row r="281" spans="1:12" s="2" customFormat="1" ht="19.5" customHeight="1" x14ac:dyDescent="0.25">
      <c r="A281" s="72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</row>
    <row r="282" spans="1:12" s="2" customFormat="1" ht="19.5" customHeight="1" x14ac:dyDescent="0.25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</row>
    <row r="283" spans="1:12" s="2" customFormat="1" ht="19.5" customHeight="1" x14ac:dyDescent="0.25">
      <c r="A283" s="72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</row>
    <row r="284" spans="1:12" s="2" customFormat="1" ht="19.5" customHeight="1" x14ac:dyDescent="0.25">
      <c r="A284" s="72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</row>
    <row r="285" spans="1:12" s="2" customFormat="1" ht="19.5" customHeight="1" x14ac:dyDescent="0.25">
      <c r="A285" s="72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</row>
    <row r="286" spans="1:12" s="2" customFormat="1" ht="19.5" customHeight="1" x14ac:dyDescent="0.25">
      <c r="A286" s="72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</row>
    <row r="287" spans="1:12" s="2" customFormat="1" ht="19.5" customHeight="1" x14ac:dyDescent="0.25">
      <c r="A287" s="72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</row>
    <row r="288" spans="1:12" s="2" customFormat="1" ht="19.5" customHeight="1" x14ac:dyDescent="0.25">
      <c r="A288" s="72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</row>
    <row r="289" spans="1:12" s="2" customFormat="1" ht="19.5" customHeight="1" x14ac:dyDescent="0.25">
      <c r="A289" s="72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</row>
    <row r="290" spans="1:12" s="2" customFormat="1" ht="19.5" customHeight="1" x14ac:dyDescent="0.25">
      <c r="A290" s="72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</row>
    <row r="291" spans="1:12" s="2" customFormat="1" ht="19.5" customHeight="1" x14ac:dyDescent="0.25">
      <c r="A291" s="72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</row>
    <row r="292" spans="1:12" s="2" customFormat="1" ht="19.5" customHeight="1" x14ac:dyDescent="0.25">
      <c r="A292" s="72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</row>
    <row r="293" spans="1:12" s="2" customFormat="1" ht="19.5" customHeight="1" x14ac:dyDescent="0.25">
      <c r="A293" s="72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</row>
    <row r="294" spans="1:12" s="2" customFormat="1" ht="19.5" customHeight="1" x14ac:dyDescent="0.25">
      <c r="A294" s="72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</row>
    <row r="295" spans="1:12" s="2" customFormat="1" ht="19.5" customHeight="1" x14ac:dyDescent="0.25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</row>
    <row r="296" spans="1:12" s="2" customFormat="1" ht="19.5" customHeight="1" x14ac:dyDescent="0.25">
      <c r="A296" s="72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</row>
    <row r="297" spans="1:12" s="2" customFormat="1" ht="19.5" customHeight="1" x14ac:dyDescent="0.25">
      <c r="A297" s="72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</row>
    <row r="298" spans="1:12" s="2" customFormat="1" ht="19.5" customHeight="1" x14ac:dyDescent="0.25">
      <c r="A298" s="72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</row>
    <row r="299" spans="1:12" s="2" customFormat="1" ht="19.5" customHeight="1" x14ac:dyDescent="0.25">
      <c r="A299" s="72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</row>
    <row r="300" spans="1:12" s="2" customFormat="1" ht="19.5" customHeight="1" x14ac:dyDescent="0.25">
      <c r="A300" s="72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</row>
    <row r="301" spans="1:12" s="2" customFormat="1" ht="19.5" customHeight="1" x14ac:dyDescent="0.25">
      <c r="A301" s="72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</row>
    <row r="302" spans="1:12" s="2" customFormat="1" ht="19.5" customHeight="1" x14ac:dyDescent="0.25">
      <c r="A302" s="72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</row>
    <row r="303" spans="1:12" s="2" customFormat="1" ht="19.5" customHeight="1" x14ac:dyDescent="0.25">
      <c r="A303" s="72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</row>
    <row r="304" spans="1:12" s="2" customFormat="1" ht="19.5" customHeight="1" x14ac:dyDescent="0.25">
      <c r="A304" s="72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</row>
    <row r="305" spans="1:12" s="2" customFormat="1" ht="19.5" customHeight="1" x14ac:dyDescent="0.25">
      <c r="A305" s="72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</row>
    <row r="306" spans="1:12" s="2" customFormat="1" ht="19.5" customHeight="1" x14ac:dyDescent="0.25">
      <c r="A306" s="72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</row>
    <row r="307" spans="1:12" s="2" customFormat="1" ht="19.5" customHeight="1" x14ac:dyDescent="0.25">
      <c r="A307" s="72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</row>
    <row r="308" spans="1:12" s="2" customFormat="1" ht="19.5" customHeight="1" x14ac:dyDescent="0.25">
      <c r="A308" s="72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</row>
    <row r="309" spans="1:12" s="2" customFormat="1" ht="19.5" customHeight="1" x14ac:dyDescent="0.25">
      <c r="A309" s="72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</row>
    <row r="310" spans="1:12" s="2" customFormat="1" ht="19.5" customHeight="1" x14ac:dyDescent="0.25">
      <c r="A310" s="72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</row>
    <row r="311" spans="1:12" s="2" customFormat="1" ht="19.5" customHeight="1" x14ac:dyDescent="0.25">
      <c r="A311" s="72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</row>
    <row r="312" spans="1:12" s="2" customFormat="1" ht="19.5" customHeight="1" x14ac:dyDescent="0.25">
      <c r="A312" s="72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</row>
    <row r="313" spans="1:12" s="2" customFormat="1" ht="19.5" customHeight="1" x14ac:dyDescent="0.25">
      <c r="A313" s="72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</row>
    <row r="314" spans="1:12" s="2" customFormat="1" ht="19.5" customHeight="1" x14ac:dyDescent="0.25">
      <c r="A314" s="72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</row>
    <row r="315" spans="1:12" s="2" customFormat="1" ht="19.5" customHeight="1" x14ac:dyDescent="0.25">
      <c r="A315" s="72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</row>
    <row r="316" spans="1:12" s="2" customFormat="1" ht="19.5" customHeight="1" x14ac:dyDescent="0.25">
      <c r="A316" s="72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</row>
    <row r="317" spans="1:12" s="2" customFormat="1" ht="19.5" customHeight="1" x14ac:dyDescent="0.25">
      <c r="A317" s="72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</row>
    <row r="318" spans="1:12" s="2" customFormat="1" ht="19.5" customHeight="1" x14ac:dyDescent="0.25">
      <c r="A318" s="72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</row>
    <row r="319" spans="1:12" s="2" customFormat="1" ht="19.5" customHeight="1" x14ac:dyDescent="0.25">
      <c r="A319" s="72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</row>
    <row r="320" spans="1:12" s="2" customFormat="1" ht="19.5" customHeight="1" x14ac:dyDescent="0.25">
      <c r="A320" s="72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</row>
    <row r="321" spans="1:12" s="2" customFormat="1" ht="19.5" customHeight="1" x14ac:dyDescent="0.25">
      <c r="A321" s="72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</row>
    <row r="322" spans="1:12" s="2" customFormat="1" ht="19.5" customHeight="1" x14ac:dyDescent="0.25">
      <c r="A322" s="72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</row>
    <row r="323" spans="1:12" s="2" customFormat="1" ht="19.5" customHeight="1" x14ac:dyDescent="0.25">
      <c r="A323" s="72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</row>
    <row r="324" spans="1:12" s="2" customFormat="1" ht="19.5" customHeight="1" x14ac:dyDescent="0.25">
      <c r="A324" s="72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</row>
    <row r="325" spans="1:12" s="2" customFormat="1" ht="19.5" customHeight="1" x14ac:dyDescent="0.25">
      <c r="A325" s="72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</row>
    <row r="326" spans="1:12" s="2" customFormat="1" ht="19.5" customHeight="1" x14ac:dyDescent="0.25">
      <c r="A326" s="72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</row>
    <row r="327" spans="1:12" s="2" customFormat="1" ht="19.5" customHeight="1" x14ac:dyDescent="0.25">
      <c r="A327" s="72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</row>
    <row r="328" spans="1:12" s="2" customFormat="1" ht="19.5" customHeight="1" x14ac:dyDescent="0.25">
      <c r="A328" s="72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</row>
    <row r="329" spans="1:12" s="2" customFormat="1" ht="19.5" customHeight="1" x14ac:dyDescent="0.25">
      <c r="A329" s="72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</row>
    <row r="330" spans="1:12" s="2" customFormat="1" ht="19.5" customHeight="1" x14ac:dyDescent="0.25">
      <c r="A330" s="72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</row>
    <row r="331" spans="1:12" s="2" customFormat="1" ht="19.5" customHeight="1" x14ac:dyDescent="0.25">
      <c r="A331" s="72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</row>
    <row r="332" spans="1:12" s="2" customFormat="1" ht="19.5" customHeight="1" x14ac:dyDescent="0.25">
      <c r="A332" s="72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</row>
    <row r="333" spans="1:12" s="2" customFormat="1" ht="19.5" customHeight="1" x14ac:dyDescent="0.25">
      <c r="A333" s="72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</row>
    <row r="334" spans="1:12" s="2" customFormat="1" ht="19.5" customHeight="1" x14ac:dyDescent="0.25">
      <c r="A334" s="72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</row>
    <row r="335" spans="1:12" s="2" customFormat="1" ht="19.5" customHeight="1" x14ac:dyDescent="0.25">
      <c r="A335" s="72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</row>
    <row r="336" spans="1:12" s="2" customFormat="1" ht="19.5" customHeight="1" x14ac:dyDescent="0.25">
      <c r="A336" s="72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</row>
    <row r="337" spans="1:12" s="2" customFormat="1" ht="19.5" customHeight="1" x14ac:dyDescent="0.25">
      <c r="A337" s="72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</row>
    <row r="338" spans="1:12" s="2" customFormat="1" ht="19.5" customHeight="1" x14ac:dyDescent="0.25">
      <c r="A338" s="72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</row>
    <row r="339" spans="1:12" s="2" customFormat="1" ht="19.5" customHeight="1" x14ac:dyDescent="0.25">
      <c r="A339" s="72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</row>
    <row r="340" spans="1:12" s="2" customFormat="1" ht="19.5" customHeight="1" x14ac:dyDescent="0.25">
      <c r="A340" s="72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</row>
    <row r="341" spans="1:12" s="2" customFormat="1" ht="19.5" customHeight="1" x14ac:dyDescent="0.25">
      <c r="A341" s="72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</row>
    <row r="342" spans="1:12" s="2" customFormat="1" ht="19.5" customHeight="1" x14ac:dyDescent="0.25">
      <c r="A342" s="72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</row>
    <row r="343" spans="1:12" s="2" customFormat="1" ht="19.5" customHeight="1" x14ac:dyDescent="0.25">
      <c r="A343" s="72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</row>
    <row r="344" spans="1:12" s="2" customFormat="1" ht="19.5" customHeight="1" x14ac:dyDescent="0.25">
      <c r="A344" s="72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</row>
    <row r="345" spans="1:12" s="2" customFormat="1" ht="19.5" customHeight="1" x14ac:dyDescent="0.25">
      <c r="A345" s="72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</row>
    <row r="346" spans="1:12" s="2" customFormat="1" ht="19.5" customHeight="1" x14ac:dyDescent="0.25">
      <c r="A346" s="72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</row>
    <row r="347" spans="1:12" s="2" customFormat="1" ht="19.5" customHeight="1" x14ac:dyDescent="0.25">
      <c r="A347" s="72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</row>
    <row r="348" spans="1:12" s="2" customFormat="1" ht="19.5" customHeight="1" x14ac:dyDescent="0.25">
      <c r="A348" s="72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</row>
    <row r="349" spans="1:12" s="2" customFormat="1" ht="19.5" customHeight="1" x14ac:dyDescent="0.25">
      <c r="A349" s="72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</row>
    <row r="350" spans="1:12" s="2" customFormat="1" ht="19.5" customHeight="1" x14ac:dyDescent="0.25">
      <c r="A350" s="72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</row>
    <row r="351" spans="1:12" s="2" customFormat="1" ht="19.5" customHeight="1" x14ac:dyDescent="0.25">
      <c r="A351" s="72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</row>
    <row r="352" spans="1:12" s="2" customFormat="1" ht="19.5" customHeight="1" x14ac:dyDescent="0.25">
      <c r="A352" s="72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</row>
    <row r="353" spans="1:12" s="2" customFormat="1" ht="19.5" customHeight="1" x14ac:dyDescent="0.25">
      <c r="A353" s="72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</row>
    <row r="354" spans="1:12" s="2" customFormat="1" ht="19.5" customHeight="1" x14ac:dyDescent="0.25">
      <c r="A354" s="72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</row>
    <row r="355" spans="1:12" s="2" customFormat="1" ht="19.5" customHeight="1" x14ac:dyDescent="0.25">
      <c r="A355" s="72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</row>
    <row r="356" spans="1:12" s="2" customFormat="1" ht="19.5" customHeight="1" x14ac:dyDescent="0.25">
      <c r="A356" s="72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</row>
    <row r="357" spans="1:12" s="2" customFormat="1" ht="19.5" customHeight="1" x14ac:dyDescent="0.25">
      <c r="A357" s="72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</row>
    <row r="358" spans="1:12" s="2" customFormat="1" ht="19.5" customHeight="1" x14ac:dyDescent="0.25">
      <c r="A358" s="72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</row>
    <row r="359" spans="1:12" s="2" customFormat="1" ht="19.5" customHeight="1" x14ac:dyDescent="0.25">
      <c r="A359" s="72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</row>
    <row r="360" spans="1:12" s="2" customFormat="1" ht="19.5" customHeight="1" x14ac:dyDescent="0.25">
      <c r="A360" s="72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</row>
    <row r="361" spans="1:12" s="2" customFormat="1" ht="19.5" customHeight="1" x14ac:dyDescent="0.25">
      <c r="A361" s="72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</row>
    <row r="362" spans="1:12" s="2" customFormat="1" ht="19.5" customHeight="1" x14ac:dyDescent="0.25">
      <c r="A362" s="72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</row>
    <row r="363" spans="1:12" s="2" customFormat="1" ht="19.5" customHeight="1" x14ac:dyDescent="0.25">
      <c r="A363" s="72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</row>
    <row r="364" spans="1:12" s="2" customFormat="1" ht="19.5" customHeight="1" x14ac:dyDescent="0.25">
      <c r="A364" s="72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</row>
    <row r="365" spans="1:12" s="2" customFormat="1" ht="19.5" customHeight="1" x14ac:dyDescent="0.25">
      <c r="A365" s="72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</row>
    <row r="366" spans="1:12" s="2" customFormat="1" ht="19.5" customHeight="1" x14ac:dyDescent="0.25">
      <c r="A366" s="72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</row>
    <row r="367" spans="1:12" s="2" customFormat="1" ht="19.5" customHeight="1" x14ac:dyDescent="0.25">
      <c r="A367" s="72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</row>
    <row r="368" spans="1:12" s="2" customFormat="1" ht="19.5" customHeight="1" x14ac:dyDescent="0.25">
      <c r="A368" s="72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</row>
    <row r="369" spans="1:12" s="2" customFormat="1" ht="19.5" customHeight="1" x14ac:dyDescent="0.25">
      <c r="A369" s="72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</row>
    <row r="370" spans="1:12" s="2" customFormat="1" ht="19.5" customHeight="1" x14ac:dyDescent="0.25">
      <c r="A370" s="72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</row>
    <row r="371" spans="1:12" s="2" customFormat="1" ht="19.5" customHeight="1" x14ac:dyDescent="0.25">
      <c r="A371" s="72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</row>
    <row r="372" spans="1:12" s="2" customFormat="1" ht="19.5" customHeight="1" x14ac:dyDescent="0.25">
      <c r="A372" s="72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</row>
    <row r="373" spans="1:12" s="2" customFormat="1" ht="19.5" customHeight="1" x14ac:dyDescent="0.25">
      <c r="A373" s="72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</row>
    <row r="374" spans="1:12" s="2" customFormat="1" ht="19.5" customHeight="1" x14ac:dyDescent="0.25">
      <c r="A374" s="72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</row>
    <row r="375" spans="1:12" s="2" customFormat="1" ht="19.5" customHeight="1" x14ac:dyDescent="0.25">
      <c r="A375" s="72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</row>
    <row r="376" spans="1:12" s="2" customFormat="1" ht="19.5" customHeight="1" x14ac:dyDescent="0.25">
      <c r="A376" s="72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</row>
    <row r="377" spans="1:12" s="2" customFormat="1" ht="19.5" customHeight="1" x14ac:dyDescent="0.25">
      <c r="A377" s="72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</row>
    <row r="378" spans="1:12" s="2" customFormat="1" ht="19.5" customHeight="1" x14ac:dyDescent="0.25">
      <c r="A378" s="72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</row>
    <row r="379" spans="1:12" s="2" customFormat="1" ht="19.5" customHeight="1" x14ac:dyDescent="0.25">
      <c r="A379" s="72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</row>
    <row r="380" spans="1:12" s="2" customFormat="1" ht="19.5" customHeight="1" x14ac:dyDescent="0.25">
      <c r="A380" s="72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</row>
    <row r="381" spans="1:12" s="2" customFormat="1" ht="19.5" customHeight="1" x14ac:dyDescent="0.25">
      <c r="A381" s="72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</row>
    <row r="382" spans="1:12" s="2" customFormat="1" ht="19.5" customHeight="1" x14ac:dyDescent="0.25">
      <c r="A382" s="72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</row>
    <row r="383" spans="1:12" s="2" customFormat="1" ht="19.5" customHeight="1" x14ac:dyDescent="0.25">
      <c r="A383" s="72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</row>
    <row r="384" spans="1:12" s="2" customFormat="1" ht="19.5" customHeight="1" x14ac:dyDescent="0.25">
      <c r="A384" s="72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</row>
    <row r="385" spans="1:12" s="2" customFormat="1" ht="19.5" customHeight="1" x14ac:dyDescent="0.25">
      <c r="A385" s="72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</row>
    <row r="386" spans="1:12" s="2" customFormat="1" ht="19.5" customHeight="1" x14ac:dyDescent="0.25">
      <c r="A386" s="72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</row>
    <row r="387" spans="1:12" s="2" customFormat="1" ht="19.5" customHeight="1" x14ac:dyDescent="0.25">
      <c r="A387" s="72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</row>
    <row r="388" spans="1:12" s="2" customFormat="1" ht="19.5" customHeight="1" x14ac:dyDescent="0.25">
      <c r="A388" s="72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</row>
    <row r="389" spans="1:12" s="2" customFormat="1" ht="19.5" customHeight="1" x14ac:dyDescent="0.25">
      <c r="A389" s="72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</row>
    <row r="390" spans="1:12" s="2" customFormat="1" ht="19.5" customHeight="1" x14ac:dyDescent="0.25">
      <c r="A390" s="72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</row>
    <row r="391" spans="1:12" s="2" customFormat="1" ht="19.5" customHeight="1" x14ac:dyDescent="0.25">
      <c r="A391" s="72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</row>
    <row r="392" spans="1:12" s="2" customFormat="1" ht="19.5" customHeight="1" x14ac:dyDescent="0.25">
      <c r="A392" s="72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</row>
    <row r="393" spans="1:12" s="2" customFormat="1" ht="19.5" customHeight="1" x14ac:dyDescent="0.25">
      <c r="A393" s="72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</row>
    <row r="394" spans="1:12" s="2" customFormat="1" ht="19.5" customHeight="1" x14ac:dyDescent="0.25">
      <c r="A394" s="72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</row>
    <row r="395" spans="1:12" s="2" customFormat="1" ht="19.5" customHeight="1" x14ac:dyDescent="0.25">
      <c r="A395" s="72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</row>
  </sheetData>
  <mergeCells count="12">
    <mergeCell ref="AG5:AH5"/>
    <mergeCell ref="A3:A5"/>
    <mergeCell ref="B3:D3"/>
    <mergeCell ref="F3:H3"/>
    <mergeCell ref="J3:L3"/>
    <mergeCell ref="N3:N5"/>
    <mergeCell ref="B4:D4"/>
    <mergeCell ref="F4:H4"/>
    <mergeCell ref="J4:L4"/>
    <mergeCell ref="AE5:AF5"/>
    <mergeCell ref="A1:N1"/>
    <mergeCell ref="A2:N2"/>
  </mergeCells>
  <pageMargins left="0.7" right="0.7" top="0.75" bottom="0.75" header="0.3" footer="0.3"/>
  <pageSetup paperSize="9" scale="52" orientation="portrait" horizontalDpi="4294967295" verticalDpi="4294967295" r:id="rId1"/>
  <colBreaks count="1" manualBreakCount="1">
    <brk id="15" max="39" man="1"/>
  </colBreaks>
  <ignoredErrors>
    <ignoredError sqref="B1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2019-08-08T03:21:09Z</cp:lastPrinted>
  <dcterms:created xsi:type="dcterms:W3CDTF">2019-08-06T05:35:20Z</dcterms:created>
  <dcterms:modified xsi:type="dcterms:W3CDTF">2019-08-08T03:28:45Z</dcterms:modified>
</cp:coreProperties>
</file>