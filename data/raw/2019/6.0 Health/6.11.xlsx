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11" sheetId="1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'6.11'!$A$1:$N$54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1" l="1"/>
  <c r="L12" i="11"/>
  <c r="L9" i="11"/>
  <c r="L6" i="11"/>
</calcChain>
</file>

<file path=xl/sharedStrings.xml><?xml version="1.0" encoding="utf-8"?>
<sst xmlns="http://schemas.openxmlformats.org/spreadsheetml/2006/main" count="34" uniqueCount="29">
  <si>
    <t>Male'</t>
  </si>
  <si>
    <t>Male</t>
  </si>
  <si>
    <t>Female</t>
  </si>
  <si>
    <t>-</t>
  </si>
  <si>
    <t>Number of cases registered</t>
  </si>
  <si>
    <t>udwdwA egcniduk WviawfiverukIrcTcsijwr</t>
  </si>
  <si>
    <t>އަންހެން</t>
  </si>
  <si>
    <t>ފިރިހެން</t>
  </si>
  <si>
    <t>Total deaths</t>
  </si>
  <si>
    <t>wlcmuj ivurwm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</si>
  <si>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</si>
  <si>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</si>
  <si>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</si>
  <si>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</si>
  <si>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</si>
  <si>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</si>
  <si>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</si>
  <si>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</si>
  <si>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</si>
  <si>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</si>
  <si>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</si>
  <si>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</si>
  <si>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</si>
  <si>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</si>
  <si>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</si>
  <si>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</si>
  <si>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</si>
  <si>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 xml:space="preserve"> Table 6.11 : REGISTERED THALASSAEMIA CASES IN MALE' AND ATOLLS, 2010- 2018</t>
  </si>
  <si>
    <t>2018 - 2010 ,cniduk WaimIselet WviawfiverukIrcTcsijwr cnukwtuLotwa iaWaelWM :6.11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</si>
</sst>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Randhoo"/>
    </font>
    <font>
      <sz val="9"/>
      <name val="A_Randhoo"/>
    </font>
    <font>
      <sz val="9"/>
      <name val="Arial"/>
      <family val="2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b/>
      <i/>
      <u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5" fillId="0" borderId="0"/>
    <xf numFmtId="165" fontId="15" fillId="0" borderId="0"/>
    <xf numFmtId="165" fontId="15" fillId="0" borderId="0"/>
    <xf numFmtId="40" fontId="18" fillId="0" borderId="0" applyFont="0" applyFill="0" applyBorder="0" applyAlignment="0" applyProtection="0"/>
    <xf numFmtId="165" fontId="15" fillId="0" borderId="0"/>
    <xf numFmtId="0" fontId="1" fillId="0" borderId="0"/>
  </cellStyleXfs>
  <cellXfs count="44">
    <xf numFmtId="0" fontId="0" fillId="0" borderId="0" xfId="0"/>
    <xf numFmtId="0" fontId="0" fillId="2" borderId="0" xfId="0" applyFill="1"/>
    <xf numFmtId="169" fontId="6" fillId="2" borderId="0" xfId="1" applyNumberFormat="1" applyFont="1" applyFill="1" applyBorder="1" applyAlignment="1">
      <alignment horizontal="right" vertical="center"/>
    </xf>
    <xf numFmtId="0" fontId="1" fillId="2" borderId="0" xfId="0" applyFont="1" applyFill="1"/>
    <xf numFmtId="165" fontId="13" fillId="2" borderId="0" xfId="3" applyNumberFormat="1" applyFont="1" applyFill="1"/>
    <xf numFmtId="165" fontId="15" fillId="2" borderId="0" xfId="3" applyFill="1"/>
    <xf numFmtId="165" fontId="6" fillId="2" borderId="3" xfId="3" applyNumberFormat="1" applyFont="1" applyFill="1" applyBorder="1" applyAlignment="1">
      <alignment vertical="center"/>
    </xf>
    <xf numFmtId="165" fontId="4" fillId="2" borderId="3" xfId="3" applyNumberFormat="1" applyFont="1" applyFill="1" applyBorder="1" applyAlignment="1">
      <alignment vertical="center"/>
    </xf>
    <xf numFmtId="165" fontId="4" fillId="2" borderId="3" xfId="3" applyNumberFormat="1" applyFont="1" applyFill="1" applyBorder="1" applyAlignment="1">
      <alignment horizontal="right" vertical="center"/>
    </xf>
    <xf numFmtId="165" fontId="15" fillId="2" borderId="3" xfId="3" applyNumberFormat="1" applyFill="1" applyBorder="1"/>
    <xf numFmtId="165" fontId="2" fillId="2" borderId="0" xfId="3" applyNumberFormat="1" applyFont="1" applyFill="1" applyAlignment="1">
      <alignment vertical="center"/>
    </xf>
    <xf numFmtId="165" fontId="4" fillId="2" borderId="0" xfId="3" applyNumberFormat="1" applyFont="1" applyFill="1" applyAlignment="1">
      <alignment vertical="center"/>
    </xf>
    <xf numFmtId="165" fontId="2" fillId="2" borderId="0" xfId="3" applyNumberFormat="1" applyFont="1" applyFill="1" applyAlignment="1">
      <alignment horizontal="right" vertical="center"/>
    </xf>
    <xf numFmtId="165" fontId="2" fillId="2" borderId="1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5" fontId="3" fillId="2" borderId="0" xfId="3" applyNumberFormat="1" applyFont="1" applyFill="1" applyAlignment="1">
      <alignment horizontal="right" vertical="center"/>
    </xf>
    <xf numFmtId="165" fontId="14" fillId="2" borderId="0" xfId="3" applyNumberFormat="1" applyFont="1" applyFill="1" applyAlignment="1">
      <alignment vertical="center"/>
    </xf>
    <xf numFmtId="165" fontId="14" fillId="2" borderId="0" xfId="4" applyFont="1" applyFill="1" applyBorder="1" applyAlignment="1">
      <alignment horizontal="right" vertical="center"/>
    </xf>
    <xf numFmtId="165" fontId="14" fillId="2" borderId="0" xfId="4" applyFont="1" applyFill="1" applyAlignment="1">
      <alignment horizontal="right" vertical="center"/>
    </xf>
    <xf numFmtId="165" fontId="11" fillId="2" borderId="0" xfId="3" applyNumberFormat="1" applyFont="1" applyFill="1" applyAlignment="1">
      <alignment horizontal="right" vertical="center" indent="2"/>
    </xf>
    <xf numFmtId="165" fontId="6" fillId="2" borderId="0" xfId="3" applyNumberFormat="1" applyFont="1" applyFill="1" applyAlignment="1">
      <alignment vertical="center"/>
    </xf>
    <xf numFmtId="165" fontId="12" fillId="2" borderId="0" xfId="3" applyNumberFormat="1" applyFont="1" applyFill="1" applyAlignment="1">
      <alignment horizontal="right" vertical="center"/>
    </xf>
    <xf numFmtId="165" fontId="14" fillId="2" borderId="0" xfId="3" applyNumberFormat="1" applyFont="1" applyFill="1" applyBorder="1" applyAlignment="1">
      <alignment vertical="center"/>
    </xf>
    <xf numFmtId="165" fontId="6" fillId="2" borderId="0" xfId="3" applyNumberFormat="1" applyFont="1" applyFill="1" applyBorder="1" applyAlignment="1">
      <alignment vertical="center"/>
    </xf>
    <xf numFmtId="165" fontId="12" fillId="2" borderId="0" xfId="3" applyNumberFormat="1" applyFont="1" applyFill="1" applyBorder="1" applyAlignment="1">
      <alignment horizontal="right" vertical="center"/>
    </xf>
    <xf numFmtId="165" fontId="2" fillId="2" borderId="0" xfId="3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horizontal="right" vertical="center"/>
    </xf>
    <xf numFmtId="165" fontId="3" fillId="2" borderId="0" xfId="3" applyNumberFormat="1" applyFont="1" applyFill="1" applyBorder="1" applyAlignment="1">
      <alignment horizontal="right" vertical="center"/>
    </xf>
    <xf numFmtId="165" fontId="14" fillId="2" borderId="0" xfId="3" applyNumberFormat="1" applyFont="1" applyFill="1" applyBorder="1"/>
    <xf numFmtId="165" fontId="14" fillId="2" borderId="2" xfId="3" applyNumberFormat="1" applyFont="1" applyFill="1" applyBorder="1"/>
    <xf numFmtId="165" fontId="14" fillId="2" borderId="2" xfId="3" applyNumberFormat="1" applyFont="1" applyFill="1" applyBorder="1" applyAlignment="1">
      <alignment vertical="center"/>
    </xf>
    <xf numFmtId="165" fontId="6" fillId="2" borderId="2" xfId="3" applyNumberFormat="1" applyFont="1" applyFill="1" applyBorder="1" applyAlignment="1">
      <alignment vertical="center"/>
    </xf>
    <xf numFmtId="165" fontId="14" fillId="2" borderId="2" xfId="4" applyFont="1" applyFill="1" applyBorder="1" applyAlignment="1">
      <alignment horizontal="right" vertical="center"/>
    </xf>
    <xf numFmtId="165" fontId="12" fillId="2" borderId="2" xfId="3" applyNumberFormat="1" applyFont="1" applyFill="1" applyBorder="1" applyAlignment="1">
      <alignment horizontal="right" vertical="center"/>
    </xf>
    <xf numFmtId="165" fontId="7" fillId="2" borderId="0" xfId="3" applyNumberFormat="1" applyFont="1" applyFill="1" applyAlignment="1" applyProtection="1">
      <alignment horizontal="left" vertical="center"/>
    </xf>
    <xf numFmtId="165" fontId="5" fillId="2" borderId="0" xfId="3" applyNumberFormat="1" applyFont="1" applyFill="1"/>
    <xf numFmtId="165" fontId="10" fillId="2" borderId="0" xfId="3" applyNumberFormat="1" applyFont="1" applyFill="1"/>
    <xf numFmtId="165" fontId="16" fillId="2" borderId="0" xfId="3" applyNumberFormat="1" applyFont="1" applyFill="1" applyAlignment="1" applyProtection="1">
      <alignment horizontal="left" vertical="center"/>
    </xf>
    <xf numFmtId="165" fontId="7" fillId="2" borderId="0" xfId="3" applyFont="1" applyFill="1"/>
    <xf numFmtId="165" fontId="5" fillId="2" borderId="0" xfId="3" applyFont="1" applyFill="1"/>
    <xf numFmtId="0" fontId="17" fillId="2" borderId="0" xfId="0" applyFont="1" applyFill="1"/>
    <xf numFmtId="165" fontId="8" fillId="2" borderId="0" xfId="3" applyNumberFormat="1" applyFont="1" applyFill="1" applyAlignment="1">
      <alignment horizontal="center" vertical="center"/>
    </xf>
    <xf numFmtId="165" fontId="2" fillId="2" borderId="0" xfId="3" applyNumberFormat="1" applyFont="1" applyFill="1" applyBorder="1" applyAlignment="1">
      <alignment horizontal="center" vertical="center"/>
    </xf>
    <xf numFmtId="165" fontId="9" fillId="2" borderId="1" xfId="3" applyNumberFormat="1" applyFont="1" applyFill="1" applyBorder="1" applyAlignment="1">
      <alignment horizontal="right" vertic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6.9: Number of registered thalassaemic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patients by sex, 2010 - 2018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299575028953593"/>
          <c:y val="3.76303754320528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'6.11'!$B$7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cat>
            <c:numRef>
              <c:f>'6.11'!$D$5:$L$5</c:f>
              <c:numCache>
                <c:formatCode>General_)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'6.11'!$D$7:$L$7</c:f>
              <c:numCache>
                <c:formatCode>General_)</c:formatCode>
                <c:ptCount val="9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  <c:pt idx="8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7-4516-8E70-8EF90169A6C9}"/>
            </c:ext>
          </c:extLst>
        </c:ser>
        <c:ser>
          <c:idx val="1"/>
          <c:order val="1"/>
          <c:tx>
            <c:strRef>
              <c:f>'6.11'!$B$8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7F6000"/>
            </a:solidFill>
          </c:spPr>
          <c:invertIfNegative val="0"/>
          <c:cat>
            <c:numRef>
              <c:f>'6.11'!$D$5:$L$5</c:f>
              <c:numCache>
                <c:formatCode>General_)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'6.11'!$D$8:$L$8</c:f>
              <c:numCache>
                <c:formatCode>General_)</c:formatCode>
                <c:ptCount val="9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  <c:pt idx="8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7-4516-8E70-8EF90169A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14816"/>
        <c:axId val="87728896"/>
      </c:barChart>
      <c:catAx>
        <c:axId val="8771481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87728896"/>
        <c:crosses val="autoZero"/>
        <c:auto val="1"/>
        <c:lblAlgn val="ctr"/>
        <c:lblOffset val="100"/>
        <c:noMultiLvlLbl val="0"/>
      </c:catAx>
      <c:valAx>
        <c:axId val="87728896"/>
        <c:scaling>
          <c:orientation val="minMax"/>
        </c:scaling>
        <c:delete val="0"/>
        <c:axPos val="l"/>
        <c:majorGridlines>
          <c:spPr>
            <a:ln>
              <a:solidFill>
                <a:srgbClr val="FFD966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87714816"/>
        <c:crosses val="autoZero"/>
        <c:crossBetween val="between"/>
      </c:valAx>
      <c:spPr>
        <a:solidFill>
          <a:srgbClr val="FFFCF3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527375614826413"/>
          <c:y val="0.26113225430154563"/>
          <c:w val="0.18563941370561676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65444403837704E-2"/>
          <c:y val="0.17171296296296296"/>
          <c:w val="0.93060633243629354"/>
          <c:h val="0.716836176727909"/>
        </c:manualLayout>
      </c:layout>
      <c:barChart>
        <c:barDir val="col"/>
        <c:grouping val="clustered"/>
        <c:varyColors val="0"/>
        <c:ser>
          <c:idx val="2"/>
          <c:order val="0"/>
          <c:tx>
            <c:v>New case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'6.11'!$D$5:$L$5</c:f>
              <c:numCache>
                <c:formatCode>General_)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'6.11'!$D$12:$L$12</c:f>
              <c:numCache>
                <c:formatCode>General_)</c:formatCode>
                <c:ptCount val="9"/>
                <c:pt idx="0">
                  <c:v>22</c:v>
                </c:pt>
                <c:pt idx="1">
                  <c:v>31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9-4866-96AD-06F7ABAE4FB3}"/>
            </c:ext>
          </c:extLst>
        </c:ser>
        <c:ser>
          <c:idx val="1"/>
          <c:order val="1"/>
          <c:tx>
            <c:v>Deaths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'6.11'!$D$5:$L$5</c:f>
              <c:numCache>
                <c:formatCode>General_)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'6.11'!$D$9:$L$9</c:f>
              <c:numCache>
                <c:formatCode>General_)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9-4866-96AD-06F7ABA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603846080"/>
        <c:axId val="603859808"/>
      </c:barChart>
      <c:catAx>
        <c:axId val="60384608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59808"/>
        <c:crosses val="autoZero"/>
        <c:auto val="1"/>
        <c:lblAlgn val="ctr"/>
        <c:lblOffset val="100"/>
        <c:noMultiLvlLbl val="0"/>
      </c:catAx>
      <c:valAx>
        <c:axId val="6038598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846080"/>
        <c:crosses val="autoZero"/>
        <c:crossBetween val="between"/>
      </c:valAx>
      <c:spPr>
        <a:solidFill>
          <a:srgbClr val="FFFCF3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18283622421162"/>
          <c:y val="0.24613954505686789"/>
          <c:w val="0.19558955365807418"/>
          <c:h val="7.858579739756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963559</xdr:colOff>
      <xdr:row>23</xdr:row>
      <xdr:rowOff>130585</xdr:rowOff>
    </xdr:from>
    <xdr:to>
      <xdr:col>12</xdr:col>
      <xdr:colOff>714374</xdr:colOff>
      <xdr:row>38</xdr:row>
      <xdr:rowOff>107541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4</xdr:col>
      <xdr:colOff>53770</xdr:colOff>
      <xdr:row>26</xdr:row>
      <xdr:rowOff>86789</xdr:rowOff>
    </xdr:to>
    <xdr:sp macro="" textlink="">
      <xdr:nvSpPr>
        <xdr:cNvPr id="5" name="TextBox 4"/>
        <xdr:cNvSpPr txBox="1"/>
      </xdr:nvSpPr>
      <xdr:spPr>
        <a:xfrm>
          <a:off x="2018945" y="4908140"/>
          <a:ext cx="1206650" cy="16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  <xdr:twoCellAnchor>
    <xdr:from>
      <xdr:col>2</xdr:col>
      <xdr:colOff>952500</xdr:colOff>
      <xdr:row>39</xdr:row>
      <xdr:rowOff>85725</xdr:rowOff>
    </xdr:from>
    <xdr:to>
      <xdr:col>12</xdr:col>
      <xdr:colOff>734458</xdr:colOff>
      <xdr:row>53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81824</xdr:colOff>
      <xdr:row>40</xdr:row>
      <xdr:rowOff>24216</xdr:rowOff>
    </xdr:from>
    <xdr:to>
      <xdr:col>12</xdr:col>
      <xdr:colOff>522155</xdr:colOff>
      <xdr:row>41</xdr:row>
      <xdr:rowOff>51643</xdr:rowOff>
    </xdr:to>
    <xdr:sp macro="" textlink="">
      <xdr:nvSpPr>
        <xdr:cNvPr id="3" name="TextBox 2"/>
        <xdr:cNvSpPr txBox="1"/>
      </xdr:nvSpPr>
      <xdr:spPr>
        <a:xfrm>
          <a:off x="2646688" y="7736023"/>
          <a:ext cx="5914337" cy="216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6.10: Number of dealth and newly registered  cases  of thalassaemic patients,  2010 - 2018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C1" zoomScaleNormal="100" workbookViewId="0">
      <selection activeCell="AA24" sqref="AA24"/>
    </sheetView>
  </sheetViews>
  <sheetFormatPr defaultRowHeight="15" x14ac:dyDescent="0.25"/>
  <cols>
    <col min="1" max="1" width="4.140625" style="1" customWidth="1"/>
    <col min="2" max="2" width="12.28515625" style="1" customWidth="1"/>
    <col min="3" max="3" width="22" style="1" customWidth="1"/>
    <col min="4" max="12" width="9.140625" style="1"/>
    <col min="13" max="13" width="33.5703125" style="1" customWidth="1"/>
    <col min="14" max="14" width="2.42578125" style="1" customWidth="1"/>
    <col min="15" max="16384" width="9.140625" style="1"/>
  </cols>
  <sheetData>
    <row r="1" spans="1:13" x14ac:dyDescent="0.25">
      <c r="A1" s="3"/>
      <c r="B1" s="3"/>
    </row>
    <row r="2" spans="1:13" ht="19.5" x14ac:dyDescent="0.25">
      <c r="A2" s="41" t="s">
        <v>28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25">
      <c r="A3" s="42" t="s">
        <v>27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6"/>
      <c r="B5" s="6"/>
      <c r="C5" s="7"/>
      <c r="D5" s="8">
        <v>2010</v>
      </c>
      <c r="E5" s="8">
        <v>2011</v>
      </c>
      <c r="F5" s="8">
        <v>2012</v>
      </c>
      <c r="G5" s="8">
        <v>2013</v>
      </c>
      <c r="H5" s="8">
        <v>2014</v>
      </c>
      <c r="I5" s="8">
        <v>2015</v>
      </c>
      <c r="J5" s="8">
        <v>2016</v>
      </c>
      <c r="K5" s="8">
        <v>2017</v>
      </c>
      <c r="L5" s="8">
        <v>2018</v>
      </c>
      <c r="M5" s="9"/>
    </row>
    <row r="6" spans="1:13" ht="15.75" x14ac:dyDescent="0.25">
      <c r="A6" s="10" t="s">
        <v>4</v>
      </c>
      <c r="B6" s="10"/>
      <c r="C6" s="11"/>
      <c r="D6" s="13">
        <v>712</v>
      </c>
      <c r="E6" s="14">
        <v>743</v>
      </c>
      <c r="F6" s="14">
        <v>769</v>
      </c>
      <c r="G6" s="14">
        <v>787</v>
      </c>
      <c r="H6" s="14">
        <v>814</v>
      </c>
      <c r="I6" s="14">
        <v>836</v>
      </c>
      <c r="J6" s="14">
        <v>850</v>
      </c>
      <c r="K6" s="14">
        <v>861</v>
      </c>
      <c r="L6" s="14">
        <f>SUM(L7:L8)</f>
        <v>880</v>
      </c>
      <c r="M6" s="15" t="s">
        <v>5</v>
      </c>
    </row>
    <row r="7" spans="1:13" ht="18.75" x14ac:dyDescent="0.25">
      <c r="A7" s="10"/>
      <c r="B7" s="16" t="s">
        <v>1</v>
      </c>
      <c r="C7" s="11"/>
      <c r="D7" s="17">
        <v>363</v>
      </c>
      <c r="E7" s="18">
        <v>378</v>
      </c>
      <c r="F7" s="18">
        <v>392</v>
      </c>
      <c r="G7" s="18">
        <v>399</v>
      </c>
      <c r="H7" s="18">
        <v>417</v>
      </c>
      <c r="I7" s="18">
        <v>425</v>
      </c>
      <c r="J7" s="18">
        <v>431</v>
      </c>
      <c r="K7" s="18">
        <v>436</v>
      </c>
      <c r="L7" s="18">
        <v>448</v>
      </c>
      <c r="M7" s="19" t="s">
        <v>6</v>
      </c>
    </row>
    <row r="8" spans="1:13" ht="18.75" x14ac:dyDescent="0.25">
      <c r="A8" s="10"/>
      <c r="B8" s="16" t="s">
        <v>2</v>
      </c>
      <c r="C8" s="11"/>
      <c r="D8" s="17">
        <v>349</v>
      </c>
      <c r="E8" s="18">
        <v>365</v>
      </c>
      <c r="F8" s="18">
        <v>377</v>
      </c>
      <c r="G8" s="18">
        <v>388</v>
      </c>
      <c r="H8" s="18">
        <v>397</v>
      </c>
      <c r="I8" s="18">
        <v>411</v>
      </c>
      <c r="J8" s="18">
        <v>419</v>
      </c>
      <c r="K8" s="18">
        <v>425</v>
      </c>
      <c r="L8" s="18">
        <v>432</v>
      </c>
      <c r="M8" s="19" t="s">
        <v>7</v>
      </c>
    </row>
    <row r="9" spans="1:13" ht="15.75" x14ac:dyDescent="0.25">
      <c r="A9" s="10" t="s">
        <v>8</v>
      </c>
      <c r="B9" s="10"/>
      <c r="C9" s="11"/>
      <c r="D9" s="14">
        <v>4</v>
      </c>
      <c r="E9" s="14">
        <v>4</v>
      </c>
      <c r="F9" s="14">
        <v>4</v>
      </c>
      <c r="G9" s="14">
        <v>3</v>
      </c>
      <c r="H9" s="14">
        <v>11</v>
      </c>
      <c r="I9" s="14">
        <v>3</v>
      </c>
      <c r="J9" s="14">
        <v>6</v>
      </c>
      <c r="K9" s="14">
        <v>10</v>
      </c>
      <c r="L9" s="14">
        <f>SUM(L10:L11)</f>
        <v>8</v>
      </c>
      <c r="M9" s="15" t="s">
        <v>9</v>
      </c>
    </row>
    <row r="10" spans="1:13" ht="15.75" x14ac:dyDescent="0.25">
      <c r="A10" s="16"/>
      <c r="B10" s="16" t="s">
        <v>0</v>
      </c>
      <c r="C10" s="20"/>
      <c r="D10" s="18">
        <v>2</v>
      </c>
      <c r="E10" s="18">
        <v>1</v>
      </c>
      <c r="F10" s="18">
        <v>3</v>
      </c>
      <c r="G10" s="2" t="s">
        <v>3</v>
      </c>
      <c r="H10" s="18">
        <v>5</v>
      </c>
      <c r="I10" s="2">
        <v>1</v>
      </c>
      <c r="J10" s="2">
        <v>3</v>
      </c>
      <c r="K10" s="2">
        <v>5</v>
      </c>
      <c r="L10" s="2" t="s">
        <v>3</v>
      </c>
      <c r="M10" s="21" t="s">
        <v>10</v>
      </c>
    </row>
    <row r="11" spans="1:13" ht="15.75" x14ac:dyDescent="0.25">
      <c r="A11" s="16"/>
      <c r="B11" s="22" t="s">
        <v>11</v>
      </c>
      <c r="C11" s="20"/>
      <c r="D11" s="18">
        <v>2</v>
      </c>
      <c r="E11" s="18">
        <v>3</v>
      </c>
      <c r="F11" s="18">
        <v>1</v>
      </c>
      <c r="G11" s="18">
        <v>3</v>
      </c>
      <c r="H11" s="18">
        <v>6</v>
      </c>
      <c r="I11" s="18">
        <v>2</v>
      </c>
      <c r="J11" s="18">
        <v>3</v>
      </c>
      <c r="K11" s="18">
        <v>5</v>
      </c>
      <c r="L11" s="18">
        <v>8</v>
      </c>
      <c r="M11" s="21" t="s">
        <v>12</v>
      </c>
    </row>
    <row r="12" spans="1:13" ht="15.75" x14ac:dyDescent="0.25">
      <c r="A12" s="10" t="s">
        <v>13</v>
      </c>
      <c r="B12" s="10"/>
      <c r="C12" s="11"/>
      <c r="D12" s="12">
        <v>22</v>
      </c>
      <c r="E12" s="12">
        <v>31</v>
      </c>
      <c r="F12" s="12">
        <v>22</v>
      </c>
      <c r="G12" s="12">
        <v>18</v>
      </c>
      <c r="H12" s="12">
        <v>27</v>
      </c>
      <c r="I12" s="12">
        <v>22</v>
      </c>
      <c r="J12" s="12">
        <v>14</v>
      </c>
      <c r="K12" s="12">
        <v>11</v>
      </c>
      <c r="L12" s="12">
        <f>SUM(L13:L14)</f>
        <v>19</v>
      </c>
      <c r="M12" s="15" t="s">
        <v>14</v>
      </c>
    </row>
    <row r="13" spans="1:13" ht="15.75" x14ac:dyDescent="0.25">
      <c r="A13" s="16"/>
      <c r="B13" s="16" t="s">
        <v>0</v>
      </c>
      <c r="C13" s="20"/>
      <c r="D13" s="18">
        <v>3</v>
      </c>
      <c r="E13" s="18">
        <v>4</v>
      </c>
      <c r="F13" s="18">
        <v>6</v>
      </c>
      <c r="G13" s="18">
        <v>3</v>
      </c>
      <c r="H13" s="18">
        <v>17</v>
      </c>
      <c r="I13" s="18">
        <v>6</v>
      </c>
      <c r="J13" s="18">
        <v>1</v>
      </c>
      <c r="K13" s="18">
        <v>5</v>
      </c>
      <c r="L13" s="18">
        <v>1</v>
      </c>
      <c r="M13" s="21" t="s">
        <v>10</v>
      </c>
    </row>
    <row r="14" spans="1:13" ht="15.75" x14ac:dyDescent="0.25">
      <c r="A14" s="22"/>
      <c r="B14" s="22" t="s">
        <v>11</v>
      </c>
      <c r="C14" s="23"/>
      <c r="D14" s="17">
        <v>19</v>
      </c>
      <c r="E14" s="17">
        <v>27</v>
      </c>
      <c r="F14" s="17">
        <v>16</v>
      </c>
      <c r="G14" s="17">
        <v>15</v>
      </c>
      <c r="H14" s="17">
        <v>10</v>
      </c>
      <c r="I14" s="17">
        <v>16</v>
      </c>
      <c r="J14" s="17">
        <v>13</v>
      </c>
      <c r="K14" s="17">
        <v>6</v>
      </c>
      <c r="L14" s="17">
        <v>18</v>
      </c>
      <c r="M14" s="24" t="s">
        <v>12</v>
      </c>
    </row>
    <row r="15" spans="1:13" ht="15.75" x14ac:dyDescent="0.25">
      <c r="A15" s="25" t="s">
        <v>15</v>
      </c>
      <c r="B15" s="22"/>
      <c r="C15" s="23"/>
      <c r="D15" s="26">
        <v>530</v>
      </c>
      <c r="E15" s="26">
        <v>562</v>
      </c>
      <c r="F15" s="26">
        <v>574</v>
      </c>
      <c r="G15" s="26">
        <v>572</v>
      </c>
      <c r="H15" s="26">
        <v>599</v>
      </c>
      <c r="I15" s="26">
        <v>620</v>
      </c>
      <c r="J15" s="26">
        <v>623</v>
      </c>
      <c r="K15" s="26">
        <v>623</v>
      </c>
      <c r="L15" s="26">
        <f>SUM(L16:L17)</f>
        <v>635</v>
      </c>
      <c r="M15" s="27" t="s">
        <v>16</v>
      </c>
    </row>
    <row r="16" spans="1:13" ht="15.75" x14ac:dyDescent="0.25">
      <c r="A16" s="28"/>
      <c r="B16" s="22" t="s">
        <v>17</v>
      </c>
      <c r="C16" s="23"/>
      <c r="D16" s="17">
        <v>288</v>
      </c>
      <c r="E16" s="17">
        <v>291</v>
      </c>
      <c r="F16" s="17">
        <v>345</v>
      </c>
      <c r="G16" s="17">
        <v>250</v>
      </c>
      <c r="H16" s="17">
        <v>267</v>
      </c>
      <c r="I16" s="17">
        <v>290</v>
      </c>
      <c r="J16" s="17">
        <v>290</v>
      </c>
      <c r="K16" s="17">
        <v>290</v>
      </c>
      <c r="L16" s="17">
        <v>304</v>
      </c>
      <c r="M16" s="24" t="s">
        <v>18</v>
      </c>
    </row>
    <row r="17" spans="1:13" ht="15.75" x14ac:dyDescent="0.25">
      <c r="A17" s="29"/>
      <c r="B17" s="30" t="s">
        <v>19</v>
      </c>
      <c r="C17" s="31"/>
      <c r="D17" s="32">
        <v>242</v>
      </c>
      <c r="E17" s="32">
        <v>271</v>
      </c>
      <c r="F17" s="32">
        <v>229</v>
      </c>
      <c r="G17" s="32">
        <v>322</v>
      </c>
      <c r="H17" s="32">
        <v>332</v>
      </c>
      <c r="I17" s="32">
        <v>330</v>
      </c>
      <c r="J17" s="32">
        <v>333</v>
      </c>
      <c r="K17" s="32">
        <v>333</v>
      </c>
      <c r="L17" s="32">
        <v>331</v>
      </c>
      <c r="M17" s="33" t="s">
        <v>20</v>
      </c>
    </row>
    <row r="18" spans="1:13" x14ac:dyDescent="0.25">
      <c r="A18" s="34" t="s">
        <v>21</v>
      </c>
      <c r="B18" s="35"/>
      <c r="C18" s="36"/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 spans="1:13" x14ac:dyDescent="0.25">
      <c r="A19" s="37" t="s">
        <v>22</v>
      </c>
      <c r="B19" s="35"/>
    </row>
    <row r="20" spans="1:13" s="40" customFormat="1" ht="12" x14ac:dyDescent="0.2">
      <c r="A20" s="38" t="s">
        <v>23</v>
      </c>
      <c r="B20" s="39"/>
    </row>
    <row r="21" spans="1:13" s="40" customFormat="1" ht="12" x14ac:dyDescent="0.2">
      <c r="A21" s="38" t="s">
        <v>24</v>
      </c>
      <c r="B21" s="39"/>
    </row>
    <row r="22" spans="1:13" s="40" customFormat="1" ht="12" x14ac:dyDescent="0.2">
      <c r="A22" s="38" t="s">
        <v>25</v>
      </c>
      <c r="B22" s="39"/>
    </row>
    <row r="23" spans="1:13" s="40" customFormat="1" ht="12" x14ac:dyDescent="0.2">
      <c r="A23" s="38" t="s">
        <v>26</v>
      </c>
      <c r="B23" s="39"/>
    </row>
    <row r="24" spans="1:13" x14ac:dyDescent="0.25">
      <c r="A24" s="3"/>
      <c r="B24" s="3"/>
    </row>
  </sheetData>
  <mergeCells count="3">
    <mergeCell ref="A2:M2"/>
    <mergeCell ref="A3:M3"/>
    <mergeCell ref="D18:M18"/>
  </mergeCells>
  <pageMargins left="0.7" right="0.7" top="0.75" bottom="0.75" header="0.3" footer="0.3"/>
  <pageSetup paperSize="9" scale="5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2019-08-08T04:53:17Z</cp:lastPrinted>
  <dcterms:created xsi:type="dcterms:W3CDTF">2019-08-06T05:35:20Z</dcterms:created>
  <dcterms:modified xsi:type="dcterms:W3CDTF">2019-08-08T04:53:36Z</dcterms:modified>
</cp:coreProperties>
</file>