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2.  ELECTRICITY and  WATER\"/>
    </mc:Choice>
  </mc:AlternateContent>
  <bookViews>
    <workbookView xWindow="0" yWindow="0" windowWidth="28800" windowHeight="12330"/>
  </bookViews>
  <sheets>
    <sheet name="12.13" sheetId="13" r:id="rId1"/>
  </sheets>
  <externalReferences>
    <externalReference r:id="rId2"/>
  </externalReferences>
  <definedNames>
    <definedName name="Male">'[1]Entry2015 (for male region)'!$A$8:$AAA$67</definedName>
    <definedName name="_xlnm.Print_Area" localSheetId="0">'12.13'!$A$1:$L$18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13" l="1"/>
  <c r="I16" i="13"/>
  <c r="H16" i="13"/>
  <c r="G16" i="13"/>
  <c r="F16" i="13"/>
  <c r="E16" i="13"/>
  <c r="D16" i="13"/>
  <c r="C16" i="13"/>
  <c r="J15" i="13"/>
  <c r="I15" i="13"/>
  <c r="H15" i="13"/>
  <c r="G15" i="13"/>
  <c r="F15" i="13"/>
  <c r="E15" i="13"/>
  <c r="D15" i="13"/>
  <c r="C15" i="13"/>
  <c r="J14" i="13"/>
  <c r="I14" i="13"/>
  <c r="H14" i="13"/>
  <c r="G14" i="13"/>
  <c r="F14" i="13"/>
  <c r="E14" i="13"/>
  <c r="D14" i="13"/>
  <c r="C14" i="13"/>
  <c r="G10" i="13"/>
  <c r="J5" i="13"/>
  <c r="J10" i="13" s="1"/>
  <c r="I5" i="13"/>
  <c r="I11" i="13" s="1"/>
  <c r="H5" i="13"/>
  <c r="H13" i="13" s="1"/>
  <c r="G5" i="13"/>
  <c r="G11" i="13" s="1"/>
  <c r="F5" i="13"/>
  <c r="F12" i="13" s="1"/>
  <c r="E5" i="13"/>
  <c r="D5" i="13"/>
  <c r="D10" i="13" s="1"/>
  <c r="C5" i="13"/>
  <c r="C10" i="13" s="1"/>
  <c r="B5" i="13"/>
  <c r="B10" i="13" s="1"/>
  <c r="F10" i="13" l="1"/>
  <c r="F13" i="13"/>
  <c r="H11" i="13"/>
  <c r="B12" i="13"/>
  <c r="C13" i="13"/>
  <c r="H12" i="13"/>
  <c r="H10" i="13"/>
  <c r="H9" i="13" s="1"/>
  <c r="I12" i="13"/>
  <c r="J12" i="13"/>
  <c r="C11" i="13"/>
  <c r="C9" i="13" s="1"/>
  <c r="E10" i="13"/>
  <c r="B11" i="13"/>
  <c r="B9" i="13" s="1"/>
  <c r="J11" i="13"/>
  <c r="G12" i="13"/>
  <c r="G9" i="13" s="1"/>
  <c r="D13" i="13"/>
  <c r="D11" i="13"/>
  <c r="D9" i="13" s="1"/>
  <c r="E11" i="13"/>
  <c r="G13" i="13"/>
  <c r="I10" i="13"/>
  <c r="F11" i="13"/>
  <c r="C12" i="13"/>
  <c r="D12" i="13"/>
  <c r="I13" i="13"/>
  <c r="E13" i="13"/>
  <c r="E12" i="13"/>
  <c r="J13" i="13"/>
  <c r="J9" i="13" l="1"/>
  <c r="F9" i="13"/>
  <c r="I9" i="13"/>
  <c r="E9" i="13"/>
</calcChain>
</file>

<file path=xl/sharedStrings.xml><?xml version="1.0" encoding="utf-8"?>
<sst xmlns="http://schemas.openxmlformats.org/spreadsheetml/2006/main" count="30" uniqueCount="18">
  <si>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</si>
  <si>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</si>
  <si>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</si>
  <si>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</si>
  <si>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</si>
  <si>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</si>
  <si>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</si>
  <si>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</si>
  <si>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</si>
  <si>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</si>
  <si>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</si>
  <si>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cDeTimil Inepcmok cjErevcs cDcnea rwTOv ElWm :ctWrwf ivcaedutWmUluawm</t>
  </si>
  <si>
    <t>Source: Male' Water &amp; Sewerage Company Private Limited</t>
  </si>
  <si>
    <t xml:space="preserve">Total </t>
  </si>
  <si>
    <t>% share</t>
  </si>
  <si>
    <t>Table 12.13 : NUMBER OF CUSTOMERS USING WATER IN VILIMALE' BY TYPE, 2010 - 2018</t>
  </si>
  <si>
    <t>ތާވަލު 12.13: ތަނުގެ ގޮތުން ވިލިނގިލީގައި ފެން ބޭނުންކުރާ ފަރާތްތަކުގެ އަދަދު، 2010 - 2018</t>
  </si>
  <si>
    <t xml:space="preserve"> wlcmuj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</si>
</sst>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_Faseyha"/>
    </font>
    <font>
      <sz val="10"/>
      <name val="A_Faseyha"/>
    </font>
    <font>
      <b/>
      <sz val="11"/>
      <name val="Farum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_Randhoo"/>
    </font>
    <font>
      <sz val="11"/>
      <name val="Arial"/>
      <family val="2"/>
    </font>
    <font>
      <sz val="10"/>
      <name val="Garamond"/>
      <family val="1"/>
    </font>
    <font>
      <sz val="10"/>
      <color theme="1"/>
      <name val="A_Faseyha"/>
    </font>
    <font>
      <i/>
      <sz val="11"/>
      <name val="Calibri"/>
      <family val="2"/>
      <scheme val="minor"/>
    </font>
    <font>
      <sz val="1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0" fillId="0" borderId="0"/>
  </cellStyleXfs>
  <cellXfs count="35">
    <xf numFmtId="0" fontId="0" fillId="0" borderId="0" xfId="0"/>
    <xf numFmtId="0" fontId="2" fillId="2" borderId="2" xfId="2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1" fillId="2" borderId="0" xfId="2" applyFill="1"/>
    <xf numFmtId="0" fontId="7" fillId="2" borderId="0" xfId="2" applyFont="1" applyFill="1"/>
    <xf numFmtId="3" fontId="6" fillId="2" borderId="0" xfId="2" applyNumberFormat="1" applyFont="1" applyFill="1" applyAlignment="1">
      <alignment horizontal="right" vertical="center"/>
    </xf>
    <xf numFmtId="3" fontId="7" fillId="2" borderId="0" xfId="2" applyNumberFormat="1" applyFont="1" applyFill="1" applyAlignment="1">
      <alignment horizontal="right" vertical="center"/>
    </xf>
    <xf numFmtId="3" fontId="7" fillId="2" borderId="4" xfId="2" applyNumberFormat="1" applyFont="1" applyFill="1" applyBorder="1" applyAlignment="1">
      <alignment horizontal="right" vertical="center"/>
    </xf>
    <xf numFmtId="3" fontId="7" fillId="2" borderId="0" xfId="2" applyNumberFormat="1" applyFont="1" applyFill="1" applyBorder="1" applyAlignment="1">
      <alignment horizontal="right" vertical="center"/>
    </xf>
    <xf numFmtId="3" fontId="7" fillId="2" borderId="1" xfId="2" applyNumberFormat="1" applyFont="1" applyFill="1" applyBorder="1" applyAlignment="1">
      <alignment horizontal="right" vertical="center"/>
    </xf>
    <xf numFmtId="0" fontId="8" fillId="2" borderId="0" xfId="2" applyFont="1" applyFill="1" applyAlignment="1">
      <alignment vertical="center"/>
    </xf>
    <xf numFmtId="0" fontId="1" fillId="2" borderId="0" xfId="2" applyFill="1" applyAlignment="1">
      <alignment vertical="top"/>
    </xf>
    <xf numFmtId="0" fontId="2" fillId="2" borderId="2" xfId="2" applyFont="1" applyFill="1" applyBorder="1" applyAlignment="1">
      <alignment horizontal="left" vertical="center"/>
    </xf>
    <xf numFmtId="1" fontId="1" fillId="2" borderId="0" xfId="2" applyNumberFormat="1" applyFill="1"/>
    <xf numFmtId="0" fontId="6" fillId="2" borderId="0" xfId="2" applyFont="1" applyFill="1" applyAlignment="1">
      <alignment horizontal="left" vertical="center"/>
    </xf>
    <xf numFmtId="0" fontId="6" fillId="2" borderId="1" xfId="2" applyFont="1" applyFill="1" applyBorder="1" applyAlignment="1">
      <alignment horizontal="center" vertical="top"/>
    </xf>
    <xf numFmtId="0" fontId="1" fillId="2" borderId="0" xfId="2" applyFill="1" applyBorder="1" applyAlignment="1">
      <alignment vertical="top"/>
    </xf>
    <xf numFmtId="0" fontId="9" fillId="2" borderId="0" xfId="2" applyFont="1" applyFill="1"/>
    <xf numFmtId="3" fontId="7" fillId="2" borderId="0" xfId="2" applyNumberFormat="1" applyFont="1" applyFill="1" applyAlignment="1">
      <alignment vertical="center"/>
    </xf>
    <xf numFmtId="0" fontId="7" fillId="2" borderId="0" xfId="2" applyFont="1" applyFill="1" applyAlignment="1">
      <alignment horizontal="right" vertical="center"/>
    </xf>
    <xf numFmtId="0" fontId="7" fillId="2" borderId="4" xfId="2" applyFont="1" applyFill="1" applyBorder="1" applyAlignment="1">
      <alignment horizontal="right" vertical="center"/>
    </xf>
    <xf numFmtId="3" fontId="6" fillId="2" borderId="0" xfId="2" applyNumberFormat="1" applyFont="1" applyFill="1" applyBorder="1" applyAlignment="1">
      <alignment horizontal="right" vertical="center"/>
    </xf>
    <xf numFmtId="0" fontId="12" fillId="2" borderId="0" xfId="4" applyFont="1" applyFill="1"/>
    <xf numFmtId="0" fontId="13" fillId="2" borderId="0" xfId="4" applyFont="1" applyFill="1" applyAlignment="1">
      <alignment horizontal="right"/>
    </xf>
    <xf numFmtId="0" fontId="11" fillId="2" borderId="0" xfId="4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 indent="1"/>
    </xf>
    <xf numFmtId="0" fontId="4" fillId="2" borderId="4" xfId="0" applyFont="1" applyFill="1" applyBorder="1" applyAlignment="1">
      <alignment horizontal="right" vertical="center" indent="1"/>
    </xf>
    <xf numFmtId="0" fontId="4" fillId="2" borderId="3" xfId="0" applyFont="1" applyFill="1" applyBorder="1" applyAlignment="1">
      <alignment horizontal="right" vertical="center" indent="1"/>
    </xf>
    <xf numFmtId="0" fontId="4" fillId="2" borderId="1" xfId="0" applyFont="1" applyFill="1" applyBorder="1" applyAlignment="1">
      <alignment horizontal="right" vertical="center" indent="1"/>
    </xf>
    <xf numFmtId="0" fontId="7" fillId="2" borderId="0" xfId="2" applyFont="1" applyFill="1" applyBorder="1" applyAlignment="1">
      <alignment horizontal="left" vertical="center" indent="1"/>
    </xf>
    <xf numFmtId="0" fontId="7" fillId="2" borderId="1" xfId="2" applyFont="1" applyFill="1" applyBorder="1" applyAlignment="1">
      <alignment horizontal="left" vertical="center" indent="1"/>
    </xf>
    <xf numFmtId="0" fontId="7" fillId="2" borderId="4" xfId="2" applyFont="1" applyFill="1" applyBorder="1" applyAlignment="1">
      <alignment horizontal="left" vertical="center" indent="1"/>
    </xf>
    <xf numFmtId="0" fontId="5" fillId="2" borderId="0" xfId="2" applyFont="1" applyFill="1" applyAlignment="1">
      <alignment horizontal="center" vertical="center"/>
    </xf>
    <xf numFmtId="0" fontId="6" fillId="2" borderId="0" xfId="2" applyFont="1" applyFill="1" applyBorder="1" applyAlignment="1">
      <alignment horizontal="center" vertical="top"/>
    </xf>
  </cellXfs>
  <cellStyles count="5">
    <cellStyle name="Comma 2" xfId="1"/>
    <cellStyle name="Comma 4" xfId="3"/>
    <cellStyle name="Normal" xfId="0" builtinId="0"/>
    <cellStyle name="Normal 2" xfId="2"/>
    <cellStyle name="Normal_X-5 (Electricity)" xfId="4"/>
  </cellStyles>
  <dxfs count="0"/>
  <tableStyles count="0" defaultTableStyle="TableStyleMedium2" defaultPivotStyle="PivotStyleLight16"/>
  <colors>
    <mruColors>
      <color rgb="FFFFFAEB"/>
      <color rgb="FFFF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zoomScaleNormal="100" workbookViewId="0">
      <selection activeCell="Q11" sqref="Q11"/>
    </sheetView>
  </sheetViews>
  <sheetFormatPr defaultColWidth="9.140625" defaultRowHeight="12.75" x14ac:dyDescent="0.2"/>
  <cols>
    <col min="1" max="1" width="30.5703125" style="4" customWidth="1"/>
    <col min="2" max="2" width="9.28515625" style="4" bestFit="1" customWidth="1"/>
    <col min="3" max="3" width="9.85546875" style="4" bestFit="1" customWidth="1"/>
    <col min="4" max="10" width="9.7109375" style="4" bestFit="1" customWidth="1"/>
    <col min="11" max="11" width="33.42578125" style="4" customWidth="1"/>
    <col min="12" max="12" width="4.5703125" style="4" customWidth="1"/>
    <col min="13" max="16384" width="9.140625" style="4"/>
  </cols>
  <sheetData>
    <row r="1" spans="1:15" ht="21" x14ac:dyDescent="0.2">
      <c r="A1" s="33" t="s">
        <v>16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11"/>
      <c r="M1" s="11"/>
      <c r="N1" s="11"/>
      <c r="O1" s="11"/>
    </row>
    <row r="2" spans="1:15" s="17" customFormat="1" ht="18.75" customHeight="1" x14ac:dyDescent="0.25">
      <c r="A2" s="34" t="s">
        <v>15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5" s="12" customFormat="1" ht="18.75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5" ht="15.75" x14ac:dyDescent="0.2">
      <c r="A4" s="13" t="s">
        <v>4</v>
      </c>
      <c r="B4" s="1">
        <v>2010</v>
      </c>
      <c r="C4" s="1">
        <v>2011</v>
      </c>
      <c r="D4" s="1">
        <v>2012</v>
      </c>
      <c r="E4" s="1">
        <v>2013</v>
      </c>
      <c r="F4" s="1">
        <v>2014</v>
      </c>
      <c r="G4" s="1">
        <v>2015</v>
      </c>
      <c r="H4" s="1">
        <v>2016</v>
      </c>
      <c r="I4" s="1">
        <v>2017</v>
      </c>
      <c r="J4" s="1">
        <v>2018</v>
      </c>
      <c r="K4" s="2" t="s">
        <v>3</v>
      </c>
    </row>
    <row r="5" spans="1:15" s="18" customFormat="1" ht="20.25" customHeight="1" x14ac:dyDescent="0.2">
      <c r="A5" s="15" t="s">
        <v>13</v>
      </c>
      <c r="B5" s="6">
        <f>SUM(B6:B8)</f>
        <v>1197</v>
      </c>
      <c r="C5" s="6">
        <f t="shared" ref="C5:E5" si="0">SUM(C6:C8)</f>
        <v>1300</v>
      </c>
      <c r="D5" s="6">
        <f t="shared" si="0"/>
        <v>1365</v>
      </c>
      <c r="E5" s="6">
        <f t="shared" si="0"/>
        <v>1432</v>
      </c>
      <c r="F5" s="6">
        <f t="shared" ref="F5:J5" si="1">SUM(F6:F8)</f>
        <v>1475</v>
      </c>
      <c r="G5" s="6">
        <f t="shared" si="1"/>
        <v>1547</v>
      </c>
      <c r="H5" s="6">
        <f t="shared" si="1"/>
        <v>1634</v>
      </c>
      <c r="I5" s="6">
        <f t="shared" si="1"/>
        <v>1736</v>
      </c>
      <c r="J5" s="6">
        <f t="shared" si="1"/>
        <v>1786</v>
      </c>
      <c r="K5" s="3" t="s">
        <v>17</v>
      </c>
    </row>
    <row r="6" spans="1:15" s="18" customFormat="1" ht="20.25" customHeight="1" x14ac:dyDescent="0.2">
      <c r="A6" s="30" t="s">
        <v>5</v>
      </c>
      <c r="B6" s="19">
        <v>1103</v>
      </c>
      <c r="C6" s="19">
        <v>1185</v>
      </c>
      <c r="D6" s="19">
        <v>1241</v>
      </c>
      <c r="E6" s="19">
        <v>1297</v>
      </c>
      <c r="F6" s="19">
        <v>1339</v>
      </c>
      <c r="G6" s="19">
        <v>1396</v>
      </c>
      <c r="H6" s="19">
        <v>1470</v>
      </c>
      <c r="I6" s="19">
        <v>1554</v>
      </c>
      <c r="J6" s="19">
        <v>1594</v>
      </c>
      <c r="K6" s="26" t="s">
        <v>6</v>
      </c>
    </row>
    <row r="7" spans="1:15" s="18" customFormat="1" ht="20.25" customHeight="1" x14ac:dyDescent="0.2">
      <c r="A7" s="30" t="s">
        <v>7</v>
      </c>
      <c r="B7" s="20">
        <v>57</v>
      </c>
      <c r="C7" s="20">
        <v>73</v>
      </c>
      <c r="D7" s="20">
        <v>72</v>
      </c>
      <c r="E7" s="20">
        <v>70</v>
      </c>
      <c r="F7" s="20">
        <v>68</v>
      </c>
      <c r="G7" s="20">
        <v>69</v>
      </c>
      <c r="H7" s="20">
        <v>69</v>
      </c>
      <c r="I7" s="20">
        <v>69</v>
      </c>
      <c r="J7" s="20">
        <v>68</v>
      </c>
      <c r="K7" s="26" t="s">
        <v>8</v>
      </c>
    </row>
    <row r="8" spans="1:15" s="18" customFormat="1" ht="20.25" customHeight="1" x14ac:dyDescent="0.2">
      <c r="A8" s="32" t="s">
        <v>9</v>
      </c>
      <c r="B8" s="21">
        <v>37</v>
      </c>
      <c r="C8" s="21">
        <v>42</v>
      </c>
      <c r="D8" s="21">
        <v>52</v>
      </c>
      <c r="E8" s="21">
        <v>65</v>
      </c>
      <c r="F8" s="21">
        <v>68</v>
      </c>
      <c r="G8" s="21">
        <v>82</v>
      </c>
      <c r="H8" s="21">
        <v>95</v>
      </c>
      <c r="I8" s="21">
        <v>113</v>
      </c>
      <c r="J8" s="21">
        <v>124</v>
      </c>
      <c r="K8" s="27" t="s">
        <v>10</v>
      </c>
    </row>
    <row r="9" spans="1:15" s="18" customFormat="1" ht="20.25" customHeight="1" x14ac:dyDescent="0.2">
      <c r="A9" s="15" t="s">
        <v>14</v>
      </c>
      <c r="B9" s="6">
        <f t="shared" ref="B9:J9" si="2">SUM(B10:B12)</f>
        <v>100</v>
      </c>
      <c r="C9" s="6">
        <f t="shared" si="2"/>
        <v>99.999999999999986</v>
      </c>
      <c r="D9" s="6">
        <f t="shared" si="2"/>
        <v>100</v>
      </c>
      <c r="E9" s="6">
        <f t="shared" si="2"/>
        <v>100.00000000000001</v>
      </c>
      <c r="F9" s="6">
        <f t="shared" si="2"/>
        <v>100</v>
      </c>
      <c r="G9" s="6">
        <f t="shared" si="2"/>
        <v>100</v>
      </c>
      <c r="H9" s="6">
        <f t="shared" si="2"/>
        <v>100</v>
      </c>
      <c r="I9" s="6">
        <f t="shared" si="2"/>
        <v>100</v>
      </c>
      <c r="J9" s="6">
        <f t="shared" si="2"/>
        <v>100.00000000000001</v>
      </c>
      <c r="K9" s="3" t="s">
        <v>0</v>
      </c>
    </row>
    <row r="10" spans="1:15" s="18" customFormat="1" ht="20.25" customHeight="1" x14ac:dyDescent="0.2">
      <c r="A10" s="30" t="s">
        <v>5</v>
      </c>
      <c r="B10" s="7">
        <f t="shared" ref="B10:J10" si="3">B6/B5*100</f>
        <v>92.147034252297416</v>
      </c>
      <c r="C10" s="7">
        <f t="shared" si="3"/>
        <v>91.153846153846146</v>
      </c>
      <c r="D10" s="7">
        <f t="shared" si="3"/>
        <v>90.91575091575092</v>
      </c>
      <c r="E10" s="9">
        <f t="shared" si="3"/>
        <v>90.572625698324032</v>
      </c>
      <c r="F10" s="9">
        <f t="shared" si="3"/>
        <v>90.779661016949149</v>
      </c>
      <c r="G10" s="9">
        <f t="shared" si="3"/>
        <v>90.239172592113775</v>
      </c>
      <c r="H10" s="9">
        <f t="shared" si="3"/>
        <v>89.963280293757649</v>
      </c>
      <c r="I10" s="9">
        <f t="shared" si="3"/>
        <v>89.516129032258064</v>
      </c>
      <c r="J10" s="9">
        <f t="shared" si="3"/>
        <v>89.249720044792838</v>
      </c>
      <c r="K10" s="26" t="s">
        <v>6</v>
      </c>
    </row>
    <row r="11" spans="1:15" s="18" customFormat="1" ht="20.25" customHeight="1" x14ac:dyDescent="0.2">
      <c r="A11" s="30" t="s">
        <v>7</v>
      </c>
      <c r="B11" s="7">
        <f t="shared" ref="B11:J11" si="4">B7/B5*100</f>
        <v>4.7619047619047619</v>
      </c>
      <c r="C11" s="7">
        <f t="shared" si="4"/>
        <v>5.615384615384615</v>
      </c>
      <c r="D11" s="7">
        <f t="shared" si="4"/>
        <v>5.2747252747252746</v>
      </c>
      <c r="E11" s="9">
        <f t="shared" si="4"/>
        <v>4.8882681564245809</v>
      </c>
      <c r="F11" s="9">
        <f t="shared" si="4"/>
        <v>4.6101694915254239</v>
      </c>
      <c r="G11" s="9">
        <f t="shared" si="4"/>
        <v>4.4602456367162251</v>
      </c>
      <c r="H11" s="9">
        <f t="shared" si="4"/>
        <v>4.222766217870257</v>
      </c>
      <c r="I11" s="9">
        <f t="shared" si="4"/>
        <v>3.9746543778801846</v>
      </c>
      <c r="J11" s="9">
        <f t="shared" si="4"/>
        <v>3.807390817469205</v>
      </c>
      <c r="K11" s="26" t="s">
        <v>8</v>
      </c>
    </row>
    <row r="12" spans="1:15" s="18" customFormat="1" ht="20.25" customHeight="1" x14ac:dyDescent="0.2">
      <c r="A12" s="32" t="s">
        <v>9</v>
      </c>
      <c r="B12" s="8">
        <f t="shared" ref="B12:J12" si="5">B8/B5*100</f>
        <v>3.091060985797828</v>
      </c>
      <c r="C12" s="8">
        <f t="shared" si="5"/>
        <v>3.2307692307692308</v>
      </c>
      <c r="D12" s="8">
        <f t="shared" si="5"/>
        <v>3.8095238095238098</v>
      </c>
      <c r="E12" s="8">
        <f t="shared" si="5"/>
        <v>4.539106145251397</v>
      </c>
      <c r="F12" s="8">
        <f t="shared" si="5"/>
        <v>4.6101694915254239</v>
      </c>
      <c r="G12" s="8">
        <f t="shared" si="5"/>
        <v>5.3005817711700063</v>
      </c>
      <c r="H12" s="8">
        <f t="shared" si="5"/>
        <v>5.8139534883720927</v>
      </c>
      <c r="I12" s="8">
        <f t="shared" si="5"/>
        <v>6.5092165898617509</v>
      </c>
      <c r="J12" s="8">
        <f t="shared" si="5"/>
        <v>6.9428891377379625</v>
      </c>
      <c r="K12" s="28" t="s">
        <v>10</v>
      </c>
    </row>
    <row r="13" spans="1:15" s="18" customFormat="1" ht="20.25" customHeight="1" x14ac:dyDescent="0.2">
      <c r="A13" s="15" t="s">
        <v>1</v>
      </c>
      <c r="B13" s="22">
        <v>5.0921861281826164</v>
      </c>
      <c r="C13" s="22">
        <f t="shared" ref="C13:J16" si="6">(C5-B5)/B5*100</f>
        <v>8.6048454469507103</v>
      </c>
      <c r="D13" s="22">
        <f t="shared" si="6"/>
        <v>5</v>
      </c>
      <c r="E13" s="22">
        <f t="shared" si="6"/>
        <v>4.9084249084249088</v>
      </c>
      <c r="F13" s="22">
        <f t="shared" si="6"/>
        <v>3.0027932960893855</v>
      </c>
      <c r="G13" s="22">
        <f t="shared" si="6"/>
        <v>4.8813559322033901</v>
      </c>
      <c r="H13" s="22">
        <f t="shared" si="6"/>
        <v>5.6237879767291536</v>
      </c>
      <c r="I13" s="22">
        <f t="shared" si="6"/>
        <v>6.2423500611995104</v>
      </c>
      <c r="J13" s="22">
        <f t="shared" si="6"/>
        <v>2.8801843317972349</v>
      </c>
      <c r="K13" s="3" t="s">
        <v>2</v>
      </c>
    </row>
    <row r="14" spans="1:15" s="18" customFormat="1" ht="20.25" customHeight="1" x14ac:dyDescent="0.2">
      <c r="A14" s="30" t="s">
        <v>5</v>
      </c>
      <c r="B14" s="9">
        <v>6.3645130183220839</v>
      </c>
      <c r="C14" s="9">
        <f t="shared" si="6"/>
        <v>7.43427017225748</v>
      </c>
      <c r="D14" s="9">
        <f t="shared" si="6"/>
        <v>4.7257383966244726</v>
      </c>
      <c r="E14" s="9">
        <f t="shared" si="6"/>
        <v>4.5124899274778407</v>
      </c>
      <c r="F14" s="9">
        <f t="shared" si="6"/>
        <v>3.2382420971472627</v>
      </c>
      <c r="G14" s="9">
        <f t="shared" si="6"/>
        <v>4.2569081404032856</v>
      </c>
      <c r="H14" s="9">
        <f t="shared" si="6"/>
        <v>5.3008595988538678</v>
      </c>
      <c r="I14" s="9">
        <f t="shared" si="6"/>
        <v>5.7142857142857144</v>
      </c>
      <c r="J14" s="9">
        <f t="shared" si="6"/>
        <v>2.574002574002574</v>
      </c>
      <c r="K14" s="26" t="s">
        <v>6</v>
      </c>
    </row>
    <row r="15" spans="1:15" s="18" customFormat="1" ht="20.25" customHeight="1" x14ac:dyDescent="0.2">
      <c r="A15" s="30" t="s">
        <v>7</v>
      </c>
      <c r="B15" s="9">
        <v>-16.176470588235293</v>
      </c>
      <c r="C15" s="9">
        <f t="shared" si="6"/>
        <v>28.07017543859649</v>
      </c>
      <c r="D15" s="9">
        <f t="shared" si="6"/>
        <v>-1.3698630136986301</v>
      </c>
      <c r="E15" s="9">
        <f t="shared" si="6"/>
        <v>-2.7777777777777777</v>
      </c>
      <c r="F15" s="9">
        <f t="shared" si="6"/>
        <v>-2.8571428571428572</v>
      </c>
      <c r="G15" s="9">
        <f t="shared" si="6"/>
        <v>1.4705882352941175</v>
      </c>
      <c r="H15" s="9">
        <f t="shared" si="6"/>
        <v>0</v>
      </c>
      <c r="I15" s="9">
        <f t="shared" si="6"/>
        <v>0</v>
      </c>
      <c r="J15" s="9">
        <f t="shared" si="6"/>
        <v>-1.4492753623188406</v>
      </c>
      <c r="K15" s="26" t="s">
        <v>8</v>
      </c>
    </row>
    <row r="16" spans="1:15" s="18" customFormat="1" ht="20.25" customHeight="1" x14ac:dyDescent="0.2">
      <c r="A16" s="31" t="s">
        <v>9</v>
      </c>
      <c r="B16" s="10">
        <v>8.8235294117647065</v>
      </c>
      <c r="C16" s="10">
        <f t="shared" si="6"/>
        <v>13.513513513513514</v>
      </c>
      <c r="D16" s="10">
        <f t="shared" si="6"/>
        <v>23.809523809523807</v>
      </c>
      <c r="E16" s="10">
        <f t="shared" si="6"/>
        <v>25</v>
      </c>
      <c r="F16" s="10">
        <f t="shared" si="6"/>
        <v>4.6153846153846159</v>
      </c>
      <c r="G16" s="10">
        <f t="shared" si="6"/>
        <v>20.588235294117645</v>
      </c>
      <c r="H16" s="10">
        <f t="shared" si="6"/>
        <v>15.853658536585366</v>
      </c>
      <c r="I16" s="10">
        <f t="shared" si="6"/>
        <v>18.947368421052634</v>
      </c>
      <c r="J16" s="10">
        <f t="shared" si="6"/>
        <v>9.7345132743362832</v>
      </c>
      <c r="K16" s="29" t="s">
        <v>10</v>
      </c>
    </row>
    <row r="17" spans="1:11" s="18" customFormat="1" ht="20.25" customHeight="1" x14ac:dyDescent="0.45">
      <c r="A17" s="23" t="s">
        <v>12</v>
      </c>
      <c r="B17" s="5"/>
      <c r="C17" s="5"/>
      <c r="D17" s="24"/>
      <c r="E17" s="24"/>
      <c r="F17" s="24"/>
      <c r="G17" s="24"/>
      <c r="H17" s="24"/>
      <c r="I17" s="24"/>
      <c r="J17" s="24"/>
      <c r="K17" s="25" t="s">
        <v>11</v>
      </c>
    </row>
    <row r="19" spans="1:11" x14ac:dyDescent="0.2">
      <c r="B19" s="14"/>
      <c r="C19" s="14"/>
      <c r="D19" s="14"/>
      <c r="E19" s="14"/>
      <c r="F19" s="14"/>
      <c r="G19" s="14"/>
      <c r="H19" s="14"/>
      <c r="I19" s="14"/>
      <c r="J19" s="14"/>
    </row>
    <row r="20" spans="1:11" x14ac:dyDescent="0.2">
      <c r="B20" s="14"/>
      <c r="C20" s="14"/>
      <c r="D20" s="14"/>
      <c r="E20" s="14"/>
      <c r="F20" s="14"/>
      <c r="G20" s="14"/>
      <c r="H20" s="14"/>
      <c r="I20" s="14"/>
      <c r="J20" s="14"/>
    </row>
    <row r="21" spans="1:11" x14ac:dyDescent="0.2">
      <c r="B21" s="14"/>
      <c r="C21" s="14"/>
      <c r="D21" s="14"/>
      <c r="E21" s="14"/>
      <c r="F21" s="14"/>
      <c r="G21" s="14"/>
      <c r="H21" s="14"/>
      <c r="I21" s="14"/>
      <c r="J21" s="14"/>
    </row>
    <row r="22" spans="1:11" x14ac:dyDescent="0.2">
      <c r="B22" s="14"/>
      <c r="C22" s="14"/>
      <c r="D22" s="14"/>
      <c r="E22" s="14"/>
      <c r="F22" s="14"/>
      <c r="G22" s="14"/>
      <c r="H22" s="14"/>
      <c r="I22" s="14"/>
      <c r="J22" s="14"/>
    </row>
    <row r="23" spans="1:11" x14ac:dyDescent="0.2">
      <c r="B23" s="14"/>
      <c r="C23" s="14"/>
      <c r="D23" s="14"/>
      <c r="E23" s="14"/>
      <c r="F23" s="14"/>
      <c r="G23" s="14"/>
      <c r="H23" s="14"/>
      <c r="I23" s="14"/>
      <c r="J23" s="14"/>
    </row>
  </sheetData>
  <mergeCells count="2">
    <mergeCell ref="A1:K1"/>
    <mergeCell ref="A2:K2"/>
  </mergeCells>
  <pageMargins left="0.7" right="0.7" top="0.75" bottom="0.75" header="0.3" footer="0.3"/>
  <pageSetup paperSize="9" scale="53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12.13</vt:lpstr>
      <vt:lpstr>'12.13'!Print_Area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2019-05-22T06:41:11Z</cp:lastPrinted>
  <dcterms:created xsi:type="dcterms:W3CDTF">2019-05-21T05:57:01Z</dcterms:created>
  <dcterms:modified xsi:type="dcterms:W3CDTF">2019-05-28T06:02:46Z</dcterms:modified>
</cp:coreProperties>
</file>