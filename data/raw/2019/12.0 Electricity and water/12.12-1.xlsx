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2.  ELECTRICITY and  WATER\"/>
    </mc:Choice>
  </mc:AlternateContent>
  <bookViews>
    <workbookView xWindow="0" yWindow="0" windowWidth="28800" windowHeight="12330"/>
  </bookViews>
  <sheets>
    <sheet name="12.12" sheetId="12" r:id="rId1"/>
  </sheets>
  <externalReferences>
    <externalReference r:id="rId2"/>
  </externalReferences>
  <definedNames>
    <definedName name="Male">'[1]Entry2015 (for male region)'!$A$8:$AAA$67</definedName>
    <definedName name="_xlnm.Print_Area" localSheetId="0">'12.12'!$A$1:$K$22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2" l="1"/>
  <c r="F19" i="12" l="1"/>
  <c r="E19" i="12"/>
  <c r="D19" i="12"/>
  <c r="C19" i="12"/>
  <c r="I18" i="12"/>
  <c r="H18" i="12"/>
  <c r="G18" i="12"/>
  <c r="F18" i="12"/>
  <c r="E18" i="12"/>
  <c r="D18" i="12"/>
  <c r="C18" i="12"/>
  <c r="J17" i="12"/>
  <c r="I17" i="12"/>
  <c r="H17" i="12"/>
  <c r="G17" i="12"/>
  <c r="F17" i="12"/>
  <c r="E17" i="12"/>
  <c r="D17" i="12"/>
  <c r="C17" i="12"/>
  <c r="J16" i="12"/>
  <c r="I16" i="12"/>
  <c r="H16" i="12"/>
  <c r="G16" i="12"/>
  <c r="F16" i="12"/>
  <c r="E16" i="12"/>
  <c r="H14" i="12"/>
  <c r="E13" i="12"/>
  <c r="H12" i="12"/>
  <c r="H11" i="12"/>
  <c r="J5" i="12"/>
  <c r="J14" i="12" s="1"/>
  <c r="I5" i="12"/>
  <c r="I14" i="12" s="1"/>
  <c r="H5" i="12"/>
  <c r="H13" i="12" s="1"/>
  <c r="G5" i="12"/>
  <c r="G12" i="12" s="1"/>
  <c r="F5" i="12"/>
  <c r="E5" i="12"/>
  <c r="D5" i="12"/>
  <c r="D13" i="12" s="1"/>
  <c r="C5" i="12"/>
  <c r="B5" i="12"/>
  <c r="B11" i="12" s="1"/>
  <c r="D14" i="12" l="1"/>
  <c r="C16" i="12"/>
  <c r="E15" i="12"/>
  <c r="G15" i="12"/>
  <c r="J13" i="12"/>
  <c r="J11" i="12"/>
  <c r="J10" i="12" s="1"/>
  <c r="B14" i="12"/>
  <c r="B12" i="12"/>
  <c r="B10" i="12" s="1"/>
  <c r="F15" i="12"/>
  <c r="J12" i="12"/>
  <c r="D16" i="12"/>
  <c r="C11" i="12"/>
  <c r="D12" i="12"/>
  <c r="B13" i="12"/>
  <c r="H10" i="12"/>
  <c r="D11" i="12"/>
  <c r="I12" i="12"/>
  <c r="F13" i="12"/>
  <c r="C14" i="12"/>
  <c r="H15" i="12"/>
  <c r="E11" i="12"/>
  <c r="E10" i="12" s="1"/>
  <c r="G13" i="12"/>
  <c r="I15" i="12"/>
  <c r="F11" i="12"/>
  <c r="C12" i="12"/>
  <c r="E14" i="12"/>
  <c r="J15" i="12"/>
  <c r="G11" i="12"/>
  <c r="I13" i="12"/>
  <c r="F14" i="12"/>
  <c r="C15" i="12"/>
  <c r="E12" i="12"/>
  <c r="G14" i="12"/>
  <c r="D15" i="12"/>
  <c r="I11" i="12"/>
  <c r="F12" i="12"/>
  <c r="C13" i="12"/>
  <c r="G10" i="12" l="1"/>
  <c r="C10" i="12"/>
  <c r="D10" i="12"/>
  <c r="I10" i="12"/>
  <c r="F10" i="12"/>
</calcChain>
</file>

<file path=xl/sharedStrings.xml><?xml version="1.0" encoding="utf-8"?>
<sst xmlns="http://schemas.openxmlformats.org/spreadsheetml/2006/main" count="36" uniqueCount="20">
  <si>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</si>
  <si>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</si>
  <si>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</si>
  <si>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</si>
  <si>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</si>
  <si>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</si>
  <si>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</si>
  <si>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</si>
  <si>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</si>
  <si>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</si>
  <si>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</si>
  <si>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</si>
  <si>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</si>
  <si>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cDeTimil Inepcmok cjErevcs cDcnea rwTOv ElWm :ctWrwf ivcaedutWmUluawm</t>
  </si>
  <si>
    <t>Source: Male' Water &amp; Sewerage Company Private Limited</t>
  </si>
  <si>
    <t xml:space="preserve">Total ( number ) </t>
  </si>
  <si>
    <t>% share</t>
  </si>
  <si>
    <t>Table 12.12 : NUMBER OF CUSTOMERS USING WATER IN MALE' BY TYPE, 2010 - 2018</t>
  </si>
  <si>
    <t>ތާވަލު 12.12: ތަނުގެ ގޮތުން މާލޭގައި ފެން ބޭނުންކުރާ ފަރާތްތަކުގެ އަދަދު، 2010 - 2018</t>
  </si>
  <si>
    <t xml:space="preserve"> wlcmuj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</si>
</sst>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Faruma"/>
    </font>
    <font>
      <b/>
      <sz val="10"/>
      <color theme="1"/>
      <name val="A_Faseyh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_Randhoo"/>
    </font>
    <font>
      <sz val="10"/>
      <name val="Garamond"/>
      <family val="1"/>
    </font>
    <font>
      <sz val="10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2" fillId="0" borderId="0"/>
  </cellStyleXfs>
  <cellXfs count="32">
    <xf numFmtId="0" fontId="0" fillId="0" borderId="0" xfId="0"/>
    <xf numFmtId="0" fontId="3" fillId="2" borderId="0" xfId="2" applyFont="1" applyFill="1"/>
    <xf numFmtId="0" fontId="5" fillId="2" borderId="0" xfId="4" applyFont="1" applyFill="1"/>
    <xf numFmtId="0" fontId="3" fillId="2" borderId="0" xfId="2" applyFont="1" applyFill="1" applyBorder="1"/>
    <xf numFmtId="0" fontId="9" fillId="2" borderId="2" xfId="2" applyFont="1" applyFill="1" applyBorder="1" applyAlignment="1">
      <alignment vertical="center"/>
    </xf>
    <xf numFmtId="0" fontId="10" fillId="2" borderId="0" xfId="2" applyFont="1" applyFill="1" applyBorder="1"/>
    <xf numFmtId="0" fontId="2" fillId="2" borderId="1" xfId="2" applyFont="1" applyFill="1" applyBorder="1" applyAlignment="1">
      <alignment horizontal="center"/>
    </xf>
    <xf numFmtId="0" fontId="2" fillId="2" borderId="0" xfId="2" applyFont="1" applyFill="1" applyBorder="1" applyAlignment="1">
      <alignment horizontal="center"/>
    </xf>
    <xf numFmtId="0" fontId="8" fillId="2" borderId="2" xfId="0" applyFont="1" applyFill="1" applyBorder="1" applyAlignment="1">
      <alignment horizontal="right" vertical="center"/>
    </xf>
    <xf numFmtId="0" fontId="10" fillId="2" borderId="0" xfId="2" applyFont="1" applyFill="1"/>
    <xf numFmtId="0" fontId="9" fillId="2" borderId="0" xfId="2" applyFont="1" applyFill="1"/>
    <xf numFmtId="3" fontId="9" fillId="2" borderId="0" xfId="2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right"/>
    </xf>
    <xf numFmtId="3" fontId="10" fillId="2" borderId="0" xfId="2" applyNumberFormat="1" applyFont="1" applyFill="1" applyAlignment="1">
      <alignment horizontal="right" vertical="center"/>
    </xf>
    <xf numFmtId="0" fontId="13" fillId="2" borderId="0" xfId="0" applyFont="1" applyFill="1" applyAlignment="1">
      <alignment horizontal="right"/>
    </xf>
    <xf numFmtId="0" fontId="10" fillId="2" borderId="4" xfId="2" applyFont="1" applyFill="1" applyBorder="1"/>
    <xf numFmtId="3" fontId="10" fillId="2" borderId="4" xfId="2" applyNumberFormat="1" applyFont="1" applyFill="1" applyBorder="1" applyAlignment="1">
      <alignment horizontal="right" vertical="center"/>
    </xf>
    <xf numFmtId="0" fontId="13" fillId="2" borderId="3" xfId="0" applyFont="1" applyFill="1" applyBorder="1" applyAlignment="1">
      <alignment horizontal="right"/>
    </xf>
    <xf numFmtId="0" fontId="9" fillId="2" borderId="0" xfId="2" applyFont="1" applyFill="1" applyBorder="1"/>
    <xf numFmtId="0" fontId="8" fillId="2" borderId="0" xfId="0" applyFont="1" applyFill="1" applyAlignment="1">
      <alignment horizontal="right" vertical="center"/>
    </xf>
    <xf numFmtId="0" fontId="9" fillId="2" borderId="0" xfId="2" applyFont="1" applyFill="1" applyBorder="1" applyAlignment="1" applyProtection="1">
      <alignment horizontal="left" vertical="center"/>
    </xf>
    <xf numFmtId="3" fontId="10" fillId="2" borderId="0" xfId="2" applyNumberFormat="1" applyFont="1" applyFill="1" applyBorder="1" applyAlignment="1">
      <alignment horizontal="right" vertical="center"/>
    </xf>
    <xf numFmtId="0" fontId="10" fillId="2" borderId="1" xfId="2" applyFont="1" applyFill="1" applyBorder="1"/>
    <xf numFmtId="3" fontId="10" fillId="2" borderId="1" xfId="2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/>
    </xf>
    <xf numFmtId="0" fontId="4" fillId="2" borderId="0" xfId="4" applyFont="1" applyFill="1" applyAlignment="1">
      <alignment horizontal="right"/>
    </xf>
    <xf numFmtId="165" fontId="3" fillId="2" borderId="0" xfId="2" applyNumberFormat="1" applyFont="1" applyFill="1"/>
    <xf numFmtId="0" fontId="6" fillId="2" borderId="0" xfId="4" applyFont="1" applyFill="1" applyAlignment="1">
      <alignment horizontal="right"/>
    </xf>
    <xf numFmtId="0" fontId="6" fillId="2" borderId="0" xfId="2" applyFont="1" applyFill="1"/>
    <xf numFmtId="0" fontId="7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9" fillId="2" borderId="0" xfId="2" applyFont="1" applyFill="1" applyBorder="1" applyAlignment="1">
      <alignment horizontal="center" vertical="center"/>
    </xf>
  </cellXfs>
  <cellStyles count="5">
    <cellStyle name="Comma 2" xfId="1"/>
    <cellStyle name="Comma 4" xfId="3"/>
    <cellStyle name="Normal" xfId="0" builtinId="0"/>
    <cellStyle name="Normal 2" xfId="2"/>
    <cellStyle name="Normal_X-5 (Electricity)" xfId="4"/>
  </cellStyles>
  <dxfs count="0"/>
  <tableStyles count="0" defaultTableStyle="TableStyleMedium2" defaultPivotStyle="PivotStyleLight16"/>
  <colors>
    <mruColors>
      <color rgb="FFFFFAEB"/>
      <color rgb="FFFF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zoomScaleNormal="100" workbookViewId="0">
      <selection activeCell="M9" sqref="M9"/>
    </sheetView>
  </sheetViews>
  <sheetFormatPr defaultColWidth="21.5703125" defaultRowHeight="12.75" x14ac:dyDescent="0.2"/>
  <cols>
    <col min="1" max="1" width="26.42578125" style="1" customWidth="1"/>
    <col min="2" max="10" width="10.28515625" style="1" customWidth="1"/>
    <col min="11" max="11" width="31.140625" style="1" customWidth="1"/>
    <col min="12" max="16384" width="21.5703125" style="1"/>
  </cols>
  <sheetData>
    <row r="1" spans="1:11" ht="21" x14ac:dyDescent="0.2">
      <c r="A1" s="29" t="s">
        <v>18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17.25" customHeight="1" x14ac:dyDescent="0.2">
      <c r="A2" s="31" t="s">
        <v>17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s="3" customFormat="1" x14ac:dyDescent="0.2">
      <c r="A3" s="6"/>
      <c r="B3" s="7"/>
      <c r="C3" s="7"/>
      <c r="D3" s="7"/>
      <c r="E3" s="7"/>
      <c r="F3" s="7"/>
      <c r="G3" s="7"/>
      <c r="H3" s="7"/>
      <c r="I3" s="7"/>
      <c r="J3" s="7"/>
    </row>
    <row r="4" spans="1:11" s="9" customFormat="1" ht="15.75" x14ac:dyDescent="0.25">
      <c r="A4" s="4" t="s">
        <v>4</v>
      </c>
      <c r="B4" s="4">
        <v>2010</v>
      </c>
      <c r="C4" s="4">
        <v>2011</v>
      </c>
      <c r="D4" s="4">
        <v>2012</v>
      </c>
      <c r="E4" s="4">
        <v>2013</v>
      </c>
      <c r="F4" s="4">
        <v>2014</v>
      </c>
      <c r="G4" s="4">
        <v>2015</v>
      </c>
      <c r="H4" s="4">
        <v>2016</v>
      </c>
      <c r="I4" s="4">
        <v>2017</v>
      </c>
      <c r="J4" s="4">
        <v>2018</v>
      </c>
      <c r="K4" s="8" t="s">
        <v>3</v>
      </c>
    </row>
    <row r="5" spans="1:11" s="9" customFormat="1" ht="17.25" x14ac:dyDescent="0.4">
      <c r="A5" s="10" t="s">
        <v>15</v>
      </c>
      <c r="B5" s="11">
        <f t="shared" ref="B5:I5" si="0">SUM(B6:B9)</f>
        <v>24965</v>
      </c>
      <c r="C5" s="11">
        <f t="shared" si="0"/>
        <v>26527</v>
      </c>
      <c r="D5" s="11">
        <f t="shared" si="0"/>
        <v>27867</v>
      </c>
      <c r="E5" s="11">
        <f t="shared" si="0"/>
        <v>29287</v>
      </c>
      <c r="F5" s="11">
        <f t="shared" si="0"/>
        <v>30918</v>
      </c>
      <c r="G5" s="11">
        <f t="shared" si="0"/>
        <v>32272</v>
      </c>
      <c r="H5" s="11">
        <f t="shared" si="0"/>
        <v>33349</v>
      </c>
      <c r="I5" s="11">
        <f t="shared" si="0"/>
        <v>35117</v>
      </c>
      <c r="J5" s="11">
        <f t="shared" ref="J5" si="1">SUM(J6:J9)</f>
        <v>36522</v>
      </c>
      <c r="K5" s="12" t="s">
        <v>19</v>
      </c>
    </row>
    <row r="6" spans="1:11" s="9" customFormat="1" ht="17.25" x14ac:dyDescent="0.4">
      <c r="A6" s="9" t="s">
        <v>5</v>
      </c>
      <c r="B6" s="13">
        <v>22389</v>
      </c>
      <c r="C6" s="13">
        <v>23755</v>
      </c>
      <c r="D6" s="13">
        <v>24955</v>
      </c>
      <c r="E6" s="13">
        <v>26121</v>
      </c>
      <c r="F6" s="13">
        <v>27536</v>
      </c>
      <c r="G6" s="13">
        <v>28660</v>
      </c>
      <c r="H6" s="13">
        <v>29551</v>
      </c>
      <c r="I6" s="13">
        <v>30921</v>
      </c>
      <c r="J6" s="13">
        <v>31773</v>
      </c>
      <c r="K6" s="14" t="s">
        <v>6</v>
      </c>
    </row>
    <row r="7" spans="1:11" s="9" customFormat="1" ht="17.25" x14ac:dyDescent="0.4">
      <c r="A7" s="9" t="s">
        <v>7</v>
      </c>
      <c r="B7" s="13">
        <v>544</v>
      </c>
      <c r="C7" s="13">
        <v>553</v>
      </c>
      <c r="D7" s="13">
        <v>559</v>
      </c>
      <c r="E7" s="13">
        <v>579</v>
      </c>
      <c r="F7" s="13">
        <v>580</v>
      </c>
      <c r="G7" s="13">
        <v>614</v>
      </c>
      <c r="H7" s="13">
        <v>633</v>
      </c>
      <c r="I7" s="13">
        <v>643</v>
      </c>
      <c r="J7" s="13">
        <v>644</v>
      </c>
      <c r="K7" s="14" t="s">
        <v>8</v>
      </c>
    </row>
    <row r="8" spans="1:11" s="9" customFormat="1" ht="17.25" x14ac:dyDescent="0.4">
      <c r="A8" s="9" t="s">
        <v>9</v>
      </c>
      <c r="B8" s="13">
        <v>2027</v>
      </c>
      <c r="C8" s="13">
        <v>2214</v>
      </c>
      <c r="D8" s="13">
        <v>2351</v>
      </c>
      <c r="E8" s="13">
        <v>2585</v>
      </c>
      <c r="F8" s="13">
        <v>2802</v>
      </c>
      <c r="G8" s="13">
        <v>2997</v>
      </c>
      <c r="H8" s="13">
        <v>3165</v>
      </c>
      <c r="I8" s="13">
        <v>3553</v>
      </c>
      <c r="J8" s="13">
        <v>4105</v>
      </c>
      <c r="K8" s="14" t="s">
        <v>10</v>
      </c>
    </row>
    <row r="9" spans="1:11" s="9" customFormat="1" ht="17.25" x14ac:dyDescent="0.4">
      <c r="A9" s="15" t="s">
        <v>11</v>
      </c>
      <c r="B9" s="16">
        <v>5</v>
      </c>
      <c r="C9" s="16">
        <v>5</v>
      </c>
      <c r="D9" s="16">
        <v>2</v>
      </c>
      <c r="E9" s="16">
        <v>2</v>
      </c>
      <c r="F9" s="16">
        <v>0</v>
      </c>
      <c r="G9" s="16">
        <v>1</v>
      </c>
      <c r="H9" s="16">
        <v>0</v>
      </c>
      <c r="I9" s="16">
        <v>0</v>
      </c>
      <c r="J9" s="16">
        <v>0</v>
      </c>
      <c r="K9" s="17" t="s">
        <v>12</v>
      </c>
    </row>
    <row r="10" spans="1:11" s="9" customFormat="1" ht="15.75" x14ac:dyDescent="0.25">
      <c r="A10" s="18" t="s">
        <v>16</v>
      </c>
      <c r="B10" s="11">
        <f t="shared" ref="B10:J10" si="2">SUM(B11:B14)</f>
        <v>100</v>
      </c>
      <c r="C10" s="11">
        <f t="shared" si="2"/>
        <v>100</v>
      </c>
      <c r="D10" s="11">
        <f t="shared" si="2"/>
        <v>100</v>
      </c>
      <c r="E10" s="11">
        <f t="shared" si="2"/>
        <v>100.00000000000001</v>
      </c>
      <c r="F10" s="11">
        <f t="shared" si="2"/>
        <v>100</v>
      </c>
      <c r="G10" s="11">
        <f t="shared" si="2"/>
        <v>100</v>
      </c>
      <c r="H10" s="11">
        <f t="shared" si="2"/>
        <v>100</v>
      </c>
      <c r="I10" s="11">
        <f t="shared" si="2"/>
        <v>100</v>
      </c>
      <c r="J10" s="11">
        <f t="shared" si="2"/>
        <v>100</v>
      </c>
      <c r="K10" s="19" t="s">
        <v>0</v>
      </c>
    </row>
    <row r="11" spans="1:11" s="9" customFormat="1" ht="17.25" x14ac:dyDescent="0.4">
      <c r="A11" s="9" t="s">
        <v>5</v>
      </c>
      <c r="B11" s="13">
        <f t="shared" ref="B11:I11" si="3">B6/B5*100</f>
        <v>89.681554175846188</v>
      </c>
      <c r="C11" s="13">
        <f t="shared" si="3"/>
        <v>89.550269536698451</v>
      </c>
      <c r="D11" s="13">
        <f t="shared" si="3"/>
        <v>89.550364230092939</v>
      </c>
      <c r="E11" s="13">
        <f t="shared" si="3"/>
        <v>89.189742889336571</v>
      </c>
      <c r="F11" s="13">
        <f t="shared" si="3"/>
        <v>89.061388188110485</v>
      </c>
      <c r="G11" s="13">
        <f t="shared" si="3"/>
        <v>88.807635101636095</v>
      </c>
      <c r="H11" s="13">
        <f t="shared" si="3"/>
        <v>88.611352664247804</v>
      </c>
      <c r="I11" s="13">
        <f t="shared" si="3"/>
        <v>88.051371130791352</v>
      </c>
      <c r="J11" s="13">
        <f>J6/J5*100</f>
        <v>86.996878593724333</v>
      </c>
      <c r="K11" s="14" t="s">
        <v>6</v>
      </c>
    </row>
    <row r="12" spans="1:11" s="9" customFormat="1" ht="17.25" x14ac:dyDescent="0.4">
      <c r="A12" s="9" t="s">
        <v>7</v>
      </c>
      <c r="B12" s="13">
        <f t="shared" ref="B12:J12" si="4">B7/B5*100</f>
        <v>2.1790506709393149</v>
      </c>
      <c r="C12" s="13">
        <f t="shared" si="4"/>
        <v>2.0846684510121762</v>
      </c>
      <c r="D12" s="13">
        <f t="shared" si="4"/>
        <v>2.0059568665446585</v>
      </c>
      <c r="E12" s="13">
        <f t="shared" si="4"/>
        <v>1.9769863762078739</v>
      </c>
      <c r="F12" s="13">
        <f t="shared" si="4"/>
        <v>1.8759298790348666</v>
      </c>
      <c r="G12" s="13">
        <f t="shared" si="4"/>
        <v>1.902578086266733</v>
      </c>
      <c r="H12" s="13">
        <f t="shared" si="4"/>
        <v>1.8981078892920327</v>
      </c>
      <c r="I12" s="13">
        <f t="shared" si="4"/>
        <v>1.8310220121308767</v>
      </c>
      <c r="J12" s="13">
        <f t="shared" si="4"/>
        <v>1.7633207381852034</v>
      </c>
      <c r="K12" s="14" t="s">
        <v>8</v>
      </c>
    </row>
    <row r="13" spans="1:11" s="9" customFormat="1" ht="17.25" x14ac:dyDescent="0.4">
      <c r="A13" s="9" t="s">
        <v>9</v>
      </c>
      <c r="B13" s="13">
        <f t="shared" ref="B13:I13" si="5">B8/B5*100</f>
        <v>8.1193671139595427</v>
      </c>
      <c r="C13" s="13">
        <f t="shared" si="5"/>
        <v>8.346213292117465</v>
      </c>
      <c r="D13" s="13">
        <f t="shared" si="5"/>
        <v>8.4365019557182332</v>
      </c>
      <c r="E13" s="13">
        <f t="shared" si="5"/>
        <v>8.82644176597125</v>
      </c>
      <c r="F13" s="13">
        <f t="shared" si="5"/>
        <v>9.0626819328546482</v>
      </c>
      <c r="G13" s="13">
        <f t="shared" si="5"/>
        <v>9.2866881507188896</v>
      </c>
      <c r="H13" s="13">
        <f t="shared" si="5"/>
        <v>9.4905394464601631</v>
      </c>
      <c r="I13" s="13">
        <f t="shared" si="5"/>
        <v>10.117606857077769</v>
      </c>
      <c r="J13" s="13">
        <f>J8/J5*100</f>
        <v>11.239800668090465</v>
      </c>
      <c r="K13" s="14" t="s">
        <v>10</v>
      </c>
    </row>
    <row r="14" spans="1:11" s="9" customFormat="1" ht="17.25" x14ac:dyDescent="0.4">
      <c r="A14" s="15" t="s">
        <v>11</v>
      </c>
      <c r="B14" s="16">
        <f t="shared" ref="B14:J14" si="6">B9/B5*100</f>
        <v>2.0028039254956942E-2</v>
      </c>
      <c r="C14" s="16">
        <f t="shared" si="6"/>
        <v>1.8848720171900327E-2</v>
      </c>
      <c r="D14" s="16">
        <f t="shared" si="6"/>
        <v>7.1769476441669354E-3</v>
      </c>
      <c r="E14" s="16">
        <f t="shared" si="6"/>
        <v>6.8289684843104454E-3</v>
      </c>
      <c r="F14" s="16">
        <f t="shared" si="6"/>
        <v>0</v>
      </c>
      <c r="G14" s="16">
        <f t="shared" si="6"/>
        <v>3.0986613782845807E-3</v>
      </c>
      <c r="H14" s="16">
        <f t="shared" si="6"/>
        <v>0</v>
      </c>
      <c r="I14" s="16">
        <f t="shared" si="6"/>
        <v>0</v>
      </c>
      <c r="J14" s="16">
        <f t="shared" si="6"/>
        <v>0</v>
      </c>
      <c r="K14" s="17" t="s">
        <v>12</v>
      </c>
    </row>
    <row r="15" spans="1:11" s="9" customFormat="1" ht="15.75" x14ac:dyDescent="0.25">
      <c r="A15" s="20" t="s">
        <v>1</v>
      </c>
      <c r="B15" s="11">
        <v>1.8439195528903032</v>
      </c>
      <c r="C15" s="11">
        <f t="shared" ref="C15:J19" si="7">(C5-B5)/B5*100</f>
        <v>6.2567594632485486</v>
      </c>
      <c r="D15" s="11">
        <f t="shared" si="7"/>
        <v>5.0514570060692874</v>
      </c>
      <c r="E15" s="11">
        <f t="shared" si="7"/>
        <v>5.095632827358525</v>
      </c>
      <c r="F15" s="11">
        <f t="shared" si="7"/>
        <v>5.5690237989551683</v>
      </c>
      <c r="G15" s="11">
        <f t="shared" si="7"/>
        <v>4.3793259589882911</v>
      </c>
      <c r="H15" s="11">
        <f t="shared" si="7"/>
        <v>3.3372583044124937</v>
      </c>
      <c r="I15" s="11">
        <f t="shared" si="7"/>
        <v>5.3015082911031817</v>
      </c>
      <c r="J15" s="11">
        <f t="shared" si="7"/>
        <v>4.0009112395705779</v>
      </c>
      <c r="K15" s="19" t="s">
        <v>2</v>
      </c>
    </row>
    <row r="16" spans="1:11" s="9" customFormat="1" ht="17.25" x14ac:dyDescent="0.4">
      <c r="A16" s="9" t="s">
        <v>5</v>
      </c>
      <c r="B16" s="13">
        <v>1.8439195528903032</v>
      </c>
      <c r="C16" s="13">
        <f>(C5-B5)/B5*100</f>
        <v>6.2567594632485486</v>
      </c>
      <c r="D16" s="13">
        <f>(D5-C5)/C5*100</f>
        <v>5.0514570060692874</v>
      </c>
      <c r="E16" s="13">
        <f t="shared" si="7"/>
        <v>4.6724103386094971</v>
      </c>
      <c r="F16" s="13">
        <f t="shared" si="7"/>
        <v>5.417097354618889</v>
      </c>
      <c r="G16" s="13">
        <f t="shared" si="7"/>
        <v>4.0819291109819869</v>
      </c>
      <c r="H16" s="13">
        <f t="shared" si="7"/>
        <v>3.1088625261688767</v>
      </c>
      <c r="I16" s="13">
        <f t="shared" si="7"/>
        <v>4.6360529254509153</v>
      </c>
      <c r="J16" s="13">
        <f t="shared" si="7"/>
        <v>2.7554089453769284</v>
      </c>
      <c r="K16" s="14" t="s">
        <v>6</v>
      </c>
    </row>
    <row r="17" spans="1:11" s="9" customFormat="1" ht="17.25" x14ac:dyDescent="0.4">
      <c r="A17" s="9" t="s">
        <v>7</v>
      </c>
      <c r="B17" s="13">
        <v>0.18416206261510129</v>
      </c>
      <c r="C17" s="13">
        <f t="shared" si="7"/>
        <v>1.6544117647058825</v>
      </c>
      <c r="D17" s="13">
        <f t="shared" si="7"/>
        <v>1.0849909584086799</v>
      </c>
      <c r="E17" s="13">
        <f t="shared" si="7"/>
        <v>3.5778175313059033</v>
      </c>
      <c r="F17" s="13">
        <f t="shared" si="7"/>
        <v>0.17271157167530224</v>
      </c>
      <c r="G17" s="13">
        <f t="shared" si="7"/>
        <v>5.8620689655172411</v>
      </c>
      <c r="H17" s="13">
        <f t="shared" si="7"/>
        <v>3.0944625407166124</v>
      </c>
      <c r="I17" s="13">
        <f t="shared" si="7"/>
        <v>1.5797788309636649</v>
      </c>
      <c r="J17" s="13">
        <f t="shared" si="7"/>
        <v>0.15552099533437014</v>
      </c>
      <c r="K17" s="14" t="s">
        <v>8</v>
      </c>
    </row>
    <row r="18" spans="1:11" s="9" customFormat="1" ht="17.25" x14ac:dyDescent="0.4">
      <c r="A18" s="5" t="s">
        <v>9</v>
      </c>
      <c r="B18" s="21">
        <v>10.946907498631637</v>
      </c>
      <c r="C18" s="21">
        <f t="shared" si="7"/>
        <v>9.2254563394178586</v>
      </c>
      <c r="D18" s="21">
        <f t="shared" si="7"/>
        <v>6.187895212285456</v>
      </c>
      <c r="E18" s="13">
        <f t="shared" si="7"/>
        <v>9.9532113994045091</v>
      </c>
      <c r="F18" s="13">
        <f t="shared" si="7"/>
        <v>8.3945841392649907</v>
      </c>
      <c r="G18" s="13">
        <f t="shared" si="7"/>
        <v>6.9593147751605997</v>
      </c>
      <c r="H18" s="13">
        <f t="shared" si="7"/>
        <v>5.6056056056056054</v>
      </c>
      <c r="I18" s="13">
        <f t="shared" si="7"/>
        <v>12.259083728278041</v>
      </c>
      <c r="J18" s="13">
        <f>(J8-I8)/I8*100</f>
        <v>15.536166619757951</v>
      </c>
      <c r="K18" s="14" t="s">
        <v>10</v>
      </c>
    </row>
    <row r="19" spans="1:11" s="9" customFormat="1" ht="17.25" x14ac:dyDescent="0.4">
      <c r="A19" s="22" t="s">
        <v>11</v>
      </c>
      <c r="B19" s="23">
        <v>-61.53846153846154</v>
      </c>
      <c r="C19" s="23">
        <f t="shared" ref="C19" si="8">((C9/B9)-1)*100</f>
        <v>0</v>
      </c>
      <c r="D19" s="23">
        <f>((D9/C9)-1)*100</f>
        <v>-60</v>
      </c>
      <c r="E19" s="23">
        <f t="shared" si="7"/>
        <v>0</v>
      </c>
      <c r="F19" s="23">
        <f>(F9-E9)/E9*100</f>
        <v>-100</v>
      </c>
      <c r="G19" s="23">
        <v>0</v>
      </c>
      <c r="H19" s="23">
        <v>0</v>
      </c>
      <c r="I19" s="23">
        <v>0</v>
      </c>
      <c r="J19" s="23">
        <v>0</v>
      </c>
      <c r="K19" s="24" t="s">
        <v>12</v>
      </c>
    </row>
    <row r="20" spans="1:11" ht="15.75" x14ac:dyDescent="0.4">
      <c r="A20" s="2" t="s">
        <v>14</v>
      </c>
      <c r="K20" s="25" t="s">
        <v>13</v>
      </c>
    </row>
    <row r="21" spans="1:11" x14ac:dyDescent="0.2">
      <c r="B21" s="26"/>
      <c r="C21" s="26"/>
      <c r="D21" s="26"/>
      <c r="E21" s="26"/>
      <c r="F21" s="26"/>
      <c r="G21" s="26"/>
      <c r="H21" s="26"/>
      <c r="I21" s="26"/>
      <c r="J21" s="26"/>
    </row>
    <row r="22" spans="1:11" x14ac:dyDescent="0.2">
      <c r="B22" s="26"/>
      <c r="C22" s="26"/>
      <c r="D22" s="26"/>
      <c r="E22" s="26"/>
      <c r="F22" s="26"/>
      <c r="G22" s="26"/>
      <c r="H22" s="26"/>
      <c r="I22" s="26"/>
      <c r="J22" s="26"/>
    </row>
    <row r="23" spans="1:11" x14ac:dyDescent="0.2">
      <c r="B23" s="26"/>
      <c r="C23" s="26"/>
      <c r="D23" s="26"/>
      <c r="E23" s="26"/>
      <c r="F23" s="26"/>
      <c r="G23" s="26"/>
      <c r="H23" s="26"/>
      <c r="I23" s="26"/>
      <c r="J23" s="26"/>
    </row>
    <row r="24" spans="1:11" x14ac:dyDescent="0.2">
      <c r="B24" s="26"/>
      <c r="C24" s="26"/>
      <c r="D24" s="26"/>
      <c r="E24" s="26"/>
      <c r="F24" s="26"/>
      <c r="G24" s="26"/>
      <c r="H24" s="26"/>
      <c r="I24" s="26"/>
      <c r="J24" s="26"/>
    </row>
    <row r="25" spans="1:11" x14ac:dyDescent="0.2">
      <c r="B25" s="26"/>
      <c r="C25" s="26"/>
      <c r="D25" s="26"/>
      <c r="E25" s="26"/>
      <c r="F25" s="26"/>
      <c r="G25" s="26"/>
      <c r="H25" s="26"/>
      <c r="I25" s="26"/>
      <c r="J25" s="26"/>
    </row>
    <row r="26" spans="1:11" x14ac:dyDescent="0.2">
      <c r="B26" s="26"/>
      <c r="C26" s="26"/>
      <c r="D26" s="26"/>
      <c r="E26" s="26"/>
      <c r="F26" s="26"/>
      <c r="G26" s="26"/>
      <c r="H26" s="26"/>
      <c r="I26" s="26"/>
      <c r="J26" s="26"/>
    </row>
    <row r="27" spans="1:11" x14ac:dyDescent="0.2">
      <c r="B27" s="26"/>
      <c r="C27" s="26"/>
      <c r="D27" s="26"/>
      <c r="E27" s="26"/>
      <c r="F27" s="26"/>
      <c r="G27" s="26"/>
      <c r="H27" s="26"/>
      <c r="I27" s="26"/>
      <c r="J27" s="26"/>
    </row>
    <row r="35" spans="2:11" s="28" customFormat="1" x14ac:dyDescent="0.2">
      <c r="B35" s="27"/>
      <c r="C35" s="27"/>
      <c r="D35" s="27"/>
      <c r="E35" s="27"/>
      <c r="F35" s="27"/>
      <c r="G35" s="27"/>
      <c r="H35" s="27"/>
      <c r="I35" s="27"/>
      <c r="J35" s="27"/>
      <c r="K35" s="1"/>
    </row>
  </sheetData>
  <mergeCells count="2">
    <mergeCell ref="A1:K1"/>
    <mergeCell ref="A2:K2"/>
  </mergeCells>
  <pageMargins left="0.7" right="0.7" top="0.75" bottom="0.75" header="0.3" footer="0.3"/>
  <pageSetup paperSize="9" scale="58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12.12</vt:lpstr>
      <vt:lpstr>'12.12'!Print_Area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2019-05-22T05:30:41Z</cp:lastPrinted>
  <dcterms:created xsi:type="dcterms:W3CDTF">2019-05-21T05:57:01Z</dcterms:created>
  <dcterms:modified xsi:type="dcterms:W3CDTF">2019-05-28T06:03:10Z</dcterms:modified>
</cp:coreProperties>
</file>