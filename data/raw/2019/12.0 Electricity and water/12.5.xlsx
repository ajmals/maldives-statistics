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2.  ELECTRICITY and  WATER\"/>
    </mc:Choice>
  </mc:AlternateContent>
  <bookViews>
    <workbookView xWindow="0" yWindow="0" windowWidth="28800" windowHeight="12330"/>
  </bookViews>
  <sheets>
    <sheet name="12.5" sheetId="5" r:id="rId1"/>
  </sheets>
  <externalReferences>
    <externalReference r:id="rId2"/>
    <externalReference r:id="rId3"/>
  </externalReferences>
  <definedNames>
    <definedName name="Male">'[1]Entry2015 (for male region)'!$A$8:$AAA$67</definedName>
    <definedName name="_xlnm.Print_Area" localSheetId="0">'12.5'!$A$1:$H$166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9" i="5" l="1"/>
  <c r="T19" i="5"/>
  <c r="C35" i="5"/>
  <c r="F6" i="5"/>
  <c r="E6" i="5"/>
  <c r="D6" i="5" l="1"/>
  <c r="E165" i="5" l="1"/>
  <c r="E164" i="5"/>
  <c r="D164" i="5"/>
  <c r="D165" i="5" s="1"/>
  <c r="F165" i="5" s="1"/>
  <c r="C162" i="5"/>
  <c r="E156" i="5" s="1"/>
  <c r="D161" i="5"/>
  <c r="D160" i="5"/>
  <c r="D159" i="5"/>
  <c r="D158" i="5"/>
  <c r="D157" i="5"/>
  <c r="D156" i="5"/>
  <c r="D155" i="5"/>
  <c r="C153" i="5"/>
  <c r="E152" i="5" s="1"/>
  <c r="D152" i="5"/>
  <c r="D151" i="5"/>
  <c r="D150" i="5"/>
  <c r="D149" i="5"/>
  <c r="D148" i="5"/>
  <c r="C146" i="5"/>
  <c r="E146" i="5" s="1"/>
  <c r="D145" i="5"/>
  <c r="D144" i="5"/>
  <c r="D143" i="5"/>
  <c r="D142" i="5"/>
  <c r="D141" i="5"/>
  <c r="D140" i="5"/>
  <c r="D139" i="5"/>
  <c r="C137" i="5"/>
  <c r="E137" i="5" s="1"/>
  <c r="D136" i="5"/>
  <c r="D135" i="5"/>
  <c r="D134" i="5"/>
  <c r="D133" i="5"/>
  <c r="D132" i="5"/>
  <c r="C130" i="5"/>
  <c r="E124" i="5" s="1"/>
  <c r="D129" i="5"/>
  <c r="D128" i="5"/>
  <c r="D127" i="5"/>
  <c r="D126" i="5"/>
  <c r="D125" i="5"/>
  <c r="D124" i="5"/>
  <c r="D123" i="5"/>
  <c r="C121" i="5"/>
  <c r="E119" i="5" s="1"/>
  <c r="E120" i="5"/>
  <c r="D120" i="5"/>
  <c r="D119" i="5"/>
  <c r="D118" i="5"/>
  <c r="D117" i="5"/>
  <c r="D116" i="5"/>
  <c r="C114" i="5"/>
  <c r="E112" i="5" s="1"/>
  <c r="D113" i="5"/>
  <c r="D112" i="5"/>
  <c r="E111" i="5"/>
  <c r="D111" i="5"/>
  <c r="D110" i="5"/>
  <c r="D109" i="5"/>
  <c r="C99" i="5"/>
  <c r="E98" i="5" s="1"/>
  <c r="D98" i="5"/>
  <c r="D99" i="5" s="1"/>
  <c r="C96" i="5"/>
  <c r="E96" i="5" s="1"/>
  <c r="D95" i="5"/>
  <c r="D96" i="5" s="1"/>
  <c r="C93" i="5"/>
  <c r="E91" i="5" s="1"/>
  <c r="D92" i="5"/>
  <c r="D91" i="5"/>
  <c r="D90" i="5"/>
  <c r="D89" i="5"/>
  <c r="D88" i="5"/>
  <c r="D87" i="5"/>
  <c r="D86" i="5"/>
  <c r="C84" i="5"/>
  <c r="E82" i="5" s="1"/>
  <c r="D83" i="5"/>
  <c r="D82" i="5"/>
  <c r="D81" i="5"/>
  <c r="D80" i="5"/>
  <c r="D79" i="5"/>
  <c r="C77" i="5"/>
  <c r="E144" i="5" s="1"/>
  <c r="D76" i="5"/>
  <c r="D75" i="5"/>
  <c r="D74" i="5"/>
  <c r="D73" i="5"/>
  <c r="D72" i="5"/>
  <c r="D71" i="5"/>
  <c r="D70" i="5"/>
  <c r="E34" i="5"/>
  <c r="D34" i="5"/>
  <c r="D35" i="5" s="1"/>
  <c r="F35" i="5" s="1"/>
  <c r="C32" i="5"/>
  <c r="E31" i="5" s="1"/>
  <c r="D31" i="5"/>
  <c r="D32" i="5" s="1"/>
  <c r="F31" i="5" s="1"/>
  <c r="C29" i="5"/>
  <c r="E23" i="5" s="1"/>
  <c r="D28" i="5"/>
  <c r="D27" i="5"/>
  <c r="D26" i="5"/>
  <c r="D25" i="5"/>
  <c r="D24" i="5"/>
  <c r="D23" i="5"/>
  <c r="D22" i="5"/>
  <c r="C19" i="5"/>
  <c r="C20" i="5" s="1"/>
  <c r="D18" i="5"/>
  <c r="D17" i="5"/>
  <c r="D16" i="5"/>
  <c r="D15" i="5"/>
  <c r="C13" i="5"/>
  <c r="E11" i="5" s="1"/>
  <c r="D12" i="5"/>
  <c r="D11" i="5"/>
  <c r="D10" i="5"/>
  <c r="D9" i="5"/>
  <c r="D8" i="5"/>
  <c r="D7" i="5"/>
  <c r="E136" i="5" l="1"/>
  <c r="E83" i="5"/>
  <c r="E135" i="5"/>
  <c r="E71" i="5"/>
  <c r="E109" i="5"/>
  <c r="E32" i="5"/>
  <c r="D13" i="5"/>
  <c r="F11" i="5" s="1"/>
  <c r="E116" i="5"/>
  <c r="E110" i="5"/>
  <c r="E95" i="5"/>
  <c r="E149" i="5"/>
  <c r="E9" i="5"/>
  <c r="E72" i="5"/>
  <c r="E89" i="5"/>
  <c r="E117" i="5"/>
  <c r="E121" i="5"/>
  <c r="E79" i="5"/>
  <c r="E35" i="5"/>
  <c r="E118" i="5"/>
  <c r="E74" i="5"/>
  <c r="E80" i="5"/>
  <c r="E86" i="5"/>
  <c r="E133" i="5"/>
  <c r="D146" i="5"/>
  <c r="F142" i="5" s="1"/>
  <c r="E151" i="5"/>
  <c r="E77" i="5"/>
  <c r="E153" i="5"/>
  <c r="E150" i="5"/>
  <c r="D93" i="5"/>
  <c r="F93" i="5" s="1"/>
  <c r="E90" i="5"/>
  <c r="E70" i="5"/>
  <c r="E139" i="5"/>
  <c r="E10" i="5"/>
  <c r="E12" i="5"/>
  <c r="E81" i="5"/>
  <c r="E87" i="5"/>
  <c r="E92" i="5"/>
  <c r="D121" i="5"/>
  <c r="F117" i="5" s="1"/>
  <c r="E134" i="5"/>
  <c r="E148" i="5"/>
  <c r="E17" i="5"/>
  <c r="E16" i="5"/>
  <c r="E15" i="5"/>
  <c r="E20" i="5"/>
  <c r="E18" i="5"/>
  <c r="F96" i="5"/>
  <c r="F95" i="5"/>
  <c r="F89" i="5"/>
  <c r="F99" i="5"/>
  <c r="F98" i="5"/>
  <c r="D77" i="5"/>
  <c r="F75" i="5" s="1"/>
  <c r="D153" i="5"/>
  <c r="F152" i="5" s="1"/>
  <c r="D29" i="5"/>
  <c r="F22" i="5" s="1"/>
  <c r="D130" i="5"/>
  <c r="F129" i="5" s="1"/>
  <c r="E142" i="5"/>
  <c r="D162" i="5"/>
  <c r="F158" i="5" s="1"/>
  <c r="E7" i="5"/>
  <c r="E24" i="5"/>
  <c r="E29" i="5"/>
  <c r="F32" i="5"/>
  <c r="E75" i="5"/>
  <c r="E113" i="5"/>
  <c r="E125" i="5"/>
  <c r="E130" i="5"/>
  <c r="E145" i="5"/>
  <c r="E157" i="5"/>
  <c r="E162" i="5"/>
  <c r="E27" i="5"/>
  <c r="D84" i="5"/>
  <c r="F82" i="5" s="1"/>
  <c r="E99" i="5"/>
  <c r="E128" i="5"/>
  <c r="E140" i="5"/>
  <c r="E160" i="5"/>
  <c r="E26" i="5"/>
  <c r="D19" i="5"/>
  <c r="E22" i="5"/>
  <c r="E73" i="5"/>
  <c r="E84" i="5"/>
  <c r="E123" i="5"/>
  <c r="D137" i="5"/>
  <c r="E143" i="5"/>
  <c r="E155" i="5"/>
  <c r="E8" i="5"/>
  <c r="E13" i="5"/>
  <c r="E19" i="5"/>
  <c r="E25" i="5"/>
  <c r="F34" i="5"/>
  <c r="E76" i="5"/>
  <c r="E88" i="5"/>
  <c r="E93" i="5"/>
  <c r="D114" i="5"/>
  <c r="F110" i="5" s="1"/>
  <c r="E126" i="5"/>
  <c r="E132" i="5"/>
  <c r="E158" i="5"/>
  <c r="E127" i="5"/>
  <c r="E28" i="5"/>
  <c r="E114" i="5"/>
  <c r="E129" i="5"/>
  <c r="E141" i="5"/>
  <c r="E161" i="5"/>
  <c r="F164" i="5"/>
  <c r="E159" i="5"/>
  <c r="F139" i="5" l="1"/>
  <c r="F144" i="5"/>
  <c r="F157" i="5"/>
  <c r="F72" i="5"/>
  <c r="F88" i="5"/>
  <c r="F141" i="5"/>
  <c r="F120" i="5"/>
  <c r="F119" i="5"/>
  <c r="F145" i="5"/>
  <c r="F143" i="5"/>
  <c r="F118" i="5"/>
  <c r="F140" i="5"/>
  <c r="F79" i="5"/>
  <c r="F121" i="5"/>
  <c r="F146" i="5"/>
  <c r="F116" i="5"/>
  <c r="F13" i="5"/>
  <c r="F7" i="5"/>
  <c r="F9" i="5"/>
  <c r="F8" i="5"/>
  <c r="F10" i="5"/>
  <c r="F12" i="5"/>
  <c r="F90" i="5"/>
  <c r="F87" i="5"/>
  <c r="F91" i="5"/>
  <c r="F86" i="5"/>
  <c r="F126" i="5"/>
  <c r="F92" i="5"/>
  <c r="F81" i="5"/>
  <c r="F71" i="5"/>
  <c r="F74" i="5"/>
  <c r="F77" i="5"/>
  <c r="F109" i="5"/>
  <c r="F111" i="5"/>
  <c r="F25" i="5"/>
  <c r="F137" i="5"/>
  <c r="F134" i="5"/>
  <c r="F133" i="5"/>
  <c r="F150" i="5"/>
  <c r="F153" i="5"/>
  <c r="F114" i="5"/>
  <c r="F112" i="5"/>
  <c r="F76" i="5"/>
  <c r="F23" i="5"/>
  <c r="F29" i="5"/>
  <c r="F26" i="5"/>
  <c r="F84" i="5"/>
  <c r="F80" i="5"/>
  <c r="F83" i="5"/>
  <c r="F160" i="5"/>
  <c r="F162" i="5"/>
  <c r="F156" i="5"/>
  <c r="F159" i="5"/>
  <c r="F151" i="5"/>
  <c r="F28" i="5"/>
  <c r="F132" i="5"/>
  <c r="F24" i="5"/>
  <c r="F27" i="5"/>
  <c r="F136" i="5"/>
  <c r="D20" i="5"/>
  <c r="F19" i="5" s="1"/>
  <c r="F123" i="5"/>
  <c r="F161" i="5"/>
  <c r="F113" i="5"/>
  <c r="F135" i="5"/>
  <c r="F124" i="5"/>
  <c r="F128" i="5"/>
  <c r="F130" i="5"/>
  <c r="F127" i="5"/>
  <c r="F125" i="5"/>
  <c r="F73" i="5"/>
  <c r="F155" i="5"/>
  <c r="F149" i="5"/>
  <c r="F148" i="5"/>
  <c r="F70" i="5"/>
  <c r="F16" i="5" l="1"/>
  <c r="F20" i="5"/>
  <c r="F15" i="5"/>
  <c r="F18" i="5"/>
  <c r="F17" i="5"/>
</calcChain>
</file>

<file path=xl/sharedStrings.xml><?xml version="1.0" encoding="utf-8"?>
<sst xmlns="http://schemas.openxmlformats.org/spreadsheetml/2006/main" count="297" uniqueCount="59">
  <si>
    <t xml:space="preserve"> % cnutogWviawfiheb</t>
  </si>
  <si>
    <t>Source: State Electric Company Limited</t>
  </si>
  <si>
    <t>2018 ,urwvcnim unuverukcnunEb cTcnwrwk iawgElWm :12.5 ulwvWt</t>
  </si>
  <si>
    <t>TABLE 12.5 ELECTRICITY CONSUMPTION IN MALE',  2018</t>
  </si>
  <si>
    <t>Bands</t>
  </si>
  <si>
    <t>ރޭޓް</t>
  </si>
  <si>
    <t>ޖުމްލަ</t>
  </si>
  <si>
    <t>އަދަދު</t>
  </si>
  <si>
    <t>ބޭންޑް</t>
  </si>
  <si>
    <t>Rates (MVR)</t>
  </si>
  <si>
    <t>Total (Kwh)</t>
  </si>
  <si>
    <t>Value (MVR)</t>
  </si>
  <si>
    <t>% Share of Quantity</t>
  </si>
  <si>
    <t>% Share of Value</t>
  </si>
  <si>
    <t>Domestic</t>
  </si>
  <si>
    <t>ގޭބިސީ</t>
  </si>
  <si>
    <t>0-100 units</t>
  </si>
  <si>
    <t>100 - 0</t>
  </si>
  <si>
    <t>101-200</t>
  </si>
  <si>
    <t>200 - 101</t>
  </si>
  <si>
    <t>201 -300</t>
  </si>
  <si>
    <t>300-201</t>
  </si>
  <si>
    <t>301-400</t>
  </si>
  <si>
    <t>400-301</t>
  </si>
  <si>
    <t>401-500</t>
  </si>
  <si>
    <t>500-401</t>
  </si>
  <si>
    <t>501-600</t>
  </si>
  <si>
    <t>600 - 501</t>
  </si>
  <si>
    <t>&gt; 600</t>
  </si>
  <si>
    <t>601އަށް ވުރެމަތި</t>
  </si>
  <si>
    <t>All bands</t>
  </si>
  <si>
    <t>ހުރިހާ ބޭންޑް</t>
  </si>
  <si>
    <t>Government</t>
  </si>
  <si>
    <t>އޮފީސް އަދި އެހެނިހެން</t>
  </si>
  <si>
    <t>101-300</t>
  </si>
  <si>
    <t>300 - 101</t>
  </si>
  <si>
    <t>301 -500</t>
  </si>
  <si>
    <t>500 - 301</t>
  </si>
  <si>
    <t>Business</t>
  </si>
  <si>
    <t>600 -501</t>
  </si>
  <si>
    <t>601-3000</t>
  </si>
  <si>
    <t>3001-10000</t>
  </si>
  <si>
    <t>6001-10000</t>
  </si>
  <si>
    <t>&gt;10000</t>
  </si>
  <si>
    <t>10001އަށް ވުރެމަތި</t>
  </si>
  <si>
    <t>Special Tariff</t>
  </si>
  <si>
    <t>TERTIARY HOSPITAL</t>
  </si>
  <si>
    <t>cDeTimil Inepcmok ckircTckeliacTETcs :ctWrwfivcaedutWmUluAwm</t>
  </si>
  <si>
    <t>2017 ,urwvcnim unuverukcnunEb cTcnwrwk iawgElWm :12.5 ulwvWt</t>
  </si>
  <si>
    <t>TABLE 12.5 ELECTRICITY CONSUMPTION IN MALE',  2017</t>
  </si>
  <si>
    <t>201 300</t>
  </si>
  <si>
    <t>2016 ,urwvcnim unuverukcnunEb cTcnwrwk iawgElWm :12.5 ulwvWt</t>
  </si>
  <si>
    <t>TABLE 12.5 ELECTRICITY CONSUMPTION IN MALE',  2016</t>
  </si>
  <si>
    <t>Non-Domestic</t>
  </si>
  <si>
    <t>up to 31 January 2016</t>
  </si>
  <si>
    <t>from 1 Feb 2016 to 31 May 2016</t>
  </si>
  <si>
    <t>from 1 June 2016</t>
  </si>
  <si>
    <t>ޓާރޝިއަރީ ހޮސްޕިޓަލް</t>
  </si>
  <si>
    <t>Tertiary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</si>
</sst>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7" formatCode="General_)"/>
    <numFmt numFmtId="168" formatCode="_(* #,##0.0_);_(* \(#,##0.0\);_(* &quot;-&quot;??_);_(@_)"/>
    <numFmt numFmtId="170" formatCode="#,##0.0_);\(#,##0.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Calibri"/>
      <family val="2"/>
      <scheme val="minor"/>
    </font>
    <font>
      <b/>
      <sz val="11"/>
      <name val="A_Faseyha"/>
    </font>
    <font>
      <sz val="11"/>
      <name val="Faruma"/>
    </font>
    <font>
      <b/>
      <sz val="11"/>
      <name val="Farum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_Randhoo"/>
    </font>
    <font>
      <b/>
      <sz val="11"/>
      <name val="A_Ilham"/>
    </font>
    <font>
      <b/>
      <u/>
      <sz val="11"/>
      <color theme="1"/>
      <name val="Calibri"/>
      <family val="2"/>
      <scheme val="minor"/>
    </font>
    <font>
      <sz val="11"/>
      <name val="Arial"/>
      <family val="2"/>
    </font>
    <font>
      <b/>
      <u/>
      <sz val="11"/>
      <name val="Calibri"/>
      <family val="2"/>
      <scheme val="minor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78">
    <xf numFmtId="0" fontId="0" fillId="0" borderId="0" xfId="0"/>
    <xf numFmtId="0" fontId="4" fillId="2" borderId="0" xfId="0" applyFont="1" applyFill="1" applyBorder="1"/>
    <xf numFmtId="0" fontId="13" fillId="2" borderId="16" xfId="3" applyFont="1" applyFill="1" applyBorder="1" applyAlignment="1">
      <alignment vertical="center"/>
    </xf>
    <xf numFmtId="0" fontId="12" fillId="2" borderId="4" xfId="0" applyFont="1" applyFill="1" applyBorder="1"/>
    <xf numFmtId="0" fontId="4" fillId="2" borderId="4" xfId="0" applyFont="1" applyFill="1" applyBorder="1"/>
    <xf numFmtId="167" fontId="10" fillId="2" borderId="17" xfId="3" applyNumberFormat="1" applyFont="1" applyFill="1" applyBorder="1" applyAlignment="1">
      <alignment vertical="top" wrapText="1"/>
    </xf>
    <xf numFmtId="167" fontId="10" fillId="2" borderId="18" xfId="3" applyNumberFormat="1" applyFont="1" applyFill="1" applyBorder="1" applyAlignment="1">
      <alignment vertical="top" wrapText="1"/>
    </xf>
    <xf numFmtId="167" fontId="14" fillId="2" borderId="18" xfId="3" applyNumberFormat="1" applyFont="1" applyFill="1" applyBorder="1" applyAlignment="1">
      <alignment horizontal="right" vertical="top" wrapText="1"/>
    </xf>
    <xf numFmtId="167" fontId="11" fillId="2" borderId="20" xfId="3" applyNumberFormat="1" applyFont="1" applyFill="1" applyBorder="1" applyAlignment="1">
      <alignment horizontal="right" vertical="center"/>
    </xf>
    <xf numFmtId="167" fontId="15" fillId="2" borderId="3" xfId="0" applyNumberFormat="1" applyFont="1" applyFill="1" applyBorder="1"/>
    <xf numFmtId="43" fontId="12" fillId="2" borderId="4" xfId="4" applyFont="1" applyFill="1" applyBorder="1"/>
    <xf numFmtId="164" fontId="12" fillId="2" borderId="4" xfId="4" applyNumberFormat="1" applyFont="1" applyFill="1" applyBorder="1"/>
    <xf numFmtId="43" fontId="12" fillId="2" borderId="21" xfId="4" applyFont="1" applyFill="1" applyBorder="1"/>
    <xf numFmtId="43" fontId="16" fillId="2" borderId="21" xfId="4" applyFont="1" applyFill="1" applyBorder="1" applyAlignment="1">
      <alignment vertical="center" textRotation="90"/>
    </xf>
    <xf numFmtId="164" fontId="10" fillId="2" borderId="4" xfId="4" applyNumberFormat="1" applyFont="1" applyFill="1" applyBorder="1" applyAlignment="1">
      <alignment horizontal="right" vertical="center"/>
    </xf>
    <xf numFmtId="167" fontId="12" fillId="2" borderId="4" xfId="3" applyNumberFormat="1" applyFont="1" applyFill="1" applyBorder="1" applyAlignment="1" applyProtection="1">
      <alignment horizontal="left" vertical="center"/>
    </xf>
    <xf numFmtId="43" fontId="12" fillId="2" borderId="4" xfId="4" applyFont="1" applyFill="1" applyBorder="1" applyAlignment="1" applyProtection="1">
      <alignment horizontal="right" vertical="center"/>
    </xf>
    <xf numFmtId="164" fontId="9" fillId="2" borderId="4" xfId="4" applyNumberFormat="1" applyFont="1" applyFill="1" applyBorder="1" applyAlignment="1">
      <alignment horizontal="right" vertical="center"/>
    </xf>
    <xf numFmtId="0" fontId="4" fillId="2" borderId="12" xfId="0" applyFont="1" applyFill="1" applyBorder="1"/>
    <xf numFmtId="0" fontId="4" fillId="2" borderId="6" xfId="0" applyFont="1" applyFill="1" applyBorder="1"/>
    <xf numFmtId="0" fontId="4" fillId="2" borderId="13" xfId="0" applyFont="1" applyFill="1" applyBorder="1"/>
    <xf numFmtId="167" fontId="11" fillId="2" borderId="4" xfId="3" applyNumberFormat="1" applyFont="1" applyFill="1" applyBorder="1" applyAlignment="1" applyProtection="1">
      <alignment horizontal="left" vertical="center"/>
    </xf>
    <xf numFmtId="43" fontId="2" fillId="2" borderId="4" xfId="4" applyFont="1" applyFill="1" applyBorder="1" applyAlignment="1">
      <alignment horizontal="right" vertical="center"/>
    </xf>
    <xf numFmtId="164" fontId="11" fillId="2" borderId="4" xfId="4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/>
    <xf numFmtId="167" fontId="17" fillId="2" borderId="4" xfId="3" applyNumberFormat="1" applyFont="1" applyFill="1" applyBorder="1" applyAlignment="1" applyProtection="1">
      <alignment horizontal="left" vertical="center"/>
    </xf>
    <xf numFmtId="43" fontId="12" fillId="2" borderId="4" xfId="4" applyFont="1" applyFill="1" applyBorder="1" applyAlignment="1">
      <alignment horizontal="right" vertical="center"/>
    </xf>
    <xf numFmtId="164" fontId="12" fillId="2" borderId="4" xfId="4" applyNumberFormat="1" applyFont="1" applyFill="1" applyBorder="1" applyAlignment="1">
      <alignment horizontal="right" vertical="center"/>
    </xf>
    <xf numFmtId="168" fontId="12" fillId="2" borderId="21" xfId="4" applyNumberFormat="1" applyFont="1" applyFill="1" applyBorder="1" applyAlignment="1">
      <alignment horizontal="left" vertical="center" indent="7"/>
    </xf>
    <xf numFmtId="168" fontId="16" fillId="2" borderId="21" xfId="4" applyNumberFormat="1" applyFont="1" applyFill="1" applyBorder="1" applyAlignment="1">
      <alignment horizontal="left" vertical="center" indent="7"/>
    </xf>
    <xf numFmtId="43" fontId="4" fillId="2" borderId="4" xfId="1" applyFont="1" applyFill="1" applyBorder="1"/>
    <xf numFmtId="167" fontId="17" fillId="2" borderId="1" xfId="3" applyNumberFormat="1" applyFont="1" applyFill="1" applyBorder="1" applyAlignment="1" applyProtection="1">
      <alignment horizontal="left" vertical="center"/>
    </xf>
    <xf numFmtId="43" fontId="12" fillId="2" borderId="1" xfId="4" applyFont="1" applyFill="1" applyBorder="1" applyAlignment="1">
      <alignment horizontal="right" vertical="center"/>
    </xf>
    <xf numFmtId="164" fontId="12" fillId="2" borderId="1" xfId="4" applyNumberFormat="1" applyFont="1" applyFill="1" applyBorder="1" applyAlignment="1">
      <alignment horizontal="right" vertical="center"/>
    </xf>
    <xf numFmtId="164" fontId="10" fillId="2" borderId="1" xfId="4" applyNumberFormat="1" applyFont="1" applyFill="1" applyBorder="1" applyAlignment="1">
      <alignment horizontal="right" vertical="center"/>
    </xf>
    <xf numFmtId="167" fontId="11" fillId="2" borderId="8" xfId="3" applyNumberFormat="1" applyFont="1" applyFill="1" applyBorder="1" applyAlignment="1" applyProtection="1">
      <alignment horizontal="left" vertical="center"/>
    </xf>
    <xf numFmtId="43" fontId="2" fillId="2" borderId="8" xfId="4" applyFont="1" applyFill="1" applyBorder="1" applyAlignment="1">
      <alignment horizontal="right" vertical="center"/>
    </xf>
    <xf numFmtId="164" fontId="11" fillId="2" borderId="8" xfId="4" applyNumberFormat="1" applyFont="1" applyFill="1" applyBorder="1" applyAlignment="1">
      <alignment horizontal="right" vertical="center"/>
    </xf>
    <xf numFmtId="164" fontId="10" fillId="2" borderId="8" xfId="4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 applyProtection="1">
      <alignment horizontal="left" vertical="top"/>
    </xf>
    <xf numFmtId="43" fontId="2" fillId="2" borderId="0" xfId="4" applyFont="1" applyFill="1" applyBorder="1"/>
    <xf numFmtId="43" fontId="11" fillId="2" borderId="0" xfId="4" applyFont="1" applyFill="1" applyBorder="1"/>
    <xf numFmtId="0" fontId="6" fillId="2" borderId="0" xfId="0" applyFont="1" applyFill="1" applyBorder="1" applyAlignment="1">
      <alignment horizontal="right" vertical="top"/>
    </xf>
    <xf numFmtId="0" fontId="4" fillId="2" borderId="16" xfId="0" applyFont="1" applyFill="1" applyBorder="1"/>
    <xf numFmtId="43" fontId="4" fillId="2" borderId="4" xfId="4" applyFont="1" applyFill="1" applyBorder="1"/>
    <xf numFmtId="0" fontId="5" fillId="2" borderId="16" xfId="0" applyFont="1" applyFill="1" applyBorder="1" applyAlignment="1" applyProtection="1">
      <alignment horizontal="left" vertical="top"/>
    </xf>
    <xf numFmtId="0" fontId="4" fillId="2" borderId="1" xfId="0" applyFont="1" applyFill="1" applyBorder="1"/>
    <xf numFmtId="164" fontId="4" fillId="2" borderId="1" xfId="0" applyNumberFormat="1" applyFont="1" applyFill="1" applyBorder="1"/>
    <xf numFmtId="0" fontId="4" fillId="2" borderId="3" xfId="0" applyFont="1" applyFill="1" applyBorder="1"/>
    <xf numFmtId="164" fontId="12" fillId="2" borderId="4" xfId="0" applyNumberFormat="1" applyFont="1" applyFill="1" applyBorder="1"/>
    <xf numFmtId="164" fontId="10" fillId="2" borderId="3" xfId="4" applyNumberFormat="1" applyFont="1" applyFill="1" applyBorder="1" applyAlignment="1">
      <alignment horizontal="right" vertical="center"/>
    </xf>
    <xf numFmtId="43" fontId="4" fillId="2" borderId="6" xfId="1" applyFont="1" applyFill="1" applyBorder="1"/>
    <xf numFmtId="43" fontId="4" fillId="2" borderId="0" xfId="1" applyFont="1" applyFill="1" applyBorder="1"/>
    <xf numFmtId="43" fontId="18" fillId="2" borderId="0" xfId="0" applyNumberFormat="1" applyFont="1" applyFill="1" applyBorder="1" applyAlignment="1">
      <alignment vertical="center"/>
    </xf>
    <xf numFmtId="164" fontId="12" fillId="2" borderId="21" xfId="4" applyNumberFormat="1" applyFont="1" applyFill="1" applyBorder="1" applyAlignment="1">
      <alignment horizontal="left" vertical="center" indent="7"/>
    </xf>
    <xf numFmtId="164" fontId="16" fillId="2" borderId="21" xfId="4" applyNumberFormat="1" applyFont="1" applyFill="1" applyBorder="1" applyAlignment="1">
      <alignment horizontal="left" vertical="center" indent="7"/>
    </xf>
    <xf numFmtId="167" fontId="17" fillId="2" borderId="1" xfId="3" applyNumberFormat="1" applyFont="1" applyFill="1" applyBorder="1" applyAlignment="1" applyProtection="1">
      <alignment horizontal="left"/>
    </xf>
    <xf numFmtId="43" fontId="12" fillId="2" borderId="1" xfId="4" applyFont="1" applyFill="1" applyBorder="1" applyAlignment="1">
      <alignment horizontal="right"/>
    </xf>
    <xf numFmtId="164" fontId="4" fillId="2" borderId="4" xfId="0" applyNumberFormat="1" applyFont="1" applyFill="1" applyBorder="1" applyAlignment="1"/>
    <xf numFmtId="164" fontId="12" fillId="2" borderId="1" xfId="4" applyNumberFormat="1" applyFont="1" applyFill="1" applyBorder="1" applyAlignment="1">
      <alignment horizontal="right"/>
    </xf>
    <xf numFmtId="164" fontId="10" fillId="2" borderId="1" xfId="4" applyNumberFormat="1" applyFont="1" applyFill="1" applyBorder="1" applyAlignment="1">
      <alignment horizontal="right"/>
    </xf>
    <xf numFmtId="164" fontId="12" fillId="2" borderId="4" xfId="0" applyNumberFormat="1" applyFont="1" applyFill="1" applyBorder="1" applyAlignment="1"/>
    <xf numFmtId="167" fontId="7" fillId="2" borderId="10" xfId="3" applyNumberFormat="1" applyFont="1" applyFill="1" applyBorder="1" applyAlignment="1">
      <alignment horizontal="center" vertical="top" wrapText="1"/>
    </xf>
    <xf numFmtId="167" fontId="7" fillId="2" borderId="14" xfId="3" applyNumberFormat="1" applyFont="1" applyFill="1" applyBorder="1" applyAlignment="1">
      <alignment horizontal="center" vertical="top" wrapText="1"/>
    </xf>
    <xf numFmtId="167" fontId="7" fillId="2" borderId="7" xfId="3" applyNumberFormat="1" applyFont="1" applyFill="1" applyBorder="1" applyAlignment="1">
      <alignment horizontal="center" vertical="top" wrapText="1"/>
    </xf>
    <xf numFmtId="43" fontId="11" fillId="3" borderId="9" xfId="4" applyFont="1" applyFill="1" applyBorder="1" applyAlignment="1">
      <alignment horizontal="center" vertical="center"/>
    </xf>
    <xf numFmtId="43" fontId="11" fillId="3" borderId="11" xfId="4" applyFont="1" applyFill="1" applyBorder="1" applyAlignment="1">
      <alignment horizontal="center" vertical="center"/>
    </xf>
    <xf numFmtId="43" fontId="11" fillId="3" borderId="22" xfId="4" applyFont="1" applyFill="1" applyBorder="1" applyAlignment="1">
      <alignment horizontal="center" vertical="center"/>
    </xf>
    <xf numFmtId="0" fontId="8" fillId="2" borderId="16" xfId="3" applyFont="1" applyFill="1" applyBorder="1" applyAlignment="1">
      <alignment horizontal="center" vertical="center"/>
    </xf>
    <xf numFmtId="167" fontId="11" fillId="2" borderId="15" xfId="3" applyNumberFormat="1" applyFont="1" applyFill="1" applyBorder="1" applyAlignment="1">
      <alignment horizontal="left" vertical="center"/>
    </xf>
    <xf numFmtId="167" fontId="11" fillId="2" borderId="20" xfId="3" applyNumberFormat="1" applyFont="1" applyFill="1" applyBorder="1" applyAlignment="1">
      <alignment horizontal="left" vertical="center"/>
    </xf>
    <xf numFmtId="167" fontId="10" fillId="2" borderId="19" xfId="3" applyNumberFormat="1" applyFont="1" applyFill="1" applyBorder="1" applyAlignment="1">
      <alignment horizontal="right" vertical="center" wrapText="1"/>
    </xf>
    <xf numFmtId="167" fontId="10" fillId="2" borderId="2" xfId="3" applyNumberFormat="1" applyFont="1" applyFill="1" applyBorder="1" applyAlignment="1">
      <alignment horizontal="right" vertical="center" wrapText="1"/>
    </xf>
    <xf numFmtId="170" fontId="12" fillId="2" borderId="4" xfId="4" applyNumberFormat="1" applyFont="1" applyFill="1" applyBorder="1" applyAlignment="1">
      <alignment horizontal="right" vertical="center" indent="3"/>
    </xf>
    <xf numFmtId="170" fontId="11" fillId="2" borderId="4" xfId="4" applyNumberFormat="1" applyFont="1" applyFill="1" applyBorder="1" applyAlignment="1">
      <alignment horizontal="right" vertical="center" indent="3"/>
    </xf>
    <xf numFmtId="170" fontId="12" fillId="2" borderId="8" xfId="4" applyNumberFormat="1" applyFont="1" applyFill="1" applyBorder="1" applyAlignment="1">
      <alignment horizontal="right" vertical="center" indent="3"/>
    </xf>
    <xf numFmtId="170" fontId="11" fillId="2" borderId="8" xfId="4" applyNumberFormat="1" applyFont="1" applyFill="1" applyBorder="1" applyAlignment="1">
      <alignment horizontal="right" vertical="center" indent="3"/>
    </xf>
    <xf numFmtId="170" fontId="12" fillId="2" borderId="3" xfId="4" applyNumberFormat="1" applyFont="1" applyFill="1" applyBorder="1" applyAlignment="1">
      <alignment horizontal="right" vertical="center" indent="3"/>
    </xf>
  </cellXfs>
  <cellStyles count="5">
    <cellStyle name="Comma" xfId="1" builtinId="3"/>
    <cellStyle name="Comma 2" xfId="2"/>
    <cellStyle name="Comma 4" xfId="4"/>
    <cellStyle name="Normal" xfId="0" builtinId="0"/>
    <cellStyle name="Normal 2" xfId="3"/>
  </cellStyles>
  <dxfs count="0"/>
  <tableStyles count="0" defaultTableStyle="TableStyleMedium2" defaultPivotStyle="PivotStyleLight16"/>
  <colors>
    <mruColors>
      <color rgb="FFFFFAEB"/>
      <color rgb="FFFF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12.4:  Electricity consumption in Male' by type, 2018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1937005675488139"/>
          <c:y val="1.5595591973468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0373094924131"/>
          <c:y val="0.12121871780743523"/>
          <c:w val="0.84800617990623806"/>
          <c:h val="0.741951030146655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'12.5'!$T$14</c:f>
              <c:strCache>
                <c:ptCount val="1"/>
                <c:pt idx="0">
                  <c:v>Total (Kwh)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'12.5'!$S$15:$S$19</c:f>
              <c:strCache>
                <c:ptCount val="5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  <c:pt idx="4">
                  <c:v>Tertiary Hospital</c:v>
                </c:pt>
              </c:strCache>
            </c:strRef>
          </c:cat>
          <c:val>
            <c:numRef>
              <c:f>'12.5'!$T$15:$T$19</c:f>
              <c:numCache>
                <c:formatCode>_(* #,##0_);_(* \(#,##0\);_(* "-"??_);_(@_)</c:formatCode>
                <c:ptCount val="5"/>
                <c:pt idx="0">
                  <c:v>166585834</c:v>
                </c:pt>
                <c:pt idx="1">
                  <c:v>32375242</c:v>
                </c:pt>
                <c:pt idx="2">
                  <c:v>109946317</c:v>
                </c:pt>
                <c:pt idx="3">
                  <c:v>1552880</c:v>
                </c:pt>
                <c:pt idx="4">
                  <c:v>8390390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D-450F-8C94-F7E4662D51E7}"/>
            </c:ext>
          </c:extLst>
        </c:ser>
        <c:ser>
          <c:idx val="1"/>
          <c:order val="1"/>
          <c:tx>
            <c:strRef>
              <c:f>'12.5'!$U$14</c:f>
              <c:strCache>
                <c:ptCount val="1"/>
                <c:pt idx="0">
                  <c:v>Value (MVR)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'12.5'!$S$15:$S$19</c:f>
              <c:strCache>
                <c:ptCount val="5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  <c:pt idx="4">
                  <c:v>Tertiary Hospital</c:v>
                </c:pt>
              </c:strCache>
            </c:strRef>
          </c:cat>
          <c:val>
            <c:numRef>
              <c:f>'12.5'!$U$15:$U$19</c:f>
              <c:numCache>
                <c:formatCode>_(* #,##0_);_(* \(#,##0\);_(* "-"??_);_(@_)</c:formatCode>
                <c:ptCount val="5"/>
                <c:pt idx="0">
                  <c:v>421605340.88050002</c:v>
                </c:pt>
                <c:pt idx="1">
                  <c:v>137301880.88150001</c:v>
                </c:pt>
                <c:pt idx="2">
                  <c:v>510097490.05399996</c:v>
                </c:pt>
                <c:pt idx="3">
                  <c:v>5279792</c:v>
                </c:pt>
                <c:pt idx="4">
                  <c:v>35659157.5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D-450F-8C94-F7E4662D5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96204911"/>
        <c:axId val="1196209071"/>
      </c:barChart>
      <c:catAx>
        <c:axId val="119620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09071"/>
        <c:crosses val="autoZero"/>
        <c:auto val="1"/>
        <c:lblAlgn val="ctr"/>
        <c:lblOffset val="100"/>
        <c:noMultiLvlLbl val="0"/>
      </c:catAx>
      <c:valAx>
        <c:axId val="119620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04911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5959142867315904"/>
          <c:y val="0.15306617365245642"/>
          <c:w val="0.25804783112312735"/>
          <c:h val="7.5054093372159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12.3:  Percentage share of electricity consumption in Male' by quantity and value, 2018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1681258580466303"/>
          <c:y val="3.5700862752109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555390460693201E-2"/>
          <c:y val="0.13241449994757315"/>
          <c:w val="0.90850235050756201"/>
          <c:h val="0.763791004338357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'12.5'!$E$4</c:f>
              <c:strCache>
                <c:ptCount val="1"/>
                <c:pt idx="0">
                  <c:v>% Share of Quantity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'12.5'!$A$6:$A$12</c:f>
              <c:strCache>
                <c:ptCount val="7"/>
                <c:pt idx="0">
                  <c:v>0-100 units</c:v>
                </c:pt>
                <c:pt idx="1">
                  <c:v>101-200</c:v>
                </c:pt>
                <c:pt idx="2">
                  <c:v>201 -300</c:v>
                </c:pt>
                <c:pt idx="3">
                  <c:v>301-400</c:v>
                </c:pt>
                <c:pt idx="4">
                  <c:v>401-500</c:v>
                </c:pt>
                <c:pt idx="5">
                  <c:v>501-600</c:v>
                </c:pt>
                <c:pt idx="6">
                  <c:v>&gt; 600</c:v>
                </c:pt>
              </c:strCache>
            </c:strRef>
          </c:cat>
          <c:val>
            <c:numRef>
              <c:f>'12.5'!$E$6:$E$12</c:f>
              <c:numCache>
                <c:formatCode>#,##0.0_);\(#,##0.0\)</c:formatCode>
                <c:ptCount val="7"/>
                <c:pt idx="0">
                  <c:v>20.055978241223077</c:v>
                </c:pt>
                <c:pt idx="1">
                  <c:v>18.267643898220062</c:v>
                </c:pt>
                <c:pt idx="2">
                  <c:v>15.569480529779023</c:v>
                </c:pt>
                <c:pt idx="3">
                  <c:v>12.303727824780108</c:v>
                </c:pt>
                <c:pt idx="4">
                  <c:v>9.3037938568053757</c:v>
                </c:pt>
                <c:pt idx="5">
                  <c:v>6.8123358136202627</c:v>
                </c:pt>
                <c:pt idx="6">
                  <c:v>17.687039835572094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F-4BC7-97C0-E554E4CC773F}"/>
            </c:ext>
          </c:extLst>
        </c:ser>
        <c:ser>
          <c:idx val="1"/>
          <c:order val="1"/>
          <c:tx>
            <c:strRef>
              <c:f>'12.5'!$F$4</c:f>
              <c:strCache>
                <c:ptCount val="1"/>
                <c:pt idx="0">
                  <c:v>% Share of Value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'12.5'!$A$6:$A$12</c:f>
              <c:strCache>
                <c:ptCount val="7"/>
                <c:pt idx="0">
                  <c:v>0-100 units</c:v>
                </c:pt>
                <c:pt idx="1">
                  <c:v>101-200</c:v>
                </c:pt>
                <c:pt idx="2">
                  <c:v>201 -300</c:v>
                </c:pt>
                <c:pt idx="3">
                  <c:v>301-400</c:v>
                </c:pt>
                <c:pt idx="4">
                  <c:v>401-500</c:v>
                </c:pt>
                <c:pt idx="5">
                  <c:v>501-600</c:v>
                </c:pt>
                <c:pt idx="6">
                  <c:v>&gt; 600</c:v>
                </c:pt>
              </c:strCache>
            </c:strRef>
          </c:cat>
          <c:val>
            <c:numRef>
              <c:f>'12.5'!$F$6:$F$12</c:f>
              <c:numCache>
                <c:formatCode>#,##0.0_);\(#,##0.0\)</c:formatCode>
                <c:ptCount val="7"/>
                <c:pt idx="0">
                  <c:v>11.88685793812199</c:v>
                </c:pt>
                <c:pt idx="1">
                  <c:v>12.631430862279935</c:v>
                </c:pt>
                <c:pt idx="2">
                  <c:v>13.226488120866964</c:v>
                </c:pt>
                <c:pt idx="3">
                  <c:v>12.153704912273319</c:v>
                </c:pt>
                <c:pt idx="4">
                  <c:v>10.844613008225462</c:v>
                </c:pt>
                <c:pt idx="5">
                  <c:v>9.5555648660340129</c:v>
                </c:pt>
                <c:pt idx="6">
                  <c:v>29.701340292198314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0F-4BC7-97C0-E554E4CC7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"/>
        <c:axId val="1020303823"/>
        <c:axId val="1020313807"/>
      </c:barChart>
      <c:catAx>
        <c:axId val="102030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313807"/>
        <c:crosses val="autoZero"/>
        <c:auto val="1"/>
        <c:lblAlgn val="ctr"/>
        <c:lblOffset val="100"/>
        <c:noMultiLvlLbl val="0"/>
      </c:catAx>
      <c:valAx>
        <c:axId val="1020313807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303823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7565964210714794"/>
          <c:y val="0.18475084030554317"/>
          <c:w val="0.36077467844076772"/>
          <c:h val="7.0166234134748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208364</xdr:colOff>
      <xdr:row>50</xdr:row>
      <xdr:rowOff>25400</xdr:rowOff>
    </xdr:from>
    <xdr:to>
      <xdr:col>6</xdr:col>
      <xdr:colOff>863070</xdr:colOff>
      <xdr:row>61</xdr:row>
      <xdr:rowOff>180474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270711</xdr:colOff>
      <xdr:row>36</xdr:row>
      <xdr:rowOff>82214</xdr:rowOff>
    </xdr:from>
    <xdr:to>
      <xdr:col>6</xdr:col>
      <xdr:colOff>842210</xdr:colOff>
      <xdr:row>48</xdr:row>
      <xdr:rowOff>270709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1"/>
  <sheetViews>
    <sheetView tabSelected="1" zoomScale="95" zoomScaleNormal="95" workbookViewId="0">
      <selection activeCell="M9" sqref="M9"/>
    </sheetView>
  </sheetViews>
  <sheetFormatPr defaultColWidth="9.140625" defaultRowHeight="12.75" x14ac:dyDescent="0.2"/>
  <cols>
    <col min="1" max="1" width="15" style="4" bestFit="1" customWidth="1"/>
    <col min="2" max="2" width="12.85546875" style="4" customWidth="1"/>
    <col min="3" max="3" width="15.7109375" style="4" customWidth="1"/>
    <col min="4" max="4" width="16.5703125" style="4" customWidth="1"/>
    <col min="5" max="5" width="18.7109375" style="4" customWidth="1"/>
    <col min="6" max="6" width="18.5703125" style="4" customWidth="1"/>
    <col min="7" max="7" width="19.28515625" style="4" customWidth="1"/>
    <col min="8" max="8" width="2" style="4" customWidth="1"/>
    <col min="9" max="9" width="12.28515625" style="4" bestFit="1" customWidth="1"/>
    <col min="10" max="10" width="18.5703125" style="4" customWidth="1"/>
    <col min="11" max="11" width="13.5703125" style="4" bestFit="1" customWidth="1"/>
    <col min="12" max="12" width="14.5703125" style="4" bestFit="1" customWidth="1"/>
    <col min="13" max="13" width="15" style="4" bestFit="1" customWidth="1"/>
    <col min="14" max="17" width="13.5703125" style="4" bestFit="1" customWidth="1"/>
    <col min="18" max="19" width="9.140625" style="4"/>
    <col min="20" max="21" width="18" style="4" bestFit="1" customWidth="1"/>
    <col min="22" max="16384" width="9.140625" style="4"/>
  </cols>
  <sheetData>
    <row r="1" spans="1:21" s="3" customFormat="1" ht="18" x14ac:dyDescent="0.25">
      <c r="A1" s="68" t="s">
        <v>2</v>
      </c>
      <c r="B1" s="68"/>
      <c r="C1" s="68"/>
      <c r="D1" s="68"/>
      <c r="E1" s="68"/>
      <c r="F1" s="68"/>
      <c r="G1" s="68"/>
      <c r="H1" s="2"/>
    </row>
    <row r="2" spans="1:21" ht="15.75" x14ac:dyDescent="0.2">
      <c r="A2" s="62" t="s">
        <v>3</v>
      </c>
      <c r="B2" s="63"/>
      <c r="C2" s="63"/>
      <c r="D2" s="63"/>
      <c r="E2" s="63"/>
      <c r="F2" s="63"/>
      <c r="G2" s="64"/>
    </row>
    <row r="3" spans="1:21" ht="21" x14ac:dyDescent="0.2">
      <c r="A3" s="69" t="s">
        <v>4</v>
      </c>
      <c r="B3" s="5" t="s">
        <v>5</v>
      </c>
      <c r="C3" s="6" t="s">
        <v>6</v>
      </c>
      <c r="D3" s="6" t="s">
        <v>7</v>
      </c>
      <c r="E3" s="7" t="s">
        <v>0</v>
      </c>
      <c r="F3" s="7" t="s">
        <v>0</v>
      </c>
      <c r="G3" s="71" t="s">
        <v>8</v>
      </c>
    </row>
    <row r="4" spans="1:21" ht="15" x14ac:dyDescent="0.2">
      <c r="A4" s="70"/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72"/>
    </row>
    <row r="5" spans="1:21" ht="21" x14ac:dyDescent="0.25">
      <c r="A5" s="9" t="s">
        <v>14</v>
      </c>
      <c r="B5" s="10"/>
      <c r="C5" s="11"/>
      <c r="D5" s="11"/>
      <c r="E5" s="12"/>
      <c r="F5" s="13"/>
      <c r="G5" s="14" t="s">
        <v>15</v>
      </c>
      <c r="T5" s="8" t="s">
        <v>10</v>
      </c>
      <c r="U5" s="8" t="s">
        <v>11</v>
      </c>
    </row>
    <row r="6" spans="1:21" ht="21" x14ac:dyDescent="0.2">
      <c r="A6" s="15" t="s">
        <v>16</v>
      </c>
      <c r="B6" s="16">
        <v>1.5</v>
      </c>
      <c r="C6" s="27">
        <v>33410418.619999994</v>
      </c>
      <c r="D6" s="27">
        <f>C6*B6</f>
        <v>50115627.929999992</v>
      </c>
      <c r="E6" s="73">
        <f>(C6/C13)*100</f>
        <v>20.055978241223077</v>
      </c>
      <c r="F6" s="73">
        <f>(D6/D13)*100</f>
        <v>11.88685793812199</v>
      </c>
      <c r="G6" s="17" t="s">
        <v>17</v>
      </c>
      <c r="H6" s="18"/>
      <c r="I6" s="19"/>
      <c r="S6" s="15" t="s">
        <v>16</v>
      </c>
      <c r="T6" s="4">
        <v>33410418.619999994</v>
      </c>
      <c r="U6" s="4">
        <v>50115627.929999992</v>
      </c>
    </row>
    <row r="7" spans="1:21" ht="21" x14ac:dyDescent="0.2">
      <c r="A7" s="15" t="s">
        <v>18</v>
      </c>
      <c r="B7" s="16">
        <v>1.75</v>
      </c>
      <c r="C7" s="27">
        <v>30431306.940000001</v>
      </c>
      <c r="D7" s="27">
        <f t="shared" ref="D7:D11" si="0">C7*B7</f>
        <v>53254787.145000003</v>
      </c>
      <c r="E7" s="73">
        <f>(C7/C13)*100</f>
        <v>18.267643898220062</v>
      </c>
      <c r="F7" s="73">
        <f>(D7/D13)*100</f>
        <v>12.631430862279935</v>
      </c>
      <c r="G7" s="17" t="s">
        <v>19</v>
      </c>
      <c r="H7" s="20"/>
      <c r="I7" s="19"/>
      <c r="S7" s="15" t="s">
        <v>18</v>
      </c>
      <c r="T7" s="4">
        <v>30431306.940000001</v>
      </c>
      <c r="U7" s="4">
        <v>53254787.145000003</v>
      </c>
    </row>
    <row r="8" spans="1:21" ht="21" x14ac:dyDescent="0.2">
      <c r="A8" s="15" t="s">
        <v>20</v>
      </c>
      <c r="B8" s="16">
        <v>2.15</v>
      </c>
      <c r="C8" s="27">
        <v>25936548.990000002</v>
      </c>
      <c r="D8" s="27">
        <f t="shared" si="0"/>
        <v>55763580.328500003</v>
      </c>
      <c r="E8" s="73">
        <f>(C8/C13)*100</f>
        <v>15.569480529779023</v>
      </c>
      <c r="F8" s="73">
        <f>(D8/D13)*100</f>
        <v>13.226488120866964</v>
      </c>
      <c r="G8" s="17" t="s">
        <v>21</v>
      </c>
      <c r="H8" s="20"/>
      <c r="I8" s="19"/>
      <c r="S8" s="15" t="s">
        <v>20</v>
      </c>
      <c r="T8" s="4">
        <v>25936548.990000002</v>
      </c>
      <c r="U8" s="4">
        <v>55763580.328500003</v>
      </c>
    </row>
    <row r="9" spans="1:21" ht="21" x14ac:dyDescent="0.2">
      <c r="A9" s="15" t="s">
        <v>22</v>
      </c>
      <c r="B9" s="16">
        <v>2.5</v>
      </c>
      <c r="C9" s="27">
        <v>20496267.610000003</v>
      </c>
      <c r="D9" s="27">
        <f t="shared" si="0"/>
        <v>51240669.025000006</v>
      </c>
      <c r="E9" s="73">
        <f>(C9/C13)*100</f>
        <v>12.303727824780108</v>
      </c>
      <c r="F9" s="73">
        <f>(D9/D13)*100</f>
        <v>12.153704912273319</v>
      </c>
      <c r="G9" s="17" t="s">
        <v>23</v>
      </c>
      <c r="H9" s="20"/>
      <c r="I9" s="19"/>
      <c r="S9" s="15" t="s">
        <v>22</v>
      </c>
      <c r="T9" s="4">
        <v>20496267.610000003</v>
      </c>
      <c r="U9" s="4">
        <v>51240669.025000006</v>
      </c>
    </row>
    <row r="10" spans="1:21" ht="21" x14ac:dyDescent="0.2">
      <c r="A10" s="15" t="s">
        <v>24</v>
      </c>
      <c r="B10" s="16">
        <v>2.95</v>
      </c>
      <c r="C10" s="27">
        <v>15498802.590000002</v>
      </c>
      <c r="D10" s="27">
        <f t="shared" si="0"/>
        <v>45721467.640500009</v>
      </c>
      <c r="E10" s="73">
        <f>(C10/C13)*100</f>
        <v>9.3037938568053757</v>
      </c>
      <c r="F10" s="73">
        <f>(D10/D13)*100</f>
        <v>10.844613008225462</v>
      </c>
      <c r="G10" s="17" t="s">
        <v>25</v>
      </c>
      <c r="H10" s="20"/>
      <c r="I10" s="19"/>
      <c r="S10" s="15" t="s">
        <v>24</v>
      </c>
      <c r="T10" s="4">
        <v>15498802.590000002</v>
      </c>
      <c r="U10" s="4">
        <v>45721467.640500009</v>
      </c>
    </row>
    <row r="11" spans="1:21" ht="21" x14ac:dyDescent="0.2">
      <c r="A11" s="15" t="s">
        <v>26</v>
      </c>
      <c r="B11" s="16">
        <v>3.55</v>
      </c>
      <c r="C11" s="27">
        <v>11348386.43</v>
      </c>
      <c r="D11" s="27">
        <f t="shared" si="0"/>
        <v>40286771.826499999</v>
      </c>
      <c r="E11" s="73">
        <f>(C11/C13)*100</f>
        <v>6.8123358136202627</v>
      </c>
      <c r="F11" s="73">
        <f>(D11/D13)*100</f>
        <v>9.5555648660340129</v>
      </c>
      <c r="G11" s="17" t="s">
        <v>27</v>
      </c>
      <c r="H11" s="19"/>
      <c r="S11" s="15" t="s">
        <v>26</v>
      </c>
      <c r="T11" s="4">
        <v>11348386.43</v>
      </c>
      <c r="U11" s="4">
        <v>40286771.826499999</v>
      </c>
    </row>
    <row r="12" spans="1:21" ht="21" x14ac:dyDescent="0.2">
      <c r="A12" s="15" t="s">
        <v>28</v>
      </c>
      <c r="B12" s="16">
        <v>4.25</v>
      </c>
      <c r="C12" s="27">
        <v>29464102.82</v>
      </c>
      <c r="D12" s="27">
        <f>C12*B12</f>
        <v>125222436.985</v>
      </c>
      <c r="E12" s="73">
        <f>(C12/C13)*100</f>
        <v>17.687039835572094</v>
      </c>
      <c r="F12" s="73">
        <f>(D12/D13)*100</f>
        <v>29.701340292198314</v>
      </c>
      <c r="G12" s="17" t="s">
        <v>29</v>
      </c>
      <c r="H12" s="19"/>
      <c r="S12" s="15" t="s">
        <v>28</v>
      </c>
      <c r="T12" s="4">
        <v>29464102.82</v>
      </c>
      <c r="U12" s="4">
        <v>125222436.985</v>
      </c>
    </row>
    <row r="13" spans="1:21" ht="21" x14ac:dyDescent="0.2">
      <c r="A13" s="21" t="s">
        <v>30</v>
      </c>
      <c r="B13" s="22"/>
      <c r="C13" s="23">
        <f>SUM(C6:C12)</f>
        <v>166585834</v>
      </c>
      <c r="D13" s="23">
        <f>SUM(D6:D12)</f>
        <v>421605340.88050002</v>
      </c>
      <c r="E13" s="74">
        <f>(C13/C13)*100</f>
        <v>100</v>
      </c>
      <c r="F13" s="74">
        <f>(D13/D13)*100</f>
        <v>100</v>
      </c>
      <c r="G13" s="14" t="s">
        <v>31</v>
      </c>
      <c r="H13" s="19"/>
      <c r="J13" s="24"/>
    </row>
    <row r="14" spans="1:21" ht="21" x14ac:dyDescent="0.2">
      <c r="A14" s="25" t="s">
        <v>32</v>
      </c>
      <c r="B14" s="26"/>
      <c r="C14" s="27"/>
      <c r="D14" s="27"/>
      <c r="E14" s="28"/>
      <c r="F14" s="29"/>
      <c r="G14" s="14" t="s">
        <v>33</v>
      </c>
      <c r="H14" s="19"/>
      <c r="J14" s="24"/>
      <c r="T14" s="8" t="s">
        <v>10</v>
      </c>
      <c r="U14" s="8" t="s">
        <v>11</v>
      </c>
    </row>
    <row r="15" spans="1:21" ht="21" x14ac:dyDescent="0.25">
      <c r="A15" s="15" t="s">
        <v>16</v>
      </c>
      <c r="B15" s="16">
        <v>3.3</v>
      </c>
      <c r="C15" s="27">
        <v>847520.33000000007</v>
      </c>
      <c r="D15" s="27">
        <f>C15*B15</f>
        <v>2796817.0890000002</v>
      </c>
      <c r="E15" s="73">
        <f>(C15/C20)*100</f>
        <v>2.6178038452963537</v>
      </c>
      <c r="F15" s="73">
        <f>(D15/D20)*100</f>
        <v>2.0369838133636535</v>
      </c>
      <c r="G15" s="17" t="s">
        <v>17</v>
      </c>
      <c r="H15" s="19"/>
      <c r="K15" s="30"/>
      <c r="L15" s="30"/>
      <c r="M15" s="30"/>
      <c r="N15" s="30"/>
      <c r="O15" s="30"/>
      <c r="P15" s="30"/>
      <c r="Q15" s="30"/>
      <c r="S15" s="9" t="s">
        <v>14</v>
      </c>
      <c r="T15" s="23">
        <v>166585834</v>
      </c>
      <c r="U15" s="23">
        <v>421605340.88050002</v>
      </c>
    </row>
    <row r="16" spans="1:21" ht="21" x14ac:dyDescent="0.2">
      <c r="A16" s="15" t="s">
        <v>34</v>
      </c>
      <c r="B16" s="16">
        <v>3.35</v>
      </c>
      <c r="C16" s="27">
        <v>1510426.6700000002</v>
      </c>
      <c r="D16" s="27">
        <f t="shared" ref="D16:D19" si="1">C16*B16</f>
        <v>5059929.3445000006</v>
      </c>
      <c r="E16" s="73">
        <f>(C16/C20)*100</f>
        <v>4.6653756904736037</v>
      </c>
      <c r="F16" s="73">
        <f>(D16/D20)*100</f>
        <v>3.685258579135585</v>
      </c>
      <c r="G16" s="17" t="s">
        <v>35</v>
      </c>
      <c r="H16" s="19"/>
      <c r="S16" s="25" t="s">
        <v>32</v>
      </c>
      <c r="T16" s="23">
        <v>32375242</v>
      </c>
      <c r="U16" s="23">
        <v>137301880.88150001</v>
      </c>
    </row>
    <row r="17" spans="1:21" ht="21" x14ac:dyDescent="0.2">
      <c r="A17" s="15" t="s">
        <v>36</v>
      </c>
      <c r="B17" s="16">
        <v>3.65</v>
      </c>
      <c r="C17" s="27">
        <v>1315386.7199999995</v>
      </c>
      <c r="D17" s="27">
        <f t="shared" si="1"/>
        <v>4801161.5279999981</v>
      </c>
      <c r="E17" s="73">
        <f>(C17/C20)*100</f>
        <v>4.0629401936207907</v>
      </c>
      <c r="F17" s="73">
        <f>(D17/D20)*100</f>
        <v>3.4967922487119432</v>
      </c>
      <c r="G17" s="17" t="s">
        <v>37</v>
      </c>
      <c r="H17" s="19"/>
      <c r="S17" s="25" t="s">
        <v>38</v>
      </c>
      <c r="T17" s="23">
        <v>109946317</v>
      </c>
      <c r="U17" s="23">
        <v>510097490.05399996</v>
      </c>
    </row>
    <row r="18" spans="1:21" ht="21" x14ac:dyDescent="0.2">
      <c r="A18" s="15" t="s">
        <v>26</v>
      </c>
      <c r="B18" s="16">
        <v>4</v>
      </c>
      <c r="C18" s="27">
        <v>598080.27999999991</v>
      </c>
      <c r="D18" s="27">
        <f t="shared" si="1"/>
        <v>2392321.1199999996</v>
      </c>
      <c r="E18" s="73">
        <f>(C18/C20)*100</f>
        <v>1.8473384075399342</v>
      </c>
      <c r="F18" s="73">
        <f>(D18/D20)*100</f>
        <v>1.7423804427447869</v>
      </c>
      <c r="G18" s="17" t="s">
        <v>27</v>
      </c>
      <c r="H18" s="19"/>
      <c r="S18" s="25" t="s">
        <v>45</v>
      </c>
      <c r="T18" s="23">
        <v>1552880</v>
      </c>
      <c r="U18" s="23">
        <v>5279792</v>
      </c>
    </row>
    <row r="19" spans="1:21" ht="21" x14ac:dyDescent="0.2">
      <c r="A19" s="15" t="s">
        <v>28</v>
      </c>
      <c r="B19" s="16">
        <v>4.3499999999999996</v>
      </c>
      <c r="C19" s="27">
        <f>38047098-9943270</f>
        <v>28103828</v>
      </c>
      <c r="D19" s="27">
        <f t="shared" si="1"/>
        <v>122251651.8</v>
      </c>
      <c r="E19" s="73">
        <f>(C19/C20)*100</f>
        <v>86.806541863069313</v>
      </c>
      <c r="F19" s="73">
        <f>(D19/D20)*100</f>
        <v>89.03858491604403</v>
      </c>
      <c r="G19" s="17" t="s">
        <v>29</v>
      </c>
      <c r="H19" s="19"/>
      <c r="S19" s="25" t="s">
        <v>58</v>
      </c>
      <c r="T19" s="24">
        <f>C35</f>
        <v>8390390</v>
      </c>
      <c r="U19" s="24">
        <f>D35</f>
        <v>35659157.5</v>
      </c>
    </row>
    <row r="20" spans="1:21" ht="21" x14ac:dyDescent="0.2">
      <c r="A20" s="21" t="s">
        <v>30</v>
      </c>
      <c r="B20" s="22"/>
      <c r="C20" s="23">
        <f>SUM(C15:C19)</f>
        <v>32375242</v>
      </c>
      <c r="D20" s="23">
        <f>SUM(D15:D19)</f>
        <v>137301880.88150001</v>
      </c>
      <c r="E20" s="74">
        <f>(C20/C20)*100</f>
        <v>100</v>
      </c>
      <c r="F20" s="74">
        <f>(D20/D20)*100</f>
        <v>100</v>
      </c>
      <c r="G20" s="14" t="s">
        <v>31</v>
      </c>
      <c r="H20" s="19"/>
    </row>
    <row r="21" spans="1:21" ht="21" x14ac:dyDescent="0.2">
      <c r="A21" s="25" t="s">
        <v>38</v>
      </c>
      <c r="B21" s="26"/>
      <c r="C21" s="27"/>
      <c r="D21" s="27"/>
      <c r="E21" s="28"/>
      <c r="F21" s="29"/>
      <c r="G21" s="14" t="s">
        <v>33</v>
      </c>
      <c r="H21" s="19"/>
    </row>
    <row r="22" spans="1:21" ht="21" x14ac:dyDescent="0.2">
      <c r="A22" s="15" t="s">
        <v>16</v>
      </c>
      <c r="B22" s="16">
        <v>3.3</v>
      </c>
      <c r="C22" s="27">
        <v>8741898.1599999983</v>
      </c>
      <c r="D22" s="27">
        <f>C22*B22</f>
        <v>28848263.927999992</v>
      </c>
      <c r="E22" s="73">
        <f>(C22/C29)*100</f>
        <v>7.9510604798157987</v>
      </c>
      <c r="F22" s="73">
        <f>(D22/D29)*100</f>
        <v>5.6554412618156693</v>
      </c>
      <c r="G22" s="17" t="s">
        <v>17</v>
      </c>
      <c r="H22" s="19"/>
    </row>
    <row r="23" spans="1:21" ht="21" x14ac:dyDescent="0.2">
      <c r="A23" s="15" t="s">
        <v>34</v>
      </c>
      <c r="B23" s="16">
        <v>3.35</v>
      </c>
      <c r="C23" s="27">
        <v>14209881.84</v>
      </c>
      <c r="D23" s="27">
        <f t="shared" ref="D23:D28" si="2">C23*B23</f>
        <v>47603104.163999997</v>
      </c>
      <c r="E23" s="73">
        <f>(C23/C29)*100</f>
        <v>12.924381850826345</v>
      </c>
      <c r="F23" s="73">
        <f>(D23/D29)*100</f>
        <v>9.3321580858907254</v>
      </c>
      <c r="G23" s="17" t="s">
        <v>35</v>
      </c>
      <c r="H23" s="19"/>
    </row>
    <row r="24" spans="1:21" ht="21" x14ac:dyDescent="0.2">
      <c r="A24" s="15" t="s">
        <v>36</v>
      </c>
      <c r="B24" s="16">
        <v>3.65</v>
      </c>
      <c r="C24" s="27">
        <v>10973694.700000001</v>
      </c>
      <c r="D24" s="27">
        <f t="shared" si="2"/>
        <v>40053985.655000001</v>
      </c>
      <c r="E24" s="73">
        <f>(C24/C29)*100</f>
        <v>9.9809570701672534</v>
      </c>
      <c r="F24" s="73">
        <f>(D24/D29)*100</f>
        <v>7.8522216705594463</v>
      </c>
      <c r="G24" s="17" t="s">
        <v>37</v>
      </c>
      <c r="H24" s="19"/>
    </row>
    <row r="25" spans="1:21" ht="21" x14ac:dyDescent="0.2">
      <c r="A25" s="15" t="s">
        <v>26</v>
      </c>
      <c r="B25" s="16">
        <v>4</v>
      </c>
      <c r="C25" s="27">
        <v>4472356.3</v>
      </c>
      <c r="D25" s="27">
        <f t="shared" si="2"/>
        <v>17889425.199999999</v>
      </c>
      <c r="E25" s="73">
        <f>(C25/C29)*100</f>
        <v>4.067763634137922</v>
      </c>
      <c r="F25" s="73">
        <f>(D25/D29)*100</f>
        <v>3.5070600324079595</v>
      </c>
      <c r="G25" s="17" t="s">
        <v>39</v>
      </c>
      <c r="H25" s="19"/>
    </row>
    <row r="26" spans="1:21" ht="21" x14ac:dyDescent="0.2">
      <c r="A26" s="15" t="s">
        <v>40</v>
      </c>
      <c r="B26" s="16">
        <v>4.3499999999999996</v>
      </c>
      <c r="C26" s="27">
        <v>37453836</v>
      </c>
      <c r="D26" s="27">
        <f t="shared" si="2"/>
        <v>162924186.59999999</v>
      </c>
      <c r="E26" s="73">
        <f>(C26/C29)*100</f>
        <v>34.065566743813704</v>
      </c>
      <c r="F26" s="73">
        <f>(D26/D29)*100</f>
        <v>31.939813423263953</v>
      </c>
      <c r="G26" s="17" t="s">
        <v>40</v>
      </c>
      <c r="H26" s="19"/>
    </row>
    <row r="27" spans="1:21" ht="21" x14ac:dyDescent="0.2">
      <c r="A27" s="15" t="s">
        <v>41</v>
      </c>
      <c r="B27" s="16">
        <v>5.75</v>
      </c>
      <c r="C27" s="27">
        <v>15500997.769999998</v>
      </c>
      <c r="D27" s="27">
        <f t="shared" si="2"/>
        <v>89130737.17749998</v>
      </c>
      <c r="E27" s="73">
        <f>(C27/C29)*100</f>
        <v>14.098696703046448</v>
      </c>
      <c r="F27" s="73">
        <f>(D27/D29)*100</f>
        <v>17.47327499456318</v>
      </c>
      <c r="G27" s="17" t="s">
        <v>42</v>
      </c>
      <c r="H27" s="19"/>
    </row>
    <row r="28" spans="1:21" ht="21" x14ac:dyDescent="0.2">
      <c r="A28" s="15" t="s">
        <v>43</v>
      </c>
      <c r="B28" s="16">
        <v>6.65</v>
      </c>
      <c r="C28" s="27">
        <v>18593652.23</v>
      </c>
      <c r="D28" s="27">
        <f t="shared" si="2"/>
        <v>123647787.3295</v>
      </c>
      <c r="E28" s="73">
        <f>(C28/C29)*100</f>
        <v>16.911573518192519</v>
      </c>
      <c r="F28" s="73">
        <f>(D28/D29)*100</f>
        <v>24.240030531499066</v>
      </c>
      <c r="G28" s="17" t="s">
        <v>44</v>
      </c>
      <c r="H28" s="19"/>
    </row>
    <row r="29" spans="1:21" ht="21" x14ac:dyDescent="0.2">
      <c r="A29" s="21" t="s">
        <v>30</v>
      </c>
      <c r="B29" s="22"/>
      <c r="C29" s="23">
        <f>SUM(C22:C28)</f>
        <v>109946317</v>
      </c>
      <c r="D29" s="23">
        <f>SUM(D22:D28)</f>
        <v>510097490.05399996</v>
      </c>
      <c r="E29" s="74">
        <f>(C29/C29)*100</f>
        <v>100</v>
      </c>
      <c r="F29" s="74">
        <f>(D29/D29)*100</f>
        <v>100</v>
      </c>
      <c r="G29" s="14" t="s">
        <v>31</v>
      </c>
      <c r="H29" s="19"/>
    </row>
    <row r="30" spans="1:21" ht="21" x14ac:dyDescent="0.2">
      <c r="A30" s="25" t="s">
        <v>45</v>
      </c>
      <c r="C30" s="27"/>
      <c r="D30" s="27"/>
      <c r="E30" s="73"/>
      <c r="F30" s="73"/>
      <c r="G30" s="14" t="s">
        <v>33</v>
      </c>
      <c r="H30" s="19"/>
      <c r="J30" s="24"/>
    </row>
    <row r="31" spans="1:21" ht="21" x14ac:dyDescent="0.2">
      <c r="A31" s="31"/>
      <c r="B31" s="32">
        <v>3.4</v>
      </c>
      <c r="C31" s="27">
        <v>1552880</v>
      </c>
      <c r="D31" s="33">
        <f>B31*C31</f>
        <v>5279792</v>
      </c>
      <c r="E31" s="73">
        <f>(C31/C32)*100</f>
        <v>100</v>
      </c>
      <c r="F31" s="73">
        <f>(D31/D32)*100</f>
        <v>100</v>
      </c>
      <c r="G31" s="34"/>
      <c r="H31" s="19"/>
      <c r="J31" s="24"/>
    </row>
    <row r="32" spans="1:21" ht="21" x14ac:dyDescent="0.2">
      <c r="A32" s="35" t="s">
        <v>30</v>
      </c>
      <c r="B32" s="36"/>
      <c r="C32" s="37">
        <f>SUM(C31)</f>
        <v>1552880</v>
      </c>
      <c r="D32" s="37">
        <f>SUM(D31)</f>
        <v>5279792</v>
      </c>
      <c r="E32" s="75">
        <f>(C32/C32)*100</f>
        <v>100</v>
      </c>
      <c r="F32" s="75">
        <f>(D32/D32)*100</f>
        <v>100</v>
      </c>
      <c r="G32" s="38" t="s">
        <v>31</v>
      </c>
    </row>
    <row r="33" spans="1:13" ht="21" x14ac:dyDescent="0.2">
      <c r="A33" s="25" t="s">
        <v>46</v>
      </c>
      <c r="C33" s="27"/>
      <c r="D33" s="27"/>
      <c r="E33" s="54"/>
      <c r="F33" s="55"/>
      <c r="G33" s="14" t="s">
        <v>57</v>
      </c>
      <c r="H33" s="19"/>
      <c r="J33" s="24"/>
    </row>
    <row r="34" spans="1:13" ht="21" x14ac:dyDescent="0.2">
      <c r="A34" s="31"/>
      <c r="B34" s="32">
        <v>4.25</v>
      </c>
      <c r="C34" s="27">
        <v>8390390</v>
      </c>
      <c r="D34" s="33">
        <f>B34*C34</f>
        <v>35659157.5</v>
      </c>
      <c r="E34" s="73">
        <f>(C34/C35)*100</f>
        <v>100</v>
      </c>
      <c r="F34" s="73">
        <f>(D34/D35)*100</f>
        <v>100</v>
      </c>
      <c r="G34" s="34"/>
      <c r="H34" s="19"/>
      <c r="J34" s="24"/>
    </row>
    <row r="35" spans="1:13" ht="21" x14ac:dyDescent="0.2">
      <c r="A35" s="35" t="s">
        <v>30</v>
      </c>
      <c r="B35" s="36"/>
      <c r="C35" s="37">
        <f>SUM(C34)</f>
        <v>8390390</v>
      </c>
      <c r="D35" s="37">
        <f>SUM(D34)</f>
        <v>35659157.5</v>
      </c>
      <c r="E35" s="76">
        <f>(C35/C35)*100</f>
        <v>100</v>
      </c>
      <c r="F35" s="76">
        <f>(D35/D35)*100</f>
        <v>100</v>
      </c>
      <c r="G35" s="38" t="s">
        <v>31</v>
      </c>
    </row>
    <row r="36" spans="1:13" ht="21.75" customHeight="1" x14ac:dyDescent="0.25">
      <c r="A36" s="39" t="s">
        <v>1</v>
      </c>
      <c r="B36" s="40"/>
      <c r="C36" s="40"/>
      <c r="D36" s="40"/>
      <c r="E36" s="41"/>
      <c r="F36" s="41"/>
      <c r="G36" s="42" t="s">
        <v>47</v>
      </c>
      <c r="H36" s="43"/>
      <c r="M36" s="44"/>
    </row>
    <row r="37" spans="1:13" ht="21.75" customHeight="1" x14ac:dyDescent="0.25">
      <c r="A37" s="45"/>
      <c r="B37" s="40"/>
      <c r="C37" s="40"/>
      <c r="D37" s="40"/>
      <c r="E37" s="41"/>
      <c r="F37" s="41"/>
      <c r="G37" s="42"/>
      <c r="H37" s="43"/>
      <c r="M37" s="44"/>
    </row>
    <row r="38" spans="1:13" ht="21.75" customHeight="1" x14ac:dyDescent="0.25">
      <c r="A38" s="45"/>
      <c r="B38" s="40"/>
      <c r="C38" s="40"/>
      <c r="D38" s="40"/>
      <c r="E38" s="41"/>
      <c r="F38" s="41"/>
      <c r="G38" s="42"/>
      <c r="H38" s="43"/>
      <c r="M38" s="44"/>
    </row>
    <row r="39" spans="1:13" ht="21.75" customHeight="1" x14ac:dyDescent="0.25">
      <c r="A39" s="45"/>
      <c r="B39" s="40"/>
      <c r="C39" s="40"/>
      <c r="D39" s="40"/>
      <c r="E39" s="41"/>
      <c r="F39" s="41"/>
      <c r="G39" s="42"/>
      <c r="H39" s="43"/>
      <c r="M39" s="44"/>
    </row>
    <row r="40" spans="1:13" ht="21.75" customHeight="1" x14ac:dyDescent="0.25">
      <c r="A40" s="45"/>
      <c r="B40" s="40"/>
      <c r="C40" s="40"/>
      <c r="D40" s="40"/>
      <c r="E40" s="41"/>
      <c r="F40" s="41"/>
      <c r="G40" s="42"/>
      <c r="H40" s="43"/>
      <c r="M40" s="44"/>
    </row>
    <row r="41" spans="1:13" ht="21.75" customHeight="1" x14ac:dyDescent="0.25">
      <c r="A41" s="45"/>
      <c r="B41" s="40"/>
      <c r="C41" s="40"/>
      <c r="D41" s="40"/>
      <c r="E41" s="41"/>
      <c r="F41" s="41"/>
      <c r="G41" s="42"/>
      <c r="H41" s="43"/>
      <c r="M41" s="44"/>
    </row>
    <row r="42" spans="1:13" ht="21.75" customHeight="1" x14ac:dyDescent="0.25">
      <c r="A42" s="45"/>
      <c r="B42" s="40"/>
      <c r="C42" s="40"/>
      <c r="D42" s="40"/>
      <c r="E42" s="41"/>
      <c r="F42" s="41"/>
      <c r="G42" s="42"/>
      <c r="H42" s="43"/>
      <c r="M42" s="44"/>
    </row>
    <row r="43" spans="1:13" ht="21.75" customHeight="1" x14ac:dyDescent="0.25">
      <c r="A43" s="45"/>
      <c r="B43" s="40"/>
      <c r="C43" s="40"/>
      <c r="D43" s="40"/>
      <c r="E43" s="41"/>
      <c r="F43" s="41"/>
      <c r="G43" s="42"/>
      <c r="H43" s="43"/>
      <c r="M43" s="44"/>
    </row>
    <row r="44" spans="1:13" ht="21.75" customHeight="1" x14ac:dyDescent="0.25">
      <c r="A44" s="45"/>
      <c r="B44" s="40"/>
      <c r="C44" s="40"/>
      <c r="D44" s="40"/>
      <c r="E44" s="41"/>
      <c r="F44" s="41"/>
      <c r="G44" s="42"/>
      <c r="H44" s="43"/>
      <c r="M44" s="44"/>
    </row>
    <row r="45" spans="1:13" ht="21.75" customHeight="1" x14ac:dyDescent="0.25">
      <c r="A45" s="45"/>
      <c r="B45" s="40"/>
      <c r="C45" s="40"/>
      <c r="D45" s="40"/>
      <c r="E45" s="41"/>
      <c r="F45" s="41"/>
      <c r="G45" s="42"/>
      <c r="H45" s="43"/>
      <c r="M45" s="44"/>
    </row>
    <row r="46" spans="1:13" ht="21.75" customHeight="1" x14ac:dyDescent="0.25">
      <c r="A46" s="45"/>
      <c r="B46" s="40"/>
      <c r="C46" s="40"/>
      <c r="D46" s="40"/>
      <c r="E46" s="41"/>
      <c r="F46" s="41"/>
      <c r="G46" s="42"/>
      <c r="H46" s="43"/>
      <c r="M46" s="44"/>
    </row>
    <row r="47" spans="1:13" ht="21.75" customHeight="1" x14ac:dyDescent="0.25">
      <c r="A47" s="45"/>
      <c r="B47" s="40"/>
      <c r="C47" s="40"/>
      <c r="D47" s="40"/>
      <c r="E47" s="41"/>
      <c r="F47" s="41"/>
      <c r="G47" s="42"/>
      <c r="H47" s="43"/>
      <c r="M47" s="44"/>
    </row>
    <row r="48" spans="1:13" ht="21.75" customHeight="1" x14ac:dyDescent="0.25">
      <c r="A48" s="45"/>
      <c r="B48" s="40"/>
      <c r="C48" s="40"/>
      <c r="D48" s="40"/>
      <c r="E48" s="41"/>
      <c r="F48" s="41"/>
      <c r="G48" s="42"/>
      <c r="H48" s="43"/>
      <c r="M48" s="44"/>
    </row>
    <row r="49" spans="1:13" ht="21.75" customHeight="1" x14ac:dyDescent="0.25">
      <c r="A49" s="45"/>
      <c r="B49" s="40"/>
      <c r="C49" s="40"/>
      <c r="D49" s="40"/>
      <c r="E49" s="41"/>
      <c r="F49" s="41"/>
      <c r="G49" s="42"/>
      <c r="H49" s="43"/>
      <c r="M49" s="44"/>
    </row>
    <row r="50" spans="1:13" ht="21.75" customHeight="1" x14ac:dyDescent="0.25">
      <c r="A50" s="45"/>
      <c r="B50" s="40"/>
      <c r="C50" s="40"/>
      <c r="D50" s="40"/>
      <c r="E50" s="41"/>
      <c r="F50" s="41"/>
      <c r="G50" s="42"/>
      <c r="H50" s="43"/>
      <c r="M50" s="44"/>
    </row>
    <row r="51" spans="1:13" ht="21.75" customHeight="1" x14ac:dyDescent="0.25">
      <c r="A51" s="45"/>
      <c r="B51" s="40"/>
      <c r="C51" s="40"/>
      <c r="D51" s="40"/>
      <c r="E51" s="41"/>
      <c r="F51" s="41"/>
      <c r="G51" s="42"/>
      <c r="H51" s="43"/>
      <c r="M51" s="44"/>
    </row>
    <row r="52" spans="1:13" ht="21.75" customHeight="1" x14ac:dyDescent="0.25">
      <c r="A52" s="45"/>
      <c r="B52" s="40"/>
      <c r="C52" s="40"/>
      <c r="D52" s="40"/>
      <c r="E52" s="41"/>
      <c r="F52" s="41"/>
      <c r="G52" s="42"/>
      <c r="H52" s="43"/>
      <c r="M52" s="44"/>
    </row>
    <row r="53" spans="1:13" ht="21.75" customHeight="1" x14ac:dyDescent="0.25">
      <c r="A53" s="45"/>
      <c r="B53" s="40"/>
      <c r="C53" s="40"/>
      <c r="D53" s="40"/>
      <c r="E53" s="41"/>
      <c r="F53" s="41"/>
      <c r="G53" s="42"/>
      <c r="H53" s="43"/>
      <c r="M53" s="44"/>
    </row>
    <row r="54" spans="1:13" ht="21.75" customHeight="1" x14ac:dyDescent="0.25">
      <c r="A54" s="45"/>
      <c r="B54" s="40"/>
      <c r="C54" s="40"/>
      <c r="D54" s="40"/>
      <c r="E54" s="41"/>
      <c r="F54" s="41"/>
      <c r="G54" s="42"/>
      <c r="H54" s="43"/>
      <c r="M54" s="44"/>
    </row>
    <row r="55" spans="1:13" ht="21.75" customHeight="1" x14ac:dyDescent="0.25">
      <c r="A55" s="45"/>
      <c r="B55" s="40"/>
      <c r="C55" s="40"/>
      <c r="D55" s="40"/>
      <c r="E55" s="41"/>
      <c r="F55" s="41"/>
      <c r="G55" s="42"/>
      <c r="H55" s="43"/>
      <c r="M55" s="44"/>
    </row>
    <row r="56" spans="1:13" ht="21.75" customHeight="1" x14ac:dyDescent="0.25">
      <c r="A56" s="45"/>
      <c r="B56" s="40"/>
      <c r="C56" s="40"/>
      <c r="D56" s="40"/>
      <c r="E56" s="41"/>
      <c r="F56" s="41"/>
      <c r="G56" s="42"/>
      <c r="H56" s="43"/>
      <c r="M56" s="44"/>
    </row>
    <row r="57" spans="1:13" ht="21.75" customHeight="1" x14ac:dyDescent="0.25">
      <c r="A57" s="45"/>
      <c r="B57" s="40"/>
      <c r="C57" s="40"/>
      <c r="D57" s="40"/>
      <c r="E57" s="41"/>
      <c r="F57" s="41"/>
      <c r="G57" s="42"/>
      <c r="H57" s="43"/>
      <c r="M57" s="44"/>
    </row>
    <row r="58" spans="1:13" ht="21.75" customHeight="1" x14ac:dyDescent="0.25">
      <c r="A58" s="45"/>
      <c r="B58" s="40"/>
      <c r="C58" s="40"/>
      <c r="D58" s="40"/>
      <c r="E58" s="41"/>
      <c r="F58" s="41"/>
      <c r="G58" s="42"/>
      <c r="H58" s="43"/>
      <c r="M58" s="44"/>
    </row>
    <row r="59" spans="1:13" ht="21.75" customHeight="1" x14ac:dyDescent="0.25">
      <c r="A59" s="45"/>
      <c r="B59" s="40"/>
      <c r="C59" s="40"/>
      <c r="D59" s="40"/>
      <c r="E59" s="41"/>
      <c r="F59" s="41"/>
      <c r="G59" s="42"/>
      <c r="H59" s="43"/>
      <c r="M59" s="44"/>
    </row>
    <row r="60" spans="1:13" ht="21.75" customHeight="1" x14ac:dyDescent="0.25">
      <c r="A60" s="45"/>
      <c r="B60" s="40"/>
      <c r="C60" s="40"/>
      <c r="D60" s="40"/>
      <c r="E60" s="41"/>
      <c r="F60" s="41"/>
      <c r="G60" s="42"/>
      <c r="H60" s="43"/>
      <c r="M60" s="44"/>
    </row>
    <row r="61" spans="1:13" ht="21.75" customHeight="1" x14ac:dyDescent="0.25">
      <c r="A61" s="45"/>
      <c r="B61" s="40"/>
      <c r="C61" s="40"/>
      <c r="D61" s="40"/>
      <c r="E61" s="41"/>
      <c r="F61" s="41"/>
      <c r="G61" s="42"/>
      <c r="H61" s="43"/>
      <c r="M61" s="44"/>
    </row>
    <row r="62" spans="1:13" ht="21.75" customHeight="1" x14ac:dyDescent="0.25">
      <c r="A62" s="45"/>
      <c r="B62" s="40"/>
      <c r="C62" s="40"/>
      <c r="D62" s="40"/>
      <c r="E62" s="41"/>
      <c r="F62" s="41"/>
      <c r="G62" s="42"/>
      <c r="H62" s="43"/>
      <c r="M62" s="44"/>
    </row>
    <row r="63" spans="1:13" ht="21.75" customHeight="1" x14ac:dyDescent="0.25">
      <c r="A63" s="45"/>
      <c r="B63" s="40"/>
      <c r="C63" s="40"/>
      <c r="D63" s="40"/>
      <c r="E63" s="41"/>
      <c r="F63" s="41"/>
      <c r="G63" s="42"/>
      <c r="H63" s="43"/>
      <c r="M63" s="44"/>
    </row>
    <row r="64" spans="1:13" ht="21.75" customHeight="1" x14ac:dyDescent="0.25">
      <c r="A64" s="45"/>
      <c r="B64" s="40"/>
      <c r="C64" s="40"/>
      <c r="D64" s="40"/>
      <c r="E64" s="41"/>
      <c r="F64" s="41"/>
      <c r="G64" s="42"/>
      <c r="H64" s="43"/>
      <c r="M64" s="44"/>
    </row>
    <row r="65" spans="1:10" s="3" customFormat="1" ht="18" x14ac:dyDescent="0.25">
      <c r="A65" s="68" t="s">
        <v>48</v>
      </c>
      <c r="B65" s="68"/>
      <c r="C65" s="68"/>
      <c r="D65" s="68"/>
      <c r="E65" s="68"/>
      <c r="F65" s="68"/>
      <c r="G65" s="68"/>
      <c r="H65" s="2"/>
    </row>
    <row r="66" spans="1:10" ht="15.75" x14ac:dyDescent="0.2">
      <c r="A66" s="62" t="s">
        <v>49</v>
      </c>
      <c r="B66" s="63"/>
      <c r="C66" s="63"/>
      <c r="D66" s="63"/>
      <c r="E66" s="63"/>
      <c r="F66" s="63"/>
      <c r="G66" s="64"/>
    </row>
    <row r="67" spans="1:10" ht="21" x14ac:dyDescent="0.2">
      <c r="A67" s="69" t="s">
        <v>4</v>
      </c>
      <c r="B67" s="5" t="s">
        <v>5</v>
      </c>
      <c r="C67" s="6" t="s">
        <v>6</v>
      </c>
      <c r="D67" s="6" t="s">
        <v>7</v>
      </c>
      <c r="E67" s="7" t="s">
        <v>0</v>
      </c>
      <c r="F67" s="7" t="s">
        <v>0</v>
      </c>
      <c r="G67" s="71" t="s">
        <v>8</v>
      </c>
    </row>
    <row r="68" spans="1:10" ht="15" x14ac:dyDescent="0.2">
      <c r="A68" s="70"/>
      <c r="B68" s="8" t="s">
        <v>9</v>
      </c>
      <c r="C68" s="8" t="s">
        <v>10</v>
      </c>
      <c r="D68" s="8" t="s">
        <v>11</v>
      </c>
      <c r="E68" s="8" t="s">
        <v>12</v>
      </c>
      <c r="F68" s="8" t="s">
        <v>13</v>
      </c>
      <c r="G68" s="72"/>
    </row>
    <row r="69" spans="1:10" ht="21" x14ac:dyDescent="0.25">
      <c r="A69" s="9" t="s">
        <v>14</v>
      </c>
      <c r="B69" s="10"/>
      <c r="C69" s="11"/>
      <c r="D69" s="11"/>
      <c r="E69" s="12"/>
      <c r="F69" s="13"/>
      <c r="G69" s="14" t="s">
        <v>15</v>
      </c>
    </row>
    <row r="70" spans="1:10" ht="21" x14ac:dyDescent="0.2">
      <c r="A70" s="15" t="s">
        <v>16</v>
      </c>
      <c r="B70" s="16">
        <v>1.5</v>
      </c>
      <c r="C70" s="27">
        <v>32431269.640000001</v>
      </c>
      <c r="D70" s="27">
        <f>B70*C70</f>
        <v>48646904.460000001</v>
      </c>
      <c r="E70" s="73">
        <f>(C70/$C$77)*100</f>
        <v>20.407831714559922</v>
      </c>
      <c r="F70" s="73">
        <f>(D70/$D$77)*100</f>
        <v>12.208956731614496</v>
      </c>
      <c r="G70" s="17" t="s">
        <v>17</v>
      </c>
      <c r="H70" s="18"/>
      <c r="I70" s="19"/>
    </row>
    <row r="71" spans="1:10" ht="21" x14ac:dyDescent="0.2">
      <c r="A71" s="15" t="s">
        <v>18</v>
      </c>
      <c r="B71" s="16">
        <v>1.7</v>
      </c>
      <c r="C71" s="27">
        <v>29563422.540000003</v>
      </c>
      <c r="D71" s="27">
        <f t="shared" ref="D71:D76" si="3">B71*C71</f>
        <v>50257818.318000004</v>
      </c>
      <c r="E71" s="73">
        <f t="shared" ref="E71:E75" si="4">(C71/$C$77)*100</f>
        <v>18.603198665975746</v>
      </c>
      <c r="F71" s="73">
        <f t="shared" ref="F71:F76" si="5">(D71/$D$77)*100</f>
        <v>12.613249210426829</v>
      </c>
      <c r="G71" s="17" t="s">
        <v>19</v>
      </c>
      <c r="H71" s="20"/>
      <c r="I71" s="19"/>
    </row>
    <row r="72" spans="1:10" ht="21" x14ac:dyDescent="0.2">
      <c r="A72" s="15" t="s">
        <v>50</v>
      </c>
      <c r="B72" s="16">
        <v>2.15</v>
      </c>
      <c r="C72" s="27">
        <v>24878968.059999999</v>
      </c>
      <c r="D72" s="27">
        <f t="shared" si="3"/>
        <v>53489781.328999996</v>
      </c>
      <c r="E72" s="73">
        <f t="shared" si="4"/>
        <v>15.655439920679939</v>
      </c>
      <c r="F72" s="73">
        <f t="shared" si="5"/>
        <v>13.424377832021294</v>
      </c>
      <c r="G72" s="17" t="s">
        <v>21</v>
      </c>
      <c r="H72" s="20"/>
      <c r="I72" s="19"/>
    </row>
    <row r="73" spans="1:10" ht="21" x14ac:dyDescent="0.2">
      <c r="A73" s="15" t="s">
        <v>22</v>
      </c>
      <c r="B73" s="16">
        <v>2.5</v>
      </c>
      <c r="C73" s="27">
        <v>19370535.440000001</v>
      </c>
      <c r="D73" s="27">
        <f t="shared" si="3"/>
        <v>48426338.600000001</v>
      </c>
      <c r="E73" s="73">
        <f t="shared" si="4"/>
        <v>12.189181363188807</v>
      </c>
      <c r="F73" s="73">
        <f t="shared" si="5"/>
        <v>12.153601122226737</v>
      </c>
      <c r="G73" s="17" t="s">
        <v>23</v>
      </c>
      <c r="H73" s="20"/>
      <c r="I73" s="19"/>
    </row>
    <row r="74" spans="1:10" ht="21" x14ac:dyDescent="0.2">
      <c r="A74" s="15" t="s">
        <v>24</v>
      </c>
      <c r="B74" s="16">
        <v>2.95</v>
      </c>
      <c r="C74" s="27">
        <v>14488272.069999998</v>
      </c>
      <c r="D74" s="27">
        <f t="shared" si="3"/>
        <v>42740402.6065</v>
      </c>
      <c r="E74" s="73">
        <f t="shared" si="4"/>
        <v>9.1169485968764157</v>
      </c>
      <c r="F74" s="73">
        <f t="shared" si="5"/>
        <v>10.726596726079576</v>
      </c>
      <c r="G74" s="17" t="s">
        <v>25</v>
      </c>
      <c r="H74" s="20"/>
      <c r="I74" s="19"/>
    </row>
    <row r="75" spans="1:10" ht="21" x14ac:dyDescent="0.2">
      <c r="A75" s="15" t="s">
        <v>26</v>
      </c>
      <c r="B75" s="16">
        <v>3.55</v>
      </c>
      <c r="C75" s="27">
        <v>10554041.15</v>
      </c>
      <c r="D75" s="27">
        <f t="shared" si="3"/>
        <v>37466846.082499996</v>
      </c>
      <c r="E75" s="73">
        <f t="shared" si="4"/>
        <v>6.6412785588908712</v>
      </c>
      <c r="F75" s="73">
        <f t="shared" si="5"/>
        <v>9.4030875709147317</v>
      </c>
      <c r="G75" s="17" t="s">
        <v>27</v>
      </c>
      <c r="H75" s="19"/>
    </row>
    <row r="76" spans="1:10" ht="21" x14ac:dyDescent="0.2">
      <c r="A76" s="15" t="s">
        <v>28</v>
      </c>
      <c r="B76" s="16">
        <v>4.25</v>
      </c>
      <c r="C76" s="27">
        <v>27629294.079999994</v>
      </c>
      <c r="D76" s="27">
        <f t="shared" si="3"/>
        <v>117424499.83999997</v>
      </c>
      <c r="E76" s="73">
        <f>(C76/$C$77)*100</f>
        <v>17.386121179828301</v>
      </c>
      <c r="F76" s="73">
        <f t="shared" si="5"/>
        <v>29.470130806716345</v>
      </c>
      <c r="G76" s="17" t="s">
        <v>29</v>
      </c>
      <c r="H76" s="19"/>
    </row>
    <row r="77" spans="1:10" ht="21" x14ac:dyDescent="0.2">
      <c r="A77" s="21" t="s">
        <v>30</v>
      </c>
      <c r="B77" s="22"/>
      <c r="C77" s="23">
        <f>SUM(C70:C76)</f>
        <v>158915802.97999999</v>
      </c>
      <c r="D77" s="23">
        <f>SUM(D70:D76)</f>
        <v>398452591.23599994</v>
      </c>
      <c r="E77" s="74">
        <f>(C77/C77)*100</f>
        <v>100</v>
      </c>
      <c r="F77" s="74">
        <f>(D77/D77)*100</f>
        <v>100</v>
      </c>
      <c r="G77" s="14" t="s">
        <v>31</v>
      </c>
      <c r="H77" s="19"/>
    </row>
    <row r="78" spans="1:10" ht="21" x14ac:dyDescent="0.2">
      <c r="A78" s="25" t="s">
        <v>32</v>
      </c>
      <c r="B78" s="26"/>
      <c r="C78" s="27"/>
      <c r="D78" s="27"/>
      <c r="E78" s="73"/>
      <c r="F78" s="73"/>
      <c r="G78" s="14" t="s">
        <v>33</v>
      </c>
      <c r="H78" s="19"/>
      <c r="J78" s="24"/>
    </row>
    <row r="79" spans="1:10" ht="21" x14ac:dyDescent="0.2">
      <c r="A79" s="15" t="s">
        <v>16</v>
      </c>
      <c r="B79" s="16">
        <v>3.3</v>
      </c>
      <c r="C79" s="27">
        <v>834952.89</v>
      </c>
      <c r="D79" s="27">
        <f>B79*C79</f>
        <v>2755344.537</v>
      </c>
      <c r="E79" s="73">
        <f>(C79/$C$84)*100</f>
        <v>2.4437248364854636</v>
      </c>
      <c r="F79" s="73">
        <f>(D79/$D$84)*100</f>
        <v>1.898489303124361</v>
      </c>
      <c r="G79" s="17" t="s">
        <v>17</v>
      </c>
      <c r="H79" s="19"/>
    </row>
    <row r="80" spans="1:10" ht="21" x14ac:dyDescent="0.2">
      <c r="A80" s="15" t="s">
        <v>34</v>
      </c>
      <c r="B80" s="16">
        <v>3.35</v>
      </c>
      <c r="C80" s="27">
        <v>1491274.11</v>
      </c>
      <c r="D80" s="27">
        <f t="shared" ref="D80:D83" si="6">B80*C80</f>
        <v>4995768.2685000002</v>
      </c>
      <c r="E80" s="73">
        <f>(C80/$C$84)*100</f>
        <v>4.3646337706726852</v>
      </c>
      <c r="F80" s="73">
        <f t="shared" ref="F80:F83" si="7">(D80/$D$84)*100</f>
        <v>3.4421875345440189</v>
      </c>
      <c r="G80" s="17" t="s">
        <v>35</v>
      </c>
      <c r="H80" s="19"/>
    </row>
    <row r="81" spans="1:12" ht="21" x14ac:dyDescent="0.2">
      <c r="A81" s="15" t="s">
        <v>36</v>
      </c>
      <c r="B81" s="16">
        <v>3.65</v>
      </c>
      <c r="C81" s="27">
        <v>1309559.5499999998</v>
      </c>
      <c r="D81" s="27">
        <f t="shared" si="6"/>
        <v>4779892.357499999</v>
      </c>
      <c r="E81" s="73">
        <f>(C81/$C$84)*100</f>
        <v>3.8327949223479272</v>
      </c>
      <c r="F81" s="73">
        <f t="shared" si="7"/>
        <v>3.2934445725179491</v>
      </c>
      <c r="G81" s="17" t="s">
        <v>37</v>
      </c>
      <c r="H81" s="19"/>
    </row>
    <row r="82" spans="1:12" ht="21" x14ac:dyDescent="0.2">
      <c r="A82" s="15" t="s">
        <v>26</v>
      </c>
      <c r="B82" s="16">
        <v>4</v>
      </c>
      <c r="C82" s="27">
        <v>597770.45200000016</v>
      </c>
      <c r="D82" s="27">
        <f t="shared" si="6"/>
        <v>2391081.8080000007</v>
      </c>
      <c r="E82" s="73">
        <f>(C82/$C$84)*100</f>
        <v>1.7495436180471717</v>
      </c>
      <c r="F82" s="73">
        <f t="shared" si="7"/>
        <v>1.6475047582709104</v>
      </c>
      <c r="G82" s="17" t="s">
        <v>27</v>
      </c>
      <c r="H82" s="19"/>
    </row>
    <row r="83" spans="1:12" ht="21" x14ac:dyDescent="0.2">
      <c r="A83" s="15" t="s">
        <v>28</v>
      </c>
      <c r="B83" s="16">
        <v>4.3499999999999996</v>
      </c>
      <c r="C83" s="27">
        <v>29933665</v>
      </c>
      <c r="D83" s="27">
        <f t="shared" si="6"/>
        <v>130211442.74999999</v>
      </c>
      <c r="E83" s="73">
        <f>(C83/$C$84)*100</f>
        <v>87.609302852446731</v>
      </c>
      <c r="F83" s="73">
        <f t="shared" si="7"/>
        <v>89.718373831542763</v>
      </c>
      <c r="G83" s="17" t="s">
        <v>29</v>
      </c>
      <c r="H83" s="19"/>
    </row>
    <row r="84" spans="1:12" ht="21" x14ac:dyDescent="0.2">
      <c r="A84" s="21" t="s">
        <v>30</v>
      </c>
      <c r="B84" s="22"/>
      <c r="C84" s="23">
        <f>SUM(C79:C83)</f>
        <v>34167222.002000004</v>
      </c>
      <c r="D84" s="23">
        <f>SUM(D79:D83)</f>
        <v>145133529.72099999</v>
      </c>
      <c r="E84" s="74">
        <f>(C84/C84)*100</f>
        <v>100</v>
      </c>
      <c r="F84" s="74">
        <f>(D84/D84)*100</f>
        <v>100</v>
      </c>
      <c r="G84" s="14" t="s">
        <v>31</v>
      </c>
      <c r="H84" s="19"/>
    </row>
    <row r="85" spans="1:12" ht="21" x14ac:dyDescent="0.2">
      <c r="A85" s="25" t="s">
        <v>38</v>
      </c>
      <c r="B85" s="26"/>
      <c r="C85" s="27"/>
      <c r="D85" s="27"/>
      <c r="E85" s="73"/>
      <c r="F85" s="73"/>
      <c r="G85" s="14" t="s">
        <v>33</v>
      </c>
      <c r="H85" s="19"/>
      <c r="I85" s="46"/>
      <c r="J85" s="47"/>
      <c r="K85" s="46"/>
    </row>
    <row r="86" spans="1:12" ht="21" x14ac:dyDescent="0.2">
      <c r="A86" s="15" t="s">
        <v>16</v>
      </c>
      <c r="B86" s="16">
        <v>3.3</v>
      </c>
      <c r="C86" s="27">
        <v>8400684.1199999992</v>
      </c>
      <c r="D86" s="27">
        <f>C86*B86</f>
        <v>27722257.595999997</v>
      </c>
      <c r="E86" s="73">
        <f>(C86/$C$93)*100</f>
        <v>8.0700799772912912</v>
      </c>
      <c r="F86" s="73">
        <f>(D86/$D$93)*100</f>
        <v>5.7410266842729438</v>
      </c>
      <c r="G86" s="17" t="s">
        <v>17</v>
      </c>
      <c r="H86" s="20"/>
      <c r="I86" s="1"/>
      <c r="J86" s="1"/>
      <c r="K86" s="1"/>
      <c r="L86" s="19"/>
    </row>
    <row r="87" spans="1:12" ht="21" x14ac:dyDescent="0.2">
      <c r="A87" s="15" t="s">
        <v>34</v>
      </c>
      <c r="B87" s="16">
        <v>3.35</v>
      </c>
      <c r="C87" s="27">
        <v>13668072.890000001</v>
      </c>
      <c r="D87" s="27">
        <f t="shared" ref="D87:D92" si="8">C87*B87</f>
        <v>45788044.181500003</v>
      </c>
      <c r="E87" s="73">
        <f t="shared" ref="E87:E92" si="9">(C87/$C$93)*100</f>
        <v>13.130173659921752</v>
      </c>
      <c r="F87" s="73">
        <f t="shared" ref="F87:F91" si="10">(D87/$D$93)*100</f>
        <v>9.4822863021296353</v>
      </c>
      <c r="G87" s="17" t="s">
        <v>35</v>
      </c>
      <c r="H87" s="20"/>
      <c r="I87" s="1"/>
      <c r="J87" s="1"/>
      <c r="K87" s="1"/>
      <c r="L87" s="19"/>
    </row>
    <row r="88" spans="1:12" ht="21" x14ac:dyDescent="0.2">
      <c r="A88" s="15" t="s">
        <v>36</v>
      </c>
      <c r="B88" s="16">
        <v>3.65</v>
      </c>
      <c r="C88" s="27">
        <v>10544055.430000002</v>
      </c>
      <c r="D88" s="27">
        <f t="shared" si="8"/>
        <v>38485802.319500007</v>
      </c>
      <c r="E88" s="73">
        <f>(C88/$C$93)*100</f>
        <v>10.129100129180021</v>
      </c>
      <c r="F88" s="73">
        <f t="shared" si="10"/>
        <v>7.9700586186668785</v>
      </c>
      <c r="G88" s="17" t="s">
        <v>37</v>
      </c>
      <c r="H88" s="20"/>
      <c r="I88" s="1"/>
      <c r="J88" s="53"/>
      <c r="K88" s="1"/>
      <c r="L88" s="19"/>
    </row>
    <row r="89" spans="1:12" ht="21" x14ac:dyDescent="0.2">
      <c r="A89" s="15" t="s">
        <v>26</v>
      </c>
      <c r="B89" s="16">
        <v>4</v>
      </c>
      <c r="C89" s="27">
        <v>4293744.57</v>
      </c>
      <c r="D89" s="27">
        <f t="shared" si="8"/>
        <v>17174978.280000001</v>
      </c>
      <c r="E89" s="73">
        <f t="shared" si="9"/>
        <v>4.124766696020016</v>
      </c>
      <c r="F89" s="73">
        <f t="shared" si="10"/>
        <v>3.5567813431441229</v>
      </c>
      <c r="G89" s="17" t="s">
        <v>39</v>
      </c>
      <c r="H89" s="20"/>
      <c r="I89" s="1"/>
      <c r="J89" s="53"/>
      <c r="K89" s="1"/>
      <c r="L89" s="19"/>
    </row>
    <row r="90" spans="1:12" ht="21" x14ac:dyDescent="0.2">
      <c r="A90" s="15" t="s">
        <v>40</v>
      </c>
      <c r="B90" s="16">
        <v>4.3499999999999996</v>
      </c>
      <c r="C90" s="27">
        <v>35128259</v>
      </c>
      <c r="D90" s="27">
        <f t="shared" si="8"/>
        <v>152807926.64999998</v>
      </c>
      <c r="E90" s="73">
        <f t="shared" si="9"/>
        <v>33.745806358566263</v>
      </c>
      <c r="F90" s="73">
        <f t="shared" si="10"/>
        <v>31.645127797696144</v>
      </c>
      <c r="G90" s="17" t="s">
        <v>40</v>
      </c>
      <c r="H90" s="20"/>
      <c r="I90" s="1"/>
      <c r="J90" s="1"/>
      <c r="K90" s="1"/>
      <c r="L90" s="19"/>
    </row>
    <row r="91" spans="1:12" ht="21" x14ac:dyDescent="0.2">
      <c r="A91" s="15" t="s">
        <v>41</v>
      </c>
      <c r="B91" s="16">
        <v>5.75</v>
      </c>
      <c r="C91" s="27">
        <v>13678349.879999999</v>
      </c>
      <c r="D91" s="27">
        <f t="shared" si="8"/>
        <v>78650511.809999987</v>
      </c>
      <c r="E91" s="73">
        <f t="shared" si="9"/>
        <v>13.140046204828939</v>
      </c>
      <c r="F91" s="73">
        <f t="shared" si="10"/>
        <v>16.287803598581576</v>
      </c>
      <c r="G91" s="17" t="s">
        <v>42</v>
      </c>
      <c r="H91" s="20"/>
      <c r="I91" s="1"/>
      <c r="J91" s="1"/>
      <c r="K91" s="1"/>
      <c r="L91" s="19"/>
    </row>
    <row r="92" spans="1:12" ht="21" x14ac:dyDescent="0.2">
      <c r="A92" s="15" t="s">
        <v>43</v>
      </c>
      <c r="B92" s="16">
        <v>6.65</v>
      </c>
      <c r="C92" s="27">
        <v>18383499.119999997</v>
      </c>
      <c r="D92" s="27">
        <f t="shared" si="8"/>
        <v>122250269.14799999</v>
      </c>
      <c r="E92" s="73">
        <f t="shared" si="9"/>
        <v>17.660026974191727</v>
      </c>
      <c r="F92" s="73">
        <f>(D92/$D$93)*100</f>
        <v>25.316915655508698</v>
      </c>
      <c r="G92" s="17" t="s">
        <v>44</v>
      </c>
      <c r="H92" s="20"/>
      <c r="I92" s="1"/>
      <c r="J92" s="1"/>
      <c r="K92" s="1"/>
      <c r="L92" s="19"/>
    </row>
    <row r="93" spans="1:12" ht="21" x14ac:dyDescent="0.2">
      <c r="A93" s="35" t="s">
        <v>30</v>
      </c>
      <c r="B93" s="36"/>
      <c r="C93" s="37">
        <f>SUM(C86:C92)</f>
        <v>104096665.00999999</v>
      </c>
      <c r="D93" s="37">
        <f>SUM(D86:D92)</f>
        <v>482879789.98499995</v>
      </c>
      <c r="E93" s="76">
        <f>(C93/C93)*100</f>
        <v>100</v>
      </c>
      <c r="F93" s="76">
        <f>(D93/D93)*100</f>
        <v>100</v>
      </c>
      <c r="G93" s="38" t="s">
        <v>31</v>
      </c>
      <c r="I93" s="48"/>
      <c r="J93" s="48"/>
      <c r="K93" s="48"/>
    </row>
    <row r="94" spans="1:12" ht="21" x14ac:dyDescent="0.2">
      <c r="A94" s="25" t="s">
        <v>45</v>
      </c>
      <c r="C94" s="27"/>
      <c r="D94" s="27"/>
      <c r="E94" s="77"/>
      <c r="F94" s="77"/>
      <c r="G94" s="14" t="s">
        <v>33</v>
      </c>
      <c r="H94" s="19"/>
    </row>
    <row r="95" spans="1:12" ht="21" x14ac:dyDescent="0.55000000000000004">
      <c r="A95" s="56"/>
      <c r="B95" s="57">
        <v>3.4</v>
      </c>
      <c r="C95" s="58">
        <v>2943040</v>
      </c>
      <c r="D95" s="59">
        <f>C95*B95</f>
        <v>10006336</v>
      </c>
      <c r="E95" s="73">
        <f>(C95/C96)*100</f>
        <v>100</v>
      </c>
      <c r="F95" s="73">
        <f>(D95/D96)*100</f>
        <v>100</v>
      </c>
      <c r="G95" s="60"/>
      <c r="H95" s="19"/>
    </row>
    <row r="96" spans="1:12" ht="21" x14ac:dyDescent="0.2">
      <c r="A96" s="35" t="s">
        <v>30</v>
      </c>
      <c r="B96" s="36"/>
      <c r="C96" s="37">
        <f>SUM(C95)</f>
        <v>2943040</v>
      </c>
      <c r="D96" s="37">
        <f>SUM(D95)</f>
        <v>10006336</v>
      </c>
      <c r="E96" s="76">
        <f>(C96/C96)*100</f>
        <v>100</v>
      </c>
      <c r="F96" s="76">
        <f>(D96/D96)*100</f>
        <v>100</v>
      </c>
      <c r="G96" s="38" t="s">
        <v>31</v>
      </c>
    </row>
    <row r="97" spans="1:13" ht="21" x14ac:dyDescent="0.2">
      <c r="A97" s="25" t="s">
        <v>46</v>
      </c>
      <c r="C97" s="27"/>
      <c r="D97" s="27"/>
      <c r="E97" s="77"/>
      <c r="F97" s="77"/>
      <c r="G97" s="14" t="s">
        <v>33</v>
      </c>
      <c r="H97" s="19"/>
      <c r="J97" s="24"/>
    </row>
    <row r="98" spans="1:13" ht="21" x14ac:dyDescent="0.55000000000000004">
      <c r="A98" s="56"/>
      <c r="B98" s="57">
        <v>4.25</v>
      </c>
      <c r="C98" s="61">
        <v>4404722</v>
      </c>
      <c r="D98" s="59">
        <f>B98*C98</f>
        <v>18720068.5</v>
      </c>
      <c r="E98" s="73">
        <f>(C98/C99)*100</f>
        <v>100</v>
      </c>
      <c r="F98" s="73">
        <f>(D98/D99)*100</f>
        <v>100</v>
      </c>
      <c r="G98" s="60"/>
      <c r="H98" s="19"/>
      <c r="J98" s="24"/>
    </row>
    <row r="99" spans="1:13" ht="21" x14ac:dyDescent="0.2">
      <c r="A99" s="35" t="s">
        <v>30</v>
      </c>
      <c r="B99" s="36"/>
      <c r="C99" s="37">
        <f>SUM(C98)</f>
        <v>4404722</v>
      </c>
      <c r="D99" s="37">
        <f>SUM(D98)</f>
        <v>18720068.5</v>
      </c>
      <c r="E99" s="76">
        <f>(C99/C99)*100</f>
        <v>100</v>
      </c>
      <c r="F99" s="76">
        <f>(D99/D99)*100</f>
        <v>100</v>
      </c>
      <c r="G99" s="38" t="s">
        <v>31</v>
      </c>
    </row>
    <row r="100" spans="1:13" ht="21.75" customHeight="1" x14ac:dyDescent="0.25">
      <c r="A100" s="39" t="s">
        <v>1</v>
      </c>
      <c r="B100" s="40"/>
      <c r="C100" s="40"/>
      <c r="D100" s="40"/>
      <c r="E100" s="41"/>
      <c r="F100" s="41"/>
      <c r="G100" s="42" t="s">
        <v>47</v>
      </c>
      <c r="H100" s="43"/>
      <c r="M100" s="44"/>
    </row>
    <row r="102" spans="1:13" x14ac:dyDescent="0.2">
      <c r="A102" s="43"/>
      <c r="B102" s="43"/>
      <c r="C102" s="43"/>
      <c r="D102" s="43"/>
      <c r="E102" s="43"/>
      <c r="F102" s="43"/>
      <c r="G102" s="43"/>
      <c r="H102" s="43"/>
    </row>
    <row r="103" spans="1:13" x14ac:dyDescent="0.2">
      <c r="A103" s="43"/>
      <c r="B103" s="43"/>
      <c r="C103" s="43"/>
      <c r="D103" s="43"/>
      <c r="E103" s="43"/>
      <c r="F103" s="43"/>
      <c r="G103" s="43"/>
      <c r="H103" s="43"/>
    </row>
    <row r="104" spans="1:13" s="3" customFormat="1" ht="18" x14ac:dyDescent="0.25">
      <c r="A104" s="68" t="s">
        <v>51</v>
      </c>
      <c r="B104" s="68"/>
      <c r="C104" s="68"/>
      <c r="D104" s="68"/>
      <c r="E104" s="68"/>
      <c r="F104" s="68"/>
      <c r="G104" s="68"/>
      <c r="H104" s="2"/>
    </row>
    <row r="105" spans="1:13" ht="15.75" x14ac:dyDescent="0.2">
      <c r="A105" s="62" t="s">
        <v>52</v>
      </c>
      <c r="B105" s="63"/>
      <c r="C105" s="63"/>
      <c r="D105" s="63"/>
      <c r="E105" s="63"/>
      <c r="F105" s="63"/>
      <c r="G105" s="64"/>
    </row>
    <row r="106" spans="1:13" ht="21" x14ac:dyDescent="0.25">
      <c r="A106" s="69" t="s">
        <v>4</v>
      </c>
      <c r="B106" s="5" t="s">
        <v>5</v>
      </c>
      <c r="C106" s="6" t="s">
        <v>6</v>
      </c>
      <c r="D106" s="6" t="s">
        <v>7</v>
      </c>
      <c r="E106" s="7" t="s">
        <v>0</v>
      </c>
      <c r="F106" s="7" t="s">
        <v>0</v>
      </c>
      <c r="G106" s="71" t="s">
        <v>8</v>
      </c>
      <c r="J106" s="3"/>
    </row>
    <row r="107" spans="1:13" ht="15" x14ac:dyDescent="0.25">
      <c r="A107" s="70"/>
      <c r="B107" s="8" t="s">
        <v>9</v>
      </c>
      <c r="C107" s="8" t="s">
        <v>10</v>
      </c>
      <c r="D107" s="8" t="s">
        <v>11</v>
      </c>
      <c r="E107" s="8" t="s">
        <v>12</v>
      </c>
      <c r="F107" s="8" t="s">
        <v>13</v>
      </c>
      <c r="G107" s="72"/>
      <c r="J107" s="3"/>
    </row>
    <row r="108" spans="1:13" ht="21" x14ac:dyDescent="0.25">
      <c r="A108" s="9" t="s">
        <v>14</v>
      </c>
      <c r="B108" s="65" t="s">
        <v>54</v>
      </c>
      <c r="C108" s="66"/>
      <c r="D108" s="66"/>
      <c r="E108" s="66"/>
      <c r="F108" s="67"/>
      <c r="G108" s="14" t="s">
        <v>15</v>
      </c>
      <c r="J108" s="49"/>
    </row>
    <row r="109" spans="1:13" ht="21" x14ac:dyDescent="0.25">
      <c r="A109" s="15" t="s">
        <v>16</v>
      </c>
      <c r="B109" s="16">
        <v>2.25</v>
      </c>
      <c r="C109" s="27">
        <v>4396255.47</v>
      </c>
      <c r="D109" s="27">
        <f>B109*C109</f>
        <v>9891574.8074999992</v>
      </c>
      <c r="E109" s="73">
        <f>(C109/C114)*100</f>
        <v>22.649037798975296</v>
      </c>
      <c r="F109" s="73">
        <f>(D109/D114)*100</f>
        <v>18.226576584684477</v>
      </c>
      <c r="G109" s="17" t="s">
        <v>17</v>
      </c>
      <c r="H109" s="18"/>
      <c r="I109" s="19"/>
      <c r="J109" s="3"/>
    </row>
    <row r="110" spans="1:13" ht="21" x14ac:dyDescent="0.2">
      <c r="A110" s="15" t="s">
        <v>34</v>
      </c>
      <c r="B110" s="16">
        <v>2.5</v>
      </c>
      <c r="C110" s="27">
        <v>7058531.5300000003</v>
      </c>
      <c r="D110" s="27">
        <f t="shared" ref="D110:D113" si="11">B110*C110</f>
        <v>17646328.824999999</v>
      </c>
      <c r="E110" s="73">
        <f>(C110/C114)*100</f>
        <v>36.364799206773341</v>
      </c>
      <c r="F110" s="73">
        <f>(D110/D114)*100</f>
        <v>32.515769230549566</v>
      </c>
      <c r="G110" s="17" t="s">
        <v>35</v>
      </c>
      <c r="H110" s="20"/>
      <c r="I110" s="19"/>
    </row>
    <row r="111" spans="1:13" ht="21" x14ac:dyDescent="0.2">
      <c r="A111" s="15" t="s">
        <v>36</v>
      </c>
      <c r="B111" s="16">
        <v>2.95</v>
      </c>
      <c r="C111" s="27">
        <v>3944786.28</v>
      </c>
      <c r="D111" s="27">
        <f t="shared" si="11"/>
        <v>11637119.526000001</v>
      </c>
      <c r="E111" s="73">
        <f>(C111/C114)*100</f>
        <v>20.323116837566118</v>
      </c>
      <c r="F111" s="73">
        <f>(D111/D114)*100</f>
        <v>21.442980960417323</v>
      </c>
      <c r="G111" s="17" t="s">
        <v>37</v>
      </c>
      <c r="H111" s="20"/>
      <c r="I111" s="19"/>
    </row>
    <row r="112" spans="1:13" ht="21" x14ac:dyDescent="0.2">
      <c r="A112" s="15" t="s">
        <v>26</v>
      </c>
      <c r="B112" s="16">
        <v>3.55</v>
      </c>
      <c r="C112" s="27">
        <v>1154715.72</v>
      </c>
      <c r="D112" s="27">
        <f t="shared" si="11"/>
        <v>4099240.8059999999</v>
      </c>
      <c r="E112" s="73">
        <f>(C112/C114)*100</f>
        <v>5.9489718392891699</v>
      </c>
      <c r="F112" s="73">
        <f>(D112/D114)*100</f>
        <v>7.5534106493307966</v>
      </c>
      <c r="G112" s="17" t="s">
        <v>27</v>
      </c>
      <c r="H112" s="19"/>
    </row>
    <row r="113" spans="1:13" ht="21" x14ac:dyDescent="0.2">
      <c r="A113" s="15" t="s">
        <v>28</v>
      </c>
      <c r="B113" s="16">
        <v>3.85</v>
      </c>
      <c r="C113" s="27">
        <v>2856052</v>
      </c>
      <c r="D113" s="27">
        <f t="shared" si="11"/>
        <v>10995800.200000001</v>
      </c>
      <c r="E113" s="73">
        <f>(C113/C114)*100</f>
        <v>14.714074317396072</v>
      </c>
      <c r="F113" s="73">
        <f>(D113/D114)*100</f>
        <v>20.261262575017827</v>
      </c>
      <c r="G113" s="17" t="s">
        <v>29</v>
      </c>
      <c r="H113" s="19"/>
    </row>
    <row r="114" spans="1:13" ht="21" x14ac:dyDescent="0.2">
      <c r="A114" s="21" t="s">
        <v>30</v>
      </c>
      <c r="B114" s="22"/>
      <c r="C114" s="23">
        <f>SUM(C109:C113)</f>
        <v>19410341</v>
      </c>
      <c r="D114" s="23">
        <f>SUM(D109:D113)</f>
        <v>54270064.164500006</v>
      </c>
      <c r="E114" s="74">
        <f>(C114/C114)*100</f>
        <v>100</v>
      </c>
      <c r="F114" s="74">
        <f>(D114/D114)*100</f>
        <v>100</v>
      </c>
      <c r="G114" s="14" t="s">
        <v>31</v>
      </c>
      <c r="H114" s="19"/>
    </row>
    <row r="115" spans="1:13" ht="21" x14ac:dyDescent="0.25">
      <c r="A115" s="25" t="s">
        <v>53</v>
      </c>
      <c r="B115" s="26"/>
      <c r="C115" s="27"/>
      <c r="D115" s="27"/>
      <c r="E115" s="73"/>
      <c r="F115" s="73"/>
      <c r="G115" s="14" t="s">
        <v>33</v>
      </c>
      <c r="H115" s="19"/>
      <c r="J115" s="3"/>
      <c r="L115" s="24"/>
      <c r="M115" s="24"/>
    </row>
    <row r="116" spans="1:13" ht="21" x14ac:dyDescent="0.2">
      <c r="A116" s="15" t="s">
        <v>16</v>
      </c>
      <c r="B116" s="16">
        <v>3.3</v>
      </c>
      <c r="C116" s="27">
        <v>1193280.8499999999</v>
      </c>
      <c r="D116" s="27">
        <f>C116*B116</f>
        <v>3937826.8049999992</v>
      </c>
      <c r="E116" s="73">
        <f>(C116/C121)*100</f>
        <v>6.848918177273486</v>
      </c>
      <c r="F116" s="73">
        <f>(D116/D121)*100</f>
        <v>5.5207256154770095</v>
      </c>
      <c r="G116" s="17" t="s">
        <v>17</v>
      </c>
      <c r="H116" s="19"/>
    </row>
    <row r="117" spans="1:13" ht="21" x14ac:dyDescent="0.2">
      <c r="A117" s="15" t="s">
        <v>34</v>
      </c>
      <c r="B117" s="16">
        <v>3.35</v>
      </c>
      <c r="C117" s="27">
        <v>1943750.15</v>
      </c>
      <c r="D117" s="27">
        <f t="shared" ref="D117:D120" si="12">C117*B117</f>
        <v>6511563.0024999995</v>
      </c>
      <c r="E117" s="73">
        <f>(C117/C121)*100</f>
        <v>11.156288760029179</v>
      </c>
      <c r="F117" s="73">
        <f>(D117/D121)*100</f>
        <v>9.1290334605496035</v>
      </c>
      <c r="G117" s="17" t="s">
        <v>35</v>
      </c>
      <c r="H117" s="19"/>
    </row>
    <row r="118" spans="1:13" ht="21" x14ac:dyDescent="0.2">
      <c r="A118" s="15" t="s">
        <v>36</v>
      </c>
      <c r="B118" s="16">
        <v>3.65</v>
      </c>
      <c r="C118" s="27">
        <v>1500816.03</v>
      </c>
      <c r="D118" s="27">
        <f t="shared" si="12"/>
        <v>5477978.5094999997</v>
      </c>
      <c r="E118" s="73">
        <f>(C118/C121)*100</f>
        <v>8.6140376664977332</v>
      </c>
      <c r="F118" s="73">
        <f>(D118/D121)*100</f>
        <v>7.6799762346148244</v>
      </c>
      <c r="G118" s="17" t="s">
        <v>37</v>
      </c>
      <c r="H118" s="19"/>
    </row>
    <row r="119" spans="1:13" ht="21" x14ac:dyDescent="0.2">
      <c r="A119" s="15" t="s">
        <v>26</v>
      </c>
      <c r="B119" s="16">
        <v>4</v>
      </c>
      <c r="C119" s="27">
        <v>612360.97000000009</v>
      </c>
      <c r="D119" s="27">
        <f t="shared" si="12"/>
        <v>2449443.8800000004</v>
      </c>
      <c r="E119" s="73">
        <f>(C119/C121)*100</f>
        <v>3.5146882466820988</v>
      </c>
      <c r="F119" s="73">
        <f>(D119/D121)*100</f>
        <v>3.4340534110893683</v>
      </c>
      <c r="G119" s="17" t="s">
        <v>27</v>
      </c>
      <c r="H119" s="19"/>
    </row>
    <row r="120" spans="1:13" ht="21" x14ac:dyDescent="0.2">
      <c r="A120" s="15" t="s">
        <v>28</v>
      </c>
      <c r="B120" s="16">
        <v>4.3499999999999996</v>
      </c>
      <c r="C120" s="27">
        <v>12172702</v>
      </c>
      <c r="D120" s="27">
        <f t="shared" si="12"/>
        <v>52951253.699999996</v>
      </c>
      <c r="E120" s="73">
        <f>(C120/C121)*100</f>
        <v>69.866067149517505</v>
      </c>
      <c r="F120" s="73">
        <f>(D120/D121)*100</f>
        <v>74.236211278269209</v>
      </c>
      <c r="G120" s="17" t="s">
        <v>29</v>
      </c>
      <c r="H120" s="19"/>
      <c r="L120" s="24"/>
    </row>
    <row r="121" spans="1:13" ht="21" x14ac:dyDescent="0.2">
      <c r="A121" s="35" t="s">
        <v>30</v>
      </c>
      <c r="B121" s="36"/>
      <c r="C121" s="37">
        <f>SUM(C116:C120)</f>
        <v>17422910</v>
      </c>
      <c r="D121" s="37">
        <f>SUM(D116:D120)</f>
        <v>71328065.896999985</v>
      </c>
      <c r="E121" s="74">
        <f>(C121/C121)*100</f>
        <v>100</v>
      </c>
      <c r="F121" s="74">
        <f>(D121/D121)*100</f>
        <v>100</v>
      </c>
      <c r="G121" s="38" t="s">
        <v>31</v>
      </c>
    </row>
    <row r="122" spans="1:13" ht="21" x14ac:dyDescent="0.25">
      <c r="A122" s="9" t="s">
        <v>14</v>
      </c>
      <c r="B122" s="65" t="s">
        <v>55</v>
      </c>
      <c r="C122" s="66"/>
      <c r="D122" s="66"/>
      <c r="E122" s="66"/>
      <c r="F122" s="67"/>
      <c r="G122" s="14" t="s">
        <v>15</v>
      </c>
    </row>
    <row r="123" spans="1:13" ht="21" x14ac:dyDescent="0.2">
      <c r="A123" s="15" t="s">
        <v>16</v>
      </c>
      <c r="B123" s="16">
        <v>2.1</v>
      </c>
      <c r="C123" s="27">
        <v>9465126.8300000019</v>
      </c>
      <c r="D123" s="27">
        <f>C123*B123</f>
        <v>19876766.343000006</v>
      </c>
      <c r="E123" s="73">
        <f>(C123/C130)*100</f>
        <v>19.220234028208786</v>
      </c>
      <c r="F123" s="73">
        <f>(D123/D130)*100</f>
        <v>13.918300779278143</v>
      </c>
      <c r="G123" s="17" t="s">
        <v>17</v>
      </c>
      <c r="H123" s="18"/>
      <c r="I123" s="19"/>
    </row>
    <row r="124" spans="1:13" ht="21" x14ac:dyDescent="0.2">
      <c r="A124" s="15" t="s">
        <v>18</v>
      </c>
      <c r="B124" s="16">
        <v>2.2000000000000002</v>
      </c>
      <c r="C124" s="27">
        <v>8676781.3100000005</v>
      </c>
      <c r="D124" s="27">
        <f t="shared" ref="D124:D129" si="13">C124*B124</f>
        <v>19088918.882000003</v>
      </c>
      <c r="E124" s="73">
        <f>(C124/C130)*100</f>
        <v>17.619390673266654</v>
      </c>
      <c r="F124" s="73">
        <f>(D124/D130)*100</f>
        <v>13.366626641686322</v>
      </c>
      <c r="G124" s="17" t="s">
        <v>19</v>
      </c>
      <c r="H124" s="20"/>
      <c r="I124" s="19"/>
    </row>
    <row r="125" spans="1:13" ht="21" x14ac:dyDescent="0.2">
      <c r="A125" s="15" t="s">
        <v>50</v>
      </c>
      <c r="B125" s="16">
        <v>2.35</v>
      </c>
      <c r="C125" s="27">
        <v>7427046.5399999991</v>
      </c>
      <c r="D125" s="27">
        <f t="shared" si="13"/>
        <v>17453559.368999999</v>
      </c>
      <c r="E125" s="73">
        <f>(C125/C130)*100</f>
        <v>15.081633368583006</v>
      </c>
      <c r="F125" s="73">
        <f>(D125/D130)*100</f>
        <v>12.221499451910619</v>
      </c>
      <c r="G125" s="17" t="s">
        <v>21</v>
      </c>
      <c r="H125" s="20"/>
      <c r="I125" s="19"/>
      <c r="J125" s="24"/>
    </row>
    <row r="126" spans="1:13" ht="21" x14ac:dyDescent="0.2">
      <c r="A126" s="15" t="s">
        <v>22</v>
      </c>
      <c r="B126" s="16">
        <v>2.7</v>
      </c>
      <c r="C126" s="27">
        <v>5881197.8999999994</v>
      </c>
      <c r="D126" s="27">
        <f t="shared" si="13"/>
        <v>15879234.33</v>
      </c>
      <c r="E126" s="73">
        <f>(C126/C130)*100</f>
        <v>11.942576368436262</v>
      </c>
      <c r="F126" s="73">
        <f>(D126/D130)*100</f>
        <v>11.119110409395789</v>
      </c>
      <c r="G126" s="17" t="s">
        <v>23</v>
      </c>
      <c r="H126" s="20"/>
      <c r="I126" s="19"/>
    </row>
    <row r="127" spans="1:13" ht="21" x14ac:dyDescent="0.2">
      <c r="A127" s="15" t="s">
        <v>24</v>
      </c>
      <c r="B127" s="16">
        <v>3.35</v>
      </c>
      <c r="C127" s="27">
        <v>4545109.4200000009</v>
      </c>
      <c r="D127" s="27">
        <f t="shared" si="13"/>
        <v>15226116.557000004</v>
      </c>
      <c r="E127" s="73">
        <f>(C127/C130)*100</f>
        <v>9.2294660499775159</v>
      </c>
      <c r="F127" s="73">
        <f>(D127/D130)*100</f>
        <v>10.661777991635212</v>
      </c>
      <c r="G127" s="17" t="s">
        <v>25</v>
      </c>
      <c r="H127" s="20"/>
      <c r="I127" s="19"/>
    </row>
    <row r="128" spans="1:13" ht="21" x14ac:dyDescent="0.2">
      <c r="A128" s="15" t="s">
        <v>26</v>
      </c>
      <c r="B128" s="16">
        <v>3.95</v>
      </c>
      <c r="C128" s="27">
        <v>3427993.2300000009</v>
      </c>
      <c r="D128" s="27">
        <f t="shared" si="13"/>
        <v>13540573.258500004</v>
      </c>
      <c r="E128" s="73">
        <f>(C128/C130)*100</f>
        <v>6.9610089025838597</v>
      </c>
      <c r="F128" s="73">
        <f>(D128/D130)*100</f>
        <v>9.481510628212618</v>
      </c>
      <c r="G128" s="17" t="s">
        <v>27</v>
      </c>
      <c r="H128" s="19"/>
    </row>
    <row r="129" spans="1:10" ht="21" x14ac:dyDescent="0.2">
      <c r="A129" s="15" t="s">
        <v>28</v>
      </c>
      <c r="B129" s="16">
        <v>4.25</v>
      </c>
      <c r="C129" s="27">
        <v>9822382.5500000007</v>
      </c>
      <c r="D129" s="27">
        <f t="shared" si="13"/>
        <v>41745125.837500006</v>
      </c>
      <c r="E129" s="73">
        <f>(C129/C130)*100</f>
        <v>19.945690608943924</v>
      </c>
      <c r="F129" s="73">
        <f>(D129/D130)*100</f>
        <v>29.231174097881297</v>
      </c>
      <c r="G129" s="17" t="s">
        <v>29</v>
      </c>
      <c r="H129" s="19"/>
    </row>
    <row r="130" spans="1:10" ht="21" x14ac:dyDescent="0.2">
      <c r="A130" s="21" t="s">
        <v>30</v>
      </c>
      <c r="B130" s="22"/>
      <c r="C130" s="23">
        <f>SUM(C123:C129)</f>
        <v>49245637.780000001</v>
      </c>
      <c r="D130" s="23">
        <f>SUM(D123:D129)</f>
        <v>142810294.57700002</v>
      </c>
      <c r="E130" s="74">
        <f>(C130/C130)*100</f>
        <v>100</v>
      </c>
      <c r="F130" s="74">
        <f>(D130/D130)*100</f>
        <v>100</v>
      </c>
      <c r="G130" s="14" t="s">
        <v>31</v>
      </c>
      <c r="H130" s="19"/>
    </row>
    <row r="131" spans="1:10" ht="21" x14ac:dyDescent="0.2">
      <c r="A131" s="25" t="s">
        <v>53</v>
      </c>
      <c r="B131" s="26"/>
      <c r="C131" s="27"/>
      <c r="D131" s="27"/>
      <c r="E131" s="73"/>
      <c r="F131" s="73"/>
      <c r="G131" s="14" t="s">
        <v>33</v>
      </c>
      <c r="H131" s="19"/>
      <c r="J131" s="24"/>
    </row>
    <row r="132" spans="1:10" ht="21" x14ac:dyDescent="0.2">
      <c r="A132" s="15" t="s">
        <v>16</v>
      </c>
      <c r="B132" s="16">
        <v>3.3</v>
      </c>
      <c r="C132" s="27">
        <v>2627438.46</v>
      </c>
      <c r="D132" s="27">
        <f>C132*B132</f>
        <v>8670546.9179999996</v>
      </c>
      <c r="E132" s="73">
        <f>(C132/C137)*100</f>
        <v>5.9648248029195026</v>
      </c>
      <c r="F132" s="73">
        <f>(D132/D137)*100</f>
        <v>4.7763366888890628</v>
      </c>
      <c r="G132" s="17" t="s">
        <v>17</v>
      </c>
      <c r="H132" s="19"/>
    </row>
    <row r="133" spans="1:10" ht="21" x14ac:dyDescent="0.2">
      <c r="A133" s="15" t="s">
        <v>34</v>
      </c>
      <c r="B133" s="16">
        <v>3.35</v>
      </c>
      <c r="C133" s="27">
        <v>4366520.5399999991</v>
      </c>
      <c r="D133" s="27">
        <f t="shared" ref="D133:D136" si="14">C133*B133</f>
        <v>14627843.808999997</v>
      </c>
      <c r="E133" s="73">
        <f>(C133/C137)*100</f>
        <v>9.912898214730955</v>
      </c>
      <c r="F133" s="73">
        <f>(D133/D137)*100</f>
        <v>8.0580276798019419</v>
      </c>
      <c r="G133" s="17" t="s">
        <v>35</v>
      </c>
      <c r="H133" s="19"/>
    </row>
    <row r="134" spans="1:10" ht="21" x14ac:dyDescent="0.2">
      <c r="A134" s="15" t="s">
        <v>36</v>
      </c>
      <c r="B134" s="16">
        <v>3.65</v>
      </c>
      <c r="C134" s="27">
        <v>3492752.5999999987</v>
      </c>
      <c r="D134" s="27">
        <f t="shared" si="14"/>
        <v>12748546.989999995</v>
      </c>
      <c r="E134" s="73">
        <f>(C134/C137)*100</f>
        <v>7.9292655779049426</v>
      </c>
      <c r="F134" s="73">
        <f>(D134/D137)*100</f>
        <v>7.0227810649352627</v>
      </c>
      <c r="G134" s="17" t="s">
        <v>37</v>
      </c>
      <c r="H134" s="19"/>
    </row>
    <row r="135" spans="1:10" ht="21" x14ac:dyDescent="0.2">
      <c r="A135" s="15" t="s">
        <v>26</v>
      </c>
      <c r="B135" s="16">
        <v>4</v>
      </c>
      <c r="C135" s="27">
        <v>1460138.3999999997</v>
      </c>
      <c r="D135" s="27">
        <f t="shared" si="14"/>
        <v>5840553.5999999987</v>
      </c>
      <c r="E135" s="73">
        <f>(C135/C137)*100</f>
        <v>3.3148139819857834</v>
      </c>
      <c r="F135" s="73">
        <f>(D135/D137)*100</f>
        <v>3.2173807150723368</v>
      </c>
      <c r="G135" s="17" t="s">
        <v>27</v>
      </c>
      <c r="H135" s="19"/>
    </row>
    <row r="136" spans="1:10" ht="21" x14ac:dyDescent="0.2">
      <c r="A136" s="15" t="s">
        <v>28</v>
      </c>
      <c r="B136" s="16">
        <v>4.3499999999999996</v>
      </c>
      <c r="C136" s="27">
        <v>32102029</v>
      </c>
      <c r="D136" s="27">
        <f t="shared" si="14"/>
        <v>139643826.14999998</v>
      </c>
      <c r="E136" s="73">
        <f>(C136/C137)*100</f>
        <v>72.878197422458811</v>
      </c>
      <c r="F136" s="73">
        <f>(D136/D137)*100</f>
        <v>76.92547385130139</v>
      </c>
      <c r="G136" s="17" t="s">
        <v>29</v>
      </c>
      <c r="H136" s="19"/>
    </row>
    <row r="137" spans="1:10" ht="21" x14ac:dyDescent="0.2">
      <c r="A137" s="35" t="s">
        <v>30</v>
      </c>
      <c r="B137" s="36"/>
      <c r="C137" s="37">
        <f>SUM(C132:C136)</f>
        <v>44048879</v>
      </c>
      <c r="D137" s="37">
        <f>SUM(D132:D136)</f>
        <v>181531317.46699998</v>
      </c>
      <c r="E137" s="74">
        <f>(C137/C137)*100</f>
        <v>100</v>
      </c>
      <c r="F137" s="74">
        <f>(D137/D137)*100</f>
        <v>100</v>
      </c>
      <c r="G137" s="38" t="s">
        <v>31</v>
      </c>
      <c r="H137" s="19"/>
    </row>
    <row r="138" spans="1:10" ht="21" x14ac:dyDescent="0.25">
      <c r="A138" s="9" t="s">
        <v>14</v>
      </c>
      <c r="B138" s="65" t="s">
        <v>56</v>
      </c>
      <c r="C138" s="66"/>
      <c r="D138" s="66"/>
      <c r="E138" s="66"/>
      <c r="F138" s="67"/>
      <c r="G138" s="50" t="s">
        <v>15</v>
      </c>
    </row>
    <row r="139" spans="1:10" ht="21" x14ac:dyDescent="0.2">
      <c r="A139" s="15" t="s">
        <v>16</v>
      </c>
      <c r="B139" s="16">
        <v>1.5</v>
      </c>
      <c r="C139" s="27">
        <v>15055275.979999999</v>
      </c>
      <c r="D139" s="27">
        <f>C139*B139</f>
        <v>22582913.969999999</v>
      </c>
      <c r="E139" s="73">
        <f>(C139/C146)*100</f>
        <v>21.796664560637851</v>
      </c>
      <c r="F139" s="73">
        <f>(D139/$D$146)*100</f>
        <v>13.421341766155878</v>
      </c>
      <c r="G139" s="17" t="s">
        <v>17</v>
      </c>
      <c r="H139" s="18"/>
      <c r="I139" s="19"/>
    </row>
    <row r="140" spans="1:10" ht="21" x14ac:dyDescent="0.2">
      <c r="A140" s="15" t="s">
        <v>18</v>
      </c>
      <c r="B140" s="16">
        <v>1.7</v>
      </c>
      <c r="C140" s="27">
        <v>13651104.799999999</v>
      </c>
      <c r="D140" s="27">
        <f t="shared" ref="D140:D145" si="15">C140*B140</f>
        <v>23206878.159999996</v>
      </c>
      <c r="E140" s="73">
        <f t="shared" ref="E140:E144" si="16">(C140/$C$77)*100</f>
        <v>8.5901493394700523</v>
      </c>
      <c r="F140" s="73">
        <f t="shared" ref="F140:F144" si="17">(D140/$D$146)*100</f>
        <v>13.792172415157044</v>
      </c>
      <c r="G140" s="17" t="s">
        <v>19</v>
      </c>
      <c r="H140" s="20"/>
      <c r="I140" s="19"/>
    </row>
    <row r="141" spans="1:10" ht="21" x14ac:dyDescent="0.2">
      <c r="A141" s="15" t="s">
        <v>50</v>
      </c>
      <c r="B141" s="16">
        <v>2.15</v>
      </c>
      <c r="C141" s="27">
        <v>11231388.620000001</v>
      </c>
      <c r="D141" s="27">
        <f t="shared" si="15"/>
        <v>24147485.533</v>
      </c>
      <c r="E141" s="73">
        <f t="shared" si="16"/>
        <v>7.0675089634814379</v>
      </c>
      <c r="F141" s="73">
        <f t="shared" si="17"/>
        <v>14.35118853847796</v>
      </c>
      <c r="G141" s="17" t="s">
        <v>21</v>
      </c>
      <c r="H141" s="20"/>
      <c r="I141" s="19"/>
    </row>
    <row r="142" spans="1:10" ht="21" x14ac:dyDescent="0.2">
      <c r="A142" s="15" t="s">
        <v>22</v>
      </c>
      <c r="B142" s="16">
        <v>2.5</v>
      </c>
      <c r="C142" s="27">
        <v>8401816.1699999999</v>
      </c>
      <c r="D142" s="27">
        <f t="shared" si="15"/>
        <v>21004540.425000001</v>
      </c>
      <c r="E142" s="73">
        <f t="shared" si="16"/>
        <v>5.2869607757369428</v>
      </c>
      <c r="F142" s="73">
        <f>(D142/$D$146)*100</f>
        <v>12.483292282805525</v>
      </c>
      <c r="G142" s="17" t="s">
        <v>23</v>
      </c>
      <c r="H142" s="20"/>
      <c r="I142" s="19"/>
    </row>
    <row r="143" spans="1:10" ht="21" x14ac:dyDescent="0.2">
      <c r="A143" s="15" t="s">
        <v>24</v>
      </c>
      <c r="B143" s="16">
        <v>2.95</v>
      </c>
      <c r="C143" s="27">
        <v>6029477.2799999993</v>
      </c>
      <c r="D143" s="27">
        <f t="shared" si="15"/>
        <v>17786957.976</v>
      </c>
      <c r="E143" s="73">
        <f t="shared" si="16"/>
        <v>3.7941332245974473</v>
      </c>
      <c r="F143" s="73">
        <f t="shared" si="17"/>
        <v>10.571038011005992</v>
      </c>
      <c r="G143" s="17" t="s">
        <v>25</v>
      </c>
      <c r="H143" s="20"/>
      <c r="I143" s="19"/>
    </row>
    <row r="144" spans="1:10" ht="21" x14ac:dyDescent="0.2">
      <c r="A144" s="15" t="s">
        <v>26</v>
      </c>
      <c r="B144" s="16">
        <v>3.55</v>
      </c>
      <c r="C144" s="27">
        <v>4218242.3400000008</v>
      </c>
      <c r="D144" s="27">
        <f t="shared" si="15"/>
        <v>14974760.307000002</v>
      </c>
      <c r="E144" s="73">
        <f t="shared" si="16"/>
        <v>2.654388211178015</v>
      </c>
      <c r="F144" s="73">
        <f t="shared" si="17"/>
        <v>8.8997095863493811</v>
      </c>
      <c r="G144" s="17" t="s">
        <v>27</v>
      </c>
      <c r="H144" s="19"/>
      <c r="J144" s="24"/>
    </row>
    <row r="145" spans="1:13" ht="21" x14ac:dyDescent="0.2">
      <c r="A145" s="15" t="s">
        <v>28</v>
      </c>
      <c r="B145" s="16">
        <v>4.25</v>
      </c>
      <c r="C145" s="27">
        <v>10484161.859999998</v>
      </c>
      <c r="D145" s="27">
        <f t="shared" si="15"/>
        <v>44557687.904999986</v>
      </c>
      <c r="E145" s="73">
        <f>(C145/$C$77)*100</f>
        <v>6.5973060346424193</v>
      </c>
      <c r="F145" s="73">
        <f>(D145/$D$146)*100</f>
        <v>26.481257400048229</v>
      </c>
      <c r="G145" s="17" t="s">
        <v>29</v>
      </c>
      <c r="H145" s="19"/>
    </row>
    <row r="146" spans="1:13" ht="21" x14ac:dyDescent="0.2">
      <c r="A146" s="21" t="s">
        <v>30</v>
      </c>
      <c r="B146" s="22"/>
      <c r="C146" s="23">
        <f>SUM(C139:C145)</f>
        <v>69071467.049999997</v>
      </c>
      <c r="D146" s="23">
        <f>SUM(D139:D145)</f>
        <v>168261224.27599996</v>
      </c>
      <c r="E146" s="74">
        <f>(C146/C146)*100</f>
        <v>100</v>
      </c>
      <c r="F146" s="74">
        <f>(D146/D146)*100</f>
        <v>100</v>
      </c>
      <c r="G146" s="14" t="s">
        <v>31</v>
      </c>
      <c r="H146" s="19"/>
    </row>
    <row r="147" spans="1:13" ht="21" x14ac:dyDescent="0.2">
      <c r="A147" s="25" t="s">
        <v>32</v>
      </c>
      <c r="B147" s="26"/>
      <c r="C147" s="27"/>
      <c r="D147" s="27"/>
      <c r="E147" s="73"/>
      <c r="F147" s="73"/>
      <c r="G147" s="14" t="s">
        <v>33</v>
      </c>
      <c r="H147" s="19"/>
      <c r="J147" s="24"/>
    </row>
    <row r="148" spans="1:13" ht="21" x14ac:dyDescent="0.2">
      <c r="A148" s="15" t="s">
        <v>16</v>
      </c>
      <c r="B148" s="16">
        <v>3.3</v>
      </c>
      <c r="C148" s="27">
        <v>380109.92000000004</v>
      </c>
      <c r="D148" s="27">
        <f>C148*B148</f>
        <v>1254362.736</v>
      </c>
      <c r="E148" s="73">
        <f>(C148/$C$153)*100</f>
        <v>2.3281355587547958</v>
      </c>
      <c r="F148" s="73">
        <f>(D148/$D$153)*100</f>
        <v>1.80665863214523</v>
      </c>
      <c r="G148" s="17" t="s">
        <v>17</v>
      </c>
      <c r="H148" s="19"/>
      <c r="K148" s="24"/>
    </row>
    <row r="149" spans="1:13" ht="21" x14ac:dyDescent="0.2">
      <c r="A149" s="15" t="s">
        <v>34</v>
      </c>
      <c r="B149" s="16">
        <v>3.35</v>
      </c>
      <c r="C149" s="27">
        <v>680627.08000000007</v>
      </c>
      <c r="D149" s="27">
        <f t="shared" ref="D149:D152" si="18">C149*B149</f>
        <v>2280100.7180000003</v>
      </c>
      <c r="E149" s="73">
        <f t="shared" ref="E149:E151" si="19">(C149/$C$153)*100</f>
        <v>4.1687733569264518</v>
      </c>
      <c r="F149" s="73">
        <f t="shared" ref="F149:F151" si="20">(D149/$D$153)*100</f>
        <v>3.2840290341144489</v>
      </c>
      <c r="G149" s="17" t="s">
        <v>35</v>
      </c>
      <c r="H149" s="19"/>
    </row>
    <row r="150" spans="1:13" ht="21" x14ac:dyDescent="0.2">
      <c r="A150" s="15" t="s">
        <v>36</v>
      </c>
      <c r="B150" s="16">
        <v>3.65</v>
      </c>
      <c r="C150" s="27">
        <v>595333.43999999994</v>
      </c>
      <c r="D150" s="27">
        <f t="shared" si="18"/>
        <v>2172967.0559999999</v>
      </c>
      <c r="E150" s="73">
        <f t="shared" si="19"/>
        <v>3.6463582717857359</v>
      </c>
      <c r="F150" s="73">
        <f t="shared" si="20"/>
        <v>3.129724422146424</v>
      </c>
      <c r="G150" s="17" t="s">
        <v>37</v>
      </c>
      <c r="H150" s="19"/>
    </row>
    <row r="151" spans="1:13" ht="21" x14ac:dyDescent="0.2">
      <c r="A151" s="15" t="s">
        <v>26</v>
      </c>
      <c r="B151" s="16">
        <v>4</v>
      </c>
      <c r="C151" s="27">
        <v>271719.56000000006</v>
      </c>
      <c r="D151" s="27">
        <f t="shared" si="18"/>
        <v>1086878.2400000002</v>
      </c>
      <c r="E151" s="73">
        <f t="shared" si="19"/>
        <v>1.664255354464854</v>
      </c>
      <c r="F151" s="73">
        <f t="shared" si="20"/>
        <v>1.5654307147616155</v>
      </c>
      <c r="G151" s="17" t="s">
        <v>27</v>
      </c>
      <c r="H151" s="19"/>
    </row>
    <row r="152" spans="1:13" ht="21" x14ac:dyDescent="0.2">
      <c r="A152" s="15" t="s">
        <v>28</v>
      </c>
      <c r="B152" s="16">
        <v>4.3499999999999996</v>
      </c>
      <c r="C152" s="27">
        <v>14399005</v>
      </c>
      <c r="D152" s="27">
        <f t="shared" si="18"/>
        <v>62635671.749999993</v>
      </c>
      <c r="E152" s="73">
        <f>(C152/$C$153)*100</f>
        <v>88.192477458068169</v>
      </c>
      <c r="F152" s="73">
        <f>(D152/$D$153)*100</f>
        <v>90.214157196832261</v>
      </c>
      <c r="G152" s="17" t="s">
        <v>29</v>
      </c>
      <c r="H152" s="19"/>
    </row>
    <row r="153" spans="1:13" ht="21" x14ac:dyDescent="0.2">
      <c r="A153" s="21" t="s">
        <v>30</v>
      </c>
      <c r="B153" s="22"/>
      <c r="C153" s="23">
        <f>SUM(C148:C152)</f>
        <v>16326795</v>
      </c>
      <c r="D153" s="23">
        <f>SUM(D148:D152)</f>
        <v>69429980.5</v>
      </c>
      <c r="E153" s="74">
        <f>(C153/C153)*100</f>
        <v>100</v>
      </c>
      <c r="F153" s="74">
        <f>(D153/D153)*100</f>
        <v>100</v>
      </c>
      <c r="G153" s="14" t="s">
        <v>31</v>
      </c>
      <c r="H153" s="19"/>
    </row>
    <row r="154" spans="1:13" ht="21" x14ac:dyDescent="0.2">
      <c r="A154" s="25" t="s">
        <v>38</v>
      </c>
      <c r="B154" s="26"/>
      <c r="C154" s="27"/>
      <c r="D154" s="27"/>
      <c r="E154" s="73"/>
      <c r="F154" s="73"/>
      <c r="G154" s="14" t="s">
        <v>33</v>
      </c>
      <c r="H154" s="19"/>
      <c r="I154" s="46"/>
    </row>
    <row r="155" spans="1:13" ht="21" x14ac:dyDescent="0.2">
      <c r="A155" s="15" t="s">
        <v>16</v>
      </c>
      <c r="B155" s="16">
        <v>3.3</v>
      </c>
      <c r="C155" s="27">
        <v>4435021.88</v>
      </c>
      <c r="D155" s="27">
        <f>C155*B155</f>
        <v>14635572.203999998</v>
      </c>
      <c r="E155" s="73">
        <f>(C155/$C$162)*100</f>
        <v>7.978127542552393</v>
      </c>
      <c r="F155" s="73">
        <f>(D155/$D$162)*100</f>
        <v>5.6836736733348889</v>
      </c>
      <c r="G155" s="17" t="s">
        <v>17</v>
      </c>
      <c r="H155" s="20"/>
      <c r="I155" s="1"/>
      <c r="J155" s="1"/>
      <c r="L155" s="19"/>
    </row>
    <row r="156" spans="1:13" ht="21" x14ac:dyDescent="0.2">
      <c r="A156" s="15" t="s">
        <v>34</v>
      </c>
      <c r="B156" s="16">
        <v>3.35</v>
      </c>
      <c r="C156" s="27">
        <v>7128559.1800000006</v>
      </c>
      <c r="D156" s="27">
        <f t="shared" ref="D156:D161" si="21">C156*B156</f>
        <v>23880673.253000002</v>
      </c>
      <c r="E156" s="73">
        <f t="shared" ref="E156:E161" si="22">(C156/$C$162)*100</f>
        <v>12.823511556762085</v>
      </c>
      <c r="F156" s="73">
        <f t="shared" ref="F156:F160" si="23">(D156/$D$162)*100</f>
        <v>9.2739765810108103</v>
      </c>
      <c r="G156" s="17" t="s">
        <v>35</v>
      </c>
      <c r="H156" s="20"/>
      <c r="I156" s="1"/>
      <c r="J156" s="1"/>
      <c r="K156" s="24"/>
      <c r="L156" s="19"/>
    </row>
    <row r="157" spans="1:13" ht="21" x14ac:dyDescent="0.2">
      <c r="A157" s="15" t="s">
        <v>36</v>
      </c>
      <c r="B157" s="16">
        <v>3.65</v>
      </c>
      <c r="C157" s="27">
        <v>5375509.9100000001</v>
      </c>
      <c r="D157" s="27">
        <f t="shared" si="21"/>
        <v>19620611.171500001</v>
      </c>
      <c r="E157" s="73">
        <f t="shared" si="22"/>
        <v>9.6699643944562315</v>
      </c>
      <c r="F157" s="73">
        <f t="shared" si="23"/>
        <v>7.6195962560122243</v>
      </c>
      <c r="G157" s="17" t="s">
        <v>37</v>
      </c>
      <c r="H157" s="20"/>
      <c r="I157" s="1"/>
      <c r="J157" s="53"/>
      <c r="K157" s="1"/>
      <c r="L157" s="19"/>
    </row>
    <row r="158" spans="1:13" ht="21" x14ac:dyDescent="0.2">
      <c r="A158" s="15" t="s">
        <v>26</v>
      </c>
      <c r="B158" s="16">
        <v>4</v>
      </c>
      <c r="C158" s="27">
        <v>2160730.0899999994</v>
      </c>
      <c r="D158" s="27">
        <f t="shared" si="21"/>
        <v>8642920.3599999975</v>
      </c>
      <c r="E158" s="73">
        <f t="shared" si="22"/>
        <v>3.8869211267680845</v>
      </c>
      <c r="F158" s="73">
        <f t="shared" si="23"/>
        <v>3.356448126943496</v>
      </c>
      <c r="G158" s="17" t="s">
        <v>39</v>
      </c>
      <c r="H158" s="20"/>
      <c r="I158" s="1"/>
      <c r="J158" s="53"/>
      <c r="K158" s="1"/>
      <c r="L158" s="19"/>
    </row>
    <row r="159" spans="1:13" ht="21" x14ac:dyDescent="0.2">
      <c r="A159" s="15" t="s">
        <v>40</v>
      </c>
      <c r="B159" s="16">
        <v>4.3499999999999996</v>
      </c>
      <c r="C159" s="27">
        <v>20206326.48</v>
      </c>
      <c r="D159" s="27">
        <f t="shared" si="21"/>
        <v>87897520.187999994</v>
      </c>
      <c r="E159" s="73">
        <f t="shared" si="22"/>
        <v>36.349008908135026</v>
      </c>
      <c r="F159" s="73">
        <f t="shared" si="23"/>
        <v>34.134696920658747</v>
      </c>
      <c r="G159" s="17" t="s">
        <v>40</v>
      </c>
      <c r="H159" s="20"/>
      <c r="I159" s="1"/>
      <c r="J159" s="1"/>
      <c r="K159" s="1"/>
      <c r="L159" s="51"/>
      <c r="M159" s="53"/>
    </row>
    <row r="160" spans="1:13" ht="21" x14ac:dyDescent="0.2">
      <c r="A160" s="15" t="s">
        <v>41</v>
      </c>
      <c r="B160" s="16">
        <v>5.75</v>
      </c>
      <c r="C160" s="27">
        <v>6068149.6099999994</v>
      </c>
      <c r="D160" s="27">
        <f t="shared" si="21"/>
        <v>34891860.257499993</v>
      </c>
      <c r="E160" s="73">
        <f t="shared" si="22"/>
        <v>10.915948747443284</v>
      </c>
      <c r="F160" s="73">
        <f t="shared" si="23"/>
        <v>13.55013284038407</v>
      </c>
      <c r="G160" s="17" t="s">
        <v>42</v>
      </c>
      <c r="H160" s="20"/>
      <c r="I160" s="1"/>
      <c r="J160" s="1"/>
      <c r="K160" s="30"/>
      <c r="L160" s="51"/>
      <c r="M160" s="1"/>
    </row>
    <row r="161" spans="1:13" ht="21" x14ac:dyDescent="0.2">
      <c r="A161" s="15" t="s">
        <v>43</v>
      </c>
      <c r="B161" s="16">
        <v>6.65</v>
      </c>
      <c r="C161" s="27">
        <v>10215461.930000002</v>
      </c>
      <c r="D161" s="27">
        <f t="shared" si="21"/>
        <v>67932821.834500015</v>
      </c>
      <c r="E161" s="73">
        <f t="shared" si="22"/>
        <v>18.376517723882895</v>
      </c>
      <c r="F161" s="73">
        <f>(D161/$D$162)*100</f>
        <v>26.381475601655762</v>
      </c>
      <c r="G161" s="17" t="s">
        <v>44</v>
      </c>
      <c r="H161" s="20"/>
      <c r="I161" s="1"/>
      <c r="J161" s="52"/>
      <c r="K161" s="19"/>
      <c r="L161" s="51"/>
      <c r="M161" s="19"/>
    </row>
    <row r="162" spans="1:13" ht="21" x14ac:dyDescent="0.2">
      <c r="A162" s="35" t="s">
        <v>30</v>
      </c>
      <c r="B162" s="36"/>
      <c r="C162" s="37">
        <f>SUM(C155:C161)</f>
        <v>55589759.079999998</v>
      </c>
      <c r="D162" s="37">
        <f>SUM(D155:D161)</f>
        <v>257501979.2685</v>
      </c>
      <c r="E162" s="76">
        <f>(C162/C162)*100</f>
        <v>100</v>
      </c>
      <c r="F162" s="76">
        <f>(D162/D162)*100</f>
        <v>100</v>
      </c>
      <c r="G162" s="38" t="s">
        <v>31</v>
      </c>
      <c r="I162" s="48"/>
      <c r="J162" s="48"/>
      <c r="L162" s="30"/>
    </row>
    <row r="163" spans="1:13" ht="21" x14ac:dyDescent="0.2">
      <c r="A163" s="25" t="s">
        <v>45</v>
      </c>
      <c r="C163" s="27"/>
      <c r="D163" s="27"/>
      <c r="E163" s="28"/>
      <c r="F163" s="29"/>
      <c r="G163" s="14" t="s">
        <v>33</v>
      </c>
      <c r="H163" s="19"/>
    </row>
    <row r="164" spans="1:13" ht="21" x14ac:dyDescent="0.2">
      <c r="A164" s="31"/>
      <c r="B164" s="32">
        <v>3.4</v>
      </c>
      <c r="C164" s="27">
        <v>698260</v>
      </c>
      <c r="D164" s="27">
        <f>C164*B164</f>
        <v>2374084</v>
      </c>
      <c r="E164" s="73">
        <f>(C164/C165)*100</f>
        <v>100</v>
      </c>
      <c r="F164" s="73">
        <f>(D164/D165)*100</f>
        <v>100</v>
      </c>
      <c r="G164" s="34"/>
      <c r="H164" s="19"/>
      <c r="J164" s="24"/>
    </row>
    <row r="165" spans="1:13" ht="21" x14ac:dyDescent="0.2">
      <c r="A165" s="35" t="s">
        <v>30</v>
      </c>
      <c r="B165" s="36"/>
      <c r="C165" s="37">
        <v>698260</v>
      </c>
      <c r="D165" s="37">
        <f>SUM(D164)</f>
        <v>2374084</v>
      </c>
      <c r="E165" s="76">
        <f>(C165/C165)*100</f>
        <v>100</v>
      </c>
      <c r="F165" s="76">
        <f>(D165/D165)*100</f>
        <v>100</v>
      </c>
      <c r="G165" s="38" t="s">
        <v>31</v>
      </c>
    </row>
    <row r="166" spans="1:13" ht="21.75" customHeight="1" x14ac:dyDescent="0.25">
      <c r="A166" s="39" t="s">
        <v>1</v>
      </c>
      <c r="B166" s="40"/>
      <c r="C166" s="40"/>
      <c r="D166" s="40"/>
      <c r="E166" s="41"/>
      <c r="F166" s="41"/>
      <c r="G166" s="42" t="s">
        <v>47</v>
      </c>
      <c r="H166" s="43"/>
      <c r="K166" s="24"/>
      <c r="M166" s="44"/>
    </row>
    <row r="170" spans="1:13" ht="409.6" customHeight="1" x14ac:dyDescent="0.2">
      <c r="C170" s="24"/>
    </row>
    <row r="171" spans="1:13" x14ac:dyDescent="0.2">
      <c r="C171" s="24"/>
    </row>
  </sheetData>
  <mergeCells count="15">
    <mergeCell ref="A66:G66"/>
    <mergeCell ref="B108:F108"/>
    <mergeCell ref="B122:F122"/>
    <mergeCell ref="B138:F138"/>
    <mergeCell ref="A1:G1"/>
    <mergeCell ref="A2:G2"/>
    <mergeCell ref="A3:A4"/>
    <mergeCell ref="G3:G4"/>
    <mergeCell ref="A65:G65"/>
    <mergeCell ref="A67:A68"/>
    <mergeCell ref="G67:G68"/>
    <mergeCell ref="A104:G104"/>
    <mergeCell ref="A105:G105"/>
    <mergeCell ref="A106:A107"/>
    <mergeCell ref="G106:G107"/>
  </mergeCells>
  <pageMargins left="0.7" right="0.7" top="0.75" bottom="0.75" header="0.3" footer="0.3"/>
  <pageSetup paperSize="9" scale="56" orientation="portrait" horizontalDpi="4294967295" verticalDpi="4294967295" r:id="rId1"/>
  <rowBreaks count="2" manualBreakCount="2">
    <brk id="63" max="7" man="1"/>
    <brk id="100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12.5</vt:lpstr>
      <vt:lpstr>'12.5'!Print_Area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2019-05-22T05:17:45Z</cp:lastPrinted>
  <dcterms:created xsi:type="dcterms:W3CDTF">2019-05-21T05:57:01Z</dcterms:created>
  <dcterms:modified xsi:type="dcterms:W3CDTF">2019-05-22T05:18:07Z</dcterms:modified>
</cp:coreProperties>
</file>