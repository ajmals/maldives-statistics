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3" sheetId="3" r:id="rId1"/>
  </sheets>
  <externalReferences>
    <externalReference r:id="rId2"/>
    <externalReference r:id="rId3"/>
    <externalReference r:id="rId4"/>
  </externalReferences>
  <definedNames>
    <definedName name="Male">'[1]Entry2015 (for male region)'!$A$8:$AAA$67</definedName>
    <definedName name="_xlnm.Print_Area" localSheetId="0">'12.3'!$A$1:$P$43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3" l="1"/>
  <c r="N6" i="3"/>
  <c r="C6" i="3"/>
  <c r="B6" i="3"/>
  <c r="B42" i="3" l="1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 s="1"/>
  <c r="M10" i="3"/>
  <c r="L10" i="3"/>
  <c r="K10" i="3"/>
  <c r="K6" i="3" s="1"/>
  <c r="J10" i="3"/>
  <c r="J6" i="3" s="1"/>
  <c r="I10" i="3"/>
  <c r="I6" i="3" s="1"/>
  <c r="H10" i="3"/>
  <c r="H6" i="3" s="1"/>
  <c r="G10" i="3"/>
  <c r="G6" i="3" s="1"/>
  <c r="F10" i="3"/>
  <c r="E10" i="3"/>
  <c r="D10" i="3"/>
  <c r="C10" i="3"/>
  <c r="B9" i="3"/>
  <c r="B8" i="3"/>
  <c r="B7" i="3"/>
  <c r="M6" i="3"/>
  <c r="L6" i="3"/>
  <c r="F6" i="3"/>
  <c r="E6" i="3"/>
  <c r="D6" i="3"/>
</calcChain>
</file>

<file path=xl/sharedStrings.xml><?xml version="1.0" encoding="utf-8"?>
<sst xmlns="http://schemas.openxmlformats.org/spreadsheetml/2006/main" count="94" uniqueCount="93">
  <si>
    <t>Source: State Electric Company Limited</t>
  </si>
  <si>
    <t>cDeTimil Inepcmok ckircTckeliacTETcs :ctWrwf ivcaedutWmUluAwm</t>
  </si>
  <si>
    <t>Locality</t>
  </si>
  <si>
    <t>wlcmuj</t>
  </si>
  <si>
    <t>cnwt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</si>
  <si>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</si>
  <si>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</si>
  <si>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</si>
  <si>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</si>
  <si>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</si>
  <si>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</si>
  <si>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</si>
  <si>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</si>
  <si>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</si>
  <si>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</si>
  <si>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</si>
  <si>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</si>
  <si>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</si>
  <si>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</si>
  <si>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</si>
  <si>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</si>
  <si>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</si>
  <si>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</si>
  <si>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</si>
  <si>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</si>
  <si>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</si>
  <si>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</si>
  <si>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</si>
  <si>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</si>
  <si>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</si>
  <si>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</si>
  <si>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</si>
  <si>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</si>
  <si>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</si>
  <si>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</si>
  <si>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</si>
  <si>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</si>
  <si>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</si>
  <si>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</si>
  <si>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</si>
  <si>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</si>
  <si>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</si>
  <si>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</si>
  <si>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</si>
  <si>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</si>
  <si>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</si>
  <si>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</si>
  <si>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</si>
  <si>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</si>
  <si>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</si>
  <si>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</si>
  <si>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</si>
  <si>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</si>
  <si>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</si>
  <si>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</si>
  <si>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</si>
  <si>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</si>
  <si>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</si>
  <si>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</si>
  <si>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</si>
  <si>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</si>
  <si>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</si>
  <si>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</si>
  <si>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</si>
  <si>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</si>
  <si>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</si>
  <si>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</si>
  <si>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</si>
  <si>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</si>
  <si>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</si>
  <si>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</si>
  <si>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</si>
  <si>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</si>
  <si>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</si>
  <si>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</si>
  <si>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</si>
  <si>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</si>
  <si>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</si>
  <si>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</si>
  <si>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</si>
  <si>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</si>
  <si>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</si>
  <si>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</si>
  <si>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</si>
  <si>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</si>
  <si>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</si>
  <si>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</si>
  <si>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</si>
  <si>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</si>
  <si>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2018</t>
  </si>
  <si>
    <t>Table  12.3 :   MONTHLY CONSUMPTION OF FUEL FOR ELECTRICITY GENERATION IN SELECTED LOCALITIES BY PUBLIC SECTOR, 2018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</si>
  <si>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</si>
  <si>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Adh.Mahibadhoo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</si>
</sst>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.5"/>
      <name val="A_Faseyha"/>
    </font>
    <font>
      <b/>
      <sz val="10.5"/>
      <name val="Calibri"/>
      <family val="2"/>
      <scheme val="minor"/>
    </font>
    <font>
      <b/>
      <sz val="11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sz val="11"/>
      <color theme="1"/>
      <name val="Faruma"/>
    </font>
    <font>
      <sz val="12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_Faseyha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4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10" fillId="2" borderId="6" xfId="2" applyFont="1" applyFill="1" applyBorder="1" applyAlignment="1">
      <alignment vertical="center"/>
    </xf>
    <xf numFmtId="0" fontId="11" fillId="2" borderId="6" xfId="2" applyFont="1" applyFill="1" applyBorder="1" applyAlignment="1">
      <alignment vertical="center"/>
    </xf>
    <xf numFmtId="0" fontId="12" fillId="2" borderId="6" xfId="2" applyFont="1" applyFill="1" applyBorder="1" applyAlignment="1">
      <alignment vertical="center"/>
    </xf>
    <xf numFmtId="0" fontId="13" fillId="2" borderId="5" xfId="2" applyFont="1" applyFill="1" applyBorder="1" applyAlignment="1" applyProtection="1">
      <alignment vertical="center"/>
    </xf>
    <xf numFmtId="164" fontId="13" fillId="2" borderId="5" xfId="1" applyNumberFormat="1" applyFont="1" applyFill="1" applyBorder="1" applyAlignment="1" applyProtection="1">
      <alignment horizontal="right" vertical="center"/>
    </xf>
    <xf numFmtId="0" fontId="14" fillId="2" borderId="14" xfId="0" applyFont="1" applyFill="1" applyBorder="1" applyAlignment="1">
      <alignment horizontal="right" vertical="center"/>
    </xf>
    <xf numFmtId="0" fontId="13" fillId="2" borderId="6" xfId="2" applyFont="1" applyFill="1" applyBorder="1" applyAlignment="1">
      <alignment vertical="center"/>
    </xf>
    <xf numFmtId="166" fontId="4" fillId="2" borderId="9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Border="1" applyAlignment="1">
      <alignment horizontal="right" vertical="center"/>
    </xf>
    <xf numFmtId="0" fontId="15" fillId="2" borderId="9" xfId="0" applyFont="1" applyFill="1" applyBorder="1" applyAlignment="1">
      <alignment horizontal="right" vertical="center"/>
    </xf>
    <xf numFmtId="0" fontId="16" fillId="2" borderId="7" xfId="0" applyFont="1" applyFill="1" applyBorder="1" applyAlignment="1">
      <alignment horizontal="left" vertical="center"/>
    </xf>
    <xf numFmtId="166" fontId="4" fillId="2" borderId="11" xfId="0" applyNumberFormat="1" applyFont="1" applyFill="1" applyBorder="1" applyAlignment="1">
      <alignment horizontal="right" vertical="center"/>
    </xf>
    <xf numFmtId="0" fontId="17" fillId="2" borderId="11" xfId="0" applyFont="1" applyFill="1" applyBorder="1" applyAlignment="1">
      <alignment horizontal="right" vertical="center"/>
    </xf>
    <xf numFmtId="43" fontId="10" fillId="2" borderId="6" xfId="2" applyNumberFormat="1" applyFont="1" applyFill="1" applyBorder="1" applyAlignment="1">
      <alignment vertical="center"/>
    </xf>
    <xf numFmtId="166" fontId="13" fillId="2" borderId="11" xfId="0" applyNumberFormat="1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" fontId="10" fillId="2" borderId="6" xfId="2" applyNumberFormat="1" applyFont="1" applyFill="1" applyBorder="1" applyAlignment="1">
      <alignment vertical="center"/>
    </xf>
    <xf numFmtId="0" fontId="10" fillId="2" borderId="6" xfId="2" quotePrefix="1" applyFont="1" applyFill="1" applyBorder="1" applyAlignment="1">
      <alignment vertical="center"/>
    </xf>
    <xf numFmtId="3" fontId="10" fillId="2" borderId="6" xfId="2" applyNumberFormat="1" applyFont="1" applyFill="1" applyBorder="1" applyAlignment="1">
      <alignment vertical="center"/>
    </xf>
    <xf numFmtId="2" fontId="10" fillId="2" borderId="6" xfId="2" applyNumberFormat="1" applyFont="1" applyFill="1" applyBorder="1" applyAlignment="1">
      <alignment vertical="center"/>
    </xf>
    <xf numFmtId="0" fontId="18" fillId="2" borderId="6" xfId="2" applyFont="1" applyFill="1" applyBorder="1" applyAlignment="1">
      <alignment vertical="center"/>
    </xf>
    <xf numFmtId="164" fontId="18" fillId="2" borderId="6" xfId="3" applyNumberFormat="1" applyFont="1" applyFill="1" applyBorder="1" applyAlignment="1">
      <alignment vertical="center"/>
    </xf>
    <xf numFmtId="164" fontId="10" fillId="2" borderId="6" xfId="3" applyNumberFormat="1" applyFont="1" applyFill="1" applyBorder="1" applyAlignment="1">
      <alignment vertical="center"/>
    </xf>
    <xf numFmtId="0" fontId="16" fillId="2" borderId="8" xfId="0" applyFont="1" applyFill="1" applyBorder="1" applyAlignment="1">
      <alignment horizontal="left" vertical="center"/>
    </xf>
    <xf numFmtId="166" fontId="4" fillId="2" borderId="10" xfId="0" applyNumberFormat="1" applyFont="1" applyFill="1" applyBorder="1" applyAlignment="1">
      <alignment horizontal="right" vertical="center"/>
    </xf>
    <xf numFmtId="0" fontId="17" fillId="2" borderId="10" xfId="0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/>
    <xf numFmtId="0" fontId="19" fillId="2" borderId="4" xfId="2" applyFont="1" applyFill="1" applyBorder="1" applyAlignment="1">
      <alignment vertical="center"/>
    </xf>
    <xf numFmtId="3" fontId="20" fillId="2" borderId="0" xfId="0" applyNumberFormat="1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0" fontId="24" fillId="2" borderId="0" xfId="0" applyFont="1" applyFill="1"/>
    <xf numFmtId="3" fontId="20" fillId="2" borderId="0" xfId="0" applyNumberFormat="1" applyFont="1" applyFill="1" applyBorder="1"/>
    <xf numFmtId="0" fontId="21" fillId="2" borderId="0" xfId="0" applyFont="1" applyFill="1" applyBorder="1"/>
    <xf numFmtId="166" fontId="5" fillId="2" borderId="0" xfId="0" applyNumberFormat="1" applyFont="1" applyFill="1" applyBorder="1" applyAlignment="1">
      <alignment horizontal="right" vertical="center"/>
    </xf>
    <xf numFmtId="166" fontId="5" fillId="2" borderId="3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166" fontId="5" fillId="2" borderId="2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/>
    </xf>
    <xf numFmtId="0" fontId="2" fillId="2" borderId="10" xfId="2" applyFont="1" applyFill="1" applyBorder="1" applyAlignment="1" applyProtection="1">
      <alignment horizontal="center" vertical="top"/>
    </xf>
    <xf numFmtId="0" fontId="2" fillId="2" borderId="13" xfId="2" applyFont="1" applyFill="1" applyBorder="1" applyAlignment="1" applyProtection="1">
      <alignment horizontal="center" vertical="top"/>
    </xf>
    <xf numFmtId="0" fontId="2" fillId="2" borderId="8" xfId="2" applyFont="1" applyFill="1" applyBorder="1" applyAlignment="1" applyProtection="1">
      <alignment horizontal="center" vertical="top"/>
    </xf>
    <xf numFmtId="0" fontId="9" fillId="2" borderId="11" xfId="2" applyFont="1" applyFill="1" applyBorder="1" applyAlignment="1">
      <alignment horizontal="center" vertical="center"/>
    </xf>
    <xf numFmtId="0" fontId="9" fillId="2" borderId="12" xfId="2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0" fontId="2" fillId="2" borderId="11" xfId="2" applyFont="1" applyFill="1" applyBorder="1" applyAlignment="1" applyProtection="1">
      <alignment horizontal="center" vertical="center"/>
    </xf>
    <xf numFmtId="0" fontId="2" fillId="2" borderId="12" xfId="2" applyFont="1" applyFill="1" applyBorder="1" applyAlignment="1" applyProtection="1">
      <alignment horizontal="center" vertical="center"/>
    </xf>
    <xf numFmtId="0" fontId="2" fillId="2" borderId="7" xfId="2" applyFont="1" applyFill="1" applyBorder="1" applyAlignment="1" applyProtection="1">
      <alignment horizontal="center" vertical="center"/>
    </xf>
  </cellXfs>
  <cellStyles count="4">
    <cellStyle name="Comma 2" xfId="1"/>
    <cellStyle name="Comma 4" xfId="3"/>
    <cellStyle name="Normal" xfId="0" builtinId="0"/>
    <cellStyle name="Normal 2" xfId="2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final\All%20in%20one%202015(150094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zoomScaleNormal="100" workbookViewId="0">
      <selection activeCell="U13" sqref="U13"/>
    </sheetView>
  </sheetViews>
  <sheetFormatPr defaultColWidth="11.140625" defaultRowHeight="15" x14ac:dyDescent="0.25"/>
  <cols>
    <col min="1" max="1" width="16.7109375" style="4" customWidth="1"/>
    <col min="2" max="2" width="11.140625" style="4" customWidth="1"/>
    <col min="3" max="14" width="11.28515625" style="4" customWidth="1"/>
    <col min="15" max="15" width="13.5703125" style="4" bestFit="1" customWidth="1"/>
    <col min="16" max="16" width="1.85546875" style="4" customWidth="1"/>
    <col min="17" max="18" width="11.140625" style="4"/>
    <col min="19" max="19" width="11.42578125" style="4" bestFit="1" customWidth="1"/>
    <col min="20" max="20" width="11.140625" style="4"/>
    <col min="21" max="21" width="12.140625" style="4" bestFit="1" customWidth="1"/>
    <col min="22" max="16384" width="11.140625" style="4"/>
  </cols>
  <sheetData>
    <row r="1" spans="1:18" ht="21.75" x14ac:dyDescent="0.25">
      <c r="A1" s="50" t="s">
        <v>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8" s="5" customFormat="1" x14ac:dyDescent="0.25">
      <c r="A2" s="53" t="s">
        <v>90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8" s="1" customFormat="1" ht="17.25" x14ac:dyDescent="0.4">
      <c r="A3" s="46" t="s">
        <v>91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8" s="6" customFormat="1" ht="6.75" customHeight="1" x14ac:dyDescent="0.25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9"/>
    </row>
    <row r="5" spans="1:18" s="10" customFormat="1" ht="15.75" x14ac:dyDescent="0.25">
      <c r="A5" s="7" t="s">
        <v>2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9" t="s">
        <v>4</v>
      </c>
    </row>
    <row r="6" spans="1:18" ht="18" x14ac:dyDescent="0.25">
      <c r="A6" s="2" t="s">
        <v>5</v>
      </c>
      <c r="B6" s="11">
        <f>SUM(C6:N6)</f>
        <v>128033.82813000001</v>
      </c>
      <c r="C6" s="12">
        <f>SUM(C7:C10)</f>
        <v>9638.2288499999995</v>
      </c>
      <c r="D6" s="12">
        <f t="shared" ref="D6:N6" si="0">SUM(D7:D10)</f>
        <v>9491.3460999999988</v>
      </c>
      <c r="E6" s="12">
        <f t="shared" si="0"/>
        <v>11486.57461</v>
      </c>
      <c r="F6" s="12">
        <f t="shared" si="0"/>
        <v>11338.021610000002</v>
      </c>
      <c r="G6" s="12">
        <f t="shared" si="0"/>
        <v>10717.6204</v>
      </c>
      <c r="H6" s="12">
        <f t="shared" si="0"/>
        <v>10325.87815</v>
      </c>
      <c r="I6" s="12">
        <f t="shared" si="0"/>
        <v>10815.0754</v>
      </c>
      <c r="J6" s="12">
        <f t="shared" si="0"/>
        <v>11275.781610000002</v>
      </c>
      <c r="K6" s="12">
        <f t="shared" si="0"/>
        <v>10805.563400000001</v>
      </c>
      <c r="L6" s="12">
        <f t="shared" si="0"/>
        <v>10476.983</v>
      </c>
      <c r="M6" s="12">
        <f t="shared" si="0"/>
        <v>10714.735000000001</v>
      </c>
      <c r="N6" s="12">
        <f>SUM(N7:N10)</f>
        <v>10948.02</v>
      </c>
      <c r="O6" s="13" t="s">
        <v>3</v>
      </c>
    </row>
    <row r="7" spans="1:18" ht="21" x14ac:dyDescent="0.25">
      <c r="A7" s="14" t="s">
        <v>18</v>
      </c>
      <c r="B7" s="15">
        <f>SUM(C7:N7)</f>
        <v>89711.498999999996</v>
      </c>
      <c r="C7" s="42">
        <v>6806.21</v>
      </c>
      <c r="D7" s="42">
        <v>6720.8050000000003</v>
      </c>
      <c r="E7" s="42">
        <v>8147.2879999999996</v>
      </c>
      <c r="F7" s="42">
        <v>8002.8990000000003</v>
      </c>
      <c r="G7" s="42">
        <v>7564.3729999999996</v>
      </c>
      <c r="H7" s="42">
        <v>7242.9610000000002</v>
      </c>
      <c r="I7" s="42">
        <v>7627.6130000000003</v>
      </c>
      <c r="J7" s="42">
        <v>7812.076</v>
      </c>
      <c r="K7" s="42">
        <v>7566.1189999999997</v>
      </c>
      <c r="L7" s="42">
        <v>7266.8959999999997</v>
      </c>
      <c r="M7" s="42">
        <v>7476.6369999999997</v>
      </c>
      <c r="N7" s="42">
        <v>7477.6220000000003</v>
      </c>
      <c r="O7" s="16" t="s">
        <v>19</v>
      </c>
      <c r="Q7" s="17"/>
    </row>
    <row r="8" spans="1:18" ht="21" x14ac:dyDescent="0.25">
      <c r="A8" s="3" t="s">
        <v>20</v>
      </c>
      <c r="B8" s="18">
        <f>SUM(C8:N8)</f>
        <v>3512.0414000000001</v>
      </c>
      <c r="C8" s="42">
        <v>277.51299999999998</v>
      </c>
      <c r="D8" s="42">
        <v>261.09800000000001</v>
      </c>
      <c r="E8" s="42">
        <v>313.68099999999998</v>
      </c>
      <c r="F8" s="42">
        <v>314.47000000000003</v>
      </c>
      <c r="G8" s="42">
        <v>302.66000000000003</v>
      </c>
      <c r="H8" s="42">
        <v>295.14600000000002</v>
      </c>
      <c r="I8" s="42">
        <v>297.29500000000002</v>
      </c>
      <c r="J8" s="42">
        <v>314.70800000000003</v>
      </c>
      <c r="K8" s="42">
        <v>283.45240000000001</v>
      </c>
      <c r="L8" s="42">
        <v>283.93</v>
      </c>
      <c r="M8" s="42">
        <v>284.96499999999997</v>
      </c>
      <c r="N8" s="42">
        <v>283.12299999999999</v>
      </c>
      <c r="O8" s="16" t="s">
        <v>21</v>
      </c>
    </row>
    <row r="9" spans="1:18" ht="21" x14ac:dyDescent="0.25">
      <c r="A9" s="14" t="s">
        <v>22</v>
      </c>
      <c r="B9" s="15">
        <f>SUM(C9:N9)</f>
        <v>18840.538</v>
      </c>
      <c r="C9" s="42">
        <v>1302.9079999999999</v>
      </c>
      <c r="D9" s="42">
        <v>1297.461</v>
      </c>
      <c r="E9" s="42">
        <v>1593.942</v>
      </c>
      <c r="F9" s="42">
        <v>1617.172</v>
      </c>
      <c r="G9" s="42">
        <v>1555.778</v>
      </c>
      <c r="H9" s="42">
        <v>1514.0029999999999</v>
      </c>
      <c r="I9" s="42">
        <v>1576.001</v>
      </c>
      <c r="J9" s="42">
        <v>1695.88</v>
      </c>
      <c r="K9" s="42">
        <v>1644.721</v>
      </c>
      <c r="L9" s="42">
        <v>1621.239</v>
      </c>
      <c r="M9" s="42">
        <v>1651.463</v>
      </c>
      <c r="N9" s="42">
        <v>1769.97</v>
      </c>
      <c r="O9" s="16" t="s">
        <v>23</v>
      </c>
    </row>
    <row r="10" spans="1:18" s="20" customFormat="1" ht="21" x14ac:dyDescent="0.25">
      <c r="A10" s="2" t="s">
        <v>24</v>
      </c>
      <c r="B10" s="15">
        <f>SUM(B11:B42)</f>
        <v>15969.749730000003</v>
      </c>
      <c r="C10" s="12">
        <f>SUM(C11:C42)</f>
        <v>1251.5978499999994</v>
      </c>
      <c r="D10" s="12">
        <f t="shared" ref="D10:N10" si="1">SUM(D11:D42)</f>
        <v>1211.9820999999999</v>
      </c>
      <c r="E10" s="12">
        <f t="shared" si="1"/>
        <v>1431.6636100000003</v>
      </c>
      <c r="F10" s="12">
        <f t="shared" si="1"/>
        <v>1403.4806100000001</v>
      </c>
      <c r="G10" s="12">
        <f t="shared" si="1"/>
        <v>1294.8094000000001</v>
      </c>
      <c r="H10" s="12">
        <f t="shared" si="1"/>
        <v>1273.7681499999999</v>
      </c>
      <c r="I10" s="12">
        <f t="shared" si="1"/>
        <v>1314.1664000000001</v>
      </c>
      <c r="J10" s="12">
        <f t="shared" si="1"/>
        <v>1453.1176100000007</v>
      </c>
      <c r="K10" s="12">
        <f t="shared" si="1"/>
        <v>1311.2710000000004</v>
      </c>
      <c r="L10" s="12">
        <f t="shared" si="1"/>
        <v>1304.9179999999999</v>
      </c>
      <c r="M10" s="12">
        <f t="shared" si="1"/>
        <v>1301.6699999999994</v>
      </c>
      <c r="N10" s="12">
        <f>SUM(N11:N42)</f>
        <v>1417.3049999999996</v>
      </c>
      <c r="O10" s="19" t="s">
        <v>25</v>
      </c>
    </row>
    <row r="11" spans="1:18" ht="21" x14ac:dyDescent="0.25">
      <c r="A11" s="14" t="s">
        <v>26</v>
      </c>
      <c r="B11" s="15">
        <f t="shared" ref="B11:B42" si="2">SUM(C11:N11)</f>
        <v>695.15700000000004</v>
      </c>
      <c r="C11" s="42">
        <v>51.603000000000002</v>
      </c>
      <c r="D11" s="42">
        <v>52.862000000000002</v>
      </c>
      <c r="E11" s="42">
        <v>60.737000000000002</v>
      </c>
      <c r="F11" s="42">
        <v>60.654000000000003</v>
      </c>
      <c r="G11" s="42">
        <v>55.957999999999998</v>
      </c>
      <c r="H11" s="42">
        <v>56.850999999999999</v>
      </c>
      <c r="I11" s="42">
        <v>57.295000000000002</v>
      </c>
      <c r="J11" s="42">
        <v>61.194000000000003</v>
      </c>
      <c r="K11" s="42">
        <v>62.813000000000002</v>
      </c>
      <c r="L11" s="42">
        <v>58.89</v>
      </c>
      <c r="M11" s="42">
        <v>57.445999999999998</v>
      </c>
      <c r="N11" s="42">
        <v>58.853999999999999</v>
      </c>
      <c r="O11" s="16" t="s">
        <v>27</v>
      </c>
    </row>
    <row r="12" spans="1:18" ht="21" x14ac:dyDescent="0.25">
      <c r="A12" s="14" t="s">
        <v>28</v>
      </c>
      <c r="B12" s="15">
        <f t="shared" si="2"/>
        <v>433.32900000000006</v>
      </c>
      <c r="C12" s="42">
        <v>32.14</v>
      </c>
      <c r="D12" s="42">
        <v>31.536000000000001</v>
      </c>
      <c r="E12" s="42">
        <v>39.951000000000001</v>
      </c>
      <c r="F12" s="42">
        <v>39.002000000000002</v>
      </c>
      <c r="G12" s="42">
        <v>36.206000000000003</v>
      </c>
      <c r="H12" s="42">
        <v>36.896000000000001</v>
      </c>
      <c r="I12" s="42">
        <v>35.689</v>
      </c>
      <c r="J12" s="42">
        <v>38.183</v>
      </c>
      <c r="K12" s="42">
        <v>36.438000000000002</v>
      </c>
      <c r="L12" s="42">
        <v>33.493000000000002</v>
      </c>
      <c r="M12" s="42">
        <v>35.595999999999997</v>
      </c>
      <c r="N12" s="42">
        <v>38.198999999999998</v>
      </c>
      <c r="O12" s="16" t="s">
        <v>29</v>
      </c>
    </row>
    <row r="13" spans="1:18" ht="21" x14ac:dyDescent="0.25">
      <c r="A13" s="14" t="s">
        <v>30</v>
      </c>
      <c r="B13" s="15">
        <f t="shared" si="2"/>
        <v>518.43100000000004</v>
      </c>
      <c r="C13" s="42">
        <v>42.997999999999998</v>
      </c>
      <c r="D13" s="42">
        <v>40.637999999999998</v>
      </c>
      <c r="E13" s="42">
        <v>46.094000000000001</v>
      </c>
      <c r="F13" s="42">
        <v>46.292999999999999</v>
      </c>
      <c r="G13" s="42">
        <v>40.561999999999998</v>
      </c>
      <c r="H13" s="42">
        <v>38.268999999999998</v>
      </c>
      <c r="I13" s="42">
        <v>42.606999999999999</v>
      </c>
      <c r="J13" s="42">
        <v>47.552999999999997</v>
      </c>
      <c r="K13" s="42">
        <v>40.069000000000003</v>
      </c>
      <c r="L13" s="42">
        <v>42.703000000000003</v>
      </c>
      <c r="M13" s="42">
        <v>42.985999999999997</v>
      </c>
      <c r="N13" s="42">
        <v>47.658999999999999</v>
      </c>
      <c r="O13" s="16" t="s">
        <v>31</v>
      </c>
    </row>
    <row r="14" spans="1:18" ht="21" x14ac:dyDescent="0.25">
      <c r="A14" s="14" t="s">
        <v>32</v>
      </c>
      <c r="B14" s="15">
        <f t="shared" si="2"/>
        <v>893.298</v>
      </c>
      <c r="C14" s="42">
        <v>69.741</v>
      </c>
      <c r="D14" s="42">
        <v>68.567999999999998</v>
      </c>
      <c r="E14" s="42">
        <v>83.876000000000005</v>
      </c>
      <c r="F14" s="42">
        <v>80.460999999999999</v>
      </c>
      <c r="G14" s="42">
        <v>74.102999999999994</v>
      </c>
      <c r="H14" s="42">
        <v>69.977999999999994</v>
      </c>
      <c r="I14" s="42">
        <v>71.540000000000006</v>
      </c>
      <c r="J14" s="42">
        <v>80.972999999999999</v>
      </c>
      <c r="K14" s="42">
        <v>74.844999999999999</v>
      </c>
      <c r="L14" s="42">
        <v>69.712000000000003</v>
      </c>
      <c r="M14" s="42">
        <v>70.260000000000005</v>
      </c>
      <c r="N14" s="42">
        <v>79.241</v>
      </c>
      <c r="O14" s="16" t="s">
        <v>33</v>
      </c>
      <c r="Q14" s="21"/>
      <c r="R14" s="21"/>
    </row>
    <row r="15" spans="1:18" ht="21" x14ac:dyDescent="0.25">
      <c r="A15" s="14" t="s">
        <v>34</v>
      </c>
      <c r="B15" s="15">
        <f t="shared" si="2"/>
        <v>915.14200000000005</v>
      </c>
      <c r="C15" s="42">
        <v>68.174000000000007</v>
      </c>
      <c r="D15" s="42">
        <v>65.435000000000002</v>
      </c>
      <c r="E15" s="42">
        <v>82.671000000000006</v>
      </c>
      <c r="F15" s="42">
        <v>79.986999999999995</v>
      </c>
      <c r="G15" s="42">
        <v>76.616</v>
      </c>
      <c r="H15" s="42">
        <v>74.558000000000007</v>
      </c>
      <c r="I15" s="42">
        <v>77.552000000000007</v>
      </c>
      <c r="J15" s="42">
        <v>82.888000000000005</v>
      </c>
      <c r="K15" s="42">
        <v>78.239000000000004</v>
      </c>
      <c r="L15" s="42">
        <v>72.981999999999999</v>
      </c>
      <c r="M15" s="42">
        <v>73.343000000000004</v>
      </c>
      <c r="N15" s="42">
        <v>82.697000000000003</v>
      </c>
      <c r="O15" s="16" t="s">
        <v>35</v>
      </c>
    </row>
    <row r="16" spans="1:18" ht="21" x14ac:dyDescent="0.25">
      <c r="A16" s="14" t="s">
        <v>36</v>
      </c>
      <c r="B16" s="15">
        <f t="shared" si="2"/>
        <v>1465.6799999999998</v>
      </c>
      <c r="C16" s="42">
        <v>114.10299999999999</v>
      </c>
      <c r="D16" s="42">
        <v>107.886</v>
      </c>
      <c r="E16" s="42">
        <v>125.86799999999999</v>
      </c>
      <c r="F16" s="42">
        <v>124.55200000000001</v>
      </c>
      <c r="G16" s="42">
        <v>115.131</v>
      </c>
      <c r="H16" s="42">
        <v>113.57899999999999</v>
      </c>
      <c r="I16" s="42">
        <v>120.61799999999999</v>
      </c>
      <c r="J16" s="42">
        <v>125.821</v>
      </c>
      <c r="K16" s="42">
        <v>125.53700000000001</v>
      </c>
      <c r="L16" s="42">
        <v>127.414</v>
      </c>
      <c r="M16" s="42">
        <v>127.459</v>
      </c>
      <c r="N16" s="42">
        <v>137.71199999999999</v>
      </c>
      <c r="O16" s="16" t="s">
        <v>37</v>
      </c>
    </row>
    <row r="17" spans="1:21" ht="21" x14ac:dyDescent="0.25">
      <c r="A17" s="14" t="s">
        <v>38</v>
      </c>
      <c r="B17" s="15">
        <f t="shared" si="2"/>
        <v>136.715</v>
      </c>
      <c r="C17" s="42">
        <v>10.576000000000001</v>
      </c>
      <c r="D17" s="42">
        <v>9.0350000000000001</v>
      </c>
      <c r="E17" s="42">
        <v>9.1880000000000006</v>
      </c>
      <c r="F17" s="42">
        <v>10.09</v>
      </c>
      <c r="G17" s="42">
        <v>11.066000000000001</v>
      </c>
      <c r="H17" s="42">
        <v>11.894</v>
      </c>
      <c r="I17" s="42">
        <v>13.101000000000001</v>
      </c>
      <c r="J17" s="42">
        <v>13.632</v>
      </c>
      <c r="K17" s="42">
        <v>12.942</v>
      </c>
      <c r="L17" s="42">
        <v>12.714</v>
      </c>
      <c r="M17" s="42">
        <v>11.646000000000001</v>
      </c>
      <c r="N17" s="42">
        <v>10.831</v>
      </c>
      <c r="O17" s="16" t="s">
        <v>39</v>
      </c>
    </row>
    <row r="18" spans="1:21" ht="21" x14ac:dyDescent="0.25">
      <c r="A18" s="14" t="s">
        <v>40</v>
      </c>
      <c r="B18" s="15">
        <f t="shared" si="2"/>
        <v>361.02800000000002</v>
      </c>
      <c r="C18" s="42">
        <v>28.094999999999999</v>
      </c>
      <c r="D18" s="42">
        <v>27.318999999999999</v>
      </c>
      <c r="E18" s="42">
        <v>33.741999999999997</v>
      </c>
      <c r="F18" s="42">
        <v>33.119999999999997</v>
      </c>
      <c r="G18" s="42">
        <v>28.812000000000001</v>
      </c>
      <c r="H18" s="42">
        <v>29.097999999999999</v>
      </c>
      <c r="I18" s="42">
        <v>28.184999999999999</v>
      </c>
      <c r="J18" s="42">
        <v>33.323</v>
      </c>
      <c r="K18" s="42">
        <v>30.291</v>
      </c>
      <c r="L18" s="42">
        <v>27.170999999999999</v>
      </c>
      <c r="M18" s="42">
        <v>28.952999999999999</v>
      </c>
      <c r="N18" s="42">
        <v>32.918999999999997</v>
      </c>
      <c r="O18" s="16" t="s">
        <v>41</v>
      </c>
      <c r="S18" s="22"/>
      <c r="T18" s="22"/>
    </row>
    <row r="19" spans="1:21" ht="21" x14ac:dyDescent="0.25">
      <c r="A19" s="14" t="s">
        <v>42</v>
      </c>
      <c r="B19" s="15">
        <f t="shared" si="2"/>
        <v>2360.2730000000006</v>
      </c>
      <c r="C19" s="42">
        <v>200.51499999999999</v>
      </c>
      <c r="D19" s="42">
        <v>186.672</v>
      </c>
      <c r="E19" s="42">
        <v>218.92400000000001</v>
      </c>
      <c r="F19" s="42">
        <v>215.21</v>
      </c>
      <c r="G19" s="42">
        <v>199.08099999999999</v>
      </c>
      <c r="H19" s="42">
        <v>192.499</v>
      </c>
      <c r="I19" s="42">
        <v>208.83500000000001</v>
      </c>
      <c r="J19" s="42">
        <v>222.303</v>
      </c>
      <c r="K19" s="42">
        <v>166.09200000000001</v>
      </c>
      <c r="L19" s="42">
        <v>192.15</v>
      </c>
      <c r="M19" s="42">
        <v>171.67500000000001</v>
      </c>
      <c r="N19" s="42">
        <v>186.31700000000001</v>
      </c>
      <c r="O19" s="16" t="s">
        <v>43</v>
      </c>
      <c r="R19" s="2"/>
      <c r="S19" s="23"/>
      <c r="T19" s="23"/>
      <c r="U19" s="24"/>
    </row>
    <row r="20" spans="1:21" ht="21" x14ac:dyDescent="0.25">
      <c r="A20" s="14" t="s">
        <v>44</v>
      </c>
      <c r="B20" s="15">
        <f t="shared" si="2"/>
        <v>844.68599999999992</v>
      </c>
      <c r="C20" s="42">
        <v>62.679000000000002</v>
      </c>
      <c r="D20" s="42">
        <v>61.088000000000001</v>
      </c>
      <c r="E20" s="42">
        <v>74.384</v>
      </c>
      <c r="F20" s="42">
        <v>72.540999999999997</v>
      </c>
      <c r="G20" s="42">
        <v>64.927000000000007</v>
      </c>
      <c r="H20" s="42">
        <v>69.034999999999997</v>
      </c>
      <c r="I20" s="42">
        <v>69.150000000000006</v>
      </c>
      <c r="J20" s="42">
        <v>77.852000000000004</v>
      </c>
      <c r="K20" s="42">
        <v>73.191000000000003</v>
      </c>
      <c r="L20" s="42">
        <v>68.876999999999995</v>
      </c>
      <c r="M20" s="42">
        <v>71.599999999999994</v>
      </c>
      <c r="N20" s="42">
        <v>79.361999999999995</v>
      </c>
      <c r="O20" s="16" t="s">
        <v>45</v>
      </c>
      <c r="R20" s="14"/>
      <c r="S20" s="23"/>
      <c r="T20" s="23"/>
      <c r="U20" s="24"/>
    </row>
    <row r="21" spans="1:21" ht="21" x14ac:dyDescent="0.25">
      <c r="A21" s="14" t="s">
        <v>46</v>
      </c>
      <c r="B21" s="15">
        <f t="shared" si="2"/>
        <v>509.26900000000001</v>
      </c>
      <c r="C21" s="42">
        <v>37.457999999999998</v>
      </c>
      <c r="D21" s="42">
        <v>39.838999999999999</v>
      </c>
      <c r="E21" s="42">
        <v>45.73</v>
      </c>
      <c r="F21" s="42">
        <v>44.521999999999998</v>
      </c>
      <c r="G21" s="42">
        <v>38.018999999999998</v>
      </c>
      <c r="H21" s="42">
        <v>37.713999999999999</v>
      </c>
      <c r="I21" s="42">
        <v>40.942999999999998</v>
      </c>
      <c r="J21" s="42">
        <v>46.881999999999998</v>
      </c>
      <c r="K21" s="42">
        <v>41.597000000000001</v>
      </c>
      <c r="L21" s="42">
        <v>40.261000000000003</v>
      </c>
      <c r="M21" s="42">
        <v>45.91</v>
      </c>
      <c r="N21" s="42">
        <v>50.393999999999998</v>
      </c>
      <c r="O21" s="16" t="s">
        <v>47</v>
      </c>
      <c r="R21" s="14"/>
      <c r="S21" s="23"/>
      <c r="T21" s="23"/>
      <c r="U21" s="24"/>
    </row>
    <row r="22" spans="1:21" ht="21" x14ac:dyDescent="0.25">
      <c r="A22" s="14" t="s">
        <v>48</v>
      </c>
      <c r="B22" s="15">
        <f t="shared" si="2"/>
        <v>325.19099999999997</v>
      </c>
      <c r="C22" s="42">
        <v>25.66</v>
      </c>
      <c r="D22" s="42">
        <v>25.89</v>
      </c>
      <c r="E22" s="42">
        <v>29.186</v>
      </c>
      <c r="F22" s="42">
        <v>30.042000000000002</v>
      </c>
      <c r="G22" s="42">
        <v>27.620999999999999</v>
      </c>
      <c r="H22" s="42">
        <v>24.434000000000001</v>
      </c>
      <c r="I22" s="42">
        <v>25.207999999999998</v>
      </c>
      <c r="J22" s="42">
        <v>29.652999999999999</v>
      </c>
      <c r="K22" s="42">
        <v>26.719000000000001</v>
      </c>
      <c r="L22" s="42">
        <v>25.620999999999999</v>
      </c>
      <c r="M22" s="42">
        <v>26.623000000000001</v>
      </c>
      <c r="N22" s="42">
        <v>28.533999999999999</v>
      </c>
      <c r="O22" s="16" t="s">
        <v>49</v>
      </c>
      <c r="R22" s="14"/>
      <c r="S22" s="23"/>
      <c r="T22" s="23"/>
      <c r="U22" s="24"/>
    </row>
    <row r="23" spans="1:21" ht="21" x14ac:dyDescent="0.25">
      <c r="A23" s="14" t="s">
        <v>50</v>
      </c>
      <c r="B23" s="15">
        <f t="shared" si="2"/>
        <v>250.45473000000001</v>
      </c>
      <c r="C23" s="42">
        <v>21.91385</v>
      </c>
      <c r="D23" s="42">
        <v>23.104099999999999</v>
      </c>
      <c r="E23" s="42">
        <v>24.58361</v>
      </c>
      <c r="F23" s="42">
        <v>22.114609999999999</v>
      </c>
      <c r="G23" s="42">
        <v>20.843400000000003</v>
      </c>
      <c r="H23" s="42">
        <v>18.763150000000003</v>
      </c>
      <c r="I23" s="42">
        <v>19.543400000000002</v>
      </c>
      <c r="J23" s="42">
        <v>21.75461</v>
      </c>
      <c r="K23" s="42">
        <v>18.942</v>
      </c>
      <c r="L23" s="42">
        <v>18.638999999999999</v>
      </c>
      <c r="M23" s="42">
        <v>19.812000000000001</v>
      </c>
      <c r="N23" s="42">
        <v>20.440999999999999</v>
      </c>
      <c r="O23" s="16" t="s">
        <v>51</v>
      </c>
      <c r="R23" s="2"/>
      <c r="S23" s="23"/>
      <c r="T23" s="23"/>
      <c r="U23" s="24"/>
    </row>
    <row r="24" spans="1:21" ht="21" x14ac:dyDescent="0.25">
      <c r="A24" s="14" t="s">
        <v>52</v>
      </c>
      <c r="B24" s="15">
        <f t="shared" si="2"/>
        <v>203.679</v>
      </c>
      <c r="C24" s="42">
        <v>16.425000000000001</v>
      </c>
      <c r="D24" s="42">
        <v>15.236000000000001</v>
      </c>
      <c r="E24" s="42">
        <v>17.234000000000002</v>
      </c>
      <c r="F24" s="42">
        <v>16.803000000000001</v>
      </c>
      <c r="G24" s="42">
        <v>16.353000000000002</v>
      </c>
      <c r="H24" s="42">
        <v>16.274999999999999</v>
      </c>
      <c r="I24" s="42">
        <v>16.177</v>
      </c>
      <c r="J24" s="42">
        <v>19.122</v>
      </c>
      <c r="K24" s="42">
        <v>16.617999999999999</v>
      </c>
      <c r="L24" s="42">
        <v>16.324999999999999</v>
      </c>
      <c r="M24" s="42">
        <v>16.77</v>
      </c>
      <c r="N24" s="43">
        <v>20.341000000000001</v>
      </c>
      <c r="O24" s="16" t="s">
        <v>53</v>
      </c>
      <c r="S24" s="23"/>
      <c r="T24" s="23"/>
      <c r="U24" s="24"/>
    </row>
    <row r="25" spans="1:21" ht="21" x14ac:dyDescent="0.25">
      <c r="A25" s="14" t="s">
        <v>54</v>
      </c>
      <c r="B25" s="15">
        <f t="shared" si="2"/>
        <v>208.155</v>
      </c>
      <c r="C25" s="42">
        <v>18.5</v>
      </c>
      <c r="D25" s="42">
        <v>15.831</v>
      </c>
      <c r="E25" s="42">
        <v>17.478999999999999</v>
      </c>
      <c r="F25" s="42">
        <v>17.085000000000001</v>
      </c>
      <c r="G25" s="42">
        <v>16.878</v>
      </c>
      <c r="H25" s="42">
        <v>15.843</v>
      </c>
      <c r="I25" s="42">
        <v>14.641999999999999</v>
      </c>
      <c r="J25" s="42">
        <v>19.009</v>
      </c>
      <c r="K25" s="42">
        <v>18.675999999999998</v>
      </c>
      <c r="L25" s="42">
        <v>17.425000000000001</v>
      </c>
      <c r="M25" s="42">
        <v>18.149999999999999</v>
      </c>
      <c r="N25" s="43">
        <v>18.637</v>
      </c>
      <c r="O25" s="16" t="s">
        <v>55</v>
      </c>
      <c r="S25" s="23"/>
      <c r="T25" s="23"/>
      <c r="U25" s="24"/>
    </row>
    <row r="26" spans="1:21" s="25" customFormat="1" ht="21" x14ac:dyDescent="0.25">
      <c r="A26" s="3" t="s">
        <v>56</v>
      </c>
      <c r="B26" s="15">
        <f t="shared" si="2"/>
        <v>296.92599999999999</v>
      </c>
      <c r="C26" s="42">
        <v>21.463000000000001</v>
      </c>
      <c r="D26" s="42">
        <v>22.213999999999999</v>
      </c>
      <c r="E26" s="42">
        <v>26.638000000000002</v>
      </c>
      <c r="F26" s="42">
        <v>25.414000000000001</v>
      </c>
      <c r="G26" s="42">
        <v>25.254999999999999</v>
      </c>
      <c r="H26" s="42">
        <v>25.61</v>
      </c>
      <c r="I26" s="42">
        <v>23.623999999999999</v>
      </c>
      <c r="J26" s="42">
        <v>27.2</v>
      </c>
      <c r="K26" s="42">
        <v>25.99</v>
      </c>
      <c r="L26" s="42">
        <v>23.94</v>
      </c>
      <c r="M26" s="42">
        <v>24.385000000000002</v>
      </c>
      <c r="N26" s="43">
        <v>25.193000000000001</v>
      </c>
      <c r="O26" s="16" t="s">
        <v>57</v>
      </c>
    </row>
    <row r="27" spans="1:21" s="25" customFormat="1" ht="21" x14ac:dyDescent="0.25">
      <c r="A27" s="3" t="s">
        <v>58</v>
      </c>
      <c r="B27" s="15">
        <f t="shared" si="2"/>
        <v>732.51300000000003</v>
      </c>
      <c r="C27" s="42">
        <v>52.613999999999997</v>
      </c>
      <c r="D27" s="42">
        <v>54.389000000000003</v>
      </c>
      <c r="E27" s="42">
        <v>66.676000000000002</v>
      </c>
      <c r="F27" s="42">
        <v>64.212000000000003</v>
      </c>
      <c r="G27" s="42">
        <v>56.435000000000002</v>
      </c>
      <c r="H27" s="42">
        <v>55.161999999999999</v>
      </c>
      <c r="I27" s="42">
        <v>56.206000000000003</v>
      </c>
      <c r="J27" s="42">
        <v>65.221000000000004</v>
      </c>
      <c r="K27" s="42">
        <v>63.058999999999997</v>
      </c>
      <c r="L27" s="42">
        <v>68.510000000000005</v>
      </c>
      <c r="M27" s="42">
        <v>62.847999999999999</v>
      </c>
      <c r="N27" s="43">
        <v>67.180999999999997</v>
      </c>
      <c r="O27" s="16" t="s">
        <v>59</v>
      </c>
    </row>
    <row r="28" spans="1:21" s="25" customFormat="1" ht="21" x14ac:dyDescent="0.25">
      <c r="A28" s="3" t="s">
        <v>60</v>
      </c>
      <c r="B28" s="15">
        <f t="shared" si="2"/>
        <v>686.33800000000008</v>
      </c>
      <c r="C28" s="42">
        <v>55.414000000000001</v>
      </c>
      <c r="D28" s="42">
        <v>55.139000000000003</v>
      </c>
      <c r="E28" s="42">
        <v>67.093000000000004</v>
      </c>
      <c r="F28" s="42">
        <v>59.21</v>
      </c>
      <c r="G28" s="42">
        <v>52.75</v>
      </c>
      <c r="H28" s="42">
        <v>53.703000000000003</v>
      </c>
      <c r="I28" s="42">
        <v>53.177999999999997</v>
      </c>
      <c r="J28" s="42">
        <v>59.112000000000002</v>
      </c>
      <c r="K28" s="42">
        <v>53.725000000000001</v>
      </c>
      <c r="L28" s="42">
        <v>60.704999999999998</v>
      </c>
      <c r="M28" s="42">
        <v>55.603999999999999</v>
      </c>
      <c r="N28" s="43">
        <v>60.704999999999998</v>
      </c>
      <c r="O28" s="16" t="s">
        <v>61</v>
      </c>
    </row>
    <row r="29" spans="1:21" s="25" customFormat="1" ht="21" x14ac:dyDescent="0.25">
      <c r="A29" s="3" t="s">
        <v>62</v>
      </c>
      <c r="B29" s="15">
        <f t="shared" si="2"/>
        <v>252.09299999999999</v>
      </c>
      <c r="C29" s="42">
        <v>18.045000000000002</v>
      </c>
      <c r="D29" s="42">
        <v>16.347999999999999</v>
      </c>
      <c r="E29" s="42">
        <v>23.119</v>
      </c>
      <c r="F29" s="42">
        <v>21.106000000000002</v>
      </c>
      <c r="G29" s="42">
        <v>20.888000000000002</v>
      </c>
      <c r="H29" s="42">
        <v>20.86</v>
      </c>
      <c r="I29" s="42">
        <v>21.518999999999998</v>
      </c>
      <c r="J29" s="42">
        <v>24.088000000000001</v>
      </c>
      <c r="K29" s="42">
        <v>20.989000000000001</v>
      </c>
      <c r="L29" s="42">
        <v>20.501999999999999</v>
      </c>
      <c r="M29" s="42">
        <v>21.402999999999999</v>
      </c>
      <c r="N29" s="43">
        <v>23.225999999999999</v>
      </c>
      <c r="O29" s="16" t="s">
        <v>63</v>
      </c>
    </row>
    <row r="30" spans="1:21" s="25" customFormat="1" ht="21" x14ac:dyDescent="0.25">
      <c r="A30" s="3" t="s">
        <v>64</v>
      </c>
      <c r="B30" s="15">
        <f t="shared" si="2"/>
        <v>169.65199999999999</v>
      </c>
      <c r="C30" s="42">
        <v>13.212999999999999</v>
      </c>
      <c r="D30" s="42">
        <v>13.057</v>
      </c>
      <c r="E30" s="42">
        <v>13.057</v>
      </c>
      <c r="F30" s="42">
        <v>14.821</v>
      </c>
      <c r="G30" s="42">
        <v>14.273</v>
      </c>
      <c r="H30" s="42">
        <v>14.577999999999999</v>
      </c>
      <c r="I30" s="42">
        <v>14.176</v>
      </c>
      <c r="J30" s="42">
        <v>15.044</v>
      </c>
      <c r="K30" s="42">
        <v>14.679</v>
      </c>
      <c r="L30" s="42">
        <v>14.417</v>
      </c>
      <c r="M30" s="42">
        <v>14.063000000000001</v>
      </c>
      <c r="N30" s="43">
        <v>14.273999999999999</v>
      </c>
      <c r="O30" s="16" t="s">
        <v>65</v>
      </c>
      <c r="P30" s="26"/>
    </row>
    <row r="31" spans="1:21" s="25" customFormat="1" ht="21" x14ac:dyDescent="0.25">
      <c r="A31" s="3" t="s">
        <v>66</v>
      </c>
      <c r="B31" s="15">
        <f t="shared" si="2"/>
        <v>447.45699999999994</v>
      </c>
      <c r="C31" s="42">
        <v>33.844999999999999</v>
      </c>
      <c r="D31" s="42">
        <v>32.64</v>
      </c>
      <c r="E31" s="42">
        <v>38.314999999999998</v>
      </c>
      <c r="F31" s="42">
        <v>38.731000000000002</v>
      </c>
      <c r="G31" s="42">
        <v>40.273000000000003</v>
      </c>
      <c r="H31" s="42">
        <v>38.593000000000004</v>
      </c>
      <c r="I31" s="42">
        <v>35.731000000000002</v>
      </c>
      <c r="J31" s="42">
        <v>39.47</v>
      </c>
      <c r="K31" s="42">
        <v>34.159999999999997</v>
      </c>
      <c r="L31" s="42">
        <v>34.369</v>
      </c>
      <c r="M31" s="42">
        <v>35.454000000000001</v>
      </c>
      <c r="N31" s="43">
        <v>45.875999999999998</v>
      </c>
      <c r="O31" s="16" t="s">
        <v>67</v>
      </c>
      <c r="P31" s="26"/>
    </row>
    <row r="32" spans="1:21" s="25" customFormat="1" ht="21" x14ac:dyDescent="0.25">
      <c r="A32" s="3" t="s">
        <v>68</v>
      </c>
      <c r="B32" s="15">
        <f t="shared" si="2"/>
        <v>348.89300000000003</v>
      </c>
      <c r="C32" s="42">
        <v>25.965</v>
      </c>
      <c r="D32" s="42">
        <v>26.202000000000002</v>
      </c>
      <c r="E32" s="42">
        <v>29.951000000000001</v>
      </c>
      <c r="F32" s="42">
        <v>29.584</v>
      </c>
      <c r="G32" s="42">
        <v>29.413</v>
      </c>
      <c r="H32" s="42">
        <v>28.635000000000002</v>
      </c>
      <c r="I32" s="42">
        <v>28.658000000000001</v>
      </c>
      <c r="J32" s="42">
        <v>31.154</v>
      </c>
      <c r="K32" s="42">
        <v>29.645</v>
      </c>
      <c r="L32" s="42">
        <v>30.111000000000001</v>
      </c>
      <c r="M32" s="42">
        <v>29.196000000000002</v>
      </c>
      <c r="N32" s="43">
        <v>30.379000000000001</v>
      </c>
      <c r="O32" s="16" t="s">
        <v>69</v>
      </c>
      <c r="P32" s="26"/>
    </row>
    <row r="33" spans="1:16" s="25" customFormat="1" ht="21" x14ac:dyDescent="0.25">
      <c r="A33" s="3" t="s">
        <v>92</v>
      </c>
      <c r="B33" s="15">
        <f t="shared" si="2"/>
        <v>927.24900000000014</v>
      </c>
      <c r="C33" s="42">
        <v>68.772999999999996</v>
      </c>
      <c r="D33" s="42">
        <v>66.745999999999995</v>
      </c>
      <c r="E33" s="42">
        <v>80.097999999999999</v>
      </c>
      <c r="F33" s="42">
        <v>83.081000000000003</v>
      </c>
      <c r="G33" s="42">
        <v>81.813000000000002</v>
      </c>
      <c r="H33" s="42">
        <v>78.513999999999996</v>
      </c>
      <c r="I33" s="42">
        <v>75.679000000000002</v>
      </c>
      <c r="J33" s="42">
        <v>84.477000000000004</v>
      </c>
      <c r="K33" s="42">
        <v>77.180999999999997</v>
      </c>
      <c r="L33" s="42">
        <v>72.662999999999997</v>
      </c>
      <c r="M33" s="42">
        <v>77.947000000000003</v>
      </c>
      <c r="N33" s="43">
        <v>80.277000000000001</v>
      </c>
      <c r="O33" s="16" t="s">
        <v>70</v>
      </c>
      <c r="P33" s="26"/>
    </row>
    <row r="34" spans="1:16" s="25" customFormat="1" ht="21" x14ac:dyDescent="0.25">
      <c r="A34" s="3" t="s">
        <v>71</v>
      </c>
      <c r="B34" s="15">
        <f t="shared" si="2"/>
        <v>215.98500000000001</v>
      </c>
      <c r="C34" s="42">
        <v>17.638000000000002</v>
      </c>
      <c r="D34" s="42">
        <v>17.347000000000001</v>
      </c>
      <c r="E34" s="42">
        <v>20.143999999999998</v>
      </c>
      <c r="F34" s="42">
        <v>19.062000000000001</v>
      </c>
      <c r="G34" s="42">
        <v>17.045999999999999</v>
      </c>
      <c r="H34" s="42">
        <v>17.419</v>
      </c>
      <c r="I34" s="42">
        <v>17.314</v>
      </c>
      <c r="J34" s="42">
        <v>18.632000000000001</v>
      </c>
      <c r="K34" s="42">
        <v>17.38</v>
      </c>
      <c r="L34" s="42">
        <v>17.263999999999999</v>
      </c>
      <c r="M34" s="42">
        <v>17.677</v>
      </c>
      <c r="N34" s="43">
        <v>19.062000000000001</v>
      </c>
      <c r="O34" s="16" t="s">
        <v>72</v>
      </c>
      <c r="P34" s="26"/>
    </row>
    <row r="35" spans="1:16" s="25" customFormat="1" ht="21" x14ac:dyDescent="0.25">
      <c r="A35" s="3" t="s">
        <v>73</v>
      </c>
      <c r="B35" s="15">
        <f t="shared" si="2"/>
        <v>75.51400000000001</v>
      </c>
      <c r="C35" s="42">
        <v>6.02</v>
      </c>
      <c r="D35" s="42">
        <v>5.18</v>
      </c>
      <c r="E35" s="42">
        <v>6</v>
      </c>
      <c r="F35" s="42">
        <v>6.3559999999999999</v>
      </c>
      <c r="G35" s="42">
        <v>6.27</v>
      </c>
      <c r="H35" s="42">
        <v>6.375</v>
      </c>
      <c r="I35" s="42">
        <v>6.1420000000000003</v>
      </c>
      <c r="J35" s="42">
        <v>7.1239999999999997</v>
      </c>
      <c r="K35" s="42">
        <v>6.2770000000000001</v>
      </c>
      <c r="L35" s="42">
        <v>6.7270000000000003</v>
      </c>
      <c r="M35" s="42">
        <v>6.1230000000000002</v>
      </c>
      <c r="N35" s="43">
        <v>6.92</v>
      </c>
      <c r="O35" s="16" t="s">
        <v>74</v>
      </c>
      <c r="P35" s="26"/>
    </row>
    <row r="36" spans="1:16" s="25" customFormat="1" ht="21" x14ac:dyDescent="0.25">
      <c r="A36" s="3" t="s">
        <v>75</v>
      </c>
      <c r="B36" s="15">
        <f t="shared" si="2"/>
        <v>193.76600000000002</v>
      </c>
      <c r="C36" s="42">
        <v>13.067</v>
      </c>
      <c r="D36" s="42">
        <v>12.512</v>
      </c>
      <c r="E36" s="42">
        <v>13.057</v>
      </c>
      <c r="F36" s="42">
        <v>12.891999999999999</v>
      </c>
      <c r="G36" s="42">
        <v>10.702</v>
      </c>
      <c r="H36" s="42">
        <v>12.582000000000001</v>
      </c>
      <c r="I36" s="42">
        <v>23.623999999999999</v>
      </c>
      <c r="J36" s="42">
        <v>27.2</v>
      </c>
      <c r="K36" s="42">
        <v>25.99</v>
      </c>
      <c r="L36" s="42">
        <v>13.585000000000001</v>
      </c>
      <c r="M36" s="42">
        <v>13.436</v>
      </c>
      <c r="N36" s="43">
        <v>15.119</v>
      </c>
      <c r="O36" s="16" t="s">
        <v>76</v>
      </c>
      <c r="P36" s="26"/>
    </row>
    <row r="37" spans="1:16" s="25" customFormat="1" ht="21" x14ac:dyDescent="0.25">
      <c r="A37" s="3" t="s">
        <v>77</v>
      </c>
      <c r="B37" s="15">
        <f t="shared" si="2"/>
        <v>430.86100000000005</v>
      </c>
      <c r="C37" s="42">
        <v>35.426000000000002</v>
      </c>
      <c r="D37" s="42">
        <v>33.469000000000001</v>
      </c>
      <c r="E37" s="42">
        <v>35.625</v>
      </c>
      <c r="F37" s="42">
        <v>41.399000000000001</v>
      </c>
      <c r="G37" s="42">
        <v>35.584000000000003</v>
      </c>
      <c r="H37" s="42">
        <v>33.856000000000002</v>
      </c>
      <c r="I37" s="42">
        <v>33.853000000000002</v>
      </c>
      <c r="J37" s="42">
        <v>37.881</v>
      </c>
      <c r="K37" s="42">
        <v>35.701999999999998</v>
      </c>
      <c r="L37" s="42">
        <v>34.689</v>
      </c>
      <c r="M37" s="42">
        <v>35.387</v>
      </c>
      <c r="N37" s="43">
        <v>37.99</v>
      </c>
      <c r="O37" s="16" t="s">
        <v>78</v>
      </c>
      <c r="P37" s="26"/>
    </row>
    <row r="38" spans="1:16" s="25" customFormat="1" ht="21" x14ac:dyDescent="0.25">
      <c r="A38" s="3" t="s">
        <v>79</v>
      </c>
      <c r="B38" s="15">
        <f t="shared" si="2"/>
        <v>304.673</v>
      </c>
      <c r="C38" s="42">
        <v>24.15</v>
      </c>
      <c r="D38" s="42">
        <v>22.972000000000001</v>
      </c>
      <c r="E38" s="42">
        <v>27.811</v>
      </c>
      <c r="F38" s="42">
        <v>26.962</v>
      </c>
      <c r="G38" s="42">
        <v>25.597000000000001</v>
      </c>
      <c r="H38" s="42">
        <v>25.367999999999999</v>
      </c>
      <c r="I38" s="42">
        <v>25.225000000000001</v>
      </c>
      <c r="J38" s="42">
        <v>26.22</v>
      </c>
      <c r="K38" s="42">
        <v>25.286999999999999</v>
      </c>
      <c r="L38" s="42">
        <v>25.196999999999999</v>
      </c>
      <c r="M38" s="42">
        <v>24.933</v>
      </c>
      <c r="N38" s="43">
        <v>24.951000000000001</v>
      </c>
      <c r="O38" s="16" t="s">
        <v>80</v>
      </c>
      <c r="P38" s="26"/>
    </row>
    <row r="39" spans="1:16" ht="21" x14ac:dyDescent="0.25">
      <c r="A39" s="14" t="s">
        <v>81</v>
      </c>
      <c r="B39" s="15">
        <f t="shared" si="2"/>
        <v>223.18700000000001</v>
      </c>
      <c r="C39" s="42">
        <v>18.134</v>
      </c>
      <c r="D39" s="42">
        <v>17.963000000000001</v>
      </c>
      <c r="E39" s="42">
        <v>22.055</v>
      </c>
      <c r="F39" s="42">
        <v>19.474</v>
      </c>
      <c r="G39" s="42">
        <v>17.343</v>
      </c>
      <c r="H39" s="42">
        <v>16.481000000000002</v>
      </c>
      <c r="I39" s="42">
        <v>16.984999999999999</v>
      </c>
      <c r="J39" s="42">
        <v>20.611000000000001</v>
      </c>
      <c r="K39" s="42">
        <v>17.734999999999999</v>
      </c>
      <c r="L39" s="42">
        <v>16.783000000000001</v>
      </c>
      <c r="M39" s="42">
        <v>18.483000000000001</v>
      </c>
      <c r="N39" s="43">
        <v>21.14</v>
      </c>
      <c r="O39" s="16" t="s">
        <v>82</v>
      </c>
      <c r="P39" s="27"/>
    </row>
    <row r="40" spans="1:16" ht="21" x14ac:dyDescent="0.25">
      <c r="A40" s="14" t="s">
        <v>83</v>
      </c>
      <c r="B40" s="15">
        <f t="shared" si="2"/>
        <v>233.49699999999999</v>
      </c>
      <c r="C40" s="42">
        <v>22.399000000000001</v>
      </c>
      <c r="D40" s="42">
        <v>21.408000000000001</v>
      </c>
      <c r="E40" s="42">
        <v>25.710999999999999</v>
      </c>
      <c r="F40" s="42">
        <v>20.704000000000001</v>
      </c>
      <c r="G40" s="42">
        <v>14.869</v>
      </c>
      <c r="H40" s="42">
        <v>16.125</v>
      </c>
      <c r="I40" s="42">
        <v>17.463999999999999</v>
      </c>
      <c r="J40" s="42">
        <v>22.058</v>
      </c>
      <c r="K40" s="42">
        <v>15.865</v>
      </c>
      <c r="L40" s="42">
        <v>14.035</v>
      </c>
      <c r="M40" s="42">
        <v>19.61</v>
      </c>
      <c r="N40" s="43">
        <v>23.248999999999999</v>
      </c>
      <c r="O40" s="16" t="s">
        <v>84</v>
      </c>
      <c r="P40" s="27"/>
    </row>
    <row r="41" spans="1:16" ht="21" x14ac:dyDescent="0.25">
      <c r="A41" s="14" t="s">
        <v>85</v>
      </c>
      <c r="B41" s="15">
        <f t="shared" si="2"/>
        <v>257.51</v>
      </c>
      <c r="C41" s="42">
        <v>20.244</v>
      </c>
      <c r="D41" s="42">
        <v>20.190999999999999</v>
      </c>
      <c r="E41" s="42">
        <v>22.75</v>
      </c>
      <c r="F41" s="42">
        <v>23.712</v>
      </c>
      <c r="G41" s="42">
        <v>20.187999999999999</v>
      </c>
      <c r="H41" s="42">
        <v>20.027000000000001</v>
      </c>
      <c r="I41" s="42">
        <v>19.87</v>
      </c>
      <c r="J41" s="42">
        <v>23.477</v>
      </c>
      <c r="K41" s="42">
        <v>20.893999999999998</v>
      </c>
      <c r="L41" s="42">
        <v>20.867999999999999</v>
      </c>
      <c r="M41" s="42">
        <v>21.84</v>
      </c>
      <c r="N41" s="43">
        <v>23.449000000000002</v>
      </c>
      <c r="O41" s="16" t="s">
        <v>86</v>
      </c>
      <c r="P41" s="27"/>
    </row>
    <row r="42" spans="1:16" s="32" customFormat="1" ht="21" x14ac:dyDescent="0.25">
      <c r="A42" s="28" t="s">
        <v>87</v>
      </c>
      <c r="B42" s="29">
        <f t="shared" si="2"/>
        <v>53.148000000000003</v>
      </c>
      <c r="C42" s="44">
        <v>4.6070000000000002</v>
      </c>
      <c r="D42" s="44">
        <v>3.266</v>
      </c>
      <c r="E42" s="44">
        <v>3.9159999999999999</v>
      </c>
      <c r="F42" s="44">
        <v>4.2839999999999998</v>
      </c>
      <c r="G42" s="44">
        <v>3.9340000000000002</v>
      </c>
      <c r="H42" s="44">
        <v>4.194</v>
      </c>
      <c r="I42" s="44">
        <v>3.8330000000000002</v>
      </c>
      <c r="J42" s="44">
        <v>4.0060000000000002</v>
      </c>
      <c r="K42" s="44">
        <v>3.7040000000000002</v>
      </c>
      <c r="L42" s="44">
        <v>6.1760000000000002</v>
      </c>
      <c r="M42" s="44">
        <v>5.0519999999999996</v>
      </c>
      <c r="N42" s="45">
        <v>6.1760000000000002</v>
      </c>
      <c r="O42" s="30" t="s">
        <v>88</v>
      </c>
      <c r="P42" s="31"/>
    </row>
    <row r="43" spans="1:16" s="38" customFormat="1" ht="14.25" x14ac:dyDescent="0.25">
      <c r="A43" s="33" t="s">
        <v>0</v>
      </c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6"/>
      <c r="O43" s="37" t="s">
        <v>1</v>
      </c>
    </row>
    <row r="44" spans="1:16" s="32" customFormat="1" x14ac:dyDescent="0.25">
      <c r="A44" s="39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31"/>
    </row>
  </sheetData>
  <mergeCells count="4">
    <mergeCell ref="A1:O1"/>
    <mergeCell ref="A2:O2"/>
    <mergeCell ref="A3:O3"/>
    <mergeCell ref="A4:O4"/>
  </mergeCells>
  <pageMargins left="0.7" right="0.7" top="0.75" bottom="0.75" header="0.3" footer="0.3"/>
  <pageSetup paperSize="9" scale="48" orientation="portrait" horizontalDpi="4294967295" verticalDpi="4294967295" r:id="rId1"/>
  <rowBreaks count="1" manualBreakCount="1">
    <brk id="44" max="1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654EA28-90EA-464D-8FCC-C025ED1BA5AC}">
            <xm:f>VLOOKUP(CONCATENATE($A9,$C9),Male,COLUMN('D:\#final\[All in one 2015(150094).xlsm]Entry2015 (for other Islands) '!#REF!),FALSE)&lt;3</xm:f>
            <x14:dxf>
              <fill>
                <patternFill>
                  <bgColor theme="5" tint="0.79998168889431442"/>
                </patternFill>
              </fill>
            </x14:dxf>
          </x14:cfRule>
          <xm:sqref>J8:K8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2019-05-22T04:41:26Z</cp:lastPrinted>
  <dcterms:created xsi:type="dcterms:W3CDTF">2019-05-21T05:57:01Z</dcterms:created>
  <dcterms:modified xsi:type="dcterms:W3CDTF">2019-05-22T04:42:07Z</dcterms:modified>
</cp:coreProperties>
</file>