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2.  ELECTRICITY and  WATER\"/>
    </mc:Choice>
  </mc:AlternateContent>
  <bookViews>
    <workbookView xWindow="0" yWindow="0" windowWidth="28800" windowHeight="12330"/>
  </bookViews>
  <sheets>
    <sheet name="12.8" sheetId="8" r:id="rId1"/>
  </sheets>
  <externalReferences>
    <externalReference r:id="rId2"/>
    <externalReference r:id="rId3"/>
  </externalReferences>
  <definedNames>
    <definedName name="Male">'[1]Entry2015 (for male region)'!$A$8:$AAA$67</definedName>
    <definedName name="_xlnm.Print_Area" localSheetId="0">'12.8'!$A$1:$L$40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8" l="1"/>
  <c r="I18" i="8"/>
  <c r="H18" i="8"/>
  <c r="G18" i="8"/>
  <c r="F18" i="8"/>
  <c r="E18" i="8"/>
  <c r="D18" i="8"/>
  <c r="C18" i="8"/>
  <c r="J17" i="8"/>
  <c r="I17" i="8"/>
  <c r="H17" i="8"/>
  <c r="G17" i="8"/>
  <c r="F17" i="8"/>
  <c r="E17" i="8"/>
  <c r="D17" i="8"/>
  <c r="J16" i="8"/>
  <c r="I16" i="8"/>
  <c r="H16" i="8"/>
  <c r="G16" i="8"/>
  <c r="F16" i="8"/>
  <c r="E16" i="8"/>
  <c r="D16" i="8"/>
  <c r="C16" i="8"/>
  <c r="D15" i="8"/>
  <c r="I13" i="8"/>
  <c r="G13" i="8"/>
  <c r="E12" i="8"/>
  <c r="C12" i="8"/>
  <c r="E11" i="8"/>
  <c r="B8" i="8"/>
  <c r="B7" i="8"/>
  <c r="B6" i="8"/>
  <c r="J5" i="8"/>
  <c r="J12" i="8" s="1"/>
  <c r="I5" i="8"/>
  <c r="I12" i="8" s="1"/>
  <c r="H5" i="8"/>
  <c r="H12" i="8" s="1"/>
  <c r="G5" i="8"/>
  <c r="G12" i="8" s="1"/>
  <c r="F5" i="8"/>
  <c r="F13" i="8" s="1"/>
  <c r="E5" i="8"/>
  <c r="E15" i="8" s="1"/>
  <c r="D5" i="8"/>
  <c r="D13" i="8" s="1"/>
  <c r="C5" i="8"/>
  <c r="E10" i="8" l="1"/>
  <c r="G11" i="8"/>
  <c r="G10" i="8" s="1"/>
  <c r="I15" i="8"/>
  <c r="I11" i="8"/>
  <c r="I10" i="8" s="1"/>
  <c r="E13" i="8"/>
  <c r="H11" i="8"/>
  <c r="D12" i="8"/>
  <c r="H13" i="8"/>
  <c r="B5" i="8"/>
  <c r="B13" i="8" s="1"/>
  <c r="F15" i="8"/>
  <c r="J11" i="8"/>
  <c r="F12" i="8"/>
  <c r="J13" i="8"/>
  <c r="G15" i="8"/>
  <c r="C11" i="8"/>
  <c r="C13" i="8"/>
  <c r="H15" i="8"/>
  <c r="D11" i="8"/>
  <c r="D10" i="8" s="1"/>
  <c r="C17" i="8"/>
  <c r="J15" i="8"/>
  <c r="F11" i="8"/>
  <c r="H10" i="8" l="1"/>
  <c r="J10" i="8"/>
  <c r="C10" i="8"/>
  <c r="F10" i="8"/>
  <c r="B11" i="8"/>
  <c r="C15" i="8"/>
  <c r="B12" i="8"/>
  <c r="B10" i="8" l="1"/>
</calcChain>
</file>

<file path=xl/sharedStrings.xml><?xml version="1.0" encoding="utf-8"?>
<sst xmlns="http://schemas.openxmlformats.org/spreadsheetml/2006/main" count="37" uniqueCount="23">
  <si>
    <t xml:space="preserve"> % cnutogWviawfiheb</t>
  </si>
  <si>
    <t>% change over previous year</t>
  </si>
  <si>
    <t xml:space="preserve"> % urwvcnim ivurutia eruvcSwrwhwa Iruk</t>
  </si>
  <si>
    <t>cnwt</t>
  </si>
  <si>
    <t>ޖުމްލަ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</si>
  <si>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</si>
  <si>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</si>
  <si>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</si>
  <si>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</si>
  <si>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</si>
  <si>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</si>
  <si>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</si>
  <si>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</si>
  <si>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</si>
  <si>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</si>
  <si>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</si>
  <si>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Percentage  share</t>
  </si>
  <si>
    <t>cDeTimil Inepcmok cjErevcs cDcnea rwTOv ElWm :ctWrwf ivcaedutWmUluawm</t>
  </si>
  <si>
    <t>Source: Male' Water &amp; Sewerage Company Private Limited</t>
  </si>
  <si>
    <t xml:space="preserve">Total </t>
  </si>
  <si>
    <t>`</t>
  </si>
  <si>
    <t xml:space="preserve"> Table 12.8 : BILLED WATER CONSUMPTION IN HULHUMALE', 2010 - 2018</t>
  </si>
  <si>
    <t>2018 - 2010  ,urwvcnim unuverukcnunEb iawgElWmހުޅު cnef Everukclib :12.8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</si>
</sst>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_Funa"/>
    </font>
    <font>
      <sz val="10"/>
      <name val="Garamond"/>
      <family val="1"/>
    </font>
    <font>
      <b/>
      <sz val="12"/>
      <color theme="1"/>
      <name val="A_Randhoo"/>
    </font>
    <font>
      <b/>
      <sz val="11"/>
      <color theme="1"/>
      <name val="A_Ilham"/>
    </font>
    <font>
      <b/>
      <sz val="10"/>
      <name val="A_Ilham"/>
    </font>
    <font>
      <sz val="10"/>
      <name val="A_Ilham"/>
    </font>
    <font>
      <sz val="9"/>
      <color theme="1"/>
      <name val="A_Ilham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1" fillId="0" borderId="0"/>
  </cellStyleXfs>
  <cellXfs count="40">
    <xf numFmtId="0" fontId="0" fillId="0" borderId="0" xfId="0"/>
    <xf numFmtId="0" fontId="0" fillId="2" borderId="0" xfId="0" applyFill="1"/>
    <xf numFmtId="0" fontId="0" fillId="2" borderId="0" xfId="0" applyFill="1" applyBorder="1"/>
    <xf numFmtId="0" fontId="7" fillId="2" borderId="0" xfId="3" applyFont="1" applyFill="1" applyBorder="1" applyAlignment="1">
      <alignment vertical="center" wrapText="1"/>
    </xf>
    <xf numFmtId="0" fontId="7" fillId="2" borderId="0" xfId="3" applyFont="1" applyFill="1" applyBorder="1" applyAlignment="1">
      <alignment horizontal="center" vertical="center" wrapText="1"/>
    </xf>
    <xf numFmtId="0" fontId="2" fillId="2" borderId="0" xfId="3" applyFont="1" applyFill="1" applyBorder="1"/>
    <xf numFmtId="0" fontId="3" fillId="2" borderId="0" xfId="0" applyFont="1" applyFill="1" applyBorder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3" fillId="2" borderId="2" xfId="3" applyFont="1" applyFill="1" applyBorder="1" applyAlignment="1">
      <alignment horizontal="right" vertical="center"/>
    </xf>
    <xf numFmtId="0" fontId="5" fillId="2" borderId="0" xfId="3" applyFont="1" applyFill="1" applyBorder="1"/>
    <xf numFmtId="0" fontId="8" fillId="2" borderId="2" xfId="3" applyFont="1" applyFill="1" applyBorder="1" applyAlignment="1">
      <alignment vertical="center"/>
    </xf>
    <xf numFmtId="0" fontId="14" fillId="2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1" fontId="8" fillId="2" borderId="0" xfId="3" applyNumberFormat="1" applyFont="1" applyFill="1" applyBorder="1" applyAlignment="1">
      <alignment horizontal="right" vertical="center"/>
    </xf>
    <xf numFmtId="164" fontId="8" fillId="2" borderId="0" xfId="1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9" fillId="2" borderId="0" xfId="3" applyFont="1" applyFill="1" applyBorder="1" applyAlignment="1">
      <alignment horizontal="left" vertical="center"/>
    </xf>
    <xf numFmtId="1" fontId="9" fillId="2" borderId="0" xfId="3" applyNumberFormat="1" applyFont="1" applyFill="1" applyBorder="1" applyAlignment="1">
      <alignment horizontal="right" vertical="center"/>
    </xf>
    <xf numFmtId="164" fontId="9" fillId="2" borderId="0" xfId="1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9" fillId="2" borderId="3" xfId="3" applyFont="1" applyFill="1" applyBorder="1" applyAlignment="1">
      <alignment horizontal="left" vertical="center"/>
    </xf>
    <xf numFmtId="1" fontId="9" fillId="2" borderId="3" xfId="3" applyNumberFormat="1" applyFont="1" applyFill="1" applyBorder="1" applyAlignment="1">
      <alignment horizontal="right" vertical="center"/>
    </xf>
    <xf numFmtId="164" fontId="9" fillId="2" borderId="3" xfId="1" applyNumberFormat="1" applyFont="1" applyFill="1" applyBorder="1" applyAlignment="1">
      <alignment horizontal="right" vertical="center"/>
    </xf>
    <xf numFmtId="0" fontId="15" fillId="2" borderId="3" xfId="0" applyFont="1" applyFill="1" applyBorder="1" applyAlignment="1">
      <alignment horizontal="right" vertical="center"/>
    </xf>
    <xf numFmtId="0" fontId="8" fillId="2" borderId="0" xfId="3" applyFont="1" applyFill="1" applyBorder="1" applyAlignment="1">
      <alignment horizontal="right" vertical="center"/>
    </xf>
    <xf numFmtId="1" fontId="9" fillId="2" borderId="0" xfId="3" applyNumberFormat="1" applyFont="1" applyFill="1" applyBorder="1" applyAlignment="1"/>
    <xf numFmtId="0" fontId="8" fillId="2" borderId="0" xfId="3" applyFont="1" applyFill="1" applyBorder="1" applyAlignment="1">
      <alignment horizontal="left" vertical="center"/>
    </xf>
    <xf numFmtId="0" fontId="14" fillId="2" borderId="0" xfId="3" applyFont="1" applyFill="1" applyBorder="1"/>
    <xf numFmtId="0" fontId="3" fillId="2" borderId="0" xfId="0" applyFont="1" applyFill="1" applyBorder="1" applyAlignment="1" applyProtection="1">
      <alignment horizontal="left" vertical="center"/>
    </xf>
    <xf numFmtId="0" fontId="14" fillId="2" borderId="0" xfId="3" applyFont="1" applyFill="1" applyBorder="1" applyAlignment="1">
      <alignment vertical="center"/>
    </xf>
    <xf numFmtId="0" fontId="9" fillId="2" borderId="1" xfId="3" applyFont="1" applyFill="1" applyBorder="1" applyAlignment="1">
      <alignment horizontal="left" vertical="center"/>
    </xf>
    <xf numFmtId="1" fontId="9" fillId="2" borderId="1" xfId="3" applyNumberFormat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right" vertical="center"/>
    </xf>
    <xf numFmtId="0" fontId="6" fillId="2" borderId="0" xfId="5" applyFont="1" applyFill="1" applyBorder="1" applyAlignment="1">
      <alignment vertical="center"/>
    </xf>
    <xf numFmtId="0" fontId="16" fillId="2" borderId="0" xfId="5" applyFont="1" applyFill="1" applyAlignment="1">
      <alignment horizontal="right"/>
    </xf>
    <xf numFmtId="0" fontId="9" fillId="2" borderId="0" xfId="3" applyFont="1" applyFill="1" applyBorder="1"/>
    <xf numFmtId="0" fontId="4" fillId="2" borderId="1" xfId="3" applyFont="1" applyFill="1" applyBorder="1" applyAlignment="1">
      <alignment horizontal="right" vertical="center"/>
    </xf>
    <xf numFmtId="0" fontId="10" fillId="2" borderId="1" xfId="3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8" fillId="2" borderId="0" xfId="3" applyFont="1" applyFill="1" applyBorder="1" applyAlignment="1">
      <alignment horizontal="center" vertical="center" wrapText="1"/>
    </xf>
  </cellXfs>
  <cellStyles count="6">
    <cellStyle name="Comma" xfId="1" builtinId="3"/>
    <cellStyle name="Comma 2" xfId="2"/>
    <cellStyle name="Comma 4" xfId="4"/>
    <cellStyle name="Normal" xfId="0" builtinId="0"/>
    <cellStyle name="Normal 2" xfId="3"/>
    <cellStyle name="Normal_X-5 (Electricity)" xfId="5"/>
  </cellStyles>
  <dxfs count="0"/>
  <tableStyles count="0" defaultTableStyle="TableStyleMedium2" defaultPivotStyle="PivotStyleLight16"/>
  <colors>
    <mruColors>
      <color rgb="FFFFFAEB"/>
      <color rgb="FFFF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ndara" panose="020E0502030303020204" pitchFamily="34" charset="0"/>
                <a:ea typeface="+mn-ea"/>
                <a:cs typeface="+mn-cs"/>
              </a:defRPr>
            </a:pPr>
            <a:r>
              <a:rPr lang="en-US" sz="1200" b="1">
                <a:latin typeface="Candara" panose="020E0502030303020204" pitchFamily="34" charset="0"/>
              </a:rPr>
              <a:t>Figure 12.7: Water</a:t>
            </a:r>
            <a:r>
              <a:rPr lang="en-US" sz="1200" b="1" baseline="0">
                <a:latin typeface="Candara" panose="020E0502030303020204" pitchFamily="34" charset="0"/>
              </a:rPr>
              <a:t> Consumption in Hulhumale' by type, 2010 - 2018</a:t>
            </a:r>
            <a:endParaRPr lang="en-US" sz="1200" b="1">
              <a:latin typeface="Candara" panose="020E0502030303020204" pitchFamily="34" charset="0"/>
            </a:endParaRPr>
          </a:p>
        </c:rich>
      </c:tx>
      <c:layout>
        <c:manualLayout>
          <c:xMode val="edge"/>
          <c:yMode val="edge"/>
          <c:x val="0.20633272881706111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ndara" panose="020E05020303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62965999847262E-2"/>
          <c:y val="0.17171296296296296"/>
          <c:w val="0.91097659500066319"/>
          <c:h val="0.712206547098279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'12.8'!$A$6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'12.8'!$B$4:$J$4</c:f>
              <c:numCache>
                <c:formatCode>General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'12.8'!$B$6:$J$6</c:f>
              <c:numCache>
                <c:formatCode>_(* #,##0_);_(* \(#,##0\);_(* "-"??_);_(@_)</c:formatCode>
                <c:ptCount val="9"/>
                <c:pt idx="0">
                  <c:v>158.77364</c:v>
                </c:pt>
                <c:pt idx="1">
                  <c:v>184.73041000000001</c:v>
                </c:pt>
                <c:pt idx="2">
                  <c:v>240.75651000000002</c:v>
                </c:pt>
                <c:pt idx="3">
                  <c:v>285.77676999999994</c:v>
                </c:pt>
                <c:pt idx="4">
                  <c:v>424.86273</c:v>
                </c:pt>
                <c:pt idx="5">
                  <c:v>525.21663999999998</c:v>
                </c:pt>
                <c:pt idx="6">
                  <c:v>644.99778000000003</c:v>
                </c:pt>
                <c:pt idx="7">
                  <c:v>769.67976999999996</c:v>
                </c:pt>
                <c:pt idx="8">
                  <c:v>997.42200000000003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2A3B-427A-A7C0-6768D6D95302}"/>
            </c:ext>
          </c:extLst>
        </c:ser>
        <c:ser>
          <c:idx val="1"/>
          <c:order val="1"/>
          <c:tx>
            <c:strRef>
              <c:f>'12.8'!$A$7</c:f>
              <c:strCache>
                <c:ptCount val="1"/>
                <c:pt idx="0">
                  <c:v>Institution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'12.8'!$B$4:$J$4</c:f>
              <c:numCache>
                <c:formatCode>General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'12.8'!$B$7:$J$7</c:f>
              <c:numCache>
                <c:formatCode>_(* #,##0_);_(* \(#,##0\);_(* "-"??_);_(@_)</c:formatCode>
                <c:ptCount val="9"/>
                <c:pt idx="0">
                  <c:v>9.9232900000000015</c:v>
                </c:pt>
                <c:pt idx="1">
                  <c:v>14.06274</c:v>
                </c:pt>
                <c:pt idx="2">
                  <c:v>8.3097900000000013</c:v>
                </c:pt>
                <c:pt idx="3">
                  <c:v>11.965609999999998</c:v>
                </c:pt>
                <c:pt idx="4">
                  <c:v>20.232129999999998</c:v>
                </c:pt>
                <c:pt idx="5">
                  <c:v>35.181170000000009</c:v>
                </c:pt>
                <c:pt idx="6">
                  <c:v>48.41854</c:v>
                </c:pt>
                <c:pt idx="7">
                  <c:v>64.825460000000007</c:v>
                </c:pt>
                <c:pt idx="8">
                  <c:v>76.388000000000005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B-427A-A7C0-6768D6D95302}"/>
            </c:ext>
          </c:extLst>
        </c:ser>
        <c:ser>
          <c:idx val="2"/>
          <c:order val="2"/>
          <c:tx>
            <c:strRef>
              <c:f>'12.8'!$A$8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'12.8'!$B$4:$J$4</c:f>
              <c:numCache>
                <c:formatCode>General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'12.8'!$B$8:$J$8</c:f>
              <c:numCache>
                <c:formatCode>_(* #,##0_);_(* \(#,##0\);_(* "-"??_);_(@_)</c:formatCode>
                <c:ptCount val="9"/>
                <c:pt idx="0">
                  <c:v>20.149429999999999</c:v>
                </c:pt>
                <c:pt idx="1">
                  <c:v>53.090980000000002</c:v>
                </c:pt>
                <c:pt idx="2">
                  <c:v>128.11154999999999</c:v>
                </c:pt>
                <c:pt idx="3">
                  <c:v>56.58381</c:v>
                </c:pt>
                <c:pt idx="4">
                  <c:v>78.476320000000001</c:v>
                </c:pt>
                <c:pt idx="5">
                  <c:v>120.41551</c:v>
                </c:pt>
                <c:pt idx="6">
                  <c:v>174.34361999999999</c:v>
                </c:pt>
                <c:pt idx="7">
                  <c:v>214.52274</c:v>
                </c:pt>
                <c:pt idx="8">
                  <c:v>338.73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3B-427A-A7C0-6768D6D95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286392031"/>
        <c:axId val="1286392447"/>
        <c:extLst/>
      </c:barChart>
      <c:catAx>
        <c:axId val="128639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392447"/>
        <c:crosses val="autoZero"/>
        <c:auto val="1"/>
        <c:lblAlgn val="ctr"/>
        <c:lblOffset val="100"/>
        <c:noMultiLvlLbl val="0"/>
      </c:catAx>
      <c:valAx>
        <c:axId val="1286392447"/>
        <c:scaling>
          <c:orientation val="minMax"/>
          <c:max val="1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392031"/>
        <c:crosses val="autoZero"/>
        <c:crossBetween val="between"/>
      </c:valAx>
      <c:spPr>
        <a:solidFill>
          <a:srgbClr val="FFFAEB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9240766420277097"/>
          <c:y val="0.28298556430446192"/>
          <c:w val="0.4427356274343258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1238250</xdr:colOff>
      <xdr:row>20</xdr:row>
      <xdr:rowOff>69850</xdr:rowOff>
    </xdr:from>
    <xdr:to>
      <xdr:col>10</xdr:col>
      <xdr:colOff>695325</xdr:colOff>
      <xdr:row>38</xdr:row>
      <xdr:rowOff>127000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zoomScaleNormal="100" workbookViewId="0">
      <selection activeCell="W26" sqref="W26"/>
    </sheetView>
  </sheetViews>
  <sheetFormatPr defaultColWidth="9.140625" defaultRowHeight="15" x14ac:dyDescent="0.25"/>
  <cols>
    <col min="1" max="1" width="22" style="5" customWidth="1"/>
    <col min="2" max="8" width="9.28515625" style="5" bestFit="1" customWidth="1"/>
    <col min="9" max="10" width="9.5703125" style="5" bestFit="1" customWidth="1"/>
    <col min="11" max="11" width="32.140625" style="5" customWidth="1"/>
    <col min="12" max="12" width="2.85546875" style="1" customWidth="1"/>
    <col min="13" max="21" width="7.42578125" style="5" customWidth="1"/>
    <col min="22" max="16384" width="9.140625" style="5"/>
  </cols>
  <sheetData>
    <row r="1" spans="1:21" ht="19.5" x14ac:dyDescent="0.2">
      <c r="A1" s="38" t="s">
        <v>22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7"/>
      <c r="M1" s="7"/>
      <c r="N1" s="7"/>
      <c r="O1" s="7"/>
      <c r="P1" s="7"/>
    </row>
    <row r="2" spans="1:21" ht="15.75" x14ac:dyDescent="0.25">
      <c r="A2" s="39" t="s">
        <v>21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2"/>
      <c r="M2" s="3"/>
      <c r="N2" s="3"/>
      <c r="O2" s="3"/>
      <c r="P2" s="3"/>
      <c r="Q2" s="3"/>
      <c r="R2" s="3"/>
      <c r="S2" s="3"/>
      <c r="T2" s="3"/>
      <c r="U2" s="4"/>
    </row>
    <row r="3" spans="1:21" ht="16.5" x14ac:dyDescent="0.25">
      <c r="B3" s="36" t="s">
        <v>5</v>
      </c>
      <c r="C3" s="36"/>
      <c r="D3" s="36"/>
      <c r="E3" s="36"/>
      <c r="F3" s="36"/>
      <c r="G3" s="37" t="s">
        <v>6</v>
      </c>
      <c r="H3" s="37"/>
      <c r="I3" s="37"/>
      <c r="J3" s="37"/>
      <c r="K3" s="37"/>
      <c r="M3" s="3"/>
      <c r="N3" s="3"/>
      <c r="O3" s="3"/>
      <c r="P3" s="3"/>
      <c r="Q3" s="3"/>
      <c r="R3" s="3"/>
      <c r="S3" s="3"/>
      <c r="T3" s="3"/>
      <c r="U3" s="4"/>
    </row>
    <row r="4" spans="1:21" ht="19.5" customHeight="1" x14ac:dyDescent="0.25">
      <c r="A4" s="10" t="s">
        <v>7</v>
      </c>
      <c r="B4" s="10">
        <v>2010</v>
      </c>
      <c r="C4" s="10">
        <v>2011</v>
      </c>
      <c r="D4" s="10">
        <v>2012</v>
      </c>
      <c r="E4" s="10">
        <v>2013</v>
      </c>
      <c r="F4" s="10">
        <v>2014</v>
      </c>
      <c r="G4" s="10">
        <v>2015</v>
      </c>
      <c r="H4" s="10">
        <v>2016</v>
      </c>
      <c r="I4" s="10">
        <v>2017</v>
      </c>
      <c r="J4" s="8">
        <v>2018</v>
      </c>
      <c r="K4" s="11" t="s">
        <v>3</v>
      </c>
    </row>
    <row r="5" spans="1:21" ht="21.75" customHeight="1" x14ac:dyDescent="0.25">
      <c r="A5" s="12" t="s">
        <v>8</v>
      </c>
      <c r="B5" s="14">
        <f>SUM(B6:B8)</f>
        <v>188.84636</v>
      </c>
      <c r="C5" s="14">
        <f t="shared" ref="C5" si="0">SUM(C6:C8)</f>
        <v>251.88413</v>
      </c>
      <c r="D5" s="14">
        <f t="shared" ref="D5:J5" si="1">SUM(D6:D8)</f>
        <v>377.17785000000003</v>
      </c>
      <c r="E5" s="14">
        <f t="shared" si="1"/>
        <v>354.32618999999988</v>
      </c>
      <c r="F5" s="14">
        <f t="shared" si="1"/>
        <v>523.57118000000003</v>
      </c>
      <c r="G5" s="14">
        <f t="shared" si="1"/>
        <v>680.81331999999998</v>
      </c>
      <c r="H5" s="14">
        <f t="shared" si="1"/>
        <v>867.75994000000003</v>
      </c>
      <c r="I5" s="14">
        <f t="shared" si="1"/>
        <v>1049.0279700000001</v>
      </c>
      <c r="J5" s="14">
        <f t="shared" si="1"/>
        <v>1412.54</v>
      </c>
      <c r="K5" s="15" t="s">
        <v>9</v>
      </c>
    </row>
    <row r="6" spans="1:21" ht="21.75" customHeight="1" x14ac:dyDescent="0.25">
      <c r="A6" s="16" t="s">
        <v>10</v>
      </c>
      <c r="B6" s="18">
        <f>158773.64/1000</f>
        <v>158.77364</v>
      </c>
      <c r="C6" s="18">
        <v>184.73041000000001</v>
      </c>
      <c r="D6" s="18">
        <v>240.75651000000002</v>
      </c>
      <c r="E6" s="18">
        <v>285.77676999999994</v>
      </c>
      <c r="F6" s="18">
        <v>424.86273</v>
      </c>
      <c r="G6" s="18">
        <v>525.21663999999998</v>
      </c>
      <c r="H6" s="18">
        <v>644.99778000000003</v>
      </c>
      <c r="I6" s="18">
        <v>769.67976999999996</v>
      </c>
      <c r="J6" s="18">
        <v>997.42200000000003</v>
      </c>
      <c r="K6" s="19" t="s">
        <v>11</v>
      </c>
    </row>
    <row r="7" spans="1:21" ht="21.75" customHeight="1" x14ac:dyDescent="0.25">
      <c r="A7" s="16" t="s">
        <v>12</v>
      </c>
      <c r="B7" s="18">
        <f>9923.29/1000</f>
        <v>9.9232900000000015</v>
      </c>
      <c r="C7" s="18">
        <v>14.06274</v>
      </c>
      <c r="D7" s="18">
        <v>8.3097900000000013</v>
      </c>
      <c r="E7" s="18">
        <v>11.965609999999998</v>
      </c>
      <c r="F7" s="18">
        <v>20.232129999999998</v>
      </c>
      <c r="G7" s="18">
        <v>35.181170000000009</v>
      </c>
      <c r="H7" s="18">
        <v>48.41854</v>
      </c>
      <c r="I7" s="18">
        <v>64.825460000000007</v>
      </c>
      <c r="J7" s="18">
        <v>76.388000000000005</v>
      </c>
      <c r="K7" s="19" t="s">
        <v>13</v>
      </c>
    </row>
    <row r="8" spans="1:21" ht="21.75" customHeight="1" x14ac:dyDescent="0.2">
      <c r="A8" s="20" t="s">
        <v>14</v>
      </c>
      <c r="B8" s="22">
        <f>20149.43/1000</f>
        <v>20.149429999999999</v>
      </c>
      <c r="C8" s="22">
        <v>53.090980000000002</v>
      </c>
      <c r="D8" s="22">
        <v>128.11154999999999</v>
      </c>
      <c r="E8" s="22">
        <v>56.58381</v>
      </c>
      <c r="F8" s="22">
        <v>78.476320000000001</v>
      </c>
      <c r="G8" s="22">
        <v>120.41551</v>
      </c>
      <c r="H8" s="22">
        <v>174.34361999999999</v>
      </c>
      <c r="I8" s="22">
        <v>214.52274</v>
      </c>
      <c r="J8" s="22">
        <v>338.73</v>
      </c>
      <c r="K8" s="23" t="s">
        <v>15</v>
      </c>
      <c r="L8" s="5"/>
    </row>
    <row r="9" spans="1:21" ht="21.75" customHeight="1" x14ac:dyDescent="0.25">
      <c r="A9" s="6" t="s">
        <v>16</v>
      </c>
      <c r="B9" s="24"/>
      <c r="C9" s="24"/>
      <c r="D9" s="24"/>
      <c r="E9" s="24"/>
      <c r="F9" s="24"/>
      <c r="G9" s="24"/>
      <c r="H9" s="24"/>
      <c r="I9" s="24"/>
      <c r="J9" s="24"/>
      <c r="K9" s="15" t="s">
        <v>0</v>
      </c>
      <c r="L9" s="5"/>
      <c r="M9" s="25"/>
      <c r="N9" s="25"/>
      <c r="O9" s="25"/>
      <c r="P9" s="25"/>
      <c r="Q9" s="25"/>
      <c r="R9" s="25"/>
      <c r="S9" s="25"/>
      <c r="T9" s="25"/>
      <c r="U9" s="25"/>
    </row>
    <row r="10" spans="1:21" ht="16.5" x14ac:dyDescent="0.35">
      <c r="A10" s="26" t="s">
        <v>19</v>
      </c>
      <c r="B10" s="13">
        <f t="shared" ref="B10:J10" si="2">SUM(B11:B13)</f>
        <v>100</v>
      </c>
      <c r="C10" s="13">
        <f t="shared" si="2"/>
        <v>100.00000000000001</v>
      </c>
      <c r="D10" s="13">
        <f t="shared" si="2"/>
        <v>100</v>
      </c>
      <c r="E10" s="13">
        <f t="shared" si="2"/>
        <v>100.00000000000003</v>
      </c>
      <c r="F10" s="13">
        <f t="shared" si="2"/>
        <v>100</v>
      </c>
      <c r="G10" s="13">
        <f t="shared" si="2"/>
        <v>100</v>
      </c>
      <c r="H10" s="13">
        <f t="shared" si="2"/>
        <v>100</v>
      </c>
      <c r="I10" s="13">
        <f t="shared" si="2"/>
        <v>99.999999999999986</v>
      </c>
      <c r="J10" s="13">
        <f t="shared" si="2"/>
        <v>99.999999999999986</v>
      </c>
      <c r="K10" s="27" t="s">
        <v>4</v>
      </c>
      <c r="L10" s="5"/>
      <c r="M10" s="25"/>
      <c r="N10" s="25"/>
      <c r="O10" s="25"/>
      <c r="P10" s="25"/>
      <c r="Q10" s="25"/>
      <c r="R10" s="25"/>
      <c r="S10" s="25"/>
      <c r="T10" s="25"/>
      <c r="U10" s="25"/>
    </row>
    <row r="11" spans="1:21" ht="21.75" customHeight="1" x14ac:dyDescent="0.25">
      <c r="A11" s="16" t="s">
        <v>10</v>
      </c>
      <c r="B11" s="17">
        <f t="shared" ref="B11:J11" si="3">B6/B5*100</f>
        <v>84.075562801422279</v>
      </c>
      <c r="C11" s="17">
        <f t="shared" si="3"/>
        <v>73.339439844820717</v>
      </c>
      <c r="D11" s="17">
        <f t="shared" si="3"/>
        <v>63.831030904916609</v>
      </c>
      <c r="E11" s="17">
        <f t="shared" si="3"/>
        <v>80.653583637156501</v>
      </c>
      <c r="F11" s="17">
        <f t="shared" si="3"/>
        <v>81.147081090292247</v>
      </c>
      <c r="G11" s="17">
        <f t="shared" si="3"/>
        <v>77.145470655597634</v>
      </c>
      <c r="H11" s="17">
        <f>H6/H5*100</f>
        <v>74.329056950935069</v>
      </c>
      <c r="I11" s="17">
        <f t="shared" si="3"/>
        <v>73.370757692952637</v>
      </c>
      <c r="J11" s="17">
        <f t="shared" si="3"/>
        <v>70.611947272289626</v>
      </c>
      <c r="K11" s="19" t="s">
        <v>11</v>
      </c>
      <c r="L11" s="5"/>
      <c r="M11" s="25"/>
      <c r="N11" s="25"/>
      <c r="O11" s="25"/>
      <c r="P11" s="25"/>
      <c r="Q11" s="25"/>
      <c r="R11" s="25"/>
      <c r="S11" s="25"/>
      <c r="T11" s="25"/>
      <c r="U11" s="25"/>
    </row>
    <row r="12" spans="1:21" ht="21.75" customHeight="1" x14ac:dyDescent="0.25">
      <c r="A12" s="16" t="s">
        <v>12</v>
      </c>
      <c r="B12" s="17">
        <f t="shared" ref="B12:J12" si="4">B7/B5*100</f>
        <v>5.2546895794020072</v>
      </c>
      <c r="C12" s="17">
        <f t="shared" si="4"/>
        <v>5.5830194621630191</v>
      </c>
      <c r="D12" s="17">
        <f t="shared" si="4"/>
        <v>2.2031489919145568</v>
      </c>
      <c r="E12" s="17">
        <f t="shared" si="4"/>
        <v>3.3770041102521948</v>
      </c>
      <c r="F12" s="17">
        <f t="shared" si="4"/>
        <v>3.8642558591555778</v>
      </c>
      <c r="G12" s="17">
        <f t="shared" si="4"/>
        <v>5.1675208117256002</v>
      </c>
      <c r="H12" s="17">
        <f t="shared" si="4"/>
        <v>5.5797159753652608</v>
      </c>
      <c r="I12" s="17">
        <f t="shared" si="4"/>
        <v>6.1795740298516542</v>
      </c>
      <c r="J12" s="17">
        <f t="shared" si="4"/>
        <v>5.4078468574341256</v>
      </c>
      <c r="K12" s="19" t="s">
        <v>13</v>
      </c>
      <c r="L12" s="5"/>
      <c r="M12" s="25"/>
      <c r="N12" s="25"/>
      <c r="O12" s="25"/>
      <c r="P12" s="25"/>
      <c r="Q12" s="25"/>
      <c r="R12" s="25"/>
      <c r="S12" s="25"/>
      <c r="T12" s="25"/>
      <c r="U12" s="25"/>
    </row>
    <row r="13" spans="1:21" ht="21.75" customHeight="1" x14ac:dyDescent="0.25">
      <c r="A13" s="20" t="s">
        <v>14</v>
      </c>
      <c r="B13" s="21">
        <f t="shared" ref="B13:J13" si="5">B8/B5*100</f>
        <v>10.669747619175714</v>
      </c>
      <c r="C13" s="21">
        <f t="shared" si="5"/>
        <v>21.077540693016271</v>
      </c>
      <c r="D13" s="21">
        <f t="shared" si="5"/>
        <v>33.965820103168831</v>
      </c>
      <c r="E13" s="21">
        <f t="shared" si="5"/>
        <v>15.969412252591326</v>
      </c>
      <c r="F13" s="21">
        <f t="shared" si="5"/>
        <v>14.988663050552169</v>
      </c>
      <c r="G13" s="21">
        <f t="shared" si="5"/>
        <v>17.687008532676771</v>
      </c>
      <c r="H13" s="21">
        <f t="shared" si="5"/>
        <v>20.091227073699667</v>
      </c>
      <c r="I13" s="21">
        <f t="shared" si="5"/>
        <v>20.449668277195695</v>
      </c>
      <c r="J13" s="21">
        <f t="shared" si="5"/>
        <v>23.98020587027624</v>
      </c>
      <c r="K13" s="23" t="s">
        <v>15</v>
      </c>
      <c r="L13" s="5"/>
      <c r="M13" s="25"/>
      <c r="N13" s="25"/>
      <c r="O13" s="25" t="s">
        <v>20</v>
      </c>
      <c r="P13" s="25"/>
      <c r="Q13" s="25"/>
      <c r="R13" s="25"/>
      <c r="S13" s="25"/>
      <c r="T13" s="25"/>
      <c r="U13" s="25"/>
    </row>
    <row r="14" spans="1:21" ht="21.75" customHeight="1" x14ac:dyDescent="0.25">
      <c r="A14" s="28" t="s">
        <v>1</v>
      </c>
      <c r="B14" s="24"/>
      <c r="C14" s="24"/>
      <c r="D14" s="24"/>
      <c r="E14" s="24"/>
      <c r="F14" s="24"/>
      <c r="G14" s="24"/>
      <c r="H14" s="24"/>
      <c r="I14" s="24"/>
      <c r="J14" s="24"/>
      <c r="K14" s="15" t="s">
        <v>2</v>
      </c>
      <c r="L14" s="5"/>
      <c r="M14" s="25"/>
      <c r="N14" s="25"/>
      <c r="O14" s="25"/>
      <c r="P14" s="25"/>
      <c r="Q14" s="25"/>
      <c r="R14" s="25"/>
      <c r="S14" s="25"/>
      <c r="T14" s="25"/>
      <c r="U14" s="25"/>
    </row>
    <row r="15" spans="1:21" ht="21.75" customHeight="1" x14ac:dyDescent="0.25">
      <c r="A15" s="26" t="s">
        <v>19</v>
      </c>
      <c r="B15" s="13">
        <v>54.449524251946087</v>
      </c>
      <c r="C15" s="13">
        <f t="shared" ref="C15:J18" si="6">(C5-B5)/B5*100</f>
        <v>33.380452765941584</v>
      </c>
      <c r="D15" s="13">
        <f t="shared" si="6"/>
        <v>49.742601886033881</v>
      </c>
      <c r="E15" s="13">
        <f t="shared" si="6"/>
        <v>-6.0585901319497291</v>
      </c>
      <c r="F15" s="13">
        <f t="shared" si="6"/>
        <v>47.765306312807468</v>
      </c>
      <c r="G15" s="13">
        <f t="shared" si="6"/>
        <v>30.032619442498714</v>
      </c>
      <c r="H15" s="13">
        <f t="shared" si="6"/>
        <v>27.459307053510656</v>
      </c>
      <c r="I15" s="13">
        <f>(I5-H5)/H5*100</f>
        <v>20.889190851562017</v>
      </c>
      <c r="J15" s="13">
        <f>(J5-I5)/I5*100</f>
        <v>34.652272427016392</v>
      </c>
      <c r="K15" s="29" t="s">
        <v>4</v>
      </c>
      <c r="L15" s="5"/>
      <c r="M15" s="25"/>
      <c r="N15" s="25"/>
      <c r="O15" s="25"/>
      <c r="P15" s="25"/>
      <c r="Q15" s="25"/>
      <c r="R15" s="25"/>
      <c r="S15" s="25"/>
      <c r="T15" s="25"/>
      <c r="U15" s="25"/>
    </row>
    <row r="16" spans="1:21" ht="21.75" customHeight="1" x14ac:dyDescent="0.25">
      <c r="A16" s="16" t="s">
        <v>10</v>
      </c>
      <c r="B16" s="17">
        <v>63.523945198436508</v>
      </c>
      <c r="C16" s="17">
        <f>(C6-B6)/B6*100</f>
        <v>16.348286781105482</v>
      </c>
      <c r="D16" s="17">
        <f t="shared" si="6"/>
        <v>30.32857448862914</v>
      </c>
      <c r="E16" s="17">
        <f t="shared" si="6"/>
        <v>18.699498509926034</v>
      </c>
      <c r="F16" s="17">
        <f t="shared" si="6"/>
        <v>48.669442236330156</v>
      </c>
      <c r="G16" s="17">
        <f t="shared" si="6"/>
        <v>23.620313789350263</v>
      </c>
      <c r="H16" s="17">
        <f t="shared" si="6"/>
        <v>22.806044378182698</v>
      </c>
      <c r="I16" s="17">
        <f>(I6-H6)/H6*100</f>
        <v>19.330607618525434</v>
      </c>
      <c r="J16" s="17">
        <f>(J6-I6)/I6*100</f>
        <v>29.589218643488586</v>
      </c>
      <c r="K16" s="19" t="s">
        <v>11</v>
      </c>
      <c r="L16" s="5"/>
      <c r="M16" s="25"/>
      <c r="N16" s="25"/>
      <c r="O16" s="25"/>
      <c r="P16" s="25"/>
      <c r="Q16" s="25"/>
      <c r="R16" s="25"/>
      <c r="S16" s="25"/>
      <c r="T16" s="25"/>
      <c r="U16" s="25"/>
    </row>
    <row r="17" spans="1:21" ht="21.75" customHeight="1" x14ac:dyDescent="0.25">
      <c r="A17" s="16" t="s">
        <v>12</v>
      </c>
      <c r="B17" s="17">
        <v>19.685327125911382</v>
      </c>
      <c r="C17" s="17">
        <f t="shared" si="6"/>
        <v>41.714491867112599</v>
      </c>
      <c r="D17" s="17">
        <f t="shared" si="6"/>
        <v>-40.909168483524539</v>
      </c>
      <c r="E17" s="17">
        <f t="shared" si="6"/>
        <v>43.994132222354551</v>
      </c>
      <c r="F17" s="17">
        <f t="shared" si="6"/>
        <v>69.085654638585098</v>
      </c>
      <c r="G17" s="17">
        <f t="shared" si="6"/>
        <v>73.887623300166666</v>
      </c>
      <c r="H17" s="17">
        <f t="shared" si="6"/>
        <v>37.626292701464983</v>
      </c>
      <c r="I17" s="17">
        <f t="shared" si="6"/>
        <v>33.885614890494445</v>
      </c>
      <c r="J17" s="17">
        <f t="shared" si="6"/>
        <v>17.836417975283165</v>
      </c>
      <c r="K17" s="19" t="s">
        <v>13</v>
      </c>
      <c r="L17" s="5"/>
      <c r="M17" s="25"/>
      <c r="N17" s="25"/>
      <c r="O17" s="25"/>
      <c r="P17" s="25"/>
      <c r="Q17" s="25"/>
      <c r="R17" s="25"/>
      <c r="S17" s="25"/>
      <c r="T17" s="25"/>
      <c r="U17" s="25"/>
    </row>
    <row r="18" spans="1:21" ht="21.75" customHeight="1" x14ac:dyDescent="0.25">
      <c r="A18" s="30" t="s">
        <v>14</v>
      </c>
      <c r="B18" s="31">
        <v>19.3374835128974</v>
      </c>
      <c r="C18" s="31">
        <f>(C8-B8)/B8*100</f>
        <v>163.48626239054906</v>
      </c>
      <c r="D18" s="31">
        <f>(D8-C8)/C8*100</f>
        <v>141.30567942049666</v>
      </c>
      <c r="E18" s="31">
        <f t="shared" si="6"/>
        <v>-55.832389819653258</v>
      </c>
      <c r="F18" s="31">
        <f t="shared" si="6"/>
        <v>38.690413388564679</v>
      </c>
      <c r="G18" s="31">
        <f t="shared" si="6"/>
        <v>53.441840799874406</v>
      </c>
      <c r="H18" s="31">
        <f t="shared" si="6"/>
        <v>44.785019803512014</v>
      </c>
      <c r="I18" s="31">
        <f t="shared" si="6"/>
        <v>23.045936524663198</v>
      </c>
      <c r="J18" s="31">
        <f t="shared" si="6"/>
        <v>57.899344377197501</v>
      </c>
      <c r="K18" s="32" t="s">
        <v>15</v>
      </c>
      <c r="L18" s="5"/>
      <c r="M18" s="25"/>
      <c r="N18" s="25"/>
      <c r="O18" s="25"/>
      <c r="P18" s="25"/>
      <c r="Q18" s="25"/>
      <c r="R18" s="25"/>
      <c r="S18" s="25"/>
      <c r="T18" s="25"/>
      <c r="U18" s="25"/>
    </row>
    <row r="19" spans="1:21" ht="15.75" x14ac:dyDescent="0.3">
      <c r="A19" s="33" t="s">
        <v>18</v>
      </c>
      <c r="B19" s="25"/>
      <c r="C19" s="25"/>
      <c r="D19" s="25"/>
      <c r="E19" s="25"/>
      <c r="F19" s="25"/>
      <c r="G19" s="25"/>
      <c r="H19" s="25"/>
      <c r="I19" s="25"/>
      <c r="J19" s="25"/>
      <c r="K19" s="34" t="s">
        <v>17</v>
      </c>
      <c r="L19" s="5"/>
      <c r="M19" s="25"/>
      <c r="N19" s="25"/>
      <c r="O19" s="25"/>
      <c r="P19" s="25"/>
      <c r="Q19" s="25"/>
      <c r="R19" s="25"/>
      <c r="S19" s="25"/>
      <c r="T19" s="25"/>
      <c r="U19" s="25"/>
    </row>
    <row r="20" spans="1:21" x14ac:dyDescent="0.25">
      <c r="A20" s="35"/>
      <c r="B20" s="25"/>
      <c r="C20" s="25"/>
      <c r="D20" s="25"/>
      <c r="E20" s="25"/>
      <c r="F20" s="25"/>
      <c r="G20" s="25"/>
      <c r="H20" s="25"/>
      <c r="I20" s="25"/>
      <c r="J20" s="25"/>
      <c r="L20" s="5"/>
      <c r="M20" s="25"/>
      <c r="N20" s="25"/>
      <c r="O20" s="25"/>
      <c r="P20" s="25"/>
      <c r="Q20" s="25"/>
      <c r="R20" s="25"/>
      <c r="S20" s="25"/>
      <c r="T20" s="25"/>
      <c r="U20" s="25"/>
    </row>
    <row r="21" spans="1:21" x14ac:dyDescent="0.25">
      <c r="A21" s="3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5"/>
      <c r="M21" s="25"/>
      <c r="N21" s="25"/>
      <c r="O21" s="25"/>
      <c r="P21" s="25"/>
      <c r="Q21" s="25"/>
      <c r="R21" s="25"/>
      <c r="S21" s="25"/>
      <c r="T21" s="25"/>
      <c r="U21" s="25"/>
    </row>
    <row r="22" spans="1:21" x14ac:dyDescent="0.25">
      <c r="A22" s="3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5"/>
      <c r="M22" s="25"/>
      <c r="N22" s="25"/>
      <c r="O22" s="25"/>
      <c r="P22" s="25"/>
      <c r="Q22" s="25"/>
      <c r="R22" s="25"/>
      <c r="S22" s="25"/>
      <c r="T22" s="25"/>
      <c r="U22" s="25"/>
    </row>
    <row r="23" spans="1:21" ht="12.75" x14ac:dyDescent="0.2">
      <c r="B23" s="9"/>
      <c r="C23" s="9"/>
      <c r="D23" s="9"/>
      <c r="E23" s="9"/>
      <c r="F23" s="9"/>
      <c r="G23" s="9"/>
      <c r="H23" s="9"/>
      <c r="I23" s="9"/>
      <c r="J23" s="9"/>
      <c r="K23" s="9"/>
      <c r="L23" s="5"/>
      <c r="M23" s="9"/>
      <c r="N23" s="9"/>
      <c r="O23" s="9"/>
      <c r="P23" s="9"/>
      <c r="Q23" s="9"/>
      <c r="R23" s="9"/>
      <c r="S23" s="9"/>
      <c r="T23" s="9"/>
      <c r="U23" s="9"/>
    </row>
    <row r="24" spans="1:21" ht="12.75" x14ac:dyDescent="0.2">
      <c r="L24" s="5"/>
    </row>
    <row r="25" spans="1:21" ht="12.75" x14ac:dyDescent="0.2">
      <c r="L25" s="5"/>
    </row>
  </sheetData>
  <mergeCells count="4">
    <mergeCell ref="A1:K1"/>
    <mergeCell ref="A2:K2"/>
    <mergeCell ref="B3:F3"/>
    <mergeCell ref="G3:K3"/>
  </mergeCells>
  <pageMargins left="0.7" right="0.7" top="0.75" bottom="0.75" header="0.3" footer="0.3"/>
  <pageSetup paperSize="9" scale="5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12.8</vt:lpstr>
      <vt:lpstr>'12.8'!Print_Area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2019-05-22T05:24:10Z</cp:lastPrinted>
  <dcterms:created xsi:type="dcterms:W3CDTF">2019-05-21T05:57:01Z</dcterms:created>
  <dcterms:modified xsi:type="dcterms:W3CDTF">2019-05-22T05:24:23Z</dcterms:modified>
</cp:coreProperties>
</file>