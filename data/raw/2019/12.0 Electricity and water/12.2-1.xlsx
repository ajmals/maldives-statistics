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2.  ELECTRICITY and  WATER\"/>
    </mc:Choice>
  </mc:AlternateContent>
  <bookViews>
    <workbookView xWindow="0" yWindow="0" windowWidth="28800" windowHeight="12330"/>
  </bookViews>
  <sheets>
    <sheet name="12.2" sheetId="2" r:id="rId1"/>
  </sheets>
  <externalReferences>
    <externalReference r:id="rId2"/>
  </externalReferences>
  <definedNames>
    <definedName name="Male">'[1]Entry2015 (for male region)'!$A$8:$AAA$67</definedName>
    <definedName name="_xlnm.Print_Area" localSheetId="0">'12.2'!$A$1:$O$44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2" l="1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N11" i="2"/>
  <c r="M11" i="2"/>
  <c r="M7" i="2" s="1"/>
  <c r="L11" i="2"/>
  <c r="L7" i="2" s="1"/>
  <c r="K11" i="2"/>
  <c r="K7" i="2" s="1"/>
  <c r="J11" i="2"/>
  <c r="J7" i="2" s="1"/>
  <c r="I11" i="2"/>
  <c r="H11" i="2"/>
  <c r="G11" i="2"/>
  <c r="F11" i="2"/>
  <c r="F7" i="2" s="1"/>
  <c r="E11" i="2"/>
  <c r="E7" i="2" s="1"/>
  <c r="D11" i="2"/>
  <c r="D7" i="2" s="1"/>
  <c r="C11" i="2"/>
  <c r="C7" i="2" s="1"/>
  <c r="B10" i="2"/>
  <c r="B9" i="2"/>
  <c r="B8" i="2"/>
  <c r="N7" i="2"/>
  <c r="I7" i="2"/>
  <c r="H7" i="2"/>
  <c r="G7" i="2"/>
  <c r="B11" i="2" l="1"/>
  <c r="B7" i="2"/>
</calcChain>
</file>

<file path=xl/sharedStrings.xml><?xml version="1.0" encoding="utf-8"?>
<sst xmlns="http://schemas.openxmlformats.org/spreadsheetml/2006/main" count="107" uniqueCount="105">
  <si>
    <t>Source: State Electric Company Limited</t>
  </si>
  <si>
    <t>cDeTimil Inepcmok ckircTckeliacTETcs :ctWrwf ivcaedutWmUluAwm</t>
  </si>
  <si>
    <t>2017 ,urwvcnim idcaefua cTcnwrwk uhwmcswmikea cnukwtctWrwf egurWkurws  : 12.2 ulwvWt</t>
  </si>
  <si>
    <r>
      <rPr>
        <b/>
        <sz val="10.5"/>
        <rFont val="Calibri"/>
        <family val="2"/>
        <scheme val="minor"/>
      </rPr>
      <t>(In ' 000 kWh)</t>
    </r>
    <r>
      <rPr>
        <b/>
        <sz val="10.5"/>
        <rFont val="A_Faseyha"/>
      </rPr>
      <t xml:space="preserve"> </t>
    </r>
  </si>
  <si>
    <t>Locality</t>
  </si>
  <si>
    <t>wlcmuj</t>
  </si>
  <si>
    <t>waunej</t>
  </si>
  <si>
    <t>urcbef</t>
  </si>
  <si>
    <t>cCrWm</t>
  </si>
  <si>
    <t>IrcPEa</t>
  </si>
  <si>
    <t>Em</t>
  </si>
  <si>
    <t>cnUj</t>
  </si>
  <si>
    <t>iawluj</t>
  </si>
  <si>
    <t>cswgOa</t>
  </si>
  <si>
    <t>cTcpes</t>
  </si>
  <si>
    <t>OTckoa</t>
  </si>
  <si>
    <t>cmevon</t>
  </si>
  <si>
    <t>cmesiD</t>
  </si>
  <si>
    <t>cnwt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</si>
  <si>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</si>
  <si>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</si>
  <si>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</si>
  <si>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</si>
  <si>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</si>
  <si>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</si>
  <si>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</si>
  <si>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</si>
  <si>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</si>
  <si>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</si>
  <si>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</si>
  <si>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</si>
  <si>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</si>
  <si>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K.Male'</t>
  </si>
  <si>
    <t>ކ. މާލެ</t>
  </si>
  <si>
    <t>K.Vilimale'</t>
  </si>
  <si>
    <t>ކ. ވިލިނގިލި</t>
  </si>
  <si>
    <t>K.Hulhumale</t>
  </si>
  <si>
    <t>ކ. ހުޅުމާލެ</t>
  </si>
  <si>
    <t xml:space="preserve">Atoll </t>
  </si>
  <si>
    <t>އަތޮޅުތައް</t>
  </si>
  <si>
    <t>K.Kaashidhoo</t>
  </si>
  <si>
    <t>ކ. ކާށިދޫ</t>
  </si>
  <si>
    <t>K.Gaafaru</t>
  </si>
  <si>
    <t>ކ. ގާފަރު</t>
  </si>
  <si>
    <t>K.Dhiffushi</t>
  </si>
  <si>
    <t>ކ. ދިއްފުށި</t>
  </si>
  <si>
    <t>K.Thulusdhoo</t>
  </si>
  <si>
    <t>ކ. ތުލުސްދޫ</t>
  </si>
  <si>
    <t>K.Himmafushi</t>
  </si>
  <si>
    <t>ކ. ހިންމަފުށި</t>
  </si>
  <si>
    <t>K.Thilafushi</t>
  </si>
  <si>
    <t>ކ. ތިލަފުށި</t>
  </si>
  <si>
    <t>K.Gulhifalhu</t>
  </si>
  <si>
    <t>ކ. ގުޅިފަޅު</t>
  </si>
  <si>
    <t>K.Gulhi</t>
  </si>
  <si>
    <t>ކ. ގުޅި</t>
  </si>
  <si>
    <t>K.Maafushi</t>
  </si>
  <si>
    <t>ކ. މާފުށި</t>
  </si>
  <si>
    <t>K.Guraidhoo</t>
  </si>
  <si>
    <t>ކ. ގުރައިދޫ</t>
  </si>
  <si>
    <t>AA.Ukulhas</t>
  </si>
  <si>
    <t>އއ.އުކުޅަސް</t>
  </si>
  <si>
    <t>AA.Mathiveri</t>
  </si>
  <si>
    <t>އއ.މަތިވެރި</t>
  </si>
  <si>
    <t>AA.Bodufolhudhoo</t>
  </si>
  <si>
    <t>އއ.ބޮޑުފުޅަދޫ</t>
  </si>
  <si>
    <t>AA.Feridhoo</t>
  </si>
  <si>
    <t>އއ.ފެރިދޫ</t>
  </si>
  <si>
    <t>AA.Maalhos</t>
  </si>
  <si>
    <t>އއ.މާޅޮސް</t>
  </si>
  <si>
    <t>AA.Himandhoo</t>
  </si>
  <si>
    <t>އއ.ހިމަންދޫ</t>
  </si>
  <si>
    <t>AA.Rasdhoo</t>
  </si>
  <si>
    <t>އއ.ރަސްދޫ</t>
  </si>
  <si>
    <t>AA.Thoddoo</t>
  </si>
  <si>
    <t>އއ.ތޮއްޑޫ</t>
  </si>
  <si>
    <t>ADh.Omadhoo</t>
  </si>
  <si>
    <t>އދ.އޮމަދޫ</t>
  </si>
  <si>
    <t>ADh.Kunburudhoo</t>
  </si>
  <si>
    <t>އދ.ކުނބުރުދޫ</t>
  </si>
  <si>
    <t>ADh.Dhigurah</t>
  </si>
  <si>
    <t>އދ.ދިގުރަށް</t>
  </si>
  <si>
    <t>ADh.Fenfushi</t>
  </si>
  <si>
    <t>އދ.ފެންފުށި</t>
  </si>
  <si>
    <t>ADh.Mahibadhoo</t>
  </si>
  <si>
    <t>އދ.މަހިބަދޫ</t>
  </si>
  <si>
    <t>ADh.Hangnameedhoo</t>
  </si>
  <si>
    <t>އދ.ހަންޏާމީދޫ</t>
  </si>
  <si>
    <t>ADh.Dhihdhoo</t>
  </si>
  <si>
    <t>އދ.ދިއްދޫ</t>
  </si>
  <si>
    <t>ADh.Mandhoo</t>
  </si>
  <si>
    <t>އދ.މަންދޫ</t>
  </si>
  <si>
    <t>ADh.Dhangethi</t>
  </si>
  <si>
    <t>އދ.ދަނގެތި</t>
  </si>
  <si>
    <t>V.Felidhoo</t>
  </si>
  <si>
    <t>ވ.ފެލިދޫ</t>
  </si>
  <si>
    <t>V.Fulidhoo</t>
  </si>
  <si>
    <t>ވ.ފުލިދޫ</t>
  </si>
  <si>
    <t>V.Thinadhoo</t>
  </si>
  <si>
    <t>ވ.ތިނަދޫ</t>
  </si>
  <si>
    <t>V.Keyodhoo</t>
  </si>
  <si>
    <t>ވ.ކެޔޮދޫ</t>
  </si>
  <si>
    <t>V.Rakeedhoo</t>
  </si>
  <si>
    <t>ވ.ރަކީދޫ</t>
  </si>
  <si>
    <t>Table  12.2 :  MONTHLY ELECTRICITY PRODUCTION BY PUBLIC SECTOR,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</si>
</sst>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Faseyha"/>
    </font>
    <font>
      <b/>
      <sz val="9"/>
      <name val="Calibri"/>
      <family val="2"/>
      <scheme val="minor"/>
    </font>
    <font>
      <b/>
      <sz val="10.5"/>
      <name val="A_Faseyha"/>
    </font>
    <font>
      <b/>
      <sz val="12"/>
      <name val="Calibri"/>
      <family val="2"/>
      <scheme val="minor"/>
    </font>
    <font>
      <b/>
      <sz val="10.5"/>
      <name val="Calibri"/>
      <family val="2"/>
      <scheme val="minor"/>
    </font>
    <font>
      <sz val="10.5"/>
      <name val="A_Faseyha"/>
    </font>
    <font>
      <b/>
      <sz val="11"/>
      <name val="A_Faseyha"/>
    </font>
    <font>
      <sz val="11"/>
      <name val="Faruma"/>
    </font>
    <font>
      <b/>
      <sz val="1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6" fillId="2" borderId="0" xfId="0" applyFont="1" applyFill="1" applyBorder="1" applyAlignment="1">
      <alignment horizontal="right"/>
    </xf>
    <xf numFmtId="0" fontId="0" fillId="2" borderId="0" xfId="0" applyFill="1"/>
    <xf numFmtId="0" fontId="11" fillId="2" borderId="6" xfId="0" applyFont="1" applyFill="1" applyBorder="1" applyAlignment="1">
      <alignment horizontal="right"/>
    </xf>
    <xf numFmtId="0" fontId="7" fillId="2" borderId="5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left" vertical="center"/>
    </xf>
    <xf numFmtId="3" fontId="2" fillId="2" borderId="7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0" fontId="12" fillId="2" borderId="9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left" vertical="center"/>
    </xf>
    <xf numFmtId="3" fontId="2" fillId="2" borderId="10" xfId="0" applyNumberFormat="1" applyFont="1" applyFill="1" applyBorder="1" applyAlignment="1">
      <alignment horizontal="right" vertical="center"/>
    </xf>
    <xf numFmtId="0" fontId="13" fillId="2" borderId="11" xfId="0" applyFont="1" applyFill="1" applyBorder="1" applyAlignment="1">
      <alignment horizontal="right" vertical="center"/>
    </xf>
    <xf numFmtId="0" fontId="14" fillId="2" borderId="11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3" fontId="2" fillId="2" borderId="8" xfId="0" applyNumberFormat="1" applyFont="1" applyFill="1" applyBorder="1" applyAlignment="1">
      <alignment horizontal="right" vertical="center"/>
    </xf>
    <xf numFmtId="0" fontId="13" fillId="2" borderId="4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0" fontId="3" fillId="2" borderId="0" xfId="0" applyFont="1" applyFill="1" applyBorder="1"/>
    <xf numFmtId="1" fontId="5" fillId="2" borderId="0" xfId="0" applyNumberFormat="1" applyFont="1" applyFill="1" applyBorder="1"/>
    <xf numFmtId="0" fontId="0" fillId="2" borderId="0" xfId="0" applyFill="1" applyAlignment="1">
      <alignment horizontal="left" vertical="center"/>
    </xf>
    <xf numFmtId="0" fontId="0" fillId="2" borderId="0" xfId="0" applyFill="1" applyBorder="1"/>
    <xf numFmtId="3" fontId="3" fillId="2" borderId="0" xfId="0" applyNumberFormat="1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right" vertical="center"/>
    </xf>
    <xf numFmtId="0" fontId="11" fillId="2" borderId="8" xfId="0" applyFont="1" applyFill="1" applyBorder="1" applyAlignment="1">
      <alignment horizontal="right" vertical="center"/>
    </xf>
  </cellXfs>
  <cellStyles count="4">
    <cellStyle name="Comma 2" xfId="1"/>
    <cellStyle name="Comma 4" xf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FFFAEB"/>
      <color rgb="FFFFF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5"/>
  <sheetViews>
    <sheetView tabSelected="1" topLeftCell="A3" zoomScaleNormal="100" workbookViewId="0">
      <selection activeCell="S18" sqref="S18"/>
    </sheetView>
  </sheetViews>
  <sheetFormatPr defaultRowHeight="15" x14ac:dyDescent="0.25"/>
  <cols>
    <col min="1" max="1" width="19.7109375" style="20" customWidth="1"/>
    <col min="2" max="2" width="11.5703125" style="2" bestFit="1" customWidth="1"/>
    <col min="3" max="14" width="11.42578125" style="2" customWidth="1"/>
    <col min="15" max="15" width="13.28515625" style="2" customWidth="1"/>
    <col min="16" max="16" width="3.5703125" style="2" customWidth="1"/>
    <col min="17" max="17" width="10.85546875" style="2" customWidth="1"/>
    <col min="18" max="18" width="10.7109375" style="2" customWidth="1"/>
    <col min="19" max="19" width="20.28515625" style="2" customWidth="1"/>
    <col min="20" max="28" width="7.85546875" style="2" customWidth="1"/>
    <col min="29" max="16384" width="9.140625" style="2"/>
  </cols>
  <sheetData>
    <row r="2" spans="1:15" ht="16.5" x14ac:dyDescent="0.25">
      <c r="A2" s="24" t="s">
        <v>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5" ht="15.75" x14ac:dyDescent="0.25">
      <c r="A3" s="25" t="s">
        <v>104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ht="17.25" x14ac:dyDescent="0.4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5" ht="17.25" x14ac:dyDescent="0.4">
      <c r="A5" s="27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29" t="s">
        <v>18</v>
      </c>
    </row>
    <row r="6" spans="1:15" x14ac:dyDescent="0.25">
      <c r="A6" s="28"/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4" t="s">
        <v>26</v>
      </c>
      <c r="J6" s="4" t="s">
        <v>27</v>
      </c>
      <c r="K6" s="4" t="s">
        <v>28</v>
      </c>
      <c r="L6" s="4" t="s">
        <v>29</v>
      </c>
      <c r="M6" s="4" t="s">
        <v>30</v>
      </c>
      <c r="N6" s="4" t="s">
        <v>31</v>
      </c>
      <c r="O6" s="30"/>
    </row>
    <row r="7" spans="1:15" ht="18" x14ac:dyDescent="0.25">
      <c r="A7" s="5" t="s">
        <v>19</v>
      </c>
      <c r="B7" s="6">
        <f>SUM(C7:N7)</f>
        <v>492548.50773000001</v>
      </c>
      <c r="C7" s="7">
        <f>SUM(C8:C11)</f>
        <v>37232.123610000002</v>
      </c>
      <c r="D7" s="7">
        <f t="shared" ref="D7:N7" si="0">SUM(D8:D11)</f>
        <v>36482.044400000006</v>
      </c>
      <c r="E7" s="7">
        <f t="shared" si="0"/>
        <v>44905.252099999998</v>
      </c>
      <c r="F7" s="7">
        <f t="shared" si="0"/>
        <v>43429.700920000003</v>
      </c>
      <c r="G7" s="7">
        <f t="shared" si="0"/>
        <v>41438.077499999992</v>
      </c>
      <c r="H7" s="7">
        <f t="shared" si="0"/>
        <v>40082.224199999997</v>
      </c>
      <c r="I7" s="7">
        <f t="shared" si="0"/>
        <v>41577.245320000002</v>
      </c>
      <c r="J7" s="7">
        <f t="shared" si="0"/>
        <v>43120.430720000004</v>
      </c>
      <c r="K7" s="7">
        <f t="shared" si="0"/>
        <v>41584.827920000003</v>
      </c>
      <c r="L7" s="7">
        <f t="shared" si="0"/>
        <v>40595.295890000001</v>
      </c>
      <c r="M7" s="7">
        <f t="shared" si="0"/>
        <v>40810.612219999995</v>
      </c>
      <c r="N7" s="7">
        <f t="shared" si="0"/>
        <v>41290.672930000001</v>
      </c>
      <c r="O7" s="8" t="s">
        <v>5</v>
      </c>
    </row>
    <row r="8" spans="1:15" ht="21" x14ac:dyDescent="0.25">
      <c r="A8" s="9" t="s">
        <v>32</v>
      </c>
      <c r="B8" s="10">
        <f>SUM(C8:N8)</f>
        <v>355074.59600000002</v>
      </c>
      <c r="C8" s="22">
        <v>27218.875</v>
      </c>
      <c r="D8" s="22">
        <v>26650.824000000001</v>
      </c>
      <c r="E8" s="22">
        <v>32582.916000000001</v>
      </c>
      <c r="F8" s="22">
        <v>31824.850999999999</v>
      </c>
      <c r="G8" s="22">
        <v>30064.206999999999</v>
      </c>
      <c r="H8" s="22">
        <v>28848.986000000001</v>
      </c>
      <c r="I8" s="22">
        <v>30113.378000000001</v>
      </c>
      <c r="J8" s="22">
        <v>30591.219000000001</v>
      </c>
      <c r="K8" s="22">
        <v>29755.841</v>
      </c>
      <c r="L8" s="22">
        <v>29061.412</v>
      </c>
      <c r="M8" s="22">
        <v>29221.833999999999</v>
      </c>
      <c r="N8" s="22">
        <v>29140.253000000001</v>
      </c>
      <c r="O8" s="11" t="s">
        <v>33</v>
      </c>
    </row>
    <row r="9" spans="1:15" ht="21" x14ac:dyDescent="0.25">
      <c r="A9" s="9" t="s">
        <v>34</v>
      </c>
      <c r="B9" s="10">
        <f>SUM(C9:N9)</f>
        <v>12894.157599999999</v>
      </c>
      <c r="C9" s="22">
        <v>1003.592</v>
      </c>
      <c r="D9" s="22">
        <v>951.005</v>
      </c>
      <c r="E9" s="22">
        <v>1149.1032</v>
      </c>
      <c r="F9" s="22">
        <v>1145.1675</v>
      </c>
      <c r="G9" s="22">
        <v>1106.1193999999998</v>
      </c>
      <c r="H9" s="22">
        <v>1079.5516</v>
      </c>
      <c r="I9" s="22">
        <v>1092.2873</v>
      </c>
      <c r="J9" s="22">
        <v>1133.0005000000001</v>
      </c>
      <c r="K9" s="22">
        <v>1086.8698999999999</v>
      </c>
      <c r="L9" s="22">
        <v>1057.7736</v>
      </c>
      <c r="M9" s="22">
        <v>1045.2538999999999</v>
      </c>
      <c r="N9" s="22">
        <v>1044.4337</v>
      </c>
      <c r="O9" s="11" t="s">
        <v>35</v>
      </c>
    </row>
    <row r="10" spans="1:15" ht="21" x14ac:dyDescent="0.25">
      <c r="A10" s="9" t="s">
        <v>36</v>
      </c>
      <c r="B10" s="10">
        <f>SUM(C10:N10)</f>
        <v>69298.35716</v>
      </c>
      <c r="C10" s="22">
        <v>4723.0609999999997</v>
      </c>
      <c r="D10" s="22">
        <v>4691.0730000000003</v>
      </c>
      <c r="E10" s="22">
        <v>6119.57492</v>
      </c>
      <c r="F10" s="22">
        <v>5517.3885</v>
      </c>
      <c r="G10" s="22">
        <v>5781.2738899999995</v>
      </c>
      <c r="H10" s="22">
        <v>5716.9400800000003</v>
      </c>
      <c r="I10" s="22">
        <v>5839.0147400000005</v>
      </c>
      <c r="J10" s="22">
        <v>6323.4492199999995</v>
      </c>
      <c r="K10" s="22">
        <v>6178.0682300000008</v>
      </c>
      <c r="L10" s="22">
        <v>6023.9523099999997</v>
      </c>
      <c r="M10" s="22">
        <v>6097.9901900000004</v>
      </c>
      <c r="N10" s="22">
        <v>6286.5710799999997</v>
      </c>
      <c r="O10" s="11" t="s">
        <v>37</v>
      </c>
    </row>
    <row r="11" spans="1:15" ht="21" x14ac:dyDescent="0.25">
      <c r="A11" s="5" t="s">
        <v>38</v>
      </c>
      <c r="B11" s="10">
        <f>SUM(B12:B43)</f>
        <v>55281.396970000002</v>
      </c>
      <c r="C11" s="7">
        <f>SUM(C12:C43)</f>
        <v>4286.5956100000012</v>
      </c>
      <c r="D11" s="7">
        <f>SUM(D12:D43)</f>
        <v>4189.1424000000025</v>
      </c>
      <c r="E11" s="7">
        <f t="shared" ref="E11:N11" si="1">SUM(E12:E43)</f>
        <v>5053.657979999999</v>
      </c>
      <c r="F11" s="7">
        <f t="shared" si="1"/>
        <v>4942.2939200000001</v>
      </c>
      <c r="G11" s="7">
        <f t="shared" si="1"/>
        <v>4486.4772099999991</v>
      </c>
      <c r="H11" s="7">
        <f>SUM(H12:H43)</f>
        <v>4436.7465200000006</v>
      </c>
      <c r="I11" s="7">
        <f t="shared" si="1"/>
        <v>4532.5652799999998</v>
      </c>
      <c r="J11" s="7">
        <f t="shared" si="1"/>
        <v>5072.7620000000015</v>
      </c>
      <c r="K11" s="7">
        <f t="shared" si="1"/>
        <v>4564.0487900000007</v>
      </c>
      <c r="L11" s="7">
        <f t="shared" si="1"/>
        <v>4452.1579800000009</v>
      </c>
      <c r="M11" s="7">
        <f t="shared" si="1"/>
        <v>4445.5341299999991</v>
      </c>
      <c r="N11" s="7">
        <f t="shared" si="1"/>
        <v>4819.4151499999998</v>
      </c>
      <c r="O11" s="12" t="s">
        <v>39</v>
      </c>
    </row>
    <row r="12" spans="1:15" ht="21" x14ac:dyDescent="0.25">
      <c r="A12" s="9" t="s">
        <v>40</v>
      </c>
      <c r="B12" s="10">
        <f>SUM(C12:N12)</f>
        <v>2503.788</v>
      </c>
      <c r="C12" s="22">
        <v>184.81800000000001</v>
      </c>
      <c r="D12" s="22">
        <v>189.042</v>
      </c>
      <c r="E12" s="22">
        <v>219.946</v>
      </c>
      <c r="F12" s="22">
        <v>214.00899999999999</v>
      </c>
      <c r="G12" s="22">
        <v>199.136</v>
      </c>
      <c r="H12" s="22">
        <v>201.77799999999999</v>
      </c>
      <c r="I12" s="22">
        <v>210.61600000000001</v>
      </c>
      <c r="J12" s="22">
        <v>224.374</v>
      </c>
      <c r="K12" s="22">
        <v>224.06</v>
      </c>
      <c r="L12" s="22">
        <v>211.078</v>
      </c>
      <c r="M12" s="22">
        <v>207.46799999999999</v>
      </c>
      <c r="N12" s="22">
        <v>217.46299999999999</v>
      </c>
      <c r="O12" s="11" t="s">
        <v>41</v>
      </c>
    </row>
    <row r="13" spans="1:15" ht="21" x14ac:dyDescent="0.25">
      <c r="A13" s="9" t="s">
        <v>42</v>
      </c>
      <c r="B13" s="10">
        <f t="shared" ref="B13:B19" si="2">SUM(C13:N13)</f>
        <v>1515.2450000000001</v>
      </c>
      <c r="C13" s="22">
        <v>112.59399999999999</v>
      </c>
      <c r="D13" s="22">
        <v>110.544</v>
      </c>
      <c r="E13" s="22">
        <v>139.001</v>
      </c>
      <c r="F13" s="22">
        <v>135.17400000000001</v>
      </c>
      <c r="G13" s="22">
        <v>123.64700000000001</v>
      </c>
      <c r="H13" s="22">
        <v>129.779</v>
      </c>
      <c r="I13" s="22">
        <v>130.09200000000001</v>
      </c>
      <c r="J13" s="22">
        <v>134.59800000000001</v>
      </c>
      <c r="K13" s="22">
        <v>127.673</v>
      </c>
      <c r="L13" s="22">
        <v>118.648</v>
      </c>
      <c r="M13" s="22">
        <v>120.133</v>
      </c>
      <c r="N13" s="22">
        <v>133.36199999999999</v>
      </c>
      <c r="O13" s="11" t="s">
        <v>43</v>
      </c>
    </row>
    <row r="14" spans="1:15" ht="21" x14ac:dyDescent="0.25">
      <c r="A14" s="9" t="s">
        <v>44</v>
      </c>
      <c r="B14" s="10">
        <f t="shared" si="2"/>
        <v>1751.1958500000001</v>
      </c>
      <c r="C14" s="22">
        <v>158.7611</v>
      </c>
      <c r="D14" s="22">
        <v>151.66374999999999</v>
      </c>
      <c r="E14" s="22">
        <v>180.49700000000001</v>
      </c>
      <c r="F14" s="22">
        <v>178.43100000000001</v>
      </c>
      <c r="G14" s="22">
        <v>155.27199999999999</v>
      </c>
      <c r="H14" s="22">
        <v>148.44999999999999</v>
      </c>
      <c r="I14" s="22">
        <v>156.17099999999999</v>
      </c>
      <c r="J14" s="22">
        <v>165.08199999999999</v>
      </c>
      <c r="K14" s="22">
        <v>137.61500000000001</v>
      </c>
      <c r="L14" s="22">
        <v>101.917</v>
      </c>
      <c r="M14" s="22">
        <v>103.754</v>
      </c>
      <c r="N14" s="22">
        <v>113.58199999999999</v>
      </c>
      <c r="O14" s="11" t="s">
        <v>45</v>
      </c>
    </row>
    <row r="15" spans="1:15" ht="21" x14ac:dyDescent="0.25">
      <c r="A15" s="9" t="s">
        <v>46</v>
      </c>
      <c r="B15" s="10">
        <f t="shared" si="2"/>
        <v>3234.0309999999999</v>
      </c>
      <c r="C15" s="22">
        <v>249.411</v>
      </c>
      <c r="D15" s="22">
        <v>247.86199999999999</v>
      </c>
      <c r="E15" s="22">
        <v>296.71800000000002</v>
      </c>
      <c r="F15" s="22">
        <v>286.92</v>
      </c>
      <c r="G15" s="22">
        <v>258.09100000000001</v>
      </c>
      <c r="H15" s="22">
        <v>254.488</v>
      </c>
      <c r="I15" s="22">
        <v>256.43099999999998</v>
      </c>
      <c r="J15" s="22">
        <v>310.18099999999998</v>
      </c>
      <c r="K15" s="22">
        <v>276.57799999999997</v>
      </c>
      <c r="L15" s="22">
        <v>253.16900000000001</v>
      </c>
      <c r="M15" s="22">
        <v>261.09199999999998</v>
      </c>
      <c r="N15" s="22">
        <v>283.08999999999997</v>
      </c>
      <c r="O15" s="11" t="s">
        <v>47</v>
      </c>
    </row>
    <row r="16" spans="1:15" ht="21" x14ac:dyDescent="0.25">
      <c r="A16" s="9" t="s">
        <v>48</v>
      </c>
      <c r="B16" s="10">
        <f t="shared" si="2"/>
        <v>3305.297</v>
      </c>
      <c r="C16" s="22">
        <v>241.31100000000001</v>
      </c>
      <c r="D16" s="22">
        <v>235.559</v>
      </c>
      <c r="E16" s="22">
        <v>302.02800000000002</v>
      </c>
      <c r="F16" s="22">
        <v>294.08999999999997</v>
      </c>
      <c r="G16" s="22">
        <v>280.48200000000003</v>
      </c>
      <c r="H16" s="22">
        <v>264.65600000000001</v>
      </c>
      <c r="I16" s="22">
        <v>279.03800000000001</v>
      </c>
      <c r="J16" s="22">
        <v>301.91199999999998</v>
      </c>
      <c r="K16" s="22">
        <v>290.47800000000001</v>
      </c>
      <c r="L16" s="22">
        <v>266.76</v>
      </c>
      <c r="M16" s="22">
        <v>269.27600000000001</v>
      </c>
      <c r="N16" s="22">
        <v>279.70699999999999</v>
      </c>
      <c r="O16" s="11" t="s">
        <v>49</v>
      </c>
    </row>
    <row r="17" spans="1:15" ht="21" x14ac:dyDescent="0.25">
      <c r="A17" s="9" t="s">
        <v>50</v>
      </c>
      <c r="B17" s="10">
        <f t="shared" si="2"/>
        <v>5141.3410000000003</v>
      </c>
      <c r="C17" s="22">
        <v>389.06</v>
      </c>
      <c r="D17" s="22">
        <v>374.55200000000002</v>
      </c>
      <c r="E17" s="22">
        <v>448.51400000000001</v>
      </c>
      <c r="F17" s="22">
        <v>443.38499999999999</v>
      </c>
      <c r="G17" s="22">
        <v>392.17399999999998</v>
      </c>
      <c r="H17" s="22">
        <v>398.25799999999998</v>
      </c>
      <c r="I17" s="22">
        <v>398.25799999999998</v>
      </c>
      <c r="J17" s="22">
        <v>445.05200000000002</v>
      </c>
      <c r="K17" s="22">
        <v>444.79300000000001</v>
      </c>
      <c r="L17" s="22">
        <v>452.22699999999998</v>
      </c>
      <c r="M17" s="22">
        <v>458.83</v>
      </c>
      <c r="N17" s="22">
        <v>496.238</v>
      </c>
      <c r="O17" s="11" t="s">
        <v>51</v>
      </c>
    </row>
    <row r="18" spans="1:15" ht="21" x14ac:dyDescent="0.25">
      <c r="A18" s="9" t="s">
        <v>52</v>
      </c>
      <c r="B18" s="10">
        <f t="shared" si="2"/>
        <v>309.81000000000006</v>
      </c>
      <c r="C18" s="22">
        <v>29.4</v>
      </c>
      <c r="D18" s="22">
        <v>22.52</v>
      </c>
      <c r="E18" s="22">
        <v>23.04</v>
      </c>
      <c r="F18" s="22">
        <v>25.12</v>
      </c>
      <c r="G18" s="22">
        <v>25.98</v>
      </c>
      <c r="H18" s="22">
        <v>25.76</v>
      </c>
      <c r="I18" s="22">
        <v>24.88</v>
      </c>
      <c r="J18" s="22">
        <v>26.65</v>
      </c>
      <c r="K18" s="22">
        <v>26.02</v>
      </c>
      <c r="L18" s="22">
        <v>26.94</v>
      </c>
      <c r="M18" s="22">
        <v>25.69</v>
      </c>
      <c r="N18" s="22">
        <v>27.81</v>
      </c>
      <c r="O18" s="11" t="s">
        <v>53</v>
      </c>
    </row>
    <row r="19" spans="1:15" ht="21" x14ac:dyDescent="0.25">
      <c r="A19" s="9" t="s">
        <v>54</v>
      </c>
      <c r="B19" s="10">
        <f t="shared" si="2"/>
        <v>1231.2830000000001</v>
      </c>
      <c r="C19" s="22">
        <v>96.284999999999997</v>
      </c>
      <c r="D19" s="22">
        <v>93.43</v>
      </c>
      <c r="E19" s="22">
        <v>115.089</v>
      </c>
      <c r="F19" s="22">
        <v>112.318</v>
      </c>
      <c r="G19" s="22">
        <v>99.262</v>
      </c>
      <c r="H19" s="22">
        <v>99.563999999999993</v>
      </c>
      <c r="I19" s="22">
        <v>94.963999999999999</v>
      </c>
      <c r="J19" s="22">
        <v>112.441</v>
      </c>
      <c r="K19" s="22">
        <v>101.837</v>
      </c>
      <c r="L19" s="22">
        <v>94.813999999999993</v>
      </c>
      <c r="M19" s="22">
        <v>100.069</v>
      </c>
      <c r="N19" s="22">
        <v>111.21</v>
      </c>
      <c r="O19" s="11" t="s">
        <v>55</v>
      </c>
    </row>
    <row r="20" spans="1:15" ht="21" x14ac:dyDescent="0.25">
      <c r="A20" s="9" t="s">
        <v>56</v>
      </c>
      <c r="B20" s="10">
        <f>SUM(C20:N20)</f>
        <v>8204.2260000000024</v>
      </c>
      <c r="C20" s="22">
        <v>657.34900000000005</v>
      </c>
      <c r="D20" s="22">
        <v>635.71799999999996</v>
      </c>
      <c r="E20" s="22">
        <v>788.23400000000004</v>
      </c>
      <c r="F20" s="22">
        <v>806.10599999999999</v>
      </c>
      <c r="G20" s="22">
        <v>731.23199999999997</v>
      </c>
      <c r="H20" s="22">
        <v>697.96199999999999</v>
      </c>
      <c r="I20" s="22">
        <v>723.14</v>
      </c>
      <c r="J20" s="22">
        <v>782.55100000000004</v>
      </c>
      <c r="K20" s="22">
        <v>573.03800000000001</v>
      </c>
      <c r="L20" s="22">
        <v>637.77800000000002</v>
      </c>
      <c r="M20" s="22">
        <v>556.30499999999995</v>
      </c>
      <c r="N20" s="22">
        <v>614.81299999999999</v>
      </c>
      <c r="O20" s="11" t="s">
        <v>57</v>
      </c>
    </row>
    <row r="21" spans="1:15" ht="21" x14ac:dyDescent="0.25">
      <c r="A21" s="9" t="s">
        <v>58</v>
      </c>
      <c r="B21" s="10">
        <f t="shared" ref="B21:B43" si="3">SUM(C21:N21)</f>
        <v>3100.0095599999995</v>
      </c>
      <c r="C21" s="22">
        <v>231.0222</v>
      </c>
      <c r="D21" s="22">
        <v>223.13810000000001</v>
      </c>
      <c r="E21" s="22">
        <v>277.95409999999998</v>
      </c>
      <c r="F21" s="22">
        <v>266.75540000000001</v>
      </c>
      <c r="G21" s="22">
        <v>245.26006000000001</v>
      </c>
      <c r="H21" s="22">
        <v>252.4796</v>
      </c>
      <c r="I21" s="22">
        <v>253.34049999999999</v>
      </c>
      <c r="J21" s="22">
        <v>285.74599999999998</v>
      </c>
      <c r="K21" s="22">
        <v>264.31990000000002</v>
      </c>
      <c r="L21" s="22">
        <v>250.86010000000002</v>
      </c>
      <c r="M21" s="22">
        <v>257.8066</v>
      </c>
      <c r="N21" s="22">
        <v>291.327</v>
      </c>
      <c r="O21" s="11" t="s">
        <v>59</v>
      </c>
    </row>
    <row r="22" spans="1:15" ht="21" x14ac:dyDescent="0.25">
      <c r="A22" s="9" t="s">
        <v>60</v>
      </c>
      <c r="B22" s="10">
        <f t="shared" si="3"/>
        <v>1825.9090000000001</v>
      </c>
      <c r="C22" s="22">
        <v>132.792</v>
      </c>
      <c r="D22" s="22">
        <v>142.048</v>
      </c>
      <c r="E22" s="22">
        <v>166.95099999999999</v>
      </c>
      <c r="F22" s="22">
        <v>161.58600000000001</v>
      </c>
      <c r="G22" s="22">
        <v>134.53299999999999</v>
      </c>
      <c r="H22" s="22">
        <v>138.446</v>
      </c>
      <c r="I22" s="22">
        <v>145.63399999999999</v>
      </c>
      <c r="J22" s="22">
        <v>167.249</v>
      </c>
      <c r="K22" s="22">
        <v>148.27000000000001</v>
      </c>
      <c r="L22" s="22">
        <v>144.88900000000001</v>
      </c>
      <c r="M22" s="22">
        <v>162.97300000000001</v>
      </c>
      <c r="N22" s="22">
        <v>180.53800000000001</v>
      </c>
      <c r="O22" s="11" t="s">
        <v>61</v>
      </c>
    </row>
    <row r="23" spans="1:15" ht="21" x14ac:dyDescent="0.25">
      <c r="A23" s="9" t="s">
        <v>62</v>
      </c>
      <c r="B23" s="10">
        <f t="shared" si="3"/>
        <v>1078.326</v>
      </c>
      <c r="C23" s="22">
        <v>91.126999999999995</v>
      </c>
      <c r="D23" s="22">
        <v>81.840999999999994</v>
      </c>
      <c r="E23" s="22">
        <v>96.093000000000004</v>
      </c>
      <c r="F23" s="22">
        <v>98.135000000000005</v>
      </c>
      <c r="G23" s="22">
        <v>90.239000000000004</v>
      </c>
      <c r="H23" s="22">
        <v>80.994</v>
      </c>
      <c r="I23" s="22">
        <v>82.933999999999997</v>
      </c>
      <c r="J23" s="22">
        <v>98.941000000000003</v>
      </c>
      <c r="K23" s="22">
        <v>88.241</v>
      </c>
      <c r="L23" s="22">
        <v>86.299000000000007</v>
      </c>
      <c r="M23" s="22">
        <v>89.08</v>
      </c>
      <c r="N23" s="22">
        <v>94.402000000000001</v>
      </c>
      <c r="O23" s="11" t="s">
        <v>63</v>
      </c>
    </row>
    <row r="24" spans="1:15" ht="21" x14ac:dyDescent="0.25">
      <c r="A24" s="9" t="s">
        <v>64</v>
      </c>
      <c r="B24" s="10">
        <f t="shared" si="3"/>
        <v>843.26899999999989</v>
      </c>
      <c r="C24" s="22">
        <v>63.997999999999998</v>
      </c>
      <c r="D24" s="22">
        <v>64.135000000000005</v>
      </c>
      <c r="E24" s="22">
        <v>81.736000000000004</v>
      </c>
      <c r="F24" s="22">
        <v>77.956999999999994</v>
      </c>
      <c r="G24" s="22">
        <v>68.379000000000005</v>
      </c>
      <c r="H24" s="22">
        <v>63.475999999999999</v>
      </c>
      <c r="I24" s="22">
        <v>65.831999999999994</v>
      </c>
      <c r="J24" s="22">
        <v>77.42</v>
      </c>
      <c r="K24" s="22">
        <v>68.591999999999999</v>
      </c>
      <c r="L24" s="22">
        <v>67.174000000000007</v>
      </c>
      <c r="M24" s="22">
        <v>70.040000000000006</v>
      </c>
      <c r="N24" s="22">
        <v>74.53</v>
      </c>
      <c r="O24" s="11" t="s">
        <v>65</v>
      </c>
    </row>
    <row r="25" spans="1:15" ht="21" x14ac:dyDescent="0.25">
      <c r="A25" s="9" t="s">
        <v>66</v>
      </c>
      <c r="B25" s="10">
        <f t="shared" si="3"/>
        <v>678.17817000000002</v>
      </c>
      <c r="C25" s="22">
        <v>53.916820000000001</v>
      </c>
      <c r="D25" s="22">
        <v>50.0488</v>
      </c>
      <c r="E25" s="22">
        <v>58.993400000000001</v>
      </c>
      <c r="F25" s="22">
        <v>56.791400000000003</v>
      </c>
      <c r="G25" s="22">
        <v>54.623899999999999</v>
      </c>
      <c r="H25" s="22">
        <v>54.793800000000005</v>
      </c>
      <c r="I25" s="22">
        <v>53.160150000000002</v>
      </c>
      <c r="J25" s="22">
        <v>61.713999999999999</v>
      </c>
      <c r="K25" s="22">
        <v>55.666699999999999</v>
      </c>
      <c r="L25" s="22">
        <v>53.881399999999999</v>
      </c>
      <c r="M25" s="22">
        <v>55.2836</v>
      </c>
      <c r="N25" s="22">
        <v>69.304199999999994</v>
      </c>
      <c r="O25" s="11" t="s">
        <v>67</v>
      </c>
    </row>
    <row r="26" spans="1:15" ht="21" x14ac:dyDescent="0.25">
      <c r="A26" s="9" t="s">
        <v>68</v>
      </c>
      <c r="B26" s="10">
        <f t="shared" si="3"/>
        <v>716.51699999999994</v>
      </c>
      <c r="C26" s="22">
        <v>56.552</v>
      </c>
      <c r="D26" s="22">
        <v>50.567999999999998</v>
      </c>
      <c r="E26" s="22">
        <v>57.777999999999999</v>
      </c>
      <c r="F26" s="22">
        <v>56.085999999999999</v>
      </c>
      <c r="G26" s="22">
        <v>56.244</v>
      </c>
      <c r="H26" s="22">
        <v>56.835000000000001</v>
      </c>
      <c r="I26" s="22">
        <v>51.719000000000001</v>
      </c>
      <c r="J26" s="22">
        <v>62.539000000000001</v>
      </c>
      <c r="K26" s="22">
        <v>67.019000000000005</v>
      </c>
      <c r="L26" s="22">
        <v>65.697000000000003</v>
      </c>
      <c r="M26" s="22">
        <v>67.555999999999997</v>
      </c>
      <c r="N26" s="22">
        <v>67.924000000000007</v>
      </c>
      <c r="O26" s="11" t="s">
        <v>69</v>
      </c>
    </row>
    <row r="27" spans="1:15" ht="21" x14ac:dyDescent="0.25">
      <c r="A27" s="9" t="s">
        <v>70</v>
      </c>
      <c r="B27" s="10">
        <f t="shared" si="3"/>
        <v>993.76300000000003</v>
      </c>
      <c r="C27" s="22">
        <v>69.619</v>
      </c>
      <c r="D27" s="22">
        <v>75.605000000000004</v>
      </c>
      <c r="E27" s="22">
        <v>91.045000000000002</v>
      </c>
      <c r="F27" s="22">
        <v>87.453999999999994</v>
      </c>
      <c r="G27" s="22">
        <v>81.866</v>
      </c>
      <c r="H27" s="22">
        <v>83.52</v>
      </c>
      <c r="I27" s="22">
        <v>79.742999999999995</v>
      </c>
      <c r="J27" s="22">
        <v>91.096000000000004</v>
      </c>
      <c r="K27" s="22">
        <v>85.853999999999999</v>
      </c>
      <c r="L27" s="22">
        <v>81.224999999999994</v>
      </c>
      <c r="M27" s="22">
        <v>82.957999999999998</v>
      </c>
      <c r="N27" s="22">
        <v>83.778000000000006</v>
      </c>
      <c r="O27" s="11" t="s">
        <v>71</v>
      </c>
    </row>
    <row r="28" spans="1:15" ht="21" x14ac:dyDescent="0.25">
      <c r="A28" s="9" t="s">
        <v>72</v>
      </c>
      <c r="B28" s="10">
        <f t="shared" si="3"/>
        <v>2660.049</v>
      </c>
      <c r="C28" s="22">
        <v>204.25299999999999</v>
      </c>
      <c r="D28" s="22">
        <v>209.518</v>
      </c>
      <c r="E28" s="22">
        <v>256.63299999999998</v>
      </c>
      <c r="F28" s="22">
        <v>239.899</v>
      </c>
      <c r="G28" s="22">
        <v>215.74100000000001</v>
      </c>
      <c r="H28" s="22">
        <v>208.14099999999999</v>
      </c>
      <c r="I28" s="22">
        <v>211.17599999999999</v>
      </c>
      <c r="J28" s="22">
        <v>231.11799999999999</v>
      </c>
      <c r="K28" s="22">
        <v>216.04900000000001</v>
      </c>
      <c r="L28" s="22">
        <v>217.91399999999999</v>
      </c>
      <c r="M28" s="22">
        <v>215.524</v>
      </c>
      <c r="N28" s="22">
        <v>234.083</v>
      </c>
      <c r="O28" s="11" t="s">
        <v>73</v>
      </c>
    </row>
    <row r="29" spans="1:15" ht="21" x14ac:dyDescent="0.25">
      <c r="A29" s="9" t="s">
        <v>74</v>
      </c>
      <c r="B29" s="10">
        <f t="shared" si="3"/>
        <v>2411.2800000000002</v>
      </c>
      <c r="C29" s="22">
        <v>193.18700000000001</v>
      </c>
      <c r="D29" s="22">
        <v>193.262</v>
      </c>
      <c r="E29" s="22">
        <v>238.11799999999999</v>
      </c>
      <c r="F29" s="22">
        <v>205.68799999999999</v>
      </c>
      <c r="G29" s="22">
        <v>184.93199999999999</v>
      </c>
      <c r="H29" s="22">
        <v>184.608</v>
      </c>
      <c r="I29" s="22">
        <v>186.92699999999999</v>
      </c>
      <c r="J29" s="22">
        <v>207.33600000000001</v>
      </c>
      <c r="K29" s="22">
        <v>190.172</v>
      </c>
      <c r="L29" s="22">
        <v>215.86600000000001</v>
      </c>
      <c r="M29" s="22">
        <v>195.31800000000001</v>
      </c>
      <c r="N29" s="22">
        <v>215.86600000000001</v>
      </c>
      <c r="O29" s="11" t="s">
        <v>75</v>
      </c>
    </row>
    <row r="30" spans="1:15" ht="21" x14ac:dyDescent="0.25">
      <c r="A30" s="9" t="s">
        <v>76</v>
      </c>
      <c r="B30" s="10">
        <f t="shared" si="3"/>
        <v>827.71100000000001</v>
      </c>
      <c r="C30" s="22">
        <v>57.234000000000002</v>
      </c>
      <c r="D30" s="22">
        <v>55.042999999999999</v>
      </c>
      <c r="E30" s="22">
        <v>74.302000000000007</v>
      </c>
      <c r="F30" s="22">
        <v>72.91</v>
      </c>
      <c r="G30" s="22">
        <v>69.710999999999999</v>
      </c>
      <c r="H30" s="22">
        <v>70.010000000000005</v>
      </c>
      <c r="I30" s="22">
        <v>66.908000000000001</v>
      </c>
      <c r="J30" s="22">
        <v>75.912999999999997</v>
      </c>
      <c r="K30" s="22">
        <v>71.858000000000004</v>
      </c>
      <c r="L30" s="22">
        <v>67.319000000000003</v>
      </c>
      <c r="M30" s="22">
        <v>69.367999999999995</v>
      </c>
      <c r="N30" s="22">
        <v>77.135000000000005</v>
      </c>
      <c r="O30" s="11" t="s">
        <v>77</v>
      </c>
    </row>
    <row r="31" spans="1:15" ht="21" x14ac:dyDescent="0.25">
      <c r="A31" s="9" t="s">
        <v>78</v>
      </c>
      <c r="B31" s="10">
        <f t="shared" si="3"/>
        <v>590.22749999999996</v>
      </c>
      <c r="C31" s="22">
        <v>44.634999999999998</v>
      </c>
      <c r="D31" s="22">
        <v>43.893599999999999</v>
      </c>
      <c r="E31" s="22">
        <v>53.564999999999998</v>
      </c>
      <c r="F31" s="22">
        <v>51.428100000000001</v>
      </c>
      <c r="G31" s="22">
        <v>48.398300000000006</v>
      </c>
      <c r="H31" s="22">
        <v>49.871199999999995</v>
      </c>
      <c r="I31" s="22">
        <v>48.500999999999998</v>
      </c>
      <c r="J31" s="22">
        <v>51.986899999999999</v>
      </c>
      <c r="K31" s="22">
        <v>50.720399999999998</v>
      </c>
      <c r="L31" s="22">
        <v>49.527300000000004</v>
      </c>
      <c r="M31" s="22">
        <v>48.688699999999997</v>
      </c>
      <c r="N31" s="22">
        <v>49.012</v>
      </c>
      <c r="O31" s="11" t="s">
        <v>79</v>
      </c>
    </row>
    <row r="32" spans="1:15" ht="21" x14ac:dyDescent="0.25">
      <c r="A32" s="9" t="s">
        <v>80</v>
      </c>
      <c r="B32" s="10">
        <f t="shared" si="3"/>
        <v>1419.723</v>
      </c>
      <c r="C32" s="22">
        <v>114.68300000000001</v>
      </c>
      <c r="D32" s="22">
        <v>109.626</v>
      </c>
      <c r="E32" s="22">
        <v>129.05199999999999</v>
      </c>
      <c r="F32" s="22">
        <v>123.96</v>
      </c>
      <c r="G32" s="22">
        <v>109.435</v>
      </c>
      <c r="H32" s="22">
        <v>108.753</v>
      </c>
      <c r="I32" s="22">
        <v>111.803</v>
      </c>
      <c r="J32" s="22">
        <v>132.15199999999999</v>
      </c>
      <c r="K32" s="22">
        <v>110.673</v>
      </c>
      <c r="L32" s="22">
        <v>115.52500000000001</v>
      </c>
      <c r="M32" s="22">
        <v>119.72</v>
      </c>
      <c r="N32" s="22">
        <v>134.34100000000001</v>
      </c>
      <c r="O32" s="11" t="s">
        <v>81</v>
      </c>
    </row>
    <row r="33" spans="1:15" ht="21" x14ac:dyDescent="0.25">
      <c r="A33" s="9" t="s">
        <v>82</v>
      </c>
      <c r="B33" s="10">
        <f t="shared" si="3"/>
        <v>1183.4780000000001</v>
      </c>
      <c r="C33" s="22">
        <v>88.525999999999996</v>
      </c>
      <c r="D33" s="22">
        <v>88.503</v>
      </c>
      <c r="E33" s="22">
        <v>103.226</v>
      </c>
      <c r="F33" s="22">
        <v>100.60299999999999</v>
      </c>
      <c r="G33" s="22">
        <v>98.042000000000002</v>
      </c>
      <c r="H33" s="22">
        <v>94.984999999999999</v>
      </c>
      <c r="I33" s="22">
        <v>97.983999999999995</v>
      </c>
      <c r="J33" s="22">
        <v>107.71599999999999</v>
      </c>
      <c r="K33" s="22">
        <v>102.38</v>
      </c>
      <c r="L33" s="22">
        <v>101.4</v>
      </c>
      <c r="M33" s="22">
        <v>99.620999999999995</v>
      </c>
      <c r="N33" s="22">
        <v>100.492</v>
      </c>
      <c r="O33" s="11" t="s">
        <v>83</v>
      </c>
    </row>
    <row r="34" spans="1:15" ht="21" x14ac:dyDescent="0.25">
      <c r="A34" s="9" t="s">
        <v>84</v>
      </c>
      <c r="B34" s="10">
        <f t="shared" si="3"/>
        <v>3299.6019999999999</v>
      </c>
      <c r="C34" s="22">
        <v>246.6</v>
      </c>
      <c r="D34" s="22">
        <v>238.65899999999999</v>
      </c>
      <c r="E34" s="22">
        <v>293.18799999999999</v>
      </c>
      <c r="F34" s="22">
        <v>296.81900000000002</v>
      </c>
      <c r="G34" s="22">
        <v>274.64100000000002</v>
      </c>
      <c r="H34" s="22">
        <v>268.16199999999998</v>
      </c>
      <c r="I34" s="22">
        <v>267.78699999999998</v>
      </c>
      <c r="J34" s="22">
        <v>292.392</v>
      </c>
      <c r="K34" s="22">
        <v>279.55200000000002</v>
      </c>
      <c r="L34" s="22">
        <v>266.83</v>
      </c>
      <c r="M34" s="22">
        <v>284.43900000000002</v>
      </c>
      <c r="N34" s="22">
        <v>290.53300000000002</v>
      </c>
      <c r="O34" s="11" t="s">
        <v>85</v>
      </c>
    </row>
    <row r="35" spans="1:15" ht="21" x14ac:dyDescent="0.25">
      <c r="A35" s="9" t="s">
        <v>86</v>
      </c>
      <c r="B35" s="10">
        <f t="shared" si="3"/>
        <v>746.22900000000004</v>
      </c>
      <c r="C35" s="22">
        <v>58.817</v>
      </c>
      <c r="D35" s="22">
        <v>61.887</v>
      </c>
      <c r="E35" s="22">
        <v>59.53</v>
      </c>
      <c r="F35" s="22">
        <v>67.230999999999995</v>
      </c>
      <c r="G35" s="22">
        <v>57.877000000000002</v>
      </c>
      <c r="H35" s="22">
        <v>60.118000000000002</v>
      </c>
      <c r="I35" s="22">
        <v>59.850999999999999</v>
      </c>
      <c r="J35" s="22">
        <v>67.757999999999996</v>
      </c>
      <c r="K35" s="22">
        <v>62.753999999999998</v>
      </c>
      <c r="L35" s="22">
        <v>60.055999999999997</v>
      </c>
      <c r="M35" s="22">
        <v>62.701999999999998</v>
      </c>
      <c r="N35" s="22">
        <v>67.647999999999996</v>
      </c>
      <c r="O35" s="11" t="s">
        <v>87</v>
      </c>
    </row>
    <row r="36" spans="1:15" ht="21" x14ac:dyDescent="0.25">
      <c r="A36" s="9" t="s">
        <v>88</v>
      </c>
      <c r="B36" s="10">
        <f t="shared" si="3"/>
        <v>267.78796999999997</v>
      </c>
      <c r="C36" s="22">
        <v>21.30132</v>
      </c>
      <c r="D36" s="22">
        <v>20.222049999999999</v>
      </c>
      <c r="E36" s="22">
        <v>22.12978</v>
      </c>
      <c r="F36" s="22">
        <v>23.663619999999998</v>
      </c>
      <c r="G36" s="22">
        <v>22.34665</v>
      </c>
      <c r="H36" s="22">
        <v>23.494040000000002</v>
      </c>
      <c r="I36" s="22">
        <v>21.025929999999999</v>
      </c>
      <c r="J36" s="22">
        <v>24.718229999999998</v>
      </c>
      <c r="K36" s="22">
        <v>21.67379</v>
      </c>
      <c r="L36" s="22">
        <v>21.72418</v>
      </c>
      <c r="M36" s="22">
        <v>21.947830000000003</v>
      </c>
      <c r="N36" s="22">
        <v>23.54055</v>
      </c>
      <c r="O36" s="11" t="s">
        <v>89</v>
      </c>
    </row>
    <row r="37" spans="1:15" ht="21" x14ac:dyDescent="0.25">
      <c r="A37" s="9" t="s">
        <v>90</v>
      </c>
      <c r="B37" s="10">
        <f t="shared" si="3"/>
        <v>536.38099999999997</v>
      </c>
      <c r="C37" s="22">
        <v>36.706000000000003</v>
      </c>
      <c r="D37" s="22">
        <v>37.081000000000003</v>
      </c>
      <c r="E37" s="22">
        <v>33.479999999999997</v>
      </c>
      <c r="F37" s="22">
        <v>28.187999999999999</v>
      </c>
      <c r="G37" s="22">
        <v>25.951000000000001</v>
      </c>
      <c r="H37" s="22">
        <v>27.454999999999998</v>
      </c>
      <c r="I37" s="22">
        <v>79.742999999999995</v>
      </c>
      <c r="J37" s="22">
        <v>91.096000000000004</v>
      </c>
      <c r="K37" s="22">
        <v>85.853999999999999</v>
      </c>
      <c r="L37" s="22">
        <v>28.556999999999999</v>
      </c>
      <c r="M37" s="22">
        <v>28.629000000000001</v>
      </c>
      <c r="N37" s="22">
        <v>33.640999999999998</v>
      </c>
      <c r="O37" s="11" t="s">
        <v>91</v>
      </c>
    </row>
    <row r="38" spans="1:15" ht="21" x14ac:dyDescent="0.25">
      <c r="A38" s="9" t="s">
        <v>92</v>
      </c>
      <c r="B38" s="10">
        <f t="shared" si="3"/>
        <v>1413.5930000000001</v>
      </c>
      <c r="C38" s="22">
        <v>113.949</v>
      </c>
      <c r="D38" s="22">
        <v>107.47199999999999</v>
      </c>
      <c r="E38" s="22">
        <v>112.937</v>
      </c>
      <c r="F38" s="22">
        <v>124.614</v>
      </c>
      <c r="G38" s="22">
        <v>122.813</v>
      </c>
      <c r="H38" s="22">
        <v>122.813</v>
      </c>
      <c r="I38" s="22">
        <v>109.188</v>
      </c>
      <c r="J38" s="22">
        <v>125.386</v>
      </c>
      <c r="K38" s="22">
        <v>120.45699999999999</v>
      </c>
      <c r="L38" s="22">
        <v>115.038</v>
      </c>
      <c r="M38" s="22">
        <v>115.15</v>
      </c>
      <c r="N38" s="22">
        <v>123.776</v>
      </c>
      <c r="O38" s="11" t="s">
        <v>93</v>
      </c>
    </row>
    <row r="39" spans="1:15" ht="21" x14ac:dyDescent="0.25">
      <c r="A39" s="9" t="s">
        <v>94</v>
      </c>
      <c r="B39" s="10">
        <f t="shared" si="3"/>
        <v>1007.8005999999999</v>
      </c>
      <c r="C39" s="22">
        <v>77.722999999999999</v>
      </c>
      <c r="D39" s="22">
        <v>74.501000000000005</v>
      </c>
      <c r="E39" s="22">
        <v>90.129000000000005</v>
      </c>
      <c r="F39" s="22">
        <v>88.763899999999992</v>
      </c>
      <c r="G39" s="22">
        <v>83.42580000000001</v>
      </c>
      <c r="H39" s="22">
        <v>84.351100000000002</v>
      </c>
      <c r="I39" s="22">
        <v>82.983699999999999</v>
      </c>
      <c r="J39" s="22">
        <v>90.786899999999989</v>
      </c>
      <c r="K39" s="22">
        <v>84.686999999999998</v>
      </c>
      <c r="L39" s="22">
        <v>83.808700000000002</v>
      </c>
      <c r="M39" s="22">
        <v>83.526399999999995</v>
      </c>
      <c r="N39" s="22">
        <v>83.114100000000008</v>
      </c>
      <c r="O39" s="11" t="s">
        <v>95</v>
      </c>
    </row>
    <row r="40" spans="1:15" ht="21" x14ac:dyDescent="0.25">
      <c r="A40" s="9" t="s">
        <v>96</v>
      </c>
      <c r="B40" s="10">
        <f t="shared" si="3"/>
        <v>696.75499999999988</v>
      </c>
      <c r="C40" s="22">
        <v>52.793999999999997</v>
      </c>
      <c r="D40" s="22">
        <v>52.067999999999998</v>
      </c>
      <c r="E40" s="22">
        <v>64.861000000000004</v>
      </c>
      <c r="F40" s="22">
        <v>57.325000000000003</v>
      </c>
      <c r="G40" s="22">
        <v>50.920999999999999</v>
      </c>
      <c r="H40" s="22">
        <v>53.165999999999997</v>
      </c>
      <c r="I40" s="22">
        <v>53.128</v>
      </c>
      <c r="J40" s="22">
        <v>64.061000000000007</v>
      </c>
      <c r="K40" s="22">
        <v>59.554000000000002</v>
      </c>
      <c r="L40" s="22">
        <v>58.252000000000002</v>
      </c>
      <c r="M40" s="22">
        <v>60.286999999999999</v>
      </c>
      <c r="N40" s="22">
        <v>70.337999999999994</v>
      </c>
      <c r="O40" s="11" t="s">
        <v>97</v>
      </c>
    </row>
    <row r="41" spans="1:15" ht="21" x14ac:dyDescent="0.25">
      <c r="A41" s="9" t="s">
        <v>98</v>
      </c>
      <c r="B41" s="10">
        <f t="shared" si="3"/>
        <v>811.76268000000005</v>
      </c>
      <c r="C41" s="22">
        <v>78.464500000000001</v>
      </c>
      <c r="D41" s="22">
        <v>75.368100000000013</v>
      </c>
      <c r="E41" s="22">
        <v>91.905699999999996</v>
      </c>
      <c r="F41" s="22">
        <v>72.156499999999994</v>
      </c>
      <c r="G41" s="22">
        <v>50.889499999999998</v>
      </c>
      <c r="H41" s="22">
        <v>52.58278</v>
      </c>
      <c r="I41" s="22">
        <v>57.856999999999999</v>
      </c>
      <c r="J41" s="22">
        <v>75.569000000000003</v>
      </c>
      <c r="K41" s="22">
        <v>52.238</v>
      </c>
      <c r="L41" s="22">
        <v>58.860300000000002</v>
      </c>
      <c r="M41" s="22">
        <v>65.841999999999999</v>
      </c>
      <c r="N41" s="22">
        <v>80.029300000000006</v>
      </c>
      <c r="O41" s="11" t="s">
        <v>99</v>
      </c>
    </row>
    <row r="42" spans="1:15" ht="21" x14ac:dyDescent="0.25">
      <c r="A42" s="9" t="s">
        <v>100</v>
      </c>
      <c r="B42" s="10">
        <f t="shared" si="3"/>
        <v>854.12100000000009</v>
      </c>
      <c r="C42" s="22">
        <v>68.510000000000005</v>
      </c>
      <c r="D42" s="22">
        <v>66.962999999999994</v>
      </c>
      <c r="E42" s="22">
        <v>74.596000000000004</v>
      </c>
      <c r="F42" s="22">
        <v>77.680000000000007</v>
      </c>
      <c r="G42" s="22">
        <v>66.349000000000004</v>
      </c>
      <c r="H42" s="22">
        <v>66.884</v>
      </c>
      <c r="I42" s="22">
        <v>64.16</v>
      </c>
      <c r="J42" s="22">
        <v>77.501999999999995</v>
      </c>
      <c r="K42" s="22">
        <v>69.792000000000002</v>
      </c>
      <c r="L42" s="22">
        <v>70.316999999999993</v>
      </c>
      <c r="M42" s="22">
        <v>72.581999999999994</v>
      </c>
      <c r="N42" s="22">
        <v>78.786000000000001</v>
      </c>
      <c r="O42" s="11" t="s">
        <v>101</v>
      </c>
    </row>
    <row r="43" spans="1:15" ht="21" x14ac:dyDescent="0.25">
      <c r="A43" s="13" t="s">
        <v>102</v>
      </c>
      <c r="B43" s="14">
        <f t="shared" si="3"/>
        <v>122.70764</v>
      </c>
      <c r="C43" s="23">
        <v>11.196669999999999</v>
      </c>
      <c r="D43" s="23">
        <v>6.8010000000000002</v>
      </c>
      <c r="E43" s="23">
        <v>12.388</v>
      </c>
      <c r="F43" s="23">
        <v>11.047000000000001</v>
      </c>
      <c r="G43" s="23">
        <v>8.5830000000000002</v>
      </c>
      <c r="H43" s="23">
        <v>10.113</v>
      </c>
      <c r="I43" s="23">
        <v>7.59</v>
      </c>
      <c r="J43" s="23">
        <v>9.724969999999999</v>
      </c>
      <c r="K43" s="23">
        <v>5.58</v>
      </c>
      <c r="L43" s="23">
        <v>7.8070000000000004</v>
      </c>
      <c r="M43" s="23">
        <v>13.875</v>
      </c>
      <c r="N43" s="23">
        <v>18.001999999999999</v>
      </c>
      <c r="O43" s="15" t="s">
        <v>103</v>
      </c>
    </row>
    <row r="44" spans="1:15" ht="16.5" x14ac:dyDescent="0.35">
      <c r="A44" s="16" t="s">
        <v>0</v>
      </c>
      <c r="B44" s="17"/>
      <c r="C44" s="18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" t="s">
        <v>1</v>
      </c>
    </row>
    <row r="45" spans="1:15" x14ac:dyDescent="0.25">
      <c r="B45" s="21"/>
    </row>
  </sheetData>
  <mergeCells count="5">
    <mergeCell ref="A2:O2"/>
    <mergeCell ref="A3:O3"/>
    <mergeCell ref="A4:O4"/>
    <mergeCell ref="A5:A6"/>
    <mergeCell ref="O5:O6"/>
  </mergeCells>
  <pageMargins left="0.7" right="0.7" top="0.75" bottom="0.75" header="0.3" footer="0.3"/>
  <pageSetup paperSize="9" scale="48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12.2</vt:lpstr>
      <vt:lpstr>'12.2'!Print_Area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2019-05-22T04:42:51Z</cp:lastPrinted>
  <dcterms:created xsi:type="dcterms:W3CDTF">2019-05-21T05:57:01Z</dcterms:created>
  <dcterms:modified xsi:type="dcterms:W3CDTF">2019-05-22T04:43:01Z</dcterms:modified>
</cp:coreProperties>
</file>