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2.  ELECTRICITY and  WATER\"/>
    </mc:Choice>
  </mc:AlternateContent>
  <bookViews>
    <workbookView xWindow="0" yWindow="0" windowWidth="28800" windowHeight="12330"/>
  </bookViews>
  <sheets>
    <sheet name="12.4" sheetId="4" r:id="rId1"/>
  </sheets>
  <externalReferences>
    <externalReference r:id="rId2"/>
    <externalReference r:id="rId3"/>
    <externalReference r:id="rId4"/>
  </externalReferences>
  <definedNames>
    <definedName name="Male">'[1]Entry2015 (for male region)'!$A$8:$AAA$67</definedName>
    <definedName name="_xlnm.Print_Area" localSheetId="0">'12.4'!$A$1:$P$43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1" i="4" l="1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N9" i="4"/>
  <c r="N5" i="4" s="1"/>
  <c r="M9" i="4"/>
  <c r="M5" i="4" s="1"/>
  <c r="L9" i="4"/>
  <c r="L5" i="4" s="1"/>
  <c r="K9" i="4"/>
  <c r="K5" i="4" s="1"/>
  <c r="J9" i="4"/>
  <c r="J5" i="4" s="1"/>
  <c r="I9" i="4"/>
  <c r="I5" i="4" s="1"/>
  <c r="H9" i="4"/>
  <c r="H5" i="4" s="1"/>
  <c r="G9" i="4"/>
  <c r="G5" i="4" s="1"/>
  <c r="F9" i="4"/>
  <c r="F5" i="4" s="1"/>
  <c r="E9" i="4"/>
  <c r="E5" i="4" s="1"/>
  <c r="D9" i="4"/>
  <c r="C9" i="4"/>
  <c r="C5" i="4" s="1"/>
  <c r="B8" i="4"/>
  <c r="B7" i="4"/>
  <c r="B6" i="4"/>
  <c r="D5" i="4"/>
  <c r="B5" i="4" l="1"/>
  <c r="B9" i="4"/>
</calcChain>
</file>

<file path=xl/sharedStrings.xml><?xml version="1.0" encoding="utf-8"?>
<sst xmlns="http://schemas.openxmlformats.org/spreadsheetml/2006/main" count="93" uniqueCount="92">
  <si>
    <t>Source: State Electric Company Limited</t>
  </si>
  <si>
    <t>cDeTimil Inepcmok ckircTckeliacTETcs :ctWrwf ivcaedutWmUluAwm</t>
  </si>
  <si>
    <t>Locality</t>
  </si>
  <si>
    <t>wlcmuj</t>
  </si>
  <si>
    <t>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</si>
  <si>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</si>
  <si>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</si>
  <si>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</si>
  <si>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</si>
  <si>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</si>
  <si>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</si>
  <si>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</si>
  <si>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</si>
  <si>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</si>
  <si>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</si>
  <si>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</si>
  <si>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</si>
  <si>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K.Male'</t>
  </si>
  <si>
    <t>ކ. މާލެ</t>
  </si>
  <si>
    <t>K.Vilimale'</t>
  </si>
  <si>
    <t>ކ. ވިލިނގިލި</t>
  </si>
  <si>
    <t>K.Hulhumale</t>
  </si>
  <si>
    <t>ކ. ހުޅުމާލެ</t>
  </si>
  <si>
    <t xml:space="preserve">Atoll </t>
  </si>
  <si>
    <t>އަތޮޅުތައް</t>
  </si>
  <si>
    <t>K.Kaashidhoo</t>
  </si>
  <si>
    <t>ކ. ކާށިދޫ</t>
  </si>
  <si>
    <t>K.Gaafaru</t>
  </si>
  <si>
    <t>ކ. ގާފަރު</t>
  </si>
  <si>
    <t>K.Dhiffushi</t>
  </si>
  <si>
    <t>ކ. ދިއްފުށި</t>
  </si>
  <si>
    <t>K.Thulusdhoo</t>
  </si>
  <si>
    <t>ކ. ތުލުސްދޫ</t>
  </si>
  <si>
    <t>K.Himmafushi</t>
  </si>
  <si>
    <t>ކ. ހިންމަފުށި</t>
  </si>
  <si>
    <t>K.Thilafushi</t>
  </si>
  <si>
    <t>ކ. ތިލަފުށި</t>
  </si>
  <si>
    <t>K.Gulhifalhu</t>
  </si>
  <si>
    <t>ކ. ގުޅިފަޅު</t>
  </si>
  <si>
    <t>K.Gulhi</t>
  </si>
  <si>
    <t>ކ. ގުޅި</t>
  </si>
  <si>
    <t>K.Maafushi</t>
  </si>
  <si>
    <t>ކ. މާފުށި</t>
  </si>
  <si>
    <t>K.Guraidhoo</t>
  </si>
  <si>
    <t>ކ. ގުރައިދޫ</t>
  </si>
  <si>
    <t>AA.Ukulhas</t>
  </si>
  <si>
    <t>އއ.އުކުޅަސް</t>
  </si>
  <si>
    <t>AA.Mathiveri</t>
  </si>
  <si>
    <t>އއ.މަތިވެރި</t>
  </si>
  <si>
    <t>AA.Bodufolhudhoo</t>
  </si>
  <si>
    <t>އއ.ބޮޑުފުޅަދޫ</t>
  </si>
  <si>
    <t>AA.Feridhoo</t>
  </si>
  <si>
    <t>އއ.ފެރިދޫ</t>
  </si>
  <si>
    <t>AA.Maalhos</t>
  </si>
  <si>
    <t>އއ.މާޅޮސް</t>
  </si>
  <si>
    <t>AA.Himandhoo</t>
  </si>
  <si>
    <t>އއ.ހިމަންދޫ</t>
  </si>
  <si>
    <t>AA.Rasdhoo</t>
  </si>
  <si>
    <t>އއ.ރަސްދޫ</t>
  </si>
  <si>
    <t>AA.Thoddoo</t>
  </si>
  <si>
    <t>އއ.ތޮއްޑޫ</t>
  </si>
  <si>
    <t>ADh.Omadhoo</t>
  </si>
  <si>
    <t>އދ.އޮމަދޫ</t>
  </si>
  <si>
    <t>ADh.Kunburudhoo</t>
  </si>
  <si>
    <t>އދ.ކުނބުރުދޫ</t>
  </si>
  <si>
    <t>ADh.Dhigurah</t>
  </si>
  <si>
    <t>އދ.ދިގުރަށް</t>
  </si>
  <si>
    <t>ADh.Fenfushi</t>
  </si>
  <si>
    <t>އދ.ފެންފުށި</t>
  </si>
  <si>
    <t>ADh.Mahibadhoo</t>
  </si>
  <si>
    <t>އދ.މަހިބަދޫ</t>
  </si>
  <si>
    <t>ADh.Hangnameedhoo</t>
  </si>
  <si>
    <t>އދ.ހަންޏާމީދޫ</t>
  </si>
  <si>
    <t>ADh.Dhihdhoo</t>
  </si>
  <si>
    <t>އދ.ދިއްދޫ</t>
  </si>
  <si>
    <t>ADh.Mandhoo</t>
  </si>
  <si>
    <t>އދ.މަންދޫ</t>
  </si>
  <si>
    <t>ADh.Dhangethi</t>
  </si>
  <si>
    <t>އދ.ދަނގެތި</t>
  </si>
  <si>
    <t>V.Felidhoo</t>
  </si>
  <si>
    <t>ވ.ފެލިދޫ</t>
  </si>
  <si>
    <t>V.Fulidhoo</t>
  </si>
  <si>
    <t>ވ.ފުލިދޫ</t>
  </si>
  <si>
    <t>V.Thinadhoo</t>
  </si>
  <si>
    <t>ވ.ތިނަދޫ</t>
  </si>
  <si>
    <t>V.Keyodhoo</t>
  </si>
  <si>
    <t>ވ.ކެޔޮދޫ</t>
  </si>
  <si>
    <t>V.Rakeedhoo</t>
  </si>
  <si>
    <t>ވ.ރަކީދޫ</t>
  </si>
  <si>
    <t>ތާވަލު 12.4: މާލެއާއި އަތޮޅުތަކުގައި ސަރުކާރުގެ ފަރާތުން ސަރުކާރުގެ ފަރާތުން އެކިމަސްމަހު ކަރަންޓް އުފެއްދުމަށްޓަކާ އަޑީތެޔޮ ބޭނުންކުރެވިފައިވާ މިންވަރު، 2018</t>
  </si>
  <si>
    <t>Table  12.4 :   MONTHLY CONSUMPTION OF LUBRICATION OIL FOR ELECTRICITY GENERATION IN SELECTED LOCALITIES BY PUBLIC SECTOR, 2018</t>
  </si>
  <si>
    <t>(In '000 litres)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</si>
</sst>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6" formatCode="#,##0.0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Faruma"/>
    </font>
    <font>
      <b/>
      <sz val="11"/>
      <name val="Faruma"/>
    </font>
    <font>
      <b/>
      <sz val="12"/>
      <color theme="1"/>
      <name val="Faruma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1"/>
      <color theme="1"/>
      <name val="A_Faseyha"/>
    </font>
    <font>
      <sz val="11"/>
      <color theme="1"/>
      <name val="Faruma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_Faseyha"/>
    </font>
    <font>
      <i/>
      <sz val="10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sz val="1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</cellStyleXfs>
  <cellXfs count="56">
    <xf numFmtId="0" fontId="0" fillId="0" borderId="0" xfId="0"/>
    <xf numFmtId="0" fontId="4" fillId="2" borderId="9" xfId="0" applyFont="1" applyFill="1" applyBorder="1" applyAlignment="1">
      <alignment horizontal="left" vertical="center"/>
    </xf>
    <xf numFmtId="0" fontId="5" fillId="2" borderId="15" xfId="0" applyFont="1" applyFill="1" applyBorder="1" applyAlignment="1">
      <alignment horizontal="right" vertical="center"/>
    </xf>
    <xf numFmtId="0" fontId="6" fillId="2" borderId="15" xfId="0" applyFont="1" applyFill="1" applyBorder="1" applyAlignment="1">
      <alignment horizontal="right" vertical="center"/>
    </xf>
    <xf numFmtId="0" fontId="5" fillId="2" borderId="10" xfId="0" applyFont="1" applyFill="1" applyBorder="1" applyAlignment="1">
      <alignment horizontal="right" vertical="center"/>
    </xf>
    <xf numFmtId="0" fontId="8" fillId="2" borderId="8" xfId="2" applyFont="1" applyFill="1" applyBorder="1" applyAlignment="1">
      <alignment vertical="center"/>
    </xf>
    <xf numFmtId="0" fontId="9" fillId="2" borderId="8" xfId="2" applyFont="1" applyFill="1" applyBorder="1" applyAlignment="1">
      <alignment vertical="center"/>
    </xf>
    <xf numFmtId="166" fontId="3" fillId="2" borderId="11" xfId="0" applyNumberFormat="1" applyFont="1" applyFill="1" applyBorder="1" applyAlignment="1">
      <alignment horizontal="right" vertical="center"/>
    </xf>
    <xf numFmtId="166" fontId="3" fillId="2" borderId="0" xfId="0" applyNumberFormat="1" applyFont="1" applyFill="1" applyBorder="1" applyAlignment="1">
      <alignment horizontal="right" vertical="center"/>
    </xf>
    <xf numFmtId="166" fontId="3" fillId="2" borderId="14" xfId="0" applyNumberFormat="1" applyFont="1" applyFill="1" applyBorder="1" applyAlignment="1">
      <alignment horizontal="right" vertical="center"/>
    </xf>
    <xf numFmtId="0" fontId="12" fillId="2" borderId="14" xfId="0" applyFont="1" applyFill="1" applyBorder="1" applyAlignment="1">
      <alignment horizontal="right" vertical="center"/>
    </xf>
    <xf numFmtId="0" fontId="1" fillId="2" borderId="0" xfId="0" applyFont="1" applyFill="1" applyAlignment="1">
      <alignment horizontal="right" vertical="center"/>
    </xf>
    <xf numFmtId="166" fontId="3" fillId="2" borderId="12" xfId="0" applyNumberFormat="1" applyFont="1" applyFill="1" applyBorder="1" applyAlignment="1">
      <alignment horizontal="right" vertical="center"/>
    </xf>
    <xf numFmtId="166" fontId="4" fillId="2" borderId="0" xfId="0" applyNumberFormat="1" applyFont="1" applyFill="1" applyBorder="1" applyAlignment="1">
      <alignment horizontal="right" vertical="center"/>
    </xf>
    <xf numFmtId="166" fontId="4" fillId="2" borderId="5" xfId="0" applyNumberFormat="1" applyFont="1" applyFill="1" applyBorder="1" applyAlignment="1">
      <alignment horizontal="right" vertical="center"/>
    </xf>
    <xf numFmtId="166" fontId="4" fillId="2" borderId="3" xfId="0" applyNumberFormat="1" applyFont="1" applyFill="1" applyBorder="1" applyAlignment="1">
      <alignment horizontal="right" vertical="center"/>
    </xf>
    <xf numFmtId="166" fontId="4" fillId="2" borderId="4" xfId="0" applyNumberFormat="1" applyFont="1" applyFill="1" applyBorder="1" applyAlignment="1">
      <alignment horizontal="right" vertical="center"/>
    </xf>
    <xf numFmtId="0" fontId="10" fillId="2" borderId="7" xfId="2" applyFont="1" applyFill="1" applyBorder="1" applyAlignment="1">
      <alignment vertical="center"/>
    </xf>
    <xf numFmtId="0" fontId="10" fillId="2" borderId="17" xfId="2" applyFont="1" applyFill="1" applyBorder="1" applyAlignment="1">
      <alignment horizontal="right" vertical="center"/>
    </xf>
    <xf numFmtId="0" fontId="10" fillId="2" borderId="7" xfId="2" applyFont="1" applyFill="1" applyBorder="1" applyAlignment="1" applyProtection="1">
      <alignment horizontal="right" vertical="center"/>
    </xf>
    <xf numFmtId="0" fontId="18" fillId="2" borderId="7" xfId="2" applyFont="1" applyFill="1" applyBorder="1" applyAlignment="1">
      <alignment vertical="center"/>
    </xf>
    <xf numFmtId="0" fontId="18" fillId="2" borderId="8" xfId="2" applyFont="1" applyFill="1" applyBorder="1" applyAlignment="1">
      <alignment vertical="center"/>
    </xf>
    <xf numFmtId="0" fontId="19" fillId="2" borderId="15" xfId="0" applyFont="1" applyFill="1" applyBorder="1" applyAlignment="1">
      <alignment horizontal="left" vertical="center"/>
    </xf>
    <xf numFmtId="0" fontId="11" fillId="2" borderId="13" xfId="0" applyFont="1" applyFill="1" applyBorder="1" applyAlignment="1">
      <alignment horizontal="right" vertical="center"/>
    </xf>
    <xf numFmtId="0" fontId="0" fillId="2" borderId="15" xfId="0" applyFont="1" applyFill="1" applyBorder="1" applyAlignment="1">
      <alignment horizontal="left" vertical="center"/>
    </xf>
    <xf numFmtId="0" fontId="12" fillId="2" borderId="15" xfId="0" applyFont="1" applyFill="1" applyBorder="1" applyAlignment="1">
      <alignment horizontal="right" vertical="center"/>
    </xf>
    <xf numFmtId="0" fontId="20" fillId="2" borderId="8" xfId="2" applyFont="1" applyFill="1" applyBorder="1" applyAlignment="1">
      <alignment vertical="center"/>
    </xf>
    <xf numFmtId="0" fontId="21" fillId="2" borderId="15" xfId="0" applyFont="1" applyFill="1" applyBorder="1" applyAlignment="1">
      <alignment horizontal="left" vertical="center"/>
    </xf>
    <xf numFmtId="0" fontId="2" fillId="2" borderId="8" xfId="2" applyFont="1" applyFill="1" applyBorder="1" applyAlignment="1">
      <alignment vertical="center"/>
    </xf>
    <xf numFmtId="0" fontId="21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right" vertical="center"/>
    </xf>
    <xf numFmtId="0" fontId="2" fillId="2" borderId="2" xfId="2" applyFont="1" applyFill="1" applyBorder="1" applyAlignment="1">
      <alignment vertical="center"/>
    </xf>
    <xf numFmtId="0" fontId="21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right" vertical="center"/>
    </xf>
    <xf numFmtId="0" fontId="2" fillId="2" borderId="0" xfId="2" applyFont="1" applyFill="1" applyBorder="1" applyAlignment="1">
      <alignment vertical="center"/>
    </xf>
    <xf numFmtId="0" fontId="4" fillId="2" borderId="0" xfId="0" applyFont="1" applyFill="1" applyBorder="1" applyAlignment="1">
      <alignment horizontal="left" vertical="center"/>
    </xf>
    <xf numFmtId="0" fontId="0" fillId="2" borderId="0" xfId="0" applyFont="1" applyFill="1" applyBorder="1" applyAlignment="1">
      <alignment horizontal="left" vertical="center"/>
    </xf>
    <xf numFmtId="0" fontId="12" fillId="2" borderId="0" xfId="0" applyFont="1" applyFill="1" applyBorder="1" applyAlignment="1">
      <alignment horizontal="right" vertical="center"/>
    </xf>
    <xf numFmtId="0" fontId="20" fillId="2" borderId="0" xfId="2" applyFont="1" applyFill="1" applyBorder="1" applyAlignment="1">
      <alignment vertical="center"/>
    </xf>
    <xf numFmtId="0" fontId="16" fillId="2" borderId="0" xfId="2" applyFont="1" applyFill="1" applyBorder="1" applyAlignment="1">
      <alignment vertical="center"/>
    </xf>
    <xf numFmtId="0" fontId="0" fillId="2" borderId="3" xfId="0" applyFont="1" applyFill="1" applyBorder="1" applyAlignment="1">
      <alignment horizontal="left" vertical="center"/>
    </xf>
    <xf numFmtId="0" fontId="14" fillId="2" borderId="0" xfId="2" applyFont="1" applyFill="1" applyBorder="1" applyAlignment="1">
      <alignment vertical="center"/>
    </xf>
    <xf numFmtId="0" fontId="13" fillId="2" borderId="6" xfId="2" applyFont="1" applyFill="1" applyBorder="1" applyAlignment="1" applyProtection="1">
      <alignment horizontal="left" vertical="top"/>
    </xf>
    <xf numFmtId="0" fontId="14" fillId="2" borderId="6" xfId="2" applyFont="1" applyFill="1" applyBorder="1" applyAlignment="1">
      <alignment vertical="center"/>
    </xf>
    <xf numFmtId="0" fontId="15" fillId="2" borderId="0" xfId="0" applyFont="1" applyFill="1" applyBorder="1" applyAlignment="1">
      <alignment horizontal="right" vertical="top"/>
    </xf>
    <xf numFmtId="0" fontId="8" fillId="2" borderId="0" xfId="2" applyFont="1" applyFill="1" applyBorder="1" applyAlignment="1">
      <alignment vertical="center"/>
    </xf>
    <xf numFmtId="43" fontId="8" fillId="2" borderId="0" xfId="2" applyNumberFormat="1" applyFont="1" applyFill="1" applyBorder="1" applyAlignment="1">
      <alignment vertical="center"/>
    </xf>
    <xf numFmtId="0" fontId="7" fillId="2" borderId="14" xfId="2" applyFont="1" applyFill="1" applyBorder="1" applyAlignment="1">
      <alignment horizontal="center" vertical="center"/>
    </xf>
    <xf numFmtId="0" fontId="7" fillId="2" borderId="15" xfId="2" applyFont="1" applyFill="1" applyBorder="1" applyAlignment="1">
      <alignment horizontal="center" vertical="center"/>
    </xf>
    <xf numFmtId="0" fontId="7" fillId="2" borderId="9" xfId="2" applyFont="1" applyFill="1" applyBorder="1" applyAlignment="1">
      <alignment horizontal="center" vertical="center"/>
    </xf>
    <xf numFmtId="0" fontId="1" fillId="2" borderId="14" xfId="2" applyFont="1" applyFill="1" applyBorder="1" applyAlignment="1" applyProtection="1">
      <alignment horizontal="center" vertical="center"/>
    </xf>
    <xf numFmtId="0" fontId="1" fillId="2" borderId="15" xfId="2" applyFont="1" applyFill="1" applyBorder="1" applyAlignment="1" applyProtection="1">
      <alignment horizontal="center" vertical="center"/>
    </xf>
    <xf numFmtId="0" fontId="1" fillId="2" borderId="9" xfId="2" applyFont="1" applyFill="1" applyBorder="1" applyAlignment="1" applyProtection="1">
      <alignment horizontal="center" vertical="center"/>
    </xf>
    <xf numFmtId="0" fontId="17" fillId="2" borderId="12" xfId="2" applyFont="1" applyFill="1" applyBorder="1" applyAlignment="1" applyProtection="1">
      <alignment horizontal="center" vertical="center"/>
    </xf>
    <xf numFmtId="0" fontId="17" fillId="2" borderId="16" xfId="2" applyFont="1" applyFill="1" applyBorder="1" applyAlignment="1" applyProtection="1">
      <alignment horizontal="center" vertical="center"/>
    </xf>
    <xf numFmtId="0" fontId="17" fillId="2" borderId="10" xfId="2" applyFont="1" applyFill="1" applyBorder="1" applyAlignment="1" applyProtection="1">
      <alignment horizontal="center" vertical="center"/>
    </xf>
  </cellXfs>
  <cellStyles count="4">
    <cellStyle name="Comma 2" xfId="1"/>
    <cellStyle name="Comma 4" xfId="3"/>
    <cellStyle name="Normal" xfId="0" builtinId="0"/>
    <cellStyle name="Normal 2" xfId="2"/>
  </cellStyles>
  <dxfs count="1"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FAEB"/>
      <color rgb="FFFFF7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%23final\All%20in%20one%202015(150094)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RECEIVED/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5"/>
  <sheetViews>
    <sheetView tabSelected="1" topLeftCell="B1" zoomScaleNormal="100" workbookViewId="0">
      <selection activeCell="AD33" sqref="AD33"/>
    </sheetView>
  </sheetViews>
  <sheetFormatPr defaultColWidth="9.140625" defaultRowHeight="15" x14ac:dyDescent="0.25"/>
  <cols>
    <col min="1" max="1" width="17.42578125" style="5" customWidth="1"/>
    <col min="2" max="14" width="8.28515625" style="5" customWidth="1"/>
    <col min="15" max="15" width="13.7109375" style="5" customWidth="1"/>
    <col min="16" max="16" width="3.5703125" style="5" customWidth="1"/>
    <col min="17" max="16384" width="9.140625" style="5"/>
  </cols>
  <sheetData>
    <row r="1" spans="1:19" ht="21.75" x14ac:dyDescent="0.25">
      <c r="A1" s="47" t="s">
        <v>89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9"/>
    </row>
    <row r="2" spans="1:19" s="6" customFormat="1" ht="15.75" x14ac:dyDescent="0.25">
      <c r="A2" s="50" t="s">
        <v>90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2"/>
      <c r="P2" s="5"/>
      <c r="Q2" s="5"/>
      <c r="R2" s="5"/>
      <c r="S2" s="5"/>
    </row>
    <row r="3" spans="1:19" s="6" customFormat="1" ht="15.75" x14ac:dyDescent="0.25">
      <c r="A3" s="53" t="s">
        <v>91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5"/>
      <c r="P3" s="5"/>
      <c r="Q3" s="5"/>
      <c r="R3" s="5"/>
      <c r="S3" s="5"/>
    </row>
    <row r="4" spans="1:19" s="21" customFormat="1" ht="12.75" x14ac:dyDescent="0.25">
      <c r="A4" s="17" t="s">
        <v>2</v>
      </c>
      <c r="B4" s="18" t="s">
        <v>4</v>
      </c>
      <c r="C4" s="19" t="s">
        <v>5</v>
      </c>
      <c r="D4" s="19" t="s">
        <v>6</v>
      </c>
      <c r="E4" s="19" t="s">
        <v>7</v>
      </c>
      <c r="F4" s="19" t="s">
        <v>8</v>
      </c>
      <c r="G4" s="19" t="s">
        <v>9</v>
      </c>
      <c r="H4" s="19" t="s">
        <v>10</v>
      </c>
      <c r="I4" s="19" t="s">
        <v>11</v>
      </c>
      <c r="J4" s="19" t="s">
        <v>12</v>
      </c>
      <c r="K4" s="19" t="s">
        <v>13</v>
      </c>
      <c r="L4" s="19" t="s">
        <v>14</v>
      </c>
      <c r="M4" s="19" t="s">
        <v>15</v>
      </c>
      <c r="N4" s="19" t="s">
        <v>16</v>
      </c>
      <c r="O4" s="20"/>
    </row>
    <row r="5" spans="1:19" s="21" customFormat="1" ht="18" x14ac:dyDescent="0.25">
      <c r="A5" s="22" t="s">
        <v>4</v>
      </c>
      <c r="B5" s="7">
        <f>SUM(C5:N5)</f>
        <v>461.68229999999994</v>
      </c>
      <c r="C5" s="8">
        <f t="shared" ref="C5:N5" si="0">C6+C7+C8+C9</f>
        <v>33.716049999999996</v>
      </c>
      <c r="D5" s="8">
        <f t="shared" si="0"/>
        <v>31.315000000000001</v>
      </c>
      <c r="E5" s="8">
        <f t="shared" si="0"/>
        <v>38.128499999999995</v>
      </c>
      <c r="F5" s="8">
        <f t="shared" si="0"/>
        <v>38.395600000000002</v>
      </c>
      <c r="G5" s="8">
        <f t="shared" si="0"/>
        <v>37.014650000000003</v>
      </c>
      <c r="H5" s="8">
        <f t="shared" si="0"/>
        <v>32.377949999999998</v>
      </c>
      <c r="I5" s="8">
        <f t="shared" si="0"/>
        <v>34.80115</v>
      </c>
      <c r="J5" s="8">
        <f t="shared" si="0"/>
        <v>34.679699999999997</v>
      </c>
      <c r="K5" s="8">
        <f t="shared" si="0"/>
        <v>34.535849999999996</v>
      </c>
      <c r="L5" s="8">
        <f t="shared" si="0"/>
        <v>41.17745</v>
      </c>
      <c r="M5" s="8">
        <f t="shared" si="0"/>
        <v>34.895450000000004</v>
      </c>
      <c r="N5" s="8">
        <f t="shared" si="0"/>
        <v>70.644950000000009</v>
      </c>
      <c r="O5" s="23" t="s">
        <v>3</v>
      </c>
    </row>
    <row r="6" spans="1:19" s="26" customFormat="1" ht="21" x14ac:dyDescent="0.25">
      <c r="A6" s="24" t="s">
        <v>17</v>
      </c>
      <c r="B6" s="9">
        <f>SUM(C6:N6)</f>
        <v>277.02699999999999</v>
      </c>
      <c r="C6" s="13">
        <v>20.803999999999998</v>
      </c>
      <c r="D6" s="13">
        <v>21.6</v>
      </c>
      <c r="E6" s="13">
        <v>25.036999999999999</v>
      </c>
      <c r="F6" s="13">
        <v>23.753</v>
      </c>
      <c r="G6" s="13">
        <v>23.08</v>
      </c>
      <c r="H6" s="13">
        <v>20.908999999999999</v>
      </c>
      <c r="I6" s="13">
        <v>21.913</v>
      </c>
      <c r="J6" s="13">
        <v>20.934999999999999</v>
      </c>
      <c r="K6" s="13">
        <v>21.783999999999999</v>
      </c>
      <c r="L6" s="13">
        <v>27.986000000000001</v>
      </c>
      <c r="M6" s="13">
        <v>22.459</v>
      </c>
      <c r="N6" s="13">
        <v>26.766999999999999</v>
      </c>
      <c r="O6" s="25" t="s">
        <v>18</v>
      </c>
    </row>
    <row r="7" spans="1:19" s="26" customFormat="1" ht="21" x14ac:dyDescent="0.25">
      <c r="A7" s="1" t="s">
        <v>19</v>
      </c>
      <c r="B7" s="9">
        <f>SUM(C7:N7)</f>
        <v>12.165999999999999</v>
      </c>
      <c r="C7" s="13">
        <v>1.331</v>
      </c>
      <c r="D7" s="13">
        <v>0.57499999999999996</v>
      </c>
      <c r="E7" s="13">
        <v>0.85699999999999998</v>
      </c>
      <c r="F7" s="13">
        <v>1.478</v>
      </c>
      <c r="G7" s="13">
        <v>0.872</v>
      </c>
      <c r="H7" s="13">
        <v>0.86399999999999999</v>
      </c>
      <c r="I7" s="13">
        <v>1.1499999999999999</v>
      </c>
      <c r="J7" s="13">
        <v>1.206</v>
      </c>
      <c r="K7" s="13">
        <v>0.88400000000000001</v>
      </c>
      <c r="L7" s="13">
        <v>0.85499999999999998</v>
      </c>
      <c r="M7" s="13">
        <v>1.087</v>
      </c>
      <c r="N7" s="13">
        <v>1.0069999999999999</v>
      </c>
      <c r="O7" s="25" t="s">
        <v>20</v>
      </c>
    </row>
    <row r="8" spans="1:19" s="26" customFormat="1" ht="21" x14ac:dyDescent="0.25">
      <c r="A8" s="24" t="s">
        <v>21</v>
      </c>
      <c r="B8" s="9">
        <f>SUM(C8:N8)</f>
        <v>115.83799999999999</v>
      </c>
      <c r="C8" s="13">
        <v>6.6870000000000003</v>
      </c>
      <c r="D8" s="13">
        <v>5.3120000000000003</v>
      </c>
      <c r="E8" s="13">
        <v>6.7270000000000003</v>
      </c>
      <c r="F8" s="13">
        <v>7.827</v>
      </c>
      <c r="G8" s="13">
        <v>7.9080000000000004</v>
      </c>
      <c r="H8" s="13">
        <v>6.2130000000000001</v>
      </c>
      <c r="I8" s="13">
        <v>7.2030000000000003</v>
      </c>
      <c r="J8" s="13">
        <v>7.4640000000000004</v>
      </c>
      <c r="K8" s="13">
        <v>7.5170000000000003</v>
      </c>
      <c r="L8" s="13">
        <v>8.0909999999999993</v>
      </c>
      <c r="M8" s="13">
        <v>6.7430000000000003</v>
      </c>
      <c r="N8" s="13">
        <v>38.146000000000001</v>
      </c>
      <c r="O8" s="25" t="s">
        <v>22</v>
      </c>
    </row>
    <row r="9" spans="1:19" s="11" customFormat="1" ht="21" x14ac:dyDescent="0.25">
      <c r="A9" s="22" t="s">
        <v>23</v>
      </c>
      <c r="B9" s="9">
        <f>SUM(B10:B41)</f>
        <v>56.651300000000006</v>
      </c>
      <c r="C9" s="8">
        <f>SUM(C10:C41)</f>
        <v>4.8940499999999991</v>
      </c>
      <c r="D9" s="8">
        <f t="shared" ref="D9:N9" si="1">SUM(D10:D41)</f>
        <v>3.8280000000000003</v>
      </c>
      <c r="E9" s="8">
        <f t="shared" si="1"/>
        <v>5.5074999999999994</v>
      </c>
      <c r="F9" s="8">
        <f t="shared" si="1"/>
        <v>5.3376000000000001</v>
      </c>
      <c r="G9" s="8">
        <f t="shared" si="1"/>
        <v>5.1546500000000011</v>
      </c>
      <c r="H9" s="8">
        <f t="shared" si="1"/>
        <v>4.3919499999999987</v>
      </c>
      <c r="I9" s="8">
        <f t="shared" si="1"/>
        <v>4.5351499999999998</v>
      </c>
      <c r="J9" s="8">
        <f t="shared" si="1"/>
        <v>5.0746999999999982</v>
      </c>
      <c r="K9" s="8">
        <f t="shared" si="1"/>
        <v>4.3508500000000012</v>
      </c>
      <c r="L9" s="8">
        <f t="shared" si="1"/>
        <v>4.2454499999999991</v>
      </c>
      <c r="M9" s="8">
        <f t="shared" si="1"/>
        <v>4.6064500000000006</v>
      </c>
      <c r="N9" s="8">
        <f t="shared" si="1"/>
        <v>4.7249500000000006</v>
      </c>
      <c r="O9" s="3" t="s">
        <v>24</v>
      </c>
    </row>
    <row r="10" spans="1:19" s="26" customFormat="1" ht="21" x14ac:dyDescent="0.25">
      <c r="A10" s="24" t="s">
        <v>25</v>
      </c>
      <c r="B10" s="9">
        <f>SUM(C10:N10)</f>
        <v>2.2120000000000002</v>
      </c>
      <c r="C10" s="13">
        <v>0.156</v>
      </c>
      <c r="D10" s="13">
        <v>0.26600000000000001</v>
      </c>
      <c r="E10" s="13">
        <v>0.19500000000000001</v>
      </c>
      <c r="F10" s="13">
        <v>0.27200000000000002</v>
      </c>
      <c r="G10" s="13">
        <v>0.219</v>
      </c>
      <c r="H10" s="13">
        <v>9.0999999999999998E-2</v>
      </c>
      <c r="I10" s="13">
        <v>0.13900000000000001</v>
      </c>
      <c r="J10" s="13">
        <v>0.20100000000000001</v>
      </c>
      <c r="K10" s="13">
        <v>0.23200000000000001</v>
      </c>
      <c r="L10" s="13">
        <v>0.16200000000000001</v>
      </c>
      <c r="M10" s="13">
        <v>0.122</v>
      </c>
      <c r="N10" s="13">
        <v>0.157</v>
      </c>
      <c r="O10" s="25" t="s">
        <v>26</v>
      </c>
    </row>
    <row r="11" spans="1:19" s="26" customFormat="1" ht="21" x14ac:dyDescent="0.25">
      <c r="A11" s="24" t="s">
        <v>27</v>
      </c>
      <c r="B11" s="9">
        <f t="shared" ref="B11:B40" si="2">SUM(C11:N11)</f>
        <v>1.2769999999999999</v>
      </c>
      <c r="C11" s="13">
        <v>7.4999999999999997E-2</v>
      </c>
      <c r="D11" s="13">
        <v>7.6999999999999999E-2</v>
      </c>
      <c r="E11" s="13">
        <v>0.14399999999999999</v>
      </c>
      <c r="F11" s="13">
        <v>8.3000000000000004E-2</v>
      </c>
      <c r="G11" s="13">
        <v>0.186</v>
      </c>
      <c r="H11" s="13">
        <v>0.10100000000000001</v>
      </c>
      <c r="I11" s="13">
        <v>6.8000000000000005E-2</v>
      </c>
      <c r="J11" s="13">
        <v>0.105</v>
      </c>
      <c r="K11" s="13">
        <v>0.11799999999999999</v>
      </c>
      <c r="L11" s="13">
        <v>0.104</v>
      </c>
      <c r="M11" s="13">
        <v>0.13900000000000001</v>
      </c>
      <c r="N11" s="13">
        <v>7.6999999999999999E-2</v>
      </c>
      <c r="O11" s="25" t="s">
        <v>28</v>
      </c>
    </row>
    <row r="12" spans="1:19" s="26" customFormat="1" ht="21" x14ac:dyDescent="0.25">
      <c r="A12" s="24" t="s">
        <v>29</v>
      </c>
      <c r="B12" s="9">
        <f t="shared" si="2"/>
        <v>1.4850000000000001</v>
      </c>
      <c r="C12" s="13">
        <v>0.155</v>
      </c>
      <c r="D12" s="13">
        <v>0.11700000000000001</v>
      </c>
      <c r="E12" s="13">
        <v>0.14599999999999999</v>
      </c>
      <c r="F12" s="13">
        <v>0.17699999999999999</v>
      </c>
      <c r="G12" s="13">
        <v>0.11600000000000001</v>
      </c>
      <c r="H12" s="13">
        <v>8.7999999999999995E-2</v>
      </c>
      <c r="I12" s="13">
        <v>0.14699999999999999</v>
      </c>
      <c r="J12" s="13">
        <v>0.13400000000000001</v>
      </c>
      <c r="K12" s="13">
        <v>7.3999999999999996E-2</v>
      </c>
      <c r="L12" s="13">
        <v>0.15</v>
      </c>
      <c r="M12" s="13">
        <v>5.1999999999999998E-2</v>
      </c>
      <c r="N12" s="13">
        <v>0.129</v>
      </c>
      <c r="O12" s="25" t="s">
        <v>30</v>
      </c>
    </row>
    <row r="13" spans="1:19" s="26" customFormat="1" ht="21" x14ac:dyDescent="0.25">
      <c r="A13" s="24" t="s">
        <v>31</v>
      </c>
      <c r="B13" s="9">
        <f t="shared" si="2"/>
        <v>2.1880000000000006</v>
      </c>
      <c r="C13" s="13">
        <v>0.219</v>
      </c>
      <c r="D13" s="13">
        <v>0.16300000000000001</v>
      </c>
      <c r="E13" s="13">
        <v>0.27400000000000002</v>
      </c>
      <c r="F13" s="13">
        <v>0.34300000000000003</v>
      </c>
      <c r="G13" s="13">
        <v>0.25</v>
      </c>
      <c r="H13" s="13">
        <v>0.159</v>
      </c>
      <c r="I13" s="13">
        <v>8.2000000000000003E-2</v>
      </c>
      <c r="J13" s="13">
        <v>0.105</v>
      </c>
      <c r="K13" s="13">
        <v>0.114</v>
      </c>
      <c r="L13" s="13">
        <v>0.14899999999999999</v>
      </c>
      <c r="M13" s="13">
        <v>0.13800000000000001</v>
      </c>
      <c r="N13" s="13">
        <v>0.192</v>
      </c>
      <c r="O13" s="25" t="s">
        <v>32</v>
      </c>
    </row>
    <row r="14" spans="1:19" s="26" customFormat="1" ht="21" x14ac:dyDescent="0.25">
      <c r="A14" s="24" t="s">
        <v>33</v>
      </c>
      <c r="B14" s="9">
        <f t="shared" si="2"/>
        <v>2.9040000000000004</v>
      </c>
      <c r="C14" s="13">
        <v>0.17599999999999999</v>
      </c>
      <c r="D14" s="13">
        <v>0.14799999999999999</v>
      </c>
      <c r="E14" s="13">
        <v>0.35799999999999998</v>
      </c>
      <c r="F14" s="13">
        <v>0.27900000000000003</v>
      </c>
      <c r="G14" s="13">
        <v>0.23100000000000001</v>
      </c>
      <c r="H14" s="13">
        <v>0.24299999999999999</v>
      </c>
      <c r="I14" s="13">
        <v>0.28100000000000003</v>
      </c>
      <c r="J14" s="13">
        <v>0.26100000000000001</v>
      </c>
      <c r="K14" s="13">
        <v>0.187</v>
      </c>
      <c r="L14" s="13">
        <v>0.2</v>
      </c>
      <c r="M14" s="13">
        <v>0.27100000000000002</v>
      </c>
      <c r="N14" s="13">
        <v>0.26900000000000002</v>
      </c>
      <c r="O14" s="25" t="s">
        <v>34</v>
      </c>
    </row>
    <row r="15" spans="1:19" s="26" customFormat="1" ht="21" x14ac:dyDescent="0.25">
      <c r="A15" s="24" t="s">
        <v>35</v>
      </c>
      <c r="B15" s="9">
        <f t="shared" si="2"/>
        <v>3.3159999999999994</v>
      </c>
      <c r="C15" s="13">
        <v>0.318</v>
      </c>
      <c r="D15" s="13">
        <v>0.13800000000000001</v>
      </c>
      <c r="E15" s="13">
        <v>0.435</v>
      </c>
      <c r="F15" s="13">
        <v>0.29699999999999999</v>
      </c>
      <c r="G15" s="13">
        <v>0.28999999999999998</v>
      </c>
      <c r="H15" s="13">
        <v>0.23400000000000001</v>
      </c>
      <c r="I15" s="13">
        <v>0.19</v>
      </c>
      <c r="J15" s="13">
        <v>0.28599999999999998</v>
      </c>
      <c r="K15" s="13">
        <v>0.33400000000000002</v>
      </c>
      <c r="L15" s="13">
        <v>0.24299999999999999</v>
      </c>
      <c r="M15" s="13">
        <v>0.36899999999999999</v>
      </c>
      <c r="N15" s="13">
        <v>0.182</v>
      </c>
      <c r="O15" s="25" t="s">
        <v>36</v>
      </c>
    </row>
    <row r="16" spans="1:19" s="26" customFormat="1" ht="21" x14ac:dyDescent="0.25">
      <c r="A16" s="24" t="s">
        <v>37</v>
      </c>
      <c r="B16" s="9">
        <f t="shared" si="2"/>
        <v>0.56199999999999994</v>
      </c>
      <c r="C16" s="13">
        <v>2.75E-2</v>
      </c>
      <c r="D16" s="13">
        <v>5.5E-2</v>
      </c>
      <c r="E16" s="13">
        <v>2.5000000000000001E-2</v>
      </c>
      <c r="F16" s="13">
        <v>1.35E-2</v>
      </c>
      <c r="G16" s="13">
        <v>2.4500000000000001E-2</v>
      </c>
      <c r="H16" s="13">
        <v>8.3500000000000005E-2</v>
      </c>
      <c r="I16" s="13">
        <v>5.8500000000000003E-2</v>
      </c>
      <c r="J16" s="13">
        <v>9.8500000000000004E-2</v>
      </c>
      <c r="K16" s="13">
        <v>4.2500000000000003E-2</v>
      </c>
      <c r="L16" s="13">
        <v>9.2999999999999999E-2</v>
      </c>
      <c r="M16" s="13">
        <v>1.7000000000000001E-2</v>
      </c>
      <c r="N16" s="13">
        <v>2.35E-2</v>
      </c>
      <c r="O16" s="10" t="s">
        <v>38</v>
      </c>
    </row>
    <row r="17" spans="1:15" s="26" customFormat="1" ht="21" x14ac:dyDescent="0.25">
      <c r="A17" s="24" t="s">
        <v>39</v>
      </c>
      <c r="B17" s="9">
        <f t="shared" si="2"/>
        <v>1.1960000000000002</v>
      </c>
      <c r="C17" s="13">
        <v>0.12</v>
      </c>
      <c r="D17" s="13">
        <v>6.6000000000000003E-2</v>
      </c>
      <c r="E17" s="13">
        <v>0.14899999999999999</v>
      </c>
      <c r="F17" s="13">
        <v>8.5000000000000006E-2</v>
      </c>
      <c r="G17" s="13">
        <v>9.5000000000000001E-2</v>
      </c>
      <c r="H17" s="13">
        <v>9.0999999999999998E-2</v>
      </c>
      <c r="I17" s="13">
        <v>6.7000000000000004E-2</v>
      </c>
      <c r="J17" s="13">
        <v>9.6000000000000002E-2</v>
      </c>
      <c r="K17" s="13">
        <v>6.7000000000000004E-2</v>
      </c>
      <c r="L17" s="13">
        <v>0.122</v>
      </c>
      <c r="M17" s="13">
        <v>0.122</v>
      </c>
      <c r="N17" s="13">
        <v>0.11600000000000001</v>
      </c>
      <c r="O17" s="25" t="s">
        <v>40</v>
      </c>
    </row>
    <row r="18" spans="1:15" s="26" customFormat="1" ht="21" x14ac:dyDescent="0.25">
      <c r="A18" s="24" t="s">
        <v>41</v>
      </c>
      <c r="B18" s="9">
        <f t="shared" si="2"/>
        <v>11.094000000000003</v>
      </c>
      <c r="C18" s="13">
        <v>1.2410000000000001</v>
      </c>
      <c r="D18" s="13">
        <v>0.66400000000000003</v>
      </c>
      <c r="E18" s="13">
        <v>1.1459999999999999</v>
      </c>
      <c r="F18" s="13">
        <v>1.1240000000000001</v>
      </c>
      <c r="G18" s="13">
        <v>1.0760000000000001</v>
      </c>
      <c r="H18" s="13">
        <v>0.92400000000000004</v>
      </c>
      <c r="I18" s="13">
        <v>0.94899999999999995</v>
      </c>
      <c r="J18" s="13">
        <v>1.18</v>
      </c>
      <c r="K18" s="13">
        <v>0.56999999999999995</v>
      </c>
      <c r="L18" s="13">
        <v>0.57399999999999995</v>
      </c>
      <c r="M18" s="13">
        <v>0.86499999999999999</v>
      </c>
      <c r="N18" s="13">
        <v>0.78100000000000003</v>
      </c>
      <c r="O18" s="25" t="s">
        <v>42</v>
      </c>
    </row>
    <row r="19" spans="1:15" s="26" customFormat="1" ht="21" x14ac:dyDescent="0.25">
      <c r="A19" s="24" t="s">
        <v>43</v>
      </c>
      <c r="B19" s="9">
        <f t="shared" si="2"/>
        <v>1.9100000000000001</v>
      </c>
      <c r="C19" s="13">
        <v>0.112</v>
      </c>
      <c r="D19" s="13">
        <v>0.189</v>
      </c>
      <c r="E19" s="13">
        <v>0.14899999999999999</v>
      </c>
      <c r="F19" s="13">
        <v>0.125</v>
      </c>
      <c r="G19" s="13">
        <v>0.14399999999999999</v>
      </c>
      <c r="H19" s="13">
        <v>0.151</v>
      </c>
      <c r="I19" s="13">
        <v>0.192</v>
      </c>
      <c r="J19" s="13">
        <v>0.158</v>
      </c>
      <c r="K19" s="13">
        <v>0.193</v>
      </c>
      <c r="L19" s="13">
        <v>0.16300000000000001</v>
      </c>
      <c r="M19" s="13">
        <v>0.121</v>
      </c>
      <c r="N19" s="13">
        <v>0.21299999999999999</v>
      </c>
      <c r="O19" s="25" t="s">
        <v>44</v>
      </c>
    </row>
    <row r="20" spans="1:15" s="26" customFormat="1" ht="21" x14ac:dyDescent="0.25">
      <c r="A20" s="24" t="s">
        <v>45</v>
      </c>
      <c r="B20" s="9">
        <f t="shared" si="2"/>
        <v>1.7000000000000002</v>
      </c>
      <c r="C20" s="13">
        <v>0.13</v>
      </c>
      <c r="D20" s="13">
        <v>9.1999999999999998E-2</v>
      </c>
      <c r="E20" s="13">
        <v>0.152</v>
      </c>
      <c r="F20" s="13">
        <v>0.13600000000000001</v>
      </c>
      <c r="G20" s="13">
        <v>0.11700000000000001</v>
      </c>
      <c r="H20" s="13">
        <v>0.121</v>
      </c>
      <c r="I20" s="13">
        <v>0.20749999999999999</v>
      </c>
      <c r="J20" s="13">
        <v>0.17150000000000001</v>
      </c>
      <c r="K20" s="13">
        <v>0.1225</v>
      </c>
      <c r="L20" s="13">
        <v>0.123</v>
      </c>
      <c r="M20" s="13">
        <v>0.16700000000000001</v>
      </c>
      <c r="N20" s="13">
        <v>0.1605</v>
      </c>
      <c r="O20" s="25" t="s">
        <v>46</v>
      </c>
    </row>
    <row r="21" spans="1:15" s="26" customFormat="1" ht="21" x14ac:dyDescent="0.25">
      <c r="A21" s="24" t="s">
        <v>47</v>
      </c>
      <c r="B21" s="9">
        <f t="shared" si="2"/>
        <v>1.4113</v>
      </c>
      <c r="C21" s="13">
        <v>0.1328</v>
      </c>
      <c r="D21" s="13">
        <v>7.9000000000000001E-2</v>
      </c>
      <c r="E21" s="13">
        <v>0.17</v>
      </c>
      <c r="F21" s="13">
        <v>0.15059999999999998</v>
      </c>
      <c r="G21" s="13">
        <v>9.240000000000001E-2</v>
      </c>
      <c r="H21" s="13">
        <v>0.1202</v>
      </c>
      <c r="I21" s="13">
        <v>8.8400000000000006E-2</v>
      </c>
      <c r="J21" s="13">
        <v>8.4199999999999997E-2</v>
      </c>
      <c r="K21" s="13">
        <v>0.13109999999999999</v>
      </c>
      <c r="L21" s="13">
        <v>8.72E-2</v>
      </c>
      <c r="M21" s="13">
        <v>0.1162</v>
      </c>
      <c r="N21" s="13">
        <v>0.15919999999999998</v>
      </c>
      <c r="O21" s="25" t="s">
        <v>48</v>
      </c>
    </row>
    <row r="22" spans="1:15" s="26" customFormat="1" ht="21" x14ac:dyDescent="0.25">
      <c r="A22" s="24" t="s">
        <v>49</v>
      </c>
      <c r="B22" s="9">
        <f t="shared" si="2"/>
        <v>0.78349999999999986</v>
      </c>
      <c r="C22" s="13">
        <v>5.9249999999999997E-2</v>
      </c>
      <c r="D22" s="13">
        <v>4.3249999999999997E-2</v>
      </c>
      <c r="E22" s="13">
        <v>9.0999999999999998E-2</v>
      </c>
      <c r="F22" s="13">
        <v>4.65E-2</v>
      </c>
      <c r="G22" s="13">
        <v>5.8250000000000003E-2</v>
      </c>
      <c r="H22" s="13">
        <v>7.0250000000000007E-2</v>
      </c>
      <c r="I22" s="13">
        <v>6.0999999999999999E-2</v>
      </c>
      <c r="J22" s="13">
        <v>9.35E-2</v>
      </c>
      <c r="K22" s="13">
        <v>3.6749999999999998E-2</v>
      </c>
      <c r="L22" s="13">
        <v>8.7999999999999995E-2</v>
      </c>
      <c r="M22" s="13">
        <v>4.8750000000000002E-2</v>
      </c>
      <c r="N22" s="13">
        <v>8.6999999999999994E-2</v>
      </c>
      <c r="O22" s="25" t="s">
        <v>50</v>
      </c>
    </row>
    <row r="23" spans="1:15" s="26" customFormat="1" ht="21" x14ac:dyDescent="0.25">
      <c r="A23" s="24" t="s">
        <v>51</v>
      </c>
      <c r="B23" s="9">
        <f t="shared" si="2"/>
        <v>0.82399999999999995</v>
      </c>
      <c r="C23" s="13">
        <v>5.3999999999999999E-2</v>
      </c>
      <c r="D23" s="13">
        <v>7.0999999999999994E-2</v>
      </c>
      <c r="E23" s="13">
        <v>7.9000000000000001E-2</v>
      </c>
      <c r="F23" s="13">
        <v>5.2999999999999999E-2</v>
      </c>
      <c r="G23" s="13">
        <v>9.0999999999999998E-2</v>
      </c>
      <c r="H23" s="13">
        <v>0.05</v>
      </c>
      <c r="I23" s="13">
        <v>8.1000000000000003E-2</v>
      </c>
      <c r="J23" s="13">
        <v>7.1999999999999995E-2</v>
      </c>
      <c r="K23" s="13">
        <v>0.06</v>
      </c>
      <c r="L23" s="13">
        <v>0.03</v>
      </c>
      <c r="M23" s="13">
        <v>8.4000000000000005E-2</v>
      </c>
      <c r="N23" s="14">
        <v>9.9000000000000005E-2</v>
      </c>
      <c r="O23" s="25" t="s">
        <v>52</v>
      </c>
    </row>
    <row r="24" spans="1:15" s="28" customFormat="1" ht="21" x14ac:dyDescent="0.25">
      <c r="A24" s="27" t="s">
        <v>53</v>
      </c>
      <c r="B24" s="9">
        <f t="shared" si="2"/>
        <v>0.97799999999999976</v>
      </c>
      <c r="C24" s="13">
        <v>6.8000000000000005E-2</v>
      </c>
      <c r="D24" s="13">
        <v>7.85E-2</v>
      </c>
      <c r="E24" s="13">
        <v>0.06</v>
      </c>
      <c r="F24" s="13">
        <v>8.8999999999999996E-2</v>
      </c>
      <c r="G24" s="13">
        <v>6.4500000000000002E-2</v>
      </c>
      <c r="H24" s="13">
        <v>8.5999999999999993E-2</v>
      </c>
      <c r="I24" s="13">
        <v>6.9000000000000006E-2</v>
      </c>
      <c r="J24" s="13">
        <v>9.0999999999999998E-2</v>
      </c>
      <c r="K24" s="13">
        <v>6.9000000000000006E-2</v>
      </c>
      <c r="L24" s="13">
        <v>0.10100000000000001</v>
      </c>
      <c r="M24" s="13">
        <v>9.6000000000000002E-2</v>
      </c>
      <c r="N24" s="14">
        <v>0.106</v>
      </c>
      <c r="O24" s="2" t="s">
        <v>54</v>
      </c>
    </row>
    <row r="25" spans="1:15" s="28" customFormat="1" ht="21" x14ac:dyDescent="0.25">
      <c r="A25" s="27" t="s">
        <v>55</v>
      </c>
      <c r="B25" s="9">
        <f t="shared" si="2"/>
        <v>0.93500000000000005</v>
      </c>
      <c r="C25" s="13">
        <v>7.2999999999999995E-2</v>
      </c>
      <c r="D25" s="13">
        <v>6.4000000000000001E-2</v>
      </c>
      <c r="E25" s="13">
        <v>9.2999999999999999E-2</v>
      </c>
      <c r="F25" s="13">
        <v>7.1999999999999995E-2</v>
      </c>
      <c r="G25" s="13">
        <v>6.6000000000000003E-2</v>
      </c>
      <c r="H25" s="13">
        <v>0.10249999999999999</v>
      </c>
      <c r="I25" s="13">
        <v>3.6499999999999998E-2</v>
      </c>
      <c r="J25" s="13">
        <v>9.35E-2</v>
      </c>
      <c r="K25" s="13">
        <v>9.8500000000000004E-2</v>
      </c>
      <c r="L25" s="13">
        <v>5.2499999999999998E-2</v>
      </c>
      <c r="M25" s="13">
        <v>6.7500000000000004E-2</v>
      </c>
      <c r="N25" s="14">
        <v>0.11600000000000001</v>
      </c>
      <c r="O25" s="2" t="s">
        <v>56</v>
      </c>
    </row>
    <row r="26" spans="1:15" s="28" customFormat="1" ht="21" x14ac:dyDescent="0.25">
      <c r="A26" s="27" t="s">
        <v>57</v>
      </c>
      <c r="B26" s="9">
        <f t="shared" si="2"/>
        <v>1.7970000000000002</v>
      </c>
      <c r="C26" s="13">
        <v>0.10100000000000001</v>
      </c>
      <c r="D26" s="13">
        <v>0.109</v>
      </c>
      <c r="E26" s="13">
        <v>0.22900000000000001</v>
      </c>
      <c r="F26" s="13">
        <v>0.14000000000000001</v>
      </c>
      <c r="G26" s="13">
        <v>0.151</v>
      </c>
      <c r="H26" s="13">
        <v>0.14499999999999999</v>
      </c>
      <c r="I26" s="13">
        <v>0.193</v>
      </c>
      <c r="J26" s="13">
        <v>0.105</v>
      </c>
      <c r="K26" s="13">
        <v>0.14699999999999999</v>
      </c>
      <c r="L26" s="13">
        <v>0.114</v>
      </c>
      <c r="M26" s="13">
        <v>0.20399999999999999</v>
      </c>
      <c r="N26" s="14">
        <v>0.159</v>
      </c>
      <c r="O26" s="2" t="s">
        <v>58</v>
      </c>
    </row>
    <row r="27" spans="1:15" s="28" customFormat="1" ht="21" x14ac:dyDescent="0.25">
      <c r="A27" s="27" t="s">
        <v>59</v>
      </c>
      <c r="B27" s="9">
        <f t="shared" si="2"/>
        <v>1.7850000000000001</v>
      </c>
      <c r="C27" s="13">
        <v>0.17</v>
      </c>
      <c r="D27" s="13">
        <v>0.125</v>
      </c>
      <c r="E27" s="13">
        <v>0.18</v>
      </c>
      <c r="F27" s="13">
        <v>0.11899999999999999</v>
      </c>
      <c r="G27" s="13">
        <v>0.15</v>
      </c>
      <c r="H27" s="13">
        <v>9.6000000000000002E-2</v>
      </c>
      <c r="I27" s="13">
        <v>0.14499999999999999</v>
      </c>
      <c r="J27" s="13">
        <v>0.19500000000000001</v>
      </c>
      <c r="K27" s="13">
        <v>0.105</v>
      </c>
      <c r="L27" s="13">
        <v>0.16500000000000001</v>
      </c>
      <c r="M27" s="13">
        <v>0.17</v>
      </c>
      <c r="N27" s="14">
        <v>0.16500000000000001</v>
      </c>
      <c r="O27" s="2" t="s">
        <v>60</v>
      </c>
    </row>
    <row r="28" spans="1:15" s="28" customFormat="1" ht="21" x14ac:dyDescent="0.25">
      <c r="A28" s="27" t="s">
        <v>61</v>
      </c>
      <c r="B28" s="9">
        <f t="shared" si="2"/>
        <v>0.94799999999999984</v>
      </c>
      <c r="C28" s="13">
        <v>6.5000000000000002E-2</v>
      </c>
      <c r="D28" s="13">
        <v>5.2999999999999999E-2</v>
      </c>
      <c r="E28" s="13">
        <v>0.06</v>
      </c>
      <c r="F28" s="13">
        <v>0.06</v>
      </c>
      <c r="G28" s="13">
        <v>9.5000000000000001E-2</v>
      </c>
      <c r="H28" s="13">
        <v>4.4999999999999998E-2</v>
      </c>
      <c r="I28" s="13">
        <v>7.4999999999999997E-2</v>
      </c>
      <c r="J28" s="13">
        <v>0.105</v>
      </c>
      <c r="K28" s="13">
        <v>0.11</v>
      </c>
      <c r="L28" s="13">
        <v>0.125</v>
      </c>
      <c r="M28" s="13">
        <v>7.1999999999999995E-2</v>
      </c>
      <c r="N28" s="14">
        <v>8.3000000000000004E-2</v>
      </c>
      <c r="O28" s="2" t="s">
        <v>62</v>
      </c>
    </row>
    <row r="29" spans="1:15" s="28" customFormat="1" ht="21" x14ac:dyDescent="0.25">
      <c r="A29" s="27" t="s">
        <v>65</v>
      </c>
      <c r="B29" s="9">
        <f t="shared" si="2"/>
        <v>0.69400000000000006</v>
      </c>
      <c r="C29" s="13">
        <v>5.1999999999999998E-2</v>
      </c>
      <c r="D29" s="13">
        <v>5.5E-2</v>
      </c>
      <c r="E29" s="13">
        <v>5.5E-2</v>
      </c>
      <c r="F29" s="13">
        <v>6.8000000000000005E-2</v>
      </c>
      <c r="G29" s="13">
        <v>5.3999999999999999E-2</v>
      </c>
      <c r="H29" s="13">
        <v>5.8000000000000003E-2</v>
      </c>
      <c r="I29" s="13">
        <v>5.6000000000000001E-2</v>
      </c>
      <c r="J29" s="13">
        <v>5.6000000000000001E-2</v>
      </c>
      <c r="K29" s="13">
        <v>5.6000000000000001E-2</v>
      </c>
      <c r="L29" s="13">
        <v>8.4000000000000005E-2</v>
      </c>
      <c r="M29" s="13">
        <v>5.1999999999999998E-2</v>
      </c>
      <c r="N29" s="14">
        <v>4.8000000000000001E-2</v>
      </c>
      <c r="O29" s="2" t="s">
        <v>66</v>
      </c>
    </row>
    <row r="30" spans="1:15" s="28" customFormat="1" ht="21" x14ac:dyDescent="0.25">
      <c r="A30" s="27" t="s">
        <v>63</v>
      </c>
      <c r="B30" s="9">
        <f t="shared" si="2"/>
        <v>1.1800000000000002</v>
      </c>
      <c r="C30" s="13">
        <v>0.10199999999999999</v>
      </c>
      <c r="D30" s="13">
        <v>7.0000000000000007E-2</v>
      </c>
      <c r="E30" s="13">
        <v>7.0000000000000007E-2</v>
      </c>
      <c r="F30" s="13">
        <v>0.128</v>
      </c>
      <c r="G30" s="13">
        <v>8.5000000000000006E-2</v>
      </c>
      <c r="H30" s="13">
        <v>0.14000000000000001</v>
      </c>
      <c r="I30" s="13">
        <v>0.09</v>
      </c>
      <c r="J30" s="13">
        <v>9.5000000000000001E-2</v>
      </c>
      <c r="K30" s="13">
        <v>0.13</v>
      </c>
      <c r="L30" s="13">
        <v>7.0000000000000007E-2</v>
      </c>
      <c r="M30" s="13">
        <v>0.09</v>
      </c>
      <c r="N30" s="14">
        <v>0.11</v>
      </c>
      <c r="O30" s="2" t="s">
        <v>64</v>
      </c>
    </row>
    <row r="31" spans="1:15" s="28" customFormat="1" ht="21" x14ac:dyDescent="0.25">
      <c r="A31" s="27" t="s">
        <v>67</v>
      </c>
      <c r="B31" s="9">
        <f t="shared" si="2"/>
        <v>1.0714999999999999</v>
      </c>
      <c r="C31" s="13">
        <v>0.1045</v>
      </c>
      <c r="D31" s="13">
        <v>6.9750000000000006E-2</v>
      </c>
      <c r="E31" s="13">
        <v>8.0500000000000002E-2</v>
      </c>
      <c r="F31" s="13">
        <v>0.10299999999999999</v>
      </c>
      <c r="G31" s="13">
        <v>9.6500000000000002E-2</v>
      </c>
      <c r="H31" s="13">
        <v>7.1499999999999994E-2</v>
      </c>
      <c r="I31" s="13">
        <v>4.8750000000000002E-2</v>
      </c>
      <c r="J31" s="13">
        <v>0.14949999999999999</v>
      </c>
      <c r="K31" s="13">
        <v>6.7000000000000004E-2</v>
      </c>
      <c r="L31" s="13">
        <v>9.1249999999999998E-2</v>
      </c>
      <c r="M31" s="13">
        <v>7.9500000000000001E-2</v>
      </c>
      <c r="N31" s="14">
        <v>0.10975</v>
      </c>
      <c r="O31" s="2" t="s">
        <v>68</v>
      </c>
    </row>
    <row r="32" spans="1:15" s="31" customFormat="1" ht="21" x14ac:dyDescent="0.25">
      <c r="A32" s="29" t="s">
        <v>69</v>
      </c>
      <c r="B32" s="9">
        <f t="shared" si="2"/>
        <v>5.4269999999999996</v>
      </c>
      <c r="C32" s="13">
        <v>0.41699999999999998</v>
      </c>
      <c r="D32" s="13">
        <v>0.33100000000000002</v>
      </c>
      <c r="E32" s="13">
        <v>0.42899999999999999</v>
      </c>
      <c r="F32" s="13">
        <v>0.52500000000000002</v>
      </c>
      <c r="G32" s="13">
        <v>0.63</v>
      </c>
      <c r="H32" s="13">
        <v>0.42499999999999999</v>
      </c>
      <c r="I32" s="13">
        <v>0.48499999999999999</v>
      </c>
      <c r="J32" s="13">
        <v>0.41399999999999998</v>
      </c>
      <c r="K32" s="13">
        <v>0.499</v>
      </c>
      <c r="L32" s="13">
        <v>0.41699999999999998</v>
      </c>
      <c r="M32" s="13">
        <v>0.42899999999999999</v>
      </c>
      <c r="N32" s="14">
        <v>0.42599999999999999</v>
      </c>
      <c r="O32" s="30" t="s">
        <v>70</v>
      </c>
    </row>
    <row r="33" spans="1:19" s="34" customFormat="1" ht="21" x14ac:dyDescent="0.25">
      <c r="A33" s="32" t="s">
        <v>71</v>
      </c>
      <c r="B33" s="9">
        <f t="shared" si="2"/>
        <v>0.95450000000000013</v>
      </c>
      <c r="C33" s="13">
        <v>9.0999999999999998E-2</v>
      </c>
      <c r="D33" s="13">
        <v>6.6000000000000003E-2</v>
      </c>
      <c r="E33" s="13">
        <v>9.1999999999999998E-2</v>
      </c>
      <c r="F33" s="13">
        <v>3.4000000000000002E-2</v>
      </c>
      <c r="G33" s="13">
        <v>0.11700000000000001</v>
      </c>
      <c r="H33" s="13">
        <v>9.5000000000000001E-2</v>
      </c>
      <c r="I33" s="13">
        <v>6.0999999999999999E-2</v>
      </c>
      <c r="J33" s="13">
        <v>9.2499999999999999E-2</v>
      </c>
      <c r="K33" s="13">
        <v>8.2500000000000004E-2</v>
      </c>
      <c r="L33" s="13">
        <v>9.0999999999999998E-2</v>
      </c>
      <c r="M33" s="13">
        <v>6.3500000000000001E-2</v>
      </c>
      <c r="N33" s="14">
        <v>6.9000000000000006E-2</v>
      </c>
      <c r="O33" s="33" t="s">
        <v>72</v>
      </c>
    </row>
    <row r="34" spans="1:19" s="34" customFormat="1" ht="21" x14ac:dyDescent="0.25">
      <c r="A34" s="32" t="s">
        <v>73</v>
      </c>
      <c r="B34" s="9">
        <f t="shared" si="2"/>
        <v>0.51100000000000001</v>
      </c>
      <c r="C34" s="13">
        <v>2.8000000000000001E-2</v>
      </c>
      <c r="D34" s="13">
        <v>5.6000000000000001E-2</v>
      </c>
      <c r="E34" s="13">
        <v>5.7000000000000002E-2</v>
      </c>
      <c r="F34" s="13">
        <v>2.8000000000000001E-2</v>
      </c>
      <c r="G34" s="13">
        <v>5.3999999999999999E-2</v>
      </c>
      <c r="H34" s="13">
        <v>2.8000000000000001E-2</v>
      </c>
      <c r="I34" s="13">
        <v>5.6000000000000001E-2</v>
      </c>
      <c r="J34" s="13">
        <v>2.8000000000000001E-2</v>
      </c>
      <c r="K34" s="13">
        <v>5.5E-2</v>
      </c>
      <c r="L34" s="13">
        <v>0</v>
      </c>
      <c r="M34" s="13">
        <v>6.0999999999999999E-2</v>
      </c>
      <c r="N34" s="14">
        <v>0.06</v>
      </c>
      <c r="O34" s="33" t="s">
        <v>74</v>
      </c>
    </row>
    <row r="35" spans="1:19" s="34" customFormat="1" ht="21" x14ac:dyDescent="0.25">
      <c r="A35" s="32" t="s">
        <v>75</v>
      </c>
      <c r="B35" s="9">
        <f t="shared" si="2"/>
        <v>0.83450000000000002</v>
      </c>
      <c r="C35" s="13">
        <v>7.4999999999999997E-2</v>
      </c>
      <c r="D35" s="13">
        <v>3.9E-2</v>
      </c>
      <c r="E35" s="13">
        <v>0.08</v>
      </c>
      <c r="F35" s="13">
        <v>7.6999999999999999E-2</v>
      </c>
      <c r="G35" s="13">
        <v>6.5000000000000002E-2</v>
      </c>
      <c r="H35" s="13">
        <v>6.5000000000000002E-2</v>
      </c>
      <c r="I35" s="13">
        <v>3.6499999999999998E-2</v>
      </c>
      <c r="J35" s="13">
        <v>9.35E-2</v>
      </c>
      <c r="K35" s="13">
        <v>9.8500000000000004E-2</v>
      </c>
      <c r="L35" s="13">
        <v>7.0000000000000007E-2</v>
      </c>
      <c r="M35" s="13">
        <v>7.4999999999999997E-2</v>
      </c>
      <c r="N35" s="14">
        <v>0.06</v>
      </c>
      <c r="O35" s="2" t="s">
        <v>76</v>
      </c>
      <c r="P35" s="35"/>
      <c r="Q35" s="35"/>
      <c r="R35" s="35"/>
      <c r="S35" s="35"/>
    </row>
    <row r="36" spans="1:19" s="34" customFormat="1" ht="21" x14ac:dyDescent="0.25">
      <c r="A36" s="32" t="s">
        <v>77</v>
      </c>
      <c r="B36" s="9">
        <f t="shared" si="2"/>
        <v>1.72</v>
      </c>
      <c r="C36" s="13">
        <v>0.14499999999999999</v>
      </c>
      <c r="D36" s="13">
        <v>0.156</v>
      </c>
      <c r="E36" s="13">
        <v>0.14299999999999999</v>
      </c>
      <c r="F36" s="13">
        <v>0.13900000000000001</v>
      </c>
      <c r="G36" s="13">
        <v>0.14000000000000001</v>
      </c>
      <c r="H36" s="13">
        <v>0.13600000000000001</v>
      </c>
      <c r="I36" s="13">
        <v>0.14799999999999999</v>
      </c>
      <c r="J36" s="13">
        <v>0.13700000000000001</v>
      </c>
      <c r="K36" s="13">
        <v>0.15</v>
      </c>
      <c r="L36" s="13">
        <v>0.191</v>
      </c>
      <c r="M36" s="13">
        <v>0.13300000000000001</v>
      </c>
      <c r="N36" s="14">
        <v>0.10199999999999999</v>
      </c>
      <c r="O36" s="2" t="s">
        <v>78</v>
      </c>
      <c r="P36" s="35"/>
      <c r="Q36" s="35"/>
      <c r="R36" s="35"/>
      <c r="S36" s="35"/>
    </row>
    <row r="37" spans="1:19" s="34" customFormat="1" ht="21" x14ac:dyDescent="0.25">
      <c r="A37" s="32" t="s">
        <v>79</v>
      </c>
      <c r="B37" s="9">
        <f t="shared" si="2"/>
        <v>1.024</v>
      </c>
      <c r="C37" s="13">
        <v>7.2999999999999995E-2</v>
      </c>
      <c r="D37" s="13">
        <v>7.2999999999999995E-2</v>
      </c>
      <c r="E37" s="13">
        <v>0.13550000000000001</v>
      </c>
      <c r="F37" s="13">
        <v>7.3999999999999996E-2</v>
      </c>
      <c r="G37" s="13">
        <v>7.5499999999999998E-2</v>
      </c>
      <c r="H37" s="13">
        <v>7.3999999999999996E-2</v>
      </c>
      <c r="I37" s="13">
        <v>0.114</v>
      </c>
      <c r="J37" s="13">
        <v>7.1999999999999995E-2</v>
      </c>
      <c r="K37" s="13">
        <v>7.5499999999999998E-2</v>
      </c>
      <c r="L37" s="13">
        <v>0.1075</v>
      </c>
      <c r="M37" s="13">
        <v>7.2999999999999995E-2</v>
      </c>
      <c r="N37" s="14">
        <v>7.6999999999999999E-2</v>
      </c>
      <c r="O37" s="33" t="s">
        <v>80</v>
      </c>
    </row>
    <row r="38" spans="1:19" s="34" customFormat="1" ht="21" x14ac:dyDescent="0.25">
      <c r="A38" s="32" t="s">
        <v>81</v>
      </c>
      <c r="B38" s="9">
        <f t="shared" si="2"/>
        <v>1.0869999999999997</v>
      </c>
      <c r="C38" s="13">
        <v>0.10100000000000001</v>
      </c>
      <c r="D38" s="13">
        <v>9.4E-2</v>
      </c>
      <c r="E38" s="13">
        <v>4.2999999999999997E-2</v>
      </c>
      <c r="F38" s="13">
        <v>0.13400000000000001</v>
      </c>
      <c r="G38" s="13">
        <v>9.7000000000000003E-2</v>
      </c>
      <c r="H38" s="13">
        <v>0.126</v>
      </c>
      <c r="I38" s="13">
        <v>6.5000000000000002E-2</v>
      </c>
      <c r="J38" s="13">
        <v>7.0999999999999994E-2</v>
      </c>
      <c r="K38" s="13">
        <v>9.7000000000000003E-2</v>
      </c>
      <c r="L38" s="13">
        <v>7.4999999999999997E-2</v>
      </c>
      <c r="M38" s="13">
        <v>7.0999999999999994E-2</v>
      </c>
      <c r="N38" s="14">
        <v>0.113</v>
      </c>
      <c r="O38" s="33" t="s">
        <v>82</v>
      </c>
    </row>
    <row r="39" spans="1:19" s="38" customFormat="1" ht="21" x14ac:dyDescent="0.25">
      <c r="A39" s="36" t="s">
        <v>83</v>
      </c>
      <c r="B39" s="9">
        <f t="shared" si="2"/>
        <v>1.0829999999999997</v>
      </c>
      <c r="C39" s="13">
        <v>0.108</v>
      </c>
      <c r="D39" s="13">
        <v>7.8E-2</v>
      </c>
      <c r="E39" s="13">
        <v>7.9000000000000001E-2</v>
      </c>
      <c r="F39" s="13">
        <v>0.112</v>
      </c>
      <c r="G39" s="13">
        <v>7.1999999999999995E-2</v>
      </c>
      <c r="H39" s="13">
        <v>7.5999999999999998E-2</v>
      </c>
      <c r="I39" s="13">
        <v>0.108</v>
      </c>
      <c r="J39" s="13">
        <v>7.5999999999999998E-2</v>
      </c>
      <c r="K39" s="13">
        <v>7.1999999999999995E-2</v>
      </c>
      <c r="L39" s="13">
        <v>0.108</v>
      </c>
      <c r="M39" s="13">
        <v>7.1999999999999995E-2</v>
      </c>
      <c r="N39" s="14">
        <v>0.122</v>
      </c>
      <c r="O39" s="37" t="s">
        <v>84</v>
      </c>
    </row>
    <row r="40" spans="1:19" s="39" customFormat="1" ht="21" x14ac:dyDescent="0.25">
      <c r="A40" s="36" t="s">
        <v>85</v>
      </c>
      <c r="B40" s="9">
        <f t="shared" si="2"/>
        <v>1.5070000000000001</v>
      </c>
      <c r="C40" s="13">
        <v>0.11899999999999999</v>
      </c>
      <c r="D40" s="13">
        <v>0.1255</v>
      </c>
      <c r="E40" s="13">
        <v>9.6500000000000002E-2</v>
      </c>
      <c r="F40" s="13">
        <v>0.224</v>
      </c>
      <c r="G40" s="13">
        <v>0.13</v>
      </c>
      <c r="H40" s="13">
        <v>8.4000000000000005E-2</v>
      </c>
      <c r="I40" s="13">
        <v>0.122</v>
      </c>
      <c r="J40" s="13">
        <v>0.14000000000000001</v>
      </c>
      <c r="K40" s="13">
        <v>0.14000000000000001</v>
      </c>
      <c r="L40" s="13">
        <v>6.4000000000000001E-2</v>
      </c>
      <c r="M40" s="13">
        <v>0.13900000000000001</v>
      </c>
      <c r="N40" s="14">
        <v>0.123</v>
      </c>
      <c r="O40" s="37" t="s">
        <v>86</v>
      </c>
      <c r="P40" s="38"/>
    </row>
    <row r="41" spans="1:19" s="41" customFormat="1" ht="21" x14ac:dyDescent="0.25">
      <c r="A41" s="40" t="s">
        <v>87</v>
      </c>
      <c r="B41" s="12">
        <f>SUM(C41:N41)</f>
        <v>0.252</v>
      </c>
      <c r="C41" s="15">
        <v>2.5999999999999999E-2</v>
      </c>
      <c r="D41" s="15">
        <v>1.7000000000000001E-2</v>
      </c>
      <c r="E41" s="15">
        <v>1.2E-2</v>
      </c>
      <c r="F41" s="15">
        <v>2.7E-2</v>
      </c>
      <c r="G41" s="15">
        <v>2.1999999999999999E-2</v>
      </c>
      <c r="H41" s="15">
        <v>1.2E-2</v>
      </c>
      <c r="I41" s="15">
        <v>1.4999999999999999E-2</v>
      </c>
      <c r="J41" s="15">
        <v>1.4999999999999999E-2</v>
      </c>
      <c r="K41" s="15">
        <v>1.7000000000000001E-2</v>
      </c>
      <c r="L41" s="15">
        <v>3.1E-2</v>
      </c>
      <c r="M41" s="15">
        <v>2.7E-2</v>
      </c>
      <c r="N41" s="16">
        <v>3.1E-2</v>
      </c>
      <c r="O41" s="4" t="s">
        <v>88</v>
      </c>
    </row>
    <row r="42" spans="1:19" x14ac:dyDescent="0.25">
      <c r="A42" s="42" t="s">
        <v>0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4" t="s">
        <v>1</v>
      </c>
    </row>
    <row r="43" spans="1:19" s="45" customFormat="1" x14ac:dyDescent="0.25"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</row>
    <row r="44" spans="1:19" s="45" customFormat="1" x14ac:dyDescent="0.25"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</row>
    <row r="45" spans="1:19" s="45" customFormat="1" x14ac:dyDescent="0.25"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</row>
  </sheetData>
  <mergeCells count="3">
    <mergeCell ref="A1:O1"/>
    <mergeCell ref="A2:O2"/>
    <mergeCell ref="A3:O3"/>
  </mergeCells>
  <pageMargins left="0.7" right="0.7" top="0.75" bottom="0.75" header="0.3" footer="0.3"/>
  <pageSetup paperSize="9" scale="61" orientation="portrait" horizontalDpi="4294967295" verticalDpi="4294967295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1043FA24-7811-4BF3-845B-E6495FB355A2}">
            <xm:f>VLOOKUP(CONCATENATE($A8,$C8),Male,COLUMN('D:\#final\[All in one 2015(150094).xlsm]Entry2015 (for other Islands) '!#REF!),FALSE)&lt;3</xm:f>
            <x14:dxf>
              <fill>
                <patternFill>
                  <bgColor theme="5" tint="0.79998168889431442"/>
                </patternFill>
              </fill>
            </x14:dxf>
          </x14:cfRule>
          <xm:sqref>J7:K7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12.4</vt:lpstr>
      <vt:lpstr>'12.4'!Print_Area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2019-05-22T04:46:00Z</cp:lastPrinted>
  <dcterms:created xsi:type="dcterms:W3CDTF">2019-05-21T05:57:01Z</dcterms:created>
  <dcterms:modified xsi:type="dcterms:W3CDTF">2019-05-22T04:46:07Z</dcterms:modified>
</cp:coreProperties>
</file>