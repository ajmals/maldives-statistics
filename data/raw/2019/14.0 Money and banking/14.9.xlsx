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9" sheetId="6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'14.9'!$A$1:$M$40</definedName>
  </definedNames>
  <calcPr calcId="162913"/>
</workbook>
</file>

<file path=xl/calcChain.xml><?xml version="1.0" encoding="utf-8"?>
<calcChain xmlns="http://schemas.openxmlformats.org/spreadsheetml/2006/main">
  <c r="H27" i="6" l="1"/>
  <c r="K31" i="6"/>
  <c r="J31" i="6"/>
  <c r="I31" i="6"/>
  <c r="H31" i="6"/>
  <c r="K30" i="6"/>
  <c r="J30" i="6"/>
  <c r="I30" i="6"/>
  <c r="H30" i="6"/>
  <c r="K29" i="6"/>
  <c r="J29" i="6"/>
  <c r="I29" i="6"/>
  <c r="H29" i="6"/>
  <c r="K28" i="6"/>
  <c r="J28" i="6"/>
  <c r="I28" i="6"/>
  <c r="H28" i="6"/>
  <c r="K27" i="6"/>
  <c r="J27" i="6"/>
  <c r="I27" i="6"/>
  <c r="F31" i="6" l="1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</calcChain>
</file>

<file path=xl/sharedStrings.xml><?xml version="1.0" encoding="utf-8"?>
<sst xmlns="http://schemas.openxmlformats.org/spreadsheetml/2006/main" count="90" uniqueCount="62">
  <si>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</si>
  <si>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</si>
  <si>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</si>
  <si>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</si>
  <si>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</si>
  <si>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</si>
  <si>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</si>
  <si>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</si>
  <si>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</si>
  <si>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</si>
  <si>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</si>
  <si>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</si>
  <si>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</si>
  <si>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t>/1</t>
  </si>
  <si>
    <t xml:space="preserve"> </t>
  </si>
  <si>
    <t>Economic groups</t>
  </si>
  <si>
    <t>cawtiawb IdWBitcqia</t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</si>
  <si>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</si>
  <si>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</si>
  <si>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</si>
  <si>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</si>
  <si>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</si>
  <si>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</si>
  <si>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</si>
  <si>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</si>
  <si>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</si>
  <si>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</si>
  <si>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</si>
  <si>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</si>
  <si>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</si>
  <si>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</si>
  <si>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</si>
  <si>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</si>
  <si>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</si>
  <si>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</si>
  <si>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</si>
  <si>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</si>
  <si>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</si>
  <si>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</si>
  <si>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</si>
  <si>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</si>
  <si>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</si>
  <si>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</si>
  <si>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</si>
  <si>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</si>
  <si>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</si>
  <si>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</si>
  <si>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</si>
  <si>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</si>
  <si>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</si>
  <si>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</si>
  <si>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</si>
  <si>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</si>
  <si>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</si>
  <si>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</si>
  <si>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</si>
  <si>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t>Guest house</t>
  </si>
  <si>
    <t>ގެސްޓް ހައުސް</t>
  </si>
  <si>
    <t>ތާވަލު 14.9: ބޭންކުތަކުން އަމިއްލަ ފަރާތްތަކަށް ލޯނު އަދި އެޑްވާސް ގެގޮތުގައި (އިޤްތިސާދީ އެކި ބައިތަކަށް) ދޫކުރެވުނު ފައިސާ 2017- 2018</t>
  </si>
  <si>
    <t>Table  14.9 : OTHER DEPOSITORY CORPORATIONS PRIVATE SECTOR LOANS &amp; ADVANCES BY ECONOMIC GROUP, 2017 - 2018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</si>
  <si>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1/ </t>
    </r>
  </si>
  <si>
    <t>1_/ Excluding accrued interest receivable and accounts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</si>
</sst>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1" tint="4.9989318521683403E-2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4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17" fontId="3" fillId="0" borderId="0" applyFont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0" fontId="3" fillId="0" borderId="0" applyFill="0" applyBorder="0" applyAlignment="0"/>
    <xf numFmtId="0" fontId="29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0" fontId="30" fillId="14" borderId="11" applyNumberFormat="0" applyAlignment="0" applyProtection="0"/>
    <xf numFmtId="17" fontId="3" fillId="0" borderId="0" applyFont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0" fontId="31" fillId="7" borderId="12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29" fillId="0" borderId="0" applyFont="0" applyFill="0" applyBorder="0" applyAlignment="0" applyProtection="0"/>
    <xf numFmtId="14" fontId="32" fillId="0" borderId="0" applyFill="0" applyBorder="0" applyAlignment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38" fontId="23" fillId="19" borderId="0" applyNumberFormat="0" applyBorder="0" applyAlignment="0" applyProtection="0"/>
    <xf numFmtId="0" fontId="35" fillId="0" borderId="13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0" fontId="23" fillId="20" borderId="17" applyNumberFormat="0" applyBorder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0" fontId="39" fillId="11" borderId="11" applyNumberFormat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3" fillId="10" borderId="19" applyNumberFormat="0" applyFon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43" fillId="14" borderId="20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29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29" fillId="0" borderId="0" applyFill="0" applyBorder="0" applyAlignment="0"/>
    <xf numFmtId="0" fontId="44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32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5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84">
    <xf numFmtId="0" fontId="0" fillId="0" borderId="0" xfId="0"/>
    <xf numFmtId="164" fontId="11" fillId="21" borderId="0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5" fontId="17" fillId="21" borderId="0" xfId="0" applyNumberFormat="1" applyFont="1" applyFill="1" applyAlignment="1">
      <alignment vertical="center"/>
    </xf>
    <xf numFmtId="164" fontId="14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6" fillId="21" borderId="0" xfId="1" applyNumberFormat="1" applyFont="1" applyFill="1" applyBorder="1" applyAlignment="1" applyProtection="1">
      <alignment vertical="center"/>
    </xf>
    <xf numFmtId="166" fontId="9" fillId="21" borderId="0" xfId="2" applyNumberFormat="1" applyFont="1" applyFill="1" applyBorder="1" applyAlignment="1">
      <alignment horizontal="right" vertical="center"/>
    </xf>
    <xf numFmtId="0" fontId="16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horizontal="right" vertical="center"/>
    </xf>
    <xf numFmtId="164" fontId="4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>
      <alignment horizontal="right" vertical="center"/>
    </xf>
    <xf numFmtId="0" fontId="14" fillId="21" borderId="0" xfId="0" applyFont="1" applyFill="1"/>
    <xf numFmtId="164" fontId="8" fillId="21" borderId="0" xfId="2" applyNumberFormat="1" applyFont="1" applyFill="1" applyBorder="1" applyAlignment="1">
      <alignment vertical="center"/>
    </xf>
    <xf numFmtId="164" fontId="9" fillId="21" borderId="2" xfId="2" applyNumberFormat="1" applyFont="1" applyFill="1" applyBorder="1" applyAlignment="1" applyProtection="1">
      <alignment horizontal="center" vertical="center"/>
    </xf>
    <xf numFmtId="164" fontId="6" fillId="21" borderId="1" xfId="2" applyNumberFormat="1" applyFont="1" applyFill="1" applyBorder="1" applyAlignment="1" applyProtection="1">
      <alignment horizontal="left" vertical="center"/>
    </xf>
    <xf numFmtId="164" fontId="9" fillId="21" borderId="1" xfId="2" applyNumberFormat="1" applyFont="1" applyFill="1" applyBorder="1" applyAlignment="1" applyProtection="1">
      <alignment horizontal="right" vertical="center"/>
    </xf>
    <xf numFmtId="166" fontId="13" fillId="21" borderId="0" xfId="2" applyNumberFormat="1" applyFont="1" applyFill="1" applyBorder="1" applyAlignment="1">
      <alignment vertical="center"/>
    </xf>
    <xf numFmtId="166" fontId="12" fillId="21" borderId="0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2" fillId="21" borderId="0" xfId="2" applyNumberFormat="1" applyFont="1" applyFill="1" applyAlignment="1">
      <alignment vertical="center"/>
    </xf>
    <xf numFmtId="164" fontId="10" fillId="21" borderId="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vertical="center"/>
    </xf>
    <xf numFmtId="164" fontId="3" fillId="21" borderId="0" xfId="2" applyNumberFormat="1" applyFont="1" applyFill="1" applyBorder="1" applyAlignment="1">
      <alignment vertical="center"/>
    </xf>
    <xf numFmtId="164" fontId="5" fillId="21" borderId="6" xfId="2" applyNumberFormat="1" applyFont="1" applyFill="1" applyBorder="1" applyAlignment="1">
      <alignment horizontal="right"/>
    </xf>
    <xf numFmtId="43" fontId="6" fillId="21" borderId="9" xfId="1" applyFont="1" applyFill="1" applyBorder="1" applyAlignment="1">
      <alignment horizontal="right"/>
    </xf>
    <xf numFmtId="164" fontId="4" fillId="21" borderId="0" xfId="2" applyNumberFormat="1" applyFont="1" applyFill="1" applyAlignment="1">
      <alignment vertical="center"/>
    </xf>
    <xf numFmtId="164" fontId="12" fillId="21" borderId="2" xfId="2" applyNumberFormat="1" applyFont="1" applyFill="1" applyBorder="1" applyAlignment="1" applyProtection="1">
      <alignment horizontal="center" vertical="center"/>
    </xf>
    <xf numFmtId="164" fontId="15" fillId="21" borderId="2" xfId="2" applyNumberFormat="1" applyFont="1" applyFill="1" applyBorder="1" applyAlignment="1">
      <alignment vertical="center"/>
    </xf>
    <xf numFmtId="164" fontId="12" fillId="21" borderId="0" xfId="2" applyNumberFormat="1" applyFont="1" applyFill="1" applyBorder="1" applyAlignment="1" applyProtection="1">
      <alignment horizontal="left" vertical="center"/>
    </xf>
    <xf numFmtId="164" fontId="12" fillId="21" borderId="1" xfId="2" applyNumberFormat="1" applyFont="1" applyFill="1" applyBorder="1" applyAlignment="1" applyProtection="1">
      <alignment horizontal="right" vertical="center"/>
    </xf>
    <xf numFmtId="164" fontId="15" fillId="21" borderId="1" xfId="2" applyNumberFormat="1" applyFont="1" applyFill="1" applyBorder="1" applyAlignment="1">
      <alignment horizontal="right" vertical="center"/>
    </xf>
    <xf numFmtId="164" fontId="19" fillId="21" borderId="0" xfId="2" applyNumberFormat="1" applyFont="1" applyFill="1" applyBorder="1" applyAlignment="1" applyProtection="1">
      <alignment horizontal="left" vertical="center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 applyProtection="1">
      <alignment horizontal="right" vertical="center"/>
      <protection locked="0"/>
    </xf>
    <xf numFmtId="164" fontId="15" fillId="21" borderId="0" xfId="2" applyNumberFormat="1" applyFont="1" applyFill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6" fontId="13" fillId="21" borderId="0" xfId="2" applyNumberFormat="1" applyFont="1" applyFill="1" applyBorder="1" applyAlignment="1" applyProtection="1">
      <alignment horizontal="right" vertical="center"/>
      <protection locked="0"/>
    </xf>
    <xf numFmtId="164" fontId="9" fillId="21" borderId="0" xfId="2" applyNumberFormat="1" applyFont="1" applyFill="1" applyBorder="1" applyAlignment="1" applyProtection="1">
      <alignment horizontal="right"/>
    </xf>
    <xf numFmtId="165" fontId="13" fillId="21" borderId="0" xfId="2" applyNumberFormat="1" applyFont="1" applyFill="1" applyBorder="1" applyAlignment="1" applyProtection="1">
      <alignment horizontal="right" vertical="center"/>
      <protection locked="0"/>
    </xf>
    <xf numFmtId="165" fontId="13" fillId="21" borderId="1" xfId="2" applyNumberFormat="1" applyFont="1" applyFill="1" applyBorder="1" applyAlignment="1" applyProtection="1">
      <alignment horizontal="right" vertical="center"/>
      <protection locked="0"/>
    </xf>
    <xf numFmtId="165" fontId="17" fillId="21" borderId="0" xfId="0" applyNumberFormat="1" applyFont="1" applyFill="1" applyAlignment="1">
      <alignment horizontal="left" vertical="center" indent="2"/>
    </xf>
    <xf numFmtId="166" fontId="24" fillId="21" borderId="0" xfId="2" applyNumberFormat="1" applyFont="1" applyFill="1" applyBorder="1" applyAlignment="1">
      <alignment vertical="center"/>
    </xf>
    <xf numFmtId="164" fontId="48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Border="1" applyAlignment="1">
      <alignment horizontal="right" vertical="center"/>
    </xf>
    <xf numFmtId="43" fontId="4" fillId="21" borderId="0" xfId="1" applyFont="1" applyFill="1" applyBorder="1" applyAlignment="1" applyProtection="1">
      <alignment vertical="center"/>
    </xf>
    <xf numFmtId="166" fontId="13" fillId="21" borderId="23" xfId="2" applyNumberFormat="1" applyFont="1" applyFill="1" applyBorder="1" applyAlignment="1">
      <alignment vertical="center"/>
    </xf>
    <xf numFmtId="164" fontId="5" fillId="21" borderId="7" xfId="2" applyNumberFormat="1" applyFont="1" applyFill="1" applyBorder="1" applyAlignment="1">
      <alignment horizontal="right"/>
    </xf>
    <xf numFmtId="43" fontId="6" fillId="21" borderId="8" xfId="1" applyFont="1" applyFill="1" applyBorder="1" applyAlignment="1">
      <alignment horizontal="right"/>
    </xf>
    <xf numFmtId="164" fontId="5" fillId="21" borderId="26" xfId="2" applyNumberFormat="1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166" fontId="12" fillId="21" borderId="23" xfId="2" applyNumberFormat="1" applyFont="1" applyFill="1" applyBorder="1" applyAlignment="1">
      <alignment vertical="center"/>
    </xf>
    <xf numFmtId="166" fontId="13" fillId="21" borderId="22" xfId="2" applyNumberFormat="1" applyFont="1" applyFill="1" applyBorder="1" applyAlignment="1">
      <alignment vertical="center"/>
    </xf>
    <xf numFmtId="166" fontId="12" fillId="21" borderId="28" xfId="2" applyNumberFormat="1" applyFont="1" applyFill="1" applyBorder="1" applyAlignment="1">
      <alignment vertical="center"/>
    </xf>
    <xf numFmtId="166" fontId="13" fillId="21" borderId="28" xfId="2" applyNumberFormat="1" applyFont="1" applyFill="1" applyBorder="1" applyAlignment="1">
      <alignment horizontal="right" vertical="center"/>
    </xf>
    <xf numFmtId="166" fontId="13" fillId="21" borderId="28" xfId="2" applyNumberFormat="1" applyFont="1" applyFill="1" applyBorder="1" applyAlignment="1">
      <alignment vertical="center"/>
    </xf>
    <xf numFmtId="166" fontId="13" fillId="21" borderId="29" xfId="2" applyNumberFormat="1" applyFont="1" applyFill="1" applyBorder="1" applyAlignment="1">
      <alignment vertical="center"/>
    </xf>
    <xf numFmtId="166" fontId="13" fillId="21" borderId="28" xfId="2" applyNumberFormat="1" applyFont="1" applyFill="1" applyBorder="1" applyAlignment="1" applyProtection="1">
      <alignment horizontal="right" vertical="center"/>
      <protection locked="0"/>
    </xf>
    <xf numFmtId="165" fontId="13" fillId="21" borderId="28" xfId="2" applyNumberFormat="1" applyFont="1" applyFill="1" applyBorder="1" applyAlignment="1" applyProtection="1">
      <alignment horizontal="right" vertical="center"/>
      <protection locked="0"/>
    </xf>
    <xf numFmtId="165" fontId="13" fillId="21" borderId="29" xfId="2" applyNumberFormat="1" applyFont="1" applyFill="1" applyBorder="1" applyAlignment="1" applyProtection="1">
      <alignment horizontal="right" vertical="center"/>
      <protection locked="0"/>
    </xf>
    <xf numFmtId="0" fontId="6" fillId="21" borderId="31" xfId="0" applyFont="1" applyFill="1" applyBorder="1" applyAlignment="1">
      <alignment horizontal="center" vertical="center"/>
    </xf>
    <xf numFmtId="164" fontId="5" fillId="21" borderId="32" xfId="2" applyNumberFormat="1" applyFont="1" applyFill="1" applyBorder="1" applyAlignment="1">
      <alignment horizontal="right"/>
    </xf>
    <xf numFmtId="43" fontId="6" fillId="21" borderId="33" xfId="1" applyFont="1" applyFill="1" applyBorder="1" applyAlignment="1">
      <alignment horizontal="right"/>
    </xf>
    <xf numFmtId="166" fontId="13" fillId="21" borderId="23" xfId="2" applyNumberFormat="1" applyFont="1" applyFill="1" applyBorder="1" applyAlignment="1">
      <alignment horizontal="right" vertical="center"/>
    </xf>
    <xf numFmtId="166" fontId="13" fillId="21" borderId="23" xfId="2" applyNumberFormat="1" applyFont="1" applyFill="1" applyBorder="1" applyAlignment="1" applyProtection="1">
      <alignment horizontal="right" vertical="center"/>
      <protection locked="0"/>
    </xf>
    <xf numFmtId="165" fontId="13" fillId="21" borderId="23" xfId="2" applyNumberFormat="1" applyFont="1" applyFill="1" applyBorder="1" applyAlignment="1" applyProtection="1">
      <alignment horizontal="right" vertical="center"/>
      <protection locked="0"/>
    </xf>
    <xf numFmtId="165" fontId="13" fillId="21" borderId="22" xfId="2" applyNumberFormat="1" applyFont="1" applyFill="1" applyBorder="1" applyAlignment="1" applyProtection="1">
      <alignment horizontal="right" vertical="center"/>
      <protection locked="0"/>
    </xf>
    <xf numFmtId="0" fontId="6" fillId="21" borderId="25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164" fontId="47" fillId="21" borderId="4" xfId="2" applyNumberFormat="1" applyFont="1" applyFill="1" applyBorder="1" applyAlignment="1">
      <alignment horizontal="center" vertical="center" readingOrder="2"/>
    </xf>
    <xf numFmtId="164" fontId="47" fillId="21" borderId="5" xfId="2" applyNumberFormat="1" applyFont="1" applyFill="1" applyBorder="1" applyAlignment="1">
      <alignment horizontal="center" vertical="center" readingOrder="2"/>
    </xf>
    <xf numFmtId="164" fontId="49" fillId="21" borderId="0" xfId="2" applyNumberFormat="1" applyFont="1" applyFill="1" applyBorder="1" applyAlignment="1" applyProtection="1">
      <alignment horizontal="center" vertical="center"/>
    </xf>
    <xf numFmtId="164" fontId="50" fillId="21" borderId="0" xfId="2" applyNumberFormat="1" applyFont="1" applyFill="1" applyBorder="1" applyAlignment="1">
      <alignment horizontal="center" vertical="center"/>
    </xf>
    <xf numFmtId="0" fontId="49" fillId="21" borderId="1" xfId="0" applyFont="1" applyFill="1" applyBorder="1" applyAlignment="1">
      <alignment horizontal="center" vertical="center"/>
    </xf>
    <xf numFmtId="0" fontId="6" fillId="21" borderId="30" xfId="0" applyFont="1" applyFill="1" applyBorder="1" applyAlignment="1">
      <alignment horizontal="center" vertical="center"/>
    </xf>
    <xf numFmtId="0" fontId="18" fillId="21" borderId="3" xfId="0" applyFont="1" applyFill="1" applyBorder="1" applyAlignment="1">
      <alignment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78"/>
  <sheetViews>
    <sheetView tabSelected="1" zoomScale="85" zoomScaleNormal="85" zoomScaleSheetLayoutView="112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X37" sqref="X37"/>
    </sheetView>
  </sheetViews>
  <sheetFormatPr defaultColWidth="11.140625" defaultRowHeight="17.25" x14ac:dyDescent="0.25"/>
  <cols>
    <col min="1" max="1" width="42" style="27" customWidth="1"/>
    <col min="2" max="2" width="2" style="27" customWidth="1"/>
    <col min="3" max="6" width="11.28515625" style="27" bestFit="1" customWidth="1"/>
    <col min="7" max="7" width="1" style="27" customWidth="1"/>
    <col min="8" max="11" width="11.28515625" style="27" bestFit="1" customWidth="1"/>
    <col min="12" max="12" width="37.140625" style="11" customWidth="1"/>
    <col min="13" max="13" width="3.5703125" style="42" customWidth="1"/>
    <col min="14" max="14" width="2.140625" style="27" customWidth="1"/>
    <col min="15" max="15" width="4.140625" style="27" customWidth="1"/>
    <col min="16" max="16384" width="11.140625" style="27"/>
  </cols>
  <sheetData>
    <row r="1" spans="1:15" ht="21" x14ac:dyDescent="0.25">
      <c r="A1" s="77" t="s">
        <v>58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s="31" customFormat="1" ht="15" x14ac:dyDescent="0.25">
      <c r="A2" s="79" t="s">
        <v>59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5" ht="18" x14ac:dyDescent="0.25">
      <c r="A3" s="80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5" s="31" customFormat="1" ht="15" x14ac:dyDescent="0.25">
      <c r="A4" s="81" t="s">
        <v>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5" s="31" customFormat="1" x14ac:dyDescent="0.25">
      <c r="A5" s="16"/>
      <c r="B5" s="32"/>
      <c r="C5" s="76">
        <v>2017</v>
      </c>
      <c r="D5" s="76"/>
      <c r="E5" s="76"/>
      <c r="F5" s="82"/>
      <c r="G5" s="68"/>
      <c r="H5" s="75">
        <v>2018</v>
      </c>
      <c r="I5" s="76"/>
      <c r="J5" s="76"/>
      <c r="K5" s="82"/>
      <c r="L5" s="17" t="s">
        <v>14</v>
      </c>
      <c r="M5" s="33" t="s">
        <v>14</v>
      </c>
    </row>
    <row r="6" spans="1:15" s="31" customFormat="1" x14ac:dyDescent="0.4">
      <c r="A6" s="34" t="s">
        <v>15</v>
      </c>
      <c r="B6" s="14"/>
      <c r="C6" s="29" t="s">
        <v>2</v>
      </c>
      <c r="D6" s="29" t="s">
        <v>3</v>
      </c>
      <c r="E6" s="29" t="s">
        <v>4</v>
      </c>
      <c r="F6" s="55" t="s">
        <v>5</v>
      </c>
      <c r="G6" s="69"/>
      <c r="H6" s="57" t="s">
        <v>2</v>
      </c>
      <c r="I6" s="29" t="s">
        <v>3</v>
      </c>
      <c r="J6" s="29" t="s">
        <v>4</v>
      </c>
      <c r="K6" s="55" t="s">
        <v>5</v>
      </c>
      <c r="L6" s="5"/>
      <c r="M6" s="1" t="s">
        <v>16</v>
      </c>
    </row>
    <row r="7" spans="1:15" s="28" customFormat="1" x14ac:dyDescent="0.2">
      <c r="A7" s="18"/>
      <c r="B7" s="35"/>
      <c r="C7" s="30" t="s">
        <v>6</v>
      </c>
      <c r="D7" s="30" t="s">
        <v>7</v>
      </c>
      <c r="E7" s="30" t="s">
        <v>8</v>
      </c>
      <c r="F7" s="56" t="s">
        <v>9</v>
      </c>
      <c r="G7" s="70"/>
      <c r="H7" s="58" t="s">
        <v>6</v>
      </c>
      <c r="I7" s="30" t="s">
        <v>7</v>
      </c>
      <c r="J7" s="30" t="s">
        <v>8</v>
      </c>
      <c r="K7" s="56" t="s">
        <v>9</v>
      </c>
      <c r="L7" s="19"/>
      <c r="M7" s="36"/>
    </row>
    <row r="8" spans="1:15" s="31" customFormat="1" x14ac:dyDescent="0.25">
      <c r="A8" s="37" t="s">
        <v>60</v>
      </c>
      <c r="B8" s="23"/>
      <c r="C8" s="21">
        <v>19044.901999999998</v>
      </c>
      <c r="D8" s="21">
        <v>19692.453000000001</v>
      </c>
      <c r="E8" s="21">
        <v>20534.814000000002</v>
      </c>
      <c r="F8" s="23">
        <v>20949.241999999995</v>
      </c>
      <c r="G8" s="61"/>
      <c r="H8" s="59">
        <v>21485.070999999996</v>
      </c>
      <c r="I8" s="21">
        <v>21900.107000000004</v>
      </c>
      <c r="J8" s="21">
        <v>22792.47</v>
      </c>
      <c r="K8" s="21">
        <v>22791.837</v>
      </c>
      <c r="L8" s="38"/>
      <c r="M8" s="39" t="s">
        <v>17</v>
      </c>
    </row>
    <row r="9" spans="1:15" x14ac:dyDescent="0.25">
      <c r="A9" s="3" t="s">
        <v>18</v>
      </c>
      <c r="B9" s="40"/>
      <c r="C9" s="52">
        <v>1.5129999999999999</v>
      </c>
      <c r="D9" s="52">
        <v>2.1230000000000002</v>
      </c>
      <c r="E9" s="52">
        <v>2.7650000000000001</v>
      </c>
      <c r="F9" s="40">
        <v>2.6760000000000002</v>
      </c>
      <c r="G9" s="62"/>
      <c r="H9" s="71">
        <v>2.6379999999999999</v>
      </c>
      <c r="I9" s="52">
        <v>2.589</v>
      </c>
      <c r="J9" s="52">
        <v>2.4249999999999998</v>
      </c>
      <c r="K9" s="52">
        <v>2.3340000000000001</v>
      </c>
      <c r="M9" s="2" t="s">
        <v>19</v>
      </c>
    </row>
    <row r="10" spans="1:15" x14ac:dyDescent="0.25">
      <c r="A10" s="3" t="s">
        <v>20</v>
      </c>
      <c r="B10" s="40"/>
      <c r="C10" s="52">
        <v>494.18099999999998</v>
      </c>
      <c r="D10" s="52">
        <v>497.084</v>
      </c>
      <c r="E10" s="52">
        <v>490.08</v>
      </c>
      <c r="F10" s="40">
        <v>501.79399999999998</v>
      </c>
      <c r="G10" s="62"/>
      <c r="H10" s="71">
        <v>481.197</v>
      </c>
      <c r="I10" s="52">
        <v>470.84800000000001</v>
      </c>
      <c r="J10" s="52">
        <v>470.74299999999999</v>
      </c>
      <c r="K10" s="52">
        <v>466.25200000000001</v>
      </c>
      <c r="M10" s="2" t="s">
        <v>21</v>
      </c>
    </row>
    <row r="11" spans="1:15" x14ac:dyDescent="0.25">
      <c r="A11" s="3" t="s">
        <v>22</v>
      </c>
      <c r="B11" s="40"/>
      <c r="C11" s="52">
        <v>162.268</v>
      </c>
      <c r="D11" s="52">
        <v>168.89400000000001</v>
      </c>
      <c r="E11" s="52">
        <v>173.35499999999999</v>
      </c>
      <c r="F11" s="40">
        <v>164.43600000000001</v>
      </c>
      <c r="G11" s="62"/>
      <c r="H11" s="71">
        <v>134.65299999999999</v>
      </c>
      <c r="I11" s="52">
        <v>144.91499999999999</v>
      </c>
      <c r="J11" s="52">
        <v>137.554</v>
      </c>
      <c r="K11" s="52">
        <v>136.41300000000001</v>
      </c>
      <c r="M11" s="2" t="s">
        <v>23</v>
      </c>
    </row>
    <row r="12" spans="1:15" x14ac:dyDescent="0.25">
      <c r="A12" s="3" t="s">
        <v>24</v>
      </c>
      <c r="B12" s="40"/>
      <c r="C12" s="52">
        <v>3578.3440000000001</v>
      </c>
      <c r="D12" s="52">
        <v>3250.7469999999998</v>
      </c>
      <c r="E12" s="52">
        <v>3552.114</v>
      </c>
      <c r="F12" s="40">
        <v>3720.0529999999999</v>
      </c>
      <c r="G12" s="62"/>
      <c r="H12" s="71">
        <v>4073.127</v>
      </c>
      <c r="I12" s="52">
        <v>4486.692</v>
      </c>
      <c r="J12" s="52">
        <v>4739.8029999999999</v>
      </c>
      <c r="K12" s="52">
        <v>4843.51</v>
      </c>
      <c r="M12" s="2" t="s">
        <v>25</v>
      </c>
    </row>
    <row r="13" spans="1:15" x14ac:dyDescent="0.25">
      <c r="A13" s="3" t="s">
        <v>26</v>
      </c>
      <c r="B13" s="40"/>
      <c r="C13" s="52">
        <v>830.529</v>
      </c>
      <c r="D13" s="52">
        <v>1367.999</v>
      </c>
      <c r="E13" s="52">
        <v>1453.921</v>
      </c>
      <c r="F13" s="40">
        <v>1638.184</v>
      </c>
      <c r="G13" s="62"/>
      <c r="H13" s="71">
        <v>1540.0730000000001</v>
      </c>
      <c r="I13" s="52">
        <v>1550.704</v>
      </c>
      <c r="J13" s="52">
        <v>1694.5619999999999</v>
      </c>
      <c r="K13" s="52">
        <v>1697.297</v>
      </c>
      <c r="M13" s="51" t="s">
        <v>27</v>
      </c>
    </row>
    <row r="14" spans="1:15" x14ac:dyDescent="0.25">
      <c r="A14" s="3" t="s">
        <v>28</v>
      </c>
      <c r="B14" s="22"/>
      <c r="C14" s="20">
        <v>7387.9440000000004</v>
      </c>
      <c r="D14" s="20">
        <v>7549.549</v>
      </c>
      <c r="E14" s="20">
        <v>7850.6859999999997</v>
      </c>
      <c r="F14" s="22">
        <v>7938.1559999999999</v>
      </c>
      <c r="G14" s="63"/>
      <c r="H14" s="54">
        <v>8025.9480000000003</v>
      </c>
      <c r="I14" s="20">
        <v>8174.433</v>
      </c>
      <c r="J14" s="20">
        <v>8631.3330000000005</v>
      </c>
      <c r="K14" s="20">
        <v>8454.9130000000005</v>
      </c>
      <c r="M14" s="2" t="s">
        <v>29</v>
      </c>
      <c r="O14" s="4"/>
    </row>
    <row r="15" spans="1:15" x14ac:dyDescent="0.25">
      <c r="A15" s="3" t="s">
        <v>30</v>
      </c>
      <c r="B15" s="22"/>
      <c r="C15" s="20">
        <v>2847.5039999999999</v>
      </c>
      <c r="D15" s="20">
        <v>3100.7379999999998</v>
      </c>
      <c r="E15" s="20">
        <v>3179.5619999999999</v>
      </c>
      <c r="F15" s="22">
        <v>2978.4769999999999</v>
      </c>
      <c r="G15" s="63"/>
      <c r="H15" s="54">
        <v>3231.7310000000002</v>
      </c>
      <c r="I15" s="20">
        <v>3919.02</v>
      </c>
      <c r="J15" s="20">
        <v>4013.9830000000002</v>
      </c>
      <c r="K15" s="20">
        <v>3989.6280000000002</v>
      </c>
      <c r="L15" s="51" t="s">
        <v>31</v>
      </c>
      <c r="O15" s="4"/>
    </row>
    <row r="16" spans="1:15" x14ac:dyDescent="0.25">
      <c r="A16" s="3" t="s">
        <v>32</v>
      </c>
      <c r="B16" s="22"/>
      <c r="C16" s="20">
        <v>1392.0830000000001</v>
      </c>
      <c r="D16" s="20">
        <v>1175.78</v>
      </c>
      <c r="E16" s="20">
        <v>1103.55</v>
      </c>
      <c r="F16" s="22">
        <v>865.86300000000006</v>
      </c>
      <c r="G16" s="63"/>
      <c r="H16" s="54">
        <v>899.73900000000003</v>
      </c>
      <c r="I16" s="20">
        <v>980.63199999999995</v>
      </c>
      <c r="J16" s="20">
        <v>1084.7739999999999</v>
      </c>
      <c r="K16" s="20">
        <v>1129.721</v>
      </c>
      <c r="L16" s="51" t="s">
        <v>33</v>
      </c>
      <c r="O16" s="4"/>
    </row>
    <row r="17" spans="1:13" x14ac:dyDescent="0.25">
      <c r="A17" s="3" t="s">
        <v>34</v>
      </c>
      <c r="B17" s="22"/>
      <c r="C17" s="20">
        <v>55.085999999999999</v>
      </c>
      <c r="D17" s="20">
        <v>77.370999999999995</v>
      </c>
      <c r="E17" s="20">
        <v>73.39</v>
      </c>
      <c r="F17" s="22">
        <v>99.302000000000007</v>
      </c>
      <c r="G17" s="63"/>
      <c r="H17" s="54">
        <v>94.873999999999995</v>
      </c>
      <c r="I17" s="20">
        <v>91.356999999999999</v>
      </c>
      <c r="J17" s="20">
        <v>92.221999999999994</v>
      </c>
      <c r="K17" s="20">
        <v>90.42</v>
      </c>
      <c r="L17" s="51" t="s">
        <v>35</v>
      </c>
    </row>
    <row r="18" spans="1:13" x14ac:dyDescent="0.25">
      <c r="A18" s="3" t="s">
        <v>36</v>
      </c>
      <c r="B18" s="22"/>
      <c r="C18" s="20">
        <v>2898.759</v>
      </c>
      <c r="D18" s="20">
        <v>2976.7539999999999</v>
      </c>
      <c r="E18" s="20">
        <v>3133.3389999999999</v>
      </c>
      <c r="F18" s="22">
        <v>3308.4949999999999</v>
      </c>
      <c r="G18" s="63"/>
      <c r="H18" s="54">
        <v>2977.32</v>
      </c>
      <c r="I18" s="20">
        <v>2914.3710000000001</v>
      </c>
      <c r="J18" s="20">
        <v>3143.893</v>
      </c>
      <c r="K18" s="20">
        <v>2948.51</v>
      </c>
      <c r="L18" s="51" t="s">
        <v>37</v>
      </c>
    </row>
    <row r="19" spans="1:13" x14ac:dyDescent="0.25">
      <c r="A19" s="48" t="s">
        <v>56</v>
      </c>
      <c r="B19" s="22"/>
      <c r="C19" s="20">
        <v>194.512</v>
      </c>
      <c r="D19" s="20">
        <v>218.90600000000001</v>
      </c>
      <c r="E19" s="20">
        <v>360.84500000000003</v>
      </c>
      <c r="F19" s="22">
        <v>686.01900000000001</v>
      </c>
      <c r="G19" s="63"/>
      <c r="H19" s="54">
        <v>822.28399999999999</v>
      </c>
      <c r="I19" s="20">
        <v>269.053</v>
      </c>
      <c r="J19" s="20">
        <v>296.46100000000001</v>
      </c>
      <c r="K19" s="20">
        <v>296.63400000000001</v>
      </c>
      <c r="L19" s="51" t="s">
        <v>57</v>
      </c>
    </row>
    <row r="20" spans="1:13" x14ac:dyDescent="0.25">
      <c r="A20" s="3" t="s">
        <v>38</v>
      </c>
      <c r="B20" s="22"/>
      <c r="C20" s="20">
        <v>3187.81</v>
      </c>
      <c r="D20" s="20">
        <v>3321.393</v>
      </c>
      <c r="E20" s="20">
        <v>3331.261</v>
      </c>
      <c r="F20" s="22">
        <v>3212.8679999999999</v>
      </c>
      <c r="G20" s="63"/>
      <c r="H20" s="54">
        <v>3282.2139999999999</v>
      </c>
      <c r="I20" s="20">
        <v>3290.5740000000001</v>
      </c>
      <c r="J20" s="20">
        <v>3170.1950000000002</v>
      </c>
      <c r="K20" s="20">
        <v>3140.069</v>
      </c>
      <c r="M20" s="2" t="s">
        <v>39</v>
      </c>
    </row>
    <row r="21" spans="1:13" x14ac:dyDescent="0.25">
      <c r="A21" s="3" t="s">
        <v>40</v>
      </c>
      <c r="B21" s="22"/>
      <c r="C21" s="20">
        <v>3118.6379999999999</v>
      </c>
      <c r="D21" s="20">
        <v>3257.8969999999999</v>
      </c>
      <c r="E21" s="20">
        <v>3258.6579999999999</v>
      </c>
      <c r="F21" s="22">
        <v>3110.7280000000001</v>
      </c>
      <c r="G21" s="63"/>
      <c r="H21" s="54">
        <v>3165.57</v>
      </c>
      <c r="I21" s="20">
        <v>3174.69</v>
      </c>
      <c r="J21" s="20">
        <v>3046.4769999999999</v>
      </c>
      <c r="K21" s="20">
        <v>3019.83</v>
      </c>
      <c r="L21" s="51" t="s">
        <v>41</v>
      </c>
    </row>
    <row r="22" spans="1:13" x14ac:dyDescent="0.25">
      <c r="A22" s="3" t="s">
        <v>42</v>
      </c>
      <c r="B22" s="22"/>
      <c r="C22" s="20">
        <v>69.171999999999997</v>
      </c>
      <c r="D22" s="20">
        <v>63.496000000000002</v>
      </c>
      <c r="E22" s="20">
        <v>72.602999999999994</v>
      </c>
      <c r="F22" s="22">
        <v>102.14</v>
      </c>
      <c r="G22" s="63"/>
      <c r="H22" s="54">
        <v>116.64400000000001</v>
      </c>
      <c r="I22" s="20">
        <v>115.884</v>
      </c>
      <c r="J22" s="20">
        <v>123.718</v>
      </c>
      <c r="K22" s="20">
        <v>120.239</v>
      </c>
      <c r="L22" s="11" t="s">
        <v>43</v>
      </c>
    </row>
    <row r="23" spans="1:13" x14ac:dyDescent="0.25">
      <c r="A23" s="3" t="s">
        <v>44</v>
      </c>
      <c r="B23" s="22"/>
      <c r="C23" s="20">
        <v>1057.2370000000001</v>
      </c>
      <c r="D23" s="20">
        <v>1045.549</v>
      </c>
      <c r="E23" s="20">
        <v>1080.095</v>
      </c>
      <c r="F23" s="22">
        <v>983.90899999999999</v>
      </c>
      <c r="G23" s="63"/>
      <c r="H23" s="54">
        <v>1128.2080000000001</v>
      </c>
      <c r="I23" s="20">
        <v>749.97900000000004</v>
      </c>
      <c r="J23" s="20">
        <v>888.56600000000003</v>
      </c>
      <c r="K23" s="20">
        <v>859.84400000000005</v>
      </c>
      <c r="M23" s="51" t="s">
        <v>45</v>
      </c>
    </row>
    <row r="24" spans="1:13" x14ac:dyDescent="0.25">
      <c r="A24" s="3" t="s">
        <v>46</v>
      </c>
      <c r="B24" s="22"/>
      <c r="C24" s="20">
        <v>17.568000000000001</v>
      </c>
      <c r="D24" s="20">
        <v>1.966</v>
      </c>
      <c r="E24" s="20">
        <v>1.7889999999999999</v>
      </c>
      <c r="F24" s="22">
        <v>2.2770000000000001</v>
      </c>
      <c r="G24" s="63"/>
      <c r="H24" s="54">
        <v>3.1379999999999999</v>
      </c>
      <c r="I24" s="20">
        <v>3.1829999999999998</v>
      </c>
      <c r="J24" s="20">
        <v>3.0310000000000001</v>
      </c>
      <c r="K24" s="20">
        <v>2.8370000000000002</v>
      </c>
      <c r="M24" s="51" t="s">
        <v>47</v>
      </c>
    </row>
    <row r="25" spans="1:13" x14ac:dyDescent="0.25">
      <c r="A25" s="43" t="s">
        <v>48</v>
      </c>
      <c r="B25" s="25"/>
      <c r="C25" s="25">
        <v>2327.5079999999998</v>
      </c>
      <c r="D25" s="25">
        <v>2487.1490000000003</v>
      </c>
      <c r="E25" s="25">
        <v>2598.7479999999996</v>
      </c>
      <c r="F25" s="25">
        <v>2784.8890000000001</v>
      </c>
      <c r="G25" s="64"/>
      <c r="H25" s="60">
        <v>2813.875</v>
      </c>
      <c r="I25" s="25">
        <v>3026.1899999999996</v>
      </c>
      <c r="J25" s="25">
        <v>3054.2579999999998</v>
      </c>
      <c r="K25" s="25">
        <v>3188.3679999999999</v>
      </c>
      <c r="L25" s="24"/>
      <c r="M25" s="6" t="s">
        <v>49</v>
      </c>
    </row>
    <row r="26" spans="1:13" x14ac:dyDescent="0.45">
      <c r="A26" s="7" t="s">
        <v>50</v>
      </c>
      <c r="B26" s="44"/>
      <c r="C26" s="44"/>
      <c r="D26" s="44"/>
      <c r="E26" s="44"/>
      <c r="F26" s="44"/>
      <c r="G26" s="65"/>
      <c r="H26" s="72"/>
      <c r="I26" s="44"/>
      <c r="J26" s="44"/>
      <c r="K26" s="44"/>
      <c r="M26" s="45" t="s">
        <v>51</v>
      </c>
    </row>
    <row r="27" spans="1:13" x14ac:dyDescent="0.25">
      <c r="A27" s="3" t="s">
        <v>20</v>
      </c>
      <c r="B27" s="46"/>
      <c r="C27" s="46">
        <f t="shared" ref="C27:K27" si="0">C10/C8*100</f>
        <v>2.5948203881542686</v>
      </c>
      <c r="D27" s="46">
        <f t="shared" si="0"/>
        <v>2.5242360613987498</v>
      </c>
      <c r="E27" s="46">
        <f t="shared" si="0"/>
        <v>2.3865811494567226</v>
      </c>
      <c r="F27" s="46">
        <f t="shared" si="0"/>
        <v>2.3952847554102439</v>
      </c>
      <c r="G27" s="66"/>
      <c r="H27" s="73">
        <f t="shared" si="0"/>
        <v>2.2396807532076579</v>
      </c>
      <c r="I27" s="46">
        <f t="shared" si="0"/>
        <v>2.1499803631096412</v>
      </c>
      <c r="J27" s="46">
        <f t="shared" si="0"/>
        <v>2.0653443878614297</v>
      </c>
      <c r="K27" s="46">
        <f t="shared" si="0"/>
        <v>2.0456973257574633</v>
      </c>
      <c r="M27" s="2" t="s">
        <v>21</v>
      </c>
    </row>
    <row r="28" spans="1:13" x14ac:dyDescent="0.25">
      <c r="A28" s="3" t="s">
        <v>24</v>
      </c>
      <c r="B28" s="46"/>
      <c r="C28" s="46">
        <f t="shared" ref="C28:K28" si="1">+C12/C8*100</f>
        <v>18.788986154930072</v>
      </c>
      <c r="D28" s="46">
        <f t="shared" si="1"/>
        <v>16.507577801505985</v>
      </c>
      <c r="E28" s="46">
        <f t="shared" si="1"/>
        <v>17.298009127328836</v>
      </c>
      <c r="F28" s="46">
        <f t="shared" si="1"/>
        <v>17.757458718554116</v>
      </c>
      <c r="G28" s="66"/>
      <c r="H28" s="73">
        <f t="shared" si="1"/>
        <v>18.95794060908619</v>
      </c>
      <c r="I28" s="46">
        <f t="shared" si="1"/>
        <v>20.487077985509384</v>
      </c>
      <c r="J28" s="46">
        <f t="shared" si="1"/>
        <v>20.795477629234565</v>
      </c>
      <c r="K28" s="46">
        <f t="shared" si="1"/>
        <v>21.251073355780843</v>
      </c>
      <c r="M28" s="2" t="s">
        <v>25</v>
      </c>
    </row>
    <row r="29" spans="1:13" x14ac:dyDescent="0.25">
      <c r="A29" s="3" t="s">
        <v>28</v>
      </c>
      <c r="B29" s="46"/>
      <c r="C29" s="46">
        <f t="shared" ref="C29:K29" si="2">+C14/C8*100</f>
        <v>38.792239519006195</v>
      </c>
      <c r="D29" s="46">
        <f t="shared" si="2"/>
        <v>38.337270628499148</v>
      </c>
      <c r="E29" s="46">
        <f t="shared" si="2"/>
        <v>38.231103529839608</v>
      </c>
      <c r="F29" s="46">
        <f t="shared" si="2"/>
        <v>37.892330424174787</v>
      </c>
      <c r="G29" s="66"/>
      <c r="H29" s="73">
        <f t="shared" si="2"/>
        <v>37.355929612706426</v>
      </c>
      <c r="I29" s="46">
        <f t="shared" si="2"/>
        <v>37.325995713171622</v>
      </c>
      <c r="J29" s="46">
        <f t="shared" si="2"/>
        <v>37.869230495861132</v>
      </c>
      <c r="K29" s="46">
        <f t="shared" si="2"/>
        <v>37.096233182081818</v>
      </c>
      <c r="M29" s="2" t="s">
        <v>29</v>
      </c>
    </row>
    <row r="30" spans="1:13" x14ac:dyDescent="0.25">
      <c r="A30" s="3" t="s">
        <v>38</v>
      </c>
      <c r="B30" s="46"/>
      <c r="C30" s="46">
        <f t="shared" ref="C30:K30" si="3">+C20/C8*100</f>
        <v>16.738390147662617</v>
      </c>
      <c r="D30" s="46">
        <f t="shared" si="3"/>
        <v>16.866324373098667</v>
      </c>
      <c r="E30" s="46">
        <f t="shared" si="3"/>
        <v>16.222503890222718</v>
      </c>
      <c r="F30" s="46">
        <f t="shared" si="3"/>
        <v>15.336440335168216</v>
      </c>
      <c r="G30" s="66"/>
      <c r="H30" s="73">
        <f t="shared" si="3"/>
        <v>15.276719355500386</v>
      </c>
      <c r="I30" s="46">
        <f t="shared" si="3"/>
        <v>15.025378643127175</v>
      </c>
      <c r="J30" s="46">
        <f t="shared" si="3"/>
        <v>13.908957651364684</v>
      </c>
      <c r="K30" s="46">
        <f t="shared" si="3"/>
        <v>13.777165043782999</v>
      </c>
      <c r="M30" s="2" t="s">
        <v>39</v>
      </c>
    </row>
    <row r="31" spans="1:13" x14ac:dyDescent="0.25">
      <c r="A31" s="43" t="s">
        <v>44</v>
      </c>
      <c r="B31" s="47"/>
      <c r="C31" s="47">
        <f t="shared" ref="C31:K31" si="4">+C23/C8*100</f>
        <v>5.5512861132076194</v>
      </c>
      <c r="D31" s="47">
        <f t="shared" si="4"/>
        <v>5.3093893381388284</v>
      </c>
      <c r="E31" s="47">
        <f t="shared" si="4"/>
        <v>5.2598236341463815</v>
      </c>
      <c r="F31" s="47">
        <f t="shared" si="4"/>
        <v>4.6966329378409029</v>
      </c>
      <c r="G31" s="67"/>
      <c r="H31" s="74">
        <f t="shared" si="4"/>
        <v>5.2511253046359503</v>
      </c>
      <c r="I31" s="47">
        <f t="shared" si="4"/>
        <v>3.4245449120408402</v>
      </c>
      <c r="J31" s="47">
        <f t="shared" si="4"/>
        <v>3.8985068314228335</v>
      </c>
      <c r="K31" s="47">
        <f t="shared" si="4"/>
        <v>3.7725963027903369</v>
      </c>
      <c r="L31" s="24"/>
      <c r="M31" s="6" t="s">
        <v>52</v>
      </c>
    </row>
    <row r="32" spans="1:13" x14ac:dyDescent="0.25">
      <c r="A32" s="7" t="s">
        <v>10</v>
      </c>
      <c r="B32" s="44"/>
      <c r="C32" s="44"/>
      <c r="D32" s="44"/>
      <c r="E32" s="44"/>
      <c r="F32" s="44"/>
      <c r="G32" s="65"/>
      <c r="H32" s="72"/>
      <c r="I32" s="44"/>
      <c r="J32" s="44"/>
      <c r="K32" s="44"/>
      <c r="M32" s="8" t="s">
        <v>11</v>
      </c>
    </row>
    <row r="33" spans="1:16" x14ac:dyDescent="0.25">
      <c r="A33" s="3" t="s">
        <v>20</v>
      </c>
      <c r="B33" s="44"/>
      <c r="C33" s="46">
        <v>0.33480058148505076</v>
      </c>
      <c r="D33" s="46">
        <v>-2.2738621842131046</v>
      </c>
      <c r="E33" s="46">
        <v>-4.2444065392348236</v>
      </c>
      <c r="F33" s="46">
        <v>-3.5018961392604742</v>
      </c>
      <c r="G33" s="66"/>
      <c r="H33" s="73">
        <v>-2.6273774183952825</v>
      </c>
      <c r="I33" s="46">
        <v>-5.2779811862783692</v>
      </c>
      <c r="J33" s="46">
        <v>-3.9456823375775385</v>
      </c>
      <c r="K33" s="46">
        <v>-7.082986245351675</v>
      </c>
      <c r="M33" s="2" t="s">
        <v>21</v>
      </c>
    </row>
    <row r="34" spans="1:16" x14ac:dyDescent="0.25">
      <c r="A34" s="3" t="s">
        <v>24</v>
      </c>
      <c r="B34" s="41"/>
      <c r="C34" s="46">
        <v>36.260092387494367</v>
      </c>
      <c r="D34" s="46">
        <v>11.952621517308536</v>
      </c>
      <c r="E34" s="46">
        <v>13.891056696816474</v>
      </c>
      <c r="F34" s="46">
        <v>11.212612765591068</v>
      </c>
      <c r="G34" s="66"/>
      <c r="H34" s="73">
        <v>13.827150212500538</v>
      </c>
      <c r="I34" s="46">
        <v>38.020338094597946</v>
      </c>
      <c r="J34" s="46">
        <v>33.436117196689061</v>
      </c>
      <c r="K34" s="46">
        <v>30.200026720049422</v>
      </c>
      <c r="M34" s="2" t="s">
        <v>25</v>
      </c>
    </row>
    <row r="35" spans="1:16" x14ac:dyDescent="0.25">
      <c r="A35" s="3" t="s">
        <v>28</v>
      </c>
      <c r="B35" s="41"/>
      <c r="C35" s="46">
        <v>8.0165306897641777</v>
      </c>
      <c r="D35" s="46">
        <v>7.2753668823575035</v>
      </c>
      <c r="E35" s="46">
        <v>9.3367363565943542</v>
      </c>
      <c r="F35" s="46">
        <v>9.3861926415874422</v>
      </c>
      <c r="G35" s="66"/>
      <c r="H35" s="73">
        <v>8.6357449379692142</v>
      </c>
      <c r="I35" s="46">
        <v>8.2771037051352359</v>
      </c>
      <c r="J35" s="46">
        <v>9.9436788071768589</v>
      </c>
      <c r="K35" s="46">
        <v>6.5097864037945374</v>
      </c>
      <c r="M35" s="2" t="s">
        <v>29</v>
      </c>
    </row>
    <row r="36" spans="1:16" x14ac:dyDescent="0.25">
      <c r="A36" s="3" t="s">
        <v>38</v>
      </c>
      <c r="B36" s="22"/>
      <c r="C36" s="46">
        <v>12.556798140230541</v>
      </c>
      <c r="D36" s="46">
        <v>4.4346621682170628</v>
      </c>
      <c r="E36" s="46">
        <v>-1.3308480883646223</v>
      </c>
      <c r="F36" s="46">
        <v>1.0932871677047151</v>
      </c>
      <c r="G36" s="66"/>
      <c r="H36" s="73">
        <v>2.9614061063865105</v>
      </c>
      <c r="I36" s="46">
        <v>-0.92789380841110658</v>
      </c>
      <c r="J36" s="46">
        <v>-4.8349859107406967</v>
      </c>
      <c r="K36" s="46">
        <v>-2.2658571718477072</v>
      </c>
      <c r="M36" s="2" t="s">
        <v>39</v>
      </c>
    </row>
    <row r="37" spans="1:16" x14ac:dyDescent="0.25">
      <c r="A37" s="43" t="s">
        <v>44</v>
      </c>
      <c r="B37" s="25"/>
      <c r="C37" s="47">
        <v>18.911322386646233</v>
      </c>
      <c r="D37" s="47">
        <v>5.4278425361997229</v>
      </c>
      <c r="E37" s="47">
        <v>9.1400821105835472</v>
      </c>
      <c r="F37" s="47">
        <v>-8.0268055615277163</v>
      </c>
      <c r="G37" s="67"/>
      <c r="H37" s="74">
        <v>6.7128751642252293</v>
      </c>
      <c r="I37" s="47">
        <v>-28.269358968350588</v>
      </c>
      <c r="J37" s="47">
        <v>-17.732606854026734</v>
      </c>
      <c r="K37" s="47">
        <v>-12.609397820326873</v>
      </c>
      <c r="L37" s="24"/>
      <c r="M37" s="6" t="s">
        <v>45</v>
      </c>
    </row>
    <row r="38" spans="1:16" x14ac:dyDescent="0.2">
      <c r="A38" s="9" t="s">
        <v>55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6"/>
      <c r="M38" s="12" t="s">
        <v>54</v>
      </c>
    </row>
    <row r="39" spans="1:16" s="50" customFormat="1" ht="13.5" customHeight="1" x14ac:dyDescent="0.4">
      <c r="A39" s="83" t="s">
        <v>61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11" t="s">
        <v>53</v>
      </c>
      <c r="M39" s="15" t="s">
        <v>13</v>
      </c>
      <c r="N39" s="27"/>
    </row>
    <row r="40" spans="1:16" ht="14.25" customHeight="1" x14ac:dyDescent="0.25">
      <c r="A40" s="83" t="s">
        <v>12</v>
      </c>
      <c r="B40" s="11"/>
      <c r="F40" s="11"/>
      <c r="G40" s="11"/>
      <c r="K40" s="11"/>
      <c r="L40" s="2"/>
    </row>
    <row r="42" spans="1:16" x14ac:dyDescent="0.25">
      <c r="A42" s="10"/>
    </row>
    <row r="43" spans="1:16" ht="12.75" x14ac:dyDescent="0.25">
      <c r="L43" s="13"/>
      <c r="M43" s="13"/>
      <c r="N43" s="13"/>
    </row>
    <row r="44" spans="1:16" ht="12.75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7.25" customHeight="1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7.25" customHeight="1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7.25" customHeight="1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7.25" customHeight="1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2:16" ht="17.25" customHeight="1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2:16" ht="17.25" customHeight="1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2:16" ht="17.25" customHeight="1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2:16" ht="17.25" customHeight="1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2:16" ht="17.25" customHeight="1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2:16" ht="17.25" customHeight="1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2:16" ht="17.25" customHeight="1" x14ac:dyDescent="0.2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2:16" ht="17.25" customHeight="1" x14ac:dyDescent="0.25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2:16" ht="17.25" customHeight="1" x14ac:dyDescent="0.25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2:16" ht="17.25" customHeight="1" x14ac:dyDescent="0.25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2:16" ht="17.25" customHeight="1" x14ac:dyDescent="0.2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2:16" ht="17.25" customHeight="1" x14ac:dyDescent="0.25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2:16" ht="17.25" customHeight="1" x14ac:dyDescent="0.25">
      <c r="B61" s="13"/>
      <c r="C61" s="53"/>
      <c r="D61" s="53"/>
      <c r="E61" s="53"/>
      <c r="F61" s="53"/>
      <c r="G61" s="53"/>
      <c r="H61" s="53"/>
      <c r="I61" s="53"/>
      <c r="J61" s="53"/>
      <c r="K61" s="53"/>
      <c r="L61" s="13"/>
      <c r="M61" s="13"/>
      <c r="N61" s="13"/>
      <c r="O61" s="13"/>
      <c r="P61" s="13"/>
    </row>
    <row r="62" spans="2:16" ht="17.25" customHeight="1" x14ac:dyDescent="0.25">
      <c r="B62" s="13"/>
      <c r="C62" s="53"/>
      <c r="D62" s="53"/>
      <c r="E62" s="53"/>
      <c r="F62" s="53"/>
      <c r="G62" s="53"/>
      <c r="H62" s="53"/>
      <c r="I62" s="53"/>
      <c r="J62" s="53"/>
      <c r="K62" s="53"/>
      <c r="L62" s="13"/>
      <c r="M62" s="13"/>
      <c r="N62" s="13"/>
      <c r="O62" s="13"/>
      <c r="P62" s="13"/>
    </row>
    <row r="63" spans="2:16" ht="17.25" customHeight="1" x14ac:dyDescent="0.25">
      <c r="B63" s="13"/>
      <c r="C63" s="53"/>
      <c r="D63" s="53"/>
      <c r="E63" s="53"/>
      <c r="F63" s="53"/>
      <c r="G63" s="53"/>
      <c r="H63" s="53"/>
      <c r="I63" s="53"/>
      <c r="J63" s="53"/>
      <c r="K63" s="53"/>
      <c r="L63" s="13"/>
      <c r="M63" s="13"/>
      <c r="N63" s="13"/>
      <c r="O63" s="13"/>
      <c r="P63" s="13"/>
    </row>
    <row r="64" spans="2:16" ht="17.25" customHeight="1" x14ac:dyDescent="0.25">
      <c r="B64" s="13"/>
      <c r="C64" s="53"/>
      <c r="D64" s="53"/>
      <c r="E64" s="53"/>
      <c r="F64" s="53"/>
      <c r="G64" s="53"/>
      <c r="H64" s="53"/>
      <c r="I64" s="53"/>
      <c r="J64" s="53"/>
      <c r="K64" s="53"/>
      <c r="L64" s="13"/>
      <c r="M64" s="13"/>
      <c r="N64" s="13"/>
      <c r="O64" s="13"/>
      <c r="P64" s="13"/>
    </row>
    <row r="65" spans="2:16" ht="17.25" customHeight="1" x14ac:dyDescent="0.25">
      <c r="B65" s="13"/>
      <c r="C65" s="53"/>
      <c r="D65" s="53"/>
      <c r="E65" s="53"/>
      <c r="F65" s="53"/>
      <c r="G65" s="53"/>
      <c r="H65" s="53"/>
      <c r="I65" s="53"/>
      <c r="J65" s="53"/>
      <c r="K65" s="53"/>
      <c r="L65" s="13"/>
      <c r="M65" s="13"/>
      <c r="N65" s="13"/>
      <c r="O65" s="13"/>
      <c r="P65" s="13"/>
    </row>
    <row r="66" spans="2:16" ht="17.25" customHeight="1" x14ac:dyDescent="0.25">
      <c r="B66" s="13"/>
      <c r="C66" s="53"/>
      <c r="D66" s="53"/>
      <c r="E66" s="53"/>
      <c r="F66" s="53"/>
      <c r="G66" s="53"/>
      <c r="H66" s="53"/>
      <c r="I66" s="53"/>
      <c r="J66" s="53"/>
      <c r="K66" s="53"/>
      <c r="L66" s="13"/>
      <c r="M66" s="13"/>
      <c r="N66" s="13"/>
      <c r="O66" s="13"/>
      <c r="P66" s="13"/>
    </row>
    <row r="67" spans="2:16" ht="17.25" customHeight="1" x14ac:dyDescent="0.25">
      <c r="B67" s="13"/>
      <c r="C67" s="53"/>
      <c r="D67" s="53"/>
      <c r="E67" s="53"/>
      <c r="F67" s="53"/>
      <c r="G67" s="53"/>
      <c r="H67" s="53"/>
      <c r="I67" s="53"/>
      <c r="J67" s="53"/>
      <c r="K67" s="53"/>
      <c r="L67" s="13"/>
      <c r="M67" s="13"/>
      <c r="N67" s="13"/>
      <c r="O67" s="13"/>
      <c r="P67" s="13"/>
    </row>
    <row r="68" spans="2:16" ht="17.25" customHeight="1" x14ac:dyDescent="0.25">
      <c r="B68" s="13"/>
      <c r="C68" s="53"/>
      <c r="D68" s="53"/>
      <c r="E68" s="53"/>
      <c r="F68" s="53"/>
      <c r="G68" s="53"/>
      <c r="H68" s="53"/>
      <c r="I68" s="53"/>
      <c r="J68" s="53"/>
      <c r="K68" s="53"/>
      <c r="O68" s="13"/>
      <c r="P68" s="13"/>
    </row>
    <row r="69" spans="2:16" x14ac:dyDescent="0.25">
      <c r="B69" s="13"/>
      <c r="C69" s="53"/>
      <c r="D69" s="53"/>
      <c r="E69" s="53"/>
      <c r="F69" s="53"/>
      <c r="G69" s="53"/>
      <c r="H69" s="53"/>
      <c r="I69" s="53"/>
      <c r="J69" s="53"/>
      <c r="K69" s="53"/>
    </row>
    <row r="70" spans="2:16" x14ac:dyDescent="0.25">
      <c r="B70" s="13"/>
      <c r="C70" s="53"/>
      <c r="D70" s="53"/>
      <c r="E70" s="53"/>
      <c r="F70" s="53"/>
      <c r="G70" s="53"/>
      <c r="H70" s="53"/>
      <c r="I70" s="53"/>
      <c r="J70" s="53"/>
      <c r="K70" s="53"/>
    </row>
    <row r="71" spans="2:16" x14ac:dyDescent="0.25">
      <c r="B71" s="13"/>
      <c r="C71" s="53"/>
      <c r="D71" s="53"/>
      <c r="E71" s="53"/>
      <c r="F71" s="53"/>
      <c r="G71" s="53"/>
      <c r="H71" s="53"/>
      <c r="I71" s="53"/>
      <c r="J71" s="53"/>
      <c r="K71" s="53"/>
    </row>
    <row r="72" spans="2:16" x14ac:dyDescent="0.25">
      <c r="B72" s="13"/>
      <c r="C72" s="53"/>
      <c r="D72" s="53"/>
      <c r="E72" s="53"/>
      <c r="F72" s="53"/>
      <c r="G72" s="53"/>
      <c r="H72" s="53"/>
      <c r="I72" s="53"/>
      <c r="J72" s="53"/>
      <c r="K72" s="53"/>
    </row>
    <row r="73" spans="2:16" x14ac:dyDescent="0.25">
      <c r="C73" s="53"/>
      <c r="D73" s="53"/>
      <c r="E73" s="53"/>
      <c r="F73" s="53"/>
      <c r="G73" s="53"/>
      <c r="H73" s="53"/>
      <c r="I73" s="53"/>
      <c r="J73" s="53"/>
      <c r="K73" s="53"/>
    </row>
    <row r="74" spans="2:16" x14ac:dyDescent="0.25">
      <c r="C74" s="53"/>
      <c r="D74" s="53"/>
      <c r="E74" s="53"/>
      <c r="F74" s="53"/>
      <c r="G74" s="53"/>
      <c r="H74" s="53"/>
      <c r="I74" s="53"/>
      <c r="J74" s="53"/>
      <c r="K74" s="53"/>
    </row>
    <row r="75" spans="2:16" x14ac:dyDescent="0.25">
      <c r="C75" s="53"/>
      <c r="D75" s="53"/>
      <c r="E75" s="53"/>
      <c r="F75" s="53"/>
      <c r="G75" s="53"/>
      <c r="H75" s="53"/>
      <c r="I75" s="53"/>
      <c r="J75" s="53"/>
      <c r="K75" s="53"/>
    </row>
    <row r="76" spans="2:16" x14ac:dyDescent="0.25">
      <c r="C76" s="53"/>
      <c r="D76" s="53"/>
      <c r="E76" s="53"/>
      <c r="F76" s="53"/>
      <c r="G76" s="53"/>
      <c r="H76" s="53"/>
      <c r="I76" s="53"/>
      <c r="J76" s="53"/>
      <c r="K76" s="53"/>
    </row>
    <row r="77" spans="2:16" x14ac:dyDescent="0.25">
      <c r="C77" s="53"/>
      <c r="D77" s="53"/>
      <c r="E77" s="53"/>
      <c r="F77" s="53"/>
      <c r="G77" s="53"/>
      <c r="H77" s="53"/>
      <c r="I77" s="53"/>
      <c r="J77" s="53"/>
      <c r="K77" s="53"/>
    </row>
    <row r="78" spans="2:16" x14ac:dyDescent="0.25">
      <c r="C78" s="53"/>
      <c r="D78" s="53"/>
      <c r="E78" s="53"/>
      <c r="F78" s="53"/>
      <c r="G78" s="53"/>
      <c r="H78" s="53"/>
      <c r="I78" s="53"/>
      <c r="J78" s="53"/>
      <c r="K78" s="53"/>
    </row>
  </sheetData>
  <mergeCells count="6">
    <mergeCell ref="A1:M1"/>
    <mergeCell ref="A2:M2"/>
    <mergeCell ref="A3:M3"/>
    <mergeCell ref="A4:M4"/>
    <mergeCell ref="C5:F5"/>
    <mergeCell ref="H5:K5"/>
  </mergeCells>
  <printOptions horizontalCentered="1"/>
  <pageMargins left="0.53" right="0.21" top="0.46" bottom="0.43" header="0.3" footer="0.3"/>
  <pageSetup paperSize="9" scale="79" fitToHeight="0" orientation="landscape" horizontalDpi="4294967295" verticalDpi="4294967295" r:id="rId1"/>
  <colBreaks count="1" manualBreakCount="1">
    <brk id="15" max="41" man="1"/>
  </colBreaks>
  <ignoredErrors>
    <ignoredError sqref="C27:F32" unlockedFormula="1"/>
    <ignoredError sqref="H27:K32" evalError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2019-04-29T08:43:44Z</cp:lastPrinted>
  <dcterms:created xsi:type="dcterms:W3CDTF">2013-04-01T04:26:10Z</dcterms:created>
  <dcterms:modified xsi:type="dcterms:W3CDTF">2019-04-29T08:43:54Z</dcterms:modified>
</cp:coreProperties>
</file>