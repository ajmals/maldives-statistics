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4. MONETARY AND BANKING\"/>
    </mc:Choice>
  </mc:AlternateContent>
  <bookViews>
    <workbookView xWindow="0" yWindow="0" windowWidth="28800" windowHeight="12330" tabRatio="800"/>
  </bookViews>
  <sheets>
    <sheet name="14.7" sheetId="5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'14.7'!$A$1:$Z$55</definedName>
  </definedNames>
  <calcPr calcId="162913"/>
</workbook>
</file>

<file path=xl/calcChain.xml><?xml version="1.0" encoding="utf-8"?>
<calcChain xmlns="http://schemas.openxmlformats.org/spreadsheetml/2006/main">
  <c r="S43" i="5" l="1"/>
  <c r="R45" i="5"/>
  <c r="R43" i="5"/>
  <c r="T43" i="5"/>
  <c r="U43" i="5"/>
  <c r="S44" i="5"/>
  <c r="T44" i="5"/>
  <c r="U44" i="5"/>
  <c r="S45" i="5"/>
  <c r="T45" i="5"/>
  <c r="U45" i="5"/>
  <c r="S46" i="5"/>
  <c r="T46" i="5"/>
  <c r="U46" i="5"/>
  <c r="R46" i="5"/>
  <c r="R44" i="5"/>
  <c r="H43" i="5" l="1"/>
  <c r="I43" i="5"/>
  <c r="J43" i="5"/>
  <c r="H44" i="5"/>
  <c r="I44" i="5"/>
  <c r="J44" i="5"/>
  <c r="K44" i="5"/>
  <c r="H45" i="5"/>
  <c r="I45" i="5"/>
  <c r="J45" i="5"/>
  <c r="K45" i="5"/>
  <c r="H46" i="5"/>
  <c r="I46" i="5"/>
  <c r="J46" i="5"/>
  <c r="K46" i="5"/>
  <c r="P46" i="5" l="1"/>
  <c r="O46" i="5"/>
  <c r="N46" i="5"/>
  <c r="M46" i="5"/>
  <c r="P45" i="5"/>
  <c r="O45" i="5"/>
  <c r="N45" i="5"/>
  <c r="M45" i="5"/>
  <c r="P44" i="5"/>
  <c r="O44" i="5"/>
  <c r="N44" i="5"/>
  <c r="M44" i="5"/>
  <c r="P43" i="5"/>
  <c r="O43" i="5"/>
  <c r="N43" i="5"/>
  <c r="M43" i="5"/>
  <c r="K43" i="5" l="1"/>
</calcChain>
</file>

<file path=xl/comments1.xml><?xml version="1.0" encoding="utf-8"?>
<comments xmlns="http://schemas.openxmlformats.org/spreadsheetml/2006/main">
  <authors>
    <author>Ibrahim Sameeu</author>
  </authors>
  <commentList>
    <comment ref="A16" authorId="0" shapeId="0">
      <text>
        <r>
          <rPr>
            <sz val="9"/>
            <color indexed="81"/>
            <rFont val="Tahoma"/>
            <family val="2"/>
          </rPr>
          <t xml:space="preserve">
New line added.</t>
        </r>
      </text>
    </comment>
  </commentList>
</comments>
</file>

<file path=xl/sharedStrings.xml><?xml version="1.0" encoding="utf-8"?>
<sst xmlns="http://schemas.openxmlformats.org/spreadsheetml/2006/main" count="131" uniqueCount="91">
  <si>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</si>
  <si>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</si>
  <si>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</si>
  <si>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</si>
  <si>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</si>
  <si>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</si>
  <si>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</si>
  <si>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</si>
  <si>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</si>
  <si>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</si>
  <si>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</si>
  <si>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ސަރުކާރަށް ލިބެންވާ ( ޑިޕޮސިޓް އަދި އެހެނިހެން ފައިސާ)</t>
  </si>
  <si>
    <t>ޓްރާންސްފަރަބަލް ޑިޕޮސިޓް</t>
  </si>
  <si>
    <t>Wsiawf ihevid</t>
  </si>
  <si>
    <t>Wsiawf urEb</t>
  </si>
  <si>
    <t>Loans</t>
  </si>
  <si>
    <t>ލޯނު</t>
  </si>
  <si>
    <t>ރަޢުސުލްމާލުގެ ހިސާބު</t>
  </si>
  <si>
    <t>Annual percentage change</t>
  </si>
  <si>
    <t>އަހަރުން އަހަރަށް އިތުރުވި މިންވަރު އިންސައްތަ</t>
  </si>
  <si>
    <t>މީގެތެރެއިން އަމިއްލަ ފަރާތްތަކަށް ދޫކުރެވުނު ދަރަނި</t>
  </si>
  <si>
    <t>Memorandum items:</t>
  </si>
  <si>
    <t>:utWmUluAwm urutia</t>
  </si>
  <si>
    <t>Source: Maldives Monetary Authority.</t>
  </si>
  <si>
    <t>Dec</t>
  </si>
  <si>
    <t>Shares and other equity (Capital Accounts)</t>
  </si>
  <si>
    <t>Shares and other equity (Capital accounts)</t>
  </si>
  <si>
    <t>Total Assets</t>
  </si>
  <si>
    <t>cTesea wlcmuj</t>
  </si>
  <si>
    <t>Foreign assets</t>
  </si>
  <si>
    <t>Other assets</t>
  </si>
  <si>
    <t>Non-financial assets</t>
  </si>
  <si>
    <t>Total Liabilities</t>
  </si>
  <si>
    <t>ITilibiawl wlcmuj</t>
  </si>
  <si>
    <t>ސަރުކާރު ހިއްސާވާ ކުންފުނިތަކަށް (މާލީދާއިރާގެ ކުންފުނިތައް ނުހިމަނައި)</t>
  </si>
  <si>
    <t>އެހެނިހެން މާލީދާއިރާގެ ކުންފުނިތަކަށް</t>
  </si>
  <si>
    <t>Securities other than shares</t>
  </si>
  <si>
    <t>Foreign liabilities</t>
  </si>
  <si>
    <t>ITilibiawl egurEb</t>
  </si>
  <si>
    <t>Other liabilities</t>
  </si>
  <si>
    <t>ITilibiawl  cnehinehea</t>
  </si>
  <si>
    <t>/1</t>
  </si>
  <si>
    <t>ބޭރުގެ އެސެޓް</t>
  </si>
  <si>
    <t>Cash</t>
  </si>
  <si>
    <t>Wsiawf udugwn</t>
  </si>
  <si>
    <t>Deposits with central bank</t>
  </si>
  <si>
    <t>ސެންޓްރަލް ބޭންކްގައި ހުރި ޑިޕޮސިޓް</t>
  </si>
  <si>
    <t>ސެކިޔުރިޓީސް (ހިއްސާ ނުހިމަނައި)</t>
  </si>
  <si>
    <t xml:space="preserve">   Central bank bills</t>
  </si>
  <si>
    <t>ސެންޓްރަލް ބޭންކް ބިލްސް</t>
  </si>
  <si>
    <t xml:space="preserve">   Treasury bills</t>
  </si>
  <si>
    <t>ޓްރެޜަރީ ބިލްސް</t>
  </si>
  <si>
    <t xml:space="preserve">   Central government bonds</t>
  </si>
  <si>
    <t>ސަރުކާރުގެ ބޮންޑް</t>
  </si>
  <si>
    <t>Loans and advances</t>
  </si>
  <si>
    <t>ދަރނީގެ ގޮތުގައި ދޫކުރެވިފައިވާ</t>
  </si>
  <si>
    <t xml:space="preserve">   Central bank</t>
  </si>
  <si>
    <t>ސެންޓްރަލް ބޭންކަށް</t>
  </si>
  <si>
    <t xml:space="preserve">   Central government</t>
  </si>
  <si>
    <t>ސަރުކާރަށް</t>
  </si>
  <si>
    <t xml:space="preserve">   Other financial corporations</t>
  </si>
  <si>
    <t xml:space="preserve">   Public non-financial corporations</t>
  </si>
  <si>
    <r>
      <t xml:space="preserve"> </t>
    </r>
    <r>
      <rPr>
        <vertAlign val="superscript"/>
        <sz val="9"/>
        <rFont val="A_Faseyha"/>
      </rPr>
      <t>2/</t>
    </r>
    <r>
      <rPr>
        <sz val="9"/>
        <rFont val="A_Faseyha"/>
      </rPr>
      <t xml:space="preserve"> cSwkwtctWrwf wlcaimwa</t>
    </r>
  </si>
  <si>
    <t>cTesea cnehinehea</t>
  </si>
  <si>
    <t>މާލީ އެސެޓްސްގޮތުގައި ނުހިމެނޭ އެސެޓް</t>
  </si>
  <si>
    <t>Deposits</t>
  </si>
  <si>
    <t>ޑިޕޮސިޓް</t>
  </si>
  <si>
    <t xml:space="preserve">  Transferable deposits</t>
  </si>
  <si>
    <t xml:space="preserve">      Local currency</t>
  </si>
  <si>
    <t xml:space="preserve">      Foreign currency</t>
  </si>
  <si>
    <t xml:space="preserve">  Other depostis</t>
  </si>
  <si>
    <t>އެހެނިހެން ޑިޕޮސިޓް</t>
  </si>
  <si>
    <t>Central government liabilities</t>
  </si>
  <si>
    <t>Credit from central bank</t>
  </si>
  <si>
    <t>ސެންޓްރަލް ބޭންކުން ނަގާފައިވާ ދަރަނި</t>
  </si>
  <si>
    <t xml:space="preserve">       Local currency</t>
  </si>
  <si>
    <t>އަމިއްލަ ފަރާތްތަކުން އިންޓަރެސްޓްގެ ގޮތުގައާއި އެހެނިހެން ގޮތްގޮތުން ލިބެންވާ ފައިސާ މިޖުމްލައިގައި ހިމެނިފައިވާނެއެވެ.</t>
  </si>
  <si>
    <t xml:space="preserve">New format based on IMF Monetary and Financial Statistics Manual 2000 (MFSM 2000). </t>
  </si>
  <si>
    <t>ނޯޓް:</t>
  </si>
  <si>
    <t>NOTE:</t>
  </si>
  <si>
    <r>
      <t xml:space="preserve"> Dec</t>
    </r>
    <r>
      <rPr>
        <b/>
        <vertAlign val="subscript"/>
        <sz val="11"/>
        <rFont val="Arial"/>
        <family val="2"/>
      </rPr>
      <t/>
    </r>
  </si>
  <si>
    <t>of which: Private sector</t>
  </si>
  <si>
    <t xml:space="preserve">       Foreign Currency</t>
  </si>
  <si>
    <t>Public nonfinancial corporations domestic</t>
  </si>
  <si>
    <t>ޕަބްލިކް ނޮންފައިނޭންޝަލް ކޯޕޮރޭޝަންސް ޑޮމެސްޓިކް</t>
  </si>
  <si>
    <t>1_/ Data includes accrued interest receivables and accounts receivables  from private sector.</t>
  </si>
  <si>
    <r>
      <t xml:space="preserve">   Private sector </t>
    </r>
    <r>
      <rPr>
        <vertAlign val="superscript"/>
        <sz val="10"/>
        <rFont val="Calibri"/>
        <family val="2"/>
        <scheme val="minor"/>
      </rPr>
      <t>1/</t>
    </r>
  </si>
  <si>
    <r>
      <t>2017</t>
    </r>
    <r>
      <rPr>
        <b/>
        <vertAlign val="superscript"/>
        <sz val="10"/>
        <rFont val="Calibri"/>
        <family val="2"/>
        <scheme val="minor"/>
      </rPr>
      <t>2_/</t>
    </r>
  </si>
  <si>
    <t>2_/: Revised</t>
  </si>
  <si>
    <t xml:space="preserve">ތާވަލު 14.7 : ވިޔަފާރި ބޭންކުތަކުގެ އެސެޓްތަކާއި ލައިބިލިޓީތައް 2015 - 2018            </t>
  </si>
  <si>
    <t>Table  14.7 :ASSETS AND LIABILITIES OF OTHER DEPOSITORY CORPORATIONS,  2015 - 2018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</si>
</sst>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9"/>
      <name val="A_Randhoo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Faruma"/>
    </font>
    <font>
      <sz val="9"/>
      <name val="Faruma"/>
    </font>
    <font>
      <b/>
      <sz val="9"/>
      <name val="A_Faseyha"/>
    </font>
    <font>
      <b/>
      <vertAlign val="subscript"/>
      <sz val="1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9"/>
      <name val="A_Faseyha"/>
    </font>
    <font>
      <b/>
      <i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9"/>
      <name val="Calibri"/>
      <family val="2"/>
      <scheme val="minor"/>
    </font>
    <font>
      <vertAlign val="superscript"/>
      <sz val="9"/>
      <name val="A_Randhoo"/>
    </font>
    <font>
      <b/>
      <sz val="12"/>
      <name val="A_Randhoo"/>
    </font>
    <font>
      <vertAlign val="superscript"/>
      <sz val="9"/>
      <name val="Faruma"/>
    </font>
    <font>
      <b/>
      <vertAlign val="superscript"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vertAlign val="superscript"/>
      <sz val="9"/>
      <name val="A_Faseyha"/>
    </font>
    <font>
      <b/>
      <i/>
      <sz val="9"/>
      <name val="A_Faseyha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Arial"/>
      <family val="2"/>
    </font>
    <font>
      <sz val="9"/>
      <color theme="1"/>
      <name val="Faruma"/>
    </font>
    <font>
      <sz val="9"/>
      <color theme="1"/>
      <name val="A_Randhoo"/>
    </font>
    <font>
      <b/>
      <sz val="12"/>
      <name val="Calibri"/>
      <family val="2"/>
      <scheme val="minor"/>
    </font>
    <font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1" tint="4.9989318521683403E-2"/>
      </bottom>
      <diagonal/>
    </border>
    <border>
      <left/>
      <right/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4.9989318521683403E-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1" tint="4.9989318521683403E-2"/>
      </top>
      <bottom style="hair">
        <color theme="1"/>
      </bottom>
      <diagonal/>
    </border>
    <border>
      <left/>
      <right style="hair">
        <color theme="1" tint="4.9989318521683403E-2"/>
      </right>
      <top/>
      <bottom style="thin">
        <color theme="0"/>
      </bottom>
      <diagonal/>
    </border>
    <border>
      <left/>
      <right style="hair">
        <color theme="1" tint="4.9989318521683403E-2"/>
      </right>
      <top style="thin">
        <color theme="0"/>
      </top>
      <bottom/>
      <diagonal/>
    </border>
    <border>
      <left/>
      <right style="hair">
        <color theme="1" tint="4.9989318521683403E-2"/>
      </right>
      <top style="thin">
        <color indexed="64"/>
      </top>
      <bottom/>
      <diagonal/>
    </border>
    <border>
      <left/>
      <right style="hair">
        <color theme="1" tint="4.9989318521683403E-2"/>
      </right>
      <top/>
      <bottom/>
      <diagonal/>
    </border>
    <border>
      <left/>
      <right style="hair">
        <color theme="1" tint="4.9989318521683403E-2"/>
      </right>
      <top style="thin">
        <color theme="0"/>
      </top>
      <bottom style="thin">
        <color theme="0"/>
      </bottom>
      <diagonal/>
    </border>
    <border>
      <left/>
      <right style="hair">
        <color theme="1" tint="4.9989318521683403E-2"/>
      </right>
      <top style="thin">
        <color theme="0"/>
      </top>
      <bottom style="thin">
        <color indexed="64"/>
      </bottom>
      <diagonal/>
    </border>
    <border>
      <left/>
      <right style="hair">
        <color theme="1" tint="4.9989318521683403E-2"/>
      </right>
      <top/>
      <bottom style="thin">
        <color indexed="64"/>
      </bottom>
      <diagonal/>
    </border>
    <border>
      <left/>
      <right style="hair">
        <color theme="1" tint="4.9989318521683403E-2"/>
      </right>
      <top style="thin">
        <color theme="1" tint="4.9989318521683403E-2"/>
      </top>
      <bottom style="hair">
        <color theme="1" tint="4.9989318521683403E-2"/>
      </bottom>
      <diagonal/>
    </border>
    <border>
      <left style="hair">
        <color theme="1" tint="4.9989318521683403E-2"/>
      </left>
      <right style="thin">
        <color theme="0"/>
      </right>
      <top style="thin">
        <color theme="1" tint="4.9989318521683403E-2"/>
      </top>
      <bottom style="hair">
        <color theme="1"/>
      </bottom>
      <diagonal/>
    </border>
    <border>
      <left style="hair">
        <color theme="1" tint="4.9989318521683403E-2"/>
      </left>
      <right style="thin">
        <color theme="0"/>
      </right>
      <top/>
      <bottom style="thin">
        <color theme="0"/>
      </bottom>
      <diagonal/>
    </border>
    <border>
      <left style="hair">
        <color theme="1" tint="4.9989318521683403E-2"/>
      </left>
      <right style="thin">
        <color theme="0"/>
      </right>
      <top style="thin">
        <color theme="0"/>
      </top>
      <bottom/>
      <diagonal/>
    </border>
    <border>
      <left style="hair">
        <color theme="1" tint="4.9989318521683403E-2"/>
      </left>
      <right/>
      <top style="thin">
        <color indexed="64"/>
      </top>
      <bottom/>
      <diagonal/>
    </border>
    <border>
      <left style="hair">
        <color theme="1" tint="4.9989318521683403E-2"/>
      </left>
      <right/>
      <top/>
      <bottom/>
      <diagonal/>
    </border>
    <border>
      <left style="hair">
        <color theme="1" tint="4.9989318521683403E-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4.9989318521683403E-2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hair">
        <color theme="1" tint="4.9989318521683403E-2"/>
      </left>
      <right style="thin">
        <color theme="0"/>
      </right>
      <top/>
      <bottom/>
      <diagonal/>
    </border>
    <border>
      <left style="hair">
        <color theme="1" tint="4.9989318521683403E-2"/>
      </left>
      <right/>
      <top/>
      <bottom style="thin">
        <color indexed="64"/>
      </bottom>
      <diagonal/>
    </border>
    <border>
      <left style="thin">
        <color theme="0"/>
      </left>
      <right style="hair">
        <color theme="1" tint="4.9989318521683403E-2"/>
      </right>
      <top style="thin">
        <color theme="1" tint="4.9989318521683403E-2"/>
      </top>
      <bottom style="hair">
        <color theme="1"/>
      </bottom>
      <diagonal/>
    </border>
    <border>
      <left style="thin">
        <color theme="0"/>
      </left>
      <right style="hair">
        <color theme="1" tint="4.9989318521683403E-2"/>
      </right>
      <top/>
      <bottom style="thin">
        <color theme="0"/>
      </bottom>
      <diagonal/>
    </border>
    <border>
      <left style="thin">
        <color theme="0"/>
      </left>
      <right style="hair">
        <color theme="1" tint="4.9989318521683403E-2"/>
      </right>
      <top style="thin">
        <color theme="0"/>
      </top>
      <bottom/>
      <diagonal/>
    </border>
    <border>
      <left style="thin">
        <color theme="0"/>
      </left>
      <right style="hair">
        <color theme="1" tint="4.9989318521683403E-2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hair">
        <color theme="1" tint="4.9989318521683403E-2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theme="1" tint="4.9989318521683403E-2"/>
      </right>
      <top/>
      <bottom/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2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32" fillId="2" borderId="0" applyNumberFormat="0" applyBorder="0" applyAlignment="0" applyProtection="0"/>
    <xf numFmtId="0" fontId="32" fillId="3" borderId="0" applyNumberFormat="0" applyBorder="0" applyAlignment="0" applyProtection="0"/>
    <xf numFmtId="0" fontId="33" fillId="4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2" fillId="2" borderId="0" applyNumberFormat="0" applyBorder="0" applyAlignment="0" applyProtection="0"/>
    <xf numFmtId="0" fontId="32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3" fillId="8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3" fillId="6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3" fillId="7" borderId="0" applyNumberFormat="0" applyBorder="0" applyAlignment="0" applyProtection="0"/>
    <xf numFmtId="0" fontId="32" fillId="2" borderId="0" applyNumberFormat="0" applyBorder="0" applyAlignment="0" applyProtection="0"/>
    <xf numFmtId="0" fontId="32" fillId="6" borderId="0" applyNumberFormat="0" applyBorder="0" applyAlignment="0" applyProtection="0"/>
    <xf numFmtId="0" fontId="33" fillId="6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3" fillId="5" borderId="0" applyNumberFormat="0" applyBorder="0" applyAlignment="0" applyProtection="0"/>
    <xf numFmtId="0" fontId="32" fillId="2" borderId="0" applyNumberFormat="0" applyBorder="0" applyAlignment="0" applyProtection="0"/>
    <xf numFmtId="0" fontId="32" fillId="2" borderId="0" applyNumberFormat="0" applyBorder="0" applyAlignment="0" applyProtection="0"/>
    <xf numFmtId="0" fontId="33" fillId="4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0" borderId="0" applyNumberFormat="0" applyBorder="0" applyAlignment="0" applyProtection="0"/>
    <xf numFmtId="0" fontId="33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17" fontId="4" fillId="0" borderId="0" applyFont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68" fontId="4" fillId="0" borderId="0" applyFill="0" applyBorder="0" applyAlignment="0"/>
    <xf numFmtId="0" fontId="36" fillId="0" borderId="0" applyFill="0" applyBorder="0" applyAlignment="0"/>
    <xf numFmtId="0" fontId="4" fillId="0" borderId="0" applyFill="0" applyBorder="0" applyAlignment="0"/>
    <xf numFmtId="169" fontId="2" fillId="0" borderId="0" applyFill="0" applyBorder="0" applyAlignment="0"/>
    <xf numFmtId="170" fontId="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36" fillId="0" borderId="0" applyFill="0" applyBorder="0" applyAlignment="0"/>
    <xf numFmtId="0" fontId="37" fillId="14" borderId="24" applyNumberFormat="0" applyAlignment="0" applyProtection="0"/>
    <xf numFmtId="0" fontId="37" fillId="14" borderId="24" applyNumberFormat="0" applyAlignment="0" applyProtection="0"/>
    <xf numFmtId="0" fontId="37" fillId="14" borderId="24" applyNumberFormat="0" applyAlignment="0" applyProtection="0"/>
    <xf numFmtId="0" fontId="37" fillId="14" borderId="24" applyNumberFormat="0" applyAlignment="0" applyProtection="0"/>
    <xf numFmtId="0" fontId="37" fillId="14" borderId="24" applyNumberFormat="0" applyAlignment="0" applyProtection="0"/>
    <xf numFmtId="0" fontId="37" fillId="14" borderId="24" applyNumberFormat="0" applyAlignment="0" applyProtection="0"/>
    <xf numFmtId="0" fontId="37" fillId="14" borderId="24" applyNumberFormat="0" applyAlignment="0" applyProtection="0"/>
    <xf numFmtId="0" fontId="37" fillId="14" borderId="24" applyNumberFormat="0" applyAlignment="0" applyProtection="0"/>
    <xf numFmtId="17" fontId="4" fillId="0" borderId="0" applyFont="0"/>
    <xf numFmtId="0" fontId="38" fillId="7" borderId="25" applyNumberFormat="0" applyAlignment="0" applyProtection="0"/>
    <xf numFmtId="0" fontId="38" fillId="7" borderId="25" applyNumberFormat="0" applyAlignment="0" applyProtection="0"/>
    <xf numFmtId="0" fontId="38" fillId="7" borderId="25" applyNumberFormat="0" applyAlignment="0" applyProtection="0"/>
    <xf numFmtId="0" fontId="38" fillId="7" borderId="25" applyNumberFormat="0" applyAlignment="0" applyProtection="0"/>
    <xf numFmtId="0" fontId="38" fillId="7" borderId="25" applyNumberFormat="0" applyAlignment="0" applyProtection="0"/>
    <xf numFmtId="0" fontId="38" fillId="7" borderId="25" applyNumberFormat="0" applyAlignment="0" applyProtection="0"/>
    <xf numFmtId="0" fontId="38" fillId="7" borderId="25" applyNumberFormat="0" applyAlignment="0" applyProtection="0"/>
    <xf numFmtId="0" fontId="38" fillId="7" borderId="25" applyNumberFormat="0" applyAlignment="0" applyProtection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36" fillId="0" borderId="0" applyFont="0" applyFill="0" applyBorder="0" applyAlignment="0" applyProtection="0"/>
    <xf numFmtId="14" fontId="39" fillId="0" borderId="0" applyFill="0" applyBorder="0" applyAlignment="0"/>
    <xf numFmtId="0" fontId="40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168" fontId="4" fillId="0" borderId="0" applyFill="0" applyBorder="0" applyAlignment="0"/>
    <xf numFmtId="0" fontId="36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36" fillId="0" borderId="0" applyFill="0" applyBorder="0" applyAlignment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38" fontId="31" fillId="19" borderId="0" applyNumberFormat="0" applyBorder="0" applyAlignment="0" applyProtection="0"/>
    <xf numFmtId="0" fontId="42" fillId="0" borderId="26" applyNumberFormat="0" applyAlignment="0" applyProtection="0">
      <alignment horizontal="left" vertical="center"/>
    </xf>
    <xf numFmtId="0" fontId="42" fillId="0" borderId="23">
      <alignment horizontal="left" vertical="center"/>
    </xf>
    <xf numFmtId="0" fontId="43" fillId="0" borderId="27" applyNumberFormat="0" applyFill="0" applyAlignment="0" applyProtection="0"/>
    <xf numFmtId="0" fontId="43" fillId="0" borderId="27" applyNumberFormat="0" applyFill="0" applyAlignment="0" applyProtection="0"/>
    <xf numFmtId="0" fontId="43" fillId="0" borderId="27" applyNumberFormat="0" applyFill="0" applyAlignment="0" applyProtection="0"/>
    <xf numFmtId="0" fontId="43" fillId="0" borderId="27" applyNumberFormat="0" applyFill="0" applyAlignment="0" applyProtection="0"/>
    <xf numFmtId="0" fontId="43" fillId="0" borderId="27" applyNumberFormat="0" applyFill="0" applyAlignment="0" applyProtection="0"/>
    <xf numFmtId="0" fontId="43" fillId="0" borderId="27" applyNumberFormat="0" applyFill="0" applyAlignment="0" applyProtection="0"/>
    <xf numFmtId="0" fontId="43" fillId="0" borderId="27" applyNumberFormat="0" applyFill="0" applyAlignment="0" applyProtection="0"/>
    <xf numFmtId="0" fontId="43" fillId="0" borderId="27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4" fillId="0" borderId="28" applyNumberFormat="0" applyFill="0" applyAlignment="0" applyProtection="0"/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5" fillId="0" borderId="29" applyNumberFormat="0" applyFill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0" fontId="31" fillId="20" borderId="30" applyNumberFormat="0" applyBorder="0" applyAlignment="0" applyProtection="0"/>
    <xf numFmtId="0" fontId="46" fillId="11" borderId="24" applyNumberFormat="0" applyAlignment="0" applyProtection="0"/>
    <xf numFmtId="0" fontId="46" fillId="11" borderId="24" applyNumberFormat="0" applyAlignment="0" applyProtection="0"/>
    <xf numFmtId="0" fontId="46" fillId="11" borderId="24" applyNumberFormat="0" applyAlignment="0" applyProtection="0"/>
    <xf numFmtId="0" fontId="46" fillId="11" borderId="24" applyNumberFormat="0" applyAlignment="0" applyProtection="0"/>
    <xf numFmtId="0" fontId="46" fillId="11" borderId="24" applyNumberFormat="0" applyAlignment="0" applyProtection="0"/>
    <xf numFmtId="0" fontId="46" fillId="11" borderId="24" applyNumberFormat="0" applyAlignment="0" applyProtection="0"/>
    <xf numFmtId="0" fontId="46" fillId="11" borderId="24" applyNumberFormat="0" applyAlignment="0" applyProtection="0"/>
    <xf numFmtId="0" fontId="46" fillId="11" borderId="24" applyNumberFormat="0" applyAlignment="0" applyProtection="0"/>
    <xf numFmtId="168" fontId="4" fillId="0" borderId="0" applyFill="0" applyBorder="0" applyAlignment="0"/>
    <xf numFmtId="0" fontId="36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36" fillId="0" borderId="0" applyFill="0" applyBorder="0" applyAlignment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0" fontId="47" fillId="0" borderId="31" applyNumberFormat="0" applyFill="0" applyAlignment="0" applyProtection="0"/>
    <xf numFmtId="174" fontId="48" fillId="0" borderId="0" applyFont="0" applyFill="0" applyBorder="0" applyAlignment="0" applyProtection="0"/>
    <xf numFmtId="175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4" fontId="48" fillId="0" borderId="0" applyFont="0" applyFill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32" applyNumberFormat="0" applyFont="0" applyAlignment="0" applyProtection="0"/>
    <xf numFmtId="0" fontId="4" fillId="10" borderId="32" applyNumberFormat="0" applyFont="0" applyAlignment="0" applyProtection="0"/>
    <xf numFmtId="0" fontId="4" fillId="10" borderId="32" applyNumberFormat="0" applyFont="0" applyAlignment="0" applyProtection="0"/>
    <xf numFmtId="0" fontId="4" fillId="10" borderId="32" applyNumberFormat="0" applyFont="0" applyAlignment="0" applyProtection="0"/>
    <xf numFmtId="0" fontId="4" fillId="10" borderId="32" applyNumberFormat="0" applyFont="0" applyAlignment="0" applyProtection="0"/>
    <xf numFmtId="0" fontId="4" fillId="10" borderId="32" applyNumberFormat="0" applyFont="0" applyAlignment="0" applyProtection="0"/>
    <xf numFmtId="0" fontId="4" fillId="10" borderId="32" applyNumberFormat="0" applyFont="0" applyAlignment="0" applyProtection="0"/>
    <xf numFmtId="0" fontId="4" fillId="10" borderId="32" applyNumberFormat="0" applyFont="0" applyAlignment="0" applyProtection="0"/>
    <xf numFmtId="0" fontId="50" fillId="14" borderId="33" applyNumberFormat="0" applyAlignment="0" applyProtection="0"/>
    <xf numFmtId="0" fontId="50" fillId="14" borderId="33" applyNumberFormat="0" applyAlignment="0" applyProtection="0"/>
    <xf numFmtId="0" fontId="50" fillId="14" borderId="33" applyNumberFormat="0" applyAlignment="0" applyProtection="0"/>
    <xf numFmtId="0" fontId="50" fillId="14" borderId="33" applyNumberFormat="0" applyAlignment="0" applyProtection="0"/>
    <xf numFmtId="0" fontId="50" fillId="14" borderId="33" applyNumberFormat="0" applyAlignment="0" applyProtection="0"/>
    <xf numFmtId="0" fontId="50" fillId="14" borderId="33" applyNumberFormat="0" applyAlignment="0" applyProtection="0"/>
    <xf numFmtId="0" fontId="50" fillId="14" borderId="33" applyNumberFormat="0" applyAlignment="0" applyProtection="0"/>
    <xf numFmtId="0" fontId="50" fillId="14" borderId="33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ill="0" applyBorder="0" applyAlignment="0"/>
    <xf numFmtId="0" fontId="36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36" fillId="0" borderId="0" applyFill="0" applyBorder="0" applyAlignment="0"/>
    <xf numFmtId="0" fontId="51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9" fontId="39" fillId="0" borderId="0" applyFill="0" applyBorder="0" applyAlignment="0"/>
    <xf numFmtId="178" fontId="4" fillId="0" borderId="0" applyFill="0" applyBorder="0" applyAlignment="0"/>
    <xf numFmtId="179" fontId="4" fillId="0" borderId="0" applyFill="0" applyBorder="0" applyAlignment="0"/>
    <xf numFmtId="0" fontId="40" fillId="0" borderId="34" applyNumberFormat="0" applyFill="0" applyAlignment="0" applyProtection="0"/>
    <xf numFmtId="0" fontId="40" fillId="0" borderId="34" applyNumberFormat="0" applyFill="0" applyAlignment="0" applyProtection="0"/>
    <xf numFmtId="0" fontId="40" fillId="0" borderId="34" applyNumberFormat="0" applyFill="0" applyAlignment="0" applyProtection="0"/>
    <xf numFmtId="0" fontId="40" fillId="0" borderId="34" applyNumberFormat="0" applyFill="0" applyAlignment="0" applyProtection="0"/>
    <xf numFmtId="0" fontId="40" fillId="0" borderId="34" applyNumberFormat="0" applyFill="0" applyAlignment="0" applyProtection="0"/>
    <xf numFmtId="0" fontId="40" fillId="0" borderId="34" applyNumberFormat="0" applyFill="0" applyAlignment="0" applyProtection="0"/>
    <xf numFmtId="0" fontId="40" fillId="0" borderId="34" applyNumberFormat="0" applyFill="0" applyAlignment="0" applyProtection="0"/>
    <xf numFmtId="0" fontId="40" fillId="0" borderId="34" applyNumberFormat="0" applyFill="0" applyAlignment="0" applyProtection="0"/>
    <xf numFmtId="0" fontId="52" fillId="0" borderId="0">
      <alignment vertical="top"/>
    </xf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</cellStyleXfs>
  <cellXfs count="209">
    <xf numFmtId="0" fontId="0" fillId="0" borderId="0" xfId="0"/>
    <xf numFmtId="164" fontId="5" fillId="21" borderId="0" xfId="3" applyNumberFormat="1" applyFont="1" applyFill="1" applyBorder="1" applyAlignment="1">
      <alignment horizontal="right"/>
    </xf>
    <xf numFmtId="0" fontId="18" fillId="21" borderId="0" xfId="0" applyFont="1" applyFill="1" applyBorder="1" applyAlignment="1" applyProtection="1">
      <alignment horizontal="left"/>
    </xf>
    <xf numFmtId="164" fontId="30" fillId="21" borderId="0" xfId="3" applyNumberFormat="1" applyFont="1" applyFill="1" applyAlignment="1">
      <alignment horizontal="right" vertical="center"/>
    </xf>
    <xf numFmtId="164" fontId="20" fillId="21" borderId="0" xfId="3" applyNumberFormat="1" applyFont="1" applyFill="1" applyAlignment="1">
      <alignment horizontal="left" vertical="center" indent="2"/>
    </xf>
    <xf numFmtId="166" fontId="8" fillId="21" borderId="0" xfId="0" applyNumberFormat="1" applyFont="1" applyFill="1" applyBorder="1" applyAlignment="1">
      <alignment vertical="center"/>
    </xf>
    <xf numFmtId="0" fontId="8" fillId="21" borderId="0" xfId="0" applyFont="1" applyFill="1" applyBorder="1"/>
    <xf numFmtId="0" fontId="15" fillId="21" borderId="0" xfId="0" applyFont="1" applyFill="1" applyBorder="1" applyAlignment="1">
      <alignment horizontal="right"/>
    </xf>
    <xf numFmtId="0" fontId="15" fillId="21" borderId="4" xfId="0" applyFont="1" applyFill="1" applyBorder="1" applyAlignment="1"/>
    <xf numFmtId="164" fontId="5" fillId="21" borderId="11" xfId="3" applyNumberFormat="1" applyFont="1" applyFill="1" applyBorder="1" applyAlignment="1">
      <alignment horizontal="right"/>
    </xf>
    <xf numFmtId="164" fontId="5" fillId="21" borderId="4" xfId="3" applyNumberFormat="1" applyFont="1" applyFill="1" applyBorder="1" applyAlignment="1">
      <alignment horizontal="right"/>
    </xf>
    <xf numFmtId="164" fontId="22" fillId="21" borderId="1" xfId="3" applyNumberFormat="1" applyFont="1" applyFill="1" applyBorder="1" applyAlignment="1" applyProtection="1">
      <alignment horizontal="right" vertical="center"/>
    </xf>
    <xf numFmtId="0" fontId="8" fillId="21" borderId="4" xfId="0" applyFont="1" applyFill="1" applyBorder="1" applyAlignment="1"/>
    <xf numFmtId="166" fontId="13" fillId="21" borderId="4" xfId="0" applyNumberFormat="1" applyFont="1" applyFill="1" applyBorder="1"/>
    <xf numFmtId="0" fontId="15" fillId="21" borderId="4" xfId="0" applyFont="1" applyFill="1" applyBorder="1"/>
    <xf numFmtId="0" fontId="8" fillId="21" borderId="4" xfId="0" applyFont="1" applyFill="1" applyBorder="1"/>
    <xf numFmtId="0" fontId="14" fillId="21" borderId="11" xfId="0" applyFont="1" applyFill="1" applyBorder="1"/>
    <xf numFmtId="165" fontId="13" fillId="21" borderId="4" xfId="0" applyNumberFormat="1" applyFont="1" applyFill="1" applyBorder="1" applyAlignment="1">
      <alignment vertical="center"/>
    </xf>
    <xf numFmtId="0" fontId="0" fillId="21" borderId="4" xfId="0" applyFill="1" applyBorder="1"/>
    <xf numFmtId="165" fontId="14" fillId="21" borderId="4" xfId="0" applyNumberFormat="1" applyFont="1" applyFill="1" applyBorder="1" applyAlignment="1">
      <alignment vertical="center"/>
    </xf>
    <xf numFmtId="0" fontId="15" fillId="21" borderId="11" xfId="0" applyFont="1" applyFill="1" applyBorder="1"/>
    <xf numFmtId="0" fontId="4" fillId="21" borderId="4" xfId="0" applyFont="1" applyFill="1" applyBorder="1"/>
    <xf numFmtId="0" fontId="1" fillId="21" borderId="4" xfId="0" applyFont="1" applyFill="1" applyBorder="1"/>
    <xf numFmtId="0" fontId="7" fillId="21" borderId="19" xfId="0" applyFont="1" applyFill="1" applyBorder="1"/>
    <xf numFmtId="0" fontId="6" fillId="21" borderId="19" xfId="0" applyFont="1" applyFill="1" applyBorder="1" applyAlignment="1">
      <alignment horizontal="center" vertical="center"/>
    </xf>
    <xf numFmtId="0" fontId="5" fillId="21" borderId="19" xfId="0" applyFont="1" applyFill="1" applyBorder="1" applyAlignment="1">
      <alignment horizontal="centerContinuous"/>
    </xf>
    <xf numFmtId="0" fontId="9" fillId="21" borderId="19" xfId="0" applyFont="1" applyFill="1" applyBorder="1" applyAlignment="1">
      <alignment horizontal="centerContinuous"/>
    </xf>
    <xf numFmtId="0" fontId="10" fillId="21" borderId="19" xfId="0" applyFont="1" applyFill="1" applyBorder="1"/>
    <xf numFmtId="0" fontId="4" fillId="21" borderId="19" xfId="0" applyFont="1" applyFill="1" applyBorder="1"/>
    <xf numFmtId="165" fontId="6" fillId="21" borderId="4" xfId="0" applyNumberFormat="1" applyFont="1" applyFill="1" applyBorder="1" applyAlignment="1">
      <alignment vertical="center"/>
    </xf>
    <xf numFmtId="0" fontId="5" fillId="21" borderId="4" xfId="0" applyFont="1" applyFill="1" applyBorder="1" applyAlignment="1">
      <alignment horizontal="centerContinuous"/>
    </xf>
    <xf numFmtId="0" fontId="9" fillId="21" borderId="4" xfId="0" applyFont="1" applyFill="1" applyBorder="1" applyAlignment="1">
      <alignment horizontal="centerContinuous"/>
    </xf>
    <xf numFmtId="164" fontId="11" fillId="21" borderId="4" xfId="3" applyNumberFormat="1" applyFont="1" applyFill="1" applyBorder="1" applyAlignment="1">
      <alignment horizontal="right" vertical="center"/>
    </xf>
    <xf numFmtId="0" fontId="19" fillId="21" borderId="5" xfId="0" applyFont="1" applyFill="1" applyBorder="1" applyAlignment="1">
      <alignment horizontal="right"/>
    </xf>
    <xf numFmtId="43" fontId="6" fillId="21" borderId="21" xfId="1" applyFont="1" applyFill="1" applyBorder="1" applyAlignment="1">
      <alignment horizontal="right"/>
    </xf>
    <xf numFmtId="43" fontId="5" fillId="21" borderId="21" xfId="1" applyFont="1" applyFill="1" applyBorder="1" applyAlignment="1">
      <alignment horizontal="right"/>
    </xf>
    <xf numFmtId="43" fontId="9" fillId="21" borderId="21" xfId="1" applyFont="1" applyFill="1" applyBorder="1" applyAlignment="1">
      <alignment horizontal="right"/>
    </xf>
    <xf numFmtId="0" fontId="10" fillId="21" borderId="21" xfId="0" applyFont="1" applyFill="1" applyBorder="1"/>
    <xf numFmtId="0" fontId="8" fillId="21" borderId="21" xfId="0" applyFont="1" applyFill="1" applyBorder="1"/>
    <xf numFmtId="165" fontId="13" fillId="21" borderId="11" xfId="0" applyNumberFormat="1" applyFont="1" applyFill="1" applyBorder="1" applyAlignment="1">
      <alignment vertical="center"/>
    </xf>
    <xf numFmtId="166" fontId="13" fillId="21" borderId="11" xfId="1" applyNumberFormat="1" applyFont="1" applyFill="1" applyBorder="1" applyAlignment="1">
      <alignment vertical="center"/>
    </xf>
    <xf numFmtId="166" fontId="5" fillId="21" borderId="11" xfId="1" applyNumberFormat="1" applyFont="1" applyFill="1" applyBorder="1" applyAlignment="1"/>
    <xf numFmtId="166" fontId="9" fillId="21" borderId="11" xfId="1" applyNumberFormat="1" applyFont="1" applyFill="1" applyBorder="1" applyAlignment="1"/>
    <xf numFmtId="164" fontId="11" fillId="21" borderId="11" xfId="3" applyNumberFormat="1" applyFont="1" applyFill="1" applyBorder="1" applyAlignment="1">
      <alignment horizontal="right"/>
    </xf>
    <xf numFmtId="0" fontId="8" fillId="21" borderId="11" xfId="0" applyFont="1" applyFill="1" applyBorder="1"/>
    <xf numFmtId="166" fontId="15" fillId="21" borderId="4" xfId="0" applyNumberFormat="1" applyFont="1" applyFill="1" applyBorder="1" applyAlignment="1"/>
    <xf numFmtId="166" fontId="10" fillId="21" borderId="4" xfId="0" applyNumberFormat="1" applyFont="1" applyFill="1" applyBorder="1" applyAlignment="1"/>
    <xf numFmtId="166" fontId="9" fillId="21" borderId="4" xfId="3" applyNumberFormat="1" applyFont="1" applyFill="1" applyBorder="1" applyAlignment="1">
      <alignment horizontal="right" vertical="center"/>
    </xf>
    <xf numFmtId="0" fontId="15" fillId="21" borderId="4" xfId="0" applyFont="1" applyFill="1" applyBorder="1" applyAlignment="1">
      <alignment horizontal="right"/>
    </xf>
    <xf numFmtId="0" fontId="10" fillId="21" borderId="4" xfId="0" applyFont="1" applyFill="1" applyBorder="1"/>
    <xf numFmtId="0" fontId="11" fillId="21" borderId="4" xfId="4" applyFont="1" applyFill="1" applyBorder="1" applyAlignment="1">
      <alignment horizontal="right"/>
    </xf>
    <xf numFmtId="0" fontId="23" fillId="21" borderId="4" xfId="0" applyFont="1" applyFill="1" applyBorder="1" applyAlignment="1">
      <alignment horizontal="right"/>
    </xf>
    <xf numFmtId="0" fontId="25" fillId="21" borderId="4" xfId="0" applyFont="1" applyFill="1" applyBorder="1" applyAlignment="1">
      <alignment horizontal="right"/>
    </xf>
    <xf numFmtId="0" fontId="10" fillId="21" borderId="4" xfId="0" applyFont="1" applyFill="1" applyBorder="1" applyAlignment="1">
      <alignment horizontal="right"/>
    </xf>
    <xf numFmtId="0" fontId="9" fillId="21" borderId="4" xfId="4" applyFont="1" applyFill="1" applyBorder="1" applyAlignment="1">
      <alignment horizontal="right"/>
    </xf>
    <xf numFmtId="166" fontId="15" fillId="21" borderId="4" xfId="0" applyNumberFormat="1" applyFont="1" applyFill="1" applyBorder="1" applyAlignment="1">
      <alignment horizontal="right"/>
    </xf>
    <xf numFmtId="164" fontId="10" fillId="21" borderId="4" xfId="3" applyNumberFormat="1" applyFont="1" applyFill="1" applyBorder="1" applyAlignment="1">
      <alignment horizontal="right"/>
    </xf>
    <xf numFmtId="166" fontId="10" fillId="21" borderId="4" xfId="0" applyNumberFormat="1" applyFont="1" applyFill="1" applyBorder="1" applyAlignment="1">
      <alignment horizontal="right"/>
    </xf>
    <xf numFmtId="0" fontId="10" fillId="21" borderId="4" xfId="0" applyFont="1" applyFill="1" applyBorder="1" applyAlignment="1">
      <alignment horizontal="right" indent="1"/>
    </xf>
    <xf numFmtId="0" fontId="15" fillId="21" borderId="4" xfId="0" applyFont="1" applyFill="1" applyBorder="1" applyAlignment="1">
      <alignment horizontal="right" vertical="center"/>
    </xf>
    <xf numFmtId="0" fontId="10" fillId="21" borderId="4" xfId="0" applyFont="1" applyFill="1" applyBorder="1" applyAlignment="1">
      <alignment horizontal="right" vertical="center"/>
    </xf>
    <xf numFmtId="0" fontId="9" fillId="21" borderId="4" xfId="0" applyFont="1" applyFill="1" applyBorder="1" applyAlignment="1">
      <alignment horizontal="right"/>
    </xf>
    <xf numFmtId="166" fontId="5" fillId="21" borderId="4" xfId="1" applyNumberFormat="1" applyFont="1" applyFill="1" applyBorder="1" applyAlignment="1"/>
    <xf numFmtId="166" fontId="10" fillId="21" borderId="4" xfId="1" applyNumberFormat="1" applyFont="1" applyFill="1" applyBorder="1" applyAlignment="1">
      <alignment horizontal="right" vertical="center"/>
    </xf>
    <xf numFmtId="164" fontId="9" fillId="21" borderId="4" xfId="3" applyNumberFormat="1" applyFont="1" applyFill="1" applyBorder="1" applyAlignment="1">
      <alignment horizontal="right"/>
    </xf>
    <xf numFmtId="164" fontId="10" fillId="21" borderId="4" xfId="3" applyNumberFormat="1" applyFont="1" applyFill="1" applyBorder="1" applyAlignment="1">
      <alignment horizontal="right" vertical="center"/>
    </xf>
    <xf numFmtId="164" fontId="25" fillId="21" borderId="4" xfId="3" applyNumberFormat="1" applyFont="1" applyFill="1" applyBorder="1" applyAlignment="1">
      <alignment horizontal="right" vertical="center"/>
    </xf>
    <xf numFmtId="164" fontId="16" fillId="21" borderId="4" xfId="3" applyNumberFormat="1" applyFont="1" applyFill="1" applyBorder="1" applyAlignment="1">
      <alignment horizontal="right" vertical="center"/>
    </xf>
    <xf numFmtId="164" fontId="9" fillId="21" borderId="4" xfId="3" applyNumberFormat="1" applyFont="1" applyFill="1" applyBorder="1" applyAlignment="1">
      <alignment horizontal="right" vertical="center"/>
    </xf>
    <xf numFmtId="164" fontId="11" fillId="21" borderId="4" xfId="3" applyNumberFormat="1" applyFont="1" applyFill="1" applyBorder="1" applyAlignment="1">
      <alignment horizontal="right"/>
    </xf>
    <xf numFmtId="0" fontId="23" fillId="21" borderId="4" xfId="0" applyFont="1" applyFill="1" applyBorder="1" applyAlignment="1">
      <alignment horizontal="right" vertical="center"/>
    </xf>
    <xf numFmtId="0" fontId="25" fillId="21" borderId="4" xfId="0" applyFont="1" applyFill="1" applyBorder="1" applyAlignment="1">
      <alignment horizontal="right" vertical="center"/>
    </xf>
    <xf numFmtId="0" fontId="14" fillId="21" borderId="4" xfId="0" applyFont="1" applyFill="1" applyBorder="1"/>
    <xf numFmtId="0" fontId="15" fillId="21" borderId="4" xfId="4" applyFont="1" applyFill="1" applyBorder="1" applyAlignment="1">
      <alignment horizontal="right"/>
    </xf>
    <xf numFmtId="166" fontId="15" fillId="21" borderId="4" xfId="0" applyNumberFormat="1" applyFont="1" applyFill="1" applyBorder="1" applyAlignment="1">
      <alignment vertical="center"/>
    </xf>
    <xf numFmtId="166" fontId="10" fillId="21" borderId="4" xfId="0" applyNumberFormat="1" applyFont="1" applyFill="1" applyBorder="1" applyAlignment="1">
      <alignment horizontal="right" vertical="center"/>
    </xf>
    <xf numFmtId="167" fontId="17" fillId="21" borderId="4" xfId="1" applyNumberFormat="1" applyFont="1" applyFill="1" applyBorder="1" applyAlignment="1" applyProtection="1">
      <alignment vertical="center"/>
    </xf>
    <xf numFmtId="165" fontId="14" fillId="21" borderId="4" xfId="0" applyNumberFormat="1" applyFont="1" applyFill="1" applyBorder="1"/>
    <xf numFmtId="165" fontId="14" fillId="21" borderId="4" xfId="2" applyNumberFormat="1" applyFont="1" applyFill="1" applyBorder="1"/>
    <xf numFmtId="0" fontId="14" fillId="21" borderId="5" xfId="0" applyFont="1" applyFill="1" applyBorder="1"/>
    <xf numFmtId="165" fontId="14" fillId="21" borderId="5" xfId="0" applyNumberFormat="1" applyFont="1" applyFill="1" applyBorder="1"/>
    <xf numFmtId="165" fontId="14" fillId="21" borderId="5" xfId="2" applyNumberFormat="1" applyFont="1" applyFill="1" applyBorder="1"/>
    <xf numFmtId="0" fontId="15" fillId="21" borderId="5" xfId="0" applyFont="1" applyFill="1" applyBorder="1"/>
    <xf numFmtId="0" fontId="21" fillId="21" borderId="5" xfId="0" applyFont="1" applyFill="1" applyBorder="1" applyAlignment="1">
      <alignment horizontal="right"/>
    </xf>
    <xf numFmtId="166" fontId="10" fillId="21" borderId="5" xfId="3" applyNumberFormat="1" applyFont="1" applyFill="1" applyBorder="1" applyAlignment="1">
      <alignment horizontal="right" vertical="center"/>
    </xf>
    <xf numFmtId="0" fontId="17" fillId="21" borderId="11" xfId="0" applyFont="1" applyFill="1" applyBorder="1"/>
    <xf numFmtId="165" fontId="14" fillId="21" borderId="11" xfId="0" applyNumberFormat="1" applyFont="1" applyFill="1" applyBorder="1"/>
    <xf numFmtId="0" fontId="21" fillId="21" borderId="11" xfId="0" applyFont="1" applyFill="1" applyBorder="1" applyAlignment="1">
      <alignment horizontal="right"/>
    </xf>
    <xf numFmtId="164" fontId="29" fillId="21" borderId="11" xfId="3" applyNumberFormat="1" applyFont="1" applyFill="1" applyBorder="1" applyAlignment="1">
      <alignment horizontal="right" vertical="center"/>
    </xf>
    <xf numFmtId="166" fontId="14" fillId="21" borderId="4" xfId="0" applyNumberFormat="1" applyFont="1" applyFill="1" applyBorder="1"/>
    <xf numFmtId="0" fontId="16" fillId="21" borderId="4" xfId="4" applyFont="1" applyFill="1" applyBorder="1" applyAlignment="1">
      <alignment horizontal="right"/>
    </xf>
    <xf numFmtId="166" fontId="14" fillId="21" borderId="5" xfId="0" applyNumberFormat="1" applyFont="1" applyFill="1" applyBorder="1" applyAlignment="1">
      <alignment vertical="center"/>
    </xf>
    <xf numFmtId="0" fontId="15" fillId="21" borderId="5" xfId="0" applyFont="1" applyFill="1" applyBorder="1" applyAlignment="1">
      <alignment horizontal="right"/>
    </xf>
    <xf numFmtId="0" fontId="16" fillId="21" borderId="5" xfId="4" applyFont="1" applyFill="1" applyBorder="1" applyAlignment="1">
      <alignment horizontal="right"/>
    </xf>
    <xf numFmtId="0" fontId="10" fillId="21" borderId="5" xfId="0" applyFont="1" applyFill="1" applyBorder="1" applyAlignment="1">
      <alignment horizontal="right"/>
    </xf>
    <xf numFmtId="0" fontId="8" fillId="21" borderId="10" xfId="0" applyFont="1" applyFill="1" applyBorder="1"/>
    <xf numFmtId="0" fontId="16" fillId="21" borderId="0" xfId="4" applyFont="1" applyFill="1" applyBorder="1" applyAlignment="1">
      <alignment horizontal="right"/>
    </xf>
    <xf numFmtId="0" fontId="8" fillId="21" borderId="15" xfId="0" applyFont="1" applyFill="1" applyBorder="1"/>
    <xf numFmtId="0" fontId="0" fillId="21" borderId="10" xfId="0" applyFill="1" applyBorder="1"/>
    <xf numFmtId="0" fontId="10" fillId="21" borderId="0" xfId="0" applyFont="1" applyFill="1" applyBorder="1" applyAlignment="1">
      <alignment vertical="top" wrapText="1"/>
    </xf>
    <xf numFmtId="164" fontId="10" fillId="21" borderId="11" xfId="3" applyNumberFormat="1" applyFont="1" applyFill="1" applyBorder="1" applyAlignment="1">
      <alignment vertical="center"/>
    </xf>
    <xf numFmtId="166" fontId="8" fillId="21" borderId="13" xfId="0" applyNumberFormat="1" applyFont="1" applyFill="1" applyBorder="1" applyAlignment="1"/>
    <xf numFmtId="0" fontId="21" fillId="21" borderId="4" xfId="0" applyFont="1" applyFill="1" applyBorder="1"/>
    <xf numFmtId="166" fontId="13" fillId="21" borderId="0" xfId="0" applyNumberFormat="1" applyFont="1" applyFill="1" applyBorder="1" applyAlignment="1">
      <alignment vertical="center"/>
    </xf>
    <xf numFmtId="166" fontId="14" fillId="21" borderId="0" xfId="0" applyNumberFormat="1" applyFont="1" applyFill="1" applyBorder="1" applyAlignment="1">
      <alignment vertical="center"/>
    </xf>
    <xf numFmtId="166" fontId="13" fillId="21" borderId="0" xfId="1" applyNumberFormat="1" applyFont="1" applyFill="1" applyBorder="1" applyAlignment="1">
      <alignment vertical="center"/>
    </xf>
    <xf numFmtId="166" fontId="14" fillId="21" borderId="0" xfId="1" applyNumberFormat="1" applyFont="1" applyFill="1" applyBorder="1" applyAlignment="1">
      <alignment vertical="center"/>
    </xf>
    <xf numFmtId="166" fontId="14" fillId="21" borderId="1" xfId="0" applyNumberFormat="1" applyFont="1" applyFill="1" applyBorder="1" applyAlignment="1">
      <alignment vertical="center"/>
    </xf>
    <xf numFmtId="166" fontId="13" fillId="21" borderId="6" xfId="0" applyNumberFormat="1" applyFont="1" applyFill="1" applyBorder="1" applyAlignment="1">
      <alignment vertical="center"/>
    </xf>
    <xf numFmtId="166" fontId="14" fillId="21" borderId="6" xfId="0" applyNumberFormat="1" applyFont="1" applyFill="1" applyBorder="1" applyAlignment="1">
      <alignment vertical="center"/>
    </xf>
    <xf numFmtId="166" fontId="14" fillId="21" borderId="6" xfId="1" applyNumberFormat="1" applyFont="1" applyFill="1" applyBorder="1" applyAlignment="1">
      <alignment vertical="center"/>
    </xf>
    <xf numFmtId="166" fontId="13" fillId="21" borderId="6" xfId="1" applyNumberFormat="1" applyFont="1" applyFill="1" applyBorder="1" applyAlignment="1">
      <alignment vertical="center"/>
    </xf>
    <xf numFmtId="166" fontId="13" fillId="21" borderId="6" xfId="0" applyNumberFormat="1" applyFont="1" applyFill="1" applyBorder="1"/>
    <xf numFmtId="166" fontId="13" fillId="21" borderId="6" xfId="0" applyNumberFormat="1" applyFont="1" applyFill="1" applyBorder="1" applyAlignment="1"/>
    <xf numFmtId="166" fontId="15" fillId="21" borderId="8" xfId="0" applyNumberFormat="1" applyFont="1" applyFill="1" applyBorder="1" applyAlignment="1"/>
    <xf numFmtId="0" fontId="15" fillId="21" borderId="8" xfId="0" applyFont="1" applyFill="1" applyBorder="1" applyAlignment="1">
      <alignment horizontal="right"/>
    </xf>
    <xf numFmtId="0" fontId="23" fillId="21" borderId="8" xfId="0" applyFont="1" applyFill="1" applyBorder="1" applyAlignment="1">
      <alignment horizontal="right"/>
    </xf>
    <xf numFmtId="166" fontId="15" fillId="21" borderId="8" xfId="0" applyNumberFormat="1" applyFont="1" applyFill="1" applyBorder="1" applyAlignment="1">
      <alignment horizontal="right"/>
    </xf>
    <xf numFmtId="0" fontId="15" fillId="21" borderId="8" xfId="0" applyFont="1" applyFill="1" applyBorder="1" applyAlignment="1">
      <alignment horizontal="right" vertical="center"/>
    </xf>
    <xf numFmtId="166" fontId="5" fillId="21" borderId="8" xfId="1" applyNumberFormat="1" applyFont="1" applyFill="1" applyBorder="1" applyAlignment="1"/>
    <xf numFmtId="0" fontId="23" fillId="21" borderId="8" xfId="0" applyFont="1" applyFill="1" applyBorder="1" applyAlignment="1">
      <alignment horizontal="right" vertical="center"/>
    </xf>
    <xf numFmtId="0" fontId="15" fillId="21" borderId="8" xfId="0" applyFont="1" applyFill="1" applyBorder="1"/>
    <xf numFmtId="166" fontId="15" fillId="21" borderId="8" xfId="0" applyNumberFormat="1" applyFont="1" applyFill="1" applyBorder="1" applyAlignment="1">
      <alignment vertical="center"/>
    </xf>
    <xf numFmtId="0" fontId="15" fillId="21" borderId="8" xfId="0" applyFont="1" applyFill="1" applyBorder="1" applyAlignment="1"/>
    <xf numFmtId="166" fontId="13" fillId="21" borderId="0" xfId="0" applyNumberFormat="1" applyFont="1" applyFill="1" applyBorder="1"/>
    <xf numFmtId="166" fontId="13" fillId="21" borderId="0" xfId="0" applyNumberFormat="1" applyFont="1" applyFill="1" applyBorder="1" applyAlignment="1"/>
    <xf numFmtId="0" fontId="15" fillId="21" borderId="12" xfId="0" applyFont="1" applyFill="1" applyBorder="1" applyAlignment="1">
      <alignment horizontal="right"/>
    </xf>
    <xf numFmtId="165" fontId="14" fillId="21" borderId="9" xfId="0" applyNumberFormat="1" applyFont="1" applyFill="1" applyBorder="1"/>
    <xf numFmtId="166" fontId="5" fillId="21" borderId="22" xfId="1" applyNumberFormat="1" applyFont="1" applyFill="1" applyBorder="1" applyAlignment="1"/>
    <xf numFmtId="43" fontId="6" fillId="21" borderId="10" xfId="1" applyFont="1" applyFill="1" applyBorder="1" applyAlignment="1">
      <alignment horizontal="right"/>
    </xf>
    <xf numFmtId="43" fontId="8" fillId="21" borderId="13" xfId="1" applyFont="1" applyFill="1" applyBorder="1" applyAlignment="1"/>
    <xf numFmtId="166" fontId="13" fillId="21" borderId="2" xfId="1" applyNumberFormat="1" applyFont="1" applyFill="1" applyBorder="1" applyAlignment="1">
      <alignment vertical="center"/>
    </xf>
    <xf numFmtId="166" fontId="14" fillId="21" borderId="0" xfId="0" applyNumberFormat="1" applyFont="1" applyFill="1" applyBorder="1"/>
    <xf numFmtId="0" fontId="54" fillId="21" borderId="0" xfId="0" applyFont="1" applyFill="1" applyBorder="1"/>
    <xf numFmtId="0" fontId="55" fillId="21" borderId="0" xfId="0" applyFont="1" applyFill="1" applyBorder="1" applyAlignment="1">
      <alignment vertical="top" wrapText="1"/>
    </xf>
    <xf numFmtId="0" fontId="56" fillId="21" borderId="22" xfId="0" applyFont="1" applyFill="1" applyBorder="1"/>
    <xf numFmtId="0" fontId="1" fillId="21" borderId="11" xfId="0" applyFont="1" applyFill="1" applyBorder="1"/>
    <xf numFmtId="164" fontId="55" fillId="21" borderId="0" xfId="3" applyNumberFormat="1" applyFont="1" applyFill="1" applyBorder="1" applyAlignment="1">
      <alignment vertical="center" readingOrder="2"/>
    </xf>
    <xf numFmtId="165" fontId="14" fillId="21" borderId="4" xfId="0" applyNumberFormat="1" applyFont="1" applyFill="1" applyBorder="1" applyAlignment="1">
      <alignment horizontal="left" vertical="center" indent="1"/>
    </xf>
    <xf numFmtId="164" fontId="5" fillId="21" borderId="22" xfId="3" applyNumberFormat="1" applyFont="1" applyFill="1" applyBorder="1" applyAlignment="1">
      <alignment horizontal="right"/>
    </xf>
    <xf numFmtId="164" fontId="5" fillId="21" borderId="14" xfId="3" applyNumberFormat="1" applyFont="1" applyFill="1" applyBorder="1" applyAlignment="1">
      <alignment horizontal="right"/>
    </xf>
    <xf numFmtId="0" fontId="0" fillId="21" borderId="13" xfId="0" applyFill="1" applyBorder="1"/>
    <xf numFmtId="43" fontId="6" fillId="21" borderId="13" xfId="1" applyFont="1" applyFill="1" applyBorder="1" applyAlignment="1">
      <alignment horizontal="right"/>
    </xf>
    <xf numFmtId="0" fontId="14" fillId="21" borderId="14" xfId="0" applyFont="1" applyFill="1" applyBorder="1"/>
    <xf numFmtId="165" fontId="14" fillId="21" borderId="6" xfId="2" applyNumberFormat="1" applyFont="1" applyFill="1" applyBorder="1"/>
    <xf numFmtId="165" fontId="14" fillId="21" borderId="35" xfId="2" applyNumberFormat="1" applyFont="1" applyFill="1" applyBorder="1"/>
    <xf numFmtId="165" fontId="14" fillId="21" borderId="36" xfId="0" applyNumberFormat="1" applyFont="1" applyFill="1" applyBorder="1"/>
    <xf numFmtId="43" fontId="6" fillId="21" borderId="38" xfId="1" applyFont="1" applyFill="1" applyBorder="1" applyAlignment="1">
      <alignment horizontal="right"/>
    </xf>
    <xf numFmtId="0" fontId="14" fillId="21" borderId="22" xfId="0" applyFont="1" applyFill="1" applyBorder="1"/>
    <xf numFmtId="165" fontId="14" fillId="21" borderId="8" xfId="2" applyNumberFormat="1" applyFont="1" applyFill="1" applyBorder="1"/>
    <xf numFmtId="165" fontId="14" fillId="21" borderId="12" xfId="2" applyNumberFormat="1" applyFont="1" applyFill="1" applyBorder="1"/>
    <xf numFmtId="165" fontId="14" fillId="21" borderId="15" xfId="0" applyNumberFormat="1" applyFont="1" applyFill="1" applyBorder="1"/>
    <xf numFmtId="164" fontId="5" fillId="21" borderId="40" xfId="3" applyNumberFormat="1" applyFont="1" applyFill="1" applyBorder="1" applyAlignment="1">
      <alignment horizontal="right"/>
    </xf>
    <xf numFmtId="43" fontId="6" fillId="21" borderId="41" xfId="1" applyFont="1" applyFill="1" applyBorder="1" applyAlignment="1">
      <alignment horizontal="right"/>
    </xf>
    <xf numFmtId="166" fontId="13" fillId="21" borderId="42" xfId="1" applyNumberFormat="1" applyFont="1" applyFill="1" applyBorder="1" applyAlignment="1">
      <alignment vertical="center"/>
    </xf>
    <xf numFmtId="166" fontId="13" fillId="21" borderId="43" xfId="0" applyNumberFormat="1" applyFont="1" applyFill="1" applyBorder="1" applyAlignment="1">
      <alignment vertical="center"/>
    </xf>
    <xf numFmtId="166" fontId="14" fillId="21" borderId="43" xfId="0" applyNumberFormat="1" applyFont="1" applyFill="1" applyBorder="1" applyAlignment="1">
      <alignment vertical="center"/>
    </xf>
    <xf numFmtId="166" fontId="14" fillId="21" borderId="43" xfId="1" applyNumberFormat="1" applyFont="1" applyFill="1" applyBorder="1" applyAlignment="1">
      <alignment vertical="center"/>
    </xf>
    <xf numFmtId="166" fontId="13" fillId="21" borderId="43" xfId="1" applyNumberFormat="1" applyFont="1" applyFill="1" applyBorder="1" applyAlignment="1">
      <alignment vertical="center"/>
    </xf>
    <xf numFmtId="166" fontId="13" fillId="21" borderId="43" xfId="0" applyNumberFormat="1" applyFont="1" applyFill="1" applyBorder="1"/>
    <xf numFmtId="166" fontId="13" fillId="21" borderId="43" xfId="0" applyNumberFormat="1" applyFont="1" applyFill="1" applyBorder="1" applyAlignment="1"/>
    <xf numFmtId="0" fontId="14" fillId="21" borderId="40" xfId="0" applyFont="1" applyFill="1" applyBorder="1"/>
    <xf numFmtId="165" fontId="14" fillId="21" borderId="44" xfId="2" applyNumberFormat="1" applyFont="1" applyFill="1" applyBorder="1"/>
    <xf numFmtId="165" fontId="14" fillId="21" borderId="45" xfId="2" applyNumberFormat="1" applyFont="1" applyFill="1" applyBorder="1"/>
    <xf numFmtId="165" fontId="14" fillId="21" borderId="43" xfId="0" applyNumberFormat="1" applyFont="1" applyFill="1" applyBorder="1"/>
    <xf numFmtId="166" fontId="14" fillId="21" borderId="43" xfId="0" applyNumberFormat="1" applyFont="1" applyFill="1" applyBorder="1"/>
    <xf numFmtId="166" fontId="14" fillId="21" borderId="46" xfId="0" applyNumberFormat="1" applyFont="1" applyFill="1" applyBorder="1" applyAlignment="1">
      <alignment vertical="center"/>
    </xf>
    <xf numFmtId="0" fontId="13" fillId="21" borderId="47" xfId="0" applyFont="1" applyFill="1" applyBorder="1" applyAlignment="1">
      <alignment horizontal="center" vertical="center"/>
    </xf>
    <xf numFmtId="0" fontId="6" fillId="21" borderId="39" xfId="0" applyFont="1" applyFill="1" applyBorder="1" applyAlignment="1">
      <alignment horizontal="center" vertical="center"/>
    </xf>
    <xf numFmtId="164" fontId="55" fillId="21" borderId="0" xfId="3" applyNumberFormat="1" applyFont="1" applyFill="1" applyBorder="1" applyAlignment="1">
      <alignment horizontal="right" vertical="center" readingOrder="2"/>
    </xf>
    <xf numFmtId="0" fontId="6" fillId="21" borderId="37" xfId="0" applyFont="1" applyFill="1" applyBorder="1" applyAlignment="1">
      <alignment horizontal="center" vertical="center"/>
    </xf>
    <xf numFmtId="164" fontId="5" fillId="21" borderId="49" xfId="3" applyNumberFormat="1" applyFont="1" applyFill="1" applyBorder="1" applyAlignment="1">
      <alignment horizontal="right"/>
    </xf>
    <xf numFmtId="43" fontId="6" fillId="21" borderId="50" xfId="1" applyFont="1" applyFill="1" applyBorder="1" applyAlignment="1">
      <alignment horizontal="right"/>
    </xf>
    <xf numFmtId="166" fontId="13" fillId="21" borderId="51" xfId="1" applyNumberFormat="1" applyFont="1" applyFill="1" applyBorder="1" applyAlignment="1">
      <alignment vertical="center"/>
    </xf>
    <xf numFmtId="166" fontId="13" fillId="21" borderId="52" xfId="0" applyNumberFormat="1" applyFont="1" applyFill="1" applyBorder="1" applyAlignment="1">
      <alignment vertical="center"/>
    </xf>
    <xf numFmtId="166" fontId="14" fillId="21" borderId="52" xfId="0" applyNumberFormat="1" applyFont="1" applyFill="1" applyBorder="1" applyAlignment="1">
      <alignment vertical="center"/>
    </xf>
    <xf numFmtId="166" fontId="14" fillId="21" borderId="52" xfId="1" applyNumberFormat="1" applyFont="1" applyFill="1" applyBorder="1" applyAlignment="1">
      <alignment vertical="center"/>
    </xf>
    <xf numFmtId="166" fontId="13" fillId="21" borderId="52" xfId="1" applyNumberFormat="1" applyFont="1" applyFill="1" applyBorder="1" applyAlignment="1">
      <alignment vertical="center"/>
    </xf>
    <xf numFmtId="166" fontId="13" fillId="21" borderId="52" xfId="0" applyNumberFormat="1" applyFont="1" applyFill="1" applyBorder="1"/>
    <xf numFmtId="166" fontId="13" fillId="21" borderId="52" xfId="0" applyNumberFormat="1" applyFont="1" applyFill="1" applyBorder="1" applyAlignment="1"/>
    <xf numFmtId="0" fontId="14" fillId="21" borderId="49" xfId="0" applyFont="1" applyFill="1" applyBorder="1"/>
    <xf numFmtId="165" fontId="14" fillId="21" borderId="53" xfId="2" applyNumberFormat="1" applyFont="1" applyFill="1" applyBorder="1"/>
    <xf numFmtId="165" fontId="14" fillId="21" borderId="54" xfId="2" applyNumberFormat="1" applyFont="1" applyFill="1" applyBorder="1"/>
    <xf numFmtId="165" fontId="14" fillId="21" borderId="55" xfId="0" applyNumberFormat="1" applyFont="1" applyFill="1" applyBorder="1"/>
    <xf numFmtId="166" fontId="14" fillId="21" borderId="52" xfId="0" applyNumberFormat="1" applyFont="1" applyFill="1" applyBorder="1"/>
    <xf numFmtId="166" fontId="14" fillId="21" borderId="56" xfId="0" applyNumberFormat="1" applyFont="1" applyFill="1" applyBorder="1" applyAlignment="1">
      <alignment vertical="center"/>
    </xf>
    <xf numFmtId="164" fontId="5" fillId="21" borderId="58" xfId="3" applyNumberFormat="1" applyFont="1" applyFill="1" applyBorder="1" applyAlignment="1">
      <alignment horizontal="right"/>
    </xf>
    <xf numFmtId="43" fontId="6" fillId="21" borderId="59" xfId="1" applyFont="1" applyFill="1" applyBorder="1" applyAlignment="1">
      <alignment horizontal="right"/>
    </xf>
    <xf numFmtId="0" fontId="14" fillId="21" borderId="58" xfId="0" applyFont="1" applyFill="1" applyBorder="1"/>
    <xf numFmtId="165" fontId="14" fillId="21" borderId="60" xfId="2" applyNumberFormat="1" applyFont="1" applyFill="1" applyBorder="1"/>
    <xf numFmtId="165" fontId="14" fillId="21" borderId="61" xfId="2" applyNumberFormat="1" applyFont="1" applyFill="1" applyBorder="1"/>
    <xf numFmtId="165" fontId="14" fillId="21" borderId="62" xfId="0" applyNumberFormat="1" applyFont="1" applyFill="1" applyBorder="1"/>
    <xf numFmtId="0" fontId="6" fillId="21" borderId="20" xfId="0" applyFont="1" applyFill="1" applyBorder="1" applyAlignment="1">
      <alignment horizontal="center" vertical="center"/>
    </xf>
    <xf numFmtId="0" fontId="6" fillId="21" borderId="48" xfId="0" applyFont="1" applyFill="1" applyBorder="1" applyAlignment="1">
      <alignment horizontal="center" vertical="center"/>
    </xf>
    <xf numFmtId="0" fontId="6" fillId="21" borderId="57" xfId="0" applyFont="1" applyFill="1" applyBorder="1" applyAlignment="1">
      <alignment horizontal="center" vertical="center"/>
    </xf>
    <xf numFmtId="164" fontId="3" fillId="21" borderId="6" xfId="3" applyNumberFormat="1" applyFont="1" applyFill="1" applyBorder="1" applyAlignment="1">
      <alignment horizontal="center" vertical="center" readingOrder="2"/>
    </xf>
    <xf numFmtId="164" fontId="3" fillId="21" borderId="7" xfId="3" applyNumberFormat="1" applyFont="1" applyFill="1" applyBorder="1" applyAlignment="1">
      <alignment horizontal="center" vertical="center" readingOrder="2"/>
    </xf>
    <xf numFmtId="164" fontId="3" fillId="21" borderId="8" xfId="3" applyNumberFormat="1" applyFont="1" applyFill="1" applyBorder="1" applyAlignment="1">
      <alignment horizontal="center" vertical="center" readingOrder="2"/>
    </xf>
    <xf numFmtId="164" fontId="57" fillId="21" borderId="6" xfId="3" applyNumberFormat="1" applyFont="1" applyFill="1" applyBorder="1" applyAlignment="1" applyProtection="1">
      <alignment horizontal="center" vertical="center"/>
    </xf>
    <xf numFmtId="164" fontId="57" fillId="21" borderId="7" xfId="3" applyNumberFormat="1" applyFont="1" applyFill="1" applyBorder="1" applyAlignment="1" applyProtection="1">
      <alignment horizontal="center" vertical="center"/>
    </xf>
    <xf numFmtId="164" fontId="57" fillId="21" borderId="8" xfId="3" applyNumberFormat="1" applyFont="1" applyFill="1" applyBorder="1" applyAlignment="1" applyProtection="1">
      <alignment horizontal="center" vertical="center"/>
    </xf>
    <xf numFmtId="0" fontId="24" fillId="21" borderId="6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42" fillId="21" borderId="16" xfId="0" applyFont="1" applyFill="1" applyBorder="1" applyAlignment="1">
      <alignment horizontal="center"/>
    </xf>
    <xf numFmtId="0" fontId="42" fillId="21" borderId="17" xfId="0" applyFont="1" applyFill="1" applyBorder="1" applyAlignment="1">
      <alignment horizontal="center"/>
    </xf>
    <xf numFmtId="0" fontId="42" fillId="21" borderId="18" xfId="0" applyFont="1" applyFill="1" applyBorder="1" applyAlignment="1">
      <alignment horizontal="center"/>
    </xf>
    <xf numFmtId="0" fontId="13" fillId="21" borderId="3" xfId="0" applyFont="1" applyFill="1" applyBorder="1" applyAlignment="1">
      <alignment horizontal="center" vertical="center"/>
    </xf>
    <xf numFmtId="0" fontId="6" fillId="21" borderId="37" xfId="0" applyFont="1" applyFill="1" applyBorder="1" applyAlignment="1">
      <alignment horizontal="center" vertical="center"/>
    </xf>
  </cellXfs>
  <cellStyles count="300">
    <cellStyle name="1" xfId="5"/>
    <cellStyle name="1_1" xfId="6"/>
    <cellStyle name="1_16" xfId="7"/>
    <cellStyle name="1_92-2000" xfId="8"/>
    <cellStyle name="1_Book2" xfId="9"/>
    <cellStyle name="1_Book3" xfId="10"/>
    <cellStyle name="1_Book4" xfId="11"/>
    <cellStyle name="1_monthly series 89-99" xfId="12"/>
    <cellStyle name="1_tab-2000" xfId="13"/>
    <cellStyle name="Accent1 - 20%" xfId="14"/>
    <cellStyle name="Accent1 - 40%" xfId="15"/>
    <cellStyle name="Accent1 - 60%" xfId="16"/>
    <cellStyle name="Accent1 2" xfId="17"/>
    <cellStyle name="Accent1 3" xfId="18"/>
    <cellStyle name="Accent1 4" xfId="19"/>
    <cellStyle name="Accent1 5" xfId="20"/>
    <cellStyle name="Accent1 6" xfId="21"/>
    <cellStyle name="Accent1 7" xfId="22"/>
    <cellStyle name="Accent1 8" xfId="23"/>
    <cellStyle name="Accent1 9" xfId="24"/>
    <cellStyle name="Accent2 - 20%" xfId="25"/>
    <cellStyle name="Accent2 - 40%" xfId="26"/>
    <cellStyle name="Accent2 - 60%" xfId="27"/>
    <cellStyle name="Accent2 2" xfId="28"/>
    <cellStyle name="Accent2 3" xfId="29"/>
    <cellStyle name="Accent2 4" xfId="30"/>
    <cellStyle name="Accent2 5" xfId="31"/>
    <cellStyle name="Accent2 6" xfId="32"/>
    <cellStyle name="Accent2 7" xfId="33"/>
    <cellStyle name="Accent2 8" xfId="34"/>
    <cellStyle name="Accent2 9" xfId="35"/>
    <cellStyle name="Accent3 - 20%" xfId="36"/>
    <cellStyle name="Accent3 - 40%" xfId="37"/>
    <cellStyle name="Accent3 - 60%" xfId="38"/>
    <cellStyle name="Accent3 2" xfId="39"/>
    <cellStyle name="Accent3 3" xfId="40"/>
    <cellStyle name="Accent3 4" xfId="41"/>
    <cellStyle name="Accent3 5" xfId="42"/>
    <cellStyle name="Accent3 6" xfId="43"/>
    <cellStyle name="Accent3 7" xfId="44"/>
    <cellStyle name="Accent3 8" xfId="45"/>
    <cellStyle name="Accent3 9" xfId="46"/>
    <cellStyle name="Accent4 - 20%" xfId="47"/>
    <cellStyle name="Accent4 - 40%" xfId="48"/>
    <cellStyle name="Accent4 - 60%" xfId="49"/>
    <cellStyle name="Accent4 2" xfId="50"/>
    <cellStyle name="Accent4 3" xfId="51"/>
    <cellStyle name="Accent4 4" xfId="52"/>
    <cellStyle name="Accent4 5" xfId="53"/>
    <cellStyle name="Accent4 6" xfId="54"/>
    <cellStyle name="Accent4 7" xfId="55"/>
    <cellStyle name="Accent4 8" xfId="56"/>
    <cellStyle name="Accent4 9" xfId="57"/>
    <cellStyle name="Accent5 - 20%" xfId="58"/>
    <cellStyle name="Accent5 - 40%" xfId="59"/>
    <cellStyle name="Accent5 - 60%" xfId="60"/>
    <cellStyle name="Accent5 2" xfId="61"/>
    <cellStyle name="Accent5 3" xfId="62"/>
    <cellStyle name="Accent5 4" xfId="63"/>
    <cellStyle name="Accent5 5" xfId="64"/>
    <cellStyle name="Accent5 6" xfId="65"/>
    <cellStyle name="Accent5 7" xfId="66"/>
    <cellStyle name="Accent5 8" xfId="67"/>
    <cellStyle name="Accent5 9" xfId="68"/>
    <cellStyle name="Accent6 - 20%" xfId="69"/>
    <cellStyle name="Accent6 - 40%" xfId="70"/>
    <cellStyle name="Accent6 - 60%" xfId="71"/>
    <cellStyle name="Accent6 2" xfId="72"/>
    <cellStyle name="Accent6 3" xfId="73"/>
    <cellStyle name="Accent6 4" xfId="74"/>
    <cellStyle name="Accent6 5" xfId="75"/>
    <cellStyle name="Accent6 6" xfId="76"/>
    <cellStyle name="Accent6 7" xfId="77"/>
    <cellStyle name="Accent6 8" xfId="78"/>
    <cellStyle name="Accent6 9" xfId="79"/>
    <cellStyle name="AutoFormat Options" xfId="80"/>
    <cellStyle name="Bad 2" xfId="81"/>
    <cellStyle name="Bad 3" xfId="82"/>
    <cellStyle name="Bad 4" xfId="83"/>
    <cellStyle name="Bad 5" xfId="84"/>
    <cellStyle name="Bad 6" xfId="85"/>
    <cellStyle name="Bad 7" xfId="86"/>
    <cellStyle name="Bad 8" xfId="87"/>
    <cellStyle name="Bad 9" xfId="88"/>
    <cellStyle name="Calc C - Style1" xfId="89"/>
    <cellStyle name="Calc C - Style2" xfId="90"/>
    <cellStyle name="Calc C - Style3" xfId="91"/>
    <cellStyle name="Calc C - Style4" xfId="92"/>
    <cellStyle name="Calc C - Style5" xfId="93"/>
    <cellStyle name="Calc C - Style6" xfId="94"/>
    <cellStyle name="Calc C - Style7" xfId="95"/>
    <cellStyle name="Calc C - Style8" xfId="96"/>
    <cellStyle name="Calc Currency (0)" xfId="97"/>
    <cellStyle name="Calc Currency (2)" xfId="98"/>
    <cellStyle name="Calc Percent (0)" xfId="99"/>
    <cellStyle name="Calc Percent (1)" xfId="100"/>
    <cellStyle name="Calc Percent (2)" xfId="101"/>
    <cellStyle name="Calc Units (0)" xfId="102"/>
    <cellStyle name="Calc Units (1)" xfId="103"/>
    <cellStyle name="Calc Units (2)" xfId="104"/>
    <cellStyle name="Calculation 2" xfId="105"/>
    <cellStyle name="Calculation 3" xfId="106"/>
    <cellStyle name="Calculation 4" xfId="107"/>
    <cellStyle name="Calculation 5" xfId="108"/>
    <cellStyle name="Calculation 6" xfId="109"/>
    <cellStyle name="Calculation 7" xfId="110"/>
    <cellStyle name="Calculation 8" xfId="111"/>
    <cellStyle name="Calculation 9" xfId="112"/>
    <cellStyle name="Change A&amp;ll" xfId="113"/>
    <cellStyle name="Check Cell 2" xfId="114"/>
    <cellStyle name="Check Cell 3" xfId="115"/>
    <cellStyle name="Check Cell 4" xfId="116"/>
    <cellStyle name="Check Cell 5" xfId="117"/>
    <cellStyle name="Check Cell 6" xfId="118"/>
    <cellStyle name="Check Cell 7" xfId="119"/>
    <cellStyle name="Check Cell 8" xfId="120"/>
    <cellStyle name="Check Cell 9" xfId="121"/>
    <cellStyle name="Comma" xfId="1" builtinId="3"/>
    <cellStyle name="Comma  - Style1" xfId="122"/>
    <cellStyle name="Comma  - Style2" xfId="123"/>
    <cellStyle name="Comma  - Style3" xfId="124"/>
    <cellStyle name="Comma  - Style4" xfId="125"/>
    <cellStyle name="Comma  - Style5" xfId="126"/>
    <cellStyle name="Comma  - Style6" xfId="127"/>
    <cellStyle name="Comma  - Style7" xfId="128"/>
    <cellStyle name="Comma  - Style8" xfId="129"/>
    <cellStyle name="Comma [00]" xfId="130"/>
    <cellStyle name="Comma 10" xfId="131"/>
    <cellStyle name="Comma 2" xfId="132"/>
    <cellStyle name="Comma 2 2" xfId="133"/>
    <cellStyle name="Comma 2 3" xfId="134"/>
    <cellStyle name="Comma 3" xfId="135"/>
    <cellStyle name="Comma 3 2" xfId="136"/>
    <cellStyle name="Comma 3 3" xfId="137"/>
    <cellStyle name="Comma 3 4" xfId="138"/>
    <cellStyle name="Comma 3 5" xfId="139"/>
    <cellStyle name="Comma 3 6" xfId="140"/>
    <cellStyle name="Comma 3 7" xfId="141"/>
    <cellStyle name="Comma 3 8" xfId="142"/>
    <cellStyle name="Currency [00]" xfId="143"/>
    <cellStyle name="Date Short" xfId="144"/>
    <cellStyle name="Emphasis 1" xfId="145"/>
    <cellStyle name="Emphasis 2" xfId="146"/>
    <cellStyle name="Emphasis 3" xfId="147"/>
    <cellStyle name="Enter Currency (0)" xfId="148"/>
    <cellStyle name="Enter Currency (2)" xfId="149"/>
    <cellStyle name="Enter Units (0)" xfId="150"/>
    <cellStyle name="Enter Units (1)" xfId="151"/>
    <cellStyle name="Enter Units (2)" xfId="152"/>
    <cellStyle name="Good 2" xfId="153"/>
    <cellStyle name="Good 3" xfId="154"/>
    <cellStyle name="Good 4" xfId="155"/>
    <cellStyle name="Good 5" xfId="156"/>
    <cellStyle name="Good 6" xfId="157"/>
    <cellStyle name="Good 7" xfId="158"/>
    <cellStyle name="Good 8" xfId="159"/>
    <cellStyle name="Good 9" xfId="160"/>
    <cellStyle name="Grey" xfId="161"/>
    <cellStyle name="Header1" xfId="162"/>
    <cellStyle name="Header2" xfId="163"/>
    <cellStyle name="Heading 1 2" xfId="164"/>
    <cellStyle name="Heading 1 3" xfId="165"/>
    <cellStyle name="Heading 1 4" xfId="166"/>
    <cellStyle name="Heading 1 5" xfId="167"/>
    <cellStyle name="Heading 1 6" xfId="168"/>
    <cellStyle name="Heading 1 7" xfId="169"/>
    <cellStyle name="Heading 1 8" xfId="170"/>
    <cellStyle name="Heading 1 9" xfId="171"/>
    <cellStyle name="Heading 2 2" xfId="172"/>
    <cellStyle name="Heading 2 3" xfId="173"/>
    <cellStyle name="Heading 2 4" xfId="174"/>
    <cellStyle name="Heading 2 5" xfId="175"/>
    <cellStyle name="Heading 2 6" xfId="176"/>
    <cellStyle name="Heading 2 7" xfId="177"/>
    <cellStyle name="Heading 2 8" xfId="178"/>
    <cellStyle name="Heading 2 9" xfId="179"/>
    <cellStyle name="Heading 3 2" xfId="180"/>
    <cellStyle name="Heading 3 3" xfId="181"/>
    <cellStyle name="Heading 3 4" xfId="182"/>
    <cellStyle name="Heading 3 5" xfId="183"/>
    <cellStyle name="Heading 3 6" xfId="184"/>
    <cellStyle name="Heading 3 7" xfId="185"/>
    <cellStyle name="Heading 3 8" xfId="186"/>
    <cellStyle name="Heading 3 9" xfId="187"/>
    <cellStyle name="Heading 4 2" xfId="188"/>
    <cellStyle name="Heading 4 3" xfId="189"/>
    <cellStyle name="Heading 4 4" xfId="190"/>
    <cellStyle name="Heading 4 5" xfId="191"/>
    <cellStyle name="Heading 4 6" xfId="192"/>
    <cellStyle name="Heading 4 7" xfId="193"/>
    <cellStyle name="Heading 4 8" xfId="194"/>
    <cellStyle name="Heading 4 9" xfId="195"/>
    <cellStyle name="Input [yellow]" xfId="196"/>
    <cellStyle name="Input 2" xfId="197"/>
    <cellStyle name="Input 3" xfId="198"/>
    <cellStyle name="Input 4" xfId="199"/>
    <cellStyle name="Input 5" xfId="200"/>
    <cellStyle name="Input 6" xfId="201"/>
    <cellStyle name="Input 7" xfId="202"/>
    <cellStyle name="Input 8" xfId="203"/>
    <cellStyle name="Input 9" xfId="204"/>
    <cellStyle name="Link Currency (0)" xfId="205"/>
    <cellStyle name="Link Currency (2)" xfId="206"/>
    <cellStyle name="Link Units (0)" xfId="207"/>
    <cellStyle name="Link Units (1)" xfId="208"/>
    <cellStyle name="Link Units (2)" xfId="209"/>
    <cellStyle name="Linked Cell 2" xfId="210"/>
    <cellStyle name="Linked Cell 3" xfId="211"/>
    <cellStyle name="Linked Cell 4" xfId="212"/>
    <cellStyle name="Linked Cell 5" xfId="213"/>
    <cellStyle name="Linked Cell 6" xfId="214"/>
    <cellStyle name="Linked Cell 7" xfId="215"/>
    <cellStyle name="Linked Cell 8" xfId="216"/>
    <cellStyle name="Linked Cell 9" xfId="217"/>
    <cellStyle name="Milliers [0]_VERA" xfId="218"/>
    <cellStyle name="Milliers_VERA" xfId="219"/>
    <cellStyle name="Monétaire [0]_VERA" xfId="220"/>
    <cellStyle name="Monétaire_VERA" xfId="221"/>
    <cellStyle name="Neutral 2" xfId="222"/>
    <cellStyle name="Neutral 3" xfId="223"/>
    <cellStyle name="Neutral 4" xfId="224"/>
    <cellStyle name="Neutral 5" xfId="225"/>
    <cellStyle name="Neutral 6" xfId="226"/>
    <cellStyle name="Neutral 7" xfId="227"/>
    <cellStyle name="Neutral 8" xfId="228"/>
    <cellStyle name="Neutral 9" xfId="229"/>
    <cellStyle name="Normal" xfId="0" builtinId="0"/>
    <cellStyle name="Normal - Style1" xfId="230"/>
    <cellStyle name="Normal 14" xfId="4"/>
    <cellStyle name="Normal 2" xfId="231"/>
    <cellStyle name="Normal 2 2" xfId="232"/>
    <cellStyle name="Normal 3" xfId="233"/>
    <cellStyle name="Normal 5" xfId="234"/>
    <cellStyle name="Normal 6" xfId="235"/>
    <cellStyle name="Normal 7" xfId="236"/>
    <cellStyle name="Normal 8" xfId="237"/>
    <cellStyle name="Normal 9" xfId="238"/>
    <cellStyle name="Normal_Finance - XI" xfId="3"/>
    <cellStyle name="Note 2" xfId="239"/>
    <cellStyle name="Note 3" xfId="240"/>
    <cellStyle name="Note 4" xfId="241"/>
    <cellStyle name="Note 5" xfId="242"/>
    <cellStyle name="Note 6" xfId="243"/>
    <cellStyle name="Note 7" xfId="244"/>
    <cellStyle name="Note 8" xfId="245"/>
    <cellStyle name="Note 9" xfId="246"/>
    <cellStyle name="Output 2" xfId="247"/>
    <cellStyle name="Output 3" xfId="248"/>
    <cellStyle name="Output 4" xfId="249"/>
    <cellStyle name="Output 5" xfId="250"/>
    <cellStyle name="Output 6" xfId="251"/>
    <cellStyle name="Output 7" xfId="252"/>
    <cellStyle name="Output 8" xfId="253"/>
    <cellStyle name="Output 9" xfId="254"/>
    <cellStyle name="Pattern" xfId="255"/>
    <cellStyle name="Percent" xfId="2" builtinId="5"/>
    <cellStyle name="Percent [0]" xfId="256"/>
    <cellStyle name="Percent [00]" xfId="257"/>
    <cellStyle name="Percent [2]" xfId="258"/>
    <cellStyle name="Percent 2" xfId="259"/>
    <cellStyle name="Percent 2 2" xfId="260"/>
    <cellStyle name="Percent 2 3" xfId="261"/>
    <cellStyle name="Percent 3 2" xfId="262"/>
    <cellStyle name="Percent 3 3" xfId="263"/>
    <cellStyle name="Percent 3 4" xfId="264"/>
    <cellStyle name="Percent 3 5" xfId="265"/>
    <cellStyle name="Percent 3 6" xfId="266"/>
    <cellStyle name="Percent 3 7" xfId="267"/>
    <cellStyle name="Percent 3 8" xfId="268"/>
    <cellStyle name="PrePop Currency (0)" xfId="269"/>
    <cellStyle name="PrePop Currency (2)" xfId="270"/>
    <cellStyle name="PrePop Units (0)" xfId="271"/>
    <cellStyle name="PrePop Units (1)" xfId="272"/>
    <cellStyle name="PrePop Units (2)" xfId="273"/>
    <cellStyle name="Sheet Title" xfId="274"/>
    <cellStyle name="STYL1 - Style1" xfId="275"/>
    <cellStyle name="STYL2 - Style2" xfId="276"/>
    <cellStyle name="STYL3 - Style3" xfId="277"/>
    <cellStyle name="STYL4 - Style4" xfId="278"/>
    <cellStyle name="STYL5 - Style5" xfId="279"/>
    <cellStyle name="Text Indent A" xfId="280"/>
    <cellStyle name="Text Indent B" xfId="281"/>
    <cellStyle name="Text Indent C" xfId="282"/>
    <cellStyle name="Total 2" xfId="283"/>
    <cellStyle name="Total 3" xfId="284"/>
    <cellStyle name="Total 4" xfId="285"/>
    <cellStyle name="Total 5" xfId="286"/>
    <cellStyle name="Total 6" xfId="287"/>
    <cellStyle name="Total 7" xfId="288"/>
    <cellStyle name="Total 8" xfId="289"/>
    <cellStyle name="Total 9" xfId="290"/>
    <cellStyle name="Update" xfId="291"/>
    <cellStyle name="Warning Text 2" xfId="292"/>
    <cellStyle name="Warning Text 3" xfId="293"/>
    <cellStyle name="Warning Text 4" xfId="294"/>
    <cellStyle name="Warning Text 5" xfId="295"/>
    <cellStyle name="Warning Text 6" xfId="296"/>
    <cellStyle name="Warning Text 7" xfId="297"/>
    <cellStyle name="Warning Text 8" xfId="298"/>
    <cellStyle name="Warning Text 9" xfId="299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ata\Moneatary_Policy_and_Research\Research_and_Publications_Section\Publications\Quarterly_Economic_Bulletin\QEB%202009\Q2%202009\Financial%20sector\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Z126"/>
  <sheetViews>
    <sheetView tabSelected="1" zoomScale="106" zoomScaleNormal="106" zoomScaleSheetLayoutView="78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16" sqref="A16"/>
    </sheetView>
  </sheetViews>
  <sheetFormatPr defaultColWidth="9.140625" defaultRowHeight="18.75" x14ac:dyDescent="0.5"/>
  <cols>
    <col min="1" max="1" width="46.7109375" style="18" customWidth="1"/>
    <col min="2" max="2" width="2.7109375" style="18" customWidth="1"/>
    <col min="3" max="6" width="13.140625" style="18" customWidth="1"/>
    <col min="7" max="7" width="1.42578125" style="18" customWidth="1"/>
    <col min="8" max="11" width="13.140625" style="18" customWidth="1"/>
    <col min="12" max="12" width="1.42578125" style="18" customWidth="1"/>
    <col min="13" max="16" width="13.140625" style="18" customWidth="1"/>
    <col min="17" max="17" width="1.140625" style="18" customWidth="1"/>
    <col min="18" max="21" width="13.140625" style="18" customWidth="1"/>
    <col min="22" max="22" width="35.42578125" style="18" customWidth="1"/>
    <col min="23" max="23" width="4.28515625" style="18" customWidth="1"/>
    <col min="24" max="24" width="3.7109375" style="102" customWidth="1"/>
    <col min="25" max="25" width="3.5703125" style="102" customWidth="1"/>
    <col min="26" max="26" width="2.7109375" style="18" customWidth="1"/>
    <col min="27" max="16384" width="9.140625" style="18"/>
  </cols>
  <sheetData>
    <row r="1" spans="1:26" ht="21.75" x14ac:dyDescent="0.25">
      <c r="A1" s="195" t="s">
        <v>89</v>
      </c>
      <c r="B1" s="196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7"/>
    </row>
    <row r="2" spans="1:26" s="22" customFormat="1" ht="15.75" x14ac:dyDescent="0.25">
      <c r="A2" s="198" t="s">
        <v>90</v>
      </c>
      <c r="B2" s="199"/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200"/>
    </row>
    <row r="3" spans="1:26" ht="19.5" x14ac:dyDescent="0.5">
      <c r="A3" s="201" t="s">
        <v>0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3"/>
    </row>
    <row r="4" spans="1:26" ht="15.75" x14ac:dyDescent="0.25">
      <c r="A4" s="204" t="s">
        <v>1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6"/>
    </row>
    <row r="5" spans="1:26" ht="18" x14ac:dyDescent="0.45">
      <c r="A5" s="23"/>
      <c r="B5" s="24"/>
      <c r="C5" s="192">
        <v>2015</v>
      </c>
      <c r="D5" s="192"/>
      <c r="E5" s="192"/>
      <c r="F5" s="192"/>
      <c r="G5" s="168"/>
      <c r="H5" s="193">
        <v>2016</v>
      </c>
      <c r="I5" s="192"/>
      <c r="J5" s="192"/>
      <c r="K5" s="194"/>
      <c r="L5" s="170"/>
      <c r="M5" s="207" t="s">
        <v>87</v>
      </c>
      <c r="N5" s="207"/>
      <c r="O5" s="207"/>
      <c r="P5" s="207"/>
      <c r="Q5" s="167"/>
      <c r="R5" s="208">
        <v>2018</v>
      </c>
      <c r="S5" s="192"/>
      <c r="T5" s="192"/>
      <c r="U5" s="192"/>
      <c r="V5" s="25"/>
      <c r="W5" s="25"/>
      <c r="X5" s="26"/>
      <c r="Y5" s="27"/>
      <c r="Z5" s="28"/>
    </row>
    <row r="6" spans="1:26" ht="18" x14ac:dyDescent="0.45">
      <c r="A6" s="29" t="s">
        <v>2</v>
      </c>
      <c r="B6" s="10"/>
      <c r="C6" s="9" t="s">
        <v>3</v>
      </c>
      <c r="D6" s="9" t="s">
        <v>4</v>
      </c>
      <c r="E6" s="9" t="s">
        <v>5</v>
      </c>
      <c r="F6" s="1" t="s">
        <v>6</v>
      </c>
      <c r="G6" s="140"/>
      <c r="H6" s="171" t="s">
        <v>3</v>
      </c>
      <c r="I6" s="9" t="s">
        <v>4</v>
      </c>
      <c r="J6" s="9" t="s">
        <v>5</v>
      </c>
      <c r="K6" s="186" t="s">
        <v>6</v>
      </c>
      <c r="L6" s="139"/>
      <c r="M6" s="9" t="s">
        <v>3</v>
      </c>
      <c r="N6" s="9" t="s">
        <v>4</v>
      </c>
      <c r="O6" s="9" t="s">
        <v>5</v>
      </c>
      <c r="P6" s="140" t="s">
        <v>6</v>
      </c>
      <c r="Q6" s="152"/>
      <c r="R6" s="139" t="s">
        <v>3</v>
      </c>
      <c r="S6" s="9" t="s">
        <v>4</v>
      </c>
      <c r="T6" s="9" t="s">
        <v>5</v>
      </c>
      <c r="U6" s="9" t="s">
        <v>6</v>
      </c>
      <c r="V6" s="30"/>
      <c r="W6" s="30"/>
      <c r="X6" s="31"/>
      <c r="Y6" s="32" t="s">
        <v>7</v>
      </c>
      <c r="Z6" s="21"/>
    </row>
    <row r="7" spans="1:26" ht="15.75" customHeight="1" x14ac:dyDescent="0.45">
      <c r="A7" s="33"/>
      <c r="B7" s="34"/>
      <c r="C7" s="129" t="s">
        <v>8</v>
      </c>
      <c r="D7" s="129" t="s">
        <v>9</v>
      </c>
      <c r="E7" s="129" t="s">
        <v>10</v>
      </c>
      <c r="F7" s="11" t="s">
        <v>80</v>
      </c>
      <c r="G7" s="142"/>
      <c r="H7" s="172" t="s">
        <v>8</v>
      </c>
      <c r="I7" s="129" t="s">
        <v>9</v>
      </c>
      <c r="J7" s="129" t="s">
        <v>10</v>
      </c>
      <c r="K7" s="187" t="s">
        <v>24</v>
      </c>
      <c r="L7" s="147"/>
      <c r="M7" s="129" t="s">
        <v>8</v>
      </c>
      <c r="N7" s="129" t="s">
        <v>9</v>
      </c>
      <c r="O7" s="129" t="s">
        <v>10</v>
      </c>
      <c r="P7" s="142" t="s">
        <v>24</v>
      </c>
      <c r="Q7" s="153"/>
      <c r="R7" s="147" t="s">
        <v>8</v>
      </c>
      <c r="S7" s="129" t="s">
        <v>9</v>
      </c>
      <c r="T7" s="129" t="s">
        <v>10</v>
      </c>
      <c r="U7" s="129" t="s">
        <v>24</v>
      </c>
      <c r="V7" s="35"/>
      <c r="W7" s="35"/>
      <c r="X7" s="36"/>
      <c r="Y7" s="37"/>
      <c r="Z7" s="38"/>
    </row>
    <row r="8" spans="1:26" s="15" customFormat="1" ht="17.25" x14ac:dyDescent="0.45">
      <c r="A8" s="39" t="s">
        <v>27</v>
      </c>
      <c r="B8" s="40"/>
      <c r="C8" s="131">
        <v>42098.28</v>
      </c>
      <c r="D8" s="131">
        <v>42878.508000000002</v>
      </c>
      <c r="E8" s="131">
        <v>43358.797999999988</v>
      </c>
      <c r="F8" s="131">
        <v>44142.386999999995</v>
      </c>
      <c r="G8" s="131"/>
      <c r="H8" s="173">
        <v>47187.440999999999</v>
      </c>
      <c r="I8" s="131">
        <v>46849.615000000005</v>
      </c>
      <c r="J8" s="131">
        <v>47600.88700000001</v>
      </c>
      <c r="K8" s="154">
        <v>46379.371999999996</v>
      </c>
      <c r="L8" s="131"/>
      <c r="M8" s="131">
        <v>47387.270999999993</v>
      </c>
      <c r="N8" s="131">
        <v>47512.122000000003</v>
      </c>
      <c r="O8" s="131">
        <v>46127.828000000001</v>
      </c>
      <c r="P8" s="131">
        <v>48690.464</v>
      </c>
      <c r="Q8" s="154"/>
      <c r="R8" s="131">
        <v>50834.616999999998</v>
      </c>
      <c r="S8" s="131">
        <v>50294.343000000008</v>
      </c>
      <c r="T8" s="131">
        <v>49142.468999999997</v>
      </c>
      <c r="U8" s="131">
        <v>50966.390000000007</v>
      </c>
      <c r="V8" s="128"/>
      <c r="W8" s="41"/>
      <c r="X8" s="42"/>
      <c r="Y8" s="43" t="s">
        <v>28</v>
      </c>
      <c r="Z8" s="44"/>
    </row>
    <row r="9" spans="1:26" s="15" customFormat="1" ht="17.25" x14ac:dyDescent="0.45">
      <c r="A9" s="17" t="s">
        <v>29</v>
      </c>
      <c r="B9" s="108"/>
      <c r="C9" s="103">
        <v>5209.4740000000011</v>
      </c>
      <c r="D9" s="103">
        <v>5203.68</v>
      </c>
      <c r="E9" s="103">
        <v>4747.0309999999999</v>
      </c>
      <c r="F9" s="103">
        <v>5112.7849999999999</v>
      </c>
      <c r="G9" s="103"/>
      <c r="H9" s="174">
        <v>5610.7910000000011</v>
      </c>
      <c r="I9" s="103">
        <v>5005.8369999999995</v>
      </c>
      <c r="J9" s="103">
        <v>5388.3660000000009</v>
      </c>
      <c r="K9" s="155">
        <v>4519.4179999999997</v>
      </c>
      <c r="L9" s="103"/>
      <c r="M9" s="103">
        <v>4619.8140000000003</v>
      </c>
      <c r="N9" s="103">
        <v>3928.1240000000003</v>
      </c>
      <c r="O9" s="103">
        <v>3230.3100000000004</v>
      </c>
      <c r="P9" s="103">
        <v>3949.375</v>
      </c>
      <c r="Q9" s="155"/>
      <c r="R9" s="103">
        <v>3972.3070000000007</v>
      </c>
      <c r="S9" s="103">
        <v>2239.8380000000002</v>
      </c>
      <c r="T9" s="103">
        <v>2254.6080000000002</v>
      </c>
      <c r="U9" s="103">
        <v>2998.3120000000004</v>
      </c>
      <c r="V9" s="114"/>
      <c r="W9" s="45"/>
      <c r="X9" s="46"/>
      <c r="Y9" s="47" t="s">
        <v>42</v>
      </c>
    </row>
    <row r="10" spans="1:26" s="15" customFormat="1" ht="17.25" x14ac:dyDescent="0.45">
      <c r="A10" s="17" t="s">
        <v>43</v>
      </c>
      <c r="B10" s="108"/>
      <c r="C10" s="103">
        <v>467.10300000000001</v>
      </c>
      <c r="D10" s="103">
        <v>489.99700000000001</v>
      </c>
      <c r="E10" s="103">
        <v>555.53800000000001</v>
      </c>
      <c r="F10" s="103">
        <v>464.55</v>
      </c>
      <c r="G10" s="103"/>
      <c r="H10" s="174">
        <v>568.15200000000004</v>
      </c>
      <c r="I10" s="103">
        <v>636.24300000000005</v>
      </c>
      <c r="J10" s="103">
        <v>548.23699999999997</v>
      </c>
      <c r="K10" s="155">
        <v>548.50199999999995</v>
      </c>
      <c r="L10" s="103"/>
      <c r="M10" s="103">
        <v>598.27</v>
      </c>
      <c r="N10" s="103">
        <v>648.39099999999996</v>
      </c>
      <c r="O10" s="103">
        <v>609.23900000000003</v>
      </c>
      <c r="P10" s="103">
        <v>583.79300000000001</v>
      </c>
      <c r="Q10" s="155"/>
      <c r="R10" s="103">
        <v>603.50699999999995</v>
      </c>
      <c r="S10" s="103">
        <v>633.41800000000001</v>
      </c>
      <c r="T10" s="103">
        <v>619.21199999999999</v>
      </c>
      <c r="U10" s="103">
        <v>611.99400000000003</v>
      </c>
      <c r="V10" s="115"/>
      <c r="W10" s="48"/>
      <c r="X10" s="49"/>
      <c r="Y10" s="50" t="s">
        <v>44</v>
      </c>
    </row>
    <row r="11" spans="1:26" s="15" customFormat="1" ht="18" x14ac:dyDescent="0.45">
      <c r="A11" s="17" t="s">
        <v>45</v>
      </c>
      <c r="B11" s="108"/>
      <c r="C11" s="103">
        <v>11577.026</v>
      </c>
      <c r="D11" s="103">
        <v>12459.741</v>
      </c>
      <c r="E11" s="103">
        <v>10554.111000000001</v>
      </c>
      <c r="F11" s="103">
        <v>10345.530000000001</v>
      </c>
      <c r="G11" s="103"/>
      <c r="H11" s="174">
        <v>11656.470000000001</v>
      </c>
      <c r="I11" s="103">
        <v>10860.045</v>
      </c>
      <c r="J11" s="103">
        <v>10148.405999999999</v>
      </c>
      <c r="K11" s="155">
        <v>9133.1270000000004</v>
      </c>
      <c r="L11" s="103"/>
      <c r="M11" s="103">
        <v>9551.1569999999992</v>
      </c>
      <c r="N11" s="103">
        <v>9101.9359999999997</v>
      </c>
      <c r="O11" s="103">
        <v>9737.402</v>
      </c>
      <c r="P11" s="103">
        <v>10508.601000000001</v>
      </c>
      <c r="Q11" s="155"/>
      <c r="R11" s="103">
        <v>12026.076999999999</v>
      </c>
      <c r="S11" s="103">
        <v>12153.311</v>
      </c>
      <c r="T11" s="103">
        <v>9869.2009999999991</v>
      </c>
      <c r="U11" s="103">
        <v>10689.607</v>
      </c>
      <c r="V11" s="116"/>
      <c r="W11" s="51"/>
      <c r="X11" s="52"/>
      <c r="Y11" s="47" t="s">
        <v>46</v>
      </c>
    </row>
    <row r="12" spans="1:26" s="15" customFormat="1" ht="17.25" x14ac:dyDescent="0.45">
      <c r="A12" s="17" t="s">
        <v>36</v>
      </c>
      <c r="B12" s="108"/>
      <c r="C12" s="103">
        <v>6317.7650000000003</v>
      </c>
      <c r="D12" s="103">
        <v>6752.973</v>
      </c>
      <c r="E12" s="103">
        <v>8155.7859999999991</v>
      </c>
      <c r="F12" s="103">
        <v>8324.098</v>
      </c>
      <c r="G12" s="103"/>
      <c r="H12" s="174">
        <v>8942.1830000000009</v>
      </c>
      <c r="I12" s="103">
        <v>9568.4909999999982</v>
      </c>
      <c r="J12" s="103">
        <v>9994.2340000000004</v>
      </c>
      <c r="K12" s="155">
        <v>10612.631000000001</v>
      </c>
      <c r="L12" s="103"/>
      <c r="M12" s="103">
        <v>10379.535000000002</v>
      </c>
      <c r="N12" s="103">
        <v>10295.951000000001</v>
      </c>
      <c r="O12" s="103">
        <v>8576.89</v>
      </c>
      <c r="P12" s="103">
        <v>9092.1360000000004</v>
      </c>
      <c r="Q12" s="155"/>
      <c r="R12" s="103">
        <v>9410.527</v>
      </c>
      <c r="S12" s="103">
        <v>9183.6949999999997</v>
      </c>
      <c r="T12" s="103">
        <v>9255.75</v>
      </c>
      <c r="U12" s="103">
        <v>9910.3870000000006</v>
      </c>
      <c r="V12" s="115"/>
      <c r="W12" s="48"/>
      <c r="X12" s="53"/>
      <c r="Y12" s="54" t="s">
        <v>47</v>
      </c>
    </row>
    <row r="13" spans="1:26" s="15" customFormat="1" ht="17.25" x14ac:dyDescent="0.45">
      <c r="A13" s="19" t="s">
        <v>48</v>
      </c>
      <c r="B13" s="109"/>
      <c r="C13" s="104">
        <v>0</v>
      </c>
      <c r="D13" s="104">
        <v>0</v>
      </c>
      <c r="E13" s="104">
        <v>0</v>
      </c>
      <c r="F13" s="104">
        <v>0</v>
      </c>
      <c r="G13" s="104"/>
      <c r="H13" s="175">
        <v>0</v>
      </c>
      <c r="I13" s="104">
        <v>0</v>
      </c>
      <c r="J13" s="104">
        <v>0</v>
      </c>
      <c r="K13" s="156">
        <v>0</v>
      </c>
      <c r="L13" s="104"/>
      <c r="M13" s="104">
        <v>0</v>
      </c>
      <c r="N13" s="104">
        <v>0</v>
      </c>
      <c r="O13" s="104">
        <v>0</v>
      </c>
      <c r="P13" s="104">
        <v>0</v>
      </c>
      <c r="Q13" s="156"/>
      <c r="R13" s="104">
        <v>0</v>
      </c>
      <c r="S13" s="104">
        <v>0</v>
      </c>
      <c r="T13" s="104">
        <v>0</v>
      </c>
      <c r="U13" s="104">
        <v>0</v>
      </c>
      <c r="V13" s="117"/>
      <c r="W13" s="55"/>
      <c r="X13" s="53" t="s">
        <v>49</v>
      </c>
      <c r="Y13" s="56"/>
    </row>
    <row r="14" spans="1:26" s="15" customFormat="1" ht="17.25" x14ac:dyDescent="0.45">
      <c r="A14" s="19" t="s">
        <v>50</v>
      </c>
      <c r="B14" s="109"/>
      <c r="C14" s="104">
        <v>6317.7650000000003</v>
      </c>
      <c r="D14" s="104">
        <v>6752.973</v>
      </c>
      <c r="E14" s="104">
        <v>7502.28</v>
      </c>
      <c r="F14" s="104">
        <v>7668.826</v>
      </c>
      <c r="G14" s="104"/>
      <c r="H14" s="175">
        <v>8284.4480000000003</v>
      </c>
      <c r="I14" s="104">
        <v>8908.1849999999995</v>
      </c>
      <c r="J14" s="104">
        <v>9397.8539999999994</v>
      </c>
      <c r="K14" s="156">
        <v>10016.342000000001</v>
      </c>
      <c r="L14" s="104"/>
      <c r="M14" s="104">
        <v>9783.1200000000008</v>
      </c>
      <c r="N14" s="104">
        <v>9699.4539999999997</v>
      </c>
      <c r="O14" s="104">
        <v>8036.8980000000001</v>
      </c>
      <c r="P14" s="104">
        <v>8572.0650000000005</v>
      </c>
      <c r="Q14" s="156"/>
      <c r="R14" s="104">
        <v>8909.8320000000003</v>
      </c>
      <c r="S14" s="104">
        <v>8702.9750000000004</v>
      </c>
      <c r="T14" s="104">
        <v>8794.6990000000005</v>
      </c>
      <c r="U14" s="104">
        <v>9468.3829999999998</v>
      </c>
      <c r="V14" s="117"/>
      <c r="W14" s="55"/>
      <c r="X14" s="57" t="s">
        <v>51</v>
      </c>
      <c r="Y14" s="56"/>
    </row>
    <row r="15" spans="1:26" s="15" customFormat="1" ht="17.25" x14ac:dyDescent="0.45">
      <c r="A15" s="19" t="s">
        <v>52</v>
      </c>
      <c r="B15" s="110"/>
      <c r="C15" s="106">
        <v>0</v>
      </c>
      <c r="D15" s="106">
        <v>0</v>
      </c>
      <c r="E15" s="106">
        <v>115.65</v>
      </c>
      <c r="F15" s="106">
        <v>115.65</v>
      </c>
      <c r="G15" s="106"/>
      <c r="H15" s="176">
        <v>115.65</v>
      </c>
      <c r="I15" s="106">
        <v>115.65</v>
      </c>
      <c r="J15" s="106">
        <v>57.825000000000003</v>
      </c>
      <c r="K15" s="157">
        <v>57.825000000000003</v>
      </c>
      <c r="L15" s="106"/>
      <c r="M15" s="106">
        <v>57.825000000000003</v>
      </c>
      <c r="N15" s="106">
        <v>57.825000000000003</v>
      </c>
      <c r="O15" s="106">
        <v>0</v>
      </c>
      <c r="P15" s="106">
        <v>0</v>
      </c>
      <c r="Q15" s="157"/>
      <c r="R15" s="106">
        <v>0</v>
      </c>
      <c r="S15" s="106">
        <v>0</v>
      </c>
      <c r="T15" s="106">
        <v>0</v>
      </c>
      <c r="U15" s="106">
        <v>0</v>
      </c>
      <c r="V15" s="115"/>
      <c r="W15" s="48"/>
      <c r="X15" s="53" t="s">
        <v>53</v>
      </c>
      <c r="Y15" s="58"/>
    </row>
    <row r="16" spans="1:26" s="15" customFormat="1" ht="17.25" x14ac:dyDescent="0.45">
      <c r="A16" s="138" t="s">
        <v>83</v>
      </c>
      <c r="B16" s="110"/>
      <c r="C16" s="106">
        <v>0</v>
      </c>
      <c r="D16" s="106">
        <v>0</v>
      </c>
      <c r="E16" s="106">
        <v>537.85599999999999</v>
      </c>
      <c r="F16" s="106">
        <v>539.62199999999996</v>
      </c>
      <c r="G16" s="106"/>
      <c r="H16" s="176">
        <v>542.08500000000004</v>
      </c>
      <c r="I16" s="106">
        <v>544.65599999999995</v>
      </c>
      <c r="J16" s="106">
        <v>538.55499999999995</v>
      </c>
      <c r="K16" s="157">
        <v>538.46400000000006</v>
      </c>
      <c r="L16" s="106"/>
      <c r="M16" s="106">
        <v>538.59</v>
      </c>
      <c r="N16" s="106">
        <v>538.67200000000003</v>
      </c>
      <c r="O16" s="106">
        <v>539.99199999999996</v>
      </c>
      <c r="P16" s="106">
        <v>520.07100000000003</v>
      </c>
      <c r="Q16" s="157"/>
      <c r="R16" s="106">
        <v>500.69499999999999</v>
      </c>
      <c r="S16" s="106">
        <v>480.72</v>
      </c>
      <c r="T16" s="106">
        <v>461.05099999999999</v>
      </c>
      <c r="U16" s="106">
        <v>442.00400000000002</v>
      </c>
      <c r="V16" s="115"/>
      <c r="W16" s="48"/>
      <c r="X16" s="53" t="s">
        <v>84</v>
      </c>
      <c r="Y16" s="58"/>
    </row>
    <row r="17" spans="1:25" s="15" customFormat="1" ht="20.25" customHeight="1" x14ac:dyDescent="0.45">
      <c r="A17" s="17" t="s">
        <v>54</v>
      </c>
      <c r="B17" s="108"/>
      <c r="C17" s="103">
        <v>16473.251</v>
      </c>
      <c r="D17" s="103">
        <v>16308.922</v>
      </c>
      <c r="E17" s="103">
        <v>17342.249</v>
      </c>
      <c r="F17" s="103">
        <v>18041.715</v>
      </c>
      <c r="G17" s="103"/>
      <c r="H17" s="174">
        <v>18371.100999999995</v>
      </c>
      <c r="I17" s="103">
        <v>18929.456999999999</v>
      </c>
      <c r="J17" s="103">
        <v>19491.861000000001</v>
      </c>
      <c r="K17" s="155">
        <v>19922.856999999996</v>
      </c>
      <c r="L17" s="103"/>
      <c r="M17" s="103">
        <v>20652.952000000001</v>
      </c>
      <c r="N17" s="103">
        <v>22050.039999999997</v>
      </c>
      <c r="O17" s="103">
        <v>22519.655999999999</v>
      </c>
      <c r="P17" s="103">
        <v>23109.52</v>
      </c>
      <c r="Q17" s="155"/>
      <c r="R17" s="103">
        <v>23331.363000000005</v>
      </c>
      <c r="S17" s="103">
        <v>24284.65</v>
      </c>
      <c r="T17" s="103">
        <v>25260.296999999999</v>
      </c>
      <c r="U17" s="103">
        <v>24933.884000000002</v>
      </c>
      <c r="V17" s="118"/>
      <c r="W17" s="59"/>
      <c r="X17" s="60"/>
      <c r="Y17" s="61" t="s">
        <v>55</v>
      </c>
    </row>
    <row r="18" spans="1:25" s="15" customFormat="1" ht="17.25" x14ac:dyDescent="0.45">
      <c r="A18" s="19" t="s">
        <v>56</v>
      </c>
      <c r="B18" s="109"/>
      <c r="C18" s="104">
        <v>0</v>
      </c>
      <c r="D18" s="104">
        <v>0</v>
      </c>
      <c r="E18" s="104">
        <v>0</v>
      </c>
      <c r="F18" s="104">
        <v>0</v>
      </c>
      <c r="G18" s="104"/>
      <c r="H18" s="175">
        <v>0</v>
      </c>
      <c r="I18" s="104">
        <v>0</v>
      </c>
      <c r="J18" s="104">
        <v>0</v>
      </c>
      <c r="K18" s="156">
        <v>0</v>
      </c>
      <c r="L18" s="104"/>
      <c r="M18" s="104">
        <v>0</v>
      </c>
      <c r="N18" s="104">
        <v>0</v>
      </c>
      <c r="O18" s="104">
        <v>0</v>
      </c>
      <c r="P18" s="104">
        <v>0</v>
      </c>
      <c r="Q18" s="156"/>
      <c r="R18" s="104">
        <v>0</v>
      </c>
      <c r="S18" s="104">
        <v>0</v>
      </c>
      <c r="T18" s="104">
        <v>0</v>
      </c>
      <c r="U18" s="104">
        <v>0</v>
      </c>
      <c r="V18" s="114"/>
      <c r="W18" s="45"/>
      <c r="X18" s="53" t="s">
        <v>57</v>
      </c>
      <c r="Y18" s="56"/>
    </row>
    <row r="19" spans="1:25" s="15" customFormat="1" ht="17.25" x14ac:dyDescent="0.45">
      <c r="A19" s="19" t="s">
        <v>58</v>
      </c>
      <c r="B19" s="109"/>
      <c r="C19" s="104">
        <v>97.420999999999992</v>
      </c>
      <c r="D19" s="104">
        <v>78.694999999999993</v>
      </c>
      <c r="E19" s="104">
        <v>69.846000000000004</v>
      </c>
      <c r="F19" s="104">
        <v>73.626000000000005</v>
      </c>
      <c r="G19" s="104"/>
      <c r="H19" s="175">
        <v>55.822000000000003</v>
      </c>
      <c r="I19" s="104">
        <v>48.820999999999998</v>
      </c>
      <c r="J19" s="104">
        <v>41.593000000000004</v>
      </c>
      <c r="K19" s="156">
        <v>34.911999999999999</v>
      </c>
      <c r="L19" s="104"/>
      <c r="M19" s="104">
        <v>26.262</v>
      </c>
      <c r="N19" s="104">
        <v>821.69</v>
      </c>
      <c r="O19" s="104">
        <v>425.38799999999998</v>
      </c>
      <c r="P19" s="104">
        <v>431.25</v>
      </c>
      <c r="Q19" s="156"/>
      <c r="R19" s="104">
        <v>20.349</v>
      </c>
      <c r="S19" s="104">
        <v>19.939</v>
      </c>
      <c r="T19" s="104">
        <v>19.503</v>
      </c>
      <c r="U19" s="104">
        <v>19.059000000000001</v>
      </c>
      <c r="V19" s="114"/>
      <c r="W19" s="45"/>
      <c r="X19" s="57" t="s">
        <v>59</v>
      </c>
      <c r="Y19" s="56"/>
    </row>
    <row r="20" spans="1:25" s="15" customFormat="1" ht="17.25" x14ac:dyDescent="0.45">
      <c r="A20" s="19" t="s">
        <v>60</v>
      </c>
      <c r="B20" s="110"/>
      <c r="C20" s="106">
        <v>322.57799999999997</v>
      </c>
      <c r="D20" s="106">
        <v>304.71300000000002</v>
      </c>
      <c r="E20" s="106">
        <v>297.93800000000005</v>
      </c>
      <c r="F20" s="106">
        <v>297.47899999999998</v>
      </c>
      <c r="G20" s="106"/>
      <c r="H20" s="176">
        <v>283.27199999999999</v>
      </c>
      <c r="I20" s="106">
        <v>338.90299999999996</v>
      </c>
      <c r="J20" s="106">
        <v>357.98700000000002</v>
      </c>
      <c r="K20" s="157">
        <v>423.32099999999997</v>
      </c>
      <c r="L20" s="106"/>
      <c r="M20" s="106">
        <v>511.161</v>
      </c>
      <c r="N20" s="106">
        <v>520.6</v>
      </c>
      <c r="O20" s="106">
        <v>490.61899999999997</v>
      </c>
      <c r="P20" s="106">
        <v>548.69200000000001</v>
      </c>
      <c r="Q20" s="157"/>
      <c r="R20" s="106">
        <v>602.58500000000004</v>
      </c>
      <c r="S20" s="106">
        <v>608.49799999999982</v>
      </c>
      <c r="T20" s="106">
        <v>609.55199999999991</v>
      </c>
      <c r="U20" s="106">
        <v>653.4559999999999</v>
      </c>
      <c r="V20" s="119"/>
      <c r="W20" s="62"/>
      <c r="X20" s="63" t="s">
        <v>35</v>
      </c>
      <c r="Y20" s="64"/>
    </row>
    <row r="21" spans="1:25" s="15" customFormat="1" ht="18" x14ac:dyDescent="0.4">
      <c r="A21" s="19" t="s">
        <v>61</v>
      </c>
      <c r="B21" s="109"/>
      <c r="C21" s="104">
        <v>1328.692</v>
      </c>
      <c r="D21" s="104">
        <v>1201.345</v>
      </c>
      <c r="E21" s="104">
        <v>1024.174</v>
      </c>
      <c r="F21" s="104">
        <v>860.3359999999999</v>
      </c>
      <c r="G21" s="104"/>
      <c r="H21" s="175">
        <v>888.64699999999993</v>
      </c>
      <c r="I21" s="104">
        <v>864.45799999999997</v>
      </c>
      <c r="J21" s="104">
        <v>799.548</v>
      </c>
      <c r="K21" s="156">
        <v>887.73899999999992</v>
      </c>
      <c r="L21" s="104"/>
      <c r="M21" s="104">
        <v>1327.297</v>
      </c>
      <c r="N21" s="104">
        <v>1267.5820000000001</v>
      </c>
      <c r="O21" s="104">
        <v>1322.211</v>
      </c>
      <c r="P21" s="104">
        <v>1416.4490000000001</v>
      </c>
      <c r="Q21" s="156"/>
      <c r="R21" s="104">
        <v>1447.4680000000001</v>
      </c>
      <c r="S21" s="104">
        <v>1615.4749999999999</v>
      </c>
      <c r="T21" s="104">
        <v>1678.8729999999998</v>
      </c>
      <c r="U21" s="104">
        <v>1303.1879999999999</v>
      </c>
      <c r="V21" s="117"/>
      <c r="W21" s="55"/>
      <c r="X21" s="65" t="s">
        <v>34</v>
      </c>
      <c r="Y21" s="66"/>
    </row>
    <row r="22" spans="1:25" s="15" customFormat="1" ht="18" x14ac:dyDescent="0.4">
      <c r="A22" s="19" t="s">
        <v>86</v>
      </c>
      <c r="B22" s="109"/>
      <c r="C22" s="104">
        <v>14724.56</v>
      </c>
      <c r="D22" s="104">
        <v>14724.169</v>
      </c>
      <c r="E22" s="104">
        <v>15950.290999999999</v>
      </c>
      <c r="F22" s="104">
        <v>16810.274000000001</v>
      </c>
      <c r="G22" s="104"/>
      <c r="H22" s="175">
        <v>17143.359999999997</v>
      </c>
      <c r="I22" s="104">
        <v>17677.274999999998</v>
      </c>
      <c r="J22" s="104">
        <v>18292.733</v>
      </c>
      <c r="K22" s="156">
        <v>18576.884999999998</v>
      </c>
      <c r="L22" s="104"/>
      <c r="M22" s="104">
        <v>18788.232</v>
      </c>
      <c r="N22" s="104">
        <v>19440.167999999998</v>
      </c>
      <c r="O22" s="104">
        <v>20281.437999999998</v>
      </c>
      <c r="P22" s="104">
        <v>20713.129000000001</v>
      </c>
      <c r="Q22" s="156"/>
      <c r="R22" s="104">
        <v>21260.961000000003</v>
      </c>
      <c r="S22" s="104">
        <v>22040.738000000001</v>
      </c>
      <c r="T22" s="104">
        <v>22952.368999999999</v>
      </c>
      <c r="U22" s="104">
        <v>22958.181</v>
      </c>
      <c r="V22" s="114"/>
      <c r="W22" s="45"/>
      <c r="X22" s="67" t="s">
        <v>62</v>
      </c>
      <c r="Y22" s="66"/>
    </row>
    <row r="23" spans="1:25" s="15" customFormat="1" ht="17.25" x14ac:dyDescent="0.45">
      <c r="A23" s="17" t="s">
        <v>25</v>
      </c>
      <c r="B23" s="108"/>
      <c r="C23" s="103">
        <v>12.425000000000001</v>
      </c>
      <c r="D23" s="103">
        <v>13.425000000000001</v>
      </c>
      <c r="E23" s="103">
        <v>13.425000000000001</v>
      </c>
      <c r="F23" s="103">
        <v>14.625</v>
      </c>
      <c r="G23" s="103"/>
      <c r="H23" s="174">
        <v>14.625</v>
      </c>
      <c r="I23" s="103">
        <v>14.625</v>
      </c>
      <c r="J23" s="103">
        <v>14.625</v>
      </c>
      <c r="K23" s="155">
        <v>14.524999999999999</v>
      </c>
      <c r="L23" s="103"/>
      <c r="M23" s="103">
        <v>8.1</v>
      </c>
      <c r="N23" s="103">
        <v>25.287999999999997</v>
      </c>
      <c r="O23" s="103">
        <v>64.287999999999997</v>
      </c>
      <c r="P23" s="103">
        <v>69.388000000000005</v>
      </c>
      <c r="Q23" s="155"/>
      <c r="R23" s="103">
        <v>69.388000000000005</v>
      </c>
      <c r="S23" s="103">
        <v>69.388000000000005</v>
      </c>
      <c r="T23" s="103">
        <v>69.388000000000005</v>
      </c>
      <c r="U23" s="103">
        <v>69.388000000000005</v>
      </c>
      <c r="V23" s="114"/>
      <c r="W23" s="45"/>
      <c r="X23" s="57"/>
      <c r="Y23" s="68" t="s">
        <v>17</v>
      </c>
    </row>
    <row r="24" spans="1:25" s="15" customFormat="1" ht="17.25" x14ac:dyDescent="0.45">
      <c r="A24" s="17" t="s">
        <v>30</v>
      </c>
      <c r="B24" s="108"/>
      <c r="C24" s="103">
        <v>916.07499999998981</v>
      </c>
      <c r="D24" s="103">
        <v>917.80399999999645</v>
      </c>
      <c r="E24" s="103">
        <v>1251.080999999991</v>
      </c>
      <c r="F24" s="103">
        <v>1104.7869999999966</v>
      </c>
      <c r="G24" s="103"/>
      <c r="H24" s="174">
        <v>1264.9309999999969</v>
      </c>
      <c r="I24" s="103">
        <v>1064.0840000000098</v>
      </c>
      <c r="J24" s="103">
        <v>1232.8110000000015</v>
      </c>
      <c r="K24" s="155">
        <v>839.20999999999913</v>
      </c>
      <c r="L24" s="103"/>
      <c r="M24" s="103">
        <v>769.78299999998853</v>
      </c>
      <c r="N24" s="103">
        <v>625.17600000000675</v>
      </c>
      <c r="O24" s="103">
        <v>525.23999999999796</v>
      </c>
      <c r="P24" s="103">
        <v>479.58699999999953</v>
      </c>
      <c r="Q24" s="155"/>
      <c r="R24" s="103">
        <v>498.74099999999453</v>
      </c>
      <c r="S24" s="103">
        <v>784.22600000000966</v>
      </c>
      <c r="T24" s="103">
        <v>843.06500000000233</v>
      </c>
      <c r="U24" s="103">
        <v>775.94099999999889</v>
      </c>
      <c r="V24" s="115"/>
      <c r="W24" s="48"/>
      <c r="X24" s="53"/>
      <c r="Y24" s="69" t="s">
        <v>63</v>
      </c>
    </row>
    <row r="25" spans="1:25" s="15" customFormat="1" ht="18" x14ac:dyDescent="0.45">
      <c r="A25" s="17" t="s">
        <v>31</v>
      </c>
      <c r="B25" s="108"/>
      <c r="C25" s="103">
        <v>1125.1610000000001</v>
      </c>
      <c r="D25" s="103">
        <v>731.96600000000001</v>
      </c>
      <c r="E25" s="103">
        <v>739.577</v>
      </c>
      <c r="F25" s="103">
        <v>734.29700000000003</v>
      </c>
      <c r="G25" s="103"/>
      <c r="H25" s="174">
        <v>759.1880000000001</v>
      </c>
      <c r="I25" s="103">
        <v>770.83299999999997</v>
      </c>
      <c r="J25" s="103">
        <v>782.34699999999998</v>
      </c>
      <c r="K25" s="155">
        <v>789.10200000000009</v>
      </c>
      <c r="L25" s="103"/>
      <c r="M25" s="103">
        <v>807.66</v>
      </c>
      <c r="N25" s="103">
        <v>837.21600000000001</v>
      </c>
      <c r="O25" s="103">
        <v>864.803</v>
      </c>
      <c r="P25" s="103">
        <v>898.06400000000008</v>
      </c>
      <c r="Q25" s="155"/>
      <c r="R25" s="103">
        <v>922.70699999999999</v>
      </c>
      <c r="S25" s="103">
        <v>945.81700000000001</v>
      </c>
      <c r="T25" s="103">
        <v>970.94799999999998</v>
      </c>
      <c r="U25" s="103">
        <v>976.87700000000007</v>
      </c>
      <c r="V25" s="120"/>
      <c r="W25" s="70"/>
      <c r="X25" s="71"/>
      <c r="Y25" s="61" t="s">
        <v>64</v>
      </c>
    </row>
    <row r="26" spans="1:25" s="15" customFormat="1" ht="17.25" x14ac:dyDescent="0.45">
      <c r="A26" s="72"/>
      <c r="B26" s="108"/>
      <c r="C26" s="103"/>
      <c r="D26" s="103"/>
      <c r="E26" s="103"/>
      <c r="F26" s="103"/>
      <c r="G26" s="103"/>
      <c r="H26" s="174"/>
      <c r="I26" s="103"/>
      <c r="J26" s="103"/>
      <c r="K26" s="155"/>
      <c r="L26" s="103"/>
      <c r="M26" s="103"/>
      <c r="N26" s="103"/>
      <c r="O26" s="103"/>
      <c r="P26" s="103"/>
      <c r="Q26" s="155"/>
      <c r="R26" s="103"/>
      <c r="S26" s="103"/>
      <c r="T26" s="103"/>
      <c r="U26" s="103"/>
      <c r="V26" s="114"/>
      <c r="W26" s="45"/>
      <c r="X26" s="57"/>
      <c r="Y26" s="65"/>
    </row>
    <row r="27" spans="1:25" s="15" customFormat="1" ht="17.25" x14ac:dyDescent="0.45">
      <c r="A27" s="17" t="s">
        <v>32</v>
      </c>
      <c r="B27" s="111"/>
      <c r="C27" s="105">
        <v>42098.28</v>
      </c>
      <c r="D27" s="105">
        <v>42878.508000000002</v>
      </c>
      <c r="E27" s="105">
        <v>43358.797999999988</v>
      </c>
      <c r="F27" s="105">
        <v>44142.386999999995</v>
      </c>
      <c r="G27" s="105"/>
      <c r="H27" s="177">
        <v>47187.440999999999</v>
      </c>
      <c r="I27" s="105">
        <v>46849.615000000005</v>
      </c>
      <c r="J27" s="105">
        <v>47600.88700000001</v>
      </c>
      <c r="K27" s="158">
        <v>46379.371999999996</v>
      </c>
      <c r="L27" s="105"/>
      <c r="M27" s="105">
        <v>47387.270999999993</v>
      </c>
      <c r="N27" s="105">
        <v>47512.122000000003</v>
      </c>
      <c r="O27" s="105">
        <v>46127.828000000001</v>
      </c>
      <c r="P27" s="105">
        <v>48690.464</v>
      </c>
      <c r="Q27" s="158"/>
      <c r="R27" s="105">
        <v>50834.616999999998</v>
      </c>
      <c r="S27" s="105">
        <v>50294.343000000008</v>
      </c>
      <c r="T27" s="105">
        <v>49142.468999999997</v>
      </c>
      <c r="U27" s="105">
        <v>50966.390000000007</v>
      </c>
      <c r="V27" s="114"/>
      <c r="W27" s="45"/>
      <c r="X27" s="57"/>
      <c r="Y27" s="69" t="s">
        <v>33</v>
      </c>
    </row>
    <row r="28" spans="1:25" s="15" customFormat="1" ht="17.25" x14ac:dyDescent="0.45">
      <c r="A28" s="17" t="s">
        <v>37</v>
      </c>
      <c r="B28" s="111"/>
      <c r="C28" s="105">
        <v>939.05799999999988</v>
      </c>
      <c r="D28" s="105">
        <v>1016.8270000000001</v>
      </c>
      <c r="E28" s="105">
        <v>864.13800000000003</v>
      </c>
      <c r="F28" s="105">
        <v>1042.646</v>
      </c>
      <c r="G28" s="105"/>
      <c r="H28" s="177">
        <v>1159.2969999999998</v>
      </c>
      <c r="I28" s="105">
        <v>1689.04</v>
      </c>
      <c r="J28" s="105">
        <v>1675.8130000000001</v>
      </c>
      <c r="K28" s="158">
        <v>1898.1</v>
      </c>
      <c r="L28" s="105"/>
      <c r="M28" s="105">
        <v>1980.1680000000001</v>
      </c>
      <c r="N28" s="105">
        <v>1648.8379999999997</v>
      </c>
      <c r="O28" s="105">
        <v>2222.5640000000003</v>
      </c>
      <c r="P28" s="105">
        <v>2217.9650000000001</v>
      </c>
      <c r="Q28" s="158"/>
      <c r="R28" s="105">
        <v>2189.223</v>
      </c>
      <c r="S28" s="105">
        <v>1669.2820000000002</v>
      </c>
      <c r="T28" s="105">
        <v>1774.002</v>
      </c>
      <c r="U28" s="105">
        <v>2267.7809999999999</v>
      </c>
      <c r="V28" s="114"/>
      <c r="W28" s="45"/>
      <c r="X28" s="57"/>
      <c r="Y28" s="32" t="s">
        <v>38</v>
      </c>
    </row>
    <row r="29" spans="1:25" s="15" customFormat="1" ht="17.25" x14ac:dyDescent="0.45">
      <c r="A29" s="17" t="s">
        <v>65</v>
      </c>
      <c r="B29" s="111"/>
      <c r="C29" s="105">
        <v>25674.16</v>
      </c>
      <c r="D29" s="105">
        <v>26519.450999999997</v>
      </c>
      <c r="E29" s="105">
        <v>27200.411999999997</v>
      </c>
      <c r="F29" s="105">
        <v>27734.698</v>
      </c>
      <c r="G29" s="105"/>
      <c r="H29" s="177">
        <v>29917.481</v>
      </c>
      <c r="I29" s="105">
        <v>29061.190000000002</v>
      </c>
      <c r="J29" s="105">
        <v>29177.445000000003</v>
      </c>
      <c r="K29" s="158">
        <v>27741.251</v>
      </c>
      <c r="L29" s="105"/>
      <c r="M29" s="105">
        <v>28242.690999999999</v>
      </c>
      <c r="N29" s="105">
        <v>29028.258000000002</v>
      </c>
      <c r="O29" s="105">
        <v>27114.554</v>
      </c>
      <c r="P29" s="105">
        <v>29093.368999999999</v>
      </c>
      <c r="Q29" s="158"/>
      <c r="R29" s="105">
        <v>30637.462000000003</v>
      </c>
      <c r="S29" s="105">
        <v>29879.966</v>
      </c>
      <c r="T29" s="105">
        <v>28548.16</v>
      </c>
      <c r="U29" s="105">
        <v>30031.993000000002</v>
      </c>
      <c r="V29" s="114"/>
      <c r="W29" s="45"/>
      <c r="X29" s="57"/>
      <c r="Y29" s="68" t="s">
        <v>66</v>
      </c>
    </row>
    <row r="30" spans="1:25" s="15" customFormat="1" ht="17.25" x14ac:dyDescent="0.4">
      <c r="A30" s="19" t="s">
        <v>67</v>
      </c>
      <c r="B30" s="110"/>
      <c r="C30" s="106">
        <v>20674.548999999999</v>
      </c>
      <c r="D30" s="106">
        <v>21465.87</v>
      </c>
      <c r="E30" s="106">
        <v>22164.684999999998</v>
      </c>
      <c r="F30" s="106">
        <v>22870.678</v>
      </c>
      <c r="G30" s="106"/>
      <c r="H30" s="176">
        <v>24036.154999999999</v>
      </c>
      <c r="I30" s="106">
        <v>23030.773000000001</v>
      </c>
      <c r="J30" s="106">
        <v>23093.137000000002</v>
      </c>
      <c r="K30" s="157">
        <v>21920.219000000001</v>
      </c>
      <c r="L30" s="106"/>
      <c r="M30" s="106">
        <v>22402.951000000001</v>
      </c>
      <c r="N30" s="106">
        <v>23395.618000000002</v>
      </c>
      <c r="O30" s="106">
        <v>21824.916000000001</v>
      </c>
      <c r="P30" s="106">
        <v>23520.699000000001</v>
      </c>
      <c r="Q30" s="157"/>
      <c r="R30" s="106">
        <v>24666.745000000003</v>
      </c>
      <c r="S30" s="106">
        <v>24300.523000000001</v>
      </c>
      <c r="T30" s="106">
        <v>22590.291000000001</v>
      </c>
      <c r="U30" s="106">
        <v>23863.458000000002</v>
      </c>
      <c r="V30" s="114"/>
      <c r="W30" s="45"/>
      <c r="X30" s="65" t="s">
        <v>12</v>
      </c>
      <c r="Y30" s="68"/>
    </row>
    <row r="31" spans="1:25" s="15" customFormat="1" ht="17.25" x14ac:dyDescent="0.45">
      <c r="A31" s="19" t="s">
        <v>68</v>
      </c>
      <c r="B31" s="110"/>
      <c r="C31" s="106">
        <v>9217.6850000000013</v>
      </c>
      <c r="D31" s="106">
        <v>10008.632</v>
      </c>
      <c r="E31" s="106">
        <v>10001.504000000001</v>
      </c>
      <c r="F31" s="106">
        <v>10580.657999999999</v>
      </c>
      <c r="G31" s="106"/>
      <c r="H31" s="176">
        <v>11176.134</v>
      </c>
      <c r="I31" s="106">
        <v>11116.458000000001</v>
      </c>
      <c r="J31" s="106">
        <v>11330.956</v>
      </c>
      <c r="K31" s="157">
        <v>10773.45</v>
      </c>
      <c r="L31" s="106"/>
      <c r="M31" s="106">
        <v>10557.891</v>
      </c>
      <c r="N31" s="106">
        <v>11540.491</v>
      </c>
      <c r="O31" s="106">
        <v>10997.861000000001</v>
      </c>
      <c r="P31" s="106">
        <v>11557.146000000001</v>
      </c>
      <c r="Q31" s="157"/>
      <c r="R31" s="106">
        <v>11469.418</v>
      </c>
      <c r="S31" s="106">
        <v>12275.858</v>
      </c>
      <c r="T31" s="106">
        <v>11504.482</v>
      </c>
      <c r="U31" s="106">
        <v>11522.632000000001</v>
      </c>
      <c r="V31" s="114"/>
      <c r="W31" s="73" t="s">
        <v>13</v>
      </c>
      <c r="X31" s="57"/>
      <c r="Y31" s="68"/>
    </row>
    <row r="32" spans="1:25" s="15" customFormat="1" ht="17.25" x14ac:dyDescent="0.45">
      <c r="A32" s="19" t="s">
        <v>69</v>
      </c>
      <c r="B32" s="110"/>
      <c r="C32" s="106">
        <v>11456.864</v>
      </c>
      <c r="D32" s="106">
        <v>11457.237999999999</v>
      </c>
      <c r="E32" s="106">
        <v>12163.180999999999</v>
      </c>
      <c r="F32" s="106">
        <v>12290.019999999999</v>
      </c>
      <c r="G32" s="106"/>
      <c r="H32" s="176">
        <v>12860.021000000001</v>
      </c>
      <c r="I32" s="106">
        <v>11914.315000000001</v>
      </c>
      <c r="J32" s="106">
        <v>11762.181</v>
      </c>
      <c r="K32" s="157">
        <v>11146.769</v>
      </c>
      <c r="L32" s="106"/>
      <c r="M32" s="106">
        <v>11845.060000000001</v>
      </c>
      <c r="N32" s="106">
        <v>11855.127</v>
      </c>
      <c r="O32" s="106">
        <v>10827.055</v>
      </c>
      <c r="P32" s="106">
        <v>11963.553</v>
      </c>
      <c r="Q32" s="157"/>
      <c r="R32" s="106">
        <v>13197.327000000001</v>
      </c>
      <c r="S32" s="106">
        <v>12024.665000000001</v>
      </c>
      <c r="T32" s="106">
        <v>11085.809000000001</v>
      </c>
      <c r="U32" s="106">
        <v>12340.826000000001</v>
      </c>
      <c r="V32" s="114"/>
      <c r="W32" s="73" t="s">
        <v>14</v>
      </c>
      <c r="X32" s="57"/>
      <c r="Y32" s="68"/>
    </row>
    <row r="33" spans="1:26" s="15" customFormat="1" ht="17.25" x14ac:dyDescent="0.45">
      <c r="A33" s="19" t="s">
        <v>70</v>
      </c>
      <c r="B33" s="110"/>
      <c r="C33" s="106">
        <v>4999.6109999999999</v>
      </c>
      <c r="D33" s="106">
        <v>5053.5809999999992</v>
      </c>
      <c r="E33" s="106">
        <v>5035.7269999999999</v>
      </c>
      <c r="F33" s="106">
        <v>4864.0200000000004</v>
      </c>
      <c r="G33" s="106"/>
      <c r="H33" s="176">
        <v>5881.3259999999991</v>
      </c>
      <c r="I33" s="106">
        <v>6030.4169999999995</v>
      </c>
      <c r="J33" s="106">
        <v>6084.3080000000009</v>
      </c>
      <c r="K33" s="157">
        <v>5821.0320000000002</v>
      </c>
      <c r="L33" s="106"/>
      <c r="M33" s="106">
        <v>5839.74</v>
      </c>
      <c r="N33" s="106">
        <v>5632.6399999999994</v>
      </c>
      <c r="O33" s="106">
        <v>5289.6379999999999</v>
      </c>
      <c r="P33" s="106">
        <v>5572.67</v>
      </c>
      <c r="Q33" s="157"/>
      <c r="R33" s="106">
        <v>5970.7170000000006</v>
      </c>
      <c r="S33" s="106">
        <v>5579.4429999999993</v>
      </c>
      <c r="T33" s="106">
        <v>5957.8689999999997</v>
      </c>
      <c r="U33" s="106">
        <v>6168.5349999999999</v>
      </c>
      <c r="V33" s="114"/>
      <c r="W33" s="45"/>
      <c r="X33" s="57" t="s">
        <v>71</v>
      </c>
      <c r="Y33" s="68"/>
    </row>
    <row r="34" spans="1:26" s="15" customFormat="1" ht="17.25" x14ac:dyDescent="0.45">
      <c r="A34" s="19" t="s">
        <v>68</v>
      </c>
      <c r="B34" s="110"/>
      <c r="C34" s="106">
        <v>1573.165</v>
      </c>
      <c r="D34" s="106">
        <v>1572.329</v>
      </c>
      <c r="E34" s="106">
        <v>1650.6080000000002</v>
      </c>
      <c r="F34" s="106">
        <v>1710.2339999999999</v>
      </c>
      <c r="G34" s="106"/>
      <c r="H34" s="176">
        <v>1851.2109999999998</v>
      </c>
      <c r="I34" s="106">
        <v>2021.384</v>
      </c>
      <c r="J34" s="106">
        <v>1971.104</v>
      </c>
      <c r="K34" s="157">
        <v>2205.8029999999999</v>
      </c>
      <c r="L34" s="106"/>
      <c r="M34" s="106">
        <v>2361.4110000000001</v>
      </c>
      <c r="N34" s="106">
        <v>1996.6909999999998</v>
      </c>
      <c r="O34" s="106">
        <v>1753.0709999999999</v>
      </c>
      <c r="P34" s="106">
        <v>1935.598</v>
      </c>
      <c r="Q34" s="157"/>
      <c r="R34" s="106">
        <v>2234.8710000000001</v>
      </c>
      <c r="S34" s="106">
        <v>1882.877</v>
      </c>
      <c r="T34" s="106">
        <v>2187.3289999999997</v>
      </c>
      <c r="U34" s="106">
        <v>2349.3470000000002</v>
      </c>
      <c r="V34" s="114"/>
      <c r="W34" s="73" t="s">
        <v>13</v>
      </c>
      <c r="X34" s="57"/>
      <c r="Y34" s="68"/>
    </row>
    <row r="35" spans="1:26" s="15" customFormat="1" ht="17.25" x14ac:dyDescent="0.45">
      <c r="A35" s="19" t="s">
        <v>69</v>
      </c>
      <c r="B35" s="110"/>
      <c r="C35" s="106">
        <v>3426.4459999999999</v>
      </c>
      <c r="D35" s="106">
        <v>3481.2519999999995</v>
      </c>
      <c r="E35" s="106">
        <v>3385.1189999999997</v>
      </c>
      <c r="F35" s="106">
        <v>3153.7860000000001</v>
      </c>
      <c r="G35" s="106"/>
      <c r="H35" s="176">
        <v>4030.1149999999998</v>
      </c>
      <c r="I35" s="106">
        <v>4009.0329999999999</v>
      </c>
      <c r="J35" s="106">
        <v>4113.2040000000006</v>
      </c>
      <c r="K35" s="157">
        <v>3615.2290000000003</v>
      </c>
      <c r="L35" s="106"/>
      <c r="M35" s="106">
        <v>3478.3289999999997</v>
      </c>
      <c r="N35" s="106">
        <v>3635.9489999999996</v>
      </c>
      <c r="O35" s="106">
        <v>3536.567</v>
      </c>
      <c r="P35" s="106">
        <v>3637.0719999999997</v>
      </c>
      <c r="Q35" s="157"/>
      <c r="R35" s="106">
        <v>3735.8460000000005</v>
      </c>
      <c r="S35" s="106">
        <v>3696.5659999999998</v>
      </c>
      <c r="T35" s="106">
        <v>3770.54</v>
      </c>
      <c r="U35" s="106">
        <v>3819.1879999999996</v>
      </c>
      <c r="V35" s="114"/>
      <c r="W35" s="73" t="s">
        <v>14</v>
      </c>
      <c r="X35" s="57"/>
      <c r="Y35" s="68"/>
    </row>
    <row r="36" spans="1:26" s="15" customFormat="1" ht="17.25" x14ac:dyDescent="0.45">
      <c r="A36" s="17" t="s">
        <v>72</v>
      </c>
      <c r="B36" s="112"/>
      <c r="C36" s="124">
        <v>2459.4779999999996</v>
      </c>
      <c r="D36" s="124">
        <v>2324.2719999999999</v>
      </c>
      <c r="E36" s="124">
        <v>1851.1750000000002</v>
      </c>
      <c r="F36" s="124">
        <v>1933.4349999999999</v>
      </c>
      <c r="G36" s="124"/>
      <c r="H36" s="178">
        <v>2101.8789999999999</v>
      </c>
      <c r="I36" s="124">
        <v>1812.6979999999999</v>
      </c>
      <c r="J36" s="124">
        <v>1857.7820000000002</v>
      </c>
      <c r="K36" s="159">
        <v>1993.9800000000005</v>
      </c>
      <c r="L36" s="124"/>
      <c r="M36" s="124">
        <v>2306.393</v>
      </c>
      <c r="N36" s="124">
        <v>1531.366</v>
      </c>
      <c r="O36" s="124">
        <v>1584.3710000000001</v>
      </c>
      <c r="P36" s="124">
        <v>1732.655</v>
      </c>
      <c r="Q36" s="159"/>
      <c r="R36" s="124">
        <v>1906.797</v>
      </c>
      <c r="S36" s="124">
        <v>2179.201</v>
      </c>
      <c r="T36" s="124">
        <v>1668.3340000000001</v>
      </c>
      <c r="U36" s="124">
        <v>1761.922</v>
      </c>
      <c r="V36" s="121"/>
      <c r="W36" s="14"/>
      <c r="X36" s="53"/>
      <c r="Y36" s="47" t="s">
        <v>11</v>
      </c>
    </row>
    <row r="37" spans="1:26" s="15" customFormat="1" ht="17.25" x14ac:dyDescent="0.45">
      <c r="A37" s="17" t="s">
        <v>73</v>
      </c>
      <c r="B37" s="112"/>
      <c r="C37" s="124">
        <v>0</v>
      </c>
      <c r="D37" s="124">
        <v>0</v>
      </c>
      <c r="E37" s="124">
        <v>0</v>
      </c>
      <c r="F37" s="124">
        <v>0</v>
      </c>
      <c r="G37" s="124"/>
      <c r="H37" s="178">
        <v>0</v>
      </c>
      <c r="I37" s="124">
        <v>0</v>
      </c>
      <c r="J37" s="124">
        <v>0</v>
      </c>
      <c r="K37" s="159">
        <v>0</v>
      </c>
      <c r="L37" s="124"/>
      <c r="M37" s="124">
        <v>0</v>
      </c>
      <c r="N37" s="124">
        <v>0</v>
      </c>
      <c r="O37" s="124">
        <v>0</v>
      </c>
      <c r="P37" s="124">
        <v>121.818</v>
      </c>
      <c r="Q37" s="159"/>
      <c r="R37" s="124">
        <v>366.53800000000001</v>
      </c>
      <c r="S37" s="124">
        <v>374.23300000000006</v>
      </c>
      <c r="T37" s="124">
        <v>378.96700000000004</v>
      </c>
      <c r="U37" s="124">
        <v>596.24399999999991</v>
      </c>
      <c r="V37" s="121"/>
      <c r="W37" s="14"/>
      <c r="X37" s="53"/>
      <c r="Y37" s="61" t="s">
        <v>74</v>
      </c>
    </row>
    <row r="38" spans="1:26" s="15" customFormat="1" ht="17.25" x14ac:dyDescent="0.45">
      <c r="A38" s="17" t="s">
        <v>36</v>
      </c>
      <c r="B38" s="108"/>
      <c r="C38" s="103">
        <v>0</v>
      </c>
      <c r="D38" s="103">
        <v>0</v>
      </c>
      <c r="E38" s="103">
        <v>0</v>
      </c>
      <c r="F38" s="103">
        <v>0</v>
      </c>
      <c r="G38" s="103"/>
      <c r="H38" s="174">
        <v>0</v>
      </c>
      <c r="I38" s="103">
        <v>0</v>
      </c>
      <c r="J38" s="103">
        <v>0</v>
      </c>
      <c r="K38" s="155">
        <v>0</v>
      </c>
      <c r="L38" s="103"/>
      <c r="M38" s="103">
        <v>0</v>
      </c>
      <c r="N38" s="103">
        <v>0</v>
      </c>
      <c r="O38" s="103">
        <v>0</v>
      </c>
      <c r="P38" s="103">
        <v>0</v>
      </c>
      <c r="Q38" s="155"/>
      <c r="R38" s="103">
        <v>0</v>
      </c>
      <c r="S38" s="103">
        <v>0</v>
      </c>
      <c r="T38" s="103">
        <v>0</v>
      </c>
      <c r="U38" s="103">
        <v>0</v>
      </c>
      <c r="V38" s="122"/>
      <c r="W38" s="74"/>
      <c r="X38" s="75"/>
      <c r="Y38" s="54" t="s">
        <v>47</v>
      </c>
    </row>
    <row r="39" spans="1:26" s="15" customFormat="1" ht="17.25" x14ac:dyDescent="0.45">
      <c r="A39" s="17" t="s">
        <v>15</v>
      </c>
      <c r="B39" s="108"/>
      <c r="C39" s="103">
        <v>0</v>
      </c>
      <c r="D39" s="103">
        <v>0</v>
      </c>
      <c r="E39" s="103">
        <v>0</v>
      </c>
      <c r="F39" s="103">
        <v>0</v>
      </c>
      <c r="G39" s="103"/>
      <c r="H39" s="174">
        <v>0</v>
      </c>
      <c r="I39" s="103">
        <v>0</v>
      </c>
      <c r="J39" s="103">
        <v>0</v>
      </c>
      <c r="K39" s="155">
        <v>0</v>
      </c>
      <c r="L39" s="103"/>
      <c r="M39" s="103">
        <v>0</v>
      </c>
      <c r="N39" s="103">
        <v>0</v>
      </c>
      <c r="O39" s="103">
        <v>0</v>
      </c>
      <c r="P39" s="103">
        <v>0</v>
      </c>
      <c r="Q39" s="155"/>
      <c r="R39" s="103">
        <v>0</v>
      </c>
      <c r="S39" s="103">
        <v>0</v>
      </c>
      <c r="T39" s="103">
        <v>0</v>
      </c>
      <c r="U39" s="103">
        <v>0</v>
      </c>
      <c r="V39" s="122"/>
      <c r="W39" s="74"/>
      <c r="X39" s="75"/>
      <c r="Y39" s="54" t="s">
        <v>16</v>
      </c>
    </row>
    <row r="40" spans="1:26" s="12" customFormat="1" ht="17.25" x14ac:dyDescent="0.45">
      <c r="A40" s="17" t="s">
        <v>39</v>
      </c>
      <c r="B40" s="113"/>
      <c r="C40" s="125">
        <v>4098.1840000000011</v>
      </c>
      <c r="D40" s="125">
        <v>3982.1790000000037</v>
      </c>
      <c r="E40" s="125">
        <v>3960.6549999999916</v>
      </c>
      <c r="F40" s="125">
        <v>4017.1099999999933</v>
      </c>
      <c r="G40" s="125"/>
      <c r="H40" s="179">
        <v>4204.9259999999995</v>
      </c>
      <c r="I40" s="125">
        <v>4275.3580000000002</v>
      </c>
      <c r="J40" s="125">
        <v>4323.8290000000052</v>
      </c>
      <c r="K40" s="160">
        <v>3636.8029999999999</v>
      </c>
      <c r="L40" s="125"/>
      <c r="M40" s="125">
        <v>3854.7679999999964</v>
      </c>
      <c r="N40" s="125">
        <v>4015.9170000000013</v>
      </c>
      <c r="O40" s="125">
        <v>3988.3459999999977</v>
      </c>
      <c r="P40" s="125">
        <v>3636.301999999996</v>
      </c>
      <c r="Q40" s="160"/>
      <c r="R40" s="125">
        <v>3781.4499999999971</v>
      </c>
      <c r="S40" s="125">
        <v>4270.0050000000047</v>
      </c>
      <c r="T40" s="125">
        <v>4358.5469999999987</v>
      </c>
      <c r="U40" s="125">
        <v>3977.8700000000026</v>
      </c>
      <c r="V40" s="123"/>
      <c r="W40" s="8"/>
      <c r="X40" s="53"/>
      <c r="Y40" s="32" t="s">
        <v>40</v>
      </c>
    </row>
    <row r="41" spans="1:26" s="12" customFormat="1" ht="17.25" x14ac:dyDescent="0.45">
      <c r="A41" s="17" t="s">
        <v>26</v>
      </c>
      <c r="B41" s="113"/>
      <c r="C41" s="125">
        <v>8927.4</v>
      </c>
      <c r="D41" s="125">
        <v>9035.7790000000005</v>
      </c>
      <c r="E41" s="125">
        <v>9482.4179999999997</v>
      </c>
      <c r="F41" s="125">
        <v>9414.4979999999978</v>
      </c>
      <c r="G41" s="125"/>
      <c r="H41" s="179">
        <v>9803.8580000000002</v>
      </c>
      <c r="I41" s="125">
        <v>10011.329</v>
      </c>
      <c r="J41" s="125">
        <v>10566.018000000002</v>
      </c>
      <c r="K41" s="160">
        <v>11109.237999999999</v>
      </c>
      <c r="L41" s="125"/>
      <c r="M41" s="125">
        <v>11003.251</v>
      </c>
      <c r="N41" s="125">
        <v>11287.743</v>
      </c>
      <c r="O41" s="125">
        <v>11217.993</v>
      </c>
      <c r="P41" s="125">
        <v>11888.355000000001</v>
      </c>
      <c r="Q41" s="160"/>
      <c r="R41" s="125">
        <v>11953.147000000001</v>
      </c>
      <c r="S41" s="125">
        <v>11921.655999999999</v>
      </c>
      <c r="T41" s="125">
        <v>12390.824999999999</v>
      </c>
      <c r="U41" s="125">
        <v>12330.58</v>
      </c>
      <c r="V41" s="123"/>
      <c r="W41" s="8"/>
      <c r="X41" s="53"/>
      <c r="Y41" s="68" t="s">
        <v>17</v>
      </c>
    </row>
    <row r="42" spans="1:26" ht="18" x14ac:dyDescent="0.45">
      <c r="A42" s="76" t="s">
        <v>18</v>
      </c>
      <c r="B42" s="72"/>
      <c r="C42" s="16"/>
      <c r="D42" s="16"/>
      <c r="E42" s="16"/>
      <c r="F42" s="16"/>
      <c r="G42" s="143"/>
      <c r="H42" s="180"/>
      <c r="I42" s="16"/>
      <c r="J42" s="16"/>
      <c r="K42" s="188"/>
      <c r="L42" s="148"/>
      <c r="M42" s="16"/>
      <c r="N42" s="16"/>
      <c r="O42" s="16"/>
      <c r="P42" s="143"/>
      <c r="Q42" s="161"/>
      <c r="R42" s="148"/>
      <c r="S42" s="16"/>
      <c r="T42" s="16"/>
      <c r="U42" s="16"/>
      <c r="V42" s="14"/>
      <c r="W42" s="14"/>
      <c r="X42" s="53"/>
      <c r="Y42" s="47" t="s">
        <v>19</v>
      </c>
      <c r="Z42" s="15"/>
    </row>
    <row r="43" spans="1:26" ht="18" x14ac:dyDescent="0.45">
      <c r="A43" s="17" t="s">
        <v>29</v>
      </c>
      <c r="B43" s="77"/>
      <c r="C43" s="78">
        <v>-29.031625256775463</v>
      </c>
      <c r="D43" s="78">
        <v>-11.858578860849445</v>
      </c>
      <c r="E43" s="78">
        <v>4.185393091622136</v>
      </c>
      <c r="F43" s="78">
        <v>11.135081862591868</v>
      </c>
      <c r="G43" s="144"/>
      <c r="H43" s="181">
        <f>(H9/C9-1)*100</f>
        <v>7.7035992501354178</v>
      </c>
      <c r="I43" s="78">
        <f t="shared" ref="I43:K43" si="0">(I9/D9-1)*100</f>
        <v>-3.801982443194063</v>
      </c>
      <c r="J43" s="78">
        <f t="shared" si="0"/>
        <v>13.510234081049832</v>
      </c>
      <c r="K43" s="189">
        <f t="shared" si="0"/>
        <v>-11.605553529045331</v>
      </c>
      <c r="L43" s="149"/>
      <c r="M43" s="78">
        <f t="shared" ref="M43" si="1">(M9/H9-1)*100</f>
        <v>-17.661983845058582</v>
      </c>
      <c r="N43" s="78">
        <f t="shared" ref="N43" si="2">(N9/I9-1)*100</f>
        <v>-21.529126897260131</v>
      </c>
      <c r="O43" s="78">
        <f t="shared" ref="O43" si="3">(O9/J9-1)*100</f>
        <v>-40.050286116421944</v>
      </c>
      <c r="P43" s="144">
        <f t="shared" ref="P43" si="4">(P9/K9-1)*100</f>
        <v>-12.613194884828083</v>
      </c>
      <c r="Q43" s="162"/>
      <c r="R43" s="149">
        <f>(R9/M9-1)*100</f>
        <v>-14.015867305480256</v>
      </c>
      <c r="S43" s="78">
        <f>(S9/N9-1)*100</f>
        <v>-42.979447695643003</v>
      </c>
      <c r="T43" s="78">
        <f>(T9/O9-1)*100</f>
        <v>-30.204593367200051</v>
      </c>
      <c r="U43" s="78">
        <f>(U9/P9-1)*100</f>
        <v>-24.081354644722254</v>
      </c>
      <c r="V43" s="14"/>
      <c r="W43" s="14"/>
      <c r="X43" s="53"/>
      <c r="Y43" s="47" t="s">
        <v>42</v>
      </c>
      <c r="Z43" s="15"/>
    </row>
    <row r="44" spans="1:26" ht="18" x14ac:dyDescent="0.45">
      <c r="A44" s="17" t="s">
        <v>37</v>
      </c>
      <c r="B44" s="77"/>
      <c r="C44" s="78">
        <v>1.9915913724135592</v>
      </c>
      <c r="D44" s="78">
        <v>69.82808869975068</v>
      </c>
      <c r="E44" s="78">
        <v>-10.813664384728039</v>
      </c>
      <c r="F44" s="78">
        <v>-12.423680680555393</v>
      </c>
      <c r="G44" s="144"/>
      <c r="H44" s="181">
        <f>(H28/C28-1)*100</f>
        <v>23.453183935390577</v>
      </c>
      <c r="I44" s="78">
        <f t="shared" ref="I44:K44" si="5">(I28/D28-1)*100</f>
        <v>66.108885778996807</v>
      </c>
      <c r="J44" s="78">
        <f t="shared" si="5"/>
        <v>93.928863213977394</v>
      </c>
      <c r="K44" s="189">
        <f t="shared" si="5"/>
        <v>82.046447212188994</v>
      </c>
      <c r="L44" s="149"/>
      <c r="M44" s="78">
        <f t="shared" ref="M44" si="6">(M28/H28-1)*100</f>
        <v>70.807653258828452</v>
      </c>
      <c r="N44" s="78">
        <f t="shared" ref="N44" si="7">(N28/I28-1)*100</f>
        <v>-2.3801686164922176</v>
      </c>
      <c r="O44" s="78">
        <f t="shared" ref="O44" si="8">(O28/J28-1)*100</f>
        <v>32.626014955129243</v>
      </c>
      <c r="P44" s="144">
        <f t="shared" ref="P44" si="9">(P28/K28-1)*100</f>
        <v>16.851851851851873</v>
      </c>
      <c r="Q44" s="162"/>
      <c r="R44" s="149">
        <f>(R28/M28-1)*100</f>
        <v>10.557437550753267</v>
      </c>
      <c r="S44" s="78">
        <f>(S28/N28-1)*100</f>
        <v>1.2399034956739552</v>
      </c>
      <c r="T44" s="78">
        <f>(T28/O28-1)*100</f>
        <v>-20.182185979796319</v>
      </c>
      <c r="U44" s="78">
        <f>(U28/P28-1)*100</f>
        <v>2.2460228182139774</v>
      </c>
      <c r="V44" s="14"/>
      <c r="W44" s="14"/>
      <c r="X44" s="53"/>
      <c r="Y44" s="32" t="s">
        <v>38</v>
      </c>
      <c r="Z44" s="15"/>
    </row>
    <row r="45" spans="1:26" ht="18" x14ac:dyDescent="0.45">
      <c r="A45" s="17" t="s">
        <v>54</v>
      </c>
      <c r="B45" s="77"/>
      <c r="C45" s="78">
        <v>-8.5004472150938977</v>
      </c>
      <c r="D45" s="78">
        <v>-0.58010557493520798</v>
      </c>
      <c r="E45" s="78">
        <v>-0.23630115433606047</v>
      </c>
      <c r="F45" s="78">
        <v>7.5295602190843525</v>
      </c>
      <c r="G45" s="144"/>
      <c r="H45" s="181">
        <f>(H17/C17-1)*100</f>
        <v>11.520798171532709</v>
      </c>
      <c r="I45" s="78">
        <f t="shared" ref="I45:K45" si="10">(I17/D17-1)*100</f>
        <v>16.068106770024393</v>
      </c>
      <c r="J45" s="78">
        <f t="shared" si="10"/>
        <v>12.395232014025414</v>
      </c>
      <c r="K45" s="189">
        <f t="shared" si="10"/>
        <v>10.426625185022576</v>
      </c>
      <c r="L45" s="149"/>
      <c r="M45" s="78">
        <f t="shared" ref="M45" si="11">(M17/H17-1)*100</f>
        <v>12.420872325507371</v>
      </c>
      <c r="N45" s="78">
        <f t="shared" ref="N45" si="12">(N17/I17-1)*100</f>
        <v>16.485327603427823</v>
      </c>
      <c r="O45" s="78">
        <f t="shared" ref="O45" si="13">(O17/J17-1)*100</f>
        <v>15.533637347403605</v>
      </c>
      <c r="P45" s="144">
        <f t="shared" ref="P45" si="14">(P17/K17-1)*100</f>
        <v>15.995010153413268</v>
      </c>
      <c r="Q45" s="162"/>
      <c r="R45" s="149">
        <f>(R17/M17-1)*100</f>
        <v>12.968659395518877</v>
      </c>
      <c r="S45" s="78">
        <f>(S17/N17-1)*100</f>
        <v>10.134267330127322</v>
      </c>
      <c r="T45" s="78">
        <f>(T17/O17-1)*100</f>
        <v>12.169994959070429</v>
      </c>
      <c r="U45" s="78">
        <f>(U17/P17-1)*100</f>
        <v>7.89442619318792</v>
      </c>
      <c r="V45" s="14"/>
      <c r="W45" s="14"/>
      <c r="X45" s="53"/>
      <c r="Y45" s="61" t="s">
        <v>55</v>
      </c>
      <c r="Z45" s="15"/>
    </row>
    <row r="46" spans="1:26" x14ac:dyDescent="0.5">
      <c r="A46" s="79" t="s">
        <v>81</v>
      </c>
      <c r="B46" s="80"/>
      <c r="C46" s="81">
        <v>1.5247298189351222</v>
      </c>
      <c r="D46" s="81">
        <v>0.79229611785034404</v>
      </c>
      <c r="E46" s="81">
        <v>3.0338756283013746</v>
      </c>
      <c r="F46" s="81">
        <v>11.743884797588656</v>
      </c>
      <c r="G46" s="145"/>
      <c r="H46" s="182">
        <f>(H22/C22-1)*100</f>
        <v>16.426976425781127</v>
      </c>
      <c r="I46" s="81">
        <f t="shared" ref="I46:K46" si="15">(I22/D22-1)*100</f>
        <v>20.056181099252512</v>
      </c>
      <c r="J46" s="81">
        <f t="shared" si="15"/>
        <v>14.685888802906488</v>
      </c>
      <c r="K46" s="190">
        <f t="shared" si="15"/>
        <v>10.509114842506406</v>
      </c>
      <c r="L46" s="150"/>
      <c r="M46" s="81">
        <f t="shared" ref="M46" si="16">(M22/H22-1)*100</f>
        <v>9.5948052190469202</v>
      </c>
      <c r="N46" s="81">
        <f t="shared" ref="N46" si="17">(N22/I22-1)*100</f>
        <v>9.9726513277640372</v>
      </c>
      <c r="O46" s="81">
        <f t="shared" ref="O46" si="18">(O22/J22-1)*100</f>
        <v>10.871557574256396</v>
      </c>
      <c r="P46" s="145">
        <f t="shared" ref="P46" si="19">(P22/K22-1)*100</f>
        <v>11.499473673869453</v>
      </c>
      <c r="Q46" s="163"/>
      <c r="R46" s="150">
        <f>(R22/M22-1)*100</f>
        <v>13.161052088349789</v>
      </c>
      <c r="S46" s="81">
        <f>(S22/N22-1)*100</f>
        <v>13.377302089158928</v>
      </c>
      <c r="T46" s="81">
        <f>(T22/O22-1)*100</f>
        <v>13.169337401026503</v>
      </c>
      <c r="U46" s="81">
        <f>(U22/P22-1)*100</f>
        <v>10.838787321799614</v>
      </c>
      <c r="V46" s="82"/>
      <c r="W46" s="82"/>
      <c r="X46" s="83"/>
      <c r="Y46" s="84" t="s">
        <v>20</v>
      </c>
      <c r="Z46" s="15"/>
    </row>
    <row r="47" spans="1:26" x14ac:dyDescent="0.5">
      <c r="A47" s="85" t="s">
        <v>21</v>
      </c>
      <c r="B47" s="86"/>
      <c r="C47" s="127"/>
      <c r="D47" s="127"/>
      <c r="E47" s="127"/>
      <c r="F47" s="127"/>
      <c r="G47" s="146"/>
      <c r="H47" s="183"/>
      <c r="I47" s="127"/>
      <c r="J47" s="127"/>
      <c r="K47" s="191"/>
      <c r="L47" s="151"/>
      <c r="M47" s="127"/>
      <c r="N47" s="127"/>
      <c r="O47" s="127"/>
      <c r="P47" s="146"/>
      <c r="Q47" s="164"/>
      <c r="R47" s="151"/>
      <c r="S47" s="127"/>
      <c r="T47" s="127"/>
      <c r="U47" s="127"/>
      <c r="V47" s="20"/>
      <c r="W47" s="20"/>
      <c r="X47" s="87"/>
      <c r="Y47" s="88" t="s">
        <v>22</v>
      </c>
      <c r="Z47" s="15"/>
    </row>
    <row r="48" spans="1:26" ht="18" x14ac:dyDescent="0.45">
      <c r="A48" s="17" t="s">
        <v>65</v>
      </c>
      <c r="B48" s="13"/>
      <c r="C48" s="124">
        <v>25674.16</v>
      </c>
      <c r="D48" s="124">
        <v>26519.450999999997</v>
      </c>
      <c r="E48" s="124">
        <v>27200.411999999997</v>
      </c>
      <c r="F48" s="124">
        <v>27734.698</v>
      </c>
      <c r="G48" s="124"/>
      <c r="H48" s="178">
        <v>29917.481</v>
      </c>
      <c r="I48" s="124">
        <v>29061.190000000002</v>
      </c>
      <c r="J48" s="124">
        <v>29177.445000000003</v>
      </c>
      <c r="K48" s="159">
        <v>27741.251</v>
      </c>
      <c r="L48" s="124"/>
      <c r="M48" s="124">
        <v>28242.690999999999</v>
      </c>
      <c r="N48" s="124">
        <v>29028.258000000002</v>
      </c>
      <c r="O48" s="124">
        <v>27114.554</v>
      </c>
      <c r="P48" s="124">
        <v>29093.368999999999</v>
      </c>
      <c r="Q48" s="159"/>
      <c r="R48" s="124">
        <v>30637.462000000003</v>
      </c>
      <c r="S48" s="124">
        <v>29879.966</v>
      </c>
      <c r="T48" s="124">
        <v>28548.16</v>
      </c>
      <c r="U48" s="124">
        <v>30031.993000000002</v>
      </c>
      <c r="V48" s="121"/>
      <c r="W48" s="14"/>
      <c r="X48" s="53"/>
      <c r="Y48" s="61" t="s">
        <v>66</v>
      </c>
      <c r="Z48" s="15"/>
    </row>
    <row r="49" spans="1:26" ht="18" x14ac:dyDescent="0.45">
      <c r="A49" s="72" t="s">
        <v>75</v>
      </c>
      <c r="B49" s="89"/>
      <c r="C49" s="132">
        <v>10790.850000000002</v>
      </c>
      <c r="D49" s="132">
        <v>11580.960999999999</v>
      </c>
      <c r="E49" s="132">
        <v>11652.112000000001</v>
      </c>
      <c r="F49" s="132">
        <v>12290.892</v>
      </c>
      <c r="G49" s="132"/>
      <c r="H49" s="184">
        <v>13027.344999999999</v>
      </c>
      <c r="I49" s="132">
        <v>13137.842000000001</v>
      </c>
      <c r="J49" s="132">
        <v>13302.06</v>
      </c>
      <c r="K49" s="165">
        <v>12979.253000000001</v>
      </c>
      <c r="L49" s="132"/>
      <c r="M49" s="132">
        <v>12919.302</v>
      </c>
      <c r="N49" s="132">
        <v>13537.182000000001</v>
      </c>
      <c r="O49" s="132">
        <v>12750.932000000001</v>
      </c>
      <c r="P49" s="132">
        <v>13492.744000000001</v>
      </c>
      <c r="Q49" s="165"/>
      <c r="R49" s="132">
        <v>13704.289000000001</v>
      </c>
      <c r="S49" s="132">
        <v>14158.735000000001</v>
      </c>
      <c r="T49" s="132">
        <v>13691.811</v>
      </c>
      <c r="U49" s="132">
        <v>13871.979000000001</v>
      </c>
      <c r="V49" s="121"/>
      <c r="W49" s="14"/>
      <c r="X49" s="90" t="s">
        <v>13</v>
      </c>
      <c r="Y49" s="53"/>
      <c r="Z49" s="15"/>
    </row>
    <row r="50" spans="1:26" ht="18" x14ac:dyDescent="0.45">
      <c r="A50" s="79" t="s">
        <v>82</v>
      </c>
      <c r="B50" s="91"/>
      <c r="C50" s="107">
        <v>14883.31</v>
      </c>
      <c r="D50" s="107">
        <v>14938.489999999998</v>
      </c>
      <c r="E50" s="107">
        <v>15548.3</v>
      </c>
      <c r="F50" s="107">
        <v>15443.805999999999</v>
      </c>
      <c r="G50" s="107"/>
      <c r="H50" s="185">
        <v>16890.135999999999</v>
      </c>
      <c r="I50" s="107">
        <v>15923.348</v>
      </c>
      <c r="J50" s="107">
        <v>15875.385000000002</v>
      </c>
      <c r="K50" s="166">
        <v>14761.998</v>
      </c>
      <c r="L50" s="107"/>
      <c r="M50" s="107">
        <v>15323.389000000001</v>
      </c>
      <c r="N50" s="107">
        <v>15491.076000000001</v>
      </c>
      <c r="O50" s="107">
        <v>14363.621999999999</v>
      </c>
      <c r="P50" s="107">
        <v>15600.625</v>
      </c>
      <c r="Q50" s="166"/>
      <c r="R50" s="107">
        <v>16933.173000000003</v>
      </c>
      <c r="S50" s="107">
        <v>15721.231</v>
      </c>
      <c r="T50" s="107">
        <v>14856.349000000002</v>
      </c>
      <c r="U50" s="107">
        <v>16160.014000000001</v>
      </c>
      <c r="V50" s="126"/>
      <c r="W50" s="92"/>
      <c r="X50" s="93" t="s">
        <v>14</v>
      </c>
      <c r="Y50" s="94"/>
      <c r="Z50" s="95"/>
    </row>
    <row r="51" spans="1:26" s="98" customFormat="1" ht="17.25" x14ac:dyDescent="0.4">
      <c r="A51" s="2" t="s">
        <v>79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7"/>
      <c r="W51" s="7"/>
      <c r="X51" s="96"/>
      <c r="Y51" s="3" t="s">
        <v>78</v>
      </c>
      <c r="Z51" s="97"/>
    </row>
    <row r="52" spans="1:26" s="136" customFormat="1" ht="15" customHeight="1" x14ac:dyDescent="0.4">
      <c r="A52" s="4" t="s">
        <v>85</v>
      </c>
      <c r="B52" s="133"/>
      <c r="C52" s="134"/>
      <c r="D52" s="134"/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  <c r="V52" s="137"/>
      <c r="W52" s="137"/>
      <c r="X52" s="137"/>
      <c r="Y52" s="100" t="s">
        <v>76</v>
      </c>
      <c r="Z52" s="14" t="s">
        <v>41</v>
      </c>
    </row>
    <row r="53" spans="1:26" s="136" customFormat="1" ht="15" customHeight="1" x14ac:dyDescent="0.4">
      <c r="A53" s="4" t="s">
        <v>88</v>
      </c>
      <c r="B53" s="133"/>
      <c r="C53" s="134"/>
      <c r="D53" s="134"/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  <c r="V53" s="169"/>
      <c r="W53" s="169"/>
      <c r="X53" s="169"/>
      <c r="Y53" s="169"/>
      <c r="Z53" s="135"/>
    </row>
    <row r="54" spans="1:26" ht="13.5" customHeight="1" x14ac:dyDescent="0.5">
      <c r="A54" s="4" t="s">
        <v>77</v>
      </c>
      <c r="B54" s="6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</row>
    <row r="55" spans="1:26" ht="18" x14ac:dyDescent="0.45">
      <c r="A55" s="4" t="s">
        <v>23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49"/>
      <c r="Y55" s="67"/>
      <c r="Z55" s="15"/>
    </row>
    <row r="56" spans="1:26" ht="18" x14ac:dyDescent="0.45"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49"/>
      <c r="Y56" s="49"/>
      <c r="Z56" s="15"/>
    </row>
    <row r="57" spans="1:26" ht="18" x14ac:dyDescent="0.45">
      <c r="B57" s="15"/>
      <c r="C57" s="101"/>
      <c r="D57" s="101"/>
      <c r="E57" s="101"/>
      <c r="F57" s="101"/>
      <c r="H57" s="101"/>
      <c r="I57" s="101"/>
      <c r="J57" s="101"/>
      <c r="K57" s="101"/>
      <c r="M57" s="101"/>
      <c r="N57" s="101"/>
      <c r="O57" s="101"/>
      <c r="P57" s="101"/>
      <c r="Q57" s="101"/>
      <c r="R57" s="101"/>
      <c r="S57" s="101"/>
      <c r="T57" s="101"/>
      <c r="U57" s="101"/>
      <c r="V57" s="15"/>
      <c r="W57" s="15"/>
      <c r="X57" s="49"/>
      <c r="Y57" s="49"/>
      <c r="Z57" s="15"/>
    </row>
    <row r="58" spans="1:26" ht="18" x14ac:dyDescent="0.45">
      <c r="B58" s="15"/>
      <c r="C58" s="101"/>
      <c r="E58" s="101"/>
      <c r="F58" s="101"/>
      <c r="H58" s="101"/>
      <c r="I58" s="101"/>
      <c r="K58" s="101"/>
      <c r="M58" s="101"/>
      <c r="N58" s="101"/>
      <c r="O58" s="101"/>
      <c r="Q58" s="141"/>
      <c r="R58" s="101"/>
      <c r="S58" s="101"/>
      <c r="T58" s="101"/>
      <c r="U58" s="101"/>
      <c r="V58" s="15"/>
      <c r="W58" s="15"/>
      <c r="X58" s="49"/>
      <c r="Y58" s="49"/>
      <c r="Z58" s="15"/>
    </row>
    <row r="59" spans="1:26" ht="18" x14ac:dyDescent="0.45">
      <c r="B59" s="15"/>
      <c r="C59" s="101"/>
      <c r="E59" s="101"/>
      <c r="H59" s="101"/>
      <c r="I59" s="101"/>
      <c r="K59" s="101"/>
      <c r="M59" s="101"/>
      <c r="N59" s="101"/>
      <c r="O59" s="101"/>
      <c r="Q59" s="141"/>
      <c r="R59" s="101"/>
      <c r="S59" s="101"/>
      <c r="T59" s="101"/>
      <c r="U59" s="101"/>
      <c r="V59" s="15"/>
      <c r="W59" s="15"/>
      <c r="X59" s="49"/>
      <c r="Y59" s="49"/>
      <c r="Z59" s="15"/>
    </row>
    <row r="60" spans="1:26" ht="18" x14ac:dyDescent="0.45">
      <c r="A60" s="15"/>
      <c r="B60" s="15"/>
      <c r="C60" s="101"/>
      <c r="E60" s="101"/>
      <c r="H60" s="101"/>
      <c r="I60" s="101"/>
      <c r="K60" s="101"/>
      <c r="M60" s="101"/>
      <c r="N60" s="101"/>
      <c r="O60" s="101"/>
      <c r="Q60" s="141"/>
      <c r="R60" s="101"/>
      <c r="S60" s="101"/>
      <c r="T60" s="101"/>
      <c r="U60" s="101"/>
      <c r="V60" s="15"/>
      <c r="W60" s="15"/>
      <c r="X60" s="49"/>
      <c r="Y60" s="49"/>
      <c r="Z60" s="15"/>
    </row>
    <row r="61" spans="1:26" x14ac:dyDescent="0.5">
      <c r="C61" s="101"/>
      <c r="E61" s="101"/>
      <c r="H61" s="101"/>
      <c r="I61" s="101"/>
      <c r="K61" s="101"/>
      <c r="M61" s="101"/>
      <c r="N61" s="101"/>
      <c r="O61" s="101"/>
      <c r="Q61" s="141"/>
      <c r="R61" s="101"/>
      <c r="S61" s="101"/>
      <c r="T61" s="101"/>
      <c r="U61" s="101"/>
    </row>
    <row r="62" spans="1:26" x14ac:dyDescent="0.5">
      <c r="C62" s="101"/>
      <c r="E62" s="101"/>
      <c r="H62" s="101"/>
      <c r="I62" s="101"/>
      <c r="K62" s="101"/>
      <c r="M62" s="101"/>
      <c r="N62" s="101"/>
      <c r="O62" s="101"/>
      <c r="Q62" s="141"/>
      <c r="R62" s="101"/>
      <c r="S62" s="101"/>
      <c r="T62" s="101"/>
      <c r="U62" s="101"/>
    </row>
    <row r="63" spans="1:26" x14ac:dyDescent="0.5">
      <c r="C63" s="101"/>
      <c r="E63" s="101"/>
      <c r="H63" s="101"/>
      <c r="I63" s="101"/>
      <c r="K63" s="101"/>
      <c r="M63" s="101"/>
      <c r="N63" s="101"/>
      <c r="O63" s="101"/>
      <c r="Q63" s="141"/>
      <c r="R63" s="101"/>
      <c r="S63" s="101"/>
      <c r="T63" s="101"/>
      <c r="U63" s="101"/>
    </row>
    <row r="64" spans="1:26" x14ac:dyDescent="0.5">
      <c r="C64" s="101"/>
      <c r="E64" s="101"/>
      <c r="H64" s="101"/>
      <c r="I64" s="101"/>
      <c r="K64" s="101"/>
      <c r="M64" s="101"/>
      <c r="N64" s="101"/>
      <c r="O64" s="101"/>
      <c r="Q64" s="141"/>
      <c r="R64" s="101"/>
      <c r="S64" s="101"/>
      <c r="T64" s="101"/>
      <c r="U64" s="101"/>
    </row>
    <row r="65" spans="3:21" x14ac:dyDescent="0.5">
      <c r="C65" s="101"/>
      <c r="E65" s="101"/>
      <c r="H65" s="101"/>
      <c r="I65" s="101"/>
      <c r="K65" s="101"/>
      <c r="M65" s="101"/>
      <c r="N65" s="101"/>
      <c r="O65" s="101"/>
      <c r="Q65" s="141"/>
      <c r="R65" s="101"/>
      <c r="S65" s="101"/>
      <c r="T65" s="101"/>
      <c r="U65" s="101"/>
    </row>
    <row r="66" spans="3:21" x14ac:dyDescent="0.5">
      <c r="C66" s="101"/>
      <c r="E66" s="101"/>
      <c r="H66" s="101"/>
      <c r="I66" s="101"/>
      <c r="K66" s="101"/>
      <c r="M66" s="101"/>
      <c r="N66" s="101"/>
      <c r="O66" s="101"/>
      <c r="Q66" s="141"/>
      <c r="R66" s="101"/>
      <c r="S66" s="101"/>
      <c r="T66" s="101"/>
      <c r="U66" s="101"/>
    </row>
    <row r="67" spans="3:21" x14ac:dyDescent="0.5">
      <c r="C67" s="101"/>
      <c r="E67" s="101"/>
      <c r="H67" s="101"/>
      <c r="I67" s="101"/>
      <c r="K67" s="101"/>
      <c r="M67" s="101"/>
      <c r="N67" s="101"/>
      <c r="O67" s="101"/>
      <c r="Q67" s="141"/>
      <c r="R67" s="101"/>
      <c r="S67" s="101"/>
      <c r="T67" s="101"/>
      <c r="U67" s="101"/>
    </row>
    <row r="68" spans="3:21" x14ac:dyDescent="0.5">
      <c r="C68" s="101"/>
      <c r="E68" s="101"/>
      <c r="H68" s="101"/>
      <c r="I68" s="101"/>
      <c r="K68" s="101"/>
      <c r="M68" s="101"/>
      <c r="N68" s="101"/>
      <c r="O68" s="101"/>
      <c r="Q68" s="141"/>
      <c r="R68" s="101"/>
      <c r="S68" s="101"/>
      <c r="T68" s="101"/>
      <c r="U68" s="101"/>
    </row>
    <row r="69" spans="3:21" x14ac:dyDescent="0.5">
      <c r="C69" s="101"/>
      <c r="E69" s="101"/>
      <c r="H69" s="101"/>
      <c r="I69" s="101"/>
      <c r="K69" s="101"/>
      <c r="M69" s="101"/>
      <c r="N69" s="101"/>
      <c r="O69" s="101"/>
      <c r="Q69" s="141"/>
      <c r="R69" s="101"/>
      <c r="S69" s="101"/>
      <c r="T69" s="101"/>
      <c r="U69" s="101"/>
    </row>
    <row r="70" spans="3:21" x14ac:dyDescent="0.5">
      <c r="C70" s="101"/>
      <c r="E70" s="101"/>
      <c r="H70" s="101"/>
      <c r="I70" s="101"/>
      <c r="K70" s="101"/>
      <c r="M70" s="101"/>
      <c r="N70" s="101"/>
      <c r="O70" s="101"/>
      <c r="Q70" s="141"/>
      <c r="R70" s="101"/>
      <c r="S70" s="101"/>
      <c r="T70" s="101"/>
      <c r="U70" s="101"/>
    </row>
    <row r="71" spans="3:21" x14ac:dyDescent="0.5">
      <c r="C71" s="101"/>
      <c r="E71" s="101"/>
      <c r="H71" s="101"/>
      <c r="I71" s="101"/>
      <c r="K71" s="101"/>
      <c r="M71" s="101"/>
      <c r="N71" s="101"/>
      <c r="O71" s="101"/>
      <c r="Q71" s="141"/>
      <c r="R71" s="101"/>
      <c r="S71" s="101"/>
      <c r="T71" s="101"/>
      <c r="U71" s="101"/>
    </row>
    <row r="72" spans="3:21" x14ac:dyDescent="0.5">
      <c r="C72" s="101"/>
      <c r="E72" s="101"/>
      <c r="H72" s="101"/>
      <c r="I72" s="101"/>
      <c r="K72" s="101"/>
      <c r="M72" s="101"/>
      <c r="N72" s="101"/>
      <c r="O72" s="101"/>
      <c r="Q72" s="141"/>
      <c r="R72" s="101"/>
      <c r="S72" s="101"/>
      <c r="T72" s="101"/>
      <c r="U72" s="101"/>
    </row>
    <row r="73" spans="3:21" x14ac:dyDescent="0.5">
      <c r="C73" s="101"/>
      <c r="E73" s="101"/>
      <c r="H73" s="101"/>
      <c r="I73" s="101"/>
      <c r="K73" s="101"/>
      <c r="M73" s="101"/>
      <c r="N73" s="101"/>
      <c r="O73" s="101"/>
      <c r="Q73" s="141"/>
      <c r="R73" s="101"/>
      <c r="S73" s="101"/>
      <c r="T73" s="101"/>
      <c r="U73" s="101"/>
    </row>
    <row r="74" spans="3:21" x14ac:dyDescent="0.5">
      <c r="C74" s="101"/>
      <c r="E74" s="101"/>
      <c r="H74" s="101"/>
      <c r="I74" s="101"/>
      <c r="K74" s="101"/>
      <c r="M74" s="101"/>
      <c r="N74" s="101"/>
      <c r="O74" s="101"/>
      <c r="Q74" s="141"/>
      <c r="R74" s="101"/>
      <c r="S74" s="101"/>
      <c r="T74" s="101"/>
      <c r="U74" s="101"/>
    </row>
    <row r="75" spans="3:21" x14ac:dyDescent="0.5">
      <c r="C75" s="101"/>
      <c r="E75" s="101"/>
      <c r="H75" s="101"/>
      <c r="I75" s="101"/>
      <c r="K75" s="101"/>
      <c r="M75" s="101"/>
      <c r="N75" s="101"/>
      <c r="O75" s="101"/>
      <c r="Q75" s="141"/>
      <c r="R75" s="101"/>
      <c r="S75" s="101"/>
      <c r="T75" s="101"/>
      <c r="U75" s="101"/>
    </row>
    <row r="76" spans="3:21" x14ac:dyDescent="0.5">
      <c r="C76" s="101"/>
      <c r="E76" s="101"/>
      <c r="H76" s="101"/>
      <c r="I76" s="101"/>
      <c r="K76" s="101"/>
      <c r="M76" s="101"/>
      <c r="N76" s="101"/>
      <c r="O76" s="101"/>
      <c r="Q76" s="141"/>
      <c r="R76" s="101"/>
      <c r="S76" s="101"/>
      <c r="T76" s="101"/>
      <c r="U76" s="101"/>
    </row>
    <row r="77" spans="3:21" x14ac:dyDescent="0.5">
      <c r="C77" s="101"/>
      <c r="E77" s="101"/>
      <c r="H77" s="101"/>
      <c r="I77" s="101"/>
      <c r="K77" s="101"/>
      <c r="M77" s="101"/>
      <c r="N77" s="101"/>
      <c r="O77" s="101"/>
      <c r="Q77" s="141"/>
      <c r="R77" s="101"/>
      <c r="S77" s="101"/>
      <c r="T77" s="101"/>
      <c r="U77" s="101"/>
    </row>
    <row r="78" spans="3:21" x14ac:dyDescent="0.5">
      <c r="C78" s="101"/>
      <c r="E78" s="101"/>
      <c r="H78" s="101"/>
      <c r="I78" s="101"/>
      <c r="K78" s="101"/>
      <c r="M78" s="101"/>
      <c r="N78" s="101"/>
      <c r="O78" s="101"/>
      <c r="Q78" s="141"/>
      <c r="R78" s="101"/>
      <c r="S78" s="101"/>
      <c r="T78" s="101"/>
      <c r="U78" s="101"/>
    </row>
    <row r="79" spans="3:21" x14ac:dyDescent="0.5">
      <c r="C79" s="101"/>
      <c r="E79" s="101"/>
      <c r="H79" s="101"/>
      <c r="I79" s="101"/>
      <c r="K79" s="101"/>
      <c r="M79" s="101"/>
      <c r="N79" s="101"/>
      <c r="O79" s="101"/>
      <c r="Q79" s="141"/>
      <c r="R79" s="101"/>
      <c r="S79" s="101"/>
      <c r="T79" s="101"/>
      <c r="U79" s="101"/>
    </row>
    <row r="80" spans="3:21" x14ac:dyDescent="0.5">
      <c r="C80" s="101"/>
      <c r="E80" s="101"/>
      <c r="H80" s="101"/>
      <c r="I80" s="101"/>
      <c r="K80" s="101"/>
      <c r="M80" s="101"/>
      <c r="N80" s="101"/>
      <c r="O80" s="101"/>
      <c r="Q80" s="141"/>
      <c r="R80" s="101"/>
      <c r="S80" s="101"/>
      <c r="T80" s="101"/>
      <c r="U80" s="101"/>
    </row>
    <row r="81" spans="3:21" x14ac:dyDescent="0.5">
      <c r="C81" s="101"/>
      <c r="E81" s="101"/>
      <c r="H81" s="101"/>
      <c r="I81" s="101"/>
      <c r="K81" s="101"/>
      <c r="M81" s="101"/>
      <c r="N81" s="101"/>
      <c r="O81" s="101"/>
      <c r="Q81" s="141"/>
      <c r="R81" s="101"/>
      <c r="S81" s="101"/>
      <c r="T81" s="101"/>
      <c r="U81" s="101"/>
    </row>
    <row r="82" spans="3:21" x14ac:dyDescent="0.5">
      <c r="C82" s="101"/>
      <c r="E82" s="101"/>
      <c r="H82" s="101"/>
      <c r="I82" s="101"/>
      <c r="K82" s="101"/>
      <c r="M82" s="101"/>
      <c r="N82" s="101"/>
      <c r="O82" s="101"/>
      <c r="Q82" s="141"/>
      <c r="R82" s="101"/>
      <c r="S82" s="101"/>
      <c r="T82" s="101"/>
      <c r="U82" s="101"/>
    </row>
    <row r="83" spans="3:21" x14ac:dyDescent="0.5">
      <c r="C83" s="101"/>
      <c r="E83" s="101"/>
      <c r="H83" s="101"/>
      <c r="I83" s="101"/>
      <c r="K83" s="101"/>
      <c r="M83" s="101"/>
      <c r="N83" s="101"/>
      <c r="O83" s="101"/>
      <c r="Q83" s="141"/>
      <c r="R83" s="101"/>
      <c r="S83" s="101"/>
      <c r="T83" s="101"/>
      <c r="U83" s="101"/>
    </row>
    <row r="84" spans="3:21" x14ac:dyDescent="0.5">
      <c r="C84" s="101"/>
      <c r="E84" s="101"/>
      <c r="H84" s="101"/>
      <c r="I84" s="101"/>
      <c r="K84" s="101"/>
      <c r="M84" s="101"/>
      <c r="N84" s="101"/>
      <c r="O84" s="101"/>
      <c r="Q84" s="141"/>
      <c r="R84" s="101"/>
      <c r="S84" s="101"/>
      <c r="T84" s="101"/>
      <c r="U84" s="101"/>
    </row>
    <row r="85" spans="3:21" x14ac:dyDescent="0.5">
      <c r="C85" s="101"/>
      <c r="E85" s="101"/>
      <c r="H85" s="101"/>
      <c r="I85" s="101"/>
      <c r="K85" s="101"/>
      <c r="M85" s="101"/>
      <c r="N85" s="101"/>
      <c r="O85" s="101"/>
      <c r="Q85" s="141"/>
      <c r="R85" s="101"/>
      <c r="S85" s="101"/>
      <c r="T85" s="101"/>
      <c r="U85" s="101"/>
    </row>
    <row r="86" spans="3:21" x14ac:dyDescent="0.5">
      <c r="C86" s="101"/>
      <c r="E86" s="101"/>
      <c r="H86" s="101"/>
      <c r="I86" s="101"/>
      <c r="K86" s="101"/>
      <c r="M86" s="101"/>
      <c r="N86" s="101"/>
      <c r="O86" s="101"/>
      <c r="Q86" s="141"/>
      <c r="R86" s="101"/>
      <c r="S86" s="101"/>
      <c r="T86" s="101"/>
      <c r="U86" s="101"/>
    </row>
    <row r="87" spans="3:21" x14ac:dyDescent="0.5">
      <c r="C87" s="101"/>
      <c r="E87" s="101"/>
      <c r="H87" s="101"/>
      <c r="I87" s="101"/>
      <c r="K87" s="101"/>
      <c r="M87" s="101"/>
      <c r="N87" s="101"/>
      <c r="O87" s="101"/>
      <c r="Q87" s="141"/>
      <c r="R87" s="101"/>
      <c r="S87" s="101"/>
      <c r="T87" s="101"/>
      <c r="U87" s="101"/>
    </row>
    <row r="88" spans="3:21" x14ac:dyDescent="0.5">
      <c r="C88" s="101"/>
      <c r="E88" s="101"/>
      <c r="H88" s="101"/>
      <c r="I88" s="101"/>
      <c r="K88" s="101"/>
      <c r="M88" s="101"/>
      <c r="N88" s="101"/>
      <c r="O88" s="101"/>
      <c r="Q88" s="141"/>
      <c r="R88" s="101"/>
      <c r="S88" s="101"/>
      <c r="T88" s="101"/>
      <c r="U88" s="101"/>
    </row>
    <row r="89" spans="3:21" x14ac:dyDescent="0.5">
      <c r="C89" s="101"/>
      <c r="E89" s="101"/>
      <c r="F89" s="101"/>
      <c r="H89" s="101"/>
      <c r="I89" s="101"/>
      <c r="K89" s="101"/>
      <c r="M89" s="101"/>
      <c r="N89" s="101"/>
      <c r="O89" s="101"/>
      <c r="Q89" s="141"/>
      <c r="R89" s="101"/>
      <c r="S89" s="101"/>
      <c r="T89" s="101"/>
      <c r="U89" s="101"/>
    </row>
    <row r="90" spans="3:21" x14ac:dyDescent="0.5">
      <c r="C90" s="130"/>
      <c r="E90" s="130"/>
      <c r="F90" s="130"/>
      <c r="H90" s="130"/>
      <c r="I90" s="130"/>
      <c r="K90" s="130"/>
      <c r="M90" s="130"/>
      <c r="N90" s="130"/>
      <c r="O90" s="130"/>
      <c r="Q90" s="141"/>
      <c r="R90" s="130"/>
      <c r="S90" s="130"/>
      <c r="T90" s="130"/>
      <c r="U90" s="130"/>
    </row>
    <row r="91" spans="3:21" x14ac:dyDescent="0.5">
      <c r="C91" s="130"/>
      <c r="D91" s="130"/>
      <c r="E91" s="130"/>
      <c r="F91" s="130"/>
      <c r="H91" s="130"/>
      <c r="I91" s="130"/>
      <c r="J91" s="130"/>
      <c r="K91" s="130"/>
      <c r="M91" s="130"/>
      <c r="N91" s="130"/>
      <c r="O91" s="130"/>
      <c r="P91" s="130"/>
      <c r="Q91" s="130"/>
      <c r="R91" s="130"/>
      <c r="S91" s="130"/>
      <c r="T91" s="130"/>
      <c r="U91" s="130"/>
    </row>
    <row r="92" spans="3:21" x14ac:dyDescent="0.5">
      <c r="C92" s="130"/>
      <c r="D92" s="130"/>
      <c r="E92" s="130"/>
      <c r="F92" s="130"/>
      <c r="G92" s="130"/>
      <c r="H92" s="130"/>
      <c r="I92" s="130"/>
      <c r="J92" s="130"/>
      <c r="K92" s="130"/>
      <c r="L92" s="130"/>
      <c r="M92" s="130"/>
      <c r="N92" s="130"/>
      <c r="O92" s="130"/>
      <c r="P92" s="130"/>
      <c r="Q92" s="130"/>
      <c r="R92" s="130"/>
      <c r="S92" s="130"/>
      <c r="T92" s="130"/>
      <c r="U92" s="130"/>
    </row>
    <row r="93" spans="3:21" x14ac:dyDescent="0.5">
      <c r="C93" s="130"/>
      <c r="D93" s="130"/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T93" s="130"/>
      <c r="U93" s="130"/>
    </row>
    <row r="94" spans="3:21" x14ac:dyDescent="0.5">
      <c r="C94" s="130"/>
      <c r="D94" s="130"/>
      <c r="E94" s="130"/>
      <c r="F94" s="130"/>
      <c r="G94" s="130"/>
      <c r="H94" s="130"/>
      <c r="I94" s="130"/>
      <c r="J94" s="130"/>
      <c r="K94" s="130"/>
      <c r="L94" s="130"/>
      <c r="M94" s="130"/>
      <c r="N94" s="130"/>
      <c r="O94" s="130"/>
      <c r="P94" s="130"/>
      <c r="Q94" s="130"/>
      <c r="R94" s="130"/>
      <c r="S94" s="130"/>
      <c r="T94" s="130"/>
      <c r="U94" s="130"/>
    </row>
    <row r="95" spans="3:21" x14ac:dyDescent="0.5">
      <c r="C95" s="130"/>
      <c r="D95" s="130"/>
      <c r="E95" s="130"/>
      <c r="F95" s="130"/>
      <c r="G95" s="130"/>
      <c r="H95" s="130"/>
      <c r="I95" s="130"/>
      <c r="J95" s="130"/>
      <c r="K95" s="130"/>
      <c r="L95" s="130"/>
      <c r="M95" s="130"/>
      <c r="N95" s="130"/>
      <c r="O95" s="130"/>
      <c r="P95" s="130"/>
      <c r="Q95" s="130"/>
      <c r="R95" s="130"/>
      <c r="S95" s="130"/>
      <c r="T95" s="130"/>
      <c r="U95" s="130"/>
    </row>
    <row r="96" spans="3:21" x14ac:dyDescent="0.5">
      <c r="C96" s="130"/>
      <c r="D96" s="130"/>
      <c r="E96" s="130"/>
      <c r="F96" s="130"/>
      <c r="G96" s="130"/>
      <c r="H96" s="130"/>
      <c r="I96" s="130"/>
      <c r="J96" s="130"/>
      <c r="K96" s="130"/>
      <c r="L96" s="130"/>
      <c r="M96" s="130"/>
      <c r="N96" s="130"/>
      <c r="O96" s="130"/>
      <c r="P96" s="130"/>
      <c r="Q96" s="130"/>
      <c r="R96" s="130"/>
      <c r="S96" s="130"/>
      <c r="T96" s="130"/>
      <c r="U96" s="130"/>
    </row>
    <row r="97" spans="3:21" x14ac:dyDescent="0.5">
      <c r="C97" s="130"/>
      <c r="D97" s="130"/>
      <c r="E97" s="130"/>
      <c r="F97" s="130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130"/>
      <c r="S97" s="130"/>
      <c r="T97" s="130"/>
      <c r="U97" s="130"/>
    </row>
    <row r="98" spans="3:21" x14ac:dyDescent="0.5">
      <c r="C98" s="130"/>
      <c r="D98" s="130"/>
      <c r="E98" s="130"/>
      <c r="F98" s="130"/>
      <c r="G98" s="130"/>
      <c r="H98" s="130"/>
      <c r="I98" s="130"/>
      <c r="J98" s="130"/>
      <c r="K98" s="130"/>
      <c r="L98" s="130"/>
      <c r="M98" s="130"/>
      <c r="N98" s="130"/>
      <c r="O98" s="130"/>
      <c r="P98" s="130"/>
      <c r="Q98" s="130"/>
      <c r="R98" s="130"/>
      <c r="S98" s="130"/>
      <c r="T98" s="130"/>
      <c r="U98" s="130"/>
    </row>
    <row r="99" spans="3:21" x14ac:dyDescent="0.5">
      <c r="C99" s="130"/>
      <c r="D99" s="130"/>
      <c r="E99" s="130"/>
      <c r="F99" s="130"/>
      <c r="G99" s="130"/>
      <c r="H99" s="130"/>
      <c r="I99" s="130"/>
      <c r="J99" s="130"/>
      <c r="K99" s="130"/>
      <c r="L99" s="130"/>
      <c r="M99" s="130"/>
      <c r="N99" s="130"/>
      <c r="O99" s="130"/>
      <c r="P99" s="130"/>
      <c r="Q99" s="130"/>
      <c r="R99" s="130"/>
      <c r="S99" s="130"/>
      <c r="T99" s="130"/>
      <c r="U99" s="130"/>
    </row>
    <row r="100" spans="3:21" x14ac:dyDescent="0.5"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</row>
    <row r="101" spans="3:21" x14ac:dyDescent="0.5"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</row>
    <row r="102" spans="3:21" x14ac:dyDescent="0.5">
      <c r="C102" s="130"/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</row>
    <row r="103" spans="3:21" x14ac:dyDescent="0.5"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</row>
    <row r="104" spans="3:21" x14ac:dyDescent="0.5">
      <c r="C104" s="130"/>
      <c r="D104" s="130"/>
      <c r="E104" s="130"/>
      <c r="F104" s="130"/>
      <c r="G104" s="130"/>
      <c r="H104" s="130"/>
      <c r="I104" s="130"/>
      <c r="J104" s="130"/>
      <c r="K104" s="130"/>
      <c r="L104" s="130"/>
      <c r="M104" s="130"/>
      <c r="N104" s="130"/>
      <c r="O104" s="130"/>
      <c r="P104" s="130"/>
      <c r="Q104" s="130"/>
      <c r="R104" s="130"/>
      <c r="S104" s="130"/>
      <c r="T104" s="130"/>
      <c r="U104" s="130"/>
    </row>
    <row r="105" spans="3:21" x14ac:dyDescent="0.5">
      <c r="C105" s="130"/>
      <c r="D105" s="130"/>
      <c r="E105" s="130"/>
      <c r="F105" s="130"/>
      <c r="G105" s="130"/>
      <c r="H105" s="130"/>
      <c r="I105" s="130"/>
      <c r="J105" s="130"/>
      <c r="K105" s="130"/>
      <c r="L105" s="130"/>
      <c r="M105" s="130"/>
      <c r="N105" s="130"/>
      <c r="O105" s="130"/>
      <c r="P105" s="130"/>
      <c r="Q105" s="130"/>
      <c r="R105" s="130"/>
      <c r="S105" s="130"/>
      <c r="T105" s="130"/>
      <c r="U105" s="130"/>
    </row>
    <row r="106" spans="3:21" x14ac:dyDescent="0.5">
      <c r="C106" s="130"/>
      <c r="D106" s="130"/>
      <c r="E106" s="130"/>
      <c r="F106" s="130"/>
      <c r="G106" s="130"/>
      <c r="H106" s="130"/>
      <c r="I106" s="130"/>
      <c r="J106" s="130"/>
      <c r="K106" s="130"/>
      <c r="L106" s="130"/>
      <c r="M106" s="130"/>
      <c r="N106" s="130"/>
      <c r="O106" s="130"/>
      <c r="P106" s="130"/>
      <c r="Q106" s="130"/>
      <c r="R106" s="130"/>
      <c r="S106" s="130"/>
      <c r="T106" s="130"/>
      <c r="U106" s="130"/>
    </row>
    <row r="107" spans="3:21" x14ac:dyDescent="0.5">
      <c r="C107" s="130"/>
      <c r="D107" s="130"/>
      <c r="E107" s="130"/>
      <c r="F107" s="130"/>
      <c r="G107" s="130"/>
      <c r="H107" s="130"/>
      <c r="I107" s="130"/>
      <c r="J107" s="130"/>
      <c r="K107" s="130"/>
      <c r="L107" s="130"/>
      <c r="M107" s="130"/>
      <c r="N107" s="130"/>
      <c r="O107" s="130"/>
      <c r="P107" s="130"/>
      <c r="Q107" s="130"/>
      <c r="R107" s="130"/>
      <c r="S107" s="130"/>
      <c r="T107" s="130"/>
      <c r="U107" s="130"/>
    </row>
    <row r="108" spans="3:21" x14ac:dyDescent="0.5">
      <c r="C108" s="130"/>
      <c r="D108" s="130"/>
      <c r="E108" s="130"/>
      <c r="F108" s="130"/>
      <c r="G108" s="130"/>
      <c r="H108" s="130"/>
      <c r="I108" s="130"/>
      <c r="J108" s="130"/>
      <c r="K108" s="130"/>
      <c r="L108" s="130"/>
      <c r="M108" s="130"/>
      <c r="N108" s="130"/>
      <c r="O108" s="130"/>
      <c r="P108" s="130"/>
      <c r="Q108" s="130"/>
      <c r="R108" s="130"/>
      <c r="S108" s="130"/>
      <c r="T108" s="130"/>
      <c r="U108" s="130"/>
    </row>
    <row r="109" spans="3:21" x14ac:dyDescent="0.5">
      <c r="C109" s="130"/>
      <c r="D109" s="130"/>
      <c r="E109" s="130"/>
      <c r="F109" s="130"/>
      <c r="G109" s="130"/>
      <c r="H109" s="130"/>
      <c r="I109" s="130"/>
      <c r="J109" s="130"/>
      <c r="K109" s="130"/>
      <c r="L109" s="130"/>
      <c r="M109" s="130"/>
      <c r="N109" s="130"/>
      <c r="O109" s="130"/>
      <c r="P109" s="130"/>
      <c r="Q109" s="130"/>
      <c r="R109" s="130"/>
      <c r="S109" s="130"/>
      <c r="T109" s="130"/>
      <c r="U109" s="130"/>
    </row>
    <row r="110" spans="3:21" x14ac:dyDescent="0.5">
      <c r="C110" s="130"/>
      <c r="D110" s="130"/>
      <c r="E110" s="130"/>
      <c r="F110" s="130"/>
      <c r="G110" s="130"/>
      <c r="H110" s="130"/>
      <c r="I110" s="130"/>
      <c r="J110" s="130"/>
      <c r="K110" s="130"/>
      <c r="L110" s="130"/>
      <c r="M110" s="130"/>
      <c r="N110" s="130"/>
      <c r="O110" s="130"/>
      <c r="P110" s="130"/>
      <c r="Q110" s="130"/>
      <c r="R110" s="130"/>
      <c r="S110" s="130"/>
      <c r="T110" s="130"/>
      <c r="U110" s="130"/>
    </row>
    <row r="111" spans="3:21" x14ac:dyDescent="0.5">
      <c r="C111" s="130"/>
      <c r="D111" s="130"/>
      <c r="E111" s="130"/>
      <c r="F111" s="130"/>
      <c r="G111" s="130"/>
      <c r="H111" s="130"/>
      <c r="I111" s="130"/>
      <c r="J111" s="130"/>
      <c r="K111" s="130"/>
      <c r="L111" s="130"/>
      <c r="M111" s="130"/>
      <c r="N111" s="130"/>
      <c r="O111" s="130"/>
      <c r="P111" s="130"/>
      <c r="Q111" s="130"/>
      <c r="R111" s="130"/>
      <c r="S111" s="130"/>
      <c r="T111" s="130"/>
      <c r="U111" s="130"/>
    </row>
    <row r="112" spans="3:21" x14ac:dyDescent="0.5">
      <c r="C112" s="130"/>
      <c r="D112" s="130"/>
      <c r="E112" s="130"/>
      <c r="F112" s="130"/>
      <c r="G112" s="130"/>
      <c r="H112" s="130"/>
      <c r="I112" s="130"/>
      <c r="J112" s="130"/>
      <c r="K112" s="130"/>
      <c r="L112" s="130"/>
      <c r="M112" s="130"/>
      <c r="N112" s="130"/>
      <c r="O112" s="130"/>
      <c r="P112" s="130"/>
      <c r="Q112" s="130"/>
      <c r="R112" s="130"/>
      <c r="S112" s="130"/>
      <c r="T112" s="130"/>
      <c r="U112" s="130"/>
    </row>
    <row r="113" spans="3:21" x14ac:dyDescent="0.5">
      <c r="C113" s="130"/>
      <c r="D113" s="130"/>
      <c r="E113" s="130"/>
      <c r="F113" s="130"/>
      <c r="G113" s="130"/>
      <c r="H113" s="130"/>
      <c r="I113" s="130"/>
      <c r="J113" s="130"/>
      <c r="K113" s="130"/>
      <c r="L113" s="130"/>
      <c r="M113" s="130"/>
      <c r="N113" s="130"/>
      <c r="O113" s="130"/>
      <c r="P113" s="130"/>
      <c r="Q113" s="130"/>
      <c r="R113" s="130"/>
      <c r="S113" s="130"/>
      <c r="T113" s="130"/>
      <c r="U113" s="130"/>
    </row>
    <row r="114" spans="3:21" x14ac:dyDescent="0.5">
      <c r="C114" s="130"/>
      <c r="D114" s="130"/>
      <c r="E114" s="130"/>
      <c r="F114" s="130"/>
      <c r="G114" s="130"/>
      <c r="H114" s="130"/>
      <c r="I114" s="130"/>
      <c r="J114" s="130"/>
      <c r="K114" s="130"/>
      <c r="L114" s="130"/>
      <c r="M114" s="130"/>
      <c r="N114" s="130"/>
      <c r="O114" s="130"/>
      <c r="P114" s="130"/>
      <c r="Q114" s="130"/>
      <c r="R114" s="130"/>
      <c r="S114" s="130"/>
      <c r="T114" s="130"/>
      <c r="U114" s="130"/>
    </row>
    <row r="115" spans="3:21" x14ac:dyDescent="0.5">
      <c r="C115" s="130"/>
      <c r="D115" s="130"/>
      <c r="E115" s="130"/>
      <c r="F115" s="130"/>
      <c r="G115" s="130"/>
      <c r="H115" s="130"/>
      <c r="I115" s="130"/>
      <c r="J115" s="130"/>
      <c r="K115" s="130"/>
      <c r="L115" s="130"/>
      <c r="M115" s="130"/>
      <c r="N115" s="130"/>
      <c r="O115" s="130"/>
      <c r="P115" s="130"/>
      <c r="Q115" s="130"/>
      <c r="R115" s="130"/>
      <c r="S115" s="130"/>
      <c r="T115" s="130"/>
      <c r="U115" s="130"/>
    </row>
    <row r="116" spans="3:21" x14ac:dyDescent="0.5">
      <c r="C116" s="130"/>
      <c r="D116" s="130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</row>
    <row r="117" spans="3:21" x14ac:dyDescent="0.5">
      <c r="C117" s="130"/>
      <c r="D117" s="130"/>
      <c r="E117" s="130"/>
      <c r="F117" s="130"/>
      <c r="G117" s="130"/>
      <c r="H117" s="130"/>
      <c r="I117" s="130"/>
      <c r="J117" s="130"/>
      <c r="K117" s="130"/>
      <c r="L117" s="130"/>
      <c r="M117" s="130"/>
      <c r="N117" s="130"/>
      <c r="O117" s="130"/>
      <c r="P117" s="130"/>
      <c r="Q117" s="130"/>
      <c r="R117" s="130"/>
      <c r="S117" s="130"/>
      <c r="T117" s="130"/>
      <c r="U117" s="130"/>
    </row>
    <row r="118" spans="3:21" x14ac:dyDescent="0.5">
      <c r="C118" s="130"/>
      <c r="D118" s="130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  <c r="U118" s="130"/>
    </row>
    <row r="119" spans="3:21" x14ac:dyDescent="0.5">
      <c r="C119" s="130"/>
      <c r="D119" s="130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  <c r="U119" s="130"/>
    </row>
    <row r="120" spans="3:21" x14ac:dyDescent="0.5">
      <c r="C120" s="130"/>
      <c r="D120" s="130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  <c r="U120" s="130"/>
    </row>
    <row r="121" spans="3:21" x14ac:dyDescent="0.5">
      <c r="C121" s="130"/>
      <c r="D121" s="130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  <c r="U121" s="130"/>
    </row>
    <row r="122" spans="3:21" x14ac:dyDescent="0.5">
      <c r="C122" s="130"/>
      <c r="D122" s="130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  <c r="U122" s="130"/>
    </row>
    <row r="123" spans="3:21" x14ac:dyDescent="0.5">
      <c r="C123" s="130"/>
      <c r="D123" s="130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  <c r="U123" s="130"/>
    </row>
    <row r="124" spans="3:21" x14ac:dyDescent="0.5">
      <c r="C124" s="130"/>
      <c r="D124" s="130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  <c r="U124" s="130"/>
    </row>
    <row r="125" spans="3:21" x14ac:dyDescent="0.5">
      <c r="C125" s="130"/>
      <c r="D125" s="130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  <c r="U125" s="130"/>
    </row>
    <row r="126" spans="3:21" x14ac:dyDescent="0.5">
      <c r="C126" s="130"/>
      <c r="D126" s="130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  <c r="U126" s="130"/>
    </row>
  </sheetData>
  <mergeCells count="8">
    <mergeCell ref="C5:F5"/>
    <mergeCell ref="H5:K5"/>
    <mergeCell ref="A1:Z1"/>
    <mergeCell ref="A2:Z2"/>
    <mergeCell ref="A3:Z3"/>
    <mergeCell ref="A4:Z4"/>
    <mergeCell ref="M5:P5"/>
    <mergeCell ref="R5:U5"/>
  </mergeCells>
  <pageMargins left="0.52" right="0.3" top="0.42" bottom="0.56999999999999995" header="0.3" footer="0.3"/>
  <pageSetup paperSize="9" scale="44" fitToHeight="0" orientation="landscape" horizontalDpi="4294967295" verticalDpi="4294967295" r:id="rId1"/>
  <rowBreaks count="1" manualBreakCount="1">
    <brk id="56" max="16383" man="1"/>
  </rowBreaks>
  <colBreaks count="1" manualBreakCount="1">
    <brk id="26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14.7</vt:lpstr>
      <vt:lpstr>'14.7'!Print_Area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2019-04-29T08:41:56Z</cp:lastPrinted>
  <dcterms:created xsi:type="dcterms:W3CDTF">2013-04-01T04:26:10Z</dcterms:created>
  <dcterms:modified xsi:type="dcterms:W3CDTF">2019-04-29T08:42:04Z</dcterms:modified>
</cp:coreProperties>
</file>