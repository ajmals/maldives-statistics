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9. FISHERIES AND AGRICULTURE\"/>
    </mc:Choice>
  </mc:AlternateContent>
  <bookViews>
    <workbookView xWindow="0" yWindow="0" windowWidth="28800" windowHeight="11730"/>
  </bookViews>
  <sheets>
    <sheet name="9.13" sheetId="13" r:id="rId1"/>
  </sheets>
  <externalReferences>
    <externalReference r:id="rId2"/>
    <externalReference r:id="rId3"/>
    <externalReference r:id="rId4"/>
    <externalReference r:id="rId5"/>
  </externalReferences>
  <definedNames>
    <definedName name="_xlnm.Print_Area" localSheetId="0">'9.13'!$A$1:$J$31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13" l="1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 s="1"/>
  <c r="H7" i="13"/>
  <c r="G7" i="13"/>
  <c r="F7" i="13"/>
  <c r="E7" i="13"/>
  <c r="D7" i="13"/>
  <c r="C7" i="13"/>
</calcChain>
</file>

<file path=xl/sharedStrings.xml><?xml version="1.0" encoding="utf-8"?>
<sst xmlns="http://schemas.openxmlformats.org/spreadsheetml/2006/main" count="68" uniqueCount="67">
  <si>
    <t>Total</t>
  </si>
  <si>
    <t>ޖުމްލަ</t>
  </si>
  <si>
    <t>އިންޑިއާ</t>
  </si>
  <si>
    <t>ސްރީލަންކާ</t>
  </si>
  <si>
    <t>ޔޫ. އޭ. އީ</t>
  </si>
  <si>
    <t>އޮސްޓްރޭލިއާ</t>
  </si>
  <si>
    <t>ތައިލޭންޑް</t>
  </si>
  <si>
    <t>އެހެނިހެން ޤައުމުތައް</t>
  </si>
  <si>
    <t>ދަނޑުވެރިކަމުގެ ބާވަތްތައް</t>
  </si>
  <si>
    <t xml:space="preserve"> Total</t>
  </si>
  <si>
    <t>India</t>
  </si>
  <si>
    <t>Srilanka</t>
  </si>
  <si>
    <t>U.A.E</t>
  </si>
  <si>
    <t>Australia</t>
  </si>
  <si>
    <t>Thailand</t>
  </si>
  <si>
    <t>Other Countries</t>
  </si>
  <si>
    <t>Banana &amp; Plaintain (Fresh)</t>
  </si>
  <si>
    <t>ފަތްކެޔޮ</t>
  </si>
  <si>
    <t>Beans, Fresh Or Chilled</t>
  </si>
  <si>
    <t>ބީންސް</t>
  </si>
  <si>
    <t>ފާގަ</t>
  </si>
  <si>
    <t>ކަދޫ</t>
  </si>
  <si>
    <t>ބަނބުކެޔޮ</t>
  </si>
  <si>
    <t>ބޮނޑިކޮޕީ</t>
  </si>
  <si>
    <t>Cabbage Lettuce, Fresh or Chilled</t>
  </si>
  <si>
    <t>ކެބެޖް ލެޓިއުސް</t>
  </si>
  <si>
    <t>ދަނޑިއަލުވި</t>
  </si>
  <si>
    <t>ގިތެޔޮމިރުސް</t>
  </si>
  <si>
    <t>ކިއުކަމްބަރ</t>
  </si>
  <si>
    <t>މުރަނގަތޮޅި</t>
  </si>
  <si>
    <t>ފޭރު</t>
  </si>
  <si>
    <t>Lettuce, Fresh Or Chilled, (Excl. Cabbage Lettuce)</t>
  </si>
  <si>
    <t>ލެޓިއުސް</t>
  </si>
  <si>
    <t>އަނބު</t>
  </si>
  <si>
    <t>Melons, Fresh, (Excl.Watermelons)</t>
  </si>
  <si>
    <t>މެލަން</t>
  </si>
  <si>
    <t>Papaws (Papayas), Fresh</t>
  </si>
  <si>
    <t>ފަޅޯ</t>
  </si>
  <si>
    <t>ފެޝަންފްރުޓް</t>
  </si>
  <si>
    <t>Pumpkin (Fresh Or Chilled)</t>
  </si>
  <si>
    <t>ބަރަބޯ</t>
  </si>
  <si>
    <t>Sapodilla (Fresh)</t>
  </si>
  <si>
    <t>ސަބްދެލި</t>
  </si>
  <si>
    <t>ޗިޗަންޑާ</t>
  </si>
  <si>
    <t>ކައްޓަލަ</t>
  </si>
  <si>
    <t>Watermelons, Fresh</t>
  </si>
  <si>
    <t>ކަރާ</t>
  </si>
  <si>
    <t>Source: Maldives Customs Service</t>
  </si>
  <si>
    <t xml:space="preserve"> cswsivrWs cscmwTcswk cscviDclOM :ctWrwf ivcaedutWmUluAwm</t>
  </si>
  <si>
    <t>2018 ,cawtctwvWb egumwkirevuDnwd Wdcawh cSokumcaWa iawgEjcaWr cniaeret egukwtctwvWb unuveruk cTrOpcmia cSwaejcaWr  : 9.13 ulwvWt</t>
  </si>
  <si>
    <t>Table 9.13: IMPORTS OF FRESH AGRICULTURAL CROPS MAINLY PRODUCED IN MALDIVES, 2018</t>
  </si>
  <si>
    <t>(cniaOlik )</t>
  </si>
  <si>
    <t>(In kgs)</t>
  </si>
  <si>
    <t>Agricultural Crops</t>
  </si>
  <si>
    <t>Bitter Gourd ( Fresh Or Chilled )</t>
  </si>
  <si>
    <t>Bottle Gourd ( Fresh Or Chilled )</t>
  </si>
  <si>
    <t>Bread Fruit ( Fresh Or Chilled)</t>
  </si>
  <si>
    <t>Cabbage ( Fresh Or Chilled )</t>
  </si>
  <si>
    <t>Cassava &amp; Manioc ( Fresh , Chilled Or Frozen )</t>
  </si>
  <si>
    <t>Chillies( Fresh Or Chilled )</t>
  </si>
  <si>
    <t>Cucumber ( Fresh Or Chilled )</t>
  </si>
  <si>
    <t>Drumstick ( Fresh Or Chilled )</t>
  </si>
  <si>
    <t>Guava ( Fresh Or Dried )</t>
  </si>
  <si>
    <t>Mango ( Fresh Or Dried )</t>
  </si>
  <si>
    <t>Passion Fruit ( Fresh Or Dried )</t>
  </si>
  <si>
    <t>Snake Gourd ( Fresh Or Chilled )</t>
  </si>
  <si>
    <t>Sweet Potato ( Fresh , Chilled Or Frozen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</si>
</sst>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71" formatCode="[$-409]mmmm\ d\,\ yyyy;@"/>
  </numFmts>
  <fonts count="19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name val="Calibri"/>
      <family val="2"/>
    </font>
    <font>
      <i/>
      <sz val="9"/>
      <name val="Arial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9"/>
      <name val="A_Randhoo"/>
    </font>
    <font>
      <b/>
      <sz val="11"/>
      <name val="A_Randhoo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Faruma"/>
    </font>
    <font>
      <b/>
      <sz val="9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Faruma"/>
    </font>
    <font>
      <sz val="11"/>
      <color indexed="8"/>
      <name val="Faruma"/>
    </font>
    <font>
      <sz val="9"/>
      <color indexed="8"/>
      <name val="Calibri"/>
      <family val="2"/>
    </font>
    <font>
      <b/>
      <sz val="10"/>
      <color indexed="8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</borders>
  <cellStyleXfs count="8">
    <xf numFmtId="0" fontId="0" fillId="0" borderId="0"/>
    <xf numFmtId="164" fontId="1" fillId="0" borderId="0"/>
    <xf numFmtId="40" fontId="6" fillId="0" borderId="0" applyFont="0" applyFill="0" applyBorder="0" applyAlignment="0" applyProtection="0"/>
    <xf numFmtId="0" fontId="2" fillId="0" borderId="0"/>
    <xf numFmtId="0" fontId="10" fillId="0" borderId="0"/>
    <xf numFmtId="171" fontId="1" fillId="0" borderId="0"/>
    <xf numFmtId="171" fontId="1" fillId="0" borderId="0"/>
    <xf numFmtId="171" fontId="1" fillId="0" borderId="0"/>
  </cellStyleXfs>
  <cellXfs count="36">
    <xf numFmtId="0" fontId="0" fillId="0" borderId="0" xfId="0"/>
    <xf numFmtId="38" fontId="5" fillId="2" borderId="0" xfId="2" applyNumberFormat="1" applyFont="1" applyFill="1" applyBorder="1"/>
    <xf numFmtId="38" fontId="7" fillId="2" borderId="0" xfId="2" applyNumberFormat="1" applyFont="1" applyFill="1" applyBorder="1"/>
    <xf numFmtId="38" fontId="7" fillId="2" borderId="1" xfId="2" applyNumberFormat="1" applyFont="1" applyFill="1" applyBorder="1"/>
    <xf numFmtId="164" fontId="10" fillId="2" borderId="4" xfId="4" applyNumberFormat="1" applyFill="1" applyBorder="1"/>
    <xf numFmtId="164" fontId="10" fillId="2" borderId="4" xfId="4" applyNumberFormat="1" applyFont="1" applyFill="1" applyBorder="1"/>
    <xf numFmtId="2" fontId="15" fillId="2" borderId="3" xfId="4" applyNumberFormat="1" applyFont="1" applyFill="1" applyBorder="1" applyAlignment="1">
      <alignment horizontal="right" vertical="center"/>
    </xf>
    <xf numFmtId="0" fontId="14" fillId="2" borderId="1" xfId="4" applyNumberFormat="1" applyFont="1" applyFill="1" applyBorder="1" applyAlignment="1">
      <alignment horizontal="right" vertical="center"/>
    </xf>
    <xf numFmtId="164" fontId="1" fillId="2" borderId="4" xfId="4" applyNumberFormat="1" applyFont="1" applyFill="1" applyBorder="1"/>
    <xf numFmtId="0" fontId="13" fillId="2" borderId="2" xfId="4" applyNumberFormat="1" applyFont="1" applyFill="1" applyBorder="1" applyAlignment="1">
      <alignment horizontal="left" vertical="center"/>
    </xf>
    <xf numFmtId="38" fontId="14" fillId="2" borderId="2" xfId="4" applyNumberFormat="1" applyFont="1" applyFill="1" applyBorder="1" applyAlignment="1">
      <alignment horizontal="right" vertical="center"/>
    </xf>
    <xf numFmtId="0" fontId="12" fillId="2" borderId="7" xfId="4" applyNumberFormat="1" applyFont="1" applyFill="1" applyBorder="1" applyAlignment="1">
      <alignment horizontal="right" vertical="center"/>
    </xf>
    <xf numFmtId="0" fontId="17" fillId="2" borderId="10" xfId="4" applyNumberFormat="1" applyFont="1" applyFill="1" applyBorder="1" applyAlignment="1">
      <alignment horizontal="left" vertical="center" indent="1"/>
    </xf>
    <xf numFmtId="0" fontId="17" fillId="2" borderId="12" xfId="4" applyNumberFormat="1" applyFont="1" applyFill="1" applyBorder="1" applyAlignment="1">
      <alignment horizontal="left" vertical="center" indent="1"/>
    </xf>
    <xf numFmtId="0" fontId="17" fillId="2" borderId="13" xfId="4" applyNumberFormat="1" applyFont="1" applyFill="1" applyBorder="1" applyAlignment="1">
      <alignment horizontal="left" vertical="center" indent="1"/>
    </xf>
    <xf numFmtId="38" fontId="5" fillId="2" borderId="1" xfId="2" applyNumberFormat="1" applyFont="1" applyFill="1" applyBorder="1"/>
    <xf numFmtId="164" fontId="8" fillId="2" borderId="14" xfId="1" applyFont="1" applyFill="1" applyBorder="1" applyAlignment="1">
      <alignment horizontal="right" vertical="center" indent="1"/>
    </xf>
    <xf numFmtId="164" fontId="4" fillId="2" borderId="14" xfId="1" applyFont="1" applyFill="1" applyBorder="1" applyAlignment="1" applyProtection="1">
      <alignment horizontal="left" vertical="center"/>
    </xf>
    <xf numFmtId="164" fontId="10" fillId="2" borderId="0" xfId="4" applyNumberFormat="1" applyFill="1" applyBorder="1"/>
    <xf numFmtId="1" fontId="7" fillId="2" borderId="0" xfId="0" applyNumberFormat="1" applyFont="1" applyFill="1" applyBorder="1" applyAlignment="1">
      <alignment horizontal="left" indent="1"/>
    </xf>
    <xf numFmtId="0" fontId="16" fillId="2" borderId="15" xfId="4" applyNumberFormat="1" applyFont="1" applyFill="1" applyBorder="1" applyAlignment="1">
      <alignment horizontal="right" vertical="center" indent="1"/>
    </xf>
    <xf numFmtId="0" fontId="16" fillId="2" borderId="0" xfId="4" applyNumberFormat="1" applyFont="1" applyFill="1" applyBorder="1" applyAlignment="1">
      <alignment horizontal="right" vertical="center" indent="1"/>
    </xf>
    <xf numFmtId="0" fontId="16" fillId="2" borderId="9" xfId="4" applyNumberFormat="1" applyFont="1" applyFill="1" applyBorder="1" applyAlignment="1">
      <alignment horizontal="right" vertical="center" indent="1"/>
    </xf>
    <xf numFmtId="164" fontId="3" fillId="2" borderId="14" xfId="1" applyFont="1" applyFill="1" applyBorder="1" applyAlignment="1" applyProtection="1">
      <alignment horizontal="left" vertical="center"/>
    </xf>
    <xf numFmtId="164" fontId="8" fillId="2" borderId="14" xfId="1" applyFont="1" applyFill="1" applyBorder="1" applyAlignment="1">
      <alignment horizontal="left" vertical="center" indent="1"/>
    </xf>
    <xf numFmtId="0" fontId="17" fillId="2" borderId="12" xfId="4" applyNumberFormat="1" applyFont="1" applyFill="1" applyBorder="1" applyAlignment="1">
      <alignment horizontal="left" vertical="center"/>
    </xf>
    <xf numFmtId="0" fontId="16" fillId="2" borderId="11" xfId="4" applyNumberFormat="1" applyFont="1" applyFill="1" applyBorder="1" applyAlignment="1">
      <alignment vertical="center"/>
    </xf>
    <xf numFmtId="0" fontId="9" fillId="2" borderId="4" xfId="3" applyFont="1" applyFill="1" applyBorder="1" applyAlignment="1">
      <alignment horizontal="center" vertical="center"/>
    </xf>
    <xf numFmtId="0" fontId="11" fillId="2" borderId="4" xfId="4" applyNumberFormat="1" applyFont="1" applyFill="1" applyBorder="1" applyAlignment="1">
      <alignment horizontal="center" vertical="center"/>
    </xf>
    <xf numFmtId="0" fontId="13" fillId="2" borderId="5" xfId="4" applyNumberFormat="1" applyFont="1" applyFill="1" applyBorder="1" applyAlignment="1">
      <alignment horizontal="center" vertical="center"/>
    </xf>
    <xf numFmtId="0" fontId="12" fillId="2" borderId="7" xfId="4" applyNumberFormat="1" applyFont="1" applyFill="1" applyBorder="1" applyAlignment="1">
      <alignment horizontal="right" vertical="center"/>
    </xf>
    <xf numFmtId="0" fontId="12" fillId="2" borderId="9" xfId="4" applyNumberFormat="1" applyFont="1" applyFill="1" applyBorder="1" applyAlignment="1">
      <alignment horizontal="right" vertical="center"/>
    </xf>
    <xf numFmtId="0" fontId="18" fillId="2" borderId="4" xfId="4" applyNumberFormat="1" applyFont="1" applyFill="1" applyBorder="1" applyAlignment="1">
      <alignment horizontal="center" vertical="center"/>
    </xf>
    <xf numFmtId="0" fontId="15" fillId="2" borderId="4" xfId="4" applyNumberFormat="1" applyFont="1" applyFill="1" applyBorder="1" applyAlignment="1">
      <alignment horizontal="center" vertical="center"/>
    </xf>
    <xf numFmtId="0" fontId="13" fillId="2" borderId="6" xfId="4" applyNumberFormat="1" applyFont="1" applyFill="1" applyBorder="1" applyAlignment="1">
      <alignment horizontal="left" vertical="center"/>
    </xf>
    <xf numFmtId="0" fontId="13" fillId="2" borderId="8" xfId="4" applyNumberFormat="1" applyFont="1" applyFill="1" applyBorder="1" applyAlignment="1">
      <alignment horizontal="left" vertical="center"/>
    </xf>
  </cellXfs>
  <cellStyles count="8">
    <cellStyle name="Comma 2" xfId="2"/>
    <cellStyle name="Normal" xfId="0" builtinId="0"/>
    <cellStyle name="Normal 2_agri planning 2009 year book(final)" xfId="5"/>
    <cellStyle name="Normal 3_agri planning 2009 year book(final)" xfId="7"/>
    <cellStyle name="Normal 4_agri planning 2009 year book(final)" xfId="6"/>
    <cellStyle name="Normal_agri planning 2009 year book(final)" xfId="4"/>
    <cellStyle name="Normal_Fish &amp;  Agri - 8" xfId="1"/>
    <cellStyle name="Normal_mmifco" xfId="3"/>
  </cellStyles>
  <dxfs count="0"/>
  <tableStyles count="0" defaultTableStyle="TableStyleMedium2" defaultPivotStyle="PivotStyleLight16"/>
  <colors>
    <mruColors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FINAL/9.%20FISHERIES%20AND%20AGRICULTUR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7\WEB\Shahuda%20not%20checked\9.%20FISHERIES%20AND%20AGRICULTURE\9.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9.%20FISHERIES%20AND%20AGRICULTURE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7"/>
      <sheetName val="9.8"/>
      <sheetName val="9.8.1"/>
      <sheetName val="9.9"/>
      <sheetName val="9.10"/>
      <sheetName val="9.10.1"/>
      <sheetName val="9.11"/>
      <sheetName val="9.12"/>
      <sheetName val="9.13"/>
      <sheetName val="9.14"/>
      <sheetName val="9.15"/>
      <sheetName val="9.16"/>
      <sheetName val="9.17"/>
      <sheetName val="9.18"/>
      <sheetName val="9.19"/>
      <sheetName val="9.20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89683.148024090799</v>
          </cell>
          <cell r="E9">
            <v>49376.811349197931</v>
          </cell>
          <cell r="F9">
            <v>1074.1737564163373</v>
          </cell>
          <cell r="G9">
            <v>3.4710000000000005</v>
          </cell>
          <cell r="H9">
            <v>21.806846050809384</v>
          </cell>
          <cell r="I9">
            <v>161.34417921404571</v>
          </cell>
          <cell r="J9">
            <v>345.28287397791433</v>
          </cell>
          <cell r="K9">
            <v>2493.9263026769763</v>
          </cell>
        </row>
        <row r="13">
          <cell r="A13" t="str">
            <v xml:space="preserve"> HA</v>
          </cell>
          <cell r="B13">
            <v>3548.6896117828474</v>
          </cell>
        </row>
        <row r="14">
          <cell r="A14" t="str">
            <v xml:space="preserve"> HDh</v>
          </cell>
          <cell r="B14">
            <v>2665.1350675685076</v>
          </cell>
        </row>
        <row r="15">
          <cell r="A15" t="str">
            <v xml:space="preserve"> Sh</v>
          </cell>
          <cell r="B15">
            <v>3221.2989848185966</v>
          </cell>
        </row>
        <row r="16">
          <cell r="A16" t="str">
            <v xml:space="preserve"> N</v>
          </cell>
          <cell r="B16">
            <v>2037.369549684689</v>
          </cell>
        </row>
        <row r="17">
          <cell r="A17" t="str">
            <v xml:space="preserve"> R</v>
          </cell>
          <cell r="B17">
            <v>4736.5105807719865</v>
          </cell>
        </row>
        <row r="18">
          <cell r="A18" t="str">
            <v>B</v>
          </cell>
          <cell r="B18">
            <v>1609.2743994481875</v>
          </cell>
        </row>
        <row r="19">
          <cell r="A19" t="str">
            <v>Lh</v>
          </cell>
          <cell r="B19">
            <v>3285.6221078384801</v>
          </cell>
        </row>
        <row r="20">
          <cell r="A20" t="str">
            <v>K</v>
          </cell>
          <cell r="B20">
            <v>3352.3710822809958</v>
          </cell>
        </row>
        <row r="21">
          <cell r="A21" t="str">
            <v>AA</v>
          </cell>
          <cell r="B21">
            <v>2349.3707511765833</v>
          </cell>
        </row>
        <row r="22">
          <cell r="A22" t="str">
            <v>ADh</v>
          </cell>
          <cell r="B22">
            <v>3069.7628263915908</v>
          </cell>
        </row>
        <row r="23">
          <cell r="A23" t="str">
            <v>V</v>
          </cell>
          <cell r="B23">
            <v>240.41875105324056</v>
          </cell>
        </row>
        <row r="24">
          <cell r="A24" t="str">
            <v>M</v>
          </cell>
          <cell r="B24">
            <v>3303.4787321652643</v>
          </cell>
        </row>
        <row r="25">
          <cell r="A25" t="str">
            <v>F</v>
          </cell>
          <cell r="B25">
            <v>2969.6042037139136</v>
          </cell>
        </row>
        <row r="26">
          <cell r="A26" t="str">
            <v>Dh</v>
          </cell>
          <cell r="B26">
            <v>8390.1824668277168</v>
          </cell>
        </row>
        <row r="27">
          <cell r="A27" t="str">
            <v>Th</v>
          </cell>
          <cell r="B27">
            <v>5794.2599899738352</v>
          </cell>
        </row>
        <row r="28">
          <cell r="A28" t="str">
            <v xml:space="preserve"> L</v>
          </cell>
          <cell r="B28">
            <v>12223.952593290209</v>
          </cell>
        </row>
        <row r="29">
          <cell r="A29" t="str">
            <v>GA</v>
          </cell>
          <cell r="B29">
            <v>24214.26468123731</v>
          </cell>
        </row>
        <row r="30">
          <cell r="A30" t="str">
            <v>GDh</v>
          </cell>
          <cell r="B30">
            <v>13637.841725925478</v>
          </cell>
        </row>
        <row r="31">
          <cell r="A31" t="str">
            <v>Gn</v>
          </cell>
          <cell r="B31">
            <v>5096.0265002171318</v>
          </cell>
        </row>
        <row r="32">
          <cell r="A32" t="str">
            <v>S</v>
          </cell>
          <cell r="B32">
            <v>9377.6345015550251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3"/>
    </sheetNames>
    <sheetDataSet>
      <sheetData sheetId="0"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7"/>
      <sheetName val="9.8"/>
      <sheetName val="9.9"/>
      <sheetName val="9.10"/>
      <sheetName val="9.11"/>
      <sheetName val="9.12"/>
      <sheetName val="9.13"/>
      <sheetName val="9.14"/>
      <sheetName val="9.15"/>
      <sheetName val="9.16"/>
      <sheetName val="9.17"/>
      <sheetName val="9.18"/>
      <sheetName val="9.19"/>
      <sheetName val="9.20"/>
      <sheetName val="Sheet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2">
          <cell r="Y12" t="str">
            <v>India</v>
          </cell>
        </row>
      </sheetData>
      <sheetData sheetId="12" refreshError="1"/>
      <sheetData sheetId="13">
        <row r="5">
          <cell r="B5">
            <v>2014</v>
          </cell>
        </row>
      </sheetData>
      <sheetData sheetId="14" refreshError="1"/>
      <sheetData sheetId="15" refreshError="1"/>
      <sheetData sheetId="16" refreshError="1"/>
      <sheetData sheetId="17">
        <row r="6">
          <cell r="J6">
            <v>2016</v>
          </cell>
          <cell r="K6">
            <v>2017</v>
          </cell>
          <cell r="L6">
            <v>2018</v>
          </cell>
        </row>
        <row r="8">
          <cell r="A8" t="str">
            <v>January</v>
          </cell>
          <cell r="J8">
            <v>6955911</v>
          </cell>
          <cell r="K8">
            <v>8451496</v>
          </cell>
          <cell r="L8">
            <v>3998689</v>
          </cell>
        </row>
        <row r="9">
          <cell r="A9" t="str">
            <v>February</v>
          </cell>
          <cell r="J9">
            <v>8760849</v>
          </cell>
          <cell r="K9">
            <v>8453823.5</v>
          </cell>
          <cell r="L9">
            <v>5869779</v>
          </cell>
        </row>
        <row r="10">
          <cell r="A10" t="str">
            <v>March</v>
          </cell>
          <cell r="J10">
            <v>4695175</v>
          </cell>
          <cell r="K10">
            <v>7567492</v>
          </cell>
          <cell r="L10">
            <v>5047706</v>
          </cell>
        </row>
        <row r="11">
          <cell r="A11" t="str">
            <v>April</v>
          </cell>
          <cell r="J11">
            <v>7632635</v>
          </cell>
          <cell r="K11">
            <v>7684767</v>
          </cell>
          <cell r="L11">
            <v>6195221</v>
          </cell>
        </row>
        <row r="12">
          <cell r="A12" t="str">
            <v>May</v>
          </cell>
          <cell r="J12">
            <v>4402140</v>
          </cell>
          <cell r="K12">
            <v>4452678</v>
          </cell>
          <cell r="L12">
            <v>5648060</v>
          </cell>
        </row>
        <row r="13">
          <cell r="A13" t="str">
            <v>June</v>
          </cell>
          <cell r="J13">
            <v>17783645</v>
          </cell>
          <cell r="K13">
            <v>8162327.5</v>
          </cell>
          <cell r="L13">
            <v>4394775</v>
          </cell>
        </row>
        <row r="14">
          <cell r="A14" t="str">
            <v>July</v>
          </cell>
          <cell r="J14">
            <v>3498845</v>
          </cell>
          <cell r="K14">
            <v>3507629</v>
          </cell>
          <cell r="L14">
            <v>1475635</v>
          </cell>
        </row>
        <row r="15">
          <cell r="A15" t="str">
            <v>August</v>
          </cell>
          <cell r="J15">
            <v>1213770</v>
          </cell>
          <cell r="K15">
            <v>4520327</v>
          </cell>
          <cell r="L15">
            <v>2343393</v>
          </cell>
        </row>
        <row r="16">
          <cell r="A16" t="str">
            <v>September</v>
          </cell>
          <cell r="J16">
            <v>4420818</v>
          </cell>
          <cell r="K16">
            <v>247465</v>
          </cell>
          <cell r="L16">
            <v>736400</v>
          </cell>
        </row>
        <row r="17">
          <cell r="A17" t="str">
            <v>October</v>
          </cell>
          <cell r="J17">
            <v>3415419</v>
          </cell>
          <cell r="K17">
            <v>3873070</v>
          </cell>
          <cell r="L17">
            <v>3165053</v>
          </cell>
        </row>
        <row r="18">
          <cell r="A18" t="str">
            <v>November</v>
          </cell>
          <cell r="J18">
            <v>1232500</v>
          </cell>
          <cell r="K18">
            <v>2455632.5</v>
          </cell>
          <cell r="L18">
            <v>2708995</v>
          </cell>
        </row>
        <row r="19">
          <cell r="A19" t="str">
            <v>December</v>
          </cell>
          <cell r="J19">
            <v>1016000</v>
          </cell>
          <cell r="K19">
            <v>4703310</v>
          </cell>
          <cell r="L19">
            <v>1875775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2"/>
  <sheetViews>
    <sheetView tabSelected="1" topLeftCell="A13" zoomScaleNormal="100" workbookViewId="0">
      <selection activeCell="H40" sqref="H40"/>
    </sheetView>
  </sheetViews>
  <sheetFormatPr defaultColWidth="8.85546875" defaultRowHeight="15" x14ac:dyDescent="0.25"/>
  <cols>
    <col min="1" max="1" width="40.85546875" style="4" customWidth="1"/>
    <col min="2" max="8" width="15.7109375" style="4" customWidth="1"/>
    <col min="9" max="9" width="24.5703125" style="4" customWidth="1"/>
    <col min="10" max="16384" width="8.85546875" style="4"/>
  </cols>
  <sheetData>
    <row r="1" spans="1:46" ht="18" x14ac:dyDescent="0.25">
      <c r="A1" s="27" t="s">
        <v>49</v>
      </c>
      <c r="B1" s="27"/>
      <c r="C1" s="27"/>
      <c r="D1" s="27"/>
      <c r="E1" s="27"/>
      <c r="F1" s="27"/>
      <c r="G1" s="27"/>
      <c r="H1" s="27"/>
      <c r="I1" s="27"/>
    </row>
    <row r="2" spans="1:46" s="5" customFormat="1" ht="15.75" x14ac:dyDescent="0.25">
      <c r="A2" s="28" t="s">
        <v>50</v>
      </c>
      <c r="B2" s="28"/>
      <c r="C2" s="28"/>
      <c r="D2" s="28"/>
      <c r="E2" s="28"/>
      <c r="F2" s="28"/>
      <c r="G2" s="28"/>
      <c r="H2" s="28"/>
      <c r="I2" s="28"/>
    </row>
    <row r="3" spans="1:46" ht="18.75" x14ac:dyDescent="0.25">
      <c r="A3" s="32" t="s">
        <v>51</v>
      </c>
      <c r="B3" s="32"/>
      <c r="C3" s="33"/>
      <c r="D3" s="33"/>
      <c r="E3" s="33"/>
      <c r="F3" s="33"/>
      <c r="G3" s="33"/>
      <c r="H3" s="33"/>
      <c r="I3" s="33"/>
    </row>
    <row r="4" spans="1:46" x14ac:dyDescent="0.25">
      <c r="A4" s="29" t="s">
        <v>52</v>
      </c>
      <c r="B4" s="29"/>
      <c r="C4" s="29"/>
      <c r="D4" s="29"/>
      <c r="E4" s="29"/>
      <c r="F4" s="29"/>
      <c r="G4" s="29"/>
      <c r="H4" s="29"/>
      <c r="I4" s="29"/>
    </row>
    <row r="5" spans="1:46" ht="18.75" x14ac:dyDescent="0.25">
      <c r="A5" s="34" t="s">
        <v>53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30" t="s">
        <v>8</v>
      </c>
    </row>
    <row r="6" spans="1:46" x14ac:dyDescent="0.25">
      <c r="A6" s="35"/>
      <c r="B6" s="7" t="s">
        <v>9</v>
      </c>
      <c r="C6" s="7" t="s">
        <v>10</v>
      </c>
      <c r="D6" s="7" t="s">
        <v>11</v>
      </c>
      <c r="E6" s="7" t="s">
        <v>12</v>
      </c>
      <c r="F6" s="7" t="s">
        <v>13</v>
      </c>
      <c r="G6" s="7" t="s">
        <v>14</v>
      </c>
      <c r="H6" s="7" t="s">
        <v>15</v>
      </c>
      <c r="I6" s="31"/>
    </row>
    <row r="7" spans="1:46" ht="21" x14ac:dyDescent="0.25">
      <c r="A7" s="9" t="s">
        <v>0</v>
      </c>
      <c r="B7" s="10">
        <f>SUM(B8:B29)</f>
        <v>16845095.644122727</v>
      </c>
      <c r="C7" s="10">
        <f t="shared" ref="C7:H7" si="0">SUM(C8:C29)</f>
        <v>11050463.835999999</v>
      </c>
      <c r="D7" s="10">
        <f t="shared" si="0"/>
        <v>2397466.2220999999</v>
      </c>
      <c r="E7" s="10">
        <f t="shared" si="0"/>
        <v>1247150.0636527266</v>
      </c>
      <c r="F7" s="10">
        <f t="shared" si="0"/>
        <v>293283.80803000001</v>
      </c>
      <c r="G7" s="10">
        <f t="shared" si="0"/>
        <v>897840.02899999986</v>
      </c>
      <c r="H7" s="10">
        <f t="shared" si="0"/>
        <v>958891.68533999997</v>
      </c>
      <c r="I7" s="11" t="s">
        <v>1</v>
      </c>
      <c r="AO7" s="18"/>
      <c r="AP7" s="18"/>
      <c r="AQ7" s="18"/>
      <c r="AR7" s="18"/>
      <c r="AS7" s="18"/>
      <c r="AT7" s="18"/>
    </row>
    <row r="8" spans="1:46" ht="21" x14ac:dyDescent="0.25">
      <c r="A8" s="19" t="s">
        <v>16</v>
      </c>
      <c r="B8" s="1">
        <f t="shared" ref="B8:B29" si="1">SUM(C8:H8)</f>
        <v>2016303</v>
      </c>
      <c r="C8" s="2">
        <v>1751641.5889999999</v>
      </c>
      <c r="D8" s="2">
        <v>158696.41</v>
      </c>
      <c r="E8" s="2">
        <v>62876</v>
      </c>
      <c r="F8" s="2">
        <v>644.57400000000007</v>
      </c>
      <c r="G8" s="2">
        <v>13676.235000000001</v>
      </c>
      <c r="H8" s="2">
        <v>28768.192000000003</v>
      </c>
      <c r="I8" s="20" t="s">
        <v>17</v>
      </c>
    </row>
    <row r="9" spans="1:46" ht="21" x14ac:dyDescent="0.25">
      <c r="A9" s="12" t="s">
        <v>18</v>
      </c>
      <c r="B9" s="1">
        <f t="shared" si="1"/>
        <v>685239.71178999986</v>
      </c>
      <c r="C9" s="2">
        <v>468877.95499999996</v>
      </c>
      <c r="D9" s="2">
        <v>114354.65599999997</v>
      </c>
      <c r="E9" s="2">
        <v>54626.129000000001</v>
      </c>
      <c r="F9" s="2">
        <v>1977.6822499999998</v>
      </c>
      <c r="G9" s="2">
        <v>17537.236000000004</v>
      </c>
      <c r="H9" s="2">
        <v>27866.053540000001</v>
      </c>
      <c r="I9" s="21" t="s">
        <v>19</v>
      </c>
    </row>
    <row r="10" spans="1:46" ht="21" x14ac:dyDescent="0.25">
      <c r="A10" s="13" t="s">
        <v>54</v>
      </c>
      <c r="B10" s="1">
        <f t="shared" si="1"/>
        <v>5</v>
      </c>
      <c r="C10" s="2">
        <v>0</v>
      </c>
      <c r="D10" s="2">
        <v>5</v>
      </c>
      <c r="E10" s="2">
        <v>0</v>
      </c>
      <c r="F10" s="2">
        <v>0</v>
      </c>
      <c r="G10" s="2">
        <v>0</v>
      </c>
      <c r="H10" s="2">
        <v>0</v>
      </c>
      <c r="I10" s="21" t="s">
        <v>20</v>
      </c>
    </row>
    <row r="11" spans="1:46" ht="21" x14ac:dyDescent="0.25">
      <c r="A11" s="13" t="s">
        <v>55</v>
      </c>
      <c r="B11" s="1">
        <f t="shared" si="1"/>
        <v>500</v>
      </c>
      <c r="C11" s="2">
        <v>500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1" t="s">
        <v>21</v>
      </c>
    </row>
    <row r="12" spans="1:46" ht="21" x14ac:dyDescent="0.25">
      <c r="A12" s="13" t="s">
        <v>56</v>
      </c>
      <c r="B12" s="1">
        <f t="shared" si="1"/>
        <v>8078.2999999999993</v>
      </c>
      <c r="C12" s="2">
        <v>20</v>
      </c>
      <c r="D12" s="2">
        <v>6121.7999999999993</v>
      </c>
      <c r="E12" s="2">
        <v>1259.3</v>
      </c>
      <c r="F12" s="2">
        <v>3.5</v>
      </c>
      <c r="G12" s="2">
        <v>191.7</v>
      </c>
      <c r="H12" s="2">
        <v>482</v>
      </c>
      <c r="I12" s="21" t="s">
        <v>22</v>
      </c>
    </row>
    <row r="13" spans="1:46" ht="21" x14ac:dyDescent="0.25">
      <c r="A13" s="13" t="s">
        <v>57</v>
      </c>
      <c r="B13" s="1">
        <f t="shared" si="1"/>
        <v>3743252.9070000006</v>
      </c>
      <c r="C13" s="2">
        <v>3263382.9100000006</v>
      </c>
      <c r="D13" s="2">
        <v>205337.06000000006</v>
      </c>
      <c r="E13" s="2">
        <v>112851.82999999999</v>
      </c>
      <c r="F13" s="2">
        <v>15868.994000000001</v>
      </c>
      <c r="G13" s="2">
        <v>10735.399999999998</v>
      </c>
      <c r="H13" s="2">
        <v>135076.71299999999</v>
      </c>
      <c r="I13" s="21" t="s">
        <v>23</v>
      </c>
    </row>
    <row r="14" spans="1:46" ht="21" x14ac:dyDescent="0.25">
      <c r="A14" s="13" t="s">
        <v>24</v>
      </c>
      <c r="B14" s="1">
        <f t="shared" si="1"/>
        <v>60830.519599999992</v>
      </c>
      <c r="C14" s="2">
        <v>2792.8</v>
      </c>
      <c r="D14" s="2">
        <v>16272.729999999998</v>
      </c>
      <c r="E14" s="2">
        <v>12621.57</v>
      </c>
      <c r="F14" s="2">
        <v>1810.7800000000002</v>
      </c>
      <c r="G14" s="2">
        <v>23126.549999999996</v>
      </c>
      <c r="H14" s="2">
        <v>4206.0896000000002</v>
      </c>
      <c r="I14" s="21" t="s">
        <v>25</v>
      </c>
    </row>
    <row r="15" spans="1:46" ht="21" x14ac:dyDescent="0.25">
      <c r="A15" s="13" t="s">
        <v>58</v>
      </c>
      <c r="B15" s="1">
        <f t="shared" si="1"/>
        <v>98082.947999999989</v>
      </c>
      <c r="C15" s="2">
        <v>4157.12</v>
      </c>
      <c r="D15" s="2">
        <v>92065.68</v>
      </c>
      <c r="E15" s="2">
        <v>1387.9480000000001</v>
      </c>
      <c r="F15" s="2">
        <v>17</v>
      </c>
      <c r="G15" s="2">
        <v>96</v>
      </c>
      <c r="H15" s="2">
        <v>359.2</v>
      </c>
      <c r="I15" s="21" t="s">
        <v>26</v>
      </c>
    </row>
    <row r="16" spans="1:46" ht="21" x14ac:dyDescent="0.25">
      <c r="A16" s="13" t="s">
        <v>59</v>
      </c>
      <c r="B16" s="1">
        <f t="shared" si="1"/>
        <v>457958.06555272691</v>
      </c>
      <c r="C16" s="2">
        <v>275212.25</v>
      </c>
      <c r="D16" s="2">
        <v>72663.319999999992</v>
      </c>
      <c r="E16" s="2">
        <v>19678.219452726884</v>
      </c>
      <c r="F16" s="2">
        <v>130.16000000000003</v>
      </c>
      <c r="G16" s="2">
        <v>21867.618000000006</v>
      </c>
      <c r="H16" s="2">
        <v>68406.498100000012</v>
      </c>
      <c r="I16" s="21" t="s">
        <v>27</v>
      </c>
    </row>
    <row r="17" spans="1:17" ht="21" x14ac:dyDescent="0.25">
      <c r="A17" s="13" t="s">
        <v>60</v>
      </c>
      <c r="B17" s="1">
        <f t="shared" si="1"/>
        <v>798508.23375999997</v>
      </c>
      <c r="C17" s="2">
        <v>174543.87</v>
      </c>
      <c r="D17" s="2">
        <v>401747.47</v>
      </c>
      <c r="E17" s="2">
        <v>141293.26</v>
      </c>
      <c r="F17" s="2">
        <v>14954.859999999999</v>
      </c>
      <c r="G17" s="2">
        <v>9074.2999999999993</v>
      </c>
      <c r="H17" s="2">
        <v>56894.473760000001</v>
      </c>
      <c r="I17" s="21" t="s">
        <v>28</v>
      </c>
    </row>
    <row r="18" spans="1:17" ht="21" x14ac:dyDescent="0.25">
      <c r="A18" s="13" t="s">
        <v>61</v>
      </c>
      <c r="B18" s="1">
        <f t="shared" si="1"/>
        <v>118516.57999999999</v>
      </c>
      <c r="C18" s="2">
        <v>98652.56</v>
      </c>
      <c r="D18" s="2">
        <v>14999.869999999999</v>
      </c>
      <c r="E18" s="2">
        <v>2841.3999999999996</v>
      </c>
      <c r="F18" s="2">
        <v>0</v>
      </c>
      <c r="G18" s="2">
        <v>190.75</v>
      </c>
      <c r="H18" s="2">
        <v>1832</v>
      </c>
      <c r="I18" s="21" t="s">
        <v>29</v>
      </c>
    </row>
    <row r="19" spans="1:17" ht="21" x14ac:dyDescent="0.25">
      <c r="A19" s="13" t="s">
        <v>62</v>
      </c>
      <c r="B19" s="1">
        <f t="shared" si="1"/>
        <v>382565.25199999998</v>
      </c>
      <c r="C19" s="2">
        <v>76749.5</v>
      </c>
      <c r="D19" s="2">
        <v>105561.75949999999</v>
      </c>
      <c r="E19" s="2">
        <v>27739.53</v>
      </c>
      <c r="F19" s="2">
        <v>102.5</v>
      </c>
      <c r="G19" s="2">
        <v>109829.65999999999</v>
      </c>
      <c r="H19" s="2">
        <v>62582.302499999998</v>
      </c>
      <c r="I19" s="21" t="s">
        <v>30</v>
      </c>
    </row>
    <row r="20" spans="1:17" ht="21" x14ac:dyDescent="0.25">
      <c r="A20" s="13" t="s">
        <v>31</v>
      </c>
      <c r="B20" s="1">
        <f t="shared" si="1"/>
        <v>591446.84602000006</v>
      </c>
      <c r="C20" s="2">
        <v>25294.892</v>
      </c>
      <c r="D20" s="2">
        <v>53177.109999999993</v>
      </c>
      <c r="E20" s="2">
        <v>261972.30219999998</v>
      </c>
      <c r="F20" s="2">
        <v>79259.798780000012</v>
      </c>
      <c r="G20" s="2">
        <v>37273.46</v>
      </c>
      <c r="H20" s="2">
        <v>134469.28304000001</v>
      </c>
      <c r="I20" s="21" t="s">
        <v>32</v>
      </c>
    </row>
    <row r="21" spans="1:17" ht="21" x14ac:dyDescent="0.25">
      <c r="A21" s="13" t="s">
        <v>63</v>
      </c>
      <c r="B21" s="1">
        <f t="shared" si="1"/>
        <v>924584.07</v>
      </c>
      <c r="C21" s="2">
        <v>180077.2</v>
      </c>
      <c r="D21" s="2">
        <v>81872.89999999998</v>
      </c>
      <c r="E21" s="2">
        <v>109000.10999999999</v>
      </c>
      <c r="F21" s="2">
        <v>33028.57</v>
      </c>
      <c r="G21" s="2">
        <v>326497.73</v>
      </c>
      <c r="H21" s="2">
        <v>194107.55999999997</v>
      </c>
      <c r="I21" s="21" t="s">
        <v>33</v>
      </c>
    </row>
    <row r="22" spans="1:17" ht="21" x14ac:dyDescent="0.25">
      <c r="A22" s="13" t="s">
        <v>34</v>
      </c>
      <c r="B22" s="1">
        <f t="shared" si="1"/>
        <v>904048.77599999995</v>
      </c>
      <c r="C22" s="2">
        <v>378217.79</v>
      </c>
      <c r="D22" s="2">
        <v>40921.631999999998</v>
      </c>
      <c r="E22" s="2">
        <v>276820.05</v>
      </c>
      <c r="F22" s="2">
        <v>68325.004000000001</v>
      </c>
      <c r="G22" s="2">
        <v>86782.66</v>
      </c>
      <c r="H22" s="2">
        <v>52981.640000000007</v>
      </c>
      <c r="I22" s="21" t="s">
        <v>35</v>
      </c>
    </row>
    <row r="23" spans="1:17" ht="21" x14ac:dyDescent="0.25">
      <c r="A23" s="13" t="s">
        <v>36</v>
      </c>
      <c r="B23" s="1">
        <f t="shared" si="1"/>
        <v>155318.62</v>
      </c>
      <c r="C23" s="2">
        <v>3433.4699999999993</v>
      </c>
      <c r="D23" s="2">
        <v>115402.76000000001</v>
      </c>
      <c r="E23" s="2">
        <v>2539</v>
      </c>
      <c r="F23" s="2">
        <v>48</v>
      </c>
      <c r="G23" s="2">
        <v>33182.389999999992</v>
      </c>
      <c r="H23" s="2">
        <v>713</v>
      </c>
      <c r="I23" s="21" t="s">
        <v>37</v>
      </c>
    </row>
    <row r="24" spans="1:17" ht="21" x14ac:dyDescent="0.25">
      <c r="A24" s="13" t="s">
        <v>64</v>
      </c>
      <c r="B24" s="1">
        <f t="shared" si="1"/>
        <v>399847.42980000004</v>
      </c>
      <c r="C24" s="2">
        <v>7523.1</v>
      </c>
      <c r="D24" s="2">
        <v>330523.57</v>
      </c>
      <c r="E24" s="2">
        <v>29300.5</v>
      </c>
      <c r="F24" s="2">
        <v>611.90000000000009</v>
      </c>
      <c r="G24" s="2">
        <v>24837.070000000003</v>
      </c>
      <c r="H24" s="2">
        <v>7051.2897999999996</v>
      </c>
      <c r="I24" s="21" t="s">
        <v>38</v>
      </c>
    </row>
    <row r="25" spans="1:17" ht="21" x14ac:dyDescent="0.25">
      <c r="A25" s="13" t="s">
        <v>39</v>
      </c>
      <c r="B25" s="1">
        <f t="shared" si="1"/>
        <v>741455.69059999986</v>
      </c>
      <c r="C25" s="2">
        <v>617466.69999999995</v>
      </c>
      <c r="D25" s="2">
        <v>81464.915600000008</v>
      </c>
      <c r="E25" s="2">
        <v>23051.805</v>
      </c>
      <c r="F25" s="2">
        <v>9518.48</v>
      </c>
      <c r="G25" s="2">
        <v>1110.8499999999999</v>
      </c>
      <c r="H25" s="2">
        <v>8842.94</v>
      </c>
      <c r="I25" s="21" t="s">
        <v>40</v>
      </c>
    </row>
    <row r="26" spans="1:17" ht="21" x14ac:dyDescent="0.25">
      <c r="A26" s="13" t="s">
        <v>41</v>
      </c>
      <c r="B26" s="1">
        <f t="shared" si="1"/>
        <v>3787.34</v>
      </c>
      <c r="C26" s="2">
        <v>1107.04</v>
      </c>
      <c r="D26" s="2">
        <v>81.2</v>
      </c>
      <c r="E26" s="2">
        <v>167.5</v>
      </c>
      <c r="F26" s="2">
        <v>0</v>
      </c>
      <c r="G26" s="2">
        <v>2431.6000000000004</v>
      </c>
      <c r="H26" s="2">
        <v>0</v>
      </c>
      <c r="I26" s="21" t="s">
        <v>42</v>
      </c>
    </row>
    <row r="27" spans="1:17" ht="21" x14ac:dyDescent="0.25">
      <c r="A27" s="13" t="s">
        <v>65</v>
      </c>
      <c r="B27" s="1">
        <f t="shared" si="1"/>
        <v>241027.12599999996</v>
      </c>
      <c r="C27" s="2">
        <v>120875.79</v>
      </c>
      <c r="D27" s="2">
        <v>109629.68599999999</v>
      </c>
      <c r="E27" s="2">
        <v>5089.6499999999996</v>
      </c>
      <c r="F27" s="2">
        <v>30</v>
      </c>
      <c r="G27" s="2">
        <v>1238.3399999999999</v>
      </c>
      <c r="H27" s="2">
        <v>4163.66</v>
      </c>
      <c r="I27" s="21" t="s">
        <v>43</v>
      </c>
    </row>
    <row r="28" spans="1:17" ht="21" x14ac:dyDescent="0.25">
      <c r="A28" s="13" t="s">
        <v>66</v>
      </c>
      <c r="B28" s="1">
        <f t="shared" si="1"/>
        <v>409625.04499999998</v>
      </c>
      <c r="C28" s="2">
        <v>105314</v>
      </c>
      <c r="D28" s="2">
        <v>198463.39999999997</v>
      </c>
      <c r="E28" s="2">
        <v>25716.260000000002</v>
      </c>
      <c r="F28" s="2">
        <v>6705.2350000000006</v>
      </c>
      <c r="G28" s="2">
        <v>3369.21</v>
      </c>
      <c r="H28" s="2">
        <v>70056.94</v>
      </c>
      <c r="I28" s="21" t="s">
        <v>44</v>
      </c>
    </row>
    <row r="29" spans="1:17" ht="21" x14ac:dyDescent="0.25">
      <c r="A29" s="14" t="s">
        <v>45</v>
      </c>
      <c r="B29" s="15">
        <f t="shared" si="1"/>
        <v>4104114.1830000002</v>
      </c>
      <c r="C29" s="3">
        <v>3494623.3</v>
      </c>
      <c r="D29" s="3">
        <v>198103.29300000001</v>
      </c>
      <c r="E29" s="3">
        <v>76317.7</v>
      </c>
      <c r="F29" s="3">
        <v>60246.77</v>
      </c>
      <c r="G29" s="3">
        <v>174791.27</v>
      </c>
      <c r="H29" s="3">
        <v>100031.85</v>
      </c>
      <c r="I29" s="22" t="s">
        <v>46</v>
      </c>
    </row>
    <row r="30" spans="1:17" s="8" customFormat="1" x14ac:dyDescent="0.25">
      <c r="A30" s="23" t="s">
        <v>47</v>
      </c>
      <c r="B30" s="23"/>
      <c r="C30" s="17"/>
      <c r="D30" s="17"/>
      <c r="E30" s="17"/>
      <c r="F30" s="17"/>
      <c r="G30" s="17"/>
      <c r="H30" s="24"/>
      <c r="I30" s="16" t="s">
        <v>48</v>
      </c>
      <c r="J30" s="4"/>
      <c r="K30" s="4"/>
      <c r="L30" s="4"/>
      <c r="M30" s="4"/>
      <c r="N30" s="4"/>
      <c r="O30" s="4"/>
      <c r="P30" s="4"/>
      <c r="Q30" s="4"/>
    </row>
    <row r="31" spans="1:17" s="8" customFormat="1" ht="21" x14ac:dyDescent="0.15">
      <c r="A31" s="23"/>
      <c r="B31" s="23"/>
      <c r="C31" s="17"/>
      <c r="D31" s="17"/>
      <c r="E31" s="17"/>
      <c r="F31" s="17"/>
      <c r="G31" s="17"/>
      <c r="H31" s="24"/>
      <c r="J31" s="25"/>
      <c r="K31" s="26"/>
    </row>
    <row r="32" spans="1:17" ht="21" x14ac:dyDescent="0.25">
      <c r="J32" s="25"/>
      <c r="K32" s="26"/>
    </row>
  </sheetData>
  <mergeCells count="6">
    <mergeCell ref="A1:I1"/>
    <mergeCell ref="A2:I2"/>
    <mergeCell ref="A3:I3"/>
    <mergeCell ref="A4:I4"/>
    <mergeCell ref="A5:A6"/>
    <mergeCell ref="I5:I6"/>
  </mergeCells>
  <pageMargins left="0.7" right="0.7" top="0.75" bottom="0.75" header="0.3" footer="0.3"/>
  <pageSetup paperSize="9" scale="47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9.13</vt:lpstr>
      <vt:lpstr>'9.13'!Print_Area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2019-09-09T06:06:34Z</cp:lastPrinted>
  <dcterms:created xsi:type="dcterms:W3CDTF">2019-09-09T05:11:24Z</dcterms:created>
  <dcterms:modified xsi:type="dcterms:W3CDTF">2019-09-09T06:06:41Z</dcterms:modified>
</cp:coreProperties>
</file>