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/>
  </bookViews>
  <sheets>
    <sheet name="9.18" sheetId="18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'9.18'!$A$1:$O$39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9" i="18" l="1"/>
  <c r="M18" i="18"/>
  <c r="M17" i="18"/>
  <c r="M16" i="18"/>
  <c r="M15" i="18"/>
  <c r="M14" i="18"/>
  <c r="M13" i="18"/>
  <c r="M12" i="18"/>
  <c r="M11" i="18"/>
  <c r="M10" i="18"/>
  <c r="M9" i="18"/>
  <c r="M8" i="18"/>
  <c r="L7" i="18"/>
  <c r="M7" i="18" s="1"/>
  <c r="K7" i="18"/>
  <c r="J7" i="18"/>
  <c r="I7" i="18"/>
  <c r="H7" i="18"/>
  <c r="G7" i="18"/>
  <c r="F7" i="18"/>
  <c r="E7" i="18"/>
  <c r="D7" i="18"/>
  <c r="C7" i="18"/>
  <c r="B7" i="18"/>
</calcChain>
</file>

<file path=xl/sharedStrings.xml><?xml version="1.0" encoding="utf-8"?>
<sst xmlns="http://schemas.openxmlformats.org/spreadsheetml/2006/main" count="44" uniqueCount="40">
  <si>
    <t>Total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</si>
  <si>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</si>
  <si>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</si>
  <si>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</si>
  <si>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</si>
  <si>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</si>
  <si>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</si>
  <si>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</si>
  <si>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</si>
  <si>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</si>
  <si>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</si>
  <si>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</si>
  <si>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</si>
  <si>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</si>
  <si>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</t>
  </si>
  <si>
    <t>މަސް</t>
  </si>
  <si>
    <t>ޖުމްލަ</t>
  </si>
  <si>
    <t>ޖެނުއަރީ</t>
  </si>
  <si>
    <t>ފެބްރުއަރީ</t>
  </si>
  <si>
    <t>މާރޗް</t>
  </si>
  <si>
    <t>މެއި</t>
  </si>
  <si>
    <t>ޖޫން</t>
  </si>
  <si>
    <t>ޖުލައި</t>
  </si>
  <si>
    <t>އޯގަސްޓް</t>
  </si>
  <si>
    <t>ސެޕްޓެމްބަރ</t>
  </si>
  <si>
    <t>އޮކްޓޯބަރ</t>
  </si>
  <si>
    <t>ނޮވެމްބަރ</t>
  </si>
  <si>
    <t>ޑިސެމްބަރ</t>
  </si>
  <si>
    <t>Source: Ministry of Fisheries and Agriculture</t>
  </si>
  <si>
    <t>މަޢުލޫމާތު ދެއްވި ފަރާތް: މިނިސްޓްރީ އޮފް ފިޝަރީޒް އެންޑް އެގްރިކަލްޗަރ</t>
  </si>
  <si>
    <t xml:space="preserve">            ތާވަލް 9.18: މާލެ މާރުކޭޓަށް ވިއްކި ދަނޑުވެރިކަމުގެ ތަކެތިން ލިބުނު އާމްދަނީ، 2013 -2018   </t>
  </si>
  <si>
    <t>Table 9.18: VALUE OF AGRICULTURAL PRODUCTS TRADED IN MALE' MARKET , 2013 - 2018</t>
  </si>
  <si>
    <r>
      <t xml:space="preserve">   (</t>
    </r>
    <r>
      <rPr>
        <b/>
        <sz val="11"/>
        <color theme="1"/>
        <rFont val="Faruma"/>
      </rPr>
      <t>ރުފިޔާއިން /</t>
    </r>
    <r>
      <rPr>
        <b/>
        <sz val="11"/>
        <color theme="1"/>
        <rFont val="Calibri"/>
        <family val="2"/>
      </rPr>
      <t xml:space="preserve"> In rufiyaa)</t>
    </r>
  </si>
  <si>
    <t xml:space="preserve"> Value in '000 (MVR) </t>
  </si>
  <si>
    <t xml:space="preserve">އާމްދަނީ ރުފިޔާ (' 000 ރުފިޔާއިން)    </t>
  </si>
  <si>
    <t xml:space="preserve">ކުރީ އަހަރަށް ވުރެން އިތުރު ވިމިންވަރު </t>
  </si>
  <si>
    <t>% change over previous year</t>
  </si>
  <si>
    <t>އޭޕްރިލް</t>
  </si>
  <si>
    <r>
      <rPr>
        <i/>
        <vertAlign val="subscript"/>
        <sz val="10"/>
        <color theme="1"/>
        <rFont val="Calibri"/>
        <family val="2"/>
      </rPr>
      <t xml:space="preserve">       </t>
    </r>
    <r>
      <rPr>
        <i/>
        <sz val="10"/>
        <color theme="1"/>
        <rFont val="Calibri"/>
        <family val="2"/>
      </rPr>
      <t xml:space="preserve">:-Data not available </t>
    </r>
  </si>
  <si>
    <t xml:space="preserve">    މައުލޫމާތު ނެތް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</si>
</sst>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7" formatCode="0.0"/>
    <numFmt numFmtId="169" formatCode="_(* #,##0_);_(* \(#,##0\);_(* &quot;-&quot;??_);_(@_)"/>
    <numFmt numFmtId="171" formatCode="[$-409]mmmm\ d\,\ yy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b/>
      <sz val="11"/>
      <color theme="1"/>
      <name val="Calibri"/>
      <family val="2"/>
    </font>
    <font>
      <b/>
      <sz val="11"/>
      <color theme="1"/>
      <name val="Faruma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sz val="11"/>
      <color theme="1"/>
      <name val="Faruma"/>
    </font>
    <font>
      <sz val="10"/>
      <color theme="1"/>
      <name val="Courier"/>
      <family val="3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Courier"/>
      <family val="3"/>
    </font>
    <font>
      <b/>
      <sz val="9"/>
      <color theme="1"/>
      <name val="Faruma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6"/>
      <color theme="1"/>
      <name val="Faruma"/>
    </font>
    <font>
      <b/>
      <sz val="20"/>
      <color theme="1"/>
      <name val="Faruma"/>
    </font>
    <font>
      <i/>
      <sz val="10"/>
      <color theme="1"/>
      <name val="Calibri"/>
      <family val="2"/>
    </font>
    <font>
      <i/>
      <vertAlign val="subscript"/>
      <sz val="10"/>
      <color theme="1"/>
      <name val="Calibri"/>
      <family val="2"/>
    </font>
    <font>
      <sz val="11"/>
      <color theme="1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0" fontId="4" fillId="0" borderId="0" applyFont="0" applyFill="0" applyBorder="0" applyAlignment="0" applyProtection="0"/>
    <xf numFmtId="171" fontId="2" fillId="0" borderId="0"/>
    <xf numFmtId="43" fontId="8" fillId="0" borderId="0" applyFont="0" applyFill="0" applyBorder="0" applyAlignment="0" applyProtection="0"/>
    <xf numFmtId="171" fontId="2" fillId="0" borderId="0"/>
    <xf numFmtId="171" fontId="2" fillId="0" borderId="0"/>
  </cellStyleXfs>
  <cellXfs count="70">
    <xf numFmtId="0" fontId="0" fillId="0" borderId="0" xfId="0"/>
    <xf numFmtId="0" fontId="12" fillId="2" borderId="0" xfId="3" applyNumberFormat="1" applyFont="1" applyFill="1" applyAlignment="1">
      <alignment horizontal="center" vertical="center"/>
    </xf>
    <xf numFmtId="0" fontId="13" fillId="2" borderId="0" xfId="3" applyNumberFormat="1" applyFont="1" applyFill="1"/>
    <xf numFmtId="164" fontId="14" fillId="2" borderId="0" xfId="3" applyNumberFormat="1" applyFont="1" applyFill="1"/>
    <xf numFmtId="0" fontId="15" fillId="2" borderId="0" xfId="3" applyNumberFormat="1" applyFont="1" applyFill="1" applyAlignment="1">
      <alignment horizontal="center" vertical="center"/>
    </xf>
    <xf numFmtId="164" fontId="16" fillId="2" borderId="0" xfId="3" applyNumberFormat="1" applyFont="1" applyFill="1"/>
    <xf numFmtId="0" fontId="13" fillId="2" borderId="0" xfId="3" applyNumberFormat="1" applyFont="1" applyFill="1" applyAlignment="1">
      <alignment horizontal="center" vertical="center"/>
    </xf>
    <xf numFmtId="0" fontId="13" fillId="2" borderId="0" xfId="3" applyNumberFormat="1" applyFont="1" applyFill="1" applyAlignment="1">
      <alignment vertical="center"/>
    </xf>
    <xf numFmtId="0" fontId="5" fillId="2" borderId="0" xfId="3" applyNumberFormat="1" applyFont="1" applyFill="1" applyAlignment="1">
      <alignment horizontal="left" vertical="center"/>
    </xf>
    <xf numFmtId="0" fontId="13" fillId="2" borderId="0" xfId="3" applyNumberFormat="1" applyFont="1" applyFill="1" applyBorder="1" applyAlignment="1">
      <alignment vertical="center"/>
    </xf>
    <xf numFmtId="0" fontId="10" fillId="2" borderId="2" xfId="3" applyNumberFormat="1" applyFont="1" applyFill="1" applyBorder="1" applyAlignment="1">
      <alignment horizontal="center" vertical="center" wrapText="1"/>
    </xf>
    <xf numFmtId="0" fontId="13" fillId="2" borderId="0" xfId="3" applyNumberFormat="1" applyFont="1" applyFill="1" applyAlignment="1">
      <alignment horizontal="right" vertical="center"/>
    </xf>
    <xf numFmtId="0" fontId="13" fillId="2" borderId="0" xfId="3" applyNumberFormat="1" applyFont="1" applyFill="1" applyAlignment="1">
      <alignment horizontal="right"/>
    </xf>
    <xf numFmtId="0" fontId="13" fillId="2" borderId="0" xfId="3" applyNumberFormat="1" applyFont="1" applyFill="1" applyBorder="1" applyAlignment="1">
      <alignment horizontal="right"/>
    </xf>
    <xf numFmtId="164" fontId="16" fillId="2" borderId="0" xfId="3" applyNumberFormat="1" applyFont="1" applyFill="1" applyBorder="1"/>
    <xf numFmtId="0" fontId="5" fillId="2" borderId="1" xfId="3" applyNumberFormat="1" applyFont="1" applyFill="1" applyBorder="1" applyAlignment="1">
      <alignment horizontal="right" vertical="center"/>
    </xf>
    <xf numFmtId="0" fontId="5" fillId="2" borderId="4" xfId="3" applyNumberFormat="1" applyFont="1" applyFill="1" applyBorder="1" applyAlignment="1">
      <alignment horizontal="right" vertical="center"/>
    </xf>
    <xf numFmtId="0" fontId="19" fillId="2" borderId="0" xfId="3" applyNumberFormat="1" applyFont="1" applyFill="1" applyBorder="1" applyAlignment="1">
      <alignment horizontal="center" vertical="center" wrapText="1"/>
    </xf>
    <xf numFmtId="0" fontId="13" fillId="2" borderId="0" xfId="3" applyNumberFormat="1" applyFont="1" applyFill="1" applyBorder="1"/>
    <xf numFmtId="0" fontId="5" fillId="2" borderId="0" xfId="3" applyNumberFormat="1" applyFont="1" applyFill="1" applyBorder="1" applyAlignment="1">
      <alignment horizontal="left" vertical="center"/>
    </xf>
    <xf numFmtId="3" fontId="9" fillId="2" borderId="0" xfId="2" applyNumberFormat="1" applyFont="1" applyFill="1" applyBorder="1" applyAlignment="1">
      <alignment horizontal="right" vertical="center"/>
    </xf>
    <xf numFmtId="3" fontId="9" fillId="2" borderId="0" xfId="4" applyNumberFormat="1" applyFont="1" applyFill="1" applyBorder="1" applyAlignment="1">
      <alignment horizontal="right" vertical="center"/>
    </xf>
    <xf numFmtId="167" fontId="20" fillId="2" borderId="2" xfId="3" applyNumberFormat="1" applyFont="1" applyFill="1" applyBorder="1" applyAlignment="1">
      <alignment horizontal="center" vertical="center"/>
    </xf>
    <xf numFmtId="0" fontId="12" fillId="2" borderId="0" xfId="3" applyNumberFormat="1" applyFont="1" applyFill="1" applyBorder="1" applyAlignment="1">
      <alignment vertical="center"/>
    </xf>
    <xf numFmtId="0" fontId="5" fillId="2" borderId="0" xfId="3" applyNumberFormat="1" applyFont="1" applyFill="1" applyBorder="1" applyAlignment="1">
      <alignment horizontal="center"/>
    </xf>
    <xf numFmtId="0" fontId="21" fillId="2" borderId="0" xfId="3" applyNumberFormat="1" applyFont="1" applyFill="1" applyAlignment="1">
      <alignment horizontal="left" vertical="center"/>
    </xf>
    <xf numFmtId="3" fontId="7" fillId="2" borderId="0" xfId="2" applyNumberFormat="1" applyFont="1" applyFill="1" applyAlignment="1">
      <alignment horizontal="right" vertical="center"/>
    </xf>
    <xf numFmtId="3" fontId="7" fillId="2" borderId="0" xfId="4" applyNumberFormat="1" applyFont="1" applyFill="1" applyBorder="1" applyAlignment="1">
      <alignment horizontal="right" vertical="center"/>
    </xf>
    <xf numFmtId="167" fontId="20" fillId="2" borderId="0" xfId="3" applyNumberFormat="1" applyFont="1" applyFill="1" applyBorder="1" applyAlignment="1">
      <alignment horizontal="center" vertical="center"/>
    </xf>
    <xf numFmtId="0" fontId="12" fillId="2" borderId="0" xfId="3" applyNumberFormat="1" applyFont="1" applyFill="1" applyAlignment="1">
      <alignment vertical="center"/>
    </xf>
    <xf numFmtId="0" fontId="22" fillId="2" borderId="0" xfId="3" applyNumberFormat="1" applyFont="1" applyFill="1" applyAlignment="1">
      <alignment horizontal="center" vertical="center"/>
    </xf>
    <xf numFmtId="0" fontId="13" fillId="2" borderId="0" xfId="3" applyNumberFormat="1" applyFont="1" applyFill="1" applyBorder="1" applyAlignment="1">
      <alignment horizontal="left" vertical="center"/>
    </xf>
    <xf numFmtId="169" fontId="20" fillId="2" borderId="0" xfId="2" applyNumberFormat="1" applyFont="1" applyFill="1" applyBorder="1"/>
    <xf numFmtId="169" fontId="20" fillId="2" borderId="0" xfId="4" applyNumberFormat="1" applyFont="1" applyFill="1" applyBorder="1" applyAlignment="1">
      <alignment horizontal="left"/>
    </xf>
    <xf numFmtId="3" fontId="13" fillId="2" borderId="0" xfId="3" applyNumberFormat="1" applyFont="1" applyFill="1" applyBorder="1" applyAlignment="1">
      <alignment horizontal="left" vertical="center"/>
    </xf>
    <xf numFmtId="167" fontId="20" fillId="2" borderId="0" xfId="3" applyNumberFormat="1" applyFont="1" applyFill="1" applyBorder="1" applyAlignment="1">
      <alignment horizontal="right" vertical="center"/>
    </xf>
    <xf numFmtId="0" fontId="23" fillId="2" borderId="0" xfId="3" applyNumberFormat="1" applyFont="1" applyFill="1" applyAlignment="1">
      <alignment vertical="center" wrapText="1"/>
    </xf>
    <xf numFmtId="3" fontId="20" fillId="2" borderId="0" xfId="3" applyNumberFormat="1" applyFont="1" applyFill="1" applyBorder="1" applyAlignment="1">
      <alignment horizontal="right" vertical="center"/>
    </xf>
    <xf numFmtId="3" fontId="21" fillId="2" borderId="0" xfId="3" applyNumberFormat="1" applyFont="1" applyFill="1" applyBorder="1" applyAlignment="1">
      <alignment horizontal="right" vertical="center"/>
    </xf>
    <xf numFmtId="0" fontId="21" fillId="2" borderId="1" xfId="3" applyNumberFormat="1" applyFont="1" applyFill="1" applyBorder="1" applyAlignment="1">
      <alignment horizontal="left" vertical="center"/>
    </xf>
    <xf numFmtId="3" fontId="7" fillId="2" borderId="1" xfId="2" applyNumberFormat="1" applyFont="1" applyFill="1" applyBorder="1" applyAlignment="1">
      <alignment horizontal="right" vertical="center"/>
    </xf>
    <xf numFmtId="3" fontId="7" fillId="2" borderId="1" xfId="4" applyNumberFormat="1" applyFont="1" applyFill="1" applyBorder="1" applyAlignment="1">
      <alignment horizontal="right" vertical="center"/>
    </xf>
    <xf numFmtId="167" fontId="20" fillId="2" borderId="1" xfId="3" applyNumberFormat="1" applyFont="1" applyFill="1" applyBorder="1" applyAlignment="1">
      <alignment horizontal="center" vertical="center"/>
    </xf>
    <xf numFmtId="0" fontId="12" fillId="2" borderId="1" xfId="3" applyNumberFormat="1" applyFont="1" applyFill="1" applyBorder="1" applyAlignment="1">
      <alignment vertical="center"/>
    </xf>
    <xf numFmtId="0" fontId="24" fillId="2" borderId="0" xfId="5" applyNumberFormat="1" applyFont="1" applyFill="1" applyBorder="1" applyAlignment="1">
      <alignment vertical="center"/>
    </xf>
    <xf numFmtId="3" fontId="5" fillId="2" borderId="0" xfId="5" applyNumberFormat="1" applyFont="1" applyFill="1" applyBorder="1" applyAlignment="1">
      <alignment horizontal="right"/>
    </xf>
    <xf numFmtId="3" fontId="20" fillId="2" borderId="0" xfId="5" applyNumberFormat="1" applyFont="1" applyFill="1" applyBorder="1" applyAlignment="1">
      <alignment horizontal="right"/>
    </xf>
    <xf numFmtId="3" fontId="20" fillId="2" borderId="0" xfId="2" applyNumberFormat="1" applyFont="1" applyFill="1" applyBorder="1" applyAlignment="1">
      <alignment horizontal="right"/>
    </xf>
    <xf numFmtId="0" fontId="12" fillId="2" borderId="0" xfId="5" applyNumberFormat="1" applyFont="1" applyFill="1" applyBorder="1" applyAlignment="1">
      <alignment vertical="center"/>
    </xf>
    <xf numFmtId="164" fontId="26" fillId="2" borderId="0" xfId="5" applyNumberFormat="1" applyFont="1" applyFill="1"/>
    <xf numFmtId="164" fontId="26" fillId="2" borderId="0" xfId="5" applyNumberFormat="1" applyFont="1" applyFill="1" applyBorder="1"/>
    <xf numFmtId="0" fontId="24" fillId="2" borderId="0" xfId="3" applyNumberFormat="1" applyFont="1" applyFill="1" applyAlignment="1">
      <alignment horizontal="left" vertical="center"/>
    </xf>
    <xf numFmtId="0" fontId="21" fillId="2" borderId="0" xfId="3" applyNumberFormat="1" applyFont="1" applyFill="1" applyAlignment="1">
      <alignment vertical="center"/>
    </xf>
    <xf numFmtId="1" fontId="16" fillId="2" borderId="0" xfId="3" applyNumberFormat="1" applyFont="1" applyFill="1"/>
    <xf numFmtId="0" fontId="21" fillId="2" borderId="0" xfId="3" applyNumberFormat="1" applyFont="1" applyFill="1" applyAlignment="1">
      <alignment horizontal="right" vertical="center"/>
    </xf>
    <xf numFmtId="0" fontId="11" fillId="2" borderId="0" xfId="3" applyNumberFormat="1" applyFont="1" applyFill="1" applyAlignment="1">
      <alignment horizontal="right" vertical="center"/>
    </xf>
    <xf numFmtId="0" fontId="13" fillId="2" borderId="0" xfId="3" applyNumberFormat="1" applyFont="1" applyFill="1" applyAlignment="1">
      <alignment horizontal="left"/>
    </xf>
    <xf numFmtId="169" fontId="7" fillId="2" borderId="0" xfId="1" applyNumberFormat="1" applyFont="1" applyFill="1" applyAlignment="1">
      <alignment horizontal="right" vertical="center"/>
    </xf>
    <xf numFmtId="0" fontId="17" fillId="2" borderId="0" xfId="3" applyNumberFormat="1" applyFont="1" applyFill="1" applyAlignment="1">
      <alignment horizontal="right" vertical="center"/>
    </xf>
    <xf numFmtId="169" fontId="21" fillId="2" borderId="0" xfId="1" applyNumberFormat="1" applyFont="1" applyFill="1" applyAlignment="1">
      <alignment vertical="center"/>
    </xf>
    <xf numFmtId="43" fontId="21" fillId="2" borderId="0" xfId="1" applyNumberFormat="1" applyFont="1" applyFill="1" applyAlignment="1">
      <alignment vertical="center"/>
    </xf>
    <xf numFmtId="0" fontId="10" fillId="2" borderId="0" xfId="3" applyNumberFormat="1" applyFont="1" applyFill="1" applyAlignment="1">
      <alignment horizontal="center" vertical="center"/>
    </xf>
    <xf numFmtId="0" fontId="5" fillId="2" borderId="0" xfId="3" applyNumberFormat="1" applyFont="1" applyFill="1" applyAlignment="1">
      <alignment horizontal="center" vertical="center"/>
    </xf>
    <xf numFmtId="0" fontId="17" fillId="2" borderId="0" xfId="3" applyNumberFormat="1" applyFont="1" applyFill="1" applyAlignment="1">
      <alignment horizontal="center" vertical="center"/>
    </xf>
    <xf numFmtId="0" fontId="9" fillId="2" borderId="2" xfId="3" applyNumberFormat="1" applyFont="1" applyFill="1" applyBorder="1" applyAlignment="1">
      <alignment horizontal="left" vertical="center"/>
    </xf>
    <xf numFmtId="0" fontId="9" fillId="2" borderId="1" xfId="3" applyNumberFormat="1" applyFont="1" applyFill="1" applyBorder="1" applyAlignment="1">
      <alignment horizontal="left" vertical="center"/>
    </xf>
    <xf numFmtId="0" fontId="9" fillId="2" borderId="3" xfId="3" applyNumberFormat="1" applyFont="1" applyFill="1" applyBorder="1" applyAlignment="1">
      <alignment horizontal="right" vertical="center"/>
    </xf>
    <xf numFmtId="0" fontId="18" fillId="2" borderId="3" xfId="3" applyNumberFormat="1" applyFont="1" applyFill="1" applyBorder="1" applyAlignment="1">
      <alignment horizontal="center" vertical="center"/>
    </xf>
    <xf numFmtId="0" fontId="10" fillId="2" borderId="2" xfId="3" applyNumberFormat="1" applyFont="1" applyFill="1" applyBorder="1" applyAlignment="1">
      <alignment horizontal="right" vertical="center"/>
    </xf>
    <xf numFmtId="0" fontId="10" fillId="2" borderId="1" xfId="3" applyNumberFormat="1" applyFont="1" applyFill="1" applyBorder="1" applyAlignment="1">
      <alignment horizontal="right" vertical="center"/>
    </xf>
  </cellXfs>
  <cellStyles count="7">
    <cellStyle name="Comma" xfId="1" builtinId="3"/>
    <cellStyle name="Comma 2" xfId="2"/>
    <cellStyle name="Comma_agri planning 2009 year book(final)" xfId="4"/>
    <cellStyle name="Normal" xfId="0" builtinId="0"/>
    <cellStyle name="Normal 2_agri planning 2009 year book(final)" xfId="3"/>
    <cellStyle name="Normal 3_agri planning 2009 year book(final)" xfId="6"/>
    <cellStyle name="Normal 4_agri planning 2009 year book(final)" xfId="5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9.4: Value of Agricultural Products Traded in Male' Market,  2016 - 2018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3913094196558765"/>
          <c:y val="3.020496224379719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01939714800607"/>
          <c:y val="0.17171296296296296"/>
          <c:w val="0.87308791529263974"/>
          <c:h val="0.71933435403907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'[4]9.18'!$J$6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663300"/>
            </a:solidFill>
            <a:ln>
              <a:noFill/>
            </a:ln>
            <a:effectLst/>
          </c:spPr>
          <c:invertIfNegative val="0"/>
          <c:cat>
            <c:strRef>
              <c:f>'[4]9.18'!$A$8:$A$19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'[4]9.18'!$J$8:$J$19</c:f>
              <c:numCache>
                <c:formatCode>General</c:formatCode>
                <c:ptCount val="12"/>
                <c:pt idx="0">
                  <c:v>6955911</c:v>
                </c:pt>
                <c:pt idx="1">
                  <c:v>8760849</c:v>
                </c:pt>
                <c:pt idx="2">
                  <c:v>4695175</c:v>
                </c:pt>
                <c:pt idx="3">
                  <c:v>7632635</c:v>
                </c:pt>
                <c:pt idx="4">
                  <c:v>4402140</c:v>
                </c:pt>
                <c:pt idx="5">
                  <c:v>17783645</c:v>
                </c:pt>
                <c:pt idx="6">
                  <c:v>3498845</c:v>
                </c:pt>
                <c:pt idx="7">
                  <c:v>1213770</c:v>
                </c:pt>
                <c:pt idx="8">
                  <c:v>4420818</c:v>
                </c:pt>
                <c:pt idx="9">
                  <c:v>3415419</c:v>
                </c:pt>
                <c:pt idx="10">
                  <c:v>1232500</c:v>
                </c:pt>
                <c:pt idx="11">
                  <c:v>1016000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3-4F99-9801-268698FE9153}"/>
            </c:ext>
          </c:extLst>
        </c:ser>
        <c:ser>
          <c:idx val="1"/>
          <c:order val="1"/>
          <c:tx>
            <c:strRef>
              <c:f>'[4]9.18'!$K$6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strRef>
              <c:f>'[4]9.18'!$A$8:$A$19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'[4]9.18'!$K$8:$K$19</c:f>
              <c:numCache>
                <c:formatCode>General</c:formatCode>
                <c:ptCount val="12"/>
                <c:pt idx="0">
                  <c:v>8451496</c:v>
                </c:pt>
                <c:pt idx="1">
                  <c:v>8453823.5</c:v>
                </c:pt>
                <c:pt idx="2">
                  <c:v>7567492</c:v>
                </c:pt>
                <c:pt idx="3">
                  <c:v>7684767</c:v>
                </c:pt>
                <c:pt idx="4">
                  <c:v>4452678</c:v>
                </c:pt>
                <c:pt idx="5">
                  <c:v>8162327.5</c:v>
                </c:pt>
                <c:pt idx="6">
                  <c:v>3507629</c:v>
                </c:pt>
                <c:pt idx="7">
                  <c:v>4520327</c:v>
                </c:pt>
                <c:pt idx="8">
                  <c:v>247465</c:v>
                </c:pt>
                <c:pt idx="9">
                  <c:v>3873070</c:v>
                </c:pt>
                <c:pt idx="10">
                  <c:v>2455632.5</c:v>
                </c:pt>
                <c:pt idx="11">
                  <c:v>4703310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83-4F99-9801-268698FE9153}"/>
            </c:ext>
          </c:extLst>
        </c:ser>
        <c:ser>
          <c:idx val="2"/>
          <c:order val="2"/>
          <c:tx>
            <c:strRef>
              <c:f>'[4]9.18'!$L$6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cat>
            <c:strRef>
              <c:f>'[4]9.18'!$A$8:$A$19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'[4]9.18'!$L$8:$L$19</c:f>
              <c:numCache>
                <c:formatCode>General</c:formatCode>
                <c:ptCount val="12"/>
                <c:pt idx="0">
                  <c:v>3998689</c:v>
                </c:pt>
                <c:pt idx="1">
                  <c:v>5869779</c:v>
                </c:pt>
                <c:pt idx="2">
                  <c:v>5047706</c:v>
                </c:pt>
                <c:pt idx="3">
                  <c:v>6195221</c:v>
                </c:pt>
                <c:pt idx="4">
                  <c:v>5648060</c:v>
                </c:pt>
                <c:pt idx="5">
                  <c:v>4394775</c:v>
                </c:pt>
                <c:pt idx="6">
                  <c:v>1475635</c:v>
                </c:pt>
                <c:pt idx="7">
                  <c:v>2343393</c:v>
                </c:pt>
                <c:pt idx="8">
                  <c:v>736400</c:v>
                </c:pt>
                <c:pt idx="9">
                  <c:v>3165053</c:v>
                </c:pt>
                <c:pt idx="10">
                  <c:v>2708995</c:v>
                </c:pt>
                <c:pt idx="11">
                  <c:v>1875775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83-4F99-9801-268698FE9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overlap val="3"/>
        <c:axId val="82034688"/>
        <c:axId val="82116608"/>
      </c:barChart>
      <c:catAx>
        <c:axId val="8203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16608"/>
        <c:crosses val="autoZero"/>
        <c:auto val="1"/>
        <c:lblAlgn val="ctr"/>
        <c:lblOffset val="100"/>
        <c:noMultiLvlLbl val="0"/>
      </c:catAx>
      <c:valAx>
        <c:axId val="821166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3468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251627520918859"/>
          <c:y val="0.21354111986001745"/>
          <c:w val="0.14516919256060734"/>
          <c:h val="7.2816043625614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54534</xdr:colOff>
      <xdr:row>19</xdr:row>
      <xdr:rowOff>124394</xdr:rowOff>
    </xdr:from>
    <xdr:to>
      <xdr:col>0</xdr:col>
      <xdr:colOff>131502</xdr:colOff>
      <xdr:row>19</xdr:row>
      <xdr:rowOff>124397</xdr:rowOff>
    </xdr:to>
    <xdr:cxnSp macro="">
      <xdr:nvCxnSpPr>
        <xdr:cNvPr id="2" name="Straight Connector 1"/>
        <xdr:cNvCxnSpPr/>
      </xdr:nvCxnSpPr>
      <xdr:spPr>
        <a:xfrm flipV="1">
          <a:off x="54534" y="5744144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683146</xdr:colOff>
      <xdr:row>19</xdr:row>
      <xdr:rowOff>105400</xdr:rowOff>
    </xdr:from>
    <xdr:to>
      <xdr:col>13</xdr:col>
      <xdr:colOff>760114</xdr:colOff>
      <xdr:row>19</xdr:row>
      <xdr:rowOff>105403</xdr:rowOff>
    </xdr:to>
    <xdr:cxnSp macro="">
      <xdr:nvCxnSpPr>
        <xdr:cNvPr id="3" name="Straight Connector 2"/>
        <xdr:cNvCxnSpPr/>
      </xdr:nvCxnSpPr>
      <xdr:spPr>
        <a:xfrm flipV="1">
          <a:off x="8074546" y="5725150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381000</xdr:colOff>
      <xdr:row>43</xdr:row>
      <xdr:rowOff>0</xdr:rowOff>
    </xdr:from>
    <xdr:to>
      <xdr:col>0</xdr:col>
      <xdr:colOff>457200</xdr:colOff>
      <xdr:row>44</xdr:row>
      <xdr:rowOff>47625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381000" y="100298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590550</xdr:colOff>
      <xdr:row>21</xdr:row>
      <xdr:rowOff>123824</xdr:rowOff>
    </xdr:from>
    <xdr:to>
      <xdr:col>13</xdr:col>
      <xdr:colOff>771525</xdr:colOff>
      <xdr:row>37</xdr:row>
      <xdr:rowOff>133349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0.00712</cdr:x>
      <cdr:y>0.07767</cdr:y>
    </cdr:from>
    <cdr:to>
      <cdr:x>0.10399</cdr:x>
      <cdr:y>0.15534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7625" y="228601"/>
          <a:ext cx="6477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/>
            <a:t>in MVR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FINAL/9.%20FISHERIES%20AND%20AGRICULTU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9.%20FISHERIES%20AND%20AGRICULTURE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8.1"/>
      <sheetName val="9.9"/>
      <sheetName val="9.10"/>
      <sheetName val="9.10.1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89683.148024090799</v>
          </cell>
          <cell r="E9">
            <v>49376.811349197931</v>
          </cell>
          <cell r="F9">
            <v>1074.1737564163373</v>
          </cell>
          <cell r="G9">
            <v>3.4710000000000005</v>
          </cell>
          <cell r="H9">
            <v>21.806846050809384</v>
          </cell>
          <cell r="I9">
            <v>161.34417921404571</v>
          </cell>
          <cell r="J9">
            <v>345.28287397791433</v>
          </cell>
          <cell r="K9">
            <v>2493.9263026769763</v>
          </cell>
        </row>
        <row r="13">
          <cell r="A13" t="str">
            <v xml:space="preserve"> HA</v>
          </cell>
          <cell r="B13">
            <v>3548.6896117828474</v>
          </cell>
        </row>
        <row r="14">
          <cell r="A14" t="str">
            <v xml:space="preserve"> HDh</v>
          </cell>
          <cell r="B14">
            <v>2665.1350675685076</v>
          </cell>
        </row>
        <row r="15">
          <cell r="A15" t="str">
            <v xml:space="preserve"> Sh</v>
          </cell>
          <cell r="B15">
            <v>3221.2989848185966</v>
          </cell>
        </row>
        <row r="16">
          <cell r="A16" t="str">
            <v xml:space="preserve"> N</v>
          </cell>
          <cell r="B16">
            <v>2037.369549684689</v>
          </cell>
        </row>
        <row r="17">
          <cell r="A17" t="str">
            <v xml:space="preserve"> R</v>
          </cell>
          <cell r="B17">
            <v>4736.5105807719865</v>
          </cell>
        </row>
        <row r="18">
          <cell r="A18" t="str">
            <v>B</v>
          </cell>
          <cell r="B18">
            <v>1609.2743994481875</v>
          </cell>
        </row>
        <row r="19">
          <cell r="A19" t="str">
            <v>Lh</v>
          </cell>
          <cell r="B19">
            <v>3285.6221078384801</v>
          </cell>
        </row>
        <row r="20">
          <cell r="A20" t="str">
            <v>K</v>
          </cell>
          <cell r="B20">
            <v>3352.3710822809958</v>
          </cell>
        </row>
        <row r="21">
          <cell r="A21" t="str">
            <v>AA</v>
          </cell>
          <cell r="B21">
            <v>2349.3707511765833</v>
          </cell>
        </row>
        <row r="22">
          <cell r="A22" t="str">
            <v>ADh</v>
          </cell>
          <cell r="B22">
            <v>3069.7628263915908</v>
          </cell>
        </row>
        <row r="23">
          <cell r="A23" t="str">
            <v>V</v>
          </cell>
          <cell r="B23">
            <v>240.41875105324056</v>
          </cell>
        </row>
        <row r="24">
          <cell r="A24" t="str">
            <v>M</v>
          </cell>
          <cell r="B24">
            <v>3303.4787321652643</v>
          </cell>
        </row>
        <row r="25">
          <cell r="A25" t="str">
            <v>F</v>
          </cell>
          <cell r="B25">
            <v>2969.6042037139136</v>
          </cell>
        </row>
        <row r="26">
          <cell r="A26" t="str">
            <v>Dh</v>
          </cell>
          <cell r="B26">
            <v>8390.1824668277168</v>
          </cell>
        </row>
        <row r="27">
          <cell r="A27" t="str">
            <v>Th</v>
          </cell>
          <cell r="B27">
            <v>5794.2599899738352</v>
          </cell>
        </row>
        <row r="28">
          <cell r="A28" t="str">
            <v xml:space="preserve"> L</v>
          </cell>
          <cell r="B28">
            <v>12223.952593290209</v>
          </cell>
        </row>
        <row r="29">
          <cell r="A29" t="str">
            <v>GA</v>
          </cell>
          <cell r="B29">
            <v>24214.26468123731</v>
          </cell>
        </row>
        <row r="30">
          <cell r="A30" t="str">
            <v>GDh</v>
          </cell>
          <cell r="B30">
            <v>13637.841725925478</v>
          </cell>
        </row>
        <row r="31">
          <cell r="A31" t="str">
            <v>Gn</v>
          </cell>
          <cell r="B31">
            <v>5096.0265002171318</v>
          </cell>
        </row>
        <row r="32">
          <cell r="A32" t="str">
            <v>S</v>
          </cell>
          <cell r="B32">
            <v>9377.6345015550251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  <sheetName val="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">
          <cell r="Y12" t="str">
            <v>India</v>
          </cell>
        </row>
      </sheetData>
      <sheetData sheetId="12" refreshError="1"/>
      <sheetData sheetId="13">
        <row r="5">
          <cell r="B5">
            <v>2014</v>
          </cell>
        </row>
      </sheetData>
      <sheetData sheetId="14" refreshError="1"/>
      <sheetData sheetId="15" refreshError="1"/>
      <sheetData sheetId="16" refreshError="1"/>
      <sheetData sheetId="17">
        <row r="6">
          <cell r="J6">
            <v>2016</v>
          </cell>
          <cell r="K6">
            <v>2017</v>
          </cell>
          <cell r="L6">
            <v>2018</v>
          </cell>
        </row>
        <row r="8">
          <cell r="A8" t="str">
            <v>January</v>
          </cell>
          <cell r="J8">
            <v>6955911</v>
          </cell>
          <cell r="K8">
            <v>8451496</v>
          </cell>
          <cell r="L8">
            <v>3998689</v>
          </cell>
        </row>
        <row r="9">
          <cell r="A9" t="str">
            <v>February</v>
          </cell>
          <cell r="J9">
            <v>8760849</v>
          </cell>
          <cell r="K9">
            <v>8453823.5</v>
          </cell>
          <cell r="L9">
            <v>5869779</v>
          </cell>
        </row>
        <row r="10">
          <cell r="A10" t="str">
            <v>March</v>
          </cell>
          <cell r="J10">
            <v>4695175</v>
          </cell>
          <cell r="K10">
            <v>7567492</v>
          </cell>
          <cell r="L10">
            <v>5047706</v>
          </cell>
        </row>
        <row r="11">
          <cell r="A11" t="str">
            <v>April</v>
          </cell>
          <cell r="J11">
            <v>7632635</v>
          </cell>
          <cell r="K11">
            <v>7684767</v>
          </cell>
          <cell r="L11">
            <v>6195221</v>
          </cell>
        </row>
        <row r="12">
          <cell r="A12" t="str">
            <v>May</v>
          </cell>
          <cell r="J12">
            <v>4402140</v>
          </cell>
          <cell r="K12">
            <v>4452678</v>
          </cell>
          <cell r="L12">
            <v>5648060</v>
          </cell>
        </row>
        <row r="13">
          <cell r="A13" t="str">
            <v>June</v>
          </cell>
          <cell r="J13">
            <v>17783645</v>
          </cell>
          <cell r="K13">
            <v>8162327.5</v>
          </cell>
          <cell r="L13">
            <v>4394775</v>
          </cell>
        </row>
        <row r="14">
          <cell r="A14" t="str">
            <v>July</v>
          </cell>
          <cell r="J14">
            <v>3498845</v>
          </cell>
          <cell r="K14">
            <v>3507629</v>
          </cell>
          <cell r="L14">
            <v>1475635</v>
          </cell>
        </row>
        <row r="15">
          <cell r="A15" t="str">
            <v>August</v>
          </cell>
          <cell r="J15">
            <v>1213770</v>
          </cell>
          <cell r="K15">
            <v>4520327</v>
          </cell>
          <cell r="L15">
            <v>2343393</v>
          </cell>
        </row>
        <row r="16">
          <cell r="A16" t="str">
            <v>September</v>
          </cell>
          <cell r="J16">
            <v>4420818</v>
          </cell>
          <cell r="K16">
            <v>247465</v>
          </cell>
          <cell r="L16">
            <v>736400</v>
          </cell>
        </row>
        <row r="17">
          <cell r="A17" t="str">
            <v>October</v>
          </cell>
          <cell r="J17">
            <v>3415419</v>
          </cell>
          <cell r="K17">
            <v>3873070</v>
          </cell>
          <cell r="L17">
            <v>3165053</v>
          </cell>
        </row>
        <row r="18">
          <cell r="A18" t="str">
            <v>November</v>
          </cell>
          <cell r="J18">
            <v>1232500</v>
          </cell>
          <cell r="K18">
            <v>2455632.5</v>
          </cell>
          <cell r="L18">
            <v>2708995</v>
          </cell>
        </row>
        <row r="19">
          <cell r="A19" t="str">
            <v>December</v>
          </cell>
          <cell r="J19">
            <v>1016000</v>
          </cell>
          <cell r="K19">
            <v>4703310</v>
          </cell>
          <cell r="L19">
            <v>1875775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tabSelected="1" zoomScaleNormal="100" workbookViewId="0">
      <selection activeCell="R14" sqref="R14"/>
    </sheetView>
  </sheetViews>
  <sheetFormatPr defaultColWidth="13.28515625" defaultRowHeight="12.75" x14ac:dyDescent="0.2"/>
  <cols>
    <col min="1" max="1" width="10.5703125" style="5" customWidth="1"/>
    <col min="2" max="6" width="13.28515625" style="5" hidden="1" customWidth="1"/>
    <col min="7" max="8" width="13.28515625" style="5" customWidth="1"/>
    <col min="9" max="9" width="14.5703125" style="5" customWidth="1"/>
    <col min="10" max="12" width="13.28515625" style="5" customWidth="1"/>
    <col min="13" max="13" width="19.28515625" style="5" customWidth="1"/>
    <col min="14" max="14" width="13.28515625" style="5"/>
    <col min="15" max="15" width="6.5703125" style="5" customWidth="1"/>
    <col min="16" max="16384" width="13.28515625" style="5"/>
  </cols>
  <sheetData>
    <row r="1" spans="1:24" s="3" customFormat="1" ht="21" x14ac:dyDescent="0.2">
      <c r="A1" s="61" t="s">
        <v>30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1"/>
      <c r="P1" s="2"/>
      <c r="Q1" s="2"/>
      <c r="R1" s="2"/>
    </row>
    <row r="2" spans="1:24" ht="15.75" x14ac:dyDescent="0.2">
      <c r="A2" s="62" t="s">
        <v>31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4"/>
      <c r="P2" s="2"/>
      <c r="Q2" s="2"/>
      <c r="R2" s="2"/>
    </row>
    <row r="3" spans="1:24" ht="21" x14ac:dyDescent="0.2">
      <c r="A3" s="63" t="s">
        <v>32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"/>
      <c r="P3" s="2"/>
      <c r="Q3" s="2"/>
      <c r="R3" s="2"/>
    </row>
    <row r="4" spans="1:24" s="3" customFormat="1" ht="15" hidden="1" x14ac:dyDescent="0.2">
      <c r="A4" s="7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7"/>
      <c r="O4" s="7"/>
      <c r="P4" s="2"/>
      <c r="Q4" s="2"/>
      <c r="R4" s="2"/>
    </row>
    <row r="5" spans="1:24" ht="37.5" x14ac:dyDescent="0.2">
      <c r="A5" s="64" t="s">
        <v>1</v>
      </c>
      <c r="B5" s="66" t="s">
        <v>33</v>
      </c>
      <c r="C5" s="66"/>
      <c r="D5" s="66"/>
      <c r="E5" s="66"/>
      <c r="F5" s="67" t="s">
        <v>34</v>
      </c>
      <c r="G5" s="67"/>
      <c r="H5" s="67"/>
      <c r="I5" s="67"/>
      <c r="J5" s="67"/>
      <c r="K5" s="67"/>
      <c r="L5" s="67"/>
      <c r="M5" s="10" t="s">
        <v>35</v>
      </c>
      <c r="N5" s="68" t="s">
        <v>15</v>
      </c>
      <c r="O5" s="11"/>
      <c r="P5" s="12"/>
      <c r="Q5" s="13"/>
      <c r="R5" s="13"/>
      <c r="S5" s="14"/>
      <c r="T5" s="14"/>
      <c r="U5" s="14"/>
      <c r="V5" s="14"/>
      <c r="W5" s="14"/>
      <c r="X5" s="14"/>
    </row>
    <row r="6" spans="1:24" ht="25.5" x14ac:dyDescent="0.2">
      <c r="A6" s="65"/>
      <c r="B6" s="15">
        <v>2008</v>
      </c>
      <c r="C6" s="15">
        <v>2009</v>
      </c>
      <c r="D6" s="15">
        <v>2010</v>
      </c>
      <c r="E6" s="16">
        <v>2011</v>
      </c>
      <c r="F6" s="16">
        <v>2012</v>
      </c>
      <c r="G6" s="16">
        <v>2013</v>
      </c>
      <c r="H6" s="16">
        <v>2014</v>
      </c>
      <c r="I6" s="16">
        <v>2015</v>
      </c>
      <c r="J6" s="16">
        <v>2016</v>
      </c>
      <c r="K6" s="16">
        <v>2017</v>
      </c>
      <c r="L6" s="16">
        <v>2018</v>
      </c>
      <c r="M6" s="17" t="s">
        <v>36</v>
      </c>
      <c r="N6" s="69"/>
      <c r="O6" s="9"/>
      <c r="P6" s="2"/>
      <c r="Q6" s="18"/>
      <c r="R6" s="18"/>
      <c r="S6" s="14"/>
      <c r="T6" s="14"/>
      <c r="U6" s="14"/>
      <c r="V6" s="14"/>
      <c r="W6" s="14"/>
      <c r="X6" s="14"/>
    </row>
    <row r="7" spans="1:24" ht="21" x14ac:dyDescent="0.25">
      <c r="A7" s="19" t="s">
        <v>0</v>
      </c>
      <c r="B7" s="20">
        <f t="shared" ref="B7:J7" si="0">SUM(B8:B19)</f>
        <v>143654.00287666667</v>
      </c>
      <c r="C7" s="21">
        <f t="shared" si="0"/>
        <v>146369.77578333335</v>
      </c>
      <c r="D7" s="21">
        <f t="shared" si="0"/>
        <v>235977</v>
      </c>
      <c r="E7" s="21">
        <f t="shared" si="0"/>
        <v>169120562</v>
      </c>
      <c r="F7" s="21">
        <f t="shared" si="0"/>
        <v>88859.01</v>
      </c>
      <c r="G7" s="21">
        <f t="shared" si="0"/>
        <v>34592.806499999999</v>
      </c>
      <c r="H7" s="21">
        <f>SUM(H8:H19)</f>
        <v>33026.041000000005</v>
      </c>
      <c r="I7" s="21">
        <f t="shared" si="0"/>
        <v>71262366</v>
      </c>
      <c r="J7" s="21">
        <f t="shared" si="0"/>
        <v>65027707</v>
      </c>
      <c r="K7" s="21">
        <f>SUM(K8:K19)</f>
        <v>64080017.5</v>
      </c>
      <c r="L7" s="21">
        <f>SUM(L8:L19)</f>
        <v>43459481</v>
      </c>
      <c r="M7" s="22">
        <f>(L7-K7)/K7*100</f>
        <v>-32.179355288097419</v>
      </c>
      <c r="N7" s="23" t="s">
        <v>16</v>
      </c>
      <c r="O7" s="23"/>
      <c r="Q7" s="18"/>
      <c r="R7" s="24"/>
      <c r="S7" s="24"/>
      <c r="T7" s="14"/>
      <c r="U7" s="24"/>
      <c r="V7" s="24"/>
      <c r="W7" s="14"/>
      <c r="X7" s="14"/>
    </row>
    <row r="8" spans="1:24" ht="27.75" x14ac:dyDescent="0.25">
      <c r="A8" s="25" t="s">
        <v>2</v>
      </c>
      <c r="B8" s="26">
        <v>13000.027106666665</v>
      </c>
      <c r="C8" s="27">
        <v>14648.431366666669</v>
      </c>
      <c r="D8" s="27">
        <v>34189</v>
      </c>
      <c r="E8" s="27">
        <v>5372934</v>
      </c>
      <c r="F8" s="27">
        <v>13736.8205</v>
      </c>
      <c r="G8" s="27">
        <v>5494.0505000000003</v>
      </c>
      <c r="H8" s="27">
        <v>3075.7</v>
      </c>
      <c r="I8" s="27">
        <v>4503717</v>
      </c>
      <c r="J8" s="27">
        <v>6955911</v>
      </c>
      <c r="K8" s="27">
        <v>8451496</v>
      </c>
      <c r="L8" s="27">
        <v>3998689</v>
      </c>
      <c r="M8" s="28">
        <f t="shared" ref="M8:M19" si="1">(L8-K8)/K8*100</f>
        <v>-52.686613115595158</v>
      </c>
      <c r="N8" s="29" t="s">
        <v>17</v>
      </c>
      <c r="O8" s="30"/>
      <c r="Q8" s="31"/>
      <c r="R8" s="32"/>
      <c r="S8" s="33"/>
      <c r="T8" s="33"/>
      <c r="U8" s="27"/>
      <c r="V8" s="27"/>
      <c r="W8" s="27"/>
      <c r="X8" s="14"/>
    </row>
    <row r="9" spans="1:24" ht="21" x14ac:dyDescent="0.25">
      <c r="A9" s="25" t="s">
        <v>3</v>
      </c>
      <c r="B9" s="26">
        <v>11173.714066666671</v>
      </c>
      <c r="C9" s="27">
        <v>14087.22733333334</v>
      </c>
      <c r="D9" s="27">
        <v>23758</v>
      </c>
      <c r="E9" s="27">
        <v>250037</v>
      </c>
      <c r="F9" s="27">
        <v>13129.5085</v>
      </c>
      <c r="G9" s="27">
        <v>6652.4795000000004</v>
      </c>
      <c r="H9" s="27">
        <v>2827.83</v>
      </c>
      <c r="I9" s="27">
        <v>5279878</v>
      </c>
      <c r="J9" s="27">
        <v>8760849</v>
      </c>
      <c r="K9" s="27">
        <v>8453823.5</v>
      </c>
      <c r="L9" s="27">
        <v>5869779</v>
      </c>
      <c r="M9" s="28">
        <f>(L9-K9)/K9*100</f>
        <v>-30.566577359936602</v>
      </c>
      <c r="N9" s="29" t="s">
        <v>18</v>
      </c>
      <c r="O9" s="29"/>
      <c r="Q9" s="34"/>
      <c r="R9" s="32"/>
      <c r="S9" s="33"/>
      <c r="T9" s="33"/>
      <c r="U9" s="27"/>
      <c r="V9" s="27"/>
      <c r="W9" s="27"/>
      <c r="X9" s="14"/>
    </row>
    <row r="10" spans="1:24" ht="36" x14ac:dyDescent="0.25">
      <c r="A10" s="25" t="s">
        <v>4</v>
      </c>
      <c r="B10" s="26">
        <v>13533.602203333332</v>
      </c>
      <c r="C10" s="27">
        <v>14675.16883333333</v>
      </c>
      <c r="D10" s="27">
        <v>23913</v>
      </c>
      <c r="E10" s="35">
        <v>0</v>
      </c>
      <c r="F10" s="27">
        <v>10113.8855</v>
      </c>
      <c r="G10" s="27">
        <v>2169.9749999999999</v>
      </c>
      <c r="H10" s="27">
        <v>4973.7240000000002</v>
      </c>
      <c r="I10" s="27">
        <v>9522054</v>
      </c>
      <c r="J10" s="27">
        <v>4695175</v>
      </c>
      <c r="K10" s="27">
        <v>7567492</v>
      </c>
      <c r="L10" s="27">
        <v>5047706</v>
      </c>
      <c r="M10" s="28">
        <f t="shared" si="1"/>
        <v>-33.297504642224929</v>
      </c>
      <c r="N10" s="29" t="s">
        <v>19</v>
      </c>
      <c r="O10" s="36"/>
      <c r="Q10" s="31"/>
      <c r="R10" s="32"/>
      <c r="S10" s="33"/>
      <c r="T10" s="33"/>
      <c r="U10" s="27"/>
      <c r="V10" s="27"/>
      <c r="W10" s="27"/>
      <c r="X10" s="14"/>
    </row>
    <row r="11" spans="1:24" ht="36" x14ac:dyDescent="0.25">
      <c r="A11" s="25" t="s">
        <v>5</v>
      </c>
      <c r="B11" s="26">
        <v>10122.422666666665</v>
      </c>
      <c r="C11" s="27">
        <v>12347.459500000001</v>
      </c>
      <c r="D11" s="27">
        <v>22781</v>
      </c>
      <c r="E11" s="27">
        <v>14202104</v>
      </c>
      <c r="F11" s="27">
        <v>8310.6272499999995</v>
      </c>
      <c r="G11" s="27">
        <v>4903.4449999999997</v>
      </c>
      <c r="H11" s="27">
        <v>3393.68</v>
      </c>
      <c r="I11" s="27">
        <v>7013786</v>
      </c>
      <c r="J11" s="27">
        <v>7632635</v>
      </c>
      <c r="K11" s="27">
        <v>7684767</v>
      </c>
      <c r="L11" s="27">
        <v>6195221</v>
      </c>
      <c r="M11" s="28">
        <f t="shared" si="1"/>
        <v>-19.383099058175741</v>
      </c>
      <c r="N11" s="29" t="s">
        <v>37</v>
      </c>
      <c r="O11" s="36"/>
      <c r="Q11" s="31"/>
      <c r="R11" s="32"/>
      <c r="S11" s="33"/>
      <c r="T11" s="33"/>
      <c r="U11" s="27"/>
      <c r="V11" s="27"/>
      <c r="W11" s="27"/>
      <c r="X11" s="14"/>
    </row>
    <row r="12" spans="1:24" ht="36" x14ac:dyDescent="0.25">
      <c r="A12" s="25" t="s">
        <v>6</v>
      </c>
      <c r="B12" s="26">
        <v>11974.432499999997</v>
      </c>
      <c r="C12" s="27">
        <v>8401.7029999999995</v>
      </c>
      <c r="D12" s="27">
        <v>25986</v>
      </c>
      <c r="E12" s="27">
        <v>14510890</v>
      </c>
      <c r="F12" s="27">
        <v>9784.75</v>
      </c>
      <c r="G12" s="27">
        <v>1682.45</v>
      </c>
      <c r="H12" s="27">
        <v>1162.385</v>
      </c>
      <c r="I12" s="27">
        <v>6975749</v>
      </c>
      <c r="J12" s="27">
        <v>4402140</v>
      </c>
      <c r="K12" s="27">
        <v>4452678</v>
      </c>
      <c r="L12" s="27">
        <v>5648060</v>
      </c>
      <c r="M12" s="28">
        <f t="shared" si="1"/>
        <v>26.846360774347485</v>
      </c>
      <c r="N12" s="29" t="s">
        <v>20</v>
      </c>
      <c r="O12" s="36"/>
      <c r="Q12" s="31"/>
      <c r="R12" s="32"/>
      <c r="S12" s="33"/>
      <c r="T12" s="33"/>
      <c r="U12" s="27"/>
      <c r="V12" s="27"/>
      <c r="W12" s="27"/>
      <c r="X12" s="14"/>
    </row>
    <row r="13" spans="1:24" ht="36" x14ac:dyDescent="0.25">
      <c r="A13" s="25" t="s">
        <v>7</v>
      </c>
      <c r="B13" s="26">
        <v>10004.824499999997</v>
      </c>
      <c r="C13" s="27">
        <v>11568.870999999999</v>
      </c>
      <c r="D13" s="27">
        <v>30687</v>
      </c>
      <c r="E13" s="27">
        <v>22459504</v>
      </c>
      <c r="F13" s="35" t="s">
        <v>14</v>
      </c>
      <c r="G13" s="27">
        <v>629.17499999999995</v>
      </c>
      <c r="H13" s="27">
        <v>135.19999999999999</v>
      </c>
      <c r="I13" s="27">
        <v>13550741</v>
      </c>
      <c r="J13" s="27">
        <v>17783645</v>
      </c>
      <c r="K13" s="27">
        <v>8162327.5</v>
      </c>
      <c r="L13" s="27">
        <v>4394775</v>
      </c>
      <c r="M13" s="28">
        <f t="shared" si="1"/>
        <v>-46.157820793149995</v>
      </c>
      <c r="N13" s="29" t="s">
        <v>21</v>
      </c>
      <c r="O13" s="36"/>
      <c r="Q13" s="31"/>
      <c r="R13" s="32"/>
      <c r="S13" s="33"/>
      <c r="T13" s="33"/>
      <c r="U13" s="27"/>
      <c r="V13" s="27"/>
      <c r="W13" s="27"/>
      <c r="X13" s="14"/>
    </row>
    <row r="14" spans="1:24" ht="36" x14ac:dyDescent="0.25">
      <c r="A14" s="25" t="s">
        <v>8</v>
      </c>
      <c r="B14" s="26">
        <v>10589.222333333331</v>
      </c>
      <c r="C14" s="27">
        <v>10521.87725</v>
      </c>
      <c r="D14" s="27">
        <v>36341</v>
      </c>
      <c r="E14" s="27">
        <v>22884935</v>
      </c>
      <c r="F14" s="27">
        <v>7576.585</v>
      </c>
      <c r="G14" s="37" t="s">
        <v>14</v>
      </c>
      <c r="H14" s="37">
        <v>10021.85</v>
      </c>
      <c r="I14" s="37">
        <v>8491785</v>
      </c>
      <c r="J14" s="38">
        <v>3498845</v>
      </c>
      <c r="K14" s="38">
        <v>3507629</v>
      </c>
      <c r="L14" s="38">
        <v>1475635</v>
      </c>
      <c r="M14" s="28">
        <f t="shared" si="1"/>
        <v>-57.930699056257083</v>
      </c>
      <c r="N14" s="29" t="s">
        <v>22</v>
      </c>
      <c r="O14" s="36"/>
      <c r="Q14" s="31"/>
      <c r="R14" s="32"/>
      <c r="S14" s="33"/>
      <c r="T14" s="33"/>
      <c r="U14" s="27"/>
      <c r="V14" s="27"/>
      <c r="W14" s="27"/>
      <c r="X14" s="14"/>
    </row>
    <row r="15" spans="1:24" ht="36" x14ac:dyDescent="0.25">
      <c r="A15" s="25" t="s">
        <v>9</v>
      </c>
      <c r="B15" s="26">
        <v>11753.980333333329</v>
      </c>
      <c r="C15" s="27">
        <v>14592.931</v>
      </c>
      <c r="D15" s="27">
        <v>11056</v>
      </c>
      <c r="E15" s="27">
        <v>32929790</v>
      </c>
      <c r="F15" s="27">
        <v>4974.5874999999996</v>
      </c>
      <c r="G15" s="37" t="s">
        <v>14</v>
      </c>
      <c r="H15" s="37">
        <v>921.5</v>
      </c>
      <c r="I15" s="37">
        <v>3681699</v>
      </c>
      <c r="J15" s="38">
        <v>1213770</v>
      </c>
      <c r="K15" s="38">
        <v>4520327</v>
      </c>
      <c r="L15" s="38">
        <v>2343393</v>
      </c>
      <c r="M15" s="28">
        <f t="shared" si="1"/>
        <v>-48.15877258437277</v>
      </c>
      <c r="N15" s="29" t="s">
        <v>23</v>
      </c>
      <c r="O15" s="36"/>
      <c r="Q15" s="31"/>
      <c r="R15" s="32"/>
      <c r="S15" s="33"/>
      <c r="T15" s="33"/>
      <c r="U15" s="27"/>
      <c r="V15" s="27"/>
      <c r="W15" s="27"/>
      <c r="X15" s="14"/>
    </row>
    <row r="16" spans="1:24" ht="36" x14ac:dyDescent="0.25">
      <c r="A16" s="25" t="s">
        <v>10</v>
      </c>
      <c r="B16" s="26">
        <v>19023.001499999998</v>
      </c>
      <c r="C16" s="27">
        <v>14904.091</v>
      </c>
      <c r="D16" s="27">
        <v>4692</v>
      </c>
      <c r="E16" s="27">
        <v>23395592</v>
      </c>
      <c r="F16" s="35" t="s">
        <v>14</v>
      </c>
      <c r="G16" s="27">
        <v>7582.9790000000003</v>
      </c>
      <c r="H16" s="27">
        <v>1818.71</v>
      </c>
      <c r="I16" s="27">
        <v>2366820</v>
      </c>
      <c r="J16" s="27">
        <v>4420818</v>
      </c>
      <c r="K16" s="27">
        <v>247465</v>
      </c>
      <c r="L16" s="27">
        <v>736400</v>
      </c>
      <c r="M16" s="28">
        <f>(L16-K16)/K16*100</f>
        <v>197.57743519285555</v>
      </c>
      <c r="N16" s="29" t="s">
        <v>24</v>
      </c>
      <c r="O16" s="36"/>
      <c r="Q16" s="31"/>
      <c r="R16" s="32"/>
      <c r="S16" s="33"/>
      <c r="T16" s="33"/>
      <c r="U16" s="27"/>
      <c r="V16" s="27"/>
      <c r="W16" s="27"/>
      <c r="X16" s="14"/>
    </row>
    <row r="17" spans="1:24" ht="36" x14ac:dyDescent="0.25">
      <c r="A17" s="25" t="s">
        <v>11</v>
      </c>
      <c r="B17" s="26">
        <v>8935.3272500000021</v>
      </c>
      <c r="C17" s="27">
        <v>11448.352500000001</v>
      </c>
      <c r="D17" s="27">
        <v>5618</v>
      </c>
      <c r="E17" s="27">
        <v>13496820</v>
      </c>
      <c r="F17" s="27">
        <v>3558.34175</v>
      </c>
      <c r="G17" s="27">
        <v>3918.48</v>
      </c>
      <c r="H17" s="27">
        <v>1463.45</v>
      </c>
      <c r="I17" s="27">
        <v>4383745</v>
      </c>
      <c r="J17" s="27">
        <v>3415419</v>
      </c>
      <c r="K17" s="27">
        <v>3873070</v>
      </c>
      <c r="L17" s="27">
        <v>3165053</v>
      </c>
      <c r="M17" s="28">
        <f t="shared" si="1"/>
        <v>-18.280511325640898</v>
      </c>
      <c r="N17" s="29" t="s">
        <v>25</v>
      </c>
      <c r="O17" s="36"/>
      <c r="Q17" s="31"/>
      <c r="R17" s="32"/>
      <c r="S17" s="33"/>
      <c r="T17" s="33"/>
      <c r="U17" s="27"/>
      <c r="V17" s="27"/>
      <c r="W17" s="27"/>
      <c r="X17" s="14"/>
    </row>
    <row r="18" spans="1:24" ht="36" x14ac:dyDescent="0.25">
      <c r="A18" s="25" t="s">
        <v>12</v>
      </c>
      <c r="B18" s="26">
        <v>11802.18075</v>
      </c>
      <c r="C18" s="27">
        <v>11841.538</v>
      </c>
      <c r="D18" s="27">
        <v>7230</v>
      </c>
      <c r="E18" s="27">
        <v>8414125</v>
      </c>
      <c r="F18" s="27">
        <v>9511.2639999999992</v>
      </c>
      <c r="G18" s="27">
        <v>386.66500000000002</v>
      </c>
      <c r="H18" s="27">
        <v>2034.43</v>
      </c>
      <c r="I18" s="37" t="s">
        <v>14</v>
      </c>
      <c r="J18" s="27">
        <v>1232500</v>
      </c>
      <c r="K18" s="27">
        <v>2455632.5</v>
      </c>
      <c r="L18" s="27">
        <v>2708995</v>
      </c>
      <c r="M18" s="28">
        <f t="shared" si="1"/>
        <v>10.317606563685731</v>
      </c>
      <c r="N18" s="29" t="s">
        <v>26</v>
      </c>
      <c r="O18" s="36"/>
      <c r="Q18" s="31"/>
      <c r="R18" s="32"/>
      <c r="S18" s="33"/>
      <c r="T18" s="33"/>
      <c r="U18" s="27"/>
      <c r="V18" s="27"/>
      <c r="W18" s="27"/>
      <c r="X18" s="14"/>
    </row>
    <row r="19" spans="1:24" ht="21" x14ac:dyDescent="0.25">
      <c r="A19" s="39" t="s">
        <v>13</v>
      </c>
      <c r="B19" s="40">
        <v>11741.267666666674</v>
      </c>
      <c r="C19" s="41">
        <v>7332.125</v>
      </c>
      <c r="D19" s="41">
        <v>9726</v>
      </c>
      <c r="E19" s="41">
        <v>11203831</v>
      </c>
      <c r="F19" s="41">
        <v>8162.64</v>
      </c>
      <c r="G19" s="41">
        <v>1173.1075000000001</v>
      </c>
      <c r="H19" s="41">
        <v>1197.5820000000001</v>
      </c>
      <c r="I19" s="41">
        <v>5492392</v>
      </c>
      <c r="J19" s="41">
        <v>1016000</v>
      </c>
      <c r="K19" s="41">
        <v>4703310</v>
      </c>
      <c r="L19" s="41">
        <v>1875775</v>
      </c>
      <c r="M19" s="42">
        <f t="shared" si="1"/>
        <v>-60.117980741222674</v>
      </c>
      <c r="N19" s="43" t="s">
        <v>27</v>
      </c>
      <c r="O19" s="29"/>
      <c r="Q19" s="31"/>
      <c r="R19" s="32"/>
      <c r="S19" s="33"/>
      <c r="T19" s="33"/>
      <c r="U19" s="27"/>
      <c r="V19" s="27"/>
      <c r="W19" s="27"/>
      <c r="X19" s="14"/>
    </row>
    <row r="20" spans="1:24" s="49" customFormat="1" ht="21" x14ac:dyDescent="0.25">
      <c r="A20" s="44" t="s">
        <v>38</v>
      </c>
      <c r="B20" s="45"/>
      <c r="C20" s="46"/>
      <c r="D20" s="46"/>
      <c r="E20" s="46"/>
      <c r="F20" s="46"/>
      <c r="G20" s="47"/>
      <c r="H20" s="47"/>
      <c r="I20" s="47"/>
      <c r="J20" s="47"/>
      <c r="K20" s="47"/>
      <c r="L20" s="47"/>
      <c r="M20" s="47"/>
      <c r="N20" s="48" t="s">
        <v>39</v>
      </c>
      <c r="O20" s="47"/>
      <c r="Q20" s="50"/>
      <c r="R20" s="50"/>
      <c r="S20" s="33"/>
      <c r="T20" s="50"/>
      <c r="U20" s="50"/>
      <c r="V20" s="50"/>
      <c r="W20" s="50"/>
      <c r="X20" s="50"/>
    </row>
    <row r="21" spans="1:24" ht="18.75" x14ac:dyDescent="0.25">
      <c r="A21" s="51" t="s">
        <v>28</v>
      </c>
      <c r="B21" s="25"/>
      <c r="C21" s="52"/>
      <c r="D21" s="52"/>
      <c r="G21" s="53"/>
      <c r="H21" s="53"/>
      <c r="I21" s="53"/>
      <c r="J21" s="53"/>
      <c r="K21" s="52"/>
      <c r="L21" s="52"/>
      <c r="M21" s="54"/>
      <c r="N21" s="55" t="s">
        <v>29</v>
      </c>
      <c r="O21" s="55"/>
      <c r="P21" s="56"/>
      <c r="Q21" s="13"/>
      <c r="R21" s="13"/>
      <c r="S21" s="33"/>
      <c r="T21" s="14"/>
      <c r="U21" s="14"/>
      <c r="V21" s="14"/>
      <c r="W21" s="14"/>
      <c r="X21" s="14"/>
    </row>
    <row r="22" spans="1:24" ht="15" x14ac:dyDescent="0.25">
      <c r="A22" s="57"/>
      <c r="B22" s="57"/>
      <c r="C22" s="57"/>
      <c r="D22" s="58"/>
      <c r="E22" s="59"/>
      <c r="F22" s="59"/>
      <c r="G22" s="59"/>
      <c r="H22" s="59"/>
      <c r="I22" s="59"/>
      <c r="J22" s="59"/>
      <c r="K22" s="59"/>
      <c r="L22" s="59"/>
      <c r="M22" s="7"/>
      <c r="N22" s="11"/>
      <c r="O22" s="11"/>
      <c r="P22" s="12"/>
      <c r="Q22" s="13"/>
      <c r="R22" s="13"/>
      <c r="S22" s="33"/>
      <c r="T22" s="31"/>
      <c r="U22" s="27"/>
      <c r="V22" s="27"/>
      <c r="W22" s="27"/>
      <c r="X22" s="14"/>
    </row>
    <row r="23" spans="1:24" ht="15" x14ac:dyDescent="0.25">
      <c r="A23" s="57"/>
      <c r="B23" s="57"/>
      <c r="C23" s="57"/>
      <c r="D23" s="58"/>
      <c r="E23" s="59"/>
      <c r="F23" s="59"/>
      <c r="G23" s="59"/>
      <c r="H23" s="59"/>
      <c r="I23" s="59"/>
      <c r="J23" s="59"/>
      <c r="K23" s="59"/>
      <c r="L23" s="59"/>
      <c r="M23" s="7"/>
      <c r="N23" s="11"/>
      <c r="O23" s="11"/>
      <c r="P23" s="12"/>
      <c r="Q23" s="13"/>
      <c r="R23" s="13"/>
      <c r="S23" s="33"/>
      <c r="T23" s="31"/>
      <c r="U23" s="27"/>
      <c r="V23" s="27"/>
      <c r="W23" s="27"/>
      <c r="X23" s="14"/>
    </row>
    <row r="24" spans="1:24" ht="15" x14ac:dyDescent="0.25">
      <c r="A24" s="57"/>
      <c r="B24" s="57"/>
      <c r="C24" s="57"/>
      <c r="D24" s="58"/>
      <c r="E24" s="60"/>
      <c r="F24" s="59"/>
      <c r="G24" s="59"/>
      <c r="H24" s="59"/>
      <c r="I24" s="59"/>
      <c r="J24" s="59"/>
      <c r="K24" s="59"/>
      <c r="L24" s="59"/>
      <c r="M24" s="7"/>
      <c r="N24" s="11"/>
      <c r="O24" s="11"/>
      <c r="P24" s="12"/>
      <c r="Q24" s="13"/>
      <c r="R24" s="13"/>
      <c r="S24" s="33"/>
      <c r="T24" s="31"/>
      <c r="U24" s="27"/>
      <c r="V24" s="35"/>
      <c r="W24" s="27"/>
      <c r="X24" s="14"/>
    </row>
    <row r="25" spans="1:24" ht="15" x14ac:dyDescent="0.25">
      <c r="A25" s="57"/>
      <c r="B25" s="57"/>
      <c r="C25" s="57"/>
      <c r="D25" s="11"/>
      <c r="E25" s="11"/>
      <c r="F25" s="11"/>
      <c r="G25" s="11"/>
      <c r="H25" s="11"/>
      <c r="I25" s="11"/>
      <c r="J25" s="11"/>
      <c r="K25" s="11"/>
      <c r="L25" s="11"/>
      <c r="M25" s="7"/>
      <c r="N25" s="11"/>
      <c r="O25" s="11"/>
      <c r="P25" s="12"/>
      <c r="Q25" s="13"/>
      <c r="R25" s="13"/>
      <c r="S25" s="33"/>
      <c r="T25" s="31"/>
      <c r="U25" s="27"/>
      <c r="V25" s="27"/>
      <c r="W25" s="35"/>
      <c r="X25" s="14"/>
    </row>
    <row r="26" spans="1:24" ht="15" x14ac:dyDescent="0.25">
      <c r="A26" s="57"/>
      <c r="B26" s="57"/>
      <c r="C26" s="57"/>
      <c r="D26" s="11"/>
      <c r="E26" s="11"/>
      <c r="F26" s="11"/>
      <c r="G26" s="11"/>
      <c r="H26" s="11"/>
      <c r="I26" s="11"/>
      <c r="J26" s="11"/>
      <c r="K26" s="11"/>
      <c r="L26" s="11"/>
      <c r="M26" s="7"/>
      <c r="N26" s="11"/>
      <c r="O26" s="11"/>
      <c r="P26" s="12"/>
      <c r="Q26" s="13"/>
      <c r="R26" s="13"/>
      <c r="S26" s="33"/>
      <c r="T26" s="31"/>
      <c r="U26" s="27"/>
      <c r="V26" s="27"/>
      <c r="W26" s="35"/>
      <c r="X26" s="14"/>
    </row>
    <row r="27" spans="1:24" ht="15" x14ac:dyDescent="0.25">
      <c r="A27" s="57"/>
      <c r="B27" s="57"/>
      <c r="C27" s="57"/>
      <c r="D27" s="11"/>
      <c r="E27" s="11"/>
      <c r="F27" s="11"/>
      <c r="G27" s="11"/>
      <c r="H27" s="11"/>
      <c r="I27" s="11"/>
      <c r="J27" s="11"/>
      <c r="K27" s="11"/>
      <c r="L27" s="11"/>
      <c r="M27" s="7"/>
      <c r="N27" s="11"/>
      <c r="O27" s="11"/>
      <c r="P27" s="12"/>
      <c r="Q27" s="13"/>
      <c r="R27" s="13"/>
      <c r="S27" s="33"/>
      <c r="T27" s="31"/>
      <c r="U27" s="27"/>
      <c r="V27" s="35"/>
      <c r="W27" s="27"/>
      <c r="X27" s="14"/>
    </row>
    <row r="28" spans="1:24" ht="15" x14ac:dyDescent="0.25">
      <c r="A28" s="57"/>
      <c r="B28" s="57"/>
      <c r="C28" s="57"/>
      <c r="D28" s="11"/>
      <c r="E28" s="11"/>
      <c r="F28" s="11"/>
      <c r="G28" s="11"/>
      <c r="H28" s="11"/>
      <c r="I28" s="11"/>
      <c r="J28" s="11"/>
      <c r="K28" s="11"/>
      <c r="L28" s="11"/>
      <c r="M28" s="7"/>
      <c r="N28" s="11"/>
      <c r="O28" s="11"/>
      <c r="P28" s="12"/>
      <c r="Q28" s="13"/>
      <c r="R28" s="13"/>
      <c r="S28" s="33"/>
      <c r="T28" s="31"/>
      <c r="U28" s="27"/>
      <c r="V28" s="27"/>
      <c r="W28" s="27"/>
      <c r="X28" s="14"/>
    </row>
    <row r="29" spans="1:24" ht="15" x14ac:dyDescent="0.25">
      <c r="A29" s="57"/>
      <c r="B29" s="57"/>
      <c r="C29" s="57"/>
      <c r="D29" s="11"/>
      <c r="E29" s="11"/>
      <c r="F29" s="11"/>
      <c r="G29" s="11"/>
      <c r="H29" s="11"/>
      <c r="I29" s="11"/>
      <c r="J29" s="11"/>
      <c r="K29" s="11"/>
      <c r="L29" s="11"/>
      <c r="M29" s="7"/>
      <c r="N29" s="11"/>
      <c r="O29" s="11"/>
      <c r="P29" s="12"/>
      <c r="Q29" s="13"/>
      <c r="R29" s="13"/>
      <c r="S29" s="33"/>
      <c r="T29" s="31"/>
      <c r="U29" s="27"/>
      <c r="V29" s="27"/>
      <c r="W29" s="27"/>
      <c r="X29" s="14"/>
    </row>
    <row r="30" spans="1:24" ht="15" x14ac:dyDescent="0.25">
      <c r="A30" s="57"/>
      <c r="B30" s="57"/>
      <c r="C30" s="57"/>
      <c r="D30" s="11"/>
      <c r="E30" s="11"/>
      <c r="F30" s="11"/>
      <c r="G30" s="11"/>
      <c r="H30" s="11"/>
      <c r="I30" s="11"/>
      <c r="J30" s="11"/>
      <c r="K30" s="11"/>
      <c r="L30" s="11"/>
      <c r="M30" s="7"/>
      <c r="N30" s="11"/>
      <c r="O30" s="11"/>
      <c r="P30" s="12"/>
      <c r="Q30" s="13"/>
      <c r="R30" s="13"/>
      <c r="S30" s="33"/>
      <c r="T30" s="31"/>
      <c r="U30" s="27"/>
      <c r="V30" s="27"/>
      <c r="W30" s="27"/>
      <c r="X30" s="14"/>
    </row>
    <row r="31" spans="1:24" ht="15" x14ac:dyDescent="0.25">
      <c r="A31" s="57"/>
      <c r="B31" s="57"/>
      <c r="C31" s="57"/>
      <c r="D31" s="11"/>
      <c r="E31" s="11"/>
      <c r="F31" s="11"/>
      <c r="G31" s="11"/>
      <c r="H31" s="11"/>
      <c r="I31" s="11"/>
      <c r="J31" s="11"/>
      <c r="K31" s="11"/>
      <c r="L31" s="11"/>
      <c r="M31" s="7"/>
      <c r="N31" s="11"/>
      <c r="O31" s="11"/>
      <c r="P31" s="12"/>
      <c r="Q31" s="13"/>
      <c r="R31" s="13"/>
      <c r="S31" s="33"/>
      <c r="T31" s="14"/>
      <c r="U31" s="14"/>
      <c r="V31" s="14"/>
      <c r="W31" s="14"/>
      <c r="X31" s="14"/>
    </row>
    <row r="32" spans="1:24" ht="15" x14ac:dyDescent="0.25">
      <c r="A32" s="57"/>
      <c r="B32" s="57"/>
      <c r="C32" s="57"/>
      <c r="D32" s="11"/>
      <c r="E32" s="11"/>
      <c r="F32" s="11"/>
      <c r="G32" s="11"/>
      <c r="H32" s="11"/>
      <c r="I32" s="11"/>
      <c r="J32" s="11"/>
      <c r="K32" s="11"/>
      <c r="L32" s="11"/>
      <c r="M32" s="7"/>
      <c r="N32" s="11"/>
      <c r="O32" s="11"/>
      <c r="P32" s="12"/>
      <c r="Q32" s="13"/>
      <c r="R32" s="13"/>
      <c r="S32" s="33"/>
      <c r="T32" s="14"/>
      <c r="U32" s="14"/>
      <c r="V32" s="14"/>
      <c r="W32" s="14"/>
      <c r="X32" s="14"/>
    </row>
    <row r="33" spans="1:24" ht="15" x14ac:dyDescent="0.25">
      <c r="A33" s="57"/>
      <c r="B33" s="57"/>
      <c r="C33" s="57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2"/>
      <c r="Q33" s="18"/>
      <c r="R33" s="13"/>
      <c r="S33" s="33"/>
      <c r="T33" s="14"/>
      <c r="U33" s="14"/>
      <c r="V33" s="14"/>
      <c r="W33" s="14"/>
      <c r="X33" s="14"/>
    </row>
    <row r="34" spans="1:24" x14ac:dyDescent="0.2">
      <c r="A34" s="57"/>
      <c r="B34" s="57"/>
      <c r="C34" s="57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2"/>
      <c r="Q34" s="13"/>
      <c r="R34" s="13"/>
      <c r="S34" s="14"/>
      <c r="T34" s="14"/>
      <c r="U34" s="14"/>
      <c r="V34" s="14"/>
      <c r="W34" s="14"/>
      <c r="X34" s="14"/>
    </row>
    <row r="35" spans="1:24" x14ac:dyDescent="0.2">
      <c r="A35" s="57"/>
      <c r="B35" s="57"/>
      <c r="C35" s="5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2"/>
      <c r="Q35" s="13"/>
      <c r="R35" s="13"/>
      <c r="S35" s="14"/>
      <c r="T35" s="14"/>
      <c r="U35" s="14"/>
      <c r="V35" s="14"/>
      <c r="W35" s="14"/>
      <c r="X35" s="14"/>
    </row>
    <row r="36" spans="1:24" x14ac:dyDescent="0.2">
      <c r="A36" s="57"/>
      <c r="B36" s="57"/>
      <c r="C36" s="57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2"/>
      <c r="Q36" s="13"/>
      <c r="R36" s="13"/>
      <c r="S36" s="14"/>
      <c r="T36" s="14"/>
      <c r="U36" s="14"/>
      <c r="V36" s="14"/>
      <c r="W36" s="14"/>
      <c r="X36" s="14"/>
    </row>
    <row r="37" spans="1:24" x14ac:dyDescent="0.2">
      <c r="A37" s="57"/>
      <c r="B37" s="57"/>
      <c r="C37" s="57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  <c r="R37" s="13"/>
      <c r="S37" s="14"/>
      <c r="T37" s="14"/>
      <c r="U37" s="14"/>
      <c r="V37" s="14"/>
      <c r="W37" s="14"/>
      <c r="X37" s="14"/>
    </row>
    <row r="38" spans="1:24" x14ac:dyDescent="0.2">
      <c r="A38" s="57"/>
      <c r="B38" s="57"/>
      <c r="C38" s="57"/>
      <c r="Q38" s="14"/>
      <c r="R38" s="14"/>
      <c r="S38" s="14"/>
      <c r="T38" s="14"/>
      <c r="U38" s="14"/>
      <c r="V38" s="14"/>
      <c r="W38" s="14"/>
      <c r="X38" s="14"/>
    </row>
    <row r="39" spans="1:24" x14ac:dyDescent="0.2">
      <c r="A39" s="57"/>
      <c r="B39" s="57"/>
      <c r="C39" s="57"/>
      <c r="Q39" s="14"/>
      <c r="R39" s="14"/>
      <c r="S39" s="14"/>
      <c r="T39" s="14"/>
      <c r="U39" s="14"/>
      <c r="V39" s="14"/>
      <c r="W39" s="14"/>
      <c r="X39" s="14"/>
    </row>
    <row r="40" spans="1:24" x14ac:dyDescent="0.2">
      <c r="Q40" s="14"/>
      <c r="R40" s="14"/>
      <c r="S40" s="14"/>
      <c r="T40" s="14"/>
      <c r="U40" s="14"/>
      <c r="V40" s="14"/>
      <c r="W40" s="14"/>
      <c r="X40" s="14"/>
    </row>
    <row r="41" spans="1:24" x14ac:dyDescent="0.2">
      <c r="Q41" s="14"/>
      <c r="R41" s="14"/>
      <c r="S41" s="14"/>
      <c r="T41" s="14"/>
      <c r="U41" s="14"/>
      <c r="V41" s="14"/>
      <c r="W41" s="14"/>
      <c r="X41" s="14"/>
    </row>
    <row r="42" spans="1:24" x14ac:dyDescent="0.2">
      <c r="Q42" s="14"/>
      <c r="R42" s="14"/>
      <c r="S42" s="14"/>
      <c r="T42" s="14"/>
      <c r="U42" s="14"/>
      <c r="V42" s="14"/>
      <c r="W42" s="14"/>
      <c r="X42" s="14"/>
    </row>
    <row r="43" spans="1:24" x14ac:dyDescent="0.2">
      <c r="Q43" s="14"/>
      <c r="R43" s="14"/>
      <c r="S43" s="14"/>
      <c r="T43" s="14"/>
      <c r="U43" s="14"/>
      <c r="V43" s="14"/>
      <c r="W43" s="14"/>
      <c r="X43" s="14"/>
    </row>
  </sheetData>
  <mergeCells count="7">
    <mergeCell ref="A1:N1"/>
    <mergeCell ref="A2:N2"/>
    <mergeCell ref="A3:N3"/>
    <mergeCell ref="A5:A6"/>
    <mergeCell ref="B5:E5"/>
    <mergeCell ref="F5:L5"/>
    <mergeCell ref="N5:N6"/>
  </mergeCells>
  <pageMargins left="0.7" right="0.7" top="0.75" bottom="0.75" header="0.3" footer="0.3"/>
  <pageSetup paperSize="9" scale="66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9.18</vt:lpstr>
      <vt:lpstr>'9.18'!Print_Area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2019-09-09T06:11:34Z</cp:lastPrinted>
  <dcterms:created xsi:type="dcterms:W3CDTF">2019-09-09T05:11:24Z</dcterms:created>
  <dcterms:modified xsi:type="dcterms:W3CDTF">2019-09-09T06:11:54Z</dcterms:modified>
</cp:coreProperties>
</file>