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9" sheetId="19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19" l="1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B36" i="19" s="1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B8" i="19" s="1"/>
  <c r="C8" i="19"/>
</calcChain>
</file>

<file path=xl/sharedStrings.xml><?xml version="1.0" encoding="utf-8"?>
<sst xmlns="http://schemas.openxmlformats.org/spreadsheetml/2006/main" count="169" uniqueCount="86">
  <si>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</si>
  <si>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</si>
  <si>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</si>
  <si>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</si>
  <si>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</si>
  <si>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</si>
  <si>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</si>
  <si>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</si>
  <si>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</si>
  <si>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</si>
  <si>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</si>
  <si>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</si>
  <si>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</si>
  <si>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</si>
  <si>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</si>
  <si>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</si>
  <si>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</si>
  <si>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</si>
  <si>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</si>
  <si>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</si>
  <si>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</si>
  <si>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</si>
  <si>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</si>
  <si>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</si>
  <si>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</si>
  <si>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</si>
  <si>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</si>
  <si>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</si>
  <si>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</si>
  <si>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</si>
  <si>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</si>
  <si>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</si>
  <si>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</si>
  <si>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</si>
  <si>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</si>
  <si>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</si>
  <si>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</si>
  <si>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</si>
  <si>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</si>
  <si>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>ޖުމްލަ</t>
  </si>
  <si>
    <t xml:space="preserve"> AA</t>
  </si>
  <si>
    <t>Agricultural crops</t>
  </si>
  <si>
    <t>ފަތްކެޔޮ</t>
  </si>
  <si>
    <t>ކިއުކަމްބަރ</t>
  </si>
  <si>
    <t>އަނބު</t>
  </si>
  <si>
    <t>ފަޅޯ</t>
  </si>
  <si>
    <t>ބަރަބޯ</t>
  </si>
  <si>
    <t>ކަރާ</t>
  </si>
  <si>
    <t xml:space="preserve">      ތާވަލު 9.19: އަތޮޅުތަކުން މާލޭ މާރުކޭޓަށް ވިއްކި ދަނޑުވެރިކަމުގެ ތަކެތި 2018</t>
  </si>
  <si>
    <t>Table 9.19: AGRICULTURAL PRODUCTS TRADED IN MALE' MARKET BY ATOLLS, 2018</t>
  </si>
  <si>
    <r>
      <t xml:space="preserve">( In Kgs/ </t>
    </r>
    <r>
      <rPr>
        <b/>
        <sz val="11"/>
        <color indexed="8"/>
        <rFont val="Faruma"/>
      </rPr>
      <t>ކިލޯއިން)</t>
    </r>
  </si>
  <si>
    <t>Production by Atolls</t>
  </si>
  <si>
    <t>އުފެއްދުނު އަތޮޅުތައް</t>
  </si>
  <si>
    <t>ބާވަތް</t>
  </si>
  <si>
    <t>Watermelon</t>
  </si>
  <si>
    <t>Coconut (young)</t>
  </si>
  <si>
    <t>ކުރުނބާ</t>
  </si>
  <si>
    <t>Papayas</t>
  </si>
  <si>
    <t>Pumpkin</t>
  </si>
  <si>
    <t>Cucumber</t>
  </si>
  <si>
    <t>Banana</t>
  </si>
  <si>
    <t>Brinjal</t>
  </si>
  <si>
    <t>ބަށި</t>
  </si>
  <si>
    <t>Coconut</t>
  </si>
  <si>
    <t>ކާށި</t>
  </si>
  <si>
    <t>chillies</t>
  </si>
  <si>
    <t>މިރުސް</t>
  </si>
  <si>
    <t>Bottle gourd</t>
  </si>
  <si>
    <t>ގިއްސާ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</si>
  <si>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</si>
  <si>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</si>
  <si>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</si>
  <si>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</si>
  <si>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</si>
  <si>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</si>
  <si>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</si>
  <si>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Betel leaves</t>
  </si>
  <si>
    <t>ބިލެތް</t>
  </si>
  <si>
    <t>Others</t>
  </si>
  <si>
    <t>އެހެނިހެން</t>
  </si>
  <si>
    <t>Source:  Agriculture Data Management Unit/Min. Fisheries and Agriculture</t>
  </si>
  <si>
    <t>ނޯޓް: ހދ، ރ، ޅ، ވ، ފ، ދ، ގއ ގެ މައުލޫމާތު ނެތީ އެ އަތޮޅު ތަކުން މާލެއަށް ތަރުކަރީ އަދި މޭވާ ވިއްކަން ގެނެސްފައި ނުވާތީއެވެ.</t>
  </si>
  <si>
    <t>މައުލޫމާތު ދެއްވި ފަރާތް: އެގްރިކަލްޗަރ ޑާޓާ މެނޭޖްމަންޓް ޔުނިޓް/ މިނިސްޓްރީ އޮފް ފިޝަރީޒް އެންޑް އެގްރިކަލްޗަރ</t>
  </si>
  <si>
    <t xml:space="preserve">      ތާވަލު 9.19: އަތޮޅުތަކުން މާލޭ މާރުކޭޓަށް ވިއްކި ދަނޑުވެރިކަމުގެ ތަކެތި 2017</t>
  </si>
  <si>
    <t>Table 9.19: AGRICULTURAL PRODUCTS TRADED IN MALE' MARKET BY ATOLLS, 2017</t>
  </si>
  <si>
    <t>ނޯޓް:  ރ، ޅ، ވ އަދި ދ ގެ މައުލޫމާތު ނެތީ އެ އަތޮޅު ތަކުން މާލެއަށް ތަރުކަރީ އަދި މޭވާ ވިއްކަން ގެނެސްފައި ނުވާތީއެވެ.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</si>
</sst>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1" formatCode="[$-409]mmmm\ d\,\ yyyy;@"/>
  </numFmts>
  <fonts count="2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_Randhoo"/>
    </font>
    <font>
      <sz val="10"/>
      <color indexed="8"/>
      <name val="Calibri"/>
      <family val="2"/>
    </font>
    <font>
      <sz val="10"/>
      <name val="Faruma"/>
    </font>
    <font>
      <b/>
      <sz val="10"/>
      <name val="Courier"/>
      <family val="3"/>
    </font>
    <font>
      <i/>
      <sz val="10"/>
      <name val="Calibri"/>
      <family val="2"/>
    </font>
    <font>
      <sz val="11"/>
      <name val="Courier"/>
      <family val="3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theme="1"/>
      <name val="Faruma"/>
    </font>
    <font>
      <sz val="10"/>
      <color indexed="8"/>
      <name val="Faruma"/>
    </font>
    <font>
      <b/>
      <sz val="10"/>
      <name val="ަރިެ"/>
    </font>
    <font>
      <sz val="11"/>
      <name val="Faruma"/>
    </font>
    <font>
      <sz val="10"/>
      <name val="Arie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40" fontId="5" fillId="0" borderId="0" applyFont="0" applyFill="0" applyBorder="0" applyAlignment="0" applyProtection="0"/>
    <xf numFmtId="0" fontId="12" fillId="0" borderId="0"/>
    <xf numFmtId="171" fontId="1" fillId="0" borderId="0"/>
    <xf numFmtId="171" fontId="1" fillId="0" borderId="0"/>
    <xf numFmtId="171" fontId="1" fillId="0" borderId="0"/>
  </cellStyleXfs>
  <cellXfs count="44">
    <xf numFmtId="0" fontId="0" fillId="0" borderId="0" xfId="0"/>
    <xf numFmtId="164" fontId="1" fillId="2" borderId="0" xfId="4" applyNumberFormat="1" applyFill="1"/>
    <xf numFmtId="0" fontId="1" fillId="2" borderId="0" xfId="4" applyNumberFormat="1" applyFont="1" applyFill="1" applyAlignment="1">
      <alignment vertical="center"/>
    </xf>
    <xf numFmtId="43" fontId="1" fillId="2" borderId="0" xfId="4" applyNumberFormat="1" applyFill="1"/>
    <xf numFmtId="43" fontId="1" fillId="2" borderId="0" xfId="4" applyNumberFormat="1" applyFont="1" applyFill="1" applyAlignment="1">
      <alignment vertical="center"/>
    </xf>
    <xf numFmtId="0" fontId="1" fillId="2" borderId="2" xfId="4" applyNumberFormat="1" applyFont="1" applyFill="1" applyBorder="1" applyAlignment="1">
      <alignment vertical="center"/>
    </xf>
    <xf numFmtId="0" fontId="14" fillId="2" borderId="3" xfId="4" applyNumberFormat="1" applyFont="1" applyFill="1" applyBorder="1" applyAlignment="1">
      <alignment vertical="center"/>
    </xf>
    <xf numFmtId="0" fontId="1" fillId="2" borderId="3" xfId="4" applyNumberFormat="1" applyFont="1" applyFill="1" applyBorder="1" applyAlignment="1">
      <alignment vertical="center"/>
    </xf>
    <xf numFmtId="0" fontId="18" fillId="2" borderId="0" xfId="4" applyNumberFormat="1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/>
    </xf>
    <xf numFmtId="164" fontId="9" fillId="2" borderId="0" xfId="4" applyNumberFormat="1" applyFont="1" applyFill="1"/>
    <xf numFmtId="164" fontId="1" fillId="2" borderId="0" xfId="4" applyNumberFormat="1" applyFill="1" applyBorder="1"/>
    <xf numFmtId="0" fontId="2" fillId="2" borderId="0" xfId="0" applyFont="1" applyFill="1" applyBorder="1" applyAlignment="1" applyProtection="1">
      <alignment horizontal="right" vertical="center"/>
    </xf>
    <xf numFmtId="164" fontId="1" fillId="2" borderId="0" xfId="4" applyNumberFormat="1" applyFont="1" applyFill="1"/>
    <xf numFmtId="0" fontId="14" fillId="2" borderId="2" xfId="4" applyNumberFormat="1" applyFont="1" applyFill="1" applyBorder="1" applyAlignment="1">
      <alignment vertical="center"/>
    </xf>
    <xf numFmtId="38" fontId="14" fillId="2" borderId="2" xfId="4" applyNumberFormat="1" applyFont="1" applyFill="1" applyBorder="1" applyAlignment="1">
      <alignment horizontal="right"/>
    </xf>
    <xf numFmtId="0" fontId="13" fillId="2" borderId="2" xfId="4" applyNumberFormat="1" applyFont="1" applyFill="1" applyBorder="1" applyAlignment="1">
      <alignment vertical="center"/>
    </xf>
    <xf numFmtId="164" fontId="11" fillId="2" borderId="0" xfId="4" applyNumberFormat="1" applyFont="1" applyFill="1"/>
    <xf numFmtId="0" fontId="7" fillId="2" borderId="0" xfId="2" applyNumberFormat="1" applyFont="1" applyFill="1" applyBorder="1" applyAlignment="1">
      <alignment horizontal="left" vertical="center"/>
    </xf>
    <xf numFmtId="38" fontId="14" fillId="2" borderId="0" xfId="4" applyNumberFormat="1" applyFont="1" applyFill="1" applyBorder="1" applyAlignment="1">
      <alignment horizontal="right"/>
    </xf>
    <xf numFmtId="38" fontId="12" fillId="2" borderId="0" xfId="4" applyNumberFormat="1" applyFont="1" applyFill="1" applyBorder="1" applyAlignment="1">
      <alignment horizontal="right"/>
    </xf>
    <xf numFmtId="38" fontId="7" fillId="2" borderId="0" xfId="1" applyNumberFormat="1" applyFont="1" applyFill="1" applyBorder="1" applyAlignment="1">
      <alignment horizontal="right"/>
    </xf>
    <xf numFmtId="0" fontId="15" fillId="2" borderId="0" xfId="4" applyNumberFormat="1" applyFont="1" applyFill="1" applyBorder="1" applyAlignment="1">
      <alignment vertical="center"/>
    </xf>
    <xf numFmtId="0" fontId="3" fillId="2" borderId="0" xfId="4" applyNumberFormat="1" applyFont="1" applyFill="1" applyBorder="1" applyAlignment="1">
      <alignment vertical="center"/>
    </xf>
    <xf numFmtId="164" fontId="19" fillId="2" borderId="0" xfId="4" applyNumberFormat="1" applyFont="1" applyFill="1" applyBorder="1"/>
    <xf numFmtId="0" fontId="3" fillId="2" borderId="1" xfId="4" applyNumberFormat="1" applyFont="1" applyFill="1" applyBorder="1" applyAlignment="1">
      <alignment vertical="center"/>
    </xf>
    <xf numFmtId="38" fontId="14" fillId="2" borderId="1" xfId="4" applyNumberFormat="1" applyFont="1" applyFill="1" applyBorder="1" applyAlignment="1">
      <alignment horizontal="right"/>
    </xf>
    <xf numFmtId="38" fontId="12" fillId="2" borderId="1" xfId="4" applyNumberFormat="1" applyFont="1" applyFill="1" applyBorder="1" applyAlignment="1">
      <alignment horizontal="right"/>
    </xf>
    <xf numFmtId="38" fontId="7" fillId="2" borderId="1" xfId="1" applyNumberFormat="1" applyFont="1" applyFill="1" applyBorder="1" applyAlignment="1">
      <alignment horizontal="right"/>
    </xf>
    <xf numFmtId="0" fontId="15" fillId="2" borderId="1" xfId="4" applyNumberFormat="1" applyFont="1" applyFill="1" applyBorder="1" applyAlignment="1">
      <alignment vertical="center"/>
    </xf>
    <xf numFmtId="0" fontId="10" fillId="2" borderId="0" xfId="4" applyNumberFormat="1" applyFont="1" applyFill="1" applyBorder="1" applyAlignment="1">
      <alignment vertical="center"/>
    </xf>
    <xf numFmtId="0" fontId="20" fillId="2" borderId="0" xfId="4" applyNumberFormat="1" applyFont="1" applyFill="1" applyBorder="1" applyAlignment="1">
      <alignment vertical="center"/>
    </xf>
    <xf numFmtId="0" fontId="20" fillId="2" borderId="0" xfId="4" applyNumberFormat="1" applyFont="1" applyFill="1" applyAlignment="1">
      <alignment vertical="center"/>
    </xf>
    <xf numFmtId="0" fontId="16" fillId="2" borderId="0" xfId="4" applyNumberFormat="1" applyFont="1" applyFill="1" applyAlignment="1">
      <alignment horizontal="right" vertical="center"/>
    </xf>
    <xf numFmtId="0" fontId="8" fillId="2" borderId="0" xfId="4" applyNumberFormat="1" applyFont="1" applyFill="1" applyAlignment="1">
      <alignment vertical="center"/>
    </xf>
    <xf numFmtId="0" fontId="17" fillId="2" borderId="0" xfId="3" applyNumberFormat="1" applyFont="1" applyFill="1" applyBorder="1" applyAlignment="1">
      <alignment horizontal="right" vertical="center"/>
    </xf>
    <xf numFmtId="0" fontId="13" fillId="2" borderId="0" xfId="4" applyNumberFormat="1" applyFont="1" applyFill="1" applyAlignment="1">
      <alignment horizontal="center" vertical="center"/>
    </xf>
    <xf numFmtId="0" fontId="14" fillId="2" borderId="0" xfId="4" applyNumberFormat="1" applyFont="1" applyFill="1" applyAlignment="1">
      <alignment horizontal="center" vertical="center"/>
    </xf>
    <xf numFmtId="0" fontId="14" fillId="2" borderId="2" xfId="4" applyNumberFormat="1" applyFont="1" applyFill="1" applyBorder="1" applyAlignment="1">
      <alignment horizontal="right" vertical="center"/>
    </xf>
    <xf numFmtId="0" fontId="14" fillId="2" borderId="0" xfId="4" applyNumberFormat="1" applyFont="1" applyFill="1" applyBorder="1" applyAlignment="1">
      <alignment horizontal="right" vertical="center"/>
    </xf>
    <xf numFmtId="0" fontId="14" fillId="2" borderId="3" xfId="4" applyNumberFormat="1" applyFont="1" applyFill="1" applyBorder="1" applyAlignment="1">
      <alignment horizontal="center" vertical="center"/>
    </xf>
    <xf numFmtId="0" fontId="13" fillId="2" borderId="3" xfId="4" applyNumberFormat="1" applyFont="1" applyFill="1" applyBorder="1" applyAlignment="1">
      <alignment horizontal="center" vertical="center"/>
    </xf>
    <xf numFmtId="0" fontId="13" fillId="2" borderId="2" xfId="4" applyNumberFormat="1" applyFont="1" applyFill="1" applyBorder="1" applyAlignment="1">
      <alignment horizontal="center" vertical="center"/>
    </xf>
    <xf numFmtId="0" fontId="13" fillId="2" borderId="0" xfId="4" applyNumberFormat="1" applyFont="1" applyFill="1" applyBorder="1" applyAlignment="1">
      <alignment horizontal="center" vertical="center"/>
    </xf>
  </cellXfs>
  <cellStyles count="6">
    <cellStyle name="Comma 2" xfId="1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agri planning 2009 year book(final)" xfId="2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abSelected="1" zoomScaleNormal="100" workbookViewId="0">
      <selection activeCell="Z13" sqref="Z13"/>
    </sheetView>
  </sheetViews>
  <sheetFormatPr defaultColWidth="10" defaultRowHeight="12"/>
  <cols>
    <col min="1" max="1" width="16.28515625" style="1" customWidth="1"/>
    <col min="2" max="2" width="13.7109375" style="1" customWidth="1"/>
    <col min="3" max="3" width="9.7109375" style="1" customWidth="1"/>
    <col min="4" max="4" width="9.7109375" style="1" hidden="1" customWidth="1"/>
    <col min="5" max="6" width="9.7109375" style="1" customWidth="1"/>
    <col min="7" max="7" width="9.7109375" style="1" hidden="1" customWidth="1"/>
    <col min="8" max="8" width="9.7109375" style="1" customWidth="1"/>
    <col min="9" max="9" width="9.7109375" style="1" hidden="1" customWidth="1"/>
    <col min="10" max="12" width="9.7109375" style="1" customWidth="1"/>
    <col min="13" max="13" width="9.7109375" style="1" hidden="1" customWidth="1"/>
    <col min="14" max="14" width="9.7109375" style="1" customWidth="1"/>
    <col min="15" max="16" width="9.7109375" style="1" hidden="1" customWidth="1"/>
    <col min="17" max="18" width="9.7109375" style="1" customWidth="1"/>
    <col min="19" max="19" width="9.7109375" style="1" hidden="1" customWidth="1"/>
    <col min="20" max="22" width="9.7109375" style="1" customWidth="1"/>
    <col min="23" max="23" width="11.7109375" style="1" customWidth="1"/>
    <col min="24" max="16384" width="10" style="1"/>
  </cols>
  <sheetData>
    <row r="1" spans="1:23" ht="21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15">
      <c r="A2" s="37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3" ht="16.5" customHeight="1">
      <c r="A3" s="37" t="s">
        <v>50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1:23">
      <c r="A4" s="2"/>
      <c r="B4" s="2"/>
      <c r="C4" s="2"/>
      <c r="D4" s="2"/>
      <c r="E4" s="2"/>
      <c r="F4" s="2"/>
      <c r="G4" s="3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1" customHeight="1">
      <c r="A5" s="5"/>
      <c r="B5" s="38" t="s">
        <v>38</v>
      </c>
      <c r="C5" s="40" t="s">
        <v>51</v>
      </c>
      <c r="D5" s="40"/>
      <c r="E5" s="40"/>
      <c r="F5" s="40"/>
      <c r="G5" s="40"/>
      <c r="H5" s="6"/>
      <c r="I5" s="7"/>
      <c r="J5" s="7"/>
      <c r="K5" s="7"/>
      <c r="L5" s="7"/>
      <c r="M5" s="7"/>
      <c r="N5" s="7"/>
      <c r="O5" s="7"/>
      <c r="P5" s="41" t="s">
        <v>52</v>
      </c>
      <c r="Q5" s="41"/>
      <c r="R5" s="41"/>
      <c r="S5" s="41"/>
      <c r="T5" s="41"/>
      <c r="U5" s="41"/>
      <c r="V5" s="41"/>
      <c r="W5" s="42" t="s">
        <v>53</v>
      </c>
    </row>
    <row r="6" spans="1:23" s="10" customFormat="1" ht="27" customHeight="1">
      <c r="A6" s="8" t="s">
        <v>41</v>
      </c>
      <c r="B6" s="39"/>
      <c r="C6" s="9" t="s">
        <v>1</v>
      </c>
      <c r="D6" s="9" t="s">
        <v>3</v>
      </c>
      <c r="E6" s="9" t="s">
        <v>5</v>
      </c>
      <c r="F6" s="9" t="s">
        <v>7</v>
      </c>
      <c r="G6" s="9" t="s">
        <v>9</v>
      </c>
      <c r="H6" s="9" t="s">
        <v>11</v>
      </c>
      <c r="I6" s="9" t="s">
        <v>13</v>
      </c>
      <c r="J6" s="9" t="s">
        <v>15</v>
      </c>
      <c r="K6" s="9" t="s">
        <v>16</v>
      </c>
      <c r="L6" s="9" t="s">
        <v>18</v>
      </c>
      <c r="M6" s="9" t="s">
        <v>20</v>
      </c>
      <c r="N6" s="9" t="s">
        <v>22</v>
      </c>
      <c r="O6" s="9" t="s">
        <v>24</v>
      </c>
      <c r="P6" s="9" t="s">
        <v>26</v>
      </c>
      <c r="Q6" s="9" t="s">
        <v>28</v>
      </c>
      <c r="R6" s="9" t="s">
        <v>30</v>
      </c>
      <c r="S6" s="9" t="s">
        <v>32</v>
      </c>
      <c r="T6" s="9" t="s">
        <v>34</v>
      </c>
      <c r="U6" s="9" t="s">
        <v>36</v>
      </c>
      <c r="V6" s="9" t="s">
        <v>37</v>
      </c>
      <c r="W6" s="43"/>
    </row>
    <row r="7" spans="1:23" s="13" customFormat="1" ht="12" customHeight="1">
      <c r="A7" s="11"/>
      <c r="B7" s="39"/>
      <c r="C7" s="12" t="s">
        <v>0</v>
      </c>
      <c r="D7" s="12" t="s">
        <v>2</v>
      </c>
      <c r="E7" s="12" t="s">
        <v>4</v>
      </c>
      <c r="F7" s="12" t="s">
        <v>6</v>
      </c>
      <c r="G7" s="12" t="s">
        <v>8</v>
      </c>
      <c r="H7" s="12" t="s">
        <v>10</v>
      </c>
      <c r="I7" s="12" t="s">
        <v>12</v>
      </c>
      <c r="J7" s="12" t="s">
        <v>14</v>
      </c>
      <c r="K7" s="12" t="s">
        <v>40</v>
      </c>
      <c r="L7" s="12" t="s">
        <v>17</v>
      </c>
      <c r="M7" s="12" t="s">
        <v>19</v>
      </c>
      <c r="N7" s="12" t="s">
        <v>21</v>
      </c>
      <c r="O7" s="12" t="s">
        <v>23</v>
      </c>
      <c r="P7" s="12" t="s">
        <v>25</v>
      </c>
      <c r="Q7" s="12" t="s">
        <v>27</v>
      </c>
      <c r="R7" s="12" t="s">
        <v>29</v>
      </c>
      <c r="S7" s="12" t="s">
        <v>31</v>
      </c>
      <c r="T7" s="12" t="s">
        <v>33</v>
      </c>
      <c r="U7" s="12" t="s">
        <v>35</v>
      </c>
      <c r="V7" s="12" t="s">
        <v>5</v>
      </c>
      <c r="W7" s="43"/>
    </row>
    <row r="8" spans="1:23" s="17" customFormat="1" ht="21">
      <c r="A8" s="14" t="s">
        <v>38</v>
      </c>
      <c r="B8" s="15">
        <f>SUM(C8:V8)</f>
        <v>2589682</v>
      </c>
      <c r="C8" s="15">
        <f>SUM(C9:C24)</f>
        <v>43252</v>
      </c>
      <c r="D8" s="15">
        <f t="shared" ref="D8:V8" si="0">SUM(D9:D24)</f>
        <v>0</v>
      </c>
      <c r="E8" s="15">
        <f t="shared" si="0"/>
        <v>107230</v>
      </c>
      <c r="F8" s="15">
        <f t="shared" si="0"/>
        <v>1080</v>
      </c>
      <c r="G8" s="15">
        <f t="shared" si="0"/>
        <v>0</v>
      </c>
      <c r="H8" s="15">
        <f t="shared" si="0"/>
        <v>72494</v>
      </c>
      <c r="I8" s="15">
        <f t="shared" si="0"/>
        <v>0</v>
      </c>
      <c r="J8" s="15">
        <f t="shared" si="0"/>
        <v>395461</v>
      </c>
      <c r="K8" s="15">
        <f>SUM(K9:K24)</f>
        <v>1248589</v>
      </c>
      <c r="L8" s="15">
        <f t="shared" si="0"/>
        <v>2915</v>
      </c>
      <c r="M8" s="15">
        <f t="shared" si="0"/>
        <v>0</v>
      </c>
      <c r="N8" s="15">
        <f t="shared" si="0"/>
        <v>2376</v>
      </c>
      <c r="O8" s="15">
        <f t="shared" si="0"/>
        <v>0</v>
      </c>
      <c r="P8" s="15">
        <f t="shared" si="0"/>
        <v>0</v>
      </c>
      <c r="Q8" s="15">
        <f t="shared" si="0"/>
        <v>36458</v>
      </c>
      <c r="R8" s="15">
        <f t="shared" si="0"/>
        <v>401062</v>
      </c>
      <c r="S8" s="15">
        <f t="shared" si="0"/>
        <v>0</v>
      </c>
      <c r="T8" s="15">
        <f t="shared" si="0"/>
        <v>35274</v>
      </c>
      <c r="U8" s="15">
        <f t="shared" si="0"/>
        <v>216220</v>
      </c>
      <c r="V8" s="15">
        <f t="shared" si="0"/>
        <v>27271</v>
      </c>
      <c r="W8" s="16" t="s">
        <v>39</v>
      </c>
    </row>
    <row r="9" spans="1:23" s="17" customFormat="1" ht="21">
      <c r="A9" s="18" t="s">
        <v>54</v>
      </c>
      <c r="B9" s="19">
        <f>SUM(D9:V9)</f>
        <v>200805</v>
      </c>
      <c r="C9" s="17">
        <v>0</v>
      </c>
      <c r="D9" s="20">
        <v>0</v>
      </c>
      <c r="E9" s="20">
        <v>7270</v>
      </c>
      <c r="F9" s="20">
        <v>0</v>
      </c>
      <c r="G9" s="21">
        <v>0</v>
      </c>
      <c r="H9" s="21">
        <v>17050</v>
      </c>
      <c r="I9" s="21">
        <v>0</v>
      </c>
      <c r="J9" s="21">
        <v>27905</v>
      </c>
      <c r="K9" s="20">
        <v>119840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3000</v>
      </c>
      <c r="R9" s="21">
        <v>25740</v>
      </c>
      <c r="S9" s="21">
        <v>0</v>
      </c>
      <c r="T9" s="21">
        <v>0</v>
      </c>
      <c r="U9" s="21">
        <v>0</v>
      </c>
      <c r="V9" s="21">
        <v>0</v>
      </c>
      <c r="W9" s="22" t="s">
        <v>47</v>
      </c>
    </row>
    <row r="10" spans="1:23" s="17" customFormat="1" ht="21">
      <c r="A10" s="23" t="s">
        <v>55</v>
      </c>
      <c r="B10" s="19">
        <f>SUM(C10:V10)</f>
        <v>815358</v>
      </c>
      <c r="C10" s="20">
        <v>36090</v>
      </c>
      <c r="D10" s="20">
        <v>0</v>
      </c>
      <c r="E10" s="20">
        <v>47457</v>
      </c>
      <c r="F10" s="20">
        <v>900</v>
      </c>
      <c r="G10" s="21">
        <v>0</v>
      </c>
      <c r="H10" s="21">
        <v>21000</v>
      </c>
      <c r="I10" s="21">
        <v>0</v>
      </c>
      <c r="J10" s="21">
        <v>183900</v>
      </c>
      <c r="K10" s="21">
        <v>54525</v>
      </c>
      <c r="L10" s="21">
        <v>0</v>
      </c>
      <c r="M10" s="21">
        <v>0</v>
      </c>
      <c r="N10" s="21">
        <v>1950</v>
      </c>
      <c r="O10" s="21">
        <v>0</v>
      </c>
      <c r="P10" s="21">
        <v>0</v>
      </c>
      <c r="Q10" s="21">
        <v>9036</v>
      </c>
      <c r="R10" s="21">
        <v>244200</v>
      </c>
      <c r="S10" s="21">
        <v>0</v>
      </c>
      <c r="T10" s="21">
        <v>7800</v>
      </c>
      <c r="U10" s="21">
        <v>186600</v>
      </c>
      <c r="V10" s="21">
        <v>21900</v>
      </c>
      <c r="W10" s="22" t="s">
        <v>56</v>
      </c>
    </row>
    <row r="11" spans="1:23" s="17" customFormat="1" ht="21">
      <c r="A11" s="18" t="s">
        <v>57</v>
      </c>
      <c r="B11" s="19">
        <f t="shared" ref="B11:B24" si="1">SUM(C11:V11)</f>
        <v>674320</v>
      </c>
      <c r="C11" s="20">
        <v>0</v>
      </c>
      <c r="D11" s="20">
        <v>0</v>
      </c>
      <c r="E11" s="20">
        <v>0</v>
      </c>
      <c r="F11" s="20">
        <v>0</v>
      </c>
      <c r="G11" s="21">
        <v>0</v>
      </c>
      <c r="H11" s="21">
        <v>0</v>
      </c>
      <c r="I11" s="21">
        <v>0</v>
      </c>
      <c r="J11" s="21">
        <v>17620</v>
      </c>
      <c r="K11" s="21">
        <v>656400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300</v>
      </c>
      <c r="S11" s="21">
        <v>0</v>
      </c>
      <c r="T11" s="21">
        <v>0</v>
      </c>
      <c r="U11" s="21">
        <v>0</v>
      </c>
      <c r="V11" s="21">
        <v>0</v>
      </c>
      <c r="W11" s="22" t="s">
        <v>45</v>
      </c>
    </row>
    <row r="12" spans="1:23" s="17" customFormat="1" ht="21">
      <c r="A12" s="18" t="s">
        <v>58</v>
      </c>
      <c r="B12" s="19">
        <f t="shared" si="1"/>
        <v>60768</v>
      </c>
      <c r="C12" s="20">
        <v>300</v>
      </c>
      <c r="D12" s="20">
        <v>0</v>
      </c>
      <c r="E12" s="20">
        <v>3220</v>
      </c>
      <c r="F12" s="17">
        <v>0</v>
      </c>
      <c r="G12" s="21">
        <v>0</v>
      </c>
      <c r="H12" s="21">
        <v>1630</v>
      </c>
      <c r="I12" s="21">
        <v>0</v>
      </c>
      <c r="J12" s="21">
        <v>8200</v>
      </c>
      <c r="K12" s="21">
        <v>33200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860</v>
      </c>
      <c r="R12" s="21">
        <v>13358</v>
      </c>
      <c r="S12" s="21">
        <v>0</v>
      </c>
      <c r="T12" s="21">
        <v>0</v>
      </c>
      <c r="U12" s="21">
        <v>0</v>
      </c>
      <c r="V12" s="21">
        <v>0</v>
      </c>
      <c r="W12" s="24" t="s">
        <v>46</v>
      </c>
    </row>
    <row r="13" spans="1:23" s="17" customFormat="1" ht="21">
      <c r="A13" s="23" t="s">
        <v>59</v>
      </c>
      <c r="B13" s="19">
        <f t="shared" si="1"/>
        <v>96172</v>
      </c>
      <c r="C13" s="20">
        <v>0</v>
      </c>
      <c r="D13" s="20">
        <v>0</v>
      </c>
      <c r="E13" s="20">
        <v>1470</v>
      </c>
      <c r="F13" s="20">
        <v>0</v>
      </c>
      <c r="G13" s="21">
        <v>0</v>
      </c>
      <c r="H13" s="21">
        <v>10850</v>
      </c>
      <c r="I13" s="21">
        <v>0</v>
      </c>
      <c r="J13" s="21">
        <v>6865</v>
      </c>
      <c r="K13" s="21">
        <v>74520</v>
      </c>
      <c r="L13" s="21">
        <v>1345</v>
      </c>
      <c r="M13" s="21">
        <v>0</v>
      </c>
      <c r="N13" s="21">
        <v>30</v>
      </c>
      <c r="O13" s="21">
        <v>0</v>
      </c>
      <c r="P13" s="21">
        <v>0</v>
      </c>
      <c r="Q13" s="21">
        <v>400</v>
      </c>
      <c r="R13" s="21">
        <v>692</v>
      </c>
      <c r="S13" s="21">
        <v>0</v>
      </c>
      <c r="T13" s="21">
        <v>0</v>
      </c>
      <c r="U13" s="21">
        <v>0</v>
      </c>
      <c r="V13" s="21">
        <v>0</v>
      </c>
      <c r="W13" s="22" t="s">
        <v>43</v>
      </c>
    </row>
    <row r="14" spans="1:23" s="17" customFormat="1" ht="21">
      <c r="A14" s="18" t="s">
        <v>60</v>
      </c>
      <c r="B14" s="19">
        <f t="shared" si="1"/>
        <v>123600</v>
      </c>
      <c r="C14" s="20">
        <v>1185</v>
      </c>
      <c r="D14" s="20">
        <v>0</v>
      </c>
      <c r="E14" s="20">
        <v>11490</v>
      </c>
      <c r="F14" s="20">
        <v>0</v>
      </c>
      <c r="G14" s="21">
        <v>0</v>
      </c>
      <c r="H14" s="21">
        <v>2325</v>
      </c>
      <c r="I14" s="21">
        <v>0</v>
      </c>
      <c r="J14" s="21">
        <v>38625</v>
      </c>
      <c r="K14" s="21">
        <v>4455</v>
      </c>
      <c r="L14" s="21">
        <v>0</v>
      </c>
      <c r="M14" s="21">
        <v>0</v>
      </c>
      <c r="N14" s="21">
        <v>75</v>
      </c>
      <c r="O14" s="21">
        <v>0</v>
      </c>
      <c r="P14" s="21">
        <v>0</v>
      </c>
      <c r="Q14" s="21">
        <v>1425</v>
      </c>
      <c r="R14" s="21">
        <v>45480</v>
      </c>
      <c r="S14" s="21">
        <v>0</v>
      </c>
      <c r="T14" s="21">
        <v>930</v>
      </c>
      <c r="U14" s="21">
        <v>14910</v>
      </c>
      <c r="V14" s="21">
        <v>2700</v>
      </c>
      <c r="W14" s="22" t="s">
        <v>42</v>
      </c>
    </row>
    <row r="15" spans="1:23" s="17" customFormat="1" ht="21">
      <c r="A15" s="18" t="s">
        <v>61</v>
      </c>
      <c r="B15" s="19">
        <f t="shared" si="1"/>
        <v>50115</v>
      </c>
      <c r="C15" s="20">
        <v>0</v>
      </c>
      <c r="D15" s="20">
        <v>0</v>
      </c>
      <c r="E15" s="20">
        <v>1080</v>
      </c>
      <c r="F15" s="20">
        <v>0</v>
      </c>
      <c r="G15" s="21">
        <v>0</v>
      </c>
      <c r="H15" s="21">
        <v>4000</v>
      </c>
      <c r="I15" s="21">
        <v>0</v>
      </c>
      <c r="J15" s="21">
        <v>9420</v>
      </c>
      <c r="K15" s="21">
        <v>26050</v>
      </c>
      <c r="L15" s="21">
        <v>1525</v>
      </c>
      <c r="M15" s="21">
        <v>0</v>
      </c>
      <c r="N15" s="21">
        <v>0</v>
      </c>
      <c r="O15" s="21">
        <v>0</v>
      </c>
      <c r="P15" s="21">
        <v>0</v>
      </c>
      <c r="Q15" s="21">
        <v>400</v>
      </c>
      <c r="R15" s="21">
        <v>7640</v>
      </c>
      <c r="S15" s="21">
        <v>0</v>
      </c>
      <c r="T15" s="21">
        <v>0</v>
      </c>
      <c r="U15" s="21">
        <v>0</v>
      </c>
      <c r="V15" s="21">
        <v>0</v>
      </c>
      <c r="W15" s="24" t="s">
        <v>62</v>
      </c>
    </row>
    <row r="16" spans="1:23" s="17" customFormat="1" ht="21">
      <c r="A16" s="23" t="s">
        <v>63</v>
      </c>
      <c r="B16" s="19">
        <f t="shared" si="1"/>
        <v>84899</v>
      </c>
      <c r="C16" s="20">
        <v>5625</v>
      </c>
      <c r="D16" s="20">
        <v>0</v>
      </c>
      <c r="E16" s="20">
        <v>4415</v>
      </c>
      <c r="F16" s="20">
        <v>125</v>
      </c>
      <c r="G16" s="21">
        <v>0</v>
      </c>
      <c r="H16" s="21">
        <v>1950</v>
      </c>
      <c r="I16" s="21">
        <v>0</v>
      </c>
      <c r="J16" s="21">
        <v>6453</v>
      </c>
      <c r="K16" s="21">
        <v>4185</v>
      </c>
      <c r="L16" s="21">
        <v>0</v>
      </c>
      <c r="M16" s="21">
        <v>0</v>
      </c>
      <c r="N16" s="21">
        <v>250</v>
      </c>
      <c r="O16" s="21">
        <v>0</v>
      </c>
      <c r="P16" s="21">
        <v>0</v>
      </c>
      <c r="Q16" s="21">
        <v>11522</v>
      </c>
      <c r="R16" s="21">
        <v>35399</v>
      </c>
      <c r="S16" s="21">
        <v>0</v>
      </c>
      <c r="T16" s="21">
        <v>1075</v>
      </c>
      <c r="U16" s="21">
        <v>11550</v>
      </c>
      <c r="V16" s="21">
        <v>2350</v>
      </c>
      <c r="W16" s="22" t="s">
        <v>64</v>
      </c>
    </row>
    <row r="17" spans="1:23" s="17" customFormat="1" ht="21">
      <c r="A17" s="23" t="s">
        <v>65</v>
      </c>
      <c r="B17" s="19">
        <f t="shared" si="1"/>
        <v>23401</v>
      </c>
      <c r="C17" s="20">
        <v>20</v>
      </c>
      <c r="D17" s="20">
        <v>0</v>
      </c>
      <c r="E17" s="20">
        <v>231</v>
      </c>
      <c r="F17" s="20">
        <v>0</v>
      </c>
      <c r="G17" s="21">
        <v>0</v>
      </c>
      <c r="H17" s="21">
        <v>13</v>
      </c>
      <c r="I17" s="21">
        <v>0</v>
      </c>
      <c r="J17" s="21">
        <v>1025</v>
      </c>
      <c r="K17" s="21">
        <v>1472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7651</v>
      </c>
      <c r="R17" s="21">
        <v>12989</v>
      </c>
      <c r="S17" s="21">
        <v>0</v>
      </c>
      <c r="T17" s="21">
        <v>0</v>
      </c>
      <c r="U17" s="21">
        <v>0</v>
      </c>
      <c r="V17" s="21">
        <v>0</v>
      </c>
      <c r="W17" s="22" t="s">
        <v>66</v>
      </c>
    </row>
    <row r="18" spans="1:23" s="17" customFormat="1" ht="21">
      <c r="A18" s="23" t="s">
        <v>67</v>
      </c>
      <c r="B18" s="19">
        <f t="shared" si="1"/>
        <v>30090</v>
      </c>
      <c r="C18" s="20">
        <v>0</v>
      </c>
      <c r="D18" s="20">
        <v>0</v>
      </c>
      <c r="E18" s="20">
        <v>0</v>
      </c>
      <c r="F18" s="20">
        <v>0</v>
      </c>
      <c r="G18" s="21">
        <v>0</v>
      </c>
      <c r="H18" s="21">
        <v>1110</v>
      </c>
      <c r="I18" s="21">
        <v>0</v>
      </c>
      <c r="J18" s="21">
        <v>7000</v>
      </c>
      <c r="K18" s="21">
        <v>18990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2990</v>
      </c>
      <c r="S18" s="21">
        <v>0</v>
      </c>
      <c r="T18" s="21">
        <v>0</v>
      </c>
      <c r="U18" s="21">
        <v>0</v>
      </c>
      <c r="V18" s="21">
        <v>0</v>
      </c>
      <c r="W18" s="22" t="s">
        <v>68</v>
      </c>
    </row>
    <row r="19" spans="1:23" s="17" customFormat="1" ht="21">
      <c r="A19" s="23" t="s">
        <v>69</v>
      </c>
      <c r="B19" s="19">
        <f t="shared" si="1"/>
        <v>11894</v>
      </c>
      <c r="C19" s="20">
        <v>0</v>
      </c>
      <c r="D19" s="20">
        <v>0</v>
      </c>
      <c r="E19" s="20">
        <v>0</v>
      </c>
      <c r="F19" s="20">
        <v>0</v>
      </c>
      <c r="G19" s="21">
        <v>0</v>
      </c>
      <c r="H19" s="21">
        <v>7650</v>
      </c>
      <c r="I19" s="21">
        <v>0</v>
      </c>
      <c r="J19" s="21">
        <v>100</v>
      </c>
      <c r="K19" s="21">
        <v>350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752</v>
      </c>
      <c r="R19" s="21">
        <v>3042</v>
      </c>
      <c r="S19" s="21">
        <v>0</v>
      </c>
      <c r="T19" s="21">
        <v>0</v>
      </c>
      <c r="U19" s="21">
        <v>0</v>
      </c>
      <c r="V19" s="21">
        <v>0</v>
      </c>
      <c r="W19" s="22" t="s">
        <v>70</v>
      </c>
    </row>
    <row r="20" spans="1:23" s="17" customFormat="1" ht="21">
      <c r="A20" s="23" t="s">
        <v>71</v>
      </c>
      <c r="B20" s="19">
        <f t="shared" si="1"/>
        <v>70565</v>
      </c>
      <c r="C20" s="20">
        <v>0</v>
      </c>
      <c r="D20" s="20">
        <v>0</v>
      </c>
      <c r="E20" s="20">
        <v>0</v>
      </c>
      <c r="F20" s="20">
        <v>0</v>
      </c>
      <c r="G20" s="21">
        <v>0</v>
      </c>
      <c r="H20" s="21">
        <v>200</v>
      </c>
      <c r="I20" s="21">
        <v>0</v>
      </c>
      <c r="J20" s="21">
        <v>14445</v>
      </c>
      <c r="K20" s="21">
        <v>55920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2" t="s">
        <v>72</v>
      </c>
    </row>
    <row r="21" spans="1:23" s="17" customFormat="1" ht="21">
      <c r="A21" s="18" t="s">
        <v>73</v>
      </c>
      <c r="B21" s="19">
        <f t="shared" si="1"/>
        <v>47289</v>
      </c>
      <c r="C21" s="20">
        <v>0</v>
      </c>
      <c r="D21" s="20">
        <v>0</v>
      </c>
      <c r="E21" s="20">
        <v>17317</v>
      </c>
      <c r="F21" s="20">
        <v>0</v>
      </c>
      <c r="G21" s="21">
        <v>0</v>
      </c>
      <c r="H21" s="21">
        <v>0</v>
      </c>
      <c r="I21" s="21">
        <v>0</v>
      </c>
      <c r="J21" s="21">
        <v>119</v>
      </c>
      <c r="K21" s="21">
        <v>281</v>
      </c>
      <c r="L21" s="21">
        <v>0</v>
      </c>
      <c r="M21" s="21">
        <v>0</v>
      </c>
      <c r="N21" s="21">
        <v>54</v>
      </c>
      <c r="O21" s="21">
        <v>0</v>
      </c>
      <c r="P21" s="21">
        <v>0</v>
      </c>
      <c r="Q21" s="21">
        <v>0</v>
      </c>
      <c r="R21" s="21">
        <v>4073</v>
      </c>
      <c r="S21" s="21">
        <v>0</v>
      </c>
      <c r="T21" s="21">
        <v>25164</v>
      </c>
      <c r="U21" s="21">
        <v>0</v>
      </c>
      <c r="V21" s="21">
        <v>281</v>
      </c>
      <c r="W21" s="22" t="s">
        <v>44</v>
      </c>
    </row>
    <row r="22" spans="1:23" s="17" customFormat="1" ht="21">
      <c r="A22" s="18" t="s">
        <v>74</v>
      </c>
      <c r="B22" s="19">
        <f t="shared" si="1"/>
        <v>34840</v>
      </c>
      <c r="C22" s="20">
        <v>0</v>
      </c>
      <c r="D22" s="20">
        <v>0</v>
      </c>
      <c r="E22" s="20">
        <v>300</v>
      </c>
      <c r="F22" s="20">
        <v>0</v>
      </c>
      <c r="G22" s="21">
        <v>0</v>
      </c>
      <c r="H22" s="21">
        <v>1450</v>
      </c>
      <c r="I22" s="21">
        <v>0</v>
      </c>
      <c r="J22" s="21">
        <v>10350</v>
      </c>
      <c r="K22" s="21">
        <v>22140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600</v>
      </c>
      <c r="S22" s="21">
        <v>0</v>
      </c>
      <c r="T22" s="21">
        <v>0</v>
      </c>
      <c r="U22" s="21">
        <v>0</v>
      </c>
      <c r="V22" s="21">
        <v>0</v>
      </c>
      <c r="W22" s="24" t="s">
        <v>75</v>
      </c>
    </row>
    <row r="23" spans="1:23" s="17" customFormat="1" ht="21">
      <c r="A23" s="18" t="s">
        <v>76</v>
      </c>
      <c r="B23" s="19">
        <f t="shared" si="1"/>
        <v>33065</v>
      </c>
      <c r="C23" s="20">
        <v>0</v>
      </c>
      <c r="D23" s="20">
        <v>0</v>
      </c>
      <c r="E23" s="20">
        <v>0</v>
      </c>
      <c r="F23" s="20">
        <v>0</v>
      </c>
      <c r="G23" s="21">
        <v>0</v>
      </c>
      <c r="H23" s="21">
        <v>0</v>
      </c>
      <c r="I23" s="21">
        <v>0</v>
      </c>
      <c r="J23" s="21">
        <v>0</v>
      </c>
      <c r="K23" s="21">
        <v>33065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4" t="s">
        <v>77</v>
      </c>
    </row>
    <row r="24" spans="1:23" s="17" customFormat="1" ht="21">
      <c r="A24" s="25" t="s">
        <v>78</v>
      </c>
      <c r="B24" s="26">
        <f t="shared" si="1"/>
        <v>232501</v>
      </c>
      <c r="C24" s="27">
        <v>32</v>
      </c>
      <c r="D24" s="27">
        <v>0</v>
      </c>
      <c r="E24" s="27">
        <v>12980</v>
      </c>
      <c r="F24" s="27">
        <v>55</v>
      </c>
      <c r="G24" s="28">
        <v>0</v>
      </c>
      <c r="H24" s="28">
        <v>3266</v>
      </c>
      <c r="I24" s="28">
        <v>0</v>
      </c>
      <c r="J24" s="28">
        <v>63434</v>
      </c>
      <c r="K24" s="28">
        <v>143196</v>
      </c>
      <c r="L24" s="28">
        <v>45</v>
      </c>
      <c r="M24" s="28">
        <v>0</v>
      </c>
      <c r="N24" s="28">
        <v>17</v>
      </c>
      <c r="O24" s="28">
        <v>0</v>
      </c>
      <c r="P24" s="28">
        <v>0</v>
      </c>
      <c r="Q24" s="28">
        <v>1412</v>
      </c>
      <c r="R24" s="28">
        <v>4559</v>
      </c>
      <c r="S24" s="28">
        <v>0</v>
      </c>
      <c r="T24" s="28">
        <v>305</v>
      </c>
      <c r="U24" s="28">
        <v>3160</v>
      </c>
      <c r="V24" s="28">
        <v>40</v>
      </c>
      <c r="W24" s="29" t="s">
        <v>79</v>
      </c>
    </row>
    <row r="25" spans="1:23" s="17" customFormat="1" ht="19.5" customHeight="1">
      <c r="A25" s="30" t="s">
        <v>80</v>
      </c>
      <c r="B25" s="31"/>
      <c r="C25" s="31"/>
      <c r="D25" s="31"/>
      <c r="E25" s="31"/>
      <c r="F25" s="31"/>
      <c r="G25" s="32"/>
      <c r="H25" s="32"/>
      <c r="I25" s="32"/>
      <c r="J25" s="3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33" t="s">
        <v>81</v>
      </c>
    </row>
    <row r="26" spans="1:23" s="17" customFormat="1" ht="13.5" customHeight="1">
      <c r="A26" s="23"/>
      <c r="B26" s="31"/>
      <c r="C26" s="31"/>
      <c r="D26" s="31"/>
      <c r="E26" s="31"/>
      <c r="F26" s="31"/>
      <c r="G26" s="32"/>
      <c r="H26" s="32"/>
      <c r="I26" s="32"/>
      <c r="J26" s="32"/>
      <c r="K26" s="2"/>
      <c r="L26" s="2"/>
      <c r="M26" s="2"/>
      <c r="N26" s="2"/>
      <c r="O26" s="2"/>
      <c r="P26" s="34"/>
      <c r="Q26" s="34"/>
      <c r="R26" s="34"/>
      <c r="S26" s="34"/>
      <c r="T26" s="34"/>
      <c r="U26" s="34"/>
      <c r="V26" s="35"/>
      <c r="W26" s="35" t="s">
        <v>82</v>
      </c>
    </row>
    <row r="27" spans="1:23" s="17" customFormat="1" ht="13.5" customHeight="1">
      <c r="A27" s="23"/>
      <c r="B27" s="31"/>
      <c r="C27" s="31"/>
      <c r="D27" s="31"/>
      <c r="E27" s="31"/>
      <c r="F27" s="31"/>
      <c r="G27" s="32"/>
      <c r="H27" s="32"/>
      <c r="I27" s="32"/>
      <c r="J27" s="32"/>
      <c r="K27" s="2"/>
      <c r="L27" s="2"/>
      <c r="M27" s="2"/>
      <c r="N27" s="2"/>
      <c r="O27" s="2"/>
      <c r="P27" s="34"/>
      <c r="Q27" s="34"/>
      <c r="R27" s="34"/>
      <c r="S27" s="34"/>
      <c r="T27" s="34"/>
      <c r="U27" s="34"/>
      <c r="V27" s="34"/>
      <c r="W27" s="35"/>
    </row>
    <row r="28" spans="1:23" s="17" customFormat="1" ht="13.5" customHeight="1">
      <c r="A28" s="23"/>
      <c r="B28" s="31"/>
      <c r="C28" s="31"/>
      <c r="D28" s="31"/>
      <c r="E28" s="31"/>
      <c r="F28" s="31"/>
      <c r="G28" s="32"/>
      <c r="H28" s="32"/>
      <c r="I28" s="32"/>
      <c r="J28" s="32"/>
      <c r="K28" s="2"/>
      <c r="L28" s="2"/>
      <c r="M28" s="2"/>
      <c r="N28" s="2"/>
      <c r="O28" s="2"/>
      <c r="P28" s="34"/>
      <c r="Q28" s="34"/>
      <c r="R28" s="34"/>
      <c r="S28" s="34"/>
      <c r="T28" s="34"/>
      <c r="U28" s="34"/>
      <c r="V28" s="34"/>
      <c r="W28" s="35"/>
    </row>
    <row r="29" spans="1:23" ht="21">
      <c r="A29" s="36" t="s">
        <v>83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 spans="1:23" ht="15">
      <c r="A30" s="37" t="s">
        <v>84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spans="1:23" ht="21">
      <c r="A31" s="37" t="s">
        <v>50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spans="1:23">
      <c r="A32" s="2"/>
      <c r="B32" s="2"/>
      <c r="C32" s="2"/>
      <c r="D32" s="2"/>
      <c r="E32" s="2"/>
      <c r="F32" s="2"/>
      <c r="G32" s="3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1" customHeight="1">
      <c r="A33" s="5"/>
      <c r="B33" s="38" t="s">
        <v>38</v>
      </c>
      <c r="C33" s="40" t="s">
        <v>51</v>
      </c>
      <c r="D33" s="40"/>
      <c r="E33" s="40"/>
      <c r="F33" s="40"/>
      <c r="G33" s="40"/>
      <c r="H33" s="6"/>
      <c r="I33" s="7"/>
      <c r="J33" s="7"/>
      <c r="K33" s="7"/>
      <c r="L33" s="7"/>
      <c r="M33" s="7"/>
      <c r="N33" s="7"/>
      <c r="O33" s="7"/>
      <c r="P33" s="41" t="s">
        <v>52</v>
      </c>
      <c r="Q33" s="41"/>
      <c r="R33" s="41"/>
      <c r="S33" s="41"/>
      <c r="T33" s="41"/>
      <c r="U33" s="41"/>
      <c r="V33" s="41"/>
      <c r="W33" s="42" t="s">
        <v>53</v>
      </c>
    </row>
    <row r="34" spans="1:23" s="10" customFormat="1" ht="27" customHeight="1">
      <c r="A34" s="8" t="s">
        <v>41</v>
      </c>
      <c r="B34" s="39"/>
      <c r="C34" s="9" t="s">
        <v>1</v>
      </c>
      <c r="D34" s="9" t="s">
        <v>3</v>
      </c>
      <c r="E34" s="9" t="s">
        <v>5</v>
      </c>
      <c r="F34" s="9" t="s">
        <v>7</v>
      </c>
      <c r="G34" s="9" t="s">
        <v>9</v>
      </c>
      <c r="H34" s="9" t="s">
        <v>11</v>
      </c>
      <c r="I34" s="9" t="s">
        <v>13</v>
      </c>
      <c r="J34" s="9" t="s">
        <v>15</v>
      </c>
      <c r="K34" s="9" t="s">
        <v>16</v>
      </c>
      <c r="L34" s="9" t="s">
        <v>18</v>
      </c>
      <c r="M34" s="9" t="s">
        <v>20</v>
      </c>
      <c r="N34" s="9" t="s">
        <v>22</v>
      </c>
      <c r="O34" s="9" t="s">
        <v>24</v>
      </c>
      <c r="P34" s="9" t="s">
        <v>26</v>
      </c>
      <c r="Q34" s="9" t="s">
        <v>28</v>
      </c>
      <c r="R34" s="9" t="s">
        <v>30</v>
      </c>
      <c r="S34" s="9" t="s">
        <v>32</v>
      </c>
      <c r="T34" s="9" t="s">
        <v>34</v>
      </c>
      <c r="U34" s="9" t="s">
        <v>36</v>
      </c>
      <c r="V34" s="9" t="s">
        <v>37</v>
      </c>
      <c r="W34" s="43"/>
    </row>
    <row r="35" spans="1:23" s="13" customFormat="1" ht="12" customHeight="1">
      <c r="A35" s="11"/>
      <c r="B35" s="39"/>
      <c r="C35" s="12" t="s">
        <v>0</v>
      </c>
      <c r="D35" s="12" t="s">
        <v>2</v>
      </c>
      <c r="E35" s="12" t="s">
        <v>4</v>
      </c>
      <c r="F35" s="12" t="s">
        <v>6</v>
      </c>
      <c r="G35" s="12" t="s">
        <v>8</v>
      </c>
      <c r="H35" s="12" t="s">
        <v>10</v>
      </c>
      <c r="I35" s="12" t="s">
        <v>12</v>
      </c>
      <c r="J35" s="12" t="s">
        <v>14</v>
      </c>
      <c r="K35" s="12" t="s">
        <v>40</v>
      </c>
      <c r="L35" s="12" t="s">
        <v>17</v>
      </c>
      <c r="M35" s="12" t="s">
        <v>19</v>
      </c>
      <c r="N35" s="12" t="s">
        <v>21</v>
      </c>
      <c r="O35" s="12" t="s">
        <v>23</v>
      </c>
      <c r="P35" s="12" t="s">
        <v>25</v>
      </c>
      <c r="Q35" s="12" t="s">
        <v>27</v>
      </c>
      <c r="R35" s="12" t="s">
        <v>29</v>
      </c>
      <c r="S35" s="12" t="s">
        <v>31</v>
      </c>
      <c r="T35" s="12" t="s">
        <v>33</v>
      </c>
      <c r="U35" s="12" t="s">
        <v>35</v>
      </c>
      <c r="V35" s="12" t="s">
        <v>5</v>
      </c>
      <c r="W35" s="43"/>
    </row>
    <row r="36" spans="1:23" s="17" customFormat="1" ht="21">
      <c r="A36" s="14" t="s">
        <v>38</v>
      </c>
      <c r="B36" s="15">
        <f>SUM(C36:V36)</f>
        <v>3709434.2199999997</v>
      </c>
      <c r="C36" s="15">
        <f>SUM(C37:C52)</f>
        <v>71217.75</v>
      </c>
      <c r="D36" s="15">
        <f t="shared" ref="D36:V36" si="2">SUM(D37:D52)</f>
        <v>2844.76</v>
      </c>
      <c r="E36" s="15">
        <f t="shared" si="2"/>
        <v>302740</v>
      </c>
      <c r="F36" s="15">
        <f t="shared" si="2"/>
        <v>7695</v>
      </c>
      <c r="G36" s="15">
        <f t="shared" si="2"/>
        <v>0</v>
      </c>
      <c r="H36" s="15">
        <f t="shared" si="2"/>
        <v>44036</v>
      </c>
      <c r="I36" s="15">
        <f t="shared" si="2"/>
        <v>0</v>
      </c>
      <c r="J36" s="15">
        <f t="shared" si="2"/>
        <v>852449</v>
      </c>
      <c r="K36" s="15">
        <f t="shared" si="2"/>
        <v>1417551</v>
      </c>
      <c r="L36" s="15">
        <f t="shared" si="2"/>
        <v>12875</v>
      </c>
      <c r="M36" s="15">
        <f t="shared" si="2"/>
        <v>0</v>
      </c>
      <c r="N36" s="15">
        <f t="shared" si="2"/>
        <v>30785.71</v>
      </c>
      <c r="O36" s="15">
        <f t="shared" si="2"/>
        <v>3538</v>
      </c>
      <c r="P36" s="15">
        <f t="shared" si="2"/>
        <v>0</v>
      </c>
      <c r="Q36" s="15">
        <f t="shared" si="2"/>
        <v>141072</v>
      </c>
      <c r="R36" s="15">
        <f t="shared" si="2"/>
        <v>529718</v>
      </c>
      <c r="S36" s="15">
        <f t="shared" si="2"/>
        <v>24019</v>
      </c>
      <c r="T36" s="15">
        <f t="shared" si="2"/>
        <v>48832</v>
      </c>
      <c r="U36" s="15">
        <f t="shared" si="2"/>
        <v>195064</v>
      </c>
      <c r="V36" s="15">
        <f t="shared" si="2"/>
        <v>24997</v>
      </c>
      <c r="W36" s="16" t="s">
        <v>39</v>
      </c>
    </row>
    <row r="37" spans="1:23" s="17" customFormat="1" ht="21">
      <c r="A37" s="18" t="s">
        <v>54</v>
      </c>
      <c r="B37" s="19">
        <f>SUM(C37:V37)</f>
        <v>395512</v>
      </c>
      <c r="C37" s="20">
        <v>780</v>
      </c>
      <c r="D37" s="20">
        <v>80</v>
      </c>
      <c r="E37" s="20">
        <v>34600</v>
      </c>
      <c r="F37" s="20">
        <v>0</v>
      </c>
      <c r="G37" s="21">
        <v>0</v>
      </c>
      <c r="H37" s="21">
        <v>4910</v>
      </c>
      <c r="I37" s="21">
        <v>0</v>
      </c>
      <c r="J37" s="21">
        <v>28614</v>
      </c>
      <c r="K37" s="21">
        <v>204900</v>
      </c>
      <c r="L37" s="21">
        <v>400</v>
      </c>
      <c r="M37" s="21">
        <v>0</v>
      </c>
      <c r="N37" s="21">
        <v>0</v>
      </c>
      <c r="O37" s="21">
        <v>0</v>
      </c>
      <c r="P37" s="21">
        <v>0</v>
      </c>
      <c r="Q37" s="21">
        <v>32243</v>
      </c>
      <c r="R37" s="21">
        <v>88485</v>
      </c>
      <c r="S37" s="21">
        <v>0</v>
      </c>
      <c r="T37" s="21">
        <v>500</v>
      </c>
      <c r="U37" s="21">
        <v>0</v>
      </c>
      <c r="V37" s="21">
        <v>0</v>
      </c>
      <c r="W37" s="22" t="s">
        <v>47</v>
      </c>
    </row>
    <row r="38" spans="1:23" s="17" customFormat="1" ht="21">
      <c r="A38" s="23" t="s">
        <v>55</v>
      </c>
      <c r="B38" s="19">
        <f>SUM(C38:V38)</f>
        <v>1034814</v>
      </c>
      <c r="C38" s="20">
        <v>45660</v>
      </c>
      <c r="D38" s="20">
        <v>750</v>
      </c>
      <c r="E38" s="20">
        <v>145254</v>
      </c>
      <c r="F38" s="20">
        <v>4350</v>
      </c>
      <c r="G38" s="21">
        <v>0</v>
      </c>
      <c r="H38" s="21">
        <v>17475</v>
      </c>
      <c r="I38" s="21">
        <v>0</v>
      </c>
      <c r="J38" s="21">
        <v>262290</v>
      </c>
      <c r="K38" s="21">
        <v>73560</v>
      </c>
      <c r="L38" s="21">
        <v>0</v>
      </c>
      <c r="M38" s="21">
        <v>0</v>
      </c>
      <c r="N38" s="21">
        <v>23790</v>
      </c>
      <c r="O38" s="21">
        <v>3000</v>
      </c>
      <c r="P38" s="21">
        <v>0</v>
      </c>
      <c r="Q38" s="21">
        <v>29028</v>
      </c>
      <c r="R38" s="21">
        <v>216771</v>
      </c>
      <c r="S38" s="21">
        <v>18786</v>
      </c>
      <c r="T38" s="21">
        <v>31500</v>
      </c>
      <c r="U38" s="21">
        <v>145200</v>
      </c>
      <c r="V38" s="21">
        <v>17400</v>
      </c>
      <c r="W38" s="22" t="s">
        <v>56</v>
      </c>
    </row>
    <row r="39" spans="1:23" s="17" customFormat="1" ht="21">
      <c r="A39" s="18" t="s">
        <v>57</v>
      </c>
      <c r="B39" s="19">
        <f t="shared" ref="B39:B52" si="3">SUM(C39:V39)</f>
        <v>606847</v>
      </c>
      <c r="C39" s="20">
        <v>0</v>
      </c>
      <c r="D39" s="20">
        <v>0</v>
      </c>
      <c r="E39" s="20">
        <v>0</v>
      </c>
      <c r="F39" s="20">
        <v>0</v>
      </c>
      <c r="G39" s="21">
        <v>0</v>
      </c>
      <c r="H39" s="21">
        <v>0</v>
      </c>
      <c r="I39" s="21">
        <v>0</v>
      </c>
      <c r="J39" s="21">
        <v>33022</v>
      </c>
      <c r="K39" s="21">
        <v>573780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45</v>
      </c>
      <c r="S39" s="21">
        <v>0</v>
      </c>
      <c r="T39" s="21">
        <v>0</v>
      </c>
      <c r="U39" s="21">
        <v>0</v>
      </c>
      <c r="V39" s="21">
        <v>0</v>
      </c>
      <c r="W39" s="22" t="s">
        <v>45</v>
      </c>
    </row>
    <row r="40" spans="1:23" s="17" customFormat="1" ht="21">
      <c r="A40" s="18" t="s">
        <v>58</v>
      </c>
      <c r="B40" s="19">
        <f t="shared" si="3"/>
        <v>113703</v>
      </c>
      <c r="C40" s="20">
        <v>310</v>
      </c>
      <c r="D40" s="20">
        <v>0</v>
      </c>
      <c r="E40" s="20">
        <v>9220</v>
      </c>
      <c r="F40" s="17">
        <v>0</v>
      </c>
      <c r="G40" s="21">
        <v>0</v>
      </c>
      <c r="H40" s="21">
        <v>3200</v>
      </c>
      <c r="I40" s="21">
        <v>0</v>
      </c>
      <c r="J40" s="21">
        <v>20570</v>
      </c>
      <c r="K40" s="21">
        <v>49285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2120</v>
      </c>
      <c r="R40" s="21">
        <v>28798</v>
      </c>
      <c r="S40" s="21">
        <v>0</v>
      </c>
      <c r="T40" s="21">
        <v>200</v>
      </c>
      <c r="U40" s="21">
        <v>0</v>
      </c>
      <c r="V40" s="21">
        <v>0</v>
      </c>
      <c r="W40" s="24" t="s">
        <v>46</v>
      </c>
    </row>
    <row r="41" spans="1:23" s="17" customFormat="1" ht="21">
      <c r="A41" s="23" t="s">
        <v>59</v>
      </c>
      <c r="B41" s="19">
        <f t="shared" si="3"/>
        <v>81596</v>
      </c>
      <c r="C41" s="20">
        <v>0</v>
      </c>
      <c r="D41" s="20">
        <v>52</v>
      </c>
      <c r="E41" s="20">
        <v>7682</v>
      </c>
      <c r="F41" s="20">
        <v>0</v>
      </c>
      <c r="G41" s="21">
        <v>0</v>
      </c>
      <c r="H41" s="21">
        <v>2500</v>
      </c>
      <c r="I41" s="21">
        <v>0</v>
      </c>
      <c r="J41" s="21">
        <v>6640</v>
      </c>
      <c r="K41" s="21">
        <v>53720</v>
      </c>
      <c r="L41" s="21">
        <v>7714</v>
      </c>
      <c r="M41" s="21">
        <v>0</v>
      </c>
      <c r="N41" s="21">
        <v>0</v>
      </c>
      <c r="O41" s="21">
        <v>20</v>
      </c>
      <c r="P41" s="21">
        <v>0</v>
      </c>
      <c r="Q41" s="21">
        <v>1519</v>
      </c>
      <c r="R41" s="21">
        <v>1749</v>
      </c>
      <c r="S41" s="21">
        <v>0</v>
      </c>
      <c r="T41" s="21">
        <v>0</v>
      </c>
      <c r="U41" s="21">
        <v>0</v>
      </c>
      <c r="V41" s="21">
        <v>0</v>
      </c>
      <c r="W41" s="22" t="s">
        <v>43</v>
      </c>
    </row>
    <row r="42" spans="1:23" s="17" customFormat="1" ht="21">
      <c r="A42" s="18" t="s">
        <v>60</v>
      </c>
      <c r="B42" s="19">
        <f t="shared" si="3"/>
        <v>555230</v>
      </c>
      <c r="C42" s="20">
        <v>7380</v>
      </c>
      <c r="D42" s="20">
        <v>795</v>
      </c>
      <c r="E42" s="20">
        <v>49155</v>
      </c>
      <c r="F42" s="20">
        <v>1950</v>
      </c>
      <c r="G42" s="21">
        <v>0</v>
      </c>
      <c r="H42" s="21">
        <v>1620</v>
      </c>
      <c r="I42" s="21">
        <v>0</v>
      </c>
      <c r="J42" s="21">
        <v>343920</v>
      </c>
      <c r="K42" s="21">
        <v>43080</v>
      </c>
      <c r="L42" s="21">
        <v>0</v>
      </c>
      <c r="M42" s="21">
        <v>0</v>
      </c>
      <c r="N42" s="21">
        <v>660</v>
      </c>
      <c r="O42" s="21">
        <v>180</v>
      </c>
      <c r="P42" s="21">
        <v>0</v>
      </c>
      <c r="Q42" s="21">
        <v>4800</v>
      </c>
      <c r="R42" s="21">
        <v>59855</v>
      </c>
      <c r="S42" s="21">
        <v>1500</v>
      </c>
      <c r="T42" s="21">
        <v>8100</v>
      </c>
      <c r="U42" s="21">
        <v>29835</v>
      </c>
      <c r="V42" s="21">
        <v>2400</v>
      </c>
      <c r="W42" s="22" t="s">
        <v>42</v>
      </c>
    </row>
    <row r="43" spans="1:23" s="17" customFormat="1" ht="21">
      <c r="A43" s="18" t="s">
        <v>61</v>
      </c>
      <c r="B43" s="19">
        <f t="shared" si="3"/>
        <v>69843</v>
      </c>
      <c r="C43" s="20">
        <v>0</v>
      </c>
      <c r="D43" s="20">
        <v>0</v>
      </c>
      <c r="E43" s="20">
        <v>4138</v>
      </c>
      <c r="F43" s="20">
        <v>0</v>
      </c>
      <c r="G43" s="21">
        <v>0</v>
      </c>
      <c r="H43" s="21">
        <v>1880</v>
      </c>
      <c r="I43" s="21">
        <v>0</v>
      </c>
      <c r="J43" s="21">
        <v>19192</v>
      </c>
      <c r="K43" s="21">
        <v>32599</v>
      </c>
      <c r="L43" s="21">
        <v>3900</v>
      </c>
      <c r="M43" s="21">
        <v>0</v>
      </c>
      <c r="N43" s="21">
        <v>0</v>
      </c>
      <c r="O43" s="21">
        <v>125</v>
      </c>
      <c r="P43" s="21">
        <v>0</v>
      </c>
      <c r="Q43" s="21">
        <v>1434</v>
      </c>
      <c r="R43" s="21">
        <v>6475</v>
      </c>
      <c r="S43" s="21">
        <v>0</v>
      </c>
      <c r="T43" s="21">
        <v>100</v>
      </c>
      <c r="U43" s="21">
        <v>0</v>
      </c>
      <c r="V43" s="21">
        <v>0</v>
      </c>
      <c r="W43" s="24" t="s">
        <v>62</v>
      </c>
    </row>
    <row r="44" spans="1:23" s="17" customFormat="1" ht="21">
      <c r="A44" s="23" t="s">
        <v>63</v>
      </c>
      <c r="B44" s="19">
        <f t="shared" si="3"/>
        <v>211261.75</v>
      </c>
      <c r="C44" s="20">
        <v>13668.75</v>
      </c>
      <c r="D44" s="20">
        <v>725</v>
      </c>
      <c r="E44" s="20">
        <v>10652</v>
      </c>
      <c r="F44" s="20">
        <v>312</v>
      </c>
      <c r="G44" s="21">
        <v>0</v>
      </c>
      <c r="H44" s="21">
        <v>2780</v>
      </c>
      <c r="I44" s="21">
        <v>0</v>
      </c>
      <c r="J44" s="21">
        <v>13067</v>
      </c>
      <c r="K44" s="21">
        <v>3718</v>
      </c>
      <c r="L44" s="21">
        <v>130</v>
      </c>
      <c r="M44" s="21">
        <v>0</v>
      </c>
      <c r="N44" s="21">
        <v>5937</v>
      </c>
      <c r="O44" s="21">
        <v>25</v>
      </c>
      <c r="P44" s="21">
        <v>0</v>
      </c>
      <c r="Q44" s="21">
        <v>32860</v>
      </c>
      <c r="R44" s="21">
        <v>101190</v>
      </c>
      <c r="S44" s="21">
        <v>3625</v>
      </c>
      <c r="T44" s="21">
        <v>8125</v>
      </c>
      <c r="U44" s="21">
        <v>9347</v>
      </c>
      <c r="V44" s="21">
        <v>5100</v>
      </c>
      <c r="W44" s="22" t="s">
        <v>64</v>
      </c>
    </row>
    <row r="45" spans="1:23" s="17" customFormat="1" ht="21">
      <c r="A45" s="23" t="s">
        <v>65</v>
      </c>
      <c r="B45" s="19">
        <f t="shared" si="3"/>
        <v>52658</v>
      </c>
      <c r="C45" s="20">
        <v>300</v>
      </c>
      <c r="D45" s="20">
        <v>100</v>
      </c>
      <c r="E45" s="20">
        <v>1055</v>
      </c>
      <c r="F45" s="20">
        <v>0</v>
      </c>
      <c r="G45" s="21">
        <v>0</v>
      </c>
      <c r="H45" s="21">
        <v>40</v>
      </c>
      <c r="I45" s="21">
        <v>0</v>
      </c>
      <c r="J45" s="21">
        <v>3719</v>
      </c>
      <c r="K45" s="21">
        <v>4421</v>
      </c>
      <c r="L45" s="21">
        <v>0</v>
      </c>
      <c r="M45" s="21">
        <v>0</v>
      </c>
      <c r="N45" s="21">
        <v>50</v>
      </c>
      <c r="O45" s="21">
        <v>0</v>
      </c>
      <c r="P45" s="21">
        <v>0</v>
      </c>
      <c r="Q45" s="21">
        <v>27508</v>
      </c>
      <c r="R45" s="21">
        <v>15465</v>
      </c>
      <c r="S45" s="21">
        <v>0</v>
      </c>
      <c r="T45" s="21">
        <v>0</v>
      </c>
      <c r="U45" s="21">
        <v>0</v>
      </c>
      <c r="V45" s="21">
        <v>0</v>
      </c>
      <c r="W45" s="22" t="s">
        <v>66</v>
      </c>
    </row>
    <row r="46" spans="1:23" s="17" customFormat="1" ht="21">
      <c r="A46" s="23" t="s">
        <v>67</v>
      </c>
      <c r="B46" s="19">
        <f t="shared" si="3"/>
        <v>18641</v>
      </c>
      <c r="C46" s="20">
        <v>0</v>
      </c>
      <c r="D46" s="20">
        <v>0</v>
      </c>
      <c r="E46" s="20">
        <v>0</v>
      </c>
      <c r="F46" s="20">
        <v>0</v>
      </c>
      <c r="G46" s="21">
        <v>0</v>
      </c>
      <c r="H46" s="21">
        <v>0</v>
      </c>
      <c r="I46" s="21">
        <v>0</v>
      </c>
      <c r="J46" s="21">
        <v>5090</v>
      </c>
      <c r="K46" s="21">
        <v>13251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300</v>
      </c>
      <c r="S46" s="21">
        <v>0</v>
      </c>
      <c r="T46" s="21">
        <v>0</v>
      </c>
      <c r="U46" s="21">
        <v>0</v>
      </c>
      <c r="V46" s="21">
        <v>0</v>
      </c>
      <c r="W46" s="22" t="s">
        <v>68</v>
      </c>
    </row>
    <row r="47" spans="1:23" s="17" customFormat="1" ht="21">
      <c r="A47" s="23" t="s">
        <v>69</v>
      </c>
      <c r="B47" s="19">
        <f t="shared" si="3"/>
        <v>18811</v>
      </c>
      <c r="C47" s="20">
        <v>1800</v>
      </c>
      <c r="D47" s="20">
        <v>100</v>
      </c>
      <c r="E47" s="20">
        <v>680</v>
      </c>
      <c r="F47" s="20">
        <v>0</v>
      </c>
      <c r="G47" s="21">
        <v>0</v>
      </c>
      <c r="H47" s="21">
        <v>8500</v>
      </c>
      <c r="I47" s="21">
        <v>0</v>
      </c>
      <c r="J47" s="21">
        <v>300</v>
      </c>
      <c r="K47" s="21">
        <v>50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4900</v>
      </c>
      <c r="R47" s="21">
        <v>2481</v>
      </c>
      <c r="S47" s="21">
        <v>0</v>
      </c>
      <c r="T47" s="21">
        <v>0</v>
      </c>
      <c r="U47" s="21">
        <v>0</v>
      </c>
      <c r="V47" s="21">
        <v>0</v>
      </c>
      <c r="W47" s="22" t="s">
        <v>70</v>
      </c>
    </row>
    <row r="48" spans="1:23" s="17" customFormat="1" ht="21">
      <c r="A48" s="23" t="s">
        <v>71</v>
      </c>
      <c r="B48" s="19">
        <f t="shared" si="3"/>
        <v>60550</v>
      </c>
      <c r="C48" s="20">
        <v>0</v>
      </c>
      <c r="D48" s="20">
        <v>0</v>
      </c>
      <c r="E48" s="20">
        <v>250</v>
      </c>
      <c r="F48" s="20">
        <v>0</v>
      </c>
      <c r="G48" s="21">
        <v>0</v>
      </c>
      <c r="H48" s="21">
        <v>0</v>
      </c>
      <c r="I48" s="21">
        <v>0</v>
      </c>
      <c r="J48" s="21">
        <v>7640</v>
      </c>
      <c r="K48" s="21">
        <v>52660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2" t="s">
        <v>72</v>
      </c>
    </row>
    <row r="49" spans="1:23" s="17" customFormat="1" ht="21">
      <c r="A49" s="18" t="s">
        <v>73</v>
      </c>
      <c r="B49" s="19">
        <f t="shared" si="3"/>
        <v>16333</v>
      </c>
      <c r="C49" s="20">
        <v>0</v>
      </c>
      <c r="D49" s="20">
        <v>0</v>
      </c>
      <c r="E49" s="20">
        <v>3858</v>
      </c>
      <c r="F49" s="20">
        <v>0</v>
      </c>
      <c r="G49" s="21">
        <v>0</v>
      </c>
      <c r="H49" s="21">
        <v>0</v>
      </c>
      <c r="I49" s="21">
        <v>0</v>
      </c>
      <c r="J49" s="21">
        <v>2052</v>
      </c>
      <c r="K49" s="21">
        <v>642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248</v>
      </c>
      <c r="R49" s="21">
        <v>2721</v>
      </c>
      <c r="S49" s="21">
        <v>108</v>
      </c>
      <c r="T49" s="21">
        <v>307</v>
      </c>
      <c r="U49" s="21">
        <v>6300</v>
      </c>
      <c r="V49" s="21">
        <v>97</v>
      </c>
      <c r="W49" s="22" t="s">
        <v>44</v>
      </c>
    </row>
    <row r="50" spans="1:23" s="17" customFormat="1" ht="21">
      <c r="A50" s="18" t="s">
        <v>74</v>
      </c>
      <c r="B50" s="19">
        <f t="shared" si="3"/>
        <v>63035</v>
      </c>
      <c r="C50" s="20">
        <v>0</v>
      </c>
      <c r="D50" s="20">
        <v>0</v>
      </c>
      <c r="E50" s="20">
        <v>60</v>
      </c>
      <c r="F50" s="20">
        <v>0</v>
      </c>
      <c r="G50" s="21">
        <v>0</v>
      </c>
      <c r="H50" s="21">
        <v>0</v>
      </c>
      <c r="I50" s="21">
        <v>0</v>
      </c>
      <c r="J50" s="21">
        <v>27165</v>
      </c>
      <c r="K50" s="21">
        <v>35810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4" t="s">
        <v>75</v>
      </c>
    </row>
    <row r="51" spans="1:23" s="17" customFormat="1" ht="21">
      <c r="A51" s="18" t="s">
        <v>76</v>
      </c>
      <c r="B51" s="19">
        <f t="shared" si="3"/>
        <v>44613.760000000002</v>
      </c>
      <c r="C51" s="20">
        <v>0</v>
      </c>
      <c r="D51" s="20">
        <v>6.76</v>
      </c>
      <c r="E51" s="20">
        <v>0</v>
      </c>
      <c r="F51" s="20">
        <v>0</v>
      </c>
      <c r="G51" s="21">
        <v>0</v>
      </c>
      <c r="H51" s="21">
        <v>0</v>
      </c>
      <c r="I51" s="21">
        <v>0</v>
      </c>
      <c r="J51" s="21">
        <v>0</v>
      </c>
      <c r="K51" s="21">
        <v>44607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4" t="s">
        <v>77</v>
      </c>
    </row>
    <row r="52" spans="1:23" s="17" customFormat="1" ht="21">
      <c r="A52" s="25" t="s">
        <v>78</v>
      </c>
      <c r="B52" s="26">
        <f t="shared" si="3"/>
        <v>365985.71</v>
      </c>
      <c r="C52" s="27">
        <v>1319</v>
      </c>
      <c r="D52" s="27">
        <v>236</v>
      </c>
      <c r="E52" s="27">
        <v>36136</v>
      </c>
      <c r="F52" s="27">
        <v>1083</v>
      </c>
      <c r="G52" s="28">
        <v>0</v>
      </c>
      <c r="H52" s="28">
        <v>1131</v>
      </c>
      <c r="I52" s="28">
        <v>0</v>
      </c>
      <c r="J52" s="28">
        <v>79168</v>
      </c>
      <c r="K52" s="28">
        <v>231468</v>
      </c>
      <c r="L52" s="28">
        <v>731</v>
      </c>
      <c r="M52" s="28">
        <v>0</v>
      </c>
      <c r="N52" s="28">
        <v>348.71</v>
      </c>
      <c r="O52" s="28">
        <v>188</v>
      </c>
      <c r="P52" s="28">
        <v>0</v>
      </c>
      <c r="Q52" s="28">
        <v>4412</v>
      </c>
      <c r="R52" s="28">
        <v>5383</v>
      </c>
      <c r="S52" s="28">
        <v>0</v>
      </c>
      <c r="T52" s="28">
        <v>0</v>
      </c>
      <c r="U52" s="28">
        <v>4382</v>
      </c>
      <c r="V52" s="28">
        <v>0</v>
      </c>
      <c r="W52" s="29" t="s">
        <v>79</v>
      </c>
    </row>
    <row r="53" spans="1:23" s="17" customFormat="1" ht="19.5" customHeight="1">
      <c r="A53" s="30" t="s">
        <v>80</v>
      </c>
      <c r="B53" s="31"/>
      <c r="C53" s="31"/>
      <c r="D53" s="31"/>
      <c r="E53" s="31"/>
      <c r="F53" s="31"/>
      <c r="G53" s="32"/>
      <c r="H53" s="32"/>
      <c r="I53" s="32"/>
      <c r="J53" s="3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33" t="s">
        <v>85</v>
      </c>
    </row>
  </sheetData>
  <mergeCells count="14">
    <mergeCell ref="A29:W29"/>
    <mergeCell ref="A30:W30"/>
    <mergeCell ref="A31:W31"/>
    <mergeCell ref="B33:B35"/>
    <mergeCell ref="C33:G33"/>
    <mergeCell ref="P33:V33"/>
    <mergeCell ref="W33:W35"/>
    <mergeCell ref="A1:W1"/>
    <mergeCell ref="A2:W2"/>
    <mergeCell ref="A3:W3"/>
    <mergeCell ref="B5:B7"/>
    <mergeCell ref="C5:G5"/>
    <mergeCell ref="P5:V5"/>
    <mergeCell ref="W5:W7"/>
  </mergeCells>
  <pageMargins left="0.7" right="0.7" top="0.75" bottom="0.75" header="0.3" footer="0.3"/>
  <pageSetup paperSize="9" scale="5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2019-09-09T06:12:48Z</cp:lastPrinted>
  <dcterms:created xsi:type="dcterms:W3CDTF">2019-09-09T05:11:24Z</dcterms:created>
  <dcterms:modified xsi:type="dcterms:W3CDTF">2019-09-09T06:12:59Z</dcterms:modified>
</cp:coreProperties>
</file>