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9. FISHERIES AND AGRICULTURE\"/>
    </mc:Choice>
  </mc:AlternateContent>
  <bookViews>
    <workbookView xWindow="0" yWindow="0" windowWidth="28800" windowHeight="11730"/>
  </bookViews>
  <sheets>
    <sheet name="9.10" sheetId="10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'9.10'!$A$1:$J$101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9" i="10" l="1"/>
  <c r="E99" i="10"/>
  <c r="F98" i="10"/>
  <c r="E98" i="10"/>
  <c r="E97" i="10"/>
  <c r="E96" i="10"/>
  <c r="F95" i="10"/>
  <c r="E95" i="10"/>
  <c r="F94" i="10"/>
  <c r="E94" i="10"/>
  <c r="E93" i="10"/>
  <c r="E92" i="10"/>
  <c r="E91" i="10"/>
  <c r="E90" i="10"/>
  <c r="F89" i="10"/>
  <c r="E89" i="10"/>
  <c r="E88" i="10"/>
  <c r="F87" i="10"/>
  <c r="E87" i="10"/>
  <c r="E86" i="10"/>
  <c r="F85" i="10"/>
  <c r="E85" i="10"/>
  <c r="F84" i="10"/>
  <c r="E84" i="10"/>
  <c r="E83" i="10"/>
  <c r="F82" i="10"/>
  <c r="E82" i="10"/>
  <c r="E81" i="10"/>
  <c r="F80" i="10"/>
  <c r="E80" i="10"/>
  <c r="H78" i="10"/>
  <c r="G78" i="10"/>
  <c r="E78" i="10" s="1"/>
  <c r="E76" i="10" s="1"/>
  <c r="C78" i="10"/>
  <c r="F78" i="10" s="1"/>
  <c r="B78" i="10"/>
  <c r="B76" i="10" s="1"/>
  <c r="F77" i="10"/>
  <c r="I76" i="10"/>
  <c r="H76" i="10"/>
  <c r="D76" i="10"/>
  <c r="C76" i="10"/>
  <c r="F76" i="10" s="1"/>
  <c r="F64" i="10"/>
  <c r="E64" i="10"/>
  <c r="F63" i="10"/>
  <c r="E63" i="10"/>
  <c r="E62" i="10"/>
  <c r="E61" i="10"/>
  <c r="F60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H43" i="10"/>
  <c r="G43" i="10"/>
  <c r="F43" i="10"/>
  <c r="E43" i="10"/>
  <c r="C43" i="10"/>
  <c r="B43" i="10"/>
  <c r="B41" i="10" s="1"/>
  <c r="E41" i="10" s="1"/>
  <c r="F42" i="10"/>
  <c r="E42" i="10"/>
  <c r="H41" i="10"/>
  <c r="G41" i="10"/>
  <c r="D41" i="10"/>
  <c r="C41" i="10"/>
  <c r="F41" i="10" s="1"/>
  <c r="E30" i="10"/>
  <c r="F29" i="10"/>
  <c r="E29" i="10"/>
  <c r="F28" i="10"/>
  <c r="E28" i="10"/>
  <c r="E27" i="10"/>
  <c r="E26" i="10"/>
  <c r="E25" i="10"/>
  <c r="F24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H9" i="10"/>
  <c r="G9" i="10"/>
  <c r="C9" i="10"/>
  <c r="F9" i="10" s="1"/>
  <c r="F7" i="10" s="1"/>
  <c r="B9" i="10"/>
  <c r="E9" i="10" s="1"/>
  <c r="E7" i="10" s="1"/>
  <c r="I7" i="10"/>
  <c r="H7" i="10"/>
  <c r="G7" i="10"/>
  <c r="D7" i="10"/>
  <c r="C7" i="10"/>
  <c r="B7" i="10" l="1"/>
  <c r="G76" i="10"/>
</calcChain>
</file>

<file path=xl/sharedStrings.xml><?xml version="1.0" encoding="utf-8"?>
<sst xmlns="http://schemas.openxmlformats.org/spreadsheetml/2006/main" count="153" uniqueCount="42">
  <si>
    <t>Republic</t>
  </si>
  <si>
    <t>Male'</t>
  </si>
  <si>
    <t>Atolls</t>
  </si>
  <si>
    <t xml:space="preserve"> HA</t>
  </si>
  <si>
    <t xml:space="preserve"> HDh</t>
  </si>
  <si>
    <t xml:space="preserve"> Sh</t>
  </si>
  <si>
    <t>S</t>
  </si>
  <si>
    <t xml:space="preserve"> N</t>
  </si>
  <si>
    <t xml:space="preserve"> R</t>
  </si>
  <si>
    <t>B</t>
  </si>
  <si>
    <t>Lh</t>
  </si>
  <si>
    <t>K</t>
  </si>
  <si>
    <t>ADh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</si>
  <si>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</si>
  <si>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</si>
  <si>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</si>
  <si>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</si>
  <si>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</si>
  <si>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</si>
  <si>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</si>
  <si>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</si>
  <si>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</si>
  <si>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Source: Ministry of Fisheries  and Agriculture</t>
  </si>
  <si>
    <t>Locality</t>
  </si>
  <si>
    <t>Other vessels</t>
  </si>
  <si>
    <t>Longline vessels</t>
  </si>
  <si>
    <t>EEZ</t>
  </si>
  <si>
    <t>Mechanised</t>
  </si>
  <si>
    <t xml:space="preserve"> AA</t>
  </si>
  <si>
    <t>NA</t>
  </si>
  <si>
    <t>ތާވަލު 9.10: ބޭނުނު މަހުގެ އަދަދު، މަސްދަތުރުގެ އަދަދު އަދި ތަނުގެ ގޮތުން ބޭނިފައިވާ މަހުގެ ނިސްބަތް، 2017</t>
  </si>
  <si>
    <t>Table 9.10: FISH CATCH, FISHING TRIPS AND CATCH PER UNIT EFFORT BY LOCALITY, 2017</t>
  </si>
  <si>
    <t>Fish Catch (metric tonnes)</t>
  </si>
  <si>
    <t>Catch per unit effort (metric tonnes)</t>
  </si>
  <si>
    <t>Fishing Trips</t>
  </si>
  <si>
    <t>Longline Vessels</t>
  </si>
  <si>
    <t>Masdhonis</t>
  </si>
  <si>
    <t xml:space="preserve">މައުލޫމާތު ދެއްވި ފަރާތް: މިނިސްޓްރީ އޮފް ފިޝަރީޒް އެންޑް އެގްރިކަލްޗަރ </t>
  </si>
  <si>
    <t>ތާވަލު 9.10: ބޭނުނު މަހުގެ އަދަދު، މަސްދަތުރުގެ އަދަދު އަދި ތަނުގެ ގޮތުން ބޭނިފައިވާ މަހުގެ ނިސްބަތް، 2016</t>
  </si>
  <si>
    <t>Table 9.10: FISH CATCH, FISHING TRIPS AND CATCH PER UNIT EFFORT BY LOCALITY, 2016</t>
  </si>
  <si>
    <t>ތާވަލު 9.9: ބޭނުނު މަހުގެ އަދަދު، މަސްދަތުރުގެ އަދަދު އަދި ތަނުގެ ގޮތުން ބޭނިފައިވާ މަހުގެ ނިސްބަތް، 2015</t>
  </si>
  <si>
    <t>Table 9.9: FISH CATCH, FISHING TRIPS AND CATCH PER UNIT EFFORT BY LOCALITY,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</si>
</sst>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#,##0.0"/>
    <numFmt numFmtId="169" formatCode="_(* #,##0_);_(* \(#,##0\);_(* &quot;-&quot;??_);_(@_)"/>
    <numFmt numFmtId="171" formatCode="[$-409]mmmm\ d\,\ 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i/>
      <sz val="9"/>
      <name val="Calibri"/>
      <family val="2"/>
    </font>
    <font>
      <b/>
      <sz val="10"/>
      <name val="Arial"/>
      <family val="2"/>
    </font>
    <font>
      <sz val="9"/>
      <name val="Calibri"/>
      <family val="2"/>
    </font>
    <font>
      <sz val="10"/>
      <name val="MS Sans Serif"/>
      <family val="2"/>
    </font>
    <font>
      <b/>
      <sz val="11"/>
      <name val="Faruma"/>
    </font>
    <font>
      <b/>
      <sz val="11"/>
      <color theme="1"/>
      <name val="Calibri"/>
      <family val="2"/>
    </font>
    <font>
      <sz val="9"/>
      <color theme="1"/>
      <name val="Faruma"/>
    </font>
    <font>
      <sz val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1" fillId="0" borderId="0" applyFont="0" applyFill="0" applyBorder="0" applyAlignment="0" applyProtection="0"/>
    <xf numFmtId="0" fontId="6" fillId="0" borderId="0"/>
    <xf numFmtId="171" fontId="2" fillId="0" borderId="0"/>
    <xf numFmtId="171" fontId="2" fillId="0" borderId="0"/>
    <xf numFmtId="171" fontId="2" fillId="0" borderId="0"/>
  </cellStyleXfs>
  <cellXfs count="68">
    <xf numFmtId="0" fontId="0" fillId="0" borderId="0" xfId="0"/>
    <xf numFmtId="164" fontId="6" fillId="2" borderId="0" xfId="2" applyFont="1" applyFill="1" applyAlignment="1">
      <alignment vertical="center"/>
    </xf>
    <xf numFmtId="164" fontId="8" fillId="2" borderId="0" xfId="2" applyFont="1" applyFill="1" applyAlignment="1" applyProtection="1">
      <alignment horizontal="left" vertical="center"/>
    </xf>
    <xf numFmtId="164" fontId="9" fillId="2" borderId="0" xfId="2" applyFont="1" applyFill="1" applyAlignment="1">
      <alignment vertical="center"/>
    </xf>
    <xf numFmtId="164" fontId="9" fillId="2" borderId="0" xfId="2" applyFont="1" applyFill="1" applyAlignment="1">
      <alignment horizontal="right" vertical="center"/>
    </xf>
    <xf numFmtId="164" fontId="5" fillId="2" borderId="1" xfId="0" applyNumberFormat="1" applyFont="1" applyFill="1" applyBorder="1" applyAlignment="1" applyProtection="1">
      <alignment horizontal="left" vertical="center" indent="1"/>
    </xf>
    <xf numFmtId="164" fontId="6" fillId="2" borderId="0" xfId="2" applyFont="1" applyFill="1" applyBorder="1" applyAlignment="1">
      <alignment vertical="center"/>
    </xf>
    <xf numFmtId="164" fontId="4" fillId="2" borderId="0" xfId="2" applyFont="1" applyFill="1" applyAlignment="1">
      <alignment horizontal="right" vertical="center"/>
    </xf>
    <xf numFmtId="164" fontId="4" fillId="2" borderId="0" xfId="2" applyFont="1" applyFill="1" applyBorder="1" applyAlignment="1">
      <alignment horizontal="right" vertical="center"/>
    </xf>
    <xf numFmtId="3" fontId="7" fillId="2" borderId="0" xfId="2" applyNumberFormat="1" applyFont="1" applyFill="1" applyBorder="1" applyAlignment="1" applyProtection="1">
      <alignment horizontal="right" vertical="center"/>
    </xf>
    <xf numFmtId="164" fontId="7" fillId="2" borderId="1" xfId="2" applyFont="1" applyFill="1" applyBorder="1" applyAlignment="1" applyProtection="1">
      <alignment horizontal="right" vertical="center"/>
    </xf>
    <xf numFmtId="164" fontId="10" fillId="2" borderId="0" xfId="2" applyFont="1" applyFill="1" applyBorder="1" applyAlignment="1">
      <alignment horizontal="right" vertical="center"/>
    </xf>
    <xf numFmtId="164" fontId="7" fillId="2" borderId="10" xfId="2" applyFont="1" applyFill="1" applyBorder="1" applyAlignment="1" applyProtection="1">
      <alignment horizontal="right"/>
    </xf>
    <xf numFmtId="164" fontId="7" fillId="2" borderId="0" xfId="2" applyFont="1" applyFill="1" applyBorder="1" applyAlignment="1" applyProtection="1">
      <alignment horizontal="right"/>
    </xf>
    <xf numFmtId="164" fontId="7" fillId="2" borderId="0" xfId="2" applyFont="1" applyFill="1" applyBorder="1" applyAlignment="1" applyProtection="1">
      <alignment horizontal="center" vertical="center"/>
    </xf>
    <xf numFmtId="164" fontId="9" fillId="2" borderId="0" xfId="2" applyFont="1" applyFill="1" applyBorder="1" applyAlignment="1">
      <alignment vertical="center"/>
    </xf>
    <xf numFmtId="164" fontId="12" fillId="2" borderId="0" xfId="2" applyFont="1" applyFill="1" applyAlignment="1">
      <alignment vertical="center"/>
    </xf>
    <xf numFmtId="164" fontId="13" fillId="2" borderId="0" xfId="2" applyFont="1" applyFill="1" applyBorder="1" applyAlignment="1" applyProtection="1">
      <alignment vertical="center"/>
    </xf>
    <xf numFmtId="164" fontId="7" fillId="2" borderId="1" xfId="2" applyFont="1" applyFill="1" applyBorder="1" applyAlignment="1" applyProtection="1">
      <alignment horizontal="center" vertical="center"/>
    </xf>
    <xf numFmtId="164" fontId="9" fillId="2" borderId="0" xfId="2" applyFont="1" applyFill="1" applyBorder="1" applyAlignment="1" applyProtection="1">
      <alignment vertical="center"/>
    </xf>
    <xf numFmtId="164" fontId="7" fillId="2" borderId="0" xfId="2" applyFont="1" applyFill="1" applyBorder="1" applyAlignment="1" applyProtection="1">
      <alignment horizontal="right" vertical="center"/>
    </xf>
    <xf numFmtId="164" fontId="7" fillId="2" borderId="7" xfId="2" applyFont="1" applyFill="1" applyBorder="1" applyAlignment="1" applyProtection="1">
      <alignment horizontal="right" vertical="center"/>
    </xf>
    <xf numFmtId="164" fontId="7" fillId="2" borderId="12" xfId="2" applyFont="1" applyFill="1" applyBorder="1" applyAlignment="1" applyProtection="1">
      <alignment horizontal="right"/>
    </xf>
    <xf numFmtId="164" fontId="9" fillId="2" borderId="0" xfId="2" applyFont="1" applyFill="1" applyBorder="1" applyAlignment="1">
      <alignment horizontal="right" vertical="center"/>
    </xf>
    <xf numFmtId="164" fontId="7" fillId="2" borderId="8" xfId="2" applyFont="1" applyFill="1" applyBorder="1" applyAlignment="1" applyProtection="1">
      <alignment horizontal="right" vertical="center"/>
    </xf>
    <xf numFmtId="164" fontId="7" fillId="2" borderId="4" xfId="2" applyFont="1" applyFill="1" applyBorder="1" applyAlignment="1" applyProtection="1">
      <alignment horizontal="right" vertical="center"/>
    </xf>
    <xf numFmtId="164" fontId="7" fillId="2" borderId="0" xfId="2" applyFont="1" applyFill="1" applyBorder="1" applyAlignment="1" applyProtection="1">
      <alignment horizontal="left" vertical="center"/>
    </xf>
    <xf numFmtId="3" fontId="7" fillId="2" borderId="2" xfId="2" applyNumberFormat="1" applyFont="1" applyFill="1" applyBorder="1" applyAlignment="1" applyProtection="1">
      <alignment horizontal="right" vertical="center"/>
    </xf>
    <xf numFmtId="165" fontId="7" fillId="2" borderId="6" xfId="2" applyNumberFormat="1" applyFont="1" applyFill="1" applyBorder="1" applyAlignment="1" applyProtection="1">
      <alignment horizontal="right" vertical="center" indent="3"/>
    </xf>
    <xf numFmtId="165" fontId="7" fillId="2" borderId="3" xfId="2" applyNumberFormat="1" applyFont="1" applyFill="1" applyBorder="1" applyAlignment="1" applyProtection="1">
      <alignment horizontal="right" vertical="center" indent="3"/>
    </xf>
    <xf numFmtId="3" fontId="7" fillId="2" borderId="2" xfId="2" applyNumberFormat="1" applyFont="1" applyFill="1" applyBorder="1" applyAlignment="1" applyProtection="1">
      <alignment horizontal="right" vertical="center" indent="1"/>
    </xf>
    <xf numFmtId="3" fontId="4" fillId="2" borderId="0" xfId="2" applyNumberFormat="1" applyFont="1" applyFill="1" applyBorder="1" applyAlignment="1">
      <alignment horizontal="right" vertical="center"/>
    </xf>
    <xf numFmtId="3" fontId="7" fillId="2" borderId="0" xfId="2" applyNumberFormat="1" applyFont="1" applyFill="1" applyBorder="1" applyAlignment="1">
      <alignment horizontal="right" vertical="center"/>
    </xf>
    <xf numFmtId="3" fontId="5" fillId="2" borderId="0" xfId="2" applyNumberFormat="1" applyFont="1" applyFill="1" applyBorder="1" applyAlignment="1">
      <alignment horizontal="right" vertical="center"/>
    </xf>
    <xf numFmtId="165" fontId="7" fillId="2" borderId="7" xfId="2" applyNumberFormat="1" applyFont="1" applyFill="1" applyBorder="1" applyAlignment="1" applyProtection="1">
      <alignment horizontal="right" vertical="center" indent="3"/>
    </xf>
    <xf numFmtId="3" fontId="7" fillId="2" borderId="0" xfId="2" applyNumberFormat="1" applyFont="1" applyFill="1" applyBorder="1" applyAlignment="1">
      <alignment horizontal="right" vertical="center" indent="1"/>
    </xf>
    <xf numFmtId="3" fontId="7" fillId="2" borderId="0" xfId="2" applyNumberFormat="1" applyFont="1" applyFill="1" applyBorder="1" applyAlignment="1" applyProtection="1">
      <alignment horizontal="right" vertical="center" indent="1"/>
    </xf>
    <xf numFmtId="164" fontId="5" fillId="2" borderId="0" xfId="0" applyNumberFormat="1" applyFont="1" applyFill="1" applyBorder="1" applyAlignment="1" applyProtection="1">
      <alignment horizontal="left" vertical="center" indent="1"/>
    </xf>
    <xf numFmtId="165" fontId="5" fillId="2" borderId="7" xfId="2" applyNumberFormat="1" applyFont="1" applyFill="1" applyBorder="1" applyAlignment="1" applyProtection="1">
      <alignment horizontal="right" vertical="center" indent="3"/>
    </xf>
    <xf numFmtId="165" fontId="5" fillId="2" borderId="3" xfId="2" applyNumberFormat="1" applyFont="1" applyFill="1" applyBorder="1" applyAlignment="1" applyProtection="1">
      <alignment horizontal="right" vertical="center" indent="3"/>
    </xf>
    <xf numFmtId="3" fontId="5" fillId="2" borderId="0" xfId="2" applyNumberFormat="1" applyFont="1" applyFill="1" applyBorder="1" applyAlignment="1">
      <alignment horizontal="right" vertical="center" indent="1"/>
    </xf>
    <xf numFmtId="164" fontId="3" fillId="2" borderId="0" xfId="2" applyFont="1" applyFill="1" applyBorder="1" applyAlignment="1">
      <alignment horizontal="right" vertical="center"/>
    </xf>
    <xf numFmtId="164" fontId="3" fillId="2" borderId="0" xfId="2" applyFont="1" applyFill="1" applyAlignment="1">
      <alignment horizontal="right" vertical="center"/>
    </xf>
    <xf numFmtId="3" fontId="5" fillId="2" borderId="1" xfId="2" applyNumberFormat="1" applyFont="1" applyFill="1" applyBorder="1" applyAlignment="1">
      <alignment horizontal="right" vertical="center"/>
    </xf>
    <xf numFmtId="165" fontId="5" fillId="2" borderId="8" xfId="2" applyNumberFormat="1" applyFont="1" applyFill="1" applyBorder="1" applyAlignment="1" applyProtection="1">
      <alignment horizontal="right" vertical="center" indent="3"/>
    </xf>
    <xf numFmtId="165" fontId="5" fillId="2" borderId="4" xfId="2" applyNumberFormat="1" applyFont="1" applyFill="1" applyBorder="1" applyAlignment="1" applyProtection="1">
      <alignment horizontal="right" vertical="center" indent="3"/>
    </xf>
    <xf numFmtId="3" fontId="5" fillId="2" borderId="1" xfId="2" applyNumberFormat="1" applyFont="1" applyFill="1" applyBorder="1" applyAlignment="1">
      <alignment horizontal="right" vertical="center" indent="1"/>
    </xf>
    <xf numFmtId="164" fontId="10" fillId="2" borderId="0" xfId="2" applyFont="1" applyFill="1" applyBorder="1" applyAlignment="1">
      <alignment horizontal="right" vertical="center" indent="1"/>
    </xf>
    <xf numFmtId="0" fontId="14" fillId="2" borderId="0" xfId="0" applyNumberFormat="1" applyFont="1" applyFill="1" applyBorder="1" applyAlignment="1">
      <alignment horizontal="right" indent="1"/>
    </xf>
    <xf numFmtId="169" fontId="10" fillId="2" borderId="0" xfId="1" applyNumberFormat="1" applyFont="1" applyFill="1" applyBorder="1" applyAlignment="1">
      <alignment horizontal="right" vertical="center"/>
    </xf>
    <xf numFmtId="0" fontId="14" fillId="2" borderId="0" xfId="0" applyNumberFormat="1" applyFont="1" applyFill="1" applyBorder="1"/>
    <xf numFmtId="3" fontId="7" fillId="2" borderId="2" xfId="0" applyNumberFormat="1" applyFont="1" applyFill="1" applyBorder="1" applyAlignment="1">
      <alignment horizontal="left" vertical="center" indent="7"/>
    </xf>
    <xf numFmtId="3" fontId="7" fillId="2" borderId="0" xfId="0" applyNumberFormat="1" applyFont="1" applyFill="1" applyBorder="1" applyAlignment="1">
      <alignment horizontal="left" vertical="center" indent="7"/>
    </xf>
    <xf numFmtId="3" fontId="5" fillId="2" borderId="0" xfId="0" applyNumberFormat="1" applyFont="1" applyFill="1" applyBorder="1" applyAlignment="1">
      <alignment horizontal="left" vertical="center" indent="7"/>
    </xf>
    <xf numFmtId="3" fontId="5" fillId="2" borderId="1" xfId="0" applyNumberFormat="1" applyFont="1" applyFill="1" applyBorder="1" applyAlignment="1">
      <alignment horizontal="left" vertical="center" indent="7"/>
    </xf>
    <xf numFmtId="0" fontId="15" fillId="2" borderId="0" xfId="4" applyFont="1" applyFill="1" applyBorder="1" applyAlignment="1">
      <alignment horizontal="right" vertical="center"/>
    </xf>
    <xf numFmtId="40" fontId="3" fillId="2" borderId="0" xfId="3" applyNumberFormat="1" applyFont="1" applyFill="1" applyBorder="1" applyAlignment="1">
      <alignment horizontal="right" vertical="center"/>
    </xf>
    <xf numFmtId="38" fontId="3" fillId="2" borderId="0" xfId="3" applyNumberFormat="1" applyFont="1" applyFill="1" applyBorder="1" applyAlignment="1">
      <alignment horizontal="right" vertical="center"/>
    </xf>
    <xf numFmtId="164" fontId="7" fillId="2" borderId="5" xfId="2" applyFont="1" applyFill="1" applyBorder="1" applyAlignment="1" applyProtection="1">
      <alignment vertical="center"/>
    </xf>
    <xf numFmtId="164" fontId="7" fillId="2" borderId="11" xfId="2" applyFont="1" applyFill="1" applyBorder="1" applyAlignment="1" applyProtection="1">
      <alignment vertical="center"/>
    </xf>
    <xf numFmtId="164" fontId="7" fillId="2" borderId="0" xfId="2" applyFont="1" applyFill="1" applyBorder="1" applyAlignment="1" applyProtection="1">
      <alignment horizontal="center" vertical="center"/>
    </xf>
    <xf numFmtId="164" fontId="7" fillId="2" borderId="1" xfId="2" applyFont="1" applyFill="1" applyBorder="1" applyAlignment="1" applyProtection="1">
      <alignment horizontal="center" vertical="center"/>
    </xf>
    <xf numFmtId="164" fontId="12" fillId="2" borderId="0" xfId="2" applyFont="1" applyFill="1" applyAlignment="1">
      <alignment horizontal="center" vertical="center"/>
    </xf>
    <xf numFmtId="164" fontId="13" fillId="2" borderId="0" xfId="2" applyFont="1" applyFill="1" applyBorder="1" applyAlignment="1" applyProtection="1">
      <alignment horizontal="center" vertical="center"/>
    </xf>
    <xf numFmtId="164" fontId="7" fillId="2" borderId="2" xfId="2" applyFont="1" applyFill="1" applyBorder="1" applyAlignment="1" applyProtection="1">
      <alignment horizontal="center" vertical="center"/>
    </xf>
    <xf numFmtId="164" fontId="7" fillId="2" borderId="5" xfId="2" applyFont="1" applyFill="1" applyBorder="1" applyAlignment="1" applyProtection="1">
      <alignment horizontal="center" vertical="center"/>
    </xf>
    <xf numFmtId="164" fontId="7" fillId="2" borderId="11" xfId="2" applyFont="1" applyFill="1" applyBorder="1" applyAlignment="1" applyProtection="1">
      <alignment horizontal="center" vertical="center"/>
    </xf>
    <xf numFmtId="164" fontId="7" fillId="2" borderId="9" xfId="2" applyFont="1" applyFill="1" applyBorder="1" applyAlignment="1" applyProtection="1">
      <alignment horizontal="center" vertical="center"/>
    </xf>
  </cellXfs>
  <cellStyles count="8">
    <cellStyle name="Comma" xfId="1" builtinId="3"/>
    <cellStyle name="Comma 2" xfId="3"/>
    <cellStyle name="Normal" xfId="0" builtinId="0"/>
    <cellStyle name="Normal 2_agri planning 2009 year book(final)" xfId="5"/>
    <cellStyle name="Normal 3_agri planning 2009 year book(final)" xfId="7"/>
    <cellStyle name="Normal 4_agri planning 2009 year book(final)" xfId="6"/>
    <cellStyle name="Normal_9.16" xfId="4"/>
    <cellStyle name="Normal_Fish &amp;  Agri - 8" xfId="2"/>
  </cellStyles>
  <dxfs count="0"/>
  <tableStyles count="0" defaultTableStyle="TableStyleMedium2" defaultPivotStyle="PivotStyleLight16"/>
  <colors>
    <mruColors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FINAL/9.%20FISHERIES%20AND%20AGRICULTU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7\WEB\Shahuda%20not%20checked\9.%20FISHERIES%20AND%20AGRICULTURE\9.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9.%20FISHERIES%20AND%20AGRICULTURE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8.1"/>
      <sheetName val="9.9"/>
      <sheetName val="9.10"/>
      <sheetName val="9.10.1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89683.148024090799</v>
          </cell>
          <cell r="E9">
            <v>49376.811349197931</v>
          </cell>
          <cell r="F9">
            <v>1074.1737564163373</v>
          </cell>
          <cell r="G9">
            <v>3.4710000000000005</v>
          </cell>
          <cell r="H9">
            <v>21.806846050809384</v>
          </cell>
          <cell r="I9">
            <v>161.34417921404571</v>
          </cell>
          <cell r="J9">
            <v>345.28287397791433</v>
          </cell>
          <cell r="K9">
            <v>2493.9263026769763</v>
          </cell>
        </row>
        <row r="13">
          <cell r="A13" t="str">
            <v xml:space="preserve"> HA</v>
          </cell>
          <cell r="B13">
            <v>3548.6896117828474</v>
          </cell>
        </row>
        <row r="14">
          <cell r="A14" t="str">
            <v xml:space="preserve"> HDh</v>
          </cell>
          <cell r="B14">
            <v>2665.1350675685076</v>
          </cell>
        </row>
        <row r="15">
          <cell r="A15" t="str">
            <v xml:space="preserve"> Sh</v>
          </cell>
          <cell r="B15">
            <v>3221.2989848185966</v>
          </cell>
        </row>
        <row r="16">
          <cell r="A16" t="str">
            <v xml:space="preserve"> N</v>
          </cell>
          <cell r="B16">
            <v>2037.369549684689</v>
          </cell>
        </row>
        <row r="17">
          <cell r="A17" t="str">
            <v xml:space="preserve"> R</v>
          </cell>
          <cell r="B17">
            <v>4736.5105807719865</v>
          </cell>
        </row>
        <row r="18">
          <cell r="A18" t="str">
            <v>B</v>
          </cell>
          <cell r="B18">
            <v>1609.2743994481875</v>
          </cell>
        </row>
        <row r="19">
          <cell r="A19" t="str">
            <v>Lh</v>
          </cell>
          <cell r="B19">
            <v>3285.6221078384801</v>
          </cell>
        </row>
        <row r="20">
          <cell r="A20" t="str">
            <v>K</v>
          </cell>
          <cell r="B20">
            <v>3352.3710822809958</v>
          </cell>
        </row>
        <row r="21">
          <cell r="A21" t="str">
            <v>AA</v>
          </cell>
          <cell r="B21">
            <v>2349.3707511765833</v>
          </cell>
        </row>
        <row r="22">
          <cell r="A22" t="str">
            <v>ADh</v>
          </cell>
          <cell r="B22">
            <v>3069.7628263915908</v>
          </cell>
        </row>
        <row r="23">
          <cell r="A23" t="str">
            <v>V</v>
          </cell>
          <cell r="B23">
            <v>240.41875105324056</v>
          </cell>
        </row>
        <row r="24">
          <cell r="A24" t="str">
            <v>M</v>
          </cell>
          <cell r="B24">
            <v>3303.4787321652643</v>
          </cell>
        </row>
        <row r="25">
          <cell r="A25" t="str">
            <v>F</v>
          </cell>
          <cell r="B25">
            <v>2969.6042037139136</v>
          </cell>
        </row>
        <row r="26">
          <cell r="A26" t="str">
            <v>Dh</v>
          </cell>
          <cell r="B26">
            <v>8390.1824668277168</v>
          </cell>
        </row>
        <row r="27">
          <cell r="A27" t="str">
            <v>Th</v>
          </cell>
          <cell r="B27">
            <v>5794.2599899738352</v>
          </cell>
        </row>
        <row r="28">
          <cell r="A28" t="str">
            <v xml:space="preserve"> L</v>
          </cell>
          <cell r="B28">
            <v>12223.952593290209</v>
          </cell>
        </row>
        <row r="29">
          <cell r="A29" t="str">
            <v>GA</v>
          </cell>
          <cell r="B29">
            <v>24214.26468123731</v>
          </cell>
        </row>
        <row r="30">
          <cell r="A30" t="str">
            <v>GDh</v>
          </cell>
          <cell r="B30">
            <v>13637.841725925478</v>
          </cell>
        </row>
        <row r="31">
          <cell r="A31" t="str">
            <v>Gn</v>
          </cell>
          <cell r="B31">
            <v>5096.0265002171318</v>
          </cell>
        </row>
        <row r="32">
          <cell r="A32" t="str">
            <v>S</v>
          </cell>
          <cell r="B32">
            <v>9377.6345015550251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3"/>
    </sheetNames>
    <sheetDataSet>
      <sheetData sheetId="0"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9"/>
      <sheetName val="9.10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  <sheetName val="Sheet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2">
          <cell r="Y12" t="str">
            <v>India</v>
          </cell>
        </row>
      </sheetData>
      <sheetData sheetId="12" refreshError="1"/>
      <sheetData sheetId="13">
        <row r="5">
          <cell r="B5">
            <v>2014</v>
          </cell>
        </row>
      </sheetData>
      <sheetData sheetId="14" refreshError="1"/>
      <sheetData sheetId="15" refreshError="1"/>
      <sheetData sheetId="16" refreshError="1"/>
      <sheetData sheetId="17">
        <row r="6">
          <cell r="J6">
            <v>2016</v>
          </cell>
          <cell r="K6">
            <v>2017</v>
          </cell>
          <cell r="L6">
            <v>2018</v>
          </cell>
        </row>
        <row r="8">
          <cell r="A8" t="str">
            <v>January</v>
          </cell>
          <cell r="J8">
            <v>6955911</v>
          </cell>
          <cell r="K8">
            <v>8451496</v>
          </cell>
          <cell r="L8">
            <v>3998689</v>
          </cell>
        </row>
        <row r="9">
          <cell r="A9" t="str">
            <v>February</v>
          </cell>
          <cell r="J9">
            <v>8760849</v>
          </cell>
          <cell r="K9">
            <v>8453823.5</v>
          </cell>
          <cell r="L9">
            <v>5869779</v>
          </cell>
        </row>
        <row r="10">
          <cell r="A10" t="str">
            <v>March</v>
          </cell>
          <cell r="J10">
            <v>4695175</v>
          </cell>
          <cell r="K10">
            <v>7567492</v>
          </cell>
          <cell r="L10">
            <v>5047706</v>
          </cell>
        </row>
        <row r="11">
          <cell r="A11" t="str">
            <v>April</v>
          </cell>
          <cell r="J11">
            <v>7632635</v>
          </cell>
          <cell r="K11">
            <v>7684767</v>
          </cell>
          <cell r="L11">
            <v>6195221</v>
          </cell>
        </row>
        <row r="12">
          <cell r="A12" t="str">
            <v>May</v>
          </cell>
          <cell r="J12">
            <v>4402140</v>
          </cell>
          <cell r="K12">
            <v>4452678</v>
          </cell>
          <cell r="L12">
            <v>5648060</v>
          </cell>
        </row>
        <row r="13">
          <cell r="A13" t="str">
            <v>June</v>
          </cell>
          <cell r="J13">
            <v>17783645</v>
          </cell>
          <cell r="K13">
            <v>8162327.5</v>
          </cell>
          <cell r="L13">
            <v>4394775</v>
          </cell>
        </row>
        <row r="14">
          <cell r="A14" t="str">
            <v>July</v>
          </cell>
          <cell r="J14">
            <v>3498845</v>
          </cell>
          <cell r="K14">
            <v>3507629</v>
          </cell>
          <cell r="L14">
            <v>1475635</v>
          </cell>
        </row>
        <row r="15">
          <cell r="A15" t="str">
            <v>August</v>
          </cell>
          <cell r="J15">
            <v>1213770</v>
          </cell>
          <cell r="K15">
            <v>4520327</v>
          </cell>
          <cell r="L15">
            <v>2343393</v>
          </cell>
        </row>
        <row r="16">
          <cell r="A16" t="str">
            <v>September</v>
          </cell>
          <cell r="J16">
            <v>4420818</v>
          </cell>
          <cell r="K16">
            <v>247465</v>
          </cell>
          <cell r="L16">
            <v>736400</v>
          </cell>
        </row>
        <row r="17">
          <cell r="A17" t="str">
            <v>October</v>
          </cell>
          <cell r="J17">
            <v>3415419</v>
          </cell>
          <cell r="K17">
            <v>3873070</v>
          </cell>
          <cell r="L17">
            <v>3165053</v>
          </cell>
        </row>
        <row r="18">
          <cell r="A18" t="str">
            <v>November</v>
          </cell>
          <cell r="J18">
            <v>1232500</v>
          </cell>
          <cell r="K18">
            <v>2455632.5</v>
          </cell>
          <cell r="L18">
            <v>2708995</v>
          </cell>
        </row>
        <row r="19">
          <cell r="A19" t="str">
            <v>December</v>
          </cell>
          <cell r="J19">
            <v>1016000</v>
          </cell>
          <cell r="K19">
            <v>4703310</v>
          </cell>
          <cell r="L19">
            <v>1875775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tabSelected="1" zoomScaleNormal="100" workbookViewId="0">
      <selection activeCell="G115" sqref="G115"/>
    </sheetView>
  </sheetViews>
  <sheetFormatPr defaultColWidth="10" defaultRowHeight="12.75" x14ac:dyDescent="0.25"/>
  <cols>
    <col min="1" max="1" width="10" style="1"/>
    <col min="2" max="2" width="13" style="1" customWidth="1"/>
    <col min="3" max="3" width="14.28515625" style="1" customWidth="1"/>
    <col min="4" max="4" width="14.28515625" style="6" customWidth="1"/>
    <col min="5" max="6" width="15.5703125" style="6" customWidth="1"/>
    <col min="7" max="8" width="13.140625" style="1" customWidth="1"/>
    <col min="9" max="9" width="15.7109375" style="6" customWidth="1"/>
    <col min="10" max="10" width="4.5703125" style="1" customWidth="1"/>
    <col min="11" max="11" width="12.28515625" style="1" customWidth="1"/>
    <col min="12" max="12" width="11.7109375" style="1" customWidth="1"/>
    <col min="13" max="16384" width="10" style="1"/>
  </cols>
  <sheetData>
    <row r="1" spans="1:13" ht="21" x14ac:dyDescent="0.25">
      <c r="A1" s="62" t="s">
        <v>30</v>
      </c>
      <c r="B1" s="62"/>
      <c r="C1" s="62"/>
      <c r="D1" s="62"/>
      <c r="E1" s="62"/>
      <c r="F1" s="62"/>
      <c r="G1" s="62"/>
      <c r="H1" s="62"/>
      <c r="I1" s="62"/>
      <c r="J1" s="16"/>
      <c r="K1" s="16"/>
      <c r="L1" s="16"/>
    </row>
    <row r="2" spans="1:13" s="3" customFormat="1" ht="15" x14ac:dyDescent="0.25">
      <c r="A2" s="63" t="s">
        <v>31</v>
      </c>
      <c r="B2" s="63"/>
      <c r="C2" s="63"/>
      <c r="D2" s="63"/>
      <c r="E2" s="63"/>
      <c r="F2" s="63"/>
      <c r="G2" s="63"/>
      <c r="H2" s="63"/>
      <c r="I2" s="63"/>
      <c r="J2" s="17"/>
      <c r="K2" s="17"/>
      <c r="L2" s="17"/>
    </row>
    <row r="3" spans="1:13" s="15" customFormat="1" x14ac:dyDescent="0.25">
      <c r="A3" s="14"/>
      <c r="B3" s="18"/>
      <c r="C3" s="18"/>
      <c r="D3" s="18"/>
      <c r="E3" s="18"/>
      <c r="F3" s="18"/>
      <c r="G3" s="18"/>
      <c r="H3" s="18"/>
      <c r="I3" s="18"/>
      <c r="J3" s="14"/>
      <c r="K3" s="14"/>
      <c r="L3" s="14"/>
    </row>
    <row r="4" spans="1:13" s="3" customFormat="1" x14ac:dyDescent="0.25">
      <c r="A4" s="64" t="s">
        <v>23</v>
      </c>
      <c r="B4" s="65" t="s">
        <v>32</v>
      </c>
      <c r="C4" s="65"/>
      <c r="D4" s="66"/>
      <c r="E4" s="67" t="s">
        <v>33</v>
      </c>
      <c r="F4" s="66"/>
      <c r="G4" s="65" t="s">
        <v>34</v>
      </c>
      <c r="H4" s="65"/>
      <c r="I4" s="65"/>
      <c r="J4" s="15"/>
      <c r="K4" s="15"/>
      <c r="L4" s="15"/>
      <c r="M4" s="19"/>
    </row>
    <row r="5" spans="1:13" s="3" customFormat="1" x14ac:dyDescent="0.2">
      <c r="A5" s="60"/>
      <c r="B5" s="20" t="s">
        <v>27</v>
      </c>
      <c r="C5" s="12" t="s">
        <v>24</v>
      </c>
      <c r="D5" s="13" t="s">
        <v>35</v>
      </c>
      <c r="E5" s="21" t="s">
        <v>27</v>
      </c>
      <c r="F5" s="22" t="s">
        <v>24</v>
      </c>
      <c r="G5" s="20" t="s">
        <v>27</v>
      </c>
      <c r="H5" s="12" t="s">
        <v>24</v>
      </c>
      <c r="I5" s="20" t="s">
        <v>25</v>
      </c>
      <c r="J5" s="15"/>
      <c r="K5" s="15"/>
      <c r="L5" s="15"/>
      <c r="M5" s="23"/>
    </row>
    <row r="6" spans="1:13" s="3" customFormat="1" x14ac:dyDescent="0.25">
      <c r="A6" s="61"/>
      <c r="B6" s="10" t="s">
        <v>36</v>
      </c>
      <c r="C6" s="10"/>
      <c r="D6" s="10"/>
      <c r="E6" s="24" t="s">
        <v>36</v>
      </c>
      <c r="F6" s="25"/>
      <c r="G6" s="20" t="s">
        <v>36</v>
      </c>
      <c r="H6" s="20"/>
      <c r="I6" s="10"/>
      <c r="J6" s="15"/>
      <c r="K6" s="15"/>
      <c r="L6" s="15"/>
      <c r="M6" s="15"/>
    </row>
    <row r="7" spans="1:13" s="7" customFormat="1" x14ac:dyDescent="0.25">
      <c r="A7" s="26" t="s">
        <v>0</v>
      </c>
      <c r="B7" s="9">
        <f t="shared" ref="B7:I7" si="0">B8+B9+B10</f>
        <v>140592.52760031747</v>
      </c>
      <c r="C7" s="9">
        <f t="shared" si="0"/>
        <v>31.75165130738668</v>
      </c>
      <c r="D7" s="27">
        <f t="shared" si="0"/>
        <v>2535.6850800000002</v>
      </c>
      <c r="E7" s="28">
        <f t="shared" si="0"/>
        <v>2.5776908207667413</v>
      </c>
      <c r="F7" s="29">
        <f t="shared" si="0"/>
        <v>0.36081421940212138</v>
      </c>
      <c r="G7" s="27">
        <f t="shared" si="0"/>
        <v>51821</v>
      </c>
      <c r="H7" s="30">
        <f t="shared" si="0"/>
        <v>88</v>
      </c>
      <c r="I7" s="30">
        <f t="shared" si="0"/>
        <v>2343</v>
      </c>
      <c r="J7" s="8"/>
      <c r="K7" s="8"/>
      <c r="L7" s="8"/>
      <c r="M7" s="31"/>
    </row>
    <row r="8" spans="1:13" s="7" customFormat="1" x14ac:dyDescent="0.25">
      <c r="A8" s="26" t="s">
        <v>1</v>
      </c>
      <c r="B8" s="32">
        <v>25501.210143903216</v>
      </c>
      <c r="C8" s="33">
        <v>0</v>
      </c>
      <c r="D8" s="32">
        <v>0</v>
      </c>
      <c r="E8" s="34">
        <v>0</v>
      </c>
      <c r="F8" s="29">
        <v>0</v>
      </c>
      <c r="G8" s="32">
        <v>7172</v>
      </c>
      <c r="H8" s="35">
        <v>0</v>
      </c>
      <c r="I8" s="35">
        <v>0</v>
      </c>
      <c r="J8" s="8"/>
      <c r="K8" s="8"/>
      <c r="L8" s="8"/>
      <c r="M8" s="31"/>
    </row>
    <row r="9" spans="1:13" s="7" customFormat="1" x14ac:dyDescent="0.25">
      <c r="A9" s="26" t="s">
        <v>2</v>
      </c>
      <c r="B9" s="9">
        <f>SUM(B11:B30)</f>
        <v>115091.31745641424</v>
      </c>
      <c r="C9" s="9">
        <f>SUM(C11:C30)</f>
        <v>31.75165130738668</v>
      </c>
      <c r="D9" s="9">
        <v>0</v>
      </c>
      <c r="E9" s="34">
        <f>B9/G9</f>
        <v>2.5776908207667413</v>
      </c>
      <c r="F9" s="29">
        <f>C9/H9</f>
        <v>0.36081421940212138</v>
      </c>
      <c r="G9" s="9">
        <f>SUM(G11:G30)</f>
        <v>44649</v>
      </c>
      <c r="H9" s="36">
        <f>SUM(H11:H30)</f>
        <v>88</v>
      </c>
      <c r="I9" s="36">
        <v>0</v>
      </c>
      <c r="J9" s="8"/>
      <c r="K9" s="8"/>
      <c r="L9" s="8"/>
      <c r="M9" s="31"/>
    </row>
    <row r="10" spans="1:13" s="7" customFormat="1" x14ac:dyDescent="0.25">
      <c r="A10" s="26" t="s">
        <v>26</v>
      </c>
      <c r="B10" s="9">
        <v>0</v>
      </c>
      <c r="C10" s="9">
        <v>0</v>
      </c>
      <c r="D10" s="9">
        <v>2535.6850800000002</v>
      </c>
      <c r="E10" s="34">
        <v>0</v>
      </c>
      <c r="F10" s="29">
        <v>0</v>
      </c>
      <c r="G10" s="9">
        <v>0</v>
      </c>
      <c r="H10" s="36">
        <v>0</v>
      </c>
      <c r="I10" s="36">
        <v>2343</v>
      </c>
      <c r="J10" s="8"/>
      <c r="K10" s="8"/>
      <c r="L10" s="8"/>
      <c r="M10" s="31"/>
    </row>
    <row r="11" spans="1:13" s="7" customFormat="1" x14ac:dyDescent="0.25">
      <c r="A11" s="37" t="s">
        <v>3</v>
      </c>
      <c r="B11" s="33">
        <v>3548.6896117828483</v>
      </c>
      <c r="C11" s="33">
        <v>0</v>
      </c>
      <c r="D11" s="33">
        <v>0</v>
      </c>
      <c r="E11" s="38">
        <f t="shared" ref="E11:E30" si="1">B11/G11</f>
        <v>1.6353408349229714</v>
      </c>
      <c r="F11" s="39">
        <v>0</v>
      </c>
      <c r="G11" s="33">
        <v>2170</v>
      </c>
      <c r="H11" s="40">
        <v>0</v>
      </c>
      <c r="I11" s="40">
        <v>0</v>
      </c>
      <c r="J11" s="8"/>
      <c r="K11" s="8"/>
      <c r="L11" s="8"/>
      <c r="M11" s="31"/>
    </row>
    <row r="12" spans="1:13" s="7" customFormat="1" x14ac:dyDescent="0.25">
      <c r="A12" s="37" t="s">
        <v>4</v>
      </c>
      <c r="B12" s="33">
        <v>2665.1350675685071</v>
      </c>
      <c r="C12" s="33">
        <v>0</v>
      </c>
      <c r="D12" s="33">
        <v>0</v>
      </c>
      <c r="E12" s="38">
        <f t="shared" si="1"/>
        <v>1.4708250924771011</v>
      </c>
      <c r="F12" s="39">
        <v>0</v>
      </c>
      <c r="G12" s="33">
        <v>1812</v>
      </c>
      <c r="H12" s="40">
        <v>0</v>
      </c>
      <c r="I12" s="40">
        <v>0</v>
      </c>
      <c r="J12" s="8"/>
      <c r="K12" s="8"/>
      <c r="L12" s="8"/>
      <c r="M12" s="31"/>
    </row>
    <row r="13" spans="1:13" s="7" customFormat="1" x14ac:dyDescent="0.25">
      <c r="A13" s="37" t="s">
        <v>5</v>
      </c>
      <c r="B13" s="33">
        <v>3221.2989848185975</v>
      </c>
      <c r="C13" s="33">
        <v>0</v>
      </c>
      <c r="D13" s="33">
        <v>0</v>
      </c>
      <c r="E13" s="38">
        <f t="shared" si="1"/>
        <v>1.3180437744756945</v>
      </c>
      <c r="F13" s="39">
        <v>0</v>
      </c>
      <c r="G13" s="33">
        <v>2444</v>
      </c>
      <c r="H13" s="40">
        <v>0</v>
      </c>
      <c r="I13" s="40">
        <v>0</v>
      </c>
      <c r="J13" s="8"/>
      <c r="K13" s="8"/>
      <c r="L13" s="8"/>
      <c r="M13" s="31"/>
    </row>
    <row r="14" spans="1:13" s="7" customFormat="1" x14ac:dyDescent="0.25">
      <c r="A14" s="37" t="s">
        <v>7</v>
      </c>
      <c r="B14" s="33">
        <v>2037.3695496846876</v>
      </c>
      <c r="C14" s="33">
        <v>0</v>
      </c>
      <c r="D14" s="33">
        <v>0</v>
      </c>
      <c r="E14" s="38">
        <f t="shared" si="1"/>
        <v>1.4041140935111562</v>
      </c>
      <c r="F14" s="39">
        <v>0</v>
      </c>
      <c r="G14" s="33">
        <v>1451</v>
      </c>
      <c r="H14" s="40">
        <v>0</v>
      </c>
      <c r="I14" s="40">
        <v>0</v>
      </c>
      <c r="J14" s="8"/>
      <c r="K14" s="8"/>
      <c r="L14" s="8"/>
      <c r="M14" s="31"/>
    </row>
    <row r="15" spans="1:13" s="7" customFormat="1" x14ac:dyDescent="0.25">
      <c r="A15" s="37" t="s">
        <v>8</v>
      </c>
      <c r="B15" s="33">
        <v>4736.5105807719901</v>
      </c>
      <c r="C15" s="33">
        <v>0</v>
      </c>
      <c r="D15" s="33">
        <v>0</v>
      </c>
      <c r="E15" s="38">
        <f t="shared" si="1"/>
        <v>1.8640340735033412</v>
      </c>
      <c r="F15" s="39">
        <v>0</v>
      </c>
      <c r="G15" s="33">
        <v>2541</v>
      </c>
      <c r="H15" s="40">
        <v>0</v>
      </c>
      <c r="I15" s="40">
        <v>0</v>
      </c>
      <c r="J15" s="8"/>
      <c r="K15" s="8"/>
      <c r="L15" s="8"/>
      <c r="M15" s="31"/>
    </row>
    <row r="16" spans="1:13" s="7" customFormat="1" x14ac:dyDescent="0.25">
      <c r="A16" s="37" t="s">
        <v>9</v>
      </c>
      <c r="B16" s="33">
        <v>1609.2743994481884</v>
      </c>
      <c r="C16" s="33">
        <v>0</v>
      </c>
      <c r="D16" s="33">
        <v>0</v>
      </c>
      <c r="E16" s="38">
        <f t="shared" si="1"/>
        <v>1.6028629476575582</v>
      </c>
      <c r="F16" s="39">
        <v>0</v>
      </c>
      <c r="G16" s="33">
        <v>1004</v>
      </c>
      <c r="H16" s="40">
        <v>0</v>
      </c>
      <c r="I16" s="40">
        <v>0</v>
      </c>
      <c r="J16" s="8"/>
      <c r="K16" s="8"/>
      <c r="L16" s="8"/>
      <c r="M16" s="31"/>
    </row>
    <row r="17" spans="1:13" s="7" customFormat="1" x14ac:dyDescent="0.25">
      <c r="A17" s="37" t="s">
        <v>10</v>
      </c>
      <c r="B17" s="33">
        <v>3285.622107838482</v>
      </c>
      <c r="C17" s="33">
        <v>0</v>
      </c>
      <c r="D17" s="33">
        <v>0</v>
      </c>
      <c r="E17" s="38">
        <f t="shared" si="1"/>
        <v>2.1933391908134059</v>
      </c>
      <c r="F17" s="39">
        <v>0</v>
      </c>
      <c r="G17" s="33">
        <v>1498</v>
      </c>
      <c r="H17" s="40">
        <v>0</v>
      </c>
      <c r="I17" s="40">
        <v>0</v>
      </c>
      <c r="J17" s="8"/>
      <c r="K17" s="8"/>
      <c r="L17" s="8"/>
      <c r="M17" s="31"/>
    </row>
    <row r="18" spans="1:13" s="7" customFormat="1" x14ac:dyDescent="0.25">
      <c r="A18" s="37" t="s">
        <v>11</v>
      </c>
      <c r="B18" s="33">
        <v>3352.371082280999</v>
      </c>
      <c r="C18" s="33">
        <v>0</v>
      </c>
      <c r="D18" s="33">
        <v>0</v>
      </c>
      <c r="E18" s="38">
        <f t="shared" si="1"/>
        <v>1.9627465352933249</v>
      </c>
      <c r="F18" s="39">
        <v>0</v>
      </c>
      <c r="G18" s="33">
        <v>1708</v>
      </c>
      <c r="H18" s="40">
        <v>0</v>
      </c>
      <c r="I18" s="40">
        <v>0</v>
      </c>
      <c r="J18" s="8"/>
      <c r="K18" s="8"/>
      <c r="L18" s="8"/>
      <c r="M18" s="31"/>
    </row>
    <row r="19" spans="1:13" s="7" customFormat="1" x14ac:dyDescent="0.25">
      <c r="A19" s="37" t="s">
        <v>28</v>
      </c>
      <c r="B19" s="33">
        <v>2349.3707511765838</v>
      </c>
      <c r="C19" s="33">
        <v>0</v>
      </c>
      <c r="D19" s="33">
        <v>0</v>
      </c>
      <c r="E19" s="38">
        <f t="shared" si="1"/>
        <v>1.3478891286153665</v>
      </c>
      <c r="F19" s="39">
        <v>0</v>
      </c>
      <c r="G19" s="33">
        <v>1743</v>
      </c>
      <c r="H19" s="40">
        <v>0</v>
      </c>
      <c r="I19" s="40">
        <v>0</v>
      </c>
      <c r="J19" s="8"/>
      <c r="K19" s="8"/>
      <c r="L19" s="8"/>
      <c r="M19" s="31"/>
    </row>
    <row r="20" spans="1:13" s="7" customFormat="1" x14ac:dyDescent="0.25">
      <c r="A20" s="37" t="s">
        <v>12</v>
      </c>
      <c r="B20" s="33">
        <v>3069.7628263915904</v>
      </c>
      <c r="C20" s="33">
        <v>0</v>
      </c>
      <c r="D20" s="33">
        <v>0</v>
      </c>
      <c r="E20" s="38">
        <f t="shared" si="1"/>
        <v>1.0733436455914651</v>
      </c>
      <c r="F20" s="39">
        <v>0</v>
      </c>
      <c r="G20" s="33">
        <v>2860</v>
      </c>
      <c r="H20" s="40">
        <v>0</v>
      </c>
      <c r="I20" s="40">
        <v>0</v>
      </c>
      <c r="J20" s="8"/>
      <c r="K20" s="8"/>
      <c r="L20" s="8"/>
      <c r="M20" s="31"/>
    </row>
    <row r="21" spans="1:13" s="7" customFormat="1" x14ac:dyDescent="0.25">
      <c r="A21" s="37" t="s">
        <v>13</v>
      </c>
      <c r="B21" s="33">
        <v>240.41875105324058</v>
      </c>
      <c r="C21" s="33">
        <v>0</v>
      </c>
      <c r="D21" s="33">
        <v>0</v>
      </c>
      <c r="E21" s="38">
        <f t="shared" si="1"/>
        <v>2.3803836737944613</v>
      </c>
      <c r="F21" s="39">
        <v>0</v>
      </c>
      <c r="G21" s="33">
        <v>101</v>
      </c>
      <c r="H21" s="40">
        <v>0</v>
      </c>
      <c r="I21" s="40">
        <v>0</v>
      </c>
      <c r="J21" s="8"/>
      <c r="K21" s="8"/>
      <c r="L21" s="8"/>
      <c r="M21" s="31"/>
    </row>
    <row r="22" spans="1:13" s="42" customFormat="1" x14ac:dyDescent="0.25">
      <c r="A22" s="37" t="s">
        <v>14</v>
      </c>
      <c r="B22" s="33">
        <v>3303.4787321652616</v>
      </c>
      <c r="C22" s="33">
        <v>0</v>
      </c>
      <c r="D22" s="33">
        <v>0</v>
      </c>
      <c r="E22" s="38">
        <f t="shared" si="1"/>
        <v>2.98957351327173</v>
      </c>
      <c r="F22" s="39">
        <v>0</v>
      </c>
      <c r="G22" s="33">
        <v>1105</v>
      </c>
      <c r="H22" s="40">
        <v>0</v>
      </c>
      <c r="I22" s="40">
        <v>0</v>
      </c>
      <c r="J22" s="41"/>
      <c r="K22" s="8"/>
      <c r="L22" s="41"/>
      <c r="M22" s="31"/>
    </row>
    <row r="23" spans="1:13" s="42" customFormat="1" x14ac:dyDescent="0.25">
      <c r="A23" s="37" t="s">
        <v>15</v>
      </c>
      <c r="B23" s="33">
        <v>2969.6042037139164</v>
      </c>
      <c r="C23" s="33">
        <v>0</v>
      </c>
      <c r="D23" s="33">
        <v>0</v>
      </c>
      <c r="E23" s="38">
        <f t="shared" si="1"/>
        <v>1.2529975543096694</v>
      </c>
      <c r="F23" s="39">
        <v>0</v>
      </c>
      <c r="G23" s="33">
        <v>2370</v>
      </c>
      <c r="H23" s="40">
        <v>0</v>
      </c>
      <c r="I23" s="40">
        <v>0</v>
      </c>
      <c r="J23" s="41"/>
      <c r="K23" s="8"/>
      <c r="L23" s="41"/>
      <c r="M23" s="31"/>
    </row>
    <row r="24" spans="1:13" s="42" customFormat="1" x14ac:dyDescent="0.25">
      <c r="A24" s="37" t="s">
        <v>16</v>
      </c>
      <c r="B24" s="33">
        <v>8376.1913749341038</v>
      </c>
      <c r="C24" s="33">
        <v>13.99109189359849</v>
      </c>
      <c r="D24" s="33">
        <v>0</v>
      </c>
      <c r="E24" s="38">
        <f t="shared" si="1"/>
        <v>2.1313464058356497</v>
      </c>
      <c r="F24" s="39">
        <f>C24/H24</f>
        <v>0.87444324334990564</v>
      </c>
      <c r="G24" s="33">
        <v>3930</v>
      </c>
      <c r="H24" s="40">
        <v>16</v>
      </c>
      <c r="I24" s="40">
        <v>0</v>
      </c>
      <c r="J24" s="41"/>
      <c r="K24" s="8"/>
      <c r="L24" s="41"/>
      <c r="M24" s="31"/>
    </row>
    <row r="25" spans="1:13" s="42" customFormat="1" x14ac:dyDescent="0.25">
      <c r="A25" s="37" t="s">
        <v>17</v>
      </c>
      <c r="B25" s="33">
        <v>5794.2599899738443</v>
      </c>
      <c r="C25" s="33">
        <v>0</v>
      </c>
      <c r="D25" s="33">
        <v>0</v>
      </c>
      <c r="E25" s="38">
        <f t="shared" si="1"/>
        <v>2.2183231202043814</v>
      </c>
      <c r="F25" s="39">
        <v>0</v>
      </c>
      <c r="G25" s="33">
        <v>2612</v>
      </c>
      <c r="H25" s="40">
        <v>0</v>
      </c>
      <c r="I25" s="40">
        <v>0</v>
      </c>
      <c r="J25" s="41"/>
      <c r="K25" s="8"/>
      <c r="L25" s="41"/>
      <c r="M25" s="31"/>
    </row>
    <row r="26" spans="1:13" s="42" customFormat="1" x14ac:dyDescent="0.25">
      <c r="A26" s="37" t="s">
        <v>18</v>
      </c>
      <c r="B26" s="33">
        <v>12223.952593290218</v>
      </c>
      <c r="C26" s="33">
        <v>0</v>
      </c>
      <c r="D26" s="33">
        <v>0</v>
      </c>
      <c r="E26" s="38">
        <f t="shared" si="1"/>
        <v>3.2159833184136328</v>
      </c>
      <c r="F26" s="39">
        <v>0</v>
      </c>
      <c r="G26" s="33">
        <v>3801</v>
      </c>
      <c r="H26" s="40">
        <v>0</v>
      </c>
      <c r="I26" s="40">
        <v>0</v>
      </c>
      <c r="J26" s="41"/>
      <c r="K26" s="8"/>
      <c r="L26" s="41"/>
      <c r="M26" s="31"/>
    </row>
    <row r="27" spans="1:13" s="42" customFormat="1" x14ac:dyDescent="0.25">
      <c r="A27" s="37" t="s">
        <v>19</v>
      </c>
      <c r="B27" s="33">
        <v>24214.264681237295</v>
      </c>
      <c r="C27" s="33">
        <v>0</v>
      </c>
      <c r="D27" s="33">
        <v>0</v>
      </c>
      <c r="E27" s="38">
        <f t="shared" si="1"/>
        <v>5.4340809428270411</v>
      </c>
      <c r="F27" s="39">
        <v>0</v>
      </c>
      <c r="G27" s="33">
        <v>4456</v>
      </c>
      <c r="H27" s="40">
        <v>0</v>
      </c>
      <c r="I27" s="40">
        <v>0</v>
      </c>
      <c r="J27" s="41"/>
      <c r="K27" s="8"/>
      <c r="L27" s="41"/>
      <c r="M27" s="31"/>
    </row>
    <row r="28" spans="1:13" s="42" customFormat="1" x14ac:dyDescent="0.25">
      <c r="A28" s="37" t="s">
        <v>20</v>
      </c>
      <c r="B28" s="33">
        <v>13632.089280635781</v>
      </c>
      <c r="C28" s="33">
        <v>5.7524452897270821</v>
      </c>
      <c r="D28" s="33">
        <v>0</v>
      </c>
      <c r="E28" s="38">
        <f t="shared" si="1"/>
        <v>5.5437532658136561</v>
      </c>
      <c r="F28" s="39">
        <f>C28/H28</f>
        <v>0.52294957179337109</v>
      </c>
      <c r="G28" s="33">
        <v>2459</v>
      </c>
      <c r="H28" s="40">
        <v>11</v>
      </c>
      <c r="I28" s="40">
        <v>0</v>
      </c>
      <c r="J28" s="41"/>
      <c r="K28" s="8"/>
      <c r="L28" s="41"/>
      <c r="M28" s="31"/>
    </row>
    <row r="29" spans="1:13" s="42" customFormat="1" x14ac:dyDescent="0.25">
      <c r="A29" s="37" t="s">
        <v>21</v>
      </c>
      <c r="B29" s="33">
        <v>5084.0183860930829</v>
      </c>
      <c r="C29" s="33">
        <v>12.008114124061109</v>
      </c>
      <c r="D29" s="33">
        <v>0</v>
      </c>
      <c r="E29" s="38">
        <f t="shared" si="1"/>
        <v>1.8739470645385488</v>
      </c>
      <c r="F29" s="39">
        <f>C29/H29</f>
        <v>0.19685432990264112</v>
      </c>
      <c r="G29" s="33">
        <v>2713</v>
      </c>
      <c r="H29" s="40">
        <v>61</v>
      </c>
      <c r="I29" s="40">
        <v>0</v>
      </c>
      <c r="J29" s="41"/>
      <c r="K29" s="8"/>
      <c r="L29" s="41"/>
      <c r="M29" s="31"/>
    </row>
    <row r="30" spans="1:13" s="42" customFormat="1" x14ac:dyDescent="0.25">
      <c r="A30" s="5" t="s">
        <v>6</v>
      </c>
      <c r="B30" s="43">
        <v>9377.6345015550232</v>
      </c>
      <c r="C30" s="43">
        <v>0</v>
      </c>
      <c r="D30" s="43">
        <v>0</v>
      </c>
      <c r="E30" s="44">
        <f t="shared" si="1"/>
        <v>5.0120975422528184</v>
      </c>
      <c r="F30" s="45">
        <v>0</v>
      </c>
      <c r="G30" s="43">
        <v>1871</v>
      </c>
      <c r="H30" s="46">
        <v>0</v>
      </c>
      <c r="I30" s="46">
        <v>0</v>
      </c>
      <c r="J30" s="41"/>
      <c r="K30" s="8"/>
      <c r="L30" s="41"/>
      <c r="M30" s="31"/>
    </row>
    <row r="31" spans="1:13" s="42" customFormat="1" ht="17.25" x14ac:dyDescent="0.45">
      <c r="A31" s="2" t="s">
        <v>22</v>
      </c>
      <c r="B31" s="11"/>
      <c r="C31" s="11"/>
      <c r="D31" s="11"/>
      <c r="E31" s="11"/>
      <c r="F31" s="11"/>
      <c r="G31" s="11"/>
      <c r="H31" s="47"/>
      <c r="I31" s="48" t="s">
        <v>37</v>
      </c>
      <c r="M31" s="41"/>
    </row>
    <row r="32" spans="1:13" s="42" customFormat="1" ht="12" x14ac:dyDescent="0.25">
      <c r="A32" s="2"/>
      <c r="E32" s="11"/>
      <c r="F32" s="11"/>
      <c r="G32" s="49"/>
      <c r="H32" s="49"/>
      <c r="I32" s="11"/>
      <c r="M32" s="41"/>
    </row>
    <row r="33" spans="1:13" s="42" customFormat="1" ht="17.25" x14ac:dyDescent="0.45">
      <c r="A33" s="2"/>
      <c r="B33" s="11"/>
      <c r="C33" s="11"/>
      <c r="D33" s="11"/>
      <c r="E33" s="11"/>
      <c r="F33" s="11"/>
      <c r="G33" s="11"/>
      <c r="H33" s="11"/>
      <c r="I33" s="50"/>
      <c r="M33" s="41"/>
    </row>
    <row r="34" spans="1:13" s="42" customFormat="1" ht="17.25" x14ac:dyDescent="0.45">
      <c r="A34" s="2"/>
      <c r="B34" s="11"/>
      <c r="C34" s="11"/>
      <c r="D34" s="11"/>
      <c r="E34" s="11"/>
      <c r="F34" s="11"/>
      <c r="G34" s="11"/>
      <c r="H34" s="11"/>
      <c r="I34" s="50"/>
      <c r="M34" s="41"/>
    </row>
    <row r="35" spans="1:13" ht="21" x14ac:dyDescent="0.25">
      <c r="A35" s="62" t="s">
        <v>38</v>
      </c>
      <c r="B35" s="62"/>
      <c r="C35" s="62"/>
      <c r="D35" s="62"/>
      <c r="E35" s="62"/>
      <c r="F35" s="62"/>
      <c r="G35" s="62"/>
      <c r="H35" s="62"/>
      <c r="I35" s="62"/>
      <c r="J35" s="16"/>
      <c r="K35" s="16"/>
      <c r="L35" s="16"/>
    </row>
    <row r="36" spans="1:13" s="3" customFormat="1" ht="15" x14ac:dyDescent="0.25">
      <c r="A36" s="63" t="s">
        <v>39</v>
      </c>
      <c r="B36" s="63"/>
      <c r="C36" s="63"/>
      <c r="D36" s="63"/>
      <c r="E36" s="63"/>
      <c r="F36" s="63"/>
      <c r="G36" s="63"/>
      <c r="H36" s="63"/>
      <c r="I36" s="63"/>
      <c r="J36" s="17"/>
      <c r="K36" s="17"/>
      <c r="L36" s="17"/>
    </row>
    <row r="37" spans="1:13" s="15" customFormat="1" x14ac:dyDescent="0.25">
      <c r="A37" s="14"/>
      <c r="B37" s="18"/>
      <c r="C37" s="18"/>
      <c r="D37" s="18"/>
      <c r="E37" s="18"/>
      <c r="F37" s="18"/>
      <c r="G37" s="18"/>
      <c r="H37" s="18"/>
      <c r="I37" s="18"/>
      <c r="J37" s="14"/>
      <c r="K37" s="14"/>
      <c r="L37" s="14"/>
    </row>
    <row r="38" spans="1:13" s="3" customFormat="1" x14ac:dyDescent="0.25">
      <c r="A38" s="64" t="s">
        <v>23</v>
      </c>
      <c r="B38" s="65" t="s">
        <v>32</v>
      </c>
      <c r="C38" s="65"/>
      <c r="D38" s="65"/>
      <c r="E38" s="67" t="s">
        <v>33</v>
      </c>
      <c r="F38" s="66"/>
      <c r="G38" s="65" t="s">
        <v>34</v>
      </c>
      <c r="H38" s="65"/>
      <c r="I38" s="65"/>
      <c r="J38" s="15"/>
      <c r="K38" s="15"/>
      <c r="L38" s="15"/>
      <c r="M38" s="19"/>
    </row>
    <row r="39" spans="1:13" s="3" customFormat="1" x14ac:dyDescent="0.2">
      <c r="A39" s="60"/>
      <c r="B39" s="20" t="s">
        <v>27</v>
      </c>
      <c r="C39" s="12" t="s">
        <v>24</v>
      </c>
      <c r="D39" s="20" t="s">
        <v>35</v>
      </c>
      <c r="E39" s="21" t="s">
        <v>27</v>
      </c>
      <c r="F39" s="22" t="s">
        <v>24</v>
      </c>
      <c r="G39" s="20" t="s">
        <v>27</v>
      </c>
      <c r="H39" s="12" t="s">
        <v>24</v>
      </c>
      <c r="I39" s="20" t="s">
        <v>35</v>
      </c>
      <c r="J39" s="15"/>
      <c r="K39" s="15"/>
      <c r="L39" s="15"/>
      <c r="M39" s="23"/>
    </row>
    <row r="40" spans="1:13" s="3" customFormat="1" x14ac:dyDescent="0.25">
      <c r="A40" s="61"/>
      <c r="B40" s="10" t="s">
        <v>36</v>
      </c>
      <c r="C40" s="10"/>
      <c r="D40" s="10"/>
      <c r="E40" s="24" t="s">
        <v>36</v>
      </c>
      <c r="F40" s="25"/>
      <c r="G40" s="20" t="s">
        <v>36</v>
      </c>
      <c r="H40" s="20"/>
      <c r="I40" s="10"/>
      <c r="J40" s="15"/>
      <c r="K40" s="15"/>
      <c r="L40" s="15"/>
      <c r="M40" s="15"/>
    </row>
    <row r="41" spans="1:13" s="7" customFormat="1" x14ac:dyDescent="0.25">
      <c r="A41" s="26" t="s">
        <v>0</v>
      </c>
      <c r="B41" s="9">
        <f>B42+B43+B44</f>
        <v>126998.75543939017</v>
      </c>
      <c r="C41" s="9">
        <f>C42+C43+C44</f>
        <v>350.24466716197423</v>
      </c>
      <c r="D41" s="27">
        <f t="shared" ref="D41" si="2">D42+D43+D44</f>
        <v>1841.9949999999999</v>
      </c>
      <c r="E41" s="28">
        <f>B41/G41</f>
        <v>2.0006105141680872</v>
      </c>
      <c r="F41" s="29">
        <f>C41/H41</f>
        <v>1.9458037064554123</v>
      </c>
      <c r="G41" s="27">
        <f>G42+G43+G44</f>
        <v>63480</v>
      </c>
      <c r="H41" s="30">
        <f>H42+H43+H44</f>
        <v>180</v>
      </c>
      <c r="I41" s="51" t="s">
        <v>29</v>
      </c>
      <c r="J41" s="8"/>
      <c r="K41" s="8"/>
      <c r="L41" s="8"/>
      <c r="M41" s="31"/>
    </row>
    <row r="42" spans="1:13" s="7" customFormat="1" x14ac:dyDescent="0.25">
      <c r="A42" s="26" t="s">
        <v>1</v>
      </c>
      <c r="B42" s="32">
        <v>19524.066738867761</v>
      </c>
      <c r="C42" s="33">
        <v>1.4753200436409091</v>
      </c>
      <c r="D42" s="32">
        <v>0</v>
      </c>
      <c r="E42" s="34">
        <f t="shared" ref="E42:F64" si="3">B42/G42</f>
        <v>2.1819475568694413</v>
      </c>
      <c r="F42" s="29">
        <f t="shared" si="3"/>
        <v>0.10538000311720779</v>
      </c>
      <c r="G42" s="32">
        <v>8948</v>
      </c>
      <c r="H42" s="35">
        <v>14</v>
      </c>
      <c r="I42" s="52" t="s">
        <v>29</v>
      </c>
      <c r="J42" s="8"/>
      <c r="K42" s="8"/>
      <c r="L42" s="8"/>
      <c r="M42" s="31"/>
    </row>
    <row r="43" spans="1:13" s="7" customFormat="1" x14ac:dyDescent="0.25">
      <c r="A43" s="26" t="s">
        <v>2</v>
      </c>
      <c r="B43" s="9">
        <f>SUM(B45:B64)</f>
        <v>107474.6887005224</v>
      </c>
      <c r="C43" s="9">
        <f>SUM(C45:C64)</f>
        <v>348.76934711833331</v>
      </c>
      <c r="D43" s="9">
        <v>0</v>
      </c>
      <c r="E43" s="34">
        <f t="shared" si="3"/>
        <v>1.9708554371840827</v>
      </c>
      <c r="F43" s="29">
        <f t="shared" si="3"/>
        <v>2.1010201633634535</v>
      </c>
      <c r="G43" s="9">
        <f>SUM(G45:G64)</f>
        <v>54532</v>
      </c>
      <c r="H43" s="36">
        <f>SUM(H45:H64)</f>
        <v>166</v>
      </c>
      <c r="I43" s="52" t="s">
        <v>29</v>
      </c>
      <c r="J43" s="8"/>
      <c r="K43" s="8"/>
      <c r="L43" s="8"/>
      <c r="M43" s="31"/>
    </row>
    <row r="44" spans="1:13" s="7" customFormat="1" x14ac:dyDescent="0.25">
      <c r="A44" s="26" t="s">
        <v>26</v>
      </c>
      <c r="B44" s="9">
        <v>0</v>
      </c>
      <c r="C44" s="9">
        <v>0</v>
      </c>
      <c r="D44" s="9">
        <v>1841.9949999999999</v>
      </c>
      <c r="E44" s="34">
        <v>0</v>
      </c>
      <c r="F44" s="29">
        <v>0</v>
      </c>
      <c r="G44" s="9">
        <v>0</v>
      </c>
      <c r="H44" s="36">
        <v>0</v>
      </c>
      <c r="I44" s="52" t="s">
        <v>29</v>
      </c>
      <c r="J44" s="8"/>
      <c r="K44" s="8"/>
      <c r="L44" s="8"/>
      <c r="M44" s="31"/>
    </row>
    <row r="45" spans="1:13" s="7" customFormat="1" x14ac:dyDescent="0.25">
      <c r="A45" s="37" t="s">
        <v>3</v>
      </c>
      <c r="B45" s="33">
        <v>5455.5677523293371</v>
      </c>
      <c r="C45" s="33">
        <v>0</v>
      </c>
      <c r="D45" s="33">
        <v>0</v>
      </c>
      <c r="E45" s="38">
        <f t="shared" si="3"/>
        <v>2.0243294071722957</v>
      </c>
      <c r="F45" s="39">
        <v>0</v>
      </c>
      <c r="G45" s="33">
        <v>2695</v>
      </c>
      <c r="H45" s="40">
        <v>0</v>
      </c>
      <c r="I45" s="53" t="s">
        <v>29</v>
      </c>
      <c r="J45" s="8"/>
      <c r="K45" s="8"/>
      <c r="L45" s="8"/>
      <c r="M45" s="31"/>
    </row>
    <row r="46" spans="1:13" s="7" customFormat="1" x14ac:dyDescent="0.25">
      <c r="A46" s="37" t="s">
        <v>4</v>
      </c>
      <c r="B46" s="33">
        <v>3402.7214464188955</v>
      </c>
      <c r="C46" s="33">
        <v>0</v>
      </c>
      <c r="D46" s="33">
        <v>0</v>
      </c>
      <c r="E46" s="38">
        <f t="shared" si="3"/>
        <v>1.6534117815446527</v>
      </c>
      <c r="F46" s="39">
        <v>0</v>
      </c>
      <c r="G46" s="33">
        <v>2058</v>
      </c>
      <c r="H46" s="40">
        <v>0</v>
      </c>
      <c r="I46" s="53" t="s">
        <v>29</v>
      </c>
      <c r="J46" s="8"/>
      <c r="K46" s="8"/>
      <c r="L46" s="8"/>
      <c r="M46" s="31"/>
    </row>
    <row r="47" spans="1:13" s="7" customFormat="1" x14ac:dyDescent="0.25">
      <c r="A47" s="37" t="s">
        <v>5</v>
      </c>
      <c r="B47" s="33">
        <v>3128.4374683669448</v>
      </c>
      <c r="C47" s="33">
        <v>0</v>
      </c>
      <c r="D47" s="33">
        <v>0</v>
      </c>
      <c r="E47" s="38">
        <f t="shared" si="3"/>
        <v>2.0595375038623733</v>
      </c>
      <c r="F47" s="39">
        <v>0</v>
      </c>
      <c r="G47" s="33">
        <v>1519</v>
      </c>
      <c r="H47" s="40">
        <v>0</v>
      </c>
      <c r="I47" s="53" t="s">
        <v>29</v>
      </c>
      <c r="J47" s="8"/>
      <c r="K47" s="8"/>
      <c r="L47" s="8"/>
      <c r="M47" s="31"/>
    </row>
    <row r="48" spans="1:13" s="7" customFormat="1" x14ac:dyDescent="0.25">
      <c r="A48" s="37" t="s">
        <v>7</v>
      </c>
      <c r="B48" s="33">
        <v>2028.2570049295889</v>
      </c>
      <c r="C48" s="33">
        <v>0</v>
      </c>
      <c r="D48" s="33">
        <v>0</v>
      </c>
      <c r="E48" s="38">
        <f t="shared" si="3"/>
        <v>1.8421952814982643</v>
      </c>
      <c r="F48" s="39">
        <v>0</v>
      </c>
      <c r="G48" s="33">
        <v>1101</v>
      </c>
      <c r="H48" s="40">
        <v>0</v>
      </c>
      <c r="I48" s="53" t="s">
        <v>29</v>
      </c>
      <c r="J48" s="8"/>
      <c r="K48" s="8"/>
      <c r="L48" s="8"/>
      <c r="M48" s="31"/>
    </row>
    <row r="49" spans="1:13" s="7" customFormat="1" x14ac:dyDescent="0.25">
      <c r="A49" s="37" t="s">
        <v>8</v>
      </c>
      <c r="B49" s="33">
        <v>6483.1043342321263</v>
      </c>
      <c r="C49" s="33">
        <v>0</v>
      </c>
      <c r="D49" s="33">
        <v>0</v>
      </c>
      <c r="E49" s="38">
        <f t="shared" si="3"/>
        <v>1.3924193157715048</v>
      </c>
      <c r="F49" s="39">
        <v>0</v>
      </c>
      <c r="G49" s="33">
        <v>4656</v>
      </c>
      <c r="H49" s="40">
        <v>0</v>
      </c>
      <c r="I49" s="53" t="s">
        <v>29</v>
      </c>
      <c r="J49" s="8"/>
      <c r="K49" s="8"/>
      <c r="L49" s="8"/>
      <c r="M49" s="31"/>
    </row>
    <row r="50" spans="1:13" s="7" customFormat="1" x14ac:dyDescent="0.25">
      <c r="A50" s="37" t="s">
        <v>9</v>
      </c>
      <c r="B50" s="33">
        <v>1829.2509133074132</v>
      </c>
      <c r="C50" s="33">
        <v>0</v>
      </c>
      <c r="D50" s="33">
        <v>0</v>
      </c>
      <c r="E50" s="38">
        <f t="shared" si="3"/>
        <v>1.1229287374508368</v>
      </c>
      <c r="F50" s="39">
        <v>0</v>
      </c>
      <c r="G50" s="33">
        <v>1629</v>
      </c>
      <c r="H50" s="40">
        <v>0</v>
      </c>
      <c r="I50" s="53" t="s">
        <v>29</v>
      </c>
      <c r="J50" s="8"/>
      <c r="K50" s="8"/>
      <c r="L50" s="8"/>
      <c r="M50" s="31"/>
    </row>
    <row r="51" spans="1:13" s="7" customFormat="1" x14ac:dyDescent="0.25">
      <c r="A51" s="37" t="s">
        <v>10</v>
      </c>
      <c r="B51" s="33">
        <v>5919.1232883164657</v>
      </c>
      <c r="C51" s="33">
        <v>0</v>
      </c>
      <c r="D51" s="33">
        <v>0</v>
      </c>
      <c r="E51" s="38">
        <f t="shared" si="3"/>
        <v>2.0945234565875674</v>
      </c>
      <c r="F51" s="39">
        <v>0</v>
      </c>
      <c r="G51" s="33">
        <v>2826</v>
      </c>
      <c r="H51" s="40">
        <v>0</v>
      </c>
      <c r="I51" s="53" t="s">
        <v>29</v>
      </c>
      <c r="J51" s="8"/>
      <c r="K51" s="8"/>
      <c r="L51" s="8"/>
      <c r="M51" s="31"/>
    </row>
    <row r="52" spans="1:13" s="7" customFormat="1" x14ac:dyDescent="0.25">
      <c r="A52" s="37" t="s">
        <v>11</v>
      </c>
      <c r="B52" s="33">
        <v>4272.7470002415366</v>
      </c>
      <c r="C52" s="33">
        <v>0</v>
      </c>
      <c r="D52" s="33">
        <v>0</v>
      </c>
      <c r="E52" s="38">
        <f t="shared" si="3"/>
        <v>2.4527824341225815</v>
      </c>
      <c r="F52" s="39">
        <v>0</v>
      </c>
      <c r="G52" s="33">
        <v>1742</v>
      </c>
      <c r="H52" s="40">
        <v>0</v>
      </c>
      <c r="I52" s="53" t="s">
        <v>29</v>
      </c>
      <c r="J52" s="8"/>
      <c r="K52" s="8"/>
      <c r="L52" s="8"/>
      <c r="M52" s="31"/>
    </row>
    <row r="53" spans="1:13" s="7" customFormat="1" x14ac:dyDescent="0.25">
      <c r="A53" s="37" t="s">
        <v>28</v>
      </c>
      <c r="B53" s="33">
        <v>2752.4573718329684</v>
      </c>
      <c r="C53" s="33">
        <v>0</v>
      </c>
      <c r="D53" s="33">
        <v>0</v>
      </c>
      <c r="E53" s="38">
        <f t="shared" si="3"/>
        <v>1.6462065621010578</v>
      </c>
      <c r="F53" s="39">
        <v>0</v>
      </c>
      <c r="G53" s="33">
        <v>1672</v>
      </c>
      <c r="H53" s="40">
        <v>0</v>
      </c>
      <c r="I53" s="53" t="s">
        <v>29</v>
      </c>
      <c r="J53" s="8"/>
      <c r="K53" s="8"/>
      <c r="L53" s="8"/>
      <c r="M53" s="31"/>
    </row>
    <row r="54" spans="1:13" s="7" customFormat="1" x14ac:dyDescent="0.25">
      <c r="A54" s="37" t="s">
        <v>12</v>
      </c>
      <c r="B54" s="33">
        <v>4075.1871960090166</v>
      </c>
      <c r="C54" s="33">
        <v>0</v>
      </c>
      <c r="D54" s="33">
        <v>0</v>
      </c>
      <c r="E54" s="38">
        <f t="shared" si="3"/>
        <v>1.5542285263192284</v>
      </c>
      <c r="F54" s="39">
        <v>0</v>
      </c>
      <c r="G54" s="33">
        <v>2622</v>
      </c>
      <c r="H54" s="40">
        <v>0</v>
      </c>
      <c r="I54" s="53" t="s">
        <v>29</v>
      </c>
      <c r="J54" s="8"/>
      <c r="K54" s="8"/>
      <c r="L54" s="8"/>
      <c r="M54" s="31"/>
    </row>
    <row r="55" spans="1:13" s="7" customFormat="1" x14ac:dyDescent="0.25">
      <c r="A55" s="37" t="s">
        <v>13</v>
      </c>
      <c r="B55" s="33">
        <v>312.6972927359601</v>
      </c>
      <c r="C55" s="33">
        <v>0</v>
      </c>
      <c r="D55" s="33">
        <v>0</v>
      </c>
      <c r="E55" s="38">
        <f t="shared" si="3"/>
        <v>2.0846486182397341</v>
      </c>
      <c r="F55" s="39">
        <v>0</v>
      </c>
      <c r="G55" s="33">
        <v>150</v>
      </c>
      <c r="H55" s="40">
        <v>0</v>
      </c>
      <c r="I55" s="53" t="s">
        <v>29</v>
      </c>
      <c r="J55" s="8"/>
      <c r="K55" s="8"/>
      <c r="L55" s="8"/>
      <c r="M55" s="31"/>
    </row>
    <row r="56" spans="1:13" s="42" customFormat="1" x14ac:dyDescent="0.25">
      <c r="A56" s="37" t="s">
        <v>14</v>
      </c>
      <c r="B56" s="33">
        <v>2294.8781910587536</v>
      </c>
      <c r="C56" s="33">
        <v>0</v>
      </c>
      <c r="D56" s="33">
        <v>0</v>
      </c>
      <c r="E56" s="38">
        <f t="shared" si="3"/>
        <v>2.1876817836594409</v>
      </c>
      <c r="F56" s="39">
        <v>0</v>
      </c>
      <c r="G56" s="33">
        <v>1049</v>
      </c>
      <c r="H56" s="40">
        <v>0</v>
      </c>
      <c r="I56" s="53" t="s">
        <v>29</v>
      </c>
      <c r="J56" s="41"/>
      <c r="K56" s="41"/>
      <c r="L56" s="41"/>
      <c r="M56" s="31"/>
    </row>
    <row r="57" spans="1:13" s="42" customFormat="1" x14ac:dyDescent="0.25">
      <c r="A57" s="37" t="s">
        <v>15</v>
      </c>
      <c r="B57" s="33">
        <v>3596.7076673388642</v>
      </c>
      <c r="C57" s="33">
        <v>0</v>
      </c>
      <c r="D57" s="33">
        <v>0</v>
      </c>
      <c r="E57" s="38">
        <f t="shared" si="3"/>
        <v>1.4710460807111918</v>
      </c>
      <c r="F57" s="39">
        <v>0</v>
      </c>
      <c r="G57" s="33">
        <v>2445</v>
      </c>
      <c r="H57" s="40">
        <v>0</v>
      </c>
      <c r="I57" s="53" t="s">
        <v>29</v>
      </c>
      <c r="J57" s="41"/>
      <c r="K57" s="41"/>
      <c r="L57" s="41"/>
      <c r="M57" s="31"/>
    </row>
    <row r="58" spans="1:13" s="42" customFormat="1" x14ac:dyDescent="0.25">
      <c r="A58" s="37" t="s">
        <v>16</v>
      </c>
      <c r="B58" s="33">
        <v>7183.6101718072532</v>
      </c>
      <c r="C58" s="33">
        <v>0</v>
      </c>
      <c r="D58" s="33">
        <v>0</v>
      </c>
      <c r="E58" s="38">
        <f t="shared" si="3"/>
        <v>1.7883022583538095</v>
      </c>
      <c r="F58" s="39">
        <v>0</v>
      </c>
      <c r="G58" s="33">
        <v>4017</v>
      </c>
      <c r="H58" s="40">
        <v>0</v>
      </c>
      <c r="I58" s="53" t="s">
        <v>29</v>
      </c>
      <c r="J58" s="41"/>
      <c r="K58" s="41"/>
      <c r="L58" s="41"/>
      <c r="M58" s="31"/>
    </row>
    <row r="59" spans="1:13" s="42" customFormat="1" x14ac:dyDescent="0.25">
      <c r="A59" s="37" t="s">
        <v>17</v>
      </c>
      <c r="B59" s="33">
        <v>4117.0242744197258</v>
      </c>
      <c r="C59" s="33">
        <v>0</v>
      </c>
      <c r="D59" s="33">
        <v>0</v>
      </c>
      <c r="E59" s="38">
        <f t="shared" si="3"/>
        <v>1.6292141964462705</v>
      </c>
      <c r="F59" s="39">
        <v>0</v>
      </c>
      <c r="G59" s="33">
        <v>2527</v>
      </c>
      <c r="H59" s="40">
        <v>0</v>
      </c>
      <c r="I59" s="53" t="s">
        <v>29</v>
      </c>
      <c r="J59" s="41"/>
      <c r="K59" s="41"/>
      <c r="L59" s="41"/>
      <c r="M59" s="31"/>
    </row>
    <row r="60" spans="1:13" s="42" customFormat="1" x14ac:dyDescent="0.25">
      <c r="A60" s="37" t="s">
        <v>18</v>
      </c>
      <c r="B60" s="33">
        <v>10451.033192797382</v>
      </c>
      <c r="C60" s="33">
        <v>328.69594351604337</v>
      </c>
      <c r="D60" s="33">
        <v>0</v>
      </c>
      <c r="E60" s="38">
        <f t="shared" si="3"/>
        <v>2.294409043424233</v>
      </c>
      <c r="F60" s="39">
        <f t="shared" si="3"/>
        <v>5.6671714399317823</v>
      </c>
      <c r="G60" s="33">
        <v>4555</v>
      </c>
      <c r="H60" s="40">
        <v>58</v>
      </c>
      <c r="I60" s="53" t="s">
        <v>29</v>
      </c>
      <c r="J60" s="41"/>
      <c r="K60" s="41"/>
      <c r="L60" s="41"/>
      <c r="M60" s="31"/>
    </row>
    <row r="61" spans="1:13" s="42" customFormat="1" x14ac:dyDescent="0.25">
      <c r="A61" s="37" t="s">
        <v>19</v>
      </c>
      <c r="B61" s="33">
        <v>17591.605791181752</v>
      </c>
      <c r="C61" s="33">
        <v>0</v>
      </c>
      <c r="D61" s="33">
        <v>0</v>
      </c>
      <c r="E61" s="38">
        <f t="shared" si="3"/>
        <v>2.7703316206585438</v>
      </c>
      <c r="F61" s="39">
        <v>0</v>
      </c>
      <c r="G61" s="33">
        <v>6350</v>
      </c>
      <c r="H61" s="40">
        <v>0</v>
      </c>
      <c r="I61" s="53" t="s">
        <v>29</v>
      </c>
      <c r="J61" s="41"/>
      <c r="K61" s="41"/>
      <c r="L61" s="41"/>
      <c r="M61" s="31"/>
    </row>
    <row r="62" spans="1:13" s="42" customFormat="1" x14ac:dyDescent="0.25">
      <c r="A62" s="37" t="s">
        <v>20</v>
      </c>
      <c r="B62" s="33">
        <v>8520.5992519975134</v>
      </c>
      <c r="C62" s="33">
        <v>0</v>
      </c>
      <c r="D62" s="33">
        <v>0</v>
      </c>
      <c r="E62" s="38">
        <f t="shared" si="3"/>
        <v>3.2177489622347104</v>
      </c>
      <c r="F62" s="39">
        <v>0</v>
      </c>
      <c r="G62" s="33">
        <v>2648</v>
      </c>
      <c r="H62" s="40">
        <v>0</v>
      </c>
      <c r="I62" s="53" t="s">
        <v>29</v>
      </c>
      <c r="J62" s="41"/>
      <c r="K62" s="41"/>
      <c r="L62" s="41"/>
      <c r="M62" s="31"/>
    </row>
    <row r="63" spans="1:13" s="42" customFormat="1" x14ac:dyDescent="0.25">
      <c r="A63" s="37" t="s">
        <v>21</v>
      </c>
      <c r="B63" s="33">
        <v>3717.412738857834</v>
      </c>
      <c r="C63" s="33">
        <v>5.4278638221756754</v>
      </c>
      <c r="D63" s="33">
        <v>0</v>
      </c>
      <c r="E63" s="38">
        <f t="shared" si="3"/>
        <v>0.93661192714986996</v>
      </c>
      <c r="F63" s="39">
        <f t="shared" si="3"/>
        <v>0.14283852163620198</v>
      </c>
      <c r="G63" s="33">
        <v>3969</v>
      </c>
      <c r="H63" s="40">
        <v>38</v>
      </c>
      <c r="I63" s="53" t="s">
        <v>29</v>
      </c>
      <c r="J63" s="41"/>
      <c r="K63" s="41"/>
      <c r="L63" s="41"/>
      <c r="M63" s="31"/>
    </row>
    <row r="64" spans="1:13" s="42" customFormat="1" x14ac:dyDescent="0.25">
      <c r="A64" s="5" t="s">
        <v>6</v>
      </c>
      <c r="B64" s="43">
        <v>10342.266352343069</v>
      </c>
      <c r="C64" s="43">
        <v>14.645539780114266</v>
      </c>
      <c r="D64" s="43">
        <v>0</v>
      </c>
      <c r="E64" s="44">
        <f t="shared" si="3"/>
        <v>2.404060054008152</v>
      </c>
      <c r="F64" s="45">
        <f t="shared" si="3"/>
        <v>0.20922199685877524</v>
      </c>
      <c r="G64" s="43">
        <v>4302</v>
      </c>
      <c r="H64" s="46">
        <v>70</v>
      </c>
      <c r="I64" s="54" t="s">
        <v>29</v>
      </c>
      <c r="J64" s="41"/>
      <c r="K64" s="41"/>
      <c r="L64" s="41"/>
      <c r="M64" s="31"/>
    </row>
    <row r="65" spans="1:13" s="42" customFormat="1" ht="17.25" x14ac:dyDescent="0.45">
      <c r="A65" s="2" t="s">
        <v>22</v>
      </c>
      <c r="B65" s="11"/>
      <c r="C65" s="11"/>
      <c r="D65" s="11"/>
      <c r="E65" s="11"/>
      <c r="F65" s="11"/>
      <c r="G65" s="11"/>
      <c r="H65" s="11"/>
      <c r="I65" s="50" t="s">
        <v>37</v>
      </c>
      <c r="M65" s="41"/>
    </row>
    <row r="66" spans="1:13" s="4" customFormat="1" x14ac:dyDescent="0.25">
      <c r="A66" s="55"/>
      <c r="B66" s="56"/>
      <c r="C66" s="56"/>
      <c r="D66" s="23"/>
      <c r="E66" s="23"/>
      <c r="F66" s="23"/>
      <c r="G66" s="57"/>
      <c r="H66" s="57"/>
      <c r="I66" s="23"/>
    </row>
    <row r="67" spans="1:13" s="4" customFormat="1" x14ac:dyDescent="0.25">
      <c r="A67" s="55"/>
      <c r="B67" s="57"/>
      <c r="C67" s="57"/>
      <c r="D67" s="23"/>
      <c r="E67" s="23"/>
      <c r="F67" s="23"/>
      <c r="G67" s="57"/>
      <c r="H67" s="57"/>
      <c r="I67" s="23"/>
    </row>
    <row r="68" spans="1:13" s="4" customFormat="1" x14ac:dyDescent="0.25">
      <c r="A68" s="55"/>
      <c r="B68" s="57"/>
      <c r="C68" s="57"/>
      <c r="D68" s="23"/>
      <c r="E68" s="23"/>
      <c r="F68" s="23"/>
      <c r="G68" s="57"/>
      <c r="H68" s="57"/>
      <c r="I68" s="23"/>
    </row>
    <row r="69" spans="1:13" s="4" customFormat="1" x14ac:dyDescent="0.25">
      <c r="A69" s="55"/>
      <c r="B69" s="57"/>
      <c r="C69" s="57"/>
      <c r="D69" s="23"/>
      <c r="E69" s="23"/>
      <c r="F69" s="23"/>
      <c r="G69" s="57"/>
      <c r="H69" s="57"/>
      <c r="I69" s="23"/>
    </row>
    <row r="70" spans="1:13" s="4" customFormat="1" ht="21" x14ac:dyDescent="0.25">
      <c r="A70" s="62" t="s">
        <v>40</v>
      </c>
      <c r="B70" s="62"/>
      <c r="C70" s="62"/>
      <c r="D70" s="62"/>
      <c r="E70" s="62"/>
      <c r="F70" s="62"/>
      <c r="G70" s="62"/>
      <c r="H70" s="62"/>
      <c r="I70" s="62"/>
    </row>
    <row r="71" spans="1:13" ht="15" x14ac:dyDescent="0.25">
      <c r="A71" s="63" t="s">
        <v>41</v>
      </c>
      <c r="B71" s="63"/>
      <c r="C71" s="63"/>
      <c r="D71" s="63"/>
      <c r="E71" s="63"/>
      <c r="F71" s="63"/>
      <c r="G71" s="63"/>
      <c r="H71" s="63"/>
      <c r="I71" s="63"/>
    </row>
    <row r="72" spans="1:13" x14ac:dyDescent="0.25">
      <c r="A72" s="14"/>
      <c r="B72" s="18"/>
      <c r="C72" s="18"/>
      <c r="D72" s="18"/>
      <c r="E72" s="18"/>
      <c r="F72" s="18"/>
      <c r="G72" s="18"/>
      <c r="H72" s="18"/>
      <c r="I72" s="18"/>
    </row>
    <row r="73" spans="1:13" x14ac:dyDescent="0.25">
      <c r="A73" s="64" t="s">
        <v>23</v>
      </c>
      <c r="B73" s="58" t="s">
        <v>32</v>
      </c>
      <c r="C73" s="58"/>
      <c r="D73" s="59"/>
      <c r="E73" s="67" t="s">
        <v>33</v>
      </c>
      <c r="F73" s="66"/>
      <c r="G73" s="58" t="s">
        <v>34</v>
      </c>
      <c r="H73" s="58"/>
      <c r="I73" s="58"/>
    </row>
    <row r="74" spans="1:13" x14ac:dyDescent="0.2">
      <c r="A74" s="60"/>
      <c r="B74" s="20" t="s">
        <v>27</v>
      </c>
      <c r="C74" s="12" t="s">
        <v>24</v>
      </c>
      <c r="D74" s="20" t="s">
        <v>35</v>
      </c>
      <c r="E74" s="21" t="s">
        <v>27</v>
      </c>
      <c r="F74" s="22" t="s">
        <v>24</v>
      </c>
      <c r="G74" s="20" t="s">
        <v>27</v>
      </c>
      <c r="H74" s="12" t="s">
        <v>24</v>
      </c>
      <c r="I74" s="20" t="s">
        <v>35</v>
      </c>
    </row>
    <row r="75" spans="1:13" x14ac:dyDescent="0.25">
      <c r="A75" s="61"/>
      <c r="B75" s="10" t="s">
        <v>36</v>
      </c>
      <c r="C75" s="10"/>
      <c r="D75" s="10"/>
      <c r="E75" s="24" t="s">
        <v>36</v>
      </c>
      <c r="F75" s="25"/>
      <c r="G75" s="20" t="s">
        <v>36</v>
      </c>
      <c r="H75" s="20"/>
      <c r="I75" s="10"/>
    </row>
    <row r="76" spans="1:13" x14ac:dyDescent="0.25">
      <c r="A76" s="26" t="s">
        <v>0</v>
      </c>
      <c r="B76" s="9">
        <f>B77+B78+B79</f>
        <v>126033.20197139462</v>
      </c>
      <c r="C76" s="9">
        <f>C77+C78+C79</f>
        <v>834.7388200382436</v>
      </c>
      <c r="D76" s="27">
        <f t="shared" ref="D76" si="4">D77+D78+D79</f>
        <v>483.87768999999992</v>
      </c>
      <c r="E76" s="28">
        <f>E77+E78+E79</f>
        <v>2.4073332925973543</v>
      </c>
      <c r="F76" s="29">
        <f>C76/H76</f>
        <v>0.93162814736411115</v>
      </c>
      <c r="G76" s="27">
        <f t="shared" ref="G76:I76" si="5">G77+G78+G79</f>
        <v>51178</v>
      </c>
      <c r="H76" s="30">
        <f t="shared" si="5"/>
        <v>896</v>
      </c>
      <c r="I76" s="30">
        <f t="shared" si="5"/>
        <v>841</v>
      </c>
    </row>
    <row r="77" spans="1:13" x14ac:dyDescent="0.25">
      <c r="A77" s="26" t="s">
        <v>1</v>
      </c>
      <c r="B77" s="32">
        <v>14602.558523648291</v>
      </c>
      <c r="C77" s="33">
        <v>185.95491050011466</v>
      </c>
      <c r="D77" s="32">
        <v>0</v>
      </c>
      <c r="E77" s="34">
        <v>0</v>
      </c>
      <c r="F77" s="29">
        <f>C77/H77</f>
        <v>1.9995151666678996</v>
      </c>
      <c r="G77" s="32">
        <v>4890</v>
      </c>
      <c r="H77" s="35">
        <v>93</v>
      </c>
      <c r="I77" s="35">
        <v>0</v>
      </c>
    </row>
    <row r="78" spans="1:13" x14ac:dyDescent="0.25">
      <c r="A78" s="26" t="s">
        <v>2</v>
      </c>
      <c r="B78" s="9">
        <f>SUM(B80:B99)</f>
        <v>111430.64344774633</v>
      </c>
      <c r="C78" s="9">
        <f>SUM(C80:C99)</f>
        <v>648.78390953812891</v>
      </c>
      <c r="D78" s="9">
        <v>0</v>
      </c>
      <c r="E78" s="34">
        <f>B78/G78</f>
        <v>2.4073332925973543</v>
      </c>
      <c r="F78" s="29">
        <f>C78/H78</f>
        <v>0.80795007414461883</v>
      </c>
      <c r="G78" s="9">
        <f>SUM(G80:G99)</f>
        <v>46288</v>
      </c>
      <c r="H78" s="36">
        <f>SUM(H80:H99)</f>
        <v>803</v>
      </c>
      <c r="I78" s="36">
        <v>0</v>
      </c>
    </row>
    <row r="79" spans="1:13" x14ac:dyDescent="0.25">
      <c r="A79" s="26" t="s">
        <v>26</v>
      </c>
      <c r="B79" s="9">
        <v>0</v>
      </c>
      <c r="C79" s="9">
        <v>0</v>
      </c>
      <c r="D79" s="9">
        <v>483.87768999999992</v>
      </c>
      <c r="E79" s="34">
        <v>0</v>
      </c>
      <c r="F79" s="29">
        <v>0</v>
      </c>
      <c r="G79" s="9">
        <v>0</v>
      </c>
      <c r="H79" s="36">
        <v>0</v>
      </c>
      <c r="I79" s="36">
        <v>841</v>
      </c>
    </row>
    <row r="80" spans="1:13" x14ac:dyDescent="0.25">
      <c r="A80" s="37" t="s">
        <v>3</v>
      </c>
      <c r="B80" s="33">
        <v>3459.316335486204</v>
      </c>
      <c r="C80" s="33">
        <v>28.506898816823021</v>
      </c>
      <c r="D80" s="33">
        <v>0</v>
      </c>
      <c r="E80" s="38">
        <f>B80/G80</f>
        <v>1.398268526873971</v>
      </c>
      <c r="F80" s="39">
        <f>C80/H80</f>
        <v>0.29088672262064308</v>
      </c>
      <c r="G80" s="33">
        <v>2474</v>
      </c>
      <c r="H80" s="40">
        <v>98</v>
      </c>
      <c r="I80" s="40">
        <v>0</v>
      </c>
    </row>
    <row r="81" spans="1:9" x14ac:dyDescent="0.25">
      <c r="A81" s="37" t="s">
        <v>4</v>
      </c>
      <c r="B81" s="33">
        <v>2143.1918991752932</v>
      </c>
      <c r="C81" s="33">
        <v>0</v>
      </c>
      <c r="D81" s="33">
        <v>0</v>
      </c>
      <c r="E81" s="38">
        <f t="shared" ref="E81:F99" si="6">B81/G81</f>
        <v>1.3213266949292806</v>
      </c>
      <c r="F81" s="39">
        <v>0</v>
      </c>
      <c r="G81" s="33">
        <v>1622</v>
      </c>
      <c r="H81" s="40">
        <v>0</v>
      </c>
      <c r="I81" s="40">
        <v>0</v>
      </c>
    </row>
    <row r="82" spans="1:9" x14ac:dyDescent="0.25">
      <c r="A82" s="37" t="s">
        <v>5</v>
      </c>
      <c r="B82" s="33">
        <v>2349.3789100312442</v>
      </c>
      <c r="C82" s="33">
        <v>194.42636194786428</v>
      </c>
      <c r="D82" s="33">
        <v>0</v>
      </c>
      <c r="E82" s="38">
        <f t="shared" si="6"/>
        <v>2.2831670651421225</v>
      </c>
      <c r="F82" s="39">
        <f t="shared" si="6"/>
        <v>1.8516796375987075</v>
      </c>
      <c r="G82" s="33">
        <v>1029</v>
      </c>
      <c r="H82" s="40">
        <v>105</v>
      </c>
      <c r="I82" s="40">
        <v>0</v>
      </c>
    </row>
    <row r="83" spans="1:9" x14ac:dyDescent="0.25">
      <c r="A83" s="37" t="s">
        <v>7</v>
      </c>
      <c r="B83" s="33">
        <v>1644.0892896197704</v>
      </c>
      <c r="C83" s="33">
        <v>0</v>
      </c>
      <c r="D83" s="33">
        <v>0</v>
      </c>
      <c r="E83" s="38">
        <f t="shared" si="6"/>
        <v>1.4601148220424249</v>
      </c>
      <c r="F83" s="39">
        <v>0</v>
      </c>
      <c r="G83" s="33">
        <v>1126</v>
      </c>
      <c r="H83" s="40">
        <v>0</v>
      </c>
      <c r="I83" s="40">
        <v>0</v>
      </c>
    </row>
    <row r="84" spans="1:9" x14ac:dyDescent="0.25">
      <c r="A84" s="37" t="s">
        <v>8</v>
      </c>
      <c r="B84" s="33">
        <v>4787.4746509026591</v>
      </c>
      <c r="C84" s="33">
        <v>0.52212331070088402</v>
      </c>
      <c r="D84" s="33">
        <v>0</v>
      </c>
      <c r="E84" s="38">
        <f t="shared" si="6"/>
        <v>1.6964828670810272</v>
      </c>
      <c r="F84" s="39">
        <f t="shared" si="6"/>
        <v>8.7020551783480674E-3</v>
      </c>
      <c r="G84" s="33">
        <v>2822</v>
      </c>
      <c r="H84" s="40">
        <v>60</v>
      </c>
      <c r="I84" s="40">
        <v>0</v>
      </c>
    </row>
    <row r="85" spans="1:9" x14ac:dyDescent="0.25">
      <c r="A85" s="37" t="s">
        <v>9</v>
      </c>
      <c r="B85" s="33">
        <v>3845.5051606879756</v>
      </c>
      <c r="C85" s="33">
        <v>4.0636843469893007</v>
      </c>
      <c r="D85" s="33">
        <v>0</v>
      </c>
      <c r="E85" s="38">
        <f t="shared" si="6"/>
        <v>1.8514709488146248</v>
      </c>
      <c r="F85" s="39">
        <f t="shared" si="6"/>
        <v>9.675438921403097E-2</v>
      </c>
      <c r="G85" s="33">
        <v>2077</v>
      </c>
      <c r="H85" s="40">
        <v>42</v>
      </c>
      <c r="I85" s="40">
        <v>0</v>
      </c>
    </row>
    <row r="86" spans="1:9" x14ac:dyDescent="0.25">
      <c r="A86" s="37" t="s">
        <v>10</v>
      </c>
      <c r="B86" s="33">
        <v>4965.5628535871429</v>
      </c>
      <c r="C86" s="33">
        <v>0</v>
      </c>
      <c r="D86" s="33">
        <v>0</v>
      </c>
      <c r="E86" s="38">
        <f t="shared" si="6"/>
        <v>1.5910166144143361</v>
      </c>
      <c r="F86" s="39">
        <v>0</v>
      </c>
      <c r="G86" s="33">
        <v>3121</v>
      </c>
      <c r="H86" s="40">
        <v>0</v>
      </c>
      <c r="I86" s="40">
        <v>0</v>
      </c>
    </row>
    <row r="87" spans="1:9" x14ac:dyDescent="0.25">
      <c r="A87" s="37" t="s">
        <v>11</v>
      </c>
      <c r="B87" s="33">
        <v>3260.8712161209401</v>
      </c>
      <c r="C87" s="33">
        <v>3.4690874379595384</v>
      </c>
      <c r="D87" s="33">
        <v>0</v>
      </c>
      <c r="E87" s="38">
        <f t="shared" si="6"/>
        <v>2.1340780210215575</v>
      </c>
      <c r="F87" s="39">
        <f t="shared" si="6"/>
        <v>1.7345437189797692</v>
      </c>
      <c r="G87" s="33">
        <v>1528</v>
      </c>
      <c r="H87" s="40">
        <v>2</v>
      </c>
      <c r="I87" s="40">
        <v>0</v>
      </c>
    </row>
    <row r="88" spans="1:9" x14ac:dyDescent="0.25">
      <c r="A88" s="37" t="s">
        <v>28</v>
      </c>
      <c r="B88" s="33">
        <v>2906.3640120344189</v>
      </c>
      <c r="C88" s="33">
        <v>0</v>
      </c>
      <c r="D88" s="33">
        <v>0</v>
      </c>
      <c r="E88" s="38">
        <f t="shared" si="6"/>
        <v>1.7056126831187906</v>
      </c>
      <c r="F88" s="39">
        <v>0</v>
      </c>
      <c r="G88" s="33">
        <v>1704</v>
      </c>
      <c r="H88" s="40">
        <v>0</v>
      </c>
      <c r="I88" s="40">
        <v>0</v>
      </c>
    </row>
    <row r="89" spans="1:9" x14ac:dyDescent="0.25">
      <c r="A89" s="37" t="s">
        <v>12</v>
      </c>
      <c r="B89" s="33">
        <v>3868.9082946892327</v>
      </c>
      <c r="C89" s="33">
        <v>97.09342838934522</v>
      </c>
      <c r="D89" s="33">
        <v>0</v>
      </c>
      <c r="E89" s="38">
        <f t="shared" si="6"/>
        <v>1.5432422396047996</v>
      </c>
      <c r="F89" s="39">
        <f t="shared" si="6"/>
        <v>2.206668827030573</v>
      </c>
      <c r="G89" s="33">
        <v>2507</v>
      </c>
      <c r="H89" s="40">
        <v>44</v>
      </c>
      <c r="I89" s="40">
        <v>0</v>
      </c>
    </row>
    <row r="90" spans="1:9" x14ac:dyDescent="0.25">
      <c r="A90" s="37" t="s">
        <v>13</v>
      </c>
      <c r="B90" s="33">
        <v>303.94247344899179</v>
      </c>
      <c r="C90" s="33">
        <v>0</v>
      </c>
      <c r="D90" s="33">
        <v>0</v>
      </c>
      <c r="E90" s="38">
        <f t="shared" si="6"/>
        <v>2.7884630591650623</v>
      </c>
      <c r="F90" s="39">
        <v>0</v>
      </c>
      <c r="G90" s="33">
        <v>109</v>
      </c>
      <c r="H90" s="40">
        <v>0</v>
      </c>
      <c r="I90" s="40">
        <v>0</v>
      </c>
    </row>
    <row r="91" spans="1:9" x14ac:dyDescent="0.25">
      <c r="A91" s="37" t="s">
        <v>14</v>
      </c>
      <c r="B91" s="33">
        <v>3846.4425361310641</v>
      </c>
      <c r="C91" s="33">
        <v>0</v>
      </c>
      <c r="D91" s="33">
        <v>0</v>
      </c>
      <c r="E91" s="38">
        <f t="shared" si="6"/>
        <v>1.7118124326350974</v>
      </c>
      <c r="F91" s="39">
        <v>0</v>
      </c>
      <c r="G91" s="33">
        <v>2247</v>
      </c>
      <c r="H91" s="40">
        <v>0</v>
      </c>
      <c r="I91" s="40">
        <v>0</v>
      </c>
    </row>
    <row r="92" spans="1:9" x14ac:dyDescent="0.25">
      <c r="A92" s="37" t="s">
        <v>15</v>
      </c>
      <c r="B92" s="33">
        <v>3864.2766938192226</v>
      </c>
      <c r="C92" s="33">
        <v>0</v>
      </c>
      <c r="D92" s="33">
        <v>0</v>
      </c>
      <c r="E92" s="38">
        <f t="shared" si="6"/>
        <v>1.3915292379615494</v>
      </c>
      <c r="F92" s="39">
        <v>0</v>
      </c>
      <c r="G92" s="33">
        <v>2777</v>
      </c>
      <c r="H92" s="40">
        <v>0</v>
      </c>
      <c r="I92" s="40">
        <v>0</v>
      </c>
    </row>
    <row r="93" spans="1:9" x14ac:dyDescent="0.25">
      <c r="A93" s="37" t="s">
        <v>16</v>
      </c>
      <c r="B93" s="33">
        <v>8220.3993305057138</v>
      </c>
      <c r="C93" s="33">
        <v>0</v>
      </c>
      <c r="D93" s="33">
        <v>0</v>
      </c>
      <c r="E93" s="38">
        <f t="shared" si="6"/>
        <v>1.8332737133152797</v>
      </c>
      <c r="F93" s="39">
        <v>0</v>
      </c>
      <c r="G93" s="33">
        <v>4484</v>
      </c>
      <c r="H93" s="40">
        <v>0</v>
      </c>
      <c r="I93" s="40">
        <v>0</v>
      </c>
    </row>
    <row r="94" spans="1:9" x14ac:dyDescent="0.25">
      <c r="A94" s="37" t="s">
        <v>17</v>
      </c>
      <c r="B94" s="33">
        <v>3536.2449185153359</v>
      </c>
      <c r="C94" s="33">
        <v>42.737198077523153</v>
      </c>
      <c r="D94" s="33">
        <v>0</v>
      </c>
      <c r="E94" s="38">
        <f t="shared" si="6"/>
        <v>2.3893546746725245</v>
      </c>
      <c r="F94" s="39">
        <f t="shared" si="6"/>
        <v>0.16825668534457935</v>
      </c>
      <c r="G94" s="33">
        <v>1480</v>
      </c>
      <c r="H94" s="40">
        <v>254</v>
      </c>
      <c r="I94" s="40">
        <v>0</v>
      </c>
    </row>
    <row r="95" spans="1:9" x14ac:dyDescent="0.25">
      <c r="A95" s="37" t="s">
        <v>18</v>
      </c>
      <c r="B95" s="33">
        <v>12291.133659268562</v>
      </c>
      <c r="C95" s="33">
        <v>264.7526717377512</v>
      </c>
      <c r="D95" s="33">
        <v>0</v>
      </c>
      <c r="E95" s="38">
        <f t="shared" si="6"/>
        <v>3.4467564944667868</v>
      </c>
      <c r="F95" s="39">
        <f t="shared" si="6"/>
        <v>6.7885300445577235</v>
      </c>
      <c r="G95" s="33">
        <v>3566</v>
      </c>
      <c r="H95" s="40">
        <v>39</v>
      </c>
      <c r="I95" s="40">
        <v>0</v>
      </c>
    </row>
    <row r="96" spans="1:9" x14ac:dyDescent="0.25">
      <c r="A96" s="37" t="s">
        <v>19</v>
      </c>
      <c r="B96" s="33">
        <v>20006.961722130854</v>
      </c>
      <c r="C96" s="33">
        <v>0</v>
      </c>
      <c r="D96" s="33">
        <v>0</v>
      </c>
      <c r="E96" s="38">
        <f t="shared" si="6"/>
        <v>4.6832775566785712</v>
      </c>
      <c r="F96" s="39">
        <v>0</v>
      </c>
      <c r="G96" s="33">
        <v>4272</v>
      </c>
      <c r="H96" s="40">
        <v>0</v>
      </c>
      <c r="I96" s="40">
        <v>0</v>
      </c>
    </row>
    <row r="97" spans="1:9" x14ac:dyDescent="0.25">
      <c r="A97" s="37" t="s">
        <v>20</v>
      </c>
      <c r="B97" s="33">
        <v>12824.94446320952</v>
      </c>
      <c r="C97" s="33">
        <v>0</v>
      </c>
      <c r="D97" s="33">
        <v>0</v>
      </c>
      <c r="E97" s="38">
        <f t="shared" si="6"/>
        <v>6.0352679826868334</v>
      </c>
      <c r="F97" s="39">
        <v>0</v>
      </c>
      <c r="G97" s="33">
        <v>2125</v>
      </c>
      <c r="H97" s="40">
        <v>0</v>
      </c>
      <c r="I97" s="40">
        <v>0</v>
      </c>
    </row>
    <row r="98" spans="1:9" x14ac:dyDescent="0.25">
      <c r="A98" s="37" t="s">
        <v>21</v>
      </c>
      <c r="B98" s="33">
        <v>4170.2817107820774</v>
      </c>
      <c r="C98" s="33">
        <v>5.5097496160577331</v>
      </c>
      <c r="D98" s="33">
        <v>0</v>
      </c>
      <c r="E98" s="38">
        <f t="shared" si="6"/>
        <v>1.2606655715786208</v>
      </c>
      <c r="F98" s="39">
        <f t="shared" si="6"/>
        <v>0.11977716556647246</v>
      </c>
      <c r="G98" s="33">
        <v>3308</v>
      </c>
      <c r="H98" s="40">
        <v>46</v>
      </c>
      <c r="I98" s="40">
        <v>0</v>
      </c>
    </row>
    <row r="99" spans="1:9" x14ac:dyDescent="0.25">
      <c r="A99" s="5" t="s">
        <v>6</v>
      </c>
      <c r="B99" s="43">
        <v>9135.3533176001129</v>
      </c>
      <c r="C99" s="43">
        <v>7.7027058571145233</v>
      </c>
      <c r="D99" s="43">
        <v>0</v>
      </c>
      <c r="E99" s="44">
        <f t="shared" si="6"/>
        <v>4.7829074961257136</v>
      </c>
      <c r="F99" s="45">
        <f t="shared" si="6"/>
        <v>6.8165538558535604E-2</v>
      </c>
      <c r="G99" s="43">
        <v>1910</v>
      </c>
      <c r="H99" s="46">
        <v>113</v>
      </c>
      <c r="I99" s="46">
        <v>0</v>
      </c>
    </row>
    <row r="100" spans="1:9" ht="17.25" x14ac:dyDescent="0.45">
      <c r="A100" s="2" t="s">
        <v>22</v>
      </c>
      <c r="B100" s="11"/>
      <c r="C100" s="11"/>
      <c r="D100" s="11"/>
      <c r="E100" s="11"/>
      <c r="F100" s="11"/>
      <c r="G100" s="11"/>
      <c r="H100" s="11"/>
      <c r="I100" s="50" t="s">
        <v>37</v>
      </c>
    </row>
    <row r="113" spans="4:9" x14ac:dyDescent="0.25">
      <c r="D113" s="1"/>
      <c r="E113" s="1"/>
      <c r="F113" s="1"/>
      <c r="I113" s="1"/>
    </row>
    <row r="114" spans="4:9" x14ac:dyDescent="0.25">
      <c r="D114" s="1"/>
      <c r="E114" s="1"/>
      <c r="F114" s="1"/>
      <c r="I114" s="1"/>
    </row>
    <row r="115" spans="4:9" x14ac:dyDescent="0.25">
      <c r="D115" s="1"/>
      <c r="E115" s="1"/>
      <c r="F115" s="1"/>
      <c r="I115" s="1"/>
    </row>
    <row r="116" spans="4:9" x14ac:dyDescent="0.25">
      <c r="D116" s="1"/>
      <c r="E116" s="1"/>
      <c r="F116" s="1"/>
      <c r="I116" s="1"/>
    </row>
    <row r="117" spans="4:9" x14ac:dyDescent="0.25">
      <c r="D117" s="1"/>
      <c r="E117" s="1"/>
      <c r="F117" s="1"/>
      <c r="I117" s="1"/>
    </row>
    <row r="118" spans="4:9" x14ac:dyDescent="0.25">
      <c r="D118" s="1"/>
      <c r="E118" s="1"/>
      <c r="F118" s="1"/>
      <c r="I118" s="1"/>
    </row>
    <row r="119" spans="4:9" x14ac:dyDescent="0.25">
      <c r="D119" s="1"/>
      <c r="E119" s="1"/>
      <c r="F119" s="1"/>
      <c r="I119" s="1"/>
    </row>
    <row r="120" spans="4:9" x14ac:dyDescent="0.25">
      <c r="D120" s="1"/>
      <c r="E120" s="1"/>
      <c r="F120" s="1"/>
      <c r="I120" s="1"/>
    </row>
    <row r="121" spans="4:9" x14ac:dyDescent="0.25">
      <c r="D121" s="1"/>
      <c r="E121" s="1"/>
      <c r="F121" s="1"/>
      <c r="I121" s="1"/>
    </row>
    <row r="122" spans="4:9" x14ac:dyDescent="0.25">
      <c r="D122" s="1"/>
      <c r="E122" s="1"/>
      <c r="F122" s="1"/>
      <c r="I122" s="1"/>
    </row>
    <row r="123" spans="4:9" x14ac:dyDescent="0.25">
      <c r="D123" s="1"/>
      <c r="E123" s="1"/>
      <c r="F123" s="1"/>
      <c r="I123" s="1"/>
    </row>
    <row r="124" spans="4:9" x14ac:dyDescent="0.25">
      <c r="D124" s="1"/>
      <c r="E124" s="1"/>
      <c r="F124" s="1"/>
      <c r="I124" s="1"/>
    </row>
    <row r="125" spans="4:9" x14ac:dyDescent="0.25">
      <c r="D125" s="1"/>
      <c r="E125" s="1"/>
      <c r="F125" s="1"/>
      <c r="I125" s="1"/>
    </row>
    <row r="126" spans="4:9" x14ac:dyDescent="0.25">
      <c r="D126" s="1"/>
      <c r="E126" s="1"/>
      <c r="F126" s="1"/>
      <c r="I126" s="1"/>
    </row>
    <row r="127" spans="4:9" x14ac:dyDescent="0.25">
      <c r="D127" s="1"/>
      <c r="E127" s="1"/>
      <c r="F127" s="1"/>
      <c r="I127" s="1"/>
    </row>
    <row r="128" spans="4:9" x14ac:dyDescent="0.25">
      <c r="D128" s="1"/>
      <c r="E128" s="1"/>
      <c r="F128" s="1"/>
      <c r="I128" s="1"/>
    </row>
    <row r="129" spans="4:9" x14ac:dyDescent="0.25">
      <c r="D129" s="1"/>
      <c r="E129" s="1"/>
      <c r="F129" s="1"/>
      <c r="I129" s="1"/>
    </row>
    <row r="130" spans="4:9" x14ac:dyDescent="0.25">
      <c r="D130" s="1"/>
      <c r="E130" s="1"/>
      <c r="F130" s="1"/>
      <c r="I130" s="1"/>
    </row>
    <row r="131" spans="4:9" x14ac:dyDescent="0.25">
      <c r="D131" s="1"/>
      <c r="E131" s="1"/>
      <c r="F131" s="1"/>
      <c r="I131" s="1"/>
    </row>
    <row r="132" spans="4:9" x14ac:dyDescent="0.25">
      <c r="D132" s="1"/>
      <c r="E132" s="1"/>
      <c r="F132" s="1"/>
      <c r="I132" s="1"/>
    </row>
    <row r="133" spans="4:9" x14ac:dyDescent="0.25">
      <c r="D133" s="1"/>
      <c r="E133" s="1"/>
      <c r="F133" s="1"/>
      <c r="I133" s="1"/>
    </row>
    <row r="134" spans="4:9" x14ac:dyDescent="0.25">
      <c r="D134" s="1"/>
      <c r="E134" s="1"/>
      <c r="F134" s="1"/>
      <c r="I134" s="1"/>
    </row>
    <row r="135" spans="4:9" x14ac:dyDescent="0.25">
      <c r="D135" s="1"/>
      <c r="E135" s="1"/>
      <c r="F135" s="1"/>
      <c r="I135" s="1"/>
    </row>
    <row r="136" spans="4:9" x14ac:dyDescent="0.25">
      <c r="D136" s="1"/>
      <c r="E136" s="1"/>
      <c r="F136" s="1"/>
      <c r="I136" s="1"/>
    </row>
    <row r="137" spans="4:9" x14ac:dyDescent="0.25">
      <c r="D137" s="1"/>
      <c r="E137" s="1"/>
      <c r="F137" s="1"/>
      <c r="I137" s="1"/>
    </row>
    <row r="138" spans="4:9" x14ac:dyDescent="0.25">
      <c r="D138" s="1"/>
      <c r="E138" s="1"/>
      <c r="F138" s="1"/>
      <c r="I138" s="1"/>
    </row>
    <row r="139" spans="4:9" x14ac:dyDescent="0.25">
      <c r="D139" s="1"/>
      <c r="E139" s="1"/>
      <c r="F139" s="1"/>
      <c r="I139" s="1"/>
    </row>
    <row r="140" spans="4:9" x14ac:dyDescent="0.25">
      <c r="D140" s="1"/>
      <c r="E140" s="1"/>
      <c r="F140" s="1"/>
      <c r="I140" s="1"/>
    </row>
    <row r="141" spans="4:9" x14ac:dyDescent="0.25">
      <c r="D141" s="1"/>
      <c r="E141" s="1"/>
      <c r="F141" s="1"/>
      <c r="I141" s="1"/>
    </row>
    <row r="142" spans="4:9" x14ac:dyDescent="0.25">
      <c r="D142" s="1"/>
      <c r="E142" s="1"/>
      <c r="F142" s="1"/>
      <c r="I142" s="1"/>
    </row>
    <row r="143" spans="4:9" x14ac:dyDescent="0.25">
      <c r="D143" s="1"/>
      <c r="E143" s="1"/>
      <c r="F143" s="1"/>
      <c r="I143" s="1"/>
    </row>
    <row r="144" spans="4:9" x14ac:dyDescent="0.25">
      <c r="D144" s="1"/>
      <c r="E144" s="1"/>
      <c r="F144" s="1"/>
      <c r="I144" s="1"/>
    </row>
    <row r="145" spans="4:9" x14ac:dyDescent="0.25">
      <c r="D145" s="1"/>
      <c r="E145" s="1"/>
      <c r="F145" s="1"/>
      <c r="I145" s="1"/>
    </row>
    <row r="146" spans="4:9" x14ac:dyDescent="0.25">
      <c r="D146" s="1"/>
      <c r="E146" s="1"/>
      <c r="F146" s="1"/>
      <c r="I146" s="1"/>
    </row>
    <row r="147" spans="4:9" x14ac:dyDescent="0.25">
      <c r="D147" s="1"/>
      <c r="E147" s="1"/>
      <c r="F147" s="1"/>
      <c r="I147" s="1"/>
    </row>
    <row r="148" spans="4:9" x14ac:dyDescent="0.25">
      <c r="D148" s="1"/>
      <c r="E148" s="1"/>
      <c r="F148" s="1"/>
      <c r="I148" s="1"/>
    </row>
    <row r="149" spans="4:9" x14ac:dyDescent="0.25">
      <c r="D149" s="1"/>
      <c r="E149" s="1"/>
      <c r="F149" s="1"/>
      <c r="I149" s="1"/>
    </row>
    <row r="150" spans="4:9" x14ac:dyDescent="0.25">
      <c r="D150" s="1"/>
      <c r="E150" s="1"/>
      <c r="F150" s="1"/>
      <c r="I150" s="1"/>
    </row>
    <row r="151" spans="4:9" x14ac:dyDescent="0.25">
      <c r="D151" s="1"/>
      <c r="E151" s="1"/>
      <c r="F151" s="1"/>
      <c r="I151" s="1"/>
    </row>
    <row r="152" spans="4:9" x14ac:dyDescent="0.25">
      <c r="D152" s="1"/>
      <c r="E152" s="1"/>
      <c r="F152" s="1"/>
      <c r="I152" s="1"/>
    </row>
    <row r="153" spans="4:9" x14ac:dyDescent="0.25">
      <c r="D153" s="1"/>
      <c r="E153" s="1"/>
      <c r="F153" s="1"/>
      <c r="I153" s="1"/>
    </row>
    <row r="154" spans="4:9" x14ac:dyDescent="0.25">
      <c r="D154" s="1"/>
      <c r="E154" s="1"/>
      <c r="F154" s="1"/>
      <c r="I154" s="1"/>
    </row>
    <row r="155" spans="4:9" x14ac:dyDescent="0.25">
      <c r="D155" s="1"/>
      <c r="E155" s="1"/>
      <c r="F155" s="1"/>
      <c r="I155" s="1"/>
    </row>
    <row r="156" spans="4:9" x14ac:dyDescent="0.25">
      <c r="D156" s="1"/>
      <c r="E156" s="1"/>
      <c r="F156" s="1"/>
      <c r="I156" s="1"/>
    </row>
    <row r="157" spans="4:9" x14ac:dyDescent="0.25">
      <c r="D157" s="1"/>
      <c r="E157" s="1"/>
      <c r="F157" s="1"/>
      <c r="I157" s="1"/>
    </row>
    <row r="158" spans="4:9" x14ac:dyDescent="0.25">
      <c r="D158" s="1"/>
      <c r="E158" s="1"/>
      <c r="F158" s="1"/>
      <c r="I158" s="1"/>
    </row>
    <row r="159" spans="4:9" x14ac:dyDescent="0.25">
      <c r="D159" s="1"/>
      <c r="E159" s="1"/>
      <c r="F159" s="1"/>
      <c r="I159" s="1"/>
    </row>
    <row r="160" spans="4:9" x14ac:dyDescent="0.25">
      <c r="D160" s="1"/>
      <c r="E160" s="1"/>
      <c r="F160" s="1"/>
      <c r="I160" s="1"/>
    </row>
    <row r="161" spans="4:9" x14ac:dyDescent="0.25">
      <c r="D161" s="1"/>
      <c r="E161" s="1"/>
      <c r="F161" s="1"/>
      <c r="I161" s="1"/>
    </row>
    <row r="162" spans="4:9" x14ac:dyDescent="0.25">
      <c r="D162" s="1"/>
      <c r="E162" s="1"/>
      <c r="F162" s="1"/>
      <c r="I162" s="1"/>
    </row>
    <row r="163" spans="4:9" x14ac:dyDescent="0.25">
      <c r="D163" s="1"/>
      <c r="E163" s="1"/>
      <c r="F163" s="1"/>
      <c r="I163" s="1"/>
    </row>
    <row r="164" spans="4:9" x14ac:dyDescent="0.25">
      <c r="D164" s="1"/>
      <c r="E164" s="1"/>
      <c r="F164" s="1"/>
      <c r="I164" s="1"/>
    </row>
    <row r="165" spans="4:9" x14ac:dyDescent="0.25">
      <c r="D165" s="1"/>
      <c r="E165" s="1"/>
      <c r="F165" s="1"/>
      <c r="I165" s="1"/>
    </row>
    <row r="166" spans="4:9" x14ac:dyDescent="0.25">
      <c r="D166" s="1"/>
      <c r="E166" s="1"/>
      <c r="F166" s="1"/>
      <c r="I166" s="1"/>
    </row>
    <row r="167" spans="4:9" x14ac:dyDescent="0.25">
      <c r="D167" s="1"/>
      <c r="E167" s="1"/>
      <c r="F167" s="1"/>
      <c r="I167" s="1"/>
    </row>
    <row r="168" spans="4:9" x14ac:dyDescent="0.25">
      <c r="D168" s="1"/>
      <c r="E168" s="1"/>
      <c r="F168" s="1"/>
      <c r="I168" s="1"/>
    </row>
    <row r="169" spans="4:9" x14ac:dyDescent="0.25">
      <c r="D169" s="1"/>
      <c r="E169" s="1"/>
      <c r="F169" s="1"/>
      <c r="I169" s="1"/>
    </row>
    <row r="170" spans="4:9" x14ac:dyDescent="0.25">
      <c r="D170" s="1"/>
      <c r="E170" s="1"/>
      <c r="F170" s="1"/>
      <c r="I170" s="1"/>
    </row>
    <row r="171" spans="4:9" x14ac:dyDescent="0.25">
      <c r="D171" s="1"/>
      <c r="E171" s="1"/>
      <c r="F171" s="1"/>
      <c r="I171" s="1"/>
    </row>
    <row r="172" spans="4:9" x14ac:dyDescent="0.25">
      <c r="D172" s="1"/>
      <c r="E172" s="1"/>
      <c r="F172" s="1"/>
      <c r="I172" s="1"/>
    </row>
    <row r="173" spans="4:9" x14ac:dyDescent="0.25">
      <c r="D173" s="1"/>
      <c r="E173" s="1"/>
      <c r="F173" s="1"/>
      <c r="I173" s="1"/>
    </row>
    <row r="174" spans="4:9" x14ac:dyDescent="0.25">
      <c r="D174" s="1"/>
      <c r="E174" s="1"/>
      <c r="F174" s="1"/>
      <c r="I174" s="1"/>
    </row>
    <row r="175" spans="4:9" x14ac:dyDescent="0.25">
      <c r="D175" s="1"/>
      <c r="E175" s="1"/>
      <c r="F175" s="1"/>
      <c r="I175" s="1"/>
    </row>
    <row r="176" spans="4:9" x14ac:dyDescent="0.25">
      <c r="D176" s="1"/>
      <c r="E176" s="1"/>
      <c r="F176" s="1"/>
      <c r="I176" s="1"/>
    </row>
    <row r="177" spans="4:9" x14ac:dyDescent="0.25">
      <c r="D177" s="1"/>
      <c r="E177" s="1"/>
      <c r="F177" s="1"/>
      <c r="I177" s="1"/>
    </row>
    <row r="178" spans="4:9" x14ac:dyDescent="0.25">
      <c r="D178" s="1"/>
      <c r="E178" s="1"/>
      <c r="F178" s="1"/>
      <c r="I178" s="1"/>
    </row>
    <row r="179" spans="4:9" x14ac:dyDescent="0.25">
      <c r="D179" s="1"/>
      <c r="E179" s="1"/>
      <c r="F179" s="1"/>
      <c r="I179" s="1"/>
    </row>
    <row r="180" spans="4:9" x14ac:dyDescent="0.25">
      <c r="D180" s="1"/>
      <c r="E180" s="1"/>
      <c r="F180" s="1"/>
      <c r="I180" s="1"/>
    </row>
    <row r="181" spans="4:9" x14ac:dyDescent="0.25">
      <c r="D181" s="1"/>
      <c r="E181" s="1"/>
      <c r="F181" s="1"/>
      <c r="I181" s="1"/>
    </row>
    <row r="182" spans="4:9" x14ac:dyDescent="0.25">
      <c r="D182" s="1"/>
      <c r="E182" s="1"/>
      <c r="F182" s="1"/>
      <c r="I182" s="1"/>
    </row>
    <row r="183" spans="4:9" x14ac:dyDescent="0.25">
      <c r="D183" s="1"/>
      <c r="E183" s="1"/>
      <c r="F183" s="1"/>
      <c r="I183" s="1"/>
    </row>
    <row r="184" spans="4:9" x14ac:dyDescent="0.25">
      <c r="D184" s="1"/>
      <c r="E184" s="1"/>
      <c r="F184" s="1"/>
      <c r="I184" s="1"/>
    </row>
    <row r="185" spans="4:9" x14ac:dyDescent="0.25">
      <c r="D185" s="1"/>
      <c r="E185" s="1"/>
      <c r="F185" s="1"/>
      <c r="I185" s="1"/>
    </row>
    <row r="186" spans="4:9" x14ac:dyDescent="0.25">
      <c r="D186" s="1"/>
      <c r="E186" s="1"/>
      <c r="F186" s="1"/>
      <c r="I186" s="1"/>
    </row>
    <row r="187" spans="4:9" x14ac:dyDescent="0.25">
      <c r="D187" s="1"/>
      <c r="E187" s="1"/>
      <c r="F187" s="1"/>
      <c r="I187" s="1"/>
    </row>
    <row r="188" spans="4:9" x14ac:dyDescent="0.25">
      <c r="D188" s="1"/>
      <c r="E188" s="1"/>
      <c r="F188" s="1"/>
      <c r="I188" s="1"/>
    </row>
    <row r="189" spans="4:9" x14ac:dyDescent="0.25">
      <c r="D189" s="1"/>
      <c r="E189" s="1"/>
      <c r="F189" s="1"/>
      <c r="I189" s="1"/>
    </row>
    <row r="190" spans="4:9" x14ac:dyDescent="0.25">
      <c r="D190" s="1"/>
      <c r="E190" s="1"/>
      <c r="F190" s="1"/>
      <c r="I190" s="1"/>
    </row>
    <row r="191" spans="4:9" x14ac:dyDescent="0.25">
      <c r="D191" s="1"/>
      <c r="E191" s="1"/>
      <c r="F191" s="1"/>
      <c r="I191" s="1"/>
    </row>
    <row r="192" spans="4:9" x14ac:dyDescent="0.25">
      <c r="D192" s="1"/>
      <c r="E192" s="1"/>
      <c r="F192" s="1"/>
      <c r="I192" s="1"/>
    </row>
    <row r="193" spans="4:9" x14ac:dyDescent="0.25">
      <c r="D193" s="1"/>
      <c r="E193" s="1"/>
      <c r="F193" s="1"/>
      <c r="I193" s="1"/>
    </row>
    <row r="194" spans="4:9" x14ac:dyDescent="0.25">
      <c r="D194" s="1"/>
      <c r="E194" s="1"/>
      <c r="F194" s="1"/>
      <c r="I194" s="1"/>
    </row>
    <row r="195" spans="4:9" x14ac:dyDescent="0.25">
      <c r="D195" s="1"/>
      <c r="E195" s="1"/>
      <c r="F195" s="1"/>
      <c r="I195" s="1"/>
    </row>
    <row r="196" spans="4:9" x14ac:dyDescent="0.25">
      <c r="D196" s="1"/>
      <c r="E196" s="1"/>
      <c r="F196" s="1"/>
      <c r="I196" s="1"/>
    </row>
    <row r="197" spans="4:9" x14ac:dyDescent="0.25">
      <c r="D197" s="1"/>
      <c r="E197" s="1"/>
      <c r="F197" s="1"/>
      <c r="I197" s="1"/>
    </row>
    <row r="198" spans="4:9" x14ac:dyDescent="0.25">
      <c r="D198" s="1"/>
      <c r="E198" s="1"/>
      <c r="F198" s="1"/>
      <c r="I198" s="1"/>
    </row>
    <row r="199" spans="4:9" x14ac:dyDescent="0.25">
      <c r="D199" s="1"/>
      <c r="E199" s="1"/>
      <c r="F199" s="1"/>
      <c r="I199" s="1"/>
    </row>
    <row r="200" spans="4:9" x14ac:dyDescent="0.25">
      <c r="D200" s="1"/>
      <c r="E200" s="1"/>
      <c r="F200" s="1"/>
      <c r="I200" s="1"/>
    </row>
    <row r="201" spans="4:9" x14ac:dyDescent="0.25">
      <c r="D201" s="1"/>
      <c r="E201" s="1"/>
      <c r="F201" s="1"/>
      <c r="I201" s="1"/>
    </row>
    <row r="202" spans="4:9" x14ac:dyDescent="0.25">
      <c r="D202" s="1"/>
      <c r="E202" s="1"/>
      <c r="F202" s="1"/>
      <c r="I202" s="1"/>
    </row>
    <row r="203" spans="4:9" x14ac:dyDescent="0.25">
      <c r="D203" s="1"/>
      <c r="E203" s="1"/>
      <c r="F203" s="1"/>
      <c r="I203" s="1"/>
    </row>
    <row r="204" spans="4:9" x14ac:dyDescent="0.25">
      <c r="D204" s="1"/>
      <c r="E204" s="1"/>
      <c r="F204" s="1"/>
      <c r="I204" s="1"/>
    </row>
    <row r="205" spans="4:9" x14ac:dyDescent="0.25">
      <c r="D205" s="1"/>
      <c r="E205" s="1"/>
      <c r="F205" s="1"/>
      <c r="I205" s="1"/>
    </row>
    <row r="206" spans="4:9" x14ac:dyDescent="0.25">
      <c r="D206" s="1"/>
      <c r="E206" s="1"/>
      <c r="F206" s="1"/>
      <c r="I206" s="1"/>
    </row>
    <row r="207" spans="4:9" x14ac:dyDescent="0.25">
      <c r="D207" s="1"/>
      <c r="E207" s="1"/>
      <c r="F207" s="1"/>
      <c r="I207" s="1"/>
    </row>
    <row r="208" spans="4:9" x14ac:dyDescent="0.25">
      <c r="D208" s="1"/>
      <c r="E208" s="1"/>
      <c r="F208" s="1"/>
      <c r="I208" s="1"/>
    </row>
    <row r="209" spans="4:9" x14ac:dyDescent="0.25">
      <c r="D209" s="1"/>
      <c r="E209" s="1"/>
      <c r="F209" s="1"/>
      <c r="I209" s="1"/>
    </row>
    <row r="210" spans="4:9" x14ac:dyDescent="0.25">
      <c r="D210" s="1"/>
      <c r="E210" s="1"/>
      <c r="F210" s="1"/>
      <c r="I210" s="1"/>
    </row>
    <row r="211" spans="4:9" x14ac:dyDescent="0.25">
      <c r="D211" s="1"/>
      <c r="E211" s="1"/>
      <c r="F211" s="1"/>
      <c r="I211" s="1"/>
    </row>
    <row r="212" spans="4:9" x14ac:dyDescent="0.25">
      <c r="D212" s="1"/>
      <c r="E212" s="1"/>
      <c r="F212" s="1"/>
      <c r="I212" s="1"/>
    </row>
    <row r="213" spans="4:9" x14ac:dyDescent="0.25">
      <c r="D213" s="1"/>
      <c r="E213" s="1"/>
      <c r="F213" s="1"/>
      <c r="I213" s="1"/>
    </row>
    <row r="214" spans="4:9" x14ac:dyDescent="0.25">
      <c r="D214" s="1"/>
      <c r="E214" s="1"/>
      <c r="F214" s="1"/>
      <c r="I214" s="1"/>
    </row>
    <row r="215" spans="4:9" x14ac:dyDescent="0.25">
      <c r="D215" s="1"/>
      <c r="E215" s="1"/>
      <c r="F215" s="1"/>
      <c r="I215" s="1"/>
    </row>
    <row r="216" spans="4:9" x14ac:dyDescent="0.25">
      <c r="D216" s="1"/>
      <c r="E216" s="1"/>
      <c r="F216" s="1"/>
      <c r="I216" s="1"/>
    </row>
    <row r="217" spans="4:9" x14ac:dyDescent="0.25">
      <c r="D217" s="1"/>
      <c r="E217" s="1"/>
      <c r="F217" s="1"/>
      <c r="I217" s="1"/>
    </row>
    <row r="218" spans="4:9" x14ac:dyDescent="0.25">
      <c r="D218" s="1"/>
      <c r="E218" s="1"/>
      <c r="F218" s="1"/>
      <c r="I218" s="1"/>
    </row>
    <row r="219" spans="4:9" x14ac:dyDescent="0.25">
      <c r="D219" s="1"/>
      <c r="E219" s="1"/>
      <c r="F219" s="1"/>
      <c r="I219" s="1"/>
    </row>
    <row r="220" spans="4:9" x14ac:dyDescent="0.25">
      <c r="D220" s="1"/>
      <c r="E220" s="1"/>
      <c r="F220" s="1"/>
      <c r="I220" s="1"/>
    </row>
    <row r="221" spans="4:9" x14ac:dyDescent="0.25">
      <c r="D221" s="1"/>
      <c r="E221" s="1"/>
      <c r="F221" s="1"/>
      <c r="I221" s="1"/>
    </row>
    <row r="222" spans="4:9" x14ac:dyDescent="0.25">
      <c r="D222" s="1"/>
      <c r="E222" s="1"/>
      <c r="F222" s="1"/>
      <c r="I222" s="1"/>
    </row>
    <row r="223" spans="4:9" x14ac:dyDescent="0.25">
      <c r="D223" s="1"/>
      <c r="E223" s="1"/>
      <c r="F223" s="1"/>
      <c r="I223" s="1"/>
    </row>
    <row r="224" spans="4:9" x14ac:dyDescent="0.25">
      <c r="D224" s="1"/>
      <c r="E224" s="1"/>
      <c r="F224" s="1"/>
      <c r="I224" s="1"/>
    </row>
    <row r="225" spans="4:9" x14ac:dyDescent="0.25">
      <c r="D225" s="1"/>
      <c r="E225" s="1"/>
      <c r="F225" s="1"/>
      <c r="I225" s="1"/>
    </row>
    <row r="226" spans="4:9" x14ac:dyDescent="0.25">
      <c r="D226" s="1"/>
      <c r="E226" s="1"/>
      <c r="F226" s="1"/>
      <c r="I226" s="1"/>
    </row>
    <row r="227" spans="4:9" x14ac:dyDescent="0.25">
      <c r="D227" s="1"/>
      <c r="E227" s="1"/>
      <c r="F227" s="1"/>
      <c r="I227" s="1"/>
    </row>
    <row r="228" spans="4:9" x14ac:dyDescent="0.25">
      <c r="D228" s="1"/>
      <c r="E228" s="1"/>
      <c r="F228" s="1"/>
      <c r="I228" s="1"/>
    </row>
    <row r="229" spans="4:9" x14ac:dyDescent="0.25">
      <c r="D229" s="1"/>
      <c r="E229" s="1"/>
      <c r="F229" s="1"/>
      <c r="I229" s="1"/>
    </row>
    <row r="230" spans="4:9" x14ac:dyDescent="0.25">
      <c r="D230" s="1"/>
      <c r="E230" s="1"/>
      <c r="F230" s="1"/>
      <c r="I230" s="1"/>
    </row>
    <row r="231" spans="4:9" x14ac:dyDescent="0.25">
      <c r="D231" s="1"/>
      <c r="E231" s="1"/>
      <c r="F231" s="1"/>
      <c r="I231" s="1"/>
    </row>
    <row r="232" spans="4:9" x14ac:dyDescent="0.25">
      <c r="D232" s="1"/>
      <c r="E232" s="1"/>
      <c r="F232" s="1"/>
      <c r="I232" s="1"/>
    </row>
    <row r="233" spans="4:9" x14ac:dyDescent="0.25">
      <c r="D233" s="1"/>
      <c r="E233" s="1"/>
      <c r="F233" s="1"/>
      <c r="I233" s="1"/>
    </row>
    <row r="234" spans="4:9" x14ac:dyDescent="0.25">
      <c r="D234" s="1"/>
      <c r="E234" s="1"/>
      <c r="F234" s="1"/>
      <c r="I234" s="1"/>
    </row>
    <row r="235" spans="4:9" x14ac:dyDescent="0.25">
      <c r="D235" s="1"/>
      <c r="E235" s="1"/>
      <c r="F235" s="1"/>
      <c r="I235" s="1"/>
    </row>
    <row r="236" spans="4:9" x14ac:dyDescent="0.25">
      <c r="D236" s="1"/>
      <c r="E236" s="1"/>
      <c r="F236" s="1"/>
      <c r="I236" s="1"/>
    </row>
    <row r="237" spans="4:9" x14ac:dyDescent="0.25">
      <c r="D237" s="1"/>
      <c r="E237" s="1"/>
      <c r="F237" s="1"/>
      <c r="I237" s="1"/>
    </row>
    <row r="238" spans="4:9" x14ac:dyDescent="0.25">
      <c r="D238" s="1"/>
      <c r="E238" s="1"/>
      <c r="F238" s="1"/>
      <c r="I238" s="1"/>
    </row>
    <row r="239" spans="4:9" x14ac:dyDescent="0.25">
      <c r="D239" s="1"/>
      <c r="E239" s="1"/>
      <c r="F239" s="1"/>
      <c r="I239" s="1"/>
    </row>
    <row r="240" spans="4:9" x14ac:dyDescent="0.25">
      <c r="D240" s="1"/>
      <c r="E240" s="1"/>
      <c r="F240" s="1"/>
      <c r="I240" s="1"/>
    </row>
    <row r="241" spans="4:9" x14ac:dyDescent="0.25">
      <c r="D241" s="1"/>
      <c r="E241" s="1"/>
      <c r="F241" s="1"/>
      <c r="I241" s="1"/>
    </row>
    <row r="242" spans="4:9" x14ac:dyDescent="0.25">
      <c r="D242" s="1"/>
      <c r="E242" s="1"/>
      <c r="F242" s="1"/>
      <c r="I242" s="1"/>
    </row>
    <row r="243" spans="4:9" x14ac:dyDescent="0.25">
      <c r="D243" s="1"/>
      <c r="E243" s="1"/>
      <c r="F243" s="1"/>
      <c r="I243" s="1"/>
    </row>
    <row r="244" spans="4:9" x14ac:dyDescent="0.25">
      <c r="D244" s="1"/>
      <c r="E244" s="1"/>
      <c r="F244" s="1"/>
      <c r="I244" s="1"/>
    </row>
    <row r="245" spans="4:9" x14ac:dyDescent="0.25">
      <c r="D245" s="1"/>
      <c r="E245" s="1"/>
      <c r="F245" s="1"/>
      <c r="I245" s="1"/>
    </row>
    <row r="246" spans="4:9" x14ac:dyDescent="0.25">
      <c r="D246" s="1"/>
      <c r="E246" s="1"/>
      <c r="F246" s="1"/>
      <c r="I246" s="1"/>
    </row>
    <row r="247" spans="4:9" x14ac:dyDescent="0.25">
      <c r="D247" s="1"/>
      <c r="E247" s="1"/>
      <c r="F247" s="1"/>
      <c r="I247" s="1"/>
    </row>
    <row r="248" spans="4:9" x14ac:dyDescent="0.25">
      <c r="D248" s="1"/>
      <c r="E248" s="1"/>
      <c r="F248" s="1"/>
      <c r="I248" s="1"/>
    </row>
    <row r="249" spans="4:9" x14ac:dyDescent="0.25">
      <c r="D249" s="1"/>
      <c r="E249" s="1"/>
      <c r="F249" s="1"/>
      <c r="I249" s="1"/>
    </row>
    <row r="250" spans="4:9" x14ac:dyDescent="0.25">
      <c r="D250" s="1"/>
      <c r="E250" s="1"/>
      <c r="F250" s="1"/>
      <c r="I250" s="1"/>
    </row>
    <row r="251" spans="4:9" x14ac:dyDescent="0.25">
      <c r="D251" s="1"/>
      <c r="E251" s="1"/>
      <c r="F251" s="1"/>
      <c r="I251" s="1"/>
    </row>
    <row r="252" spans="4:9" x14ac:dyDescent="0.25">
      <c r="D252" s="1"/>
      <c r="E252" s="1"/>
      <c r="F252" s="1"/>
      <c r="I252" s="1"/>
    </row>
    <row r="253" spans="4:9" x14ac:dyDescent="0.25">
      <c r="D253" s="1"/>
      <c r="E253" s="1"/>
      <c r="F253" s="1"/>
      <c r="I253" s="1"/>
    </row>
    <row r="254" spans="4:9" x14ac:dyDescent="0.25">
      <c r="D254" s="1"/>
      <c r="E254" s="1"/>
      <c r="F254" s="1"/>
      <c r="I254" s="1"/>
    </row>
    <row r="255" spans="4:9" x14ac:dyDescent="0.25">
      <c r="D255" s="1"/>
      <c r="E255" s="1"/>
      <c r="F255" s="1"/>
      <c r="I255" s="1"/>
    </row>
    <row r="256" spans="4:9" x14ac:dyDescent="0.25">
      <c r="D256" s="1"/>
      <c r="E256" s="1"/>
      <c r="F256" s="1"/>
      <c r="I256" s="1"/>
    </row>
    <row r="257" spans="4:9" x14ac:dyDescent="0.25">
      <c r="D257" s="1"/>
      <c r="E257" s="1"/>
      <c r="F257" s="1"/>
      <c r="I257" s="1"/>
    </row>
    <row r="258" spans="4:9" x14ac:dyDescent="0.25">
      <c r="D258" s="1"/>
      <c r="E258" s="1"/>
      <c r="F258" s="1"/>
      <c r="I258" s="1"/>
    </row>
    <row r="259" spans="4:9" x14ac:dyDescent="0.25">
      <c r="D259" s="1"/>
      <c r="E259" s="1"/>
      <c r="F259" s="1"/>
      <c r="I259" s="1"/>
    </row>
    <row r="260" spans="4:9" x14ac:dyDescent="0.25">
      <c r="D260" s="1"/>
      <c r="E260" s="1"/>
      <c r="F260" s="1"/>
      <c r="I260" s="1"/>
    </row>
    <row r="261" spans="4:9" x14ac:dyDescent="0.25">
      <c r="D261" s="1"/>
      <c r="E261" s="1"/>
      <c r="F261" s="1"/>
      <c r="I261" s="1"/>
    </row>
    <row r="262" spans="4:9" x14ac:dyDescent="0.25">
      <c r="D262" s="1"/>
      <c r="E262" s="1"/>
      <c r="F262" s="1"/>
      <c r="I262" s="1"/>
    </row>
    <row r="263" spans="4:9" x14ac:dyDescent="0.25">
      <c r="D263" s="1"/>
      <c r="E263" s="1"/>
      <c r="F263" s="1"/>
      <c r="I263" s="1"/>
    </row>
    <row r="264" spans="4:9" x14ac:dyDescent="0.25">
      <c r="D264" s="1"/>
      <c r="E264" s="1"/>
      <c r="F264" s="1"/>
      <c r="I264" s="1"/>
    </row>
    <row r="265" spans="4:9" x14ac:dyDescent="0.25">
      <c r="D265" s="1"/>
      <c r="E265" s="1"/>
      <c r="F265" s="1"/>
      <c r="I265" s="1"/>
    </row>
    <row r="266" spans="4:9" x14ac:dyDescent="0.25">
      <c r="D266" s="1"/>
      <c r="E266" s="1"/>
      <c r="F266" s="1"/>
      <c r="I266" s="1"/>
    </row>
    <row r="267" spans="4:9" x14ac:dyDescent="0.25">
      <c r="D267" s="1"/>
      <c r="E267" s="1"/>
      <c r="F267" s="1"/>
      <c r="I267" s="1"/>
    </row>
    <row r="268" spans="4:9" x14ac:dyDescent="0.25">
      <c r="D268" s="1"/>
      <c r="E268" s="1"/>
      <c r="F268" s="1"/>
      <c r="I268" s="1"/>
    </row>
    <row r="269" spans="4:9" x14ac:dyDescent="0.25">
      <c r="D269" s="1"/>
      <c r="E269" s="1"/>
      <c r="F269" s="1"/>
      <c r="I269" s="1"/>
    </row>
    <row r="270" spans="4:9" x14ac:dyDescent="0.25">
      <c r="D270" s="1"/>
      <c r="E270" s="1"/>
      <c r="F270" s="1"/>
      <c r="I270" s="1"/>
    </row>
    <row r="271" spans="4:9" x14ac:dyDescent="0.25">
      <c r="D271" s="1"/>
      <c r="E271" s="1"/>
      <c r="F271" s="1"/>
      <c r="I271" s="1"/>
    </row>
    <row r="272" spans="4:9" x14ac:dyDescent="0.25">
      <c r="D272" s="1"/>
      <c r="E272" s="1"/>
      <c r="F272" s="1"/>
      <c r="I272" s="1"/>
    </row>
    <row r="273" spans="4:9" x14ac:dyDescent="0.25">
      <c r="D273" s="1"/>
      <c r="E273" s="1"/>
      <c r="F273" s="1"/>
      <c r="I273" s="1"/>
    </row>
    <row r="274" spans="4:9" x14ac:dyDescent="0.25">
      <c r="D274" s="1"/>
      <c r="E274" s="1"/>
      <c r="F274" s="1"/>
      <c r="I274" s="1"/>
    </row>
    <row r="275" spans="4:9" x14ac:dyDescent="0.25">
      <c r="D275" s="1"/>
      <c r="E275" s="1"/>
      <c r="F275" s="1"/>
      <c r="I275" s="1"/>
    </row>
    <row r="276" spans="4:9" x14ac:dyDescent="0.25">
      <c r="D276" s="1"/>
      <c r="E276" s="1"/>
      <c r="F276" s="1"/>
      <c r="I276" s="1"/>
    </row>
    <row r="277" spans="4:9" x14ac:dyDescent="0.25">
      <c r="D277" s="1"/>
      <c r="E277" s="1"/>
      <c r="F277" s="1"/>
      <c r="I277" s="1"/>
    </row>
    <row r="278" spans="4:9" x14ac:dyDescent="0.25">
      <c r="D278" s="1"/>
      <c r="E278" s="1"/>
      <c r="F278" s="1"/>
      <c r="I278" s="1"/>
    </row>
    <row r="279" spans="4:9" x14ac:dyDescent="0.25">
      <c r="D279" s="1"/>
      <c r="E279" s="1"/>
      <c r="F279" s="1"/>
      <c r="I279" s="1"/>
    </row>
    <row r="280" spans="4:9" x14ac:dyDescent="0.25">
      <c r="D280" s="1"/>
      <c r="E280" s="1"/>
      <c r="F280" s="1"/>
      <c r="I280" s="1"/>
    </row>
    <row r="281" spans="4:9" x14ac:dyDescent="0.25">
      <c r="D281" s="1"/>
      <c r="E281" s="1"/>
      <c r="F281" s="1"/>
      <c r="I281" s="1"/>
    </row>
    <row r="282" spans="4:9" x14ac:dyDescent="0.25">
      <c r="D282" s="1"/>
      <c r="E282" s="1"/>
      <c r="F282" s="1"/>
      <c r="I282" s="1"/>
    </row>
    <row r="283" spans="4:9" x14ac:dyDescent="0.25">
      <c r="D283" s="1"/>
      <c r="E283" s="1"/>
      <c r="F283" s="1"/>
      <c r="I283" s="1"/>
    </row>
    <row r="284" spans="4:9" x14ac:dyDescent="0.25">
      <c r="D284" s="1"/>
      <c r="E284" s="1"/>
      <c r="F284" s="1"/>
      <c r="I284" s="1"/>
    </row>
    <row r="285" spans="4:9" x14ac:dyDescent="0.25">
      <c r="D285" s="1"/>
      <c r="E285" s="1"/>
      <c r="F285" s="1"/>
      <c r="I285" s="1"/>
    </row>
    <row r="286" spans="4:9" x14ac:dyDescent="0.25">
      <c r="D286" s="1"/>
      <c r="E286" s="1"/>
      <c r="F286" s="1"/>
      <c r="I286" s="1"/>
    </row>
    <row r="287" spans="4:9" x14ac:dyDescent="0.25">
      <c r="D287" s="1"/>
      <c r="E287" s="1"/>
      <c r="F287" s="1"/>
      <c r="I287" s="1"/>
    </row>
    <row r="288" spans="4:9" x14ac:dyDescent="0.25">
      <c r="D288" s="1"/>
      <c r="E288" s="1"/>
      <c r="F288" s="1"/>
      <c r="I288" s="1"/>
    </row>
    <row r="289" spans="4:9" x14ac:dyDescent="0.25">
      <c r="D289" s="1"/>
      <c r="E289" s="1"/>
      <c r="F289" s="1"/>
      <c r="I289" s="1"/>
    </row>
    <row r="290" spans="4:9" x14ac:dyDescent="0.25">
      <c r="D290" s="1"/>
      <c r="E290" s="1"/>
      <c r="F290" s="1"/>
      <c r="I290" s="1"/>
    </row>
    <row r="291" spans="4:9" x14ac:dyDescent="0.25">
      <c r="D291" s="1"/>
      <c r="E291" s="1"/>
      <c r="F291" s="1"/>
      <c r="I291" s="1"/>
    </row>
    <row r="292" spans="4:9" x14ac:dyDescent="0.25">
      <c r="D292" s="1"/>
      <c r="E292" s="1"/>
      <c r="F292" s="1"/>
      <c r="I292" s="1"/>
    </row>
    <row r="293" spans="4:9" x14ac:dyDescent="0.25">
      <c r="D293" s="1"/>
      <c r="E293" s="1"/>
      <c r="F293" s="1"/>
      <c r="I293" s="1"/>
    </row>
    <row r="294" spans="4:9" x14ac:dyDescent="0.25">
      <c r="D294" s="1"/>
      <c r="E294" s="1"/>
      <c r="F294" s="1"/>
      <c r="I294" s="1"/>
    </row>
    <row r="295" spans="4:9" x14ac:dyDescent="0.25">
      <c r="D295" s="1"/>
      <c r="E295" s="1"/>
      <c r="F295" s="1"/>
      <c r="I295" s="1"/>
    </row>
    <row r="296" spans="4:9" x14ac:dyDescent="0.25">
      <c r="D296" s="1"/>
      <c r="E296" s="1"/>
      <c r="F296" s="1"/>
      <c r="I296" s="1"/>
    </row>
    <row r="297" spans="4:9" x14ac:dyDescent="0.25">
      <c r="D297" s="1"/>
      <c r="E297" s="1"/>
      <c r="F297" s="1"/>
      <c r="I297" s="1"/>
    </row>
    <row r="298" spans="4:9" x14ac:dyDescent="0.25">
      <c r="D298" s="1"/>
      <c r="E298" s="1"/>
      <c r="F298" s="1"/>
      <c r="I298" s="1"/>
    </row>
    <row r="299" spans="4:9" x14ac:dyDescent="0.25">
      <c r="D299" s="1"/>
      <c r="E299" s="1"/>
      <c r="F299" s="1"/>
      <c r="I299" s="1"/>
    </row>
    <row r="300" spans="4:9" x14ac:dyDescent="0.25">
      <c r="D300" s="1"/>
      <c r="E300" s="1"/>
      <c r="F300" s="1"/>
      <c r="I300" s="1"/>
    </row>
    <row r="301" spans="4:9" x14ac:dyDescent="0.25">
      <c r="D301" s="1"/>
      <c r="E301" s="1"/>
      <c r="F301" s="1"/>
      <c r="I301" s="1"/>
    </row>
    <row r="302" spans="4:9" x14ac:dyDescent="0.25">
      <c r="D302" s="1"/>
      <c r="E302" s="1"/>
      <c r="F302" s="1"/>
      <c r="I302" s="1"/>
    </row>
    <row r="303" spans="4:9" x14ac:dyDescent="0.25">
      <c r="D303" s="1"/>
      <c r="E303" s="1"/>
      <c r="F303" s="1"/>
      <c r="I303" s="1"/>
    </row>
    <row r="304" spans="4:9" x14ac:dyDescent="0.25">
      <c r="D304" s="1"/>
      <c r="E304" s="1"/>
      <c r="F304" s="1"/>
      <c r="I304" s="1"/>
    </row>
    <row r="305" spans="4:9" x14ac:dyDescent="0.25">
      <c r="D305" s="1"/>
      <c r="E305" s="1"/>
      <c r="F305" s="1"/>
      <c r="I305" s="1"/>
    </row>
    <row r="306" spans="4:9" x14ac:dyDescent="0.25">
      <c r="D306" s="1"/>
      <c r="E306" s="1"/>
      <c r="F306" s="1"/>
      <c r="I306" s="1"/>
    </row>
    <row r="307" spans="4:9" x14ac:dyDescent="0.25">
      <c r="D307" s="1"/>
      <c r="E307" s="1"/>
      <c r="F307" s="1"/>
      <c r="I307" s="1"/>
    </row>
    <row r="308" spans="4:9" x14ac:dyDescent="0.25">
      <c r="D308" s="1"/>
      <c r="E308" s="1"/>
      <c r="F308" s="1"/>
      <c r="I308" s="1"/>
    </row>
    <row r="309" spans="4:9" x14ac:dyDescent="0.25">
      <c r="D309" s="1"/>
      <c r="E309" s="1"/>
      <c r="F309" s="1"/>
      <c r="I309" s="1"/>
    </row>
    <row r="310" spans="4:9" x14ac:dyDescent="0.25">
      <c r="D310" s="1"/>
      <c r="E310" s="1"/>
      <c r="F310" s="1"/>
      <c r="I310" s="1"/>
    </row>
    <row r="311" spans="4:9" x14ac:dyDescent="0.25">
      <c r="D311" s="1"/>
      <c r="E311" s="1"/>
      <c r="F311" s="1"/>
      <c r="I311" s="1"/>
    </row>
    <row r="312" spans="4:9" x14ac:dyDescent="0.25">
      <c r="D312" s="1"/>
      <c r="E312" s="1"/>
      <c r="F312" s="1"/>
      <c r="I312" s="1"/>
    </row>
    <row r="313" spans="4:9" x14ac:dyDescent="0.25">
      <c r="D313" s="1"/>
      <c r="E313" s="1"/>
      <c r="F313" s="1"/>
      <c r="I313" s="1"/>
    </row>
    <row r="314" spans="4:9" x14ac:dyDescent="0.25">
      <c r="D314" s="1"/>
      <c r="E314" s="1"/>
      <c r="F314" s="1"/>
      <c r="I314" s="1"/>
    </row>
    <row r="315" spans="4:9" x14ac:dyDescent="0.25">
      <c r="D315" s="1"/>
      <c r="E315" s="1"/>
      <c r="F315" s="1"/>
      <c r="I315" s="1"/>
    </row>
    <row r="316" spans="4:9" x14ac:dyDescent="0.25">
      <c r="D316" s="1"/>
      <c r="E316" s="1"/>
      <c r="F316" s="1"/>
      <c r="I316" s="1"/>
    </row>
    <row r="317" spans="4:9" x14ac:dyDescent="0.25">
      <c r="D317" s="1"/>
      <c r="E317" s="1"/>
      <c r="F317" s="1"/>
      <c r="I317" s="1"/>
    </row>
    <row r="318" spans="4:9" x14ac:dyDescent="0.25">
      <c r="D318" s="1"/>
      <c r="E318" s="1"/>
      <c r="F318" s="1"/>
      <c r="I318" s="1"/>
    </row>
    <row r="319" spans="4:9" x14ac:dyDescent="0.25">
      <c r="D319" s="1"/>
      <c r="E319" s="1"/>
      <c r="F319" s="1"/>
      <c r="I319" s="1"/>
    </row>
    <row r="320" spans="4:9" x14ac:dyDescent="0.25">
      <c r="D320" s="1"/>
      <c r="E320" s="1"/>
      <c r="F320" s="1"/>
      <c r="I320" s="1"/>
    </row>
    <row r="321" spans="4:9" x14ac:dyDescent="0.25">
      <c r="D321" s="1"/>
      <c r="E321" s="1"/>
      <c r="F321" s="1"/>
      <c r="I321" s="1"/>
    </row>
    <row r="322" spans="4:9" x14ac:dyDescent="0.25">
      <c r="D322" s="1"/>
      <c r="E322" s="1"/>
      <c r="F322" s="1"/>
      <c r="I322" s="1"/>
    </row>
    <row r="323" spans="4:9" x14ac:dyDescent="0.25">
      <c r="D323" s="1"/>
      <c r="E323" s="1"/>
      <c r="F323" s="1"/>
      <c r="I323" s="1"/>
    </row>
    <row r="324" spans="4:9" x14ac:dyDescent="0.25">
      <c r="D324" s="1"/>
      <c r="E324" s="1"/>
      <c r="F324" s="1"/>
      <c r="I324" s="1"/>
    </row>
    <row r="325" spans="4:9" x14ac:dyDescent="0.25">
      <c r="D325" s="1"/>
      <c r="E325" s="1"/>
      <c r="F325" s="1"/>
      <c r="I325" s="1"/>
    </row>
    <row r="326" spans="4:9" x14ac:dyDescent="0.25">
      <c r="D326" s="1"/>
      <c r="E326" s="1"/>
      <c r="F326" s="1"/>
      <c r="I326" s="1"/>
    </row>
    <row r="327" spans="4:9" x14ac:dyDescent="0.25">
      <c r="D327" s="1"/>
      <c r="E327" s="1"/>
      <c r="F327" s="1"/>
      <c r="I327" s="1"/>
    </row>
    <row r="328" spans="4:9" x14ac:dyDescent="0.25">
      <c r="D328" s="1"/>
      <c r="E328" s="1"/>
      <c r="F328" s="1"/>
      <c r="I328" s="1"/>
    </row>
    <row r="329" spans="4:9" x14ac:dyDescent="0.25">
      <c r="D329" s="1"/>
      <c r="E329" s="1"/>
      <c r="F329" s="1"/>
      <c r="I329" s="1"/>
    </row>
    <row r="330" spans="4:9" x14ac:dyDescent="0.25">
      <c r="D330" s="1"/>
      <c r="E330" s="1"/>
      <c r="F330" s="1"/>
      <c r="I330" s="1"/>
    </row>
    <row r="331" spans="4:9" x14ac:dyDescent="0.25">
      <c r="D331" s="1"/>
      <c r="E331" s="1"/>
      <c r="F331" s="1"/>
      <c r="I331" s="1"/>
    </row>
    <row r="332" spans="4:9" x14ac:dyDescent="0.25">
      <c r="D332" s="1"/>
      <c r="E332" s="1"/>
      <c r="F332" s="1"/>
      <c r="I332" s="1"/>
    </row>
    <row r="333" spans="4:9" x14ac:dyDescent="0.25">
      <c r="D333" s="1"/>
      <c r="E333" s="1"/>
      <c r="F333" s="1"/>
      <c r="I333" s="1"/>
    </row>
    <row r="334" spans="4:9" x14ac:dyDescent="0.25">
      <c r="D334" s="1"/>
      <c r="E334" s="1"/>
      <c r="F334" s="1"/>
      <c r="I334" s="1"/>
    </row>
    <row r="335" spans="4:9" x14ac:dyDescent="0.25">
      <c r="D335" s="1"/>
      <c r="E335" s="1"/>
      <c r="F335" s="1"/>
      <c r="I335" s="1"/>
    </row>
    <row r="336" spans="4:9" x14ac:dyDescent="0.25">
      <c r="D336" s="1"/>
      <c r="E336" s="1"/>
      <c r="F336" s="1"/>
      <c r="I336" s="1"/>
    </row>
    <row r="337" spans="4:9" x14ac:dyDescent="0.25">
      <c r="D337" s="1"/>
      <c r="E337" s="1"/>
      <c r="F337" s="1"/>
      <c r="I337" s="1"/>
    </row>
    <row r="338" spans="4:9" x14ac:dyDescent="0.25">
      <c r="D338" s="1"/>
      <c r="E338" s="1"/>
      <c r="F338" s="1"/>
      <c r="I338" s="1"/>
    </row>
    <row r="339" spans="4:9" x14ac:dyDescent="0.25">
      <c r="D339" s="1"/>
      <c r="E339" s="1"/>
      <c r="F339" s="1"/>
      <c r="I339" s="1"/>
    </row>
    <row r="340" spans="4:9" x14ac:dyDescent="0.25">
      <c r="D340" s="1"/>
      <c r="E340" s="1"/>
      <c r="F340" s="1"/>
      <c r="I340" s="1"/>
    </row>
    <row r="341" spans="4:9" x14ac:dyDescent="0.25">
      <c r="D341" s="1"/>
      <c r="E341" s="1"/>
      <c r="F341" s="1"/>
      <c r="I341" s="1"/>
    </row>
    <row r="342" spans="4:9" x14ac:dyDescent="0.25">
      <c r="D342" s="1"/>
      <c r="E342" s="1"/>
      <c r="F342" s="1"/>
      <c r="I342" s="1"/>
    </row>
    <row r="343" spans="4:9" x14ac:dyDescent="0.25">
      <c r="D343" s="1"/>
      <c r="E343" s="1"/>
      <c r="F343" s="1"/>
      <c r="I343" s="1"/>
    </row>
    <row r="344" spans="4:9" x14ac:dyDescent="0.25">
      <c r="D344" s="1"/>
      <c r="E344" s="1"/>
      <c r="F344" s="1"/>
      <c r="I344" s="1"/>
    </row>
    <row r="345" spans="4:9" x14ac:dyDescent="0.25">
      <c r="D345" s="1"/>
      <c r="E345" s="1"/>
      <c r="F345" s="1"/>
      <c r="I345" s="1"/>
    </row>
    <row r="346" spans="4:9" x14ac:dyDescent="0.25">
      <c r="D346" s="1"/>
      <c r="E346" s="1"/>
      <c r="F346" s="1"/>
      <c r="I346" s="1"/>
    </row>
    <row r="347" spans="4:9" x14ac:dyDescent="0.25">
      <c r="D347" s="1"/>
      <c r="E347" s="1"/>
      <c r="F347" s="1"/>
      <c r="I347" s="1"/>
    </row>
    <row r="348" spans="4:9" x14ac:dyDescent="0.25">
      <c r="D348" s="1"/>
      <c r="E348" s="1"/>
      <c r="F348" s="1"/>
      <c r="I348" s="1"/>
    </row>
    <row r="349" spans="4:9" x14ac:dyDescent="0.25">
      <c r="D349" s="1"/>
      <c r="E349" s="1"/>
      <c r="F349" s="1"/>
      <c r="I349" s="1"/>
    </row>
    <row r="350" spans="4:9" x14ac:dyDescent="0.25">
      <c r="D350" s="1"/>
      <c r="E350" s="1"/>
      <c r="F350" s="1"/>
      <c r="I350" s="1"/>
    </row>
    <row r="351" spans="4:9" x14ac:dyDescent="0.25">
      <c r="D351" s="1"/>
      <c r="E351" s="1"/>
      <c r="F351" s="1"/>
      <c r="I351" s="1"/>
    </row>
    <row r="352" spans="4:9" x14ac:dyDescent="0.25">
      <c r="D352" s="1"/>
      <c r="E352" s="1"/>
      <c r="F352" s="1"/>
      <c r="I352" s="1"/>
    </row>
    <row r="353" spans="4:9" x14ac:dyDescent="0.25">
      <c r="D353" s="1"/>
      <c r="E353" s="1"/>
      <c r="F353" s="1"/>
      <c r="I353" s="1"/>
    </row>
    <row r="354" spans="4:9" x14ac:dyDescent="0.25">
      <c r="D354" s="1"/>
      <c r="E354" s="1"/>
      <c r="F354" s="1"/>
      <c r="I354" s="1"/>
    </row>
    <row r="355" spans="4:9" x14ac:dyDescent="0.25">
      <c r="D355" s="1"/>
      <c r="E355" s="1"/>
      <c r="F355" s="1"/>
      <c r="I355" s="1"/>
    </row>
    <row r="356" spans="4:9" x14ac:dyDescent="0.25">
      <c r="D356" s="1"/>
      <c r="E356" s="1"/>
      <c r="F356" s="1"/>
      <c r="I356" s="1"/>
    </row>
    <row r="357" spans="4:9" x14ac:dyDescent="0.25">
      <c r="D357" s="1"/>
      <c r="E357" s="1"/>
      <c r="F357" s="1"/>
      <c r="I357" s="1"/>
    </row>
    <row r="358" spans="4:9" x14ac:dyDescent="0.25">
      <c r="D358" s="1"/>
      <c r="E358" s="1"/>
      <c r="F358" s="1"/>
      <c r="I358" s="1"/>
    </row>
    <row r="359" spans="4:9" x14ac:dyDescent="0.25">
      <c r="D359" s="1"/>
      <c r="E359" s="1"/>
      <c r="F359" s="1"/>
      <c r="I359" s="1"/>
    </row>
    <row r="360" spans="4:9" x14ac:dyDescent="0.25">
      <c r="D360" s="1"/>
      <c r="E360" s="1"/>
      <c r="F360" s="1"/>
      <c r="I360" s="1"/>
    </row>
    <row r="361" spans="4:9" x14ac:dyDescent="0.25">
      <c r="D361" s="1"/>
      <c r="E361" s="1"/>
      <c r="F361" s="1"/>
      <c r="I361" s="1"/>
    </row>
    <row r="362" spans="4:9" x14ac:dyDescent="0.25">
      <c r="D362" s="1"/>
      <c r="E362" s="1"/>
      <c r="F362" s="1"/>
      <c r="I362" s="1"/>
    </row>
    <row r="363" spans="4:9" x14ac:dyDescent="0.25">
      <c r="D363" s="1"/>
      <c r="E363" s="1"/>
      <c r="F363" s="1"/>
      <c r="I363" s="1"/>
    </row>
    <row r="364" spans="4:9" x14ac:dyDescent="0.25">
      <c r="D364" s="1"/>
      <c r="E364" s="1"/>
      <c r="F364" s="1"/>
      <c r="I364" s="1"/>
    </row>
    <row r="365" spans="4:9" x14ac:dyDescent="0.25">
      <c r="D365" s="1"/>
      <c r="E365" s="1"/>
      <c r="F365" s="1"/>
      <c r="I365" s="1"/>
    </row>
    <row r="366" spans="4:9" x14ac:dyDescent="0.25">
      <c r="D366" s="1"/>
      <c r="E366" s="1"/>
      <c r="F366" s="1"/>
      <c r="I366" s="1"/>
    </row>
    <row r="367" spans="4:9" x14ac:dyDescent="0.25">
      <c r="D367" s="1"/>
      <c r="E367" s="1"/>
      <c r="F367" s="1"/>
      <c r="I367" s="1"/>
    </row>
    <row r="368" spans="4:9" x14ac:dyDescent="0.25">
      <c r="D368" s="1"/>
      <c r="E368" s="1"/>
      <c r="F368" s="1"/>
      <c r="I368" s="1"/>
    </row>
    <row r="369" spans="4:9" x14ac:dyDescent="0.25">
      <c r="D369" s="1"/>
      <c r="E369" s="1"/>
      <c r="F369" s="1"/>
      <c r="I369" s="1"/>
    </row>
    <row r="370" spans="4:9" x14ac:dyDescent="0.25">
      <c r="D370" s="1"/>
      <c r="E370" s="1"/>
      <c r="F370" s="1"/>
      <c r="I370" s="1"/>
    </row>
    <row r="371" spans="4:9" x14ac:dyDescent="0.25">
      <c r="D371" s="1"/>
      <c r="E371" s="1"/>
      <c r="F371" s="1"/>
      <c r="I371" s="1"/>
    </row>
    <row r="372" spans="4:9" x14ac:dyDescent="0.25">
      <c r="D372" s="1"/>
      <c r="E372" s="1"/>
      <c r="F372" s="1"/>
      <c r="I372" s="1"/>
    </row>
    <row r="373" spans="4:9" x14ac:dyDescent="0.25">
      <c r="D373" s="1"/>
      <c r="E373" s="1"/>
      <c r="F373" s="1"/>
      <c r="I373" s="1"/>
    </row>
    <row r="374" spans="4:9" x14ac:dyDescent="0.25">
      <c r="D374" s="1"/>
      <c r="E374" s="1"/>
      <c r="F374" s="1"/>
      <c r="I374" s="1"/>
    </row>
    <row r="375" spans="4:9" x14ac:dyDescent="0.25">
      <c r="D375" s="1"/>
      <c r="E375" s="1"/>
      <c r="F375" s="1"/>
      <c r="I375" s="1"/>
    </row>
    <row r="376" spans="4:9" x14ac:dyDescent="0.25">
      <c r="D376" s="1"/>
      <c r="E376" s="1"/>
      <c r="F376" s="1"/>
      <c r="I376" s="1"/>
    </row>
    <row r="377" spans="4:9" x14ac:dyDescent="0.25">
      <c r="D377" s="1"/>
      <c r="E377" s="1"/>
      <c r="F377" s="1"/>
      <c r="I377" s="1"/>
    </row>
    <row r="378" spans="4:9" x14ac:dyDescent="0.25">
      <c r="D378" s="1"/>
      <c r="E378" s="1"/>
      <c r="F378" s="1"/>
      <c r="I378" s="1"/>
    </row>
    <row r="379" spans="4:9" x14ac:dyDescent="0.25">
      <c r="D379" s="1"/>
      <c r="E379" s="1"/>
      <c r="F379" s="1"/>
      <c r="I379" s="1"/>
    </row>
    <row r="380" spans="4:9" x14ac:dyDescent="0.25">
      <c r="D380" s="1"/>
      <c r="E380" s="1"/>
      <c r="F380" s="1"/>
      <c r="I380" s="1"/>
    </row>
    <row r="381" spans="4:9" x14ac:dyDescent="0.25">
      <c r="D381" s="1"/>
      <c r="E381" s="1"/>
      <c r="F381" s="1"/>
      <c r="I381" s="1"/>
    </row>
    <row r="382" spans="4:9" x14ac:dyDescent="0.25">
      <c r="D382" s="1"/>
      <c r="E382" s="1"/>
      <c r="F382" s="1"/>
      <c r="I382" s="1"/>
    </row>
    <row r="383" spans="4:9" x14ac:dyDescent="0.25">
      <c r="D383" s="1"/>
      <c r="E383" s="1"/>
      <c r="F383" s="1"/>
      <c r="I383" s="1"/>
    </row>
    <row r="384" spans="4:9" x14ac:dyDescent="0.25">
      <c r="D384" s="1"/>
      <c r="E384" s="1"/>
      <c r="F384" s="1"/>
      <c r="I384" s="1"/>
    </row>
    <row r="385" spans="4:9" x14ac:dyDescent="0.25">
      <c r="D385" s="1"/>
      <c r="E385" s="1"/>
      <c r="F385" s="1"/>
      <c r="I385" s="1"/>
    </row>
    <row r="386" spans="4:9" x14ac:dyDescent="0.25">
      <c r="D386" s="1"/>
      <c r="E386" s="1"/>
      <c r="F386" s="1"/>
      <c r="I386" s="1"/>
    </row>
    <row r="387" spans="4:9" x14ac:dyDescent="0.25">
      <c r="D387" s="1"/>
      <c r="E387" s="1"/>
      <c r="F387" s="1"/>
      <c r="I387" s="1"/>
    </row>
    <row r="388" spans="4:9" x14ac:dyDescent="0.25">
      <c r="D388" s="1"/>
      <c r="E388" s="1"/>
      <c r="F388" s="1"/>
      <c r="I388" s="1"/>
    </row>
    <row r="389" spans="4:9" x14ac:dyDescent="0.25">
      <c r="D389" s="1"/>
      <c r="E389" s="1"/>
      <c r="F389" s="1"/>
      <c r="I389" s="1"/>
    </row>
    <row r="390" spans="4:9" x14ac:dyDescent="0.25">
      <c r="D390" s="1"/>
      <c r="E390" s="1"/>
      <c r="F390" s="1"/>
      <c r="I390" s="1"/>
    </row>
    <row r="391" spans="4:9" x14ac:dyDescent="0.25">
      <c r="D391" s="1"/>
      <c r="E391" s="1"/>
      <c r="F391" s="1"/>
      <c r="I391" s="1"/>
    </row>
    <row r="392" spans="4:9" x14ac:dyDescent="0.25">
      <c r="D392" s="1"/>
      <c r="E392" s="1"/>
      <c r="F392" s="1"/>
      <c r="I392" s="1"/>
    </row>
    <row r="393" spans="4:9" x14ac:dyDescent="0.25">
      <c r="D393" s="1"/>
      <c r="E393" s="1"/>
      <c r="F393" s="1"/>
      <c r="I393" s="1"/>
    </row>
    <row r="394" spans="4:9" x14ac:dyDescent="0.25">
      <c r="D394" s="1"/>
      <c r="E394" s="1"/>
      <c r="F394" s="1"/>
      <c r="I394" s="1"/>
    </row>
    <row r="395" spans="4:9" x14ac:dyDescent="0.25">
      <c r="D395" s="1"/>
      <c r="E395" s="1"/>
      <c r="F395" s="1"/>
      <c r="I395" s="1"/>
    </row>
    <row r="396" spans="4:9" x14ac:dyDescent="0.25">
      <c r="D396" s="1"/>
      <c r="E396" s="1"/>
      <c r="F396" s="1"/>
      <c r="I396" s="1"/>
    </row>
    <row r="397" spans="4:9" x14ac:dyDescent="0.25">
      <c r="D397" s="1"/>
      <c r="E397" s="1"/>
      <c r="F397" s="1"/>
      <c r="I397" s="1"/>
    </row>
    <row r="398" spans="4:9" x14ac:dyDescent="0.25">
      <c r="D398" s="1"/>
      <c r="E398" s="1"/>
      <c r="F398" s="1"/>
      <c r="I398" s="1"/>
    </row>
    <row r="399" spans="4:9" x14ac:dyDescent="0.25">
      <c r="D399" s="1"/>
      <c r="E399" s="1"/>
      <c r="F399" s="1"/>
      <c r="I399" s="1"/>
    </row>
    <row r="400" spans="4:9" x14ac:dyDescent="0.25">
      <c r="D400" s="1"/>
      <c r="E400" s="1"/>
      <c r="F400" s="1"/>
      <c r="I400" s="1"/>
    </row>
    <row r="401" spans="4:9" x14ac:dyDescent="0.25">
      <c r="D401" s="1"/>
      <c r="E401" s="1"/>
      <c r="F401" s="1"/>
      <c r="I401" s="1"/>
    </row>
    <row r="402" spans="4:9" x14ac:dyDescent="0.25">
      <c r="D402" s="1"/>
      <c r="E402" s="1"/>
      <c r="F402" s="1"/>
      <c r="I402" s="1"/>
    </row>
    <row r="403" spans="4:9" x14ac:dyDescent="0.25">
      <c r="D403" s="1"/>
      <c r="E403" s="1"/>
      <c r="F403" s="1"/>
      <c r="I403" s="1"/>
    </row>
    <row r="404" spans="4:9" x14ac:dyDescent="0.25">
      <c r="D404" s="1"/>
      <c r="E404" s="1"/>
      <c r="F404" s="1"/>
      <c r="I404" s="1"/>
    </row>
    <row r="405" spans="4:9" x14ac:dyDescent="0.25">
      <c r="D405" s="1"/>
      <c r="E405" s="1"/>
      <c r="F405" s="1"/>
      <c r="I405" s="1"/>
    </row>
    <row r="406" spans="4:9" x14ac:dyDescent="0.25">
      <c r="D406" s="1"/>
      <c r="E406" s="1"/>
      <c r="F406" s="1"/>
      <c r="I406" s="1"/>
    </row>
    <row r="407" spans="4:9" x14ac:dyDescent="0.25">
      <c r="D407" s="1"/>
      <c r="E407" s="1"/>
      <c r="F407" s="1"/>
      <c r="I407" s="1"/>
    </row>
    <row r="408" spans="4:9" x14ac:dyDescent="0.25">
      <c r="D408" s="1"/>
      <c r="E408" s="1"/>
      <c r="F408" s="1"/>
      <c r="I408" s="1"/>
    </row>
    <row r="409" spans="4:9" x14ac:dyDescent="0.25">
      <c r="D409" s="1"/>
      <c r="E409" s="1"/>
      <c r="F409" s="1"/>
      <c r="I409" s="1"/>
    </row>
    <row r="410" spans="4:9" x14ac:dyDescent="0.25">
      <c r="D410" s="1"/>
      <c r="E410" s="1"/>
      <c r="F410" s="1"/>
      <c r="I410" s="1"/>
    </row>
    <row r="411" spans="4:9" x14ac:dyDescent="0.25">
      <c r="D411" s="1"/>
      <c r="E411" s="1"/>
      <c r="F411" s="1"/>
      <c r="I411" s="1"/>
    </row>
    <row r="412" spans="4:9" x14ac:dyDescent="0.25">
      <c r="D412" s="1"/>
      <c r="E412" s="1"/>
      <c r="F412" s="1"/>
      <c r="I412" s="1"/>
    </row>
    <row r="413" spans="4:9" x14ac:dyDescent="0.25">
      <c r="D413" s="1"/>
      <c r="E413" s="1"/>
      <c r="F413" s="1"/>
      <c r="I413" s="1"/>
    </row>
    <row r="414" spans="4:9" x14ac:dyDescent="0.25">
      <c r="D414" s="1"/>
      <c r="E414" s="1"/>
      <c r="F414" s="1"/>
      <c r="I414" s="1"/>
    </row>
    <row r="415" spans="4:9" x14ac:dyDescent="0.25">
      <c r="D415" s="1"/>
      <c r="E415" s="1"/>
      <c r="F415" s="1"/>
      <c r="I415" s="1"/>
    </row>
    <row r="416" spans="4:9" x14ac:dyDescent="0.25">
      <c r="D416" s="1"/>
      <c r="E416" s="1"/>
      <c r="F416" s="1"/>
      <c r="I416" s="1"/>
    </row>
    <row r="417" spans="4:9" x14ac:dyDescent="0.25">
      <c r="D417" s="1"/>
      <c r="E417" s="1"/>
      <c r="F417" s="1"/>
      <c r="I417" s="1"/>
    </row>
    <row r="418" spans="4:9" x14ac:dyDescent="0.25">
      <c r="D418" s="1"/>
      <c r="E418" s="1"/>
      <c r="F418" s="1"/>
      <c r="I418" s="1"/>
    </row>
    <row r="419" spans="4:9" x14ac:dyDescent="0.25">
      <c r="D419" s="1"/>
      <c r="E419" s="1"/>
      <c r="F419" s="1"/>
      <c r="I419" s="1"/>
    </row>
    <row r="420" spans="4:9" x14ac:dyDescent="0.25">
      <c r="D420" s="1"/>
      <c r="E420" s="1"/>
      <c r="F420" s="1"/>
      <c r="I420" s="1"/>
    </row>
    <row r="421" spans="4:9" x14ac:dyDescent="0.25">
      <c r="D421" s="1"/>
      <c r="E421" s="1"/>
      <c r="F421" s="1"/>
      <c r="I421" s="1"/>
    </row>
    <row r="422" spans="4:9" x14ac:dyDescent="0.25">
      <c r="D422" s="1"/>
      <c r="E422" s="1"/>
      <c r="F422" s="1"/>
      <c r="I422" s="1"/>
    </row>
    <row r="423" spans="4:9" x14ac:dyDescent="0.25">
      <c r="D423" s="1"/>
      <c r="E423" s="1"/>
      <c r="F423" s="1"/>
      <c r="I423" s="1"/>
    </row>
    <row r="424" spans="4:9" x14ac:dyDescent="0.25">
      <c r="D424" s="1"/>
      <c r="E424" s="1"/>
      <c r="F424" s="1"/>
      <c r="I424" s="1"/>
    </row>
    <row r="425" spans="4:9" x14ac:dyDescent="0.25">
      <c r="D425" s="1"/>
      <c r="E425" s="1"/>
      <c r="F425" s="1"/>
      <c r="I425" s="1"/>
    </row>
    <row r="426" spans="4:9" x14ac:dyDescent="0.25">
      <c r="D426" s="1"/>
      <c r="E426" s="1"/>
      <c r="F426" s="1"/>
      <c r="I426" s="1"/>
    </row>
    <row r="427" spans="4:9" x14ac:dyDescent="0.25">
      <c r="D427" s="1"/>
      <c r="E427" s="1"/>
      <c r="F427" s="1"/>
      <c r="I427" s="1"/>
    </row>
    <row r="428" spans="4:9" x14ac:dyDescent="0.25">
      <c r="D428" s="1"/>
      <c r="E428" s="1"/>
      <c r="F428" s="1"/>
      <c r="I428" s="1"/>
    </row>
    <row r="429" spans="4:9" x14ac:dyDescent="0.25">
      <c r="D429" s="1"/>
      <c r="E429" s="1"/>
      <c r="F429" s="1"/>
      <c r="I429" s="1"/>
    </row>
    <row r="430" spans="4:9" x14ac:dyDescent="0.25">
      <c r="D430" s="1"/>
      <c r="E430" s="1"/>
      <c r="F430" s="1"/>
      <c r="I430" s="1"/>
    </row>
    <row r="431" spans="4:9" x14ac:dyDescent="0.25">
      <c r="D431" s="1"/>
      <c r="E431" s="1"/>
      <c r="F431" s="1"/>
      <c r="I431" s="1"/>
    </row>
    <row r="432" spans="4:9" x14ac:dyDescent="0.25">
      <c r="D432" s="1"/>
      <c r="E432" s="1"/>
      <c r="F432" s="1"/>
      <c r="I432" s="1"/>
    </row>
    <row r="433" spans="4:9" x14ac:dyDescent="0.25">
      <c r="D433" s="1"/>
      <c r="E433" s="1"/>
      <c r="F433" s="1"/>
      <c r="I433" s="1"/>
    </row>
    <row r="434" spans="4:9" x14ac:dyDescent="0.25">
      <c r="D434" s="1"/>
      <c r="E434" s="1"/>
      <c r="F434" s="1"/>
      <c r="I434" s="1"/>
    </row>
    <row r="435" spans="4:9" x14ac:dyDescent="0.25">
      <c r="D435" s="1"/>
      <c r="E435" s="1"/>
      <c r="F435" s="1"/>
      <c r="I435" s="1"/>
    </row>
    <row r="436" spans="4:9" x14ac:dyDescent="0.25">
      <c r="D436" s="1"/>
      <c r="E436" s="1"/>
      <c r="F436" s="1"/>
      <c r="I436" s="1"/>
    </row>
    <row r="437" spans="4:9" x14ac:dyDescent="0.25">
      <c r="D437" s="1"/>
      <c r="E437" s="1"/>
      <c r="F437" s="1"/>
      <c r="I437" s="1"/>
    </row>
    <row r="438" spans="4:9" x14ac:dyDescent="0.25">
      <c r="D438" s="1"/>
      <c r="E438" s="1"/>
      <c r="F438" s="1"/>
      <c r="I438" s="1"/>
    </row>
    <row r="439" spans="4:9" x14ac:dyDescent="0.25">
      <c r="D439" s="1"/>
      <c r="E439" s="1"/>
      <c r="F439" s="1"/>
      <c r="I439" s="1"/>
    </row>
    <row r="440" spans="4:9" x14ac:dyDescent="0.25">
      <c r="D440" s="1"/>
      <c r="E440" s="1"/>
      <c r="F440" s="1"/>
      <c r="I440" s="1"/>
    </row>
    <row r="441" spans="4:9" x14ac:dyDescent="0.25">
      <c r="D441" s="1"/>
      <c r="E441" s="1"/>
      <c r="F441" s="1"/>
      <c r="I441" s="1"/>
    </row>
    <row r="442" spans="4:9" x14ac:dyDescent="0.25">
      <c r="D442" s="1"/>
      <c r="E442" s="1"/>
      <c r="F442" s="1"/>
      <c r="I442" s="1"/>
    </row>
    <row r="443" spans="4:9" x14ac:dyDescent="0.25">
      <c r="D443" s="1"/>
      <c r="E443" s="1"/>
      <c r="F443" s="1"/>
      <c r="I443" s="1"/>
    </row>
    <row r="444" spans="4:9" x14ac:dyDescent="0.25">
      <c r="D444" s="1"/>
      <c r="E444" s="1"/>
      <c r="F444" s="1"/>
      <c r="I444" s="1"/>
    </row>
    <row r="445" spans="4:9" x14ac:dyDescent="0.25">
      <c r="D445" s="1"/>
      <c r="E445" s="1"/>
      <c r="F445" s="1"/>
      <c r="I445" s="1"/>
    </row>
    <row r="446" spans="4:9" x14ac:dyDescent="0.25">
      <c r="D446" s="1"/>
      <c r="E446" s="1"/>
      <c r="F446" s="1"/>
      <c r="I446" s="1"/>
    </row>
    <row r="447" spans="4:9" x14ac:dyDescent="0.25">
      <c r="D447" s="1"/>
      <c r="E447" s="1"/>
      <c r="F447" s="1"/>
      <c r="I447" s="1"/>
    </row>
    <row r="448" spans="4:9" x14ac:dyDescent="0.25">
      <c r="D448" s="1"/>
      <c r="E448" s="1"/>
      <c r="F448" s="1"/>
      <c r="I448" s="1"/>
    </row>
    <row r="449" spans="4:9" x14ac:dyDescent="0.25">
      <c r="D449" s="1"/>
      <c r="E449" s="1"/>
      <c r="F449" s="1"/>
      <c r="I449" s="1"/>
    </row>
    <row r="450" spans="4:9" x14ac:dyDescent="0.25">
      <c r="D450" s="1"/>
      <c r="E450" s="1"/>
      <c r="F450" s="1"/>
      <c r="I450" s="1"/>
    </row>
    <row r="451" spans="4:9" x14ac:dyDescent="0.25">
      <c r="D451" s="1"/>
      <c r="E451" s="1"/>
      <c r="F451" s="1"/>
      <c r="I451" s="1"/>
    </row>
    <row r="452" spans="4:9" x14ac:dyDescent="0.25">
      <c r="D452" s="1"/>
      <c r="E452" s="1"/>
      <c r="F452" s="1"/>
      <c r="I452" s="1"/>
    </row>
    <row r="453" spans="4:9" x14ac:dyDescent="0.25">
      <c r="D453" s="1"/>
      <c r="E453" s="1"/>
      <c r="F453" s="1"/>
      <c r="I453" s="1"/>
    </row>
    <row r="454" spans="4:9" x14ac:dyDescent="0.25">
      <c r="D454" s="1"/>
      <c r="E454" s="1"/>
      <c r="F454" s="1"/>
      <c r="I454" s="1"/>
    </row>
    <row r="455" spans="4:9" x14ac:dyDescent="0.25">
      <c r="D455" s="1"/>
      <c r="E455" s="1"/>
      <c r="F455" s="1"/>
      <c r="I455" s="1"/>
    </row>
    <row r="456" spans="4:9" x14ac:dyDescent="0.25">
      <c r="D456" s="1"/>
      <c r="E456" s="1"/>
      <c r="F456" s="1"/>
      <c r="I456" s="1"/>
    </row>
    <row r="457" spans="4:9" x14ac:dyDescent="0.25">
      <c r="D457" s="1"/>
      <c r="E457" s="1"/>
      <c r="F457" s="1"/>
      <c r="I457" s="1"/>
    </row>
    <row r="458" spans="4:9" x14ac:dyDescent="0.25">
      <c r="D458" s="1"/>
      <c r="E458" s="1"/>
      <c r="F458" s="1"/>
      <c r="I458" s="1"/>
    </row>
    <row r="459" spans="4:9" x14ac:dyDescent="0.25">
      <c r="D459" s="1"/>
      <c r="E459" s="1"/>
      <c r="F459" s="1"/>
      <c r="I459" s="1"/>
    </row>
    <row r="460" spans="4:9" x14ac:dyDescent="0.25">
      <c r="D460" s="1"/>
      <c r="E460" s="1"/>
      <c r="F460" s="1"/>
      <c r="I460" s="1"/>
    </row>
    <row r="461" spans="4:9" x14ac:dyDescent="0.25">
      <c r="D461" s="1"/>
      <c r="E461" s="1"/>
      <c r="F461" s="1"/>
      <c r="I461" s="1"/>
    </row>
    <row r="462" spans="4:9" x14ac:dyDescent="0.25">
      <c r="D462" s="1"/>
      <c r="E462" s="1"/>
      <c r="F462" s="1"/>
      <c r="I462" s="1"/>
    </row>
    <row r="463" spans="4:9" x14ac:dyDescent="0.25">
      <c r="D463" s="1"/>
      <c r="E463" s="1"/>
      <c r="F463" s="1"/>
      <c r="I463" s="1"/>
    </row>
    <row r="464" spans="4:9" x14ac:dyDescent="0.25">
      <c r="D464" s="1"/>
      <c r="E464" s="1"/>
      <c r="F464" s="1"/>
      <c r="I464" s="1"/>
    </row>
    <row r="465" spans="4:9" x14ac:dyDescent="0.25">
      <c r="D465" s="1"/>
      <c r="E465" s="1"/>
      <c r="F465" s="1"/>
      <c r="I465" s="1"/>
    </row>
    <row r="466" spans="4:9" x14ac:dyDescent="0.25">
      <c r="D466" s="1"/>
      <c r="E466" s="1"/>
      <c r="F466" s="1"/>
      <c r="I466" s="1"/>
    </row>
    <row r="467" spans="4:9" x14ac:dyDescent="0.25">
      <c r="D467" s="1"/>
      <c r="E467" s="1"/>
      <c r="F467" s="1"/>
      <c r="I467" s="1"/>
    </row>
    <row r="468" spans="4:9" x14ac:dyDescent="0.25">
      <c r="D468" s="1"/>
      <c r="E468" s="1"/>
      <c r="F468" s="1"/>
      <c r="I468" s="1"/>
    </row>
    <row r="469" spans="4:9" x14ac:dyDescent="0.25">
      <c r="D469" s="1"/>
      <c r="E469" s="1"/>
      <c r="F469" s="1"/>
      <c r="I469" s="1"/>
    </row>
    <row r="470" spans="4:9" x14ac:dyDescent="0.25">
      <c r="D470" s="1"/>
      <c r="E470" s="1"/>
      <c r="F470" s="1"/>
      <c r="I470" s="1"/>
    </row>
    <row r="471" spans="4:9" x14ac:dyDescent="0.25">
      <c r="D471" s="1"/>
      <c r="E471" s="1"/>
      <c r="F471" s="1"/>
      <c r="I471" s="1"/>
    </row>
    <row r="472" spans="4:9" x14ac:dyDescent="0.25">
      <c r="D472" s="1"/>
      <c r="E472" s="1"/>
      <c r="F472" s="1"/>
      <c r="I472" s="1"/>
    </row>
    <row r="473" spans="4:9" x14ac:dyDescent="0.25">
      <c r="D473" s="1"/>
      <c r="E473" s="1"/>
      <c r="F473" s="1"/>
      <c r="I473" s="1"/>
    </row>
    <row r="474" spans="4:9" x14ac:dyDescent="0.25">
      <c r="D474" s="1"/>
      <c r="E474" s="1"/>
      <c r="F474" s="1"/>
      <c r="I474" s="1"/>
    </row>
    <row r="475" spans="4:9" x14ac:dyDescent="0.25">
      <c r="D475" s="1"/>
      <c r="E475" s="1"/>
      <c r="F475" s="1"/>
      <c r="I475" s="1"/>
    </row>
    <row r="476" spans="4:9" x14ac:dyDescent="0.25">
      <c r="D476" s="1"/>
      <c r="E476" s="1"/>
      <c r="F476" s="1"/>
      <c r="I476" s="1"/>
    </row>
    <row r="477" spans="4:9" x14ac:dyDescent="0.25">
      <c r="D477" s="1"/>
      <c r="E477" s="1"/>
      <c r="F477" s="1"/>
      <c r="I477" s="1"/>
    </row>
    <row r="478" spans="4:9" x14ac:dyDescent="0.25">
      <c r="D478" s="1"/>
      <c r="E478" s="1"/>
      <c r="F478" s="1"/>
      <c r="I478" s="1"/>
    </row>
    <row r="479" spans="4:9" x14ac:dyDescent="0.25">
      <c r="D479" s="1"/>
      <c r="E479" s="1"/>
      <c r="F479" s="1"/>
      <c r="I479" s="1"/>
    </row>
    <row r="480" spans="4:9" x14ac:dyDescent="0.25">
      <c r="D480" s="1"/>
      <c r="E480" s="1"/>
      <c r="F480" s="1"/>
      <c r="I480" s="1"/>
    </row>
    <row r="481" spans="4:9" x14ac:dyDescent="0.25">
      <c r="D481" s="1"/>
      <c r="E481" s="1"/>
      <c r="F481" s="1"/>
      <c r="I481" s="1"/>
    </row>
    <row r="482" spans="4:9" x14ac:dyDescent="0.25">
      <c r="D482" s="1"/>
      <c r="E482" s="1"/>
      <c r="F482" s="1"/>
      <c r="I482" s="1"/>
    </row>
    <row r="483" spans="4:9" x14ac:dyDescent="0.25">
      <c r="D483" s="1"/>
      <c r="E483" s="1"/>
      <c r="F483" s="1"/>
      <c r="I483" s="1"/>
    </row>
    <row r="484" spans="4:9" x14ac:dyDescent="0.25">
      <c r="D484" s="1"/>
      <c r="E484" s="1"/>
      <c r="F484" s="1"/>
      <c r="I484" s="1"/>
    </row>
    <row r="485" spans="4:9" x14ac:dyDescent="0.25">
      <c r="D485" s="1"/>
      <c r="E485" s="1"/>
      <c r="F485" s="1"/>
      <c r="I485" s="1"/>
    </row>
    <row r="486" spans="4:9" x14ac:dyDescent="0.25">
      <c r="D486" s="1"/>
      <c r="E486" s="1"/>
      <c r="F486" s="1"/>
      <c r="I486" s="1"/>
    </row>
    <row r="487" spans="4:9" x14ac:dyDescent="0.25">
      <c r="D487" s="1"/>
      <c r="E487" s="1"/>
      <c r="F487" s="1"/>
      <c r="I487" s="1"/>
    </row>
    <row r="488" spans="4:9" x14ac:dyDescent="0.25">
      <c r="D488" s="1"/>
      <c r="E488" s="1"/>
      <c r="F488" s="1"/>
      <c r="I488" s="1"/>
    </row>
    <row r="489" spans="4:9" x14ac:dyDescent="0.25">
      <c r="D489" s="1"/>
      <c r="E489" s="1"/>
      <c r="F489" s="1"/>
      <c r="I489" s="1"/>
    </row>
    <row r="490" spans="4:9" x14ac:dyDescent="0.25">
      <c r="D490" s="1"/>
      <c r="E490" s="1"/>
      <c r="F490" s="1"/>
      <c r="I490" s="1"/>
    </row>
    <row r="491" spans="4:9" x14ac:dyDescent="0.25">
      <c r="D491" s="1"/>
      <c r="E491" s="1"/>
      <c r="F491" s="1"/>
      <c r="I491" s="1"/>
    </row>
    <row r="492" spans="4:9" x14ac:dyDescent="0.25">
      <c r="D492" s="1"/>
      <c r="E492" s="1"/>
      <c r="F492" s="1"/>
      <c r="I492" s="1"/>
    </row>
    <row r="493" spans="4:9" x14ac:dyDescent="0.25">
      <c r="D493" s="1"/>
      <c r="E493" s="1"/>
      <c r="F493" s="1"/>
      <c r="I493" s="1"/>
    </row>
    <row r="494" spans="4:9" x14ac:dyDescent="0.25">
      <c r="D494" s="1"/>
      <c r="E494" s="1"/>
      <c r="F494" s="1"/>
      <c r="I494" s="1"/>
    </row>
    <row r="495" spans="4:9" x14ac:dyDescent="0.25">
      <c r="D495" s="1"/>
      <c r="E495" s="1"/>
      <c r="F495" s="1"/>
      <c r="I495" s="1"/>
    </row>
    <row r="496" spans="4:9" x14ac:dyDescent="0.25">
      <c r="D496" s="1"/>
      <c r="E496" s="1"/>
      <c r="F496" s="1"/>
      <c r="I496" s="1"/>
    </row>
    <row r="497" spans="4:9" x14ac:dyDescent="0.25">
      <c r="D497" s="1"/>
      <c r="E497" s="1"/>
      <c r="F497" s="1"/>
      <c r="I497" s="1"/>
    </row>
    <row r="498" spans="4:9" x14ac:dyDescent="0.25">
      <c r="D498" s="1"/>
      <c r="E498" s="1"/>
      <c r="F498" s="1"/>
      <c r="I498" s="1"/>
    </row>
    <row r="499" spans="4:9" x14ac:dyDescent="0.25">
      <c r="D499" s="1"/>
      <c r="E499" s="1"/>
      <c r="F499" s="1"/>
      <c r="I499" s="1"/>
    </row>
    <row r="500" spans="4:9" x14ac:dyDescent="0.25">
      <c r="D500" s="1"/>
      <c r="E500" s="1"/>
      <c r="F500" s="1"/>
      <c r="I500" s="1"/>
    </row>
  </sheetData>
  <mergeCells count="16">
    <mergeCell ref="A70:I70"/>
    <mergeCell ref="A71:I71"/>
    <mergeCell ref="A73:A75"/>
    <mergeCell ref="E73:F73"/>
    <mergeCell ref="A35:I35"/>
    <mergeCell ref="A36:I36"/>
    <mergeCell ref="A38:A40"/>
    <mergeCell ref="B38:D38"/>
    <mergeCell ref="E38:F38"/>
    <mergeCell ref="G38:I38"/>
    <mergeCell ref="A1:I1"/>
    <mergeCell ref="A2:I2"/>
    <mergeCell ref="A4:A6"/>
    <mergeCell ref="B4:D4"/>
    <mergeCell ref="E4:F4"/>
    <mergeCell ref="G4:I4"/>
  </mergeCells>
  <pageMargins left="0.7" right="0.7" top="0.75" bottom="0.75" header="0.3" footer="0.3"/>
  <pageSetup paperSize="9" scale="63" orientation="portrait" horizontalDpi="4294967295" verticalDpi="4294967295" r:id="rId1"/>
  <rowBreaks count="1" manualBreakCount="1">
    <brk id="66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9.10</vt:lpstr>
      <vt:lpstr>'9.10'!Print_Area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2019-09-09T06:03:01Z</cp:lastPrinted>
  <dcterms:created xsi:type="dcterms:W3CDTF">2019-09-09T05:11:24Z</dcterms:created>
  <dcterms:modified xsi:type="dcterms:W3CDTF">2019-09-09T06:03:16Z</dcterms:modified>
</cp:coreProperties>
</file>