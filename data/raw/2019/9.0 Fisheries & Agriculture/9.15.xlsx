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/>
  </bookViews>
  <sheets>
    <sheet name="9.15" sheetId="15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'9.15'!$A$1:$I$26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5" l="1"/>
  <c r="F5" i="15"/>
  <c r="E5" i="15"/>
  <c r="D5" i="15"/>
  <c r="C5" i="15"/>
  <c r="B5" i="15"/>
</calcChain>
</file>

<file path=xl/sharedStrings.xml><?xml version="1.0" encoding="utf-8"?>
<sst xmlns="http://schemas.openxmlformats.org/spreadsheetml/2006/main" count="49" uniqueCount="46">
  <si>
    <t>Atolls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</si>
  <si>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</si>
  <si>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</si>
  <si>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</si>
  <si>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</si>
  <si>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</si>
  <si>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</si>
  <si>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</si>
  <si>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</si>
  <si>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</si>
  <si>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</si>
  <si>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</si>
  <si>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</si>
  <si>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</si>
  <si>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</si>
  <si>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</si>
  <si>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</si>
  <si>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</si>
  <si>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</si>
  <si>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</si>
  <si>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</si>
  <si>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</si>
  <si>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</si>
  <si>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</si>
  <si>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</si>
  <si>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</si>
  <si>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</si>
  <si>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</si>
  <si>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</si>
  <si>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</si>
  <si>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</si>
  <si>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</si>
  <si>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</si>
  <si>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 xml:space="preserve">މައުލޫމާތު ދެއްވި ފަރާތް: މިނިސްޓްރީ އޮފް ފިޝަރީޒް އެންޑް އެގްރިކަލްޗަރ </t>
  </si>
  <si>
    <t xml:space="preserve">އަތޮޅުތައް </t>
  </si>
  <si>
    <t>Atoll total</t>
  </si>
  <si>
    <t>އަޔޮޅުތަކުގެ ޖުމްލަ</t>
  </si>
  <si>
    <t>HA</t>
  </si>
  <si>
    <t>HDh</t>
  </si>
  <si>
    <t>Sh</t>
  </si>
  <si>
    <t>R</t>
  </si>
  <si>
    <t xml:space="preserve"> k</t>
  </si>
  <si>
    <t>ތާވަލު 9.15: ދަނޑުވެރިންގެ އަދަދު، 2013 - 2018</t>
  </si>
  <si>
    <t>TABLE 9.15: NUMBER OF REGISTERED FARMERS BY ATOLL, 2013-2018</t>
  </si>
  <si>
    <r>
      <t xml:space="preserve">No. of Farmers   </t>
    </r>
    <r>
      <rPr>
        <b/>
        <sz val="11"/>
        <color theme="1"/>
        <rFont val="Faruma"/>
      </rPr>
      <t>ދަނޑުވެރިންގެ އަދަދު</t>
    </r>
  </si>
  <si>
    <t>Source: Agriculture Data Management Unit/ Ministry of Fisheries and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</si>
</sst>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1" formatCode="[$-409]mmmm\ d\,\ yy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b/>
      <sz val="11"/>
      <color theme="1"/>
      <name val="Faruma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0" fontId="7" fillId="0" borderId="0" applyFont="0" applyFill="0" applyBorder="0" applyAlignment="0" applyProtection="0"/>
    <xf numFmtId="0" fontId="2" fillId="0" borderId="0"/>
    <xf numFmtId="171" fontId="2" fillId="0" borderId="0"/>
    <xf numFmtId="171" fontId="2" fillId="0" borderId="0"/>
    <xf numFmtId="171" fontId="2" fillId="0" borderId="0"/>
  </cellStyleXfs>
  <cellXfs count="24">
    <xf numFmtId="0" fontId="0" fillId="0" borderId="0" xfId="0"/>
    <xf numFmtId="0" fontId="0" fillId="2" borderId="0" xfId="0" applyFill="1"/>
    <xf numFmtId="0" fontId="1" fillId="2" borderId="1" xfId="0" applyNumberFormat="1" applyFont="1" applyFill="1" applyBorder="1" applyAlignment="1">
      <alignment horizontal="righ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10" fillId="2" borderId="0" xfId="0" applyNumberFormat="1" applyFont="1" applyFill="1" applyBorder="1" applyAlignment="1">
      <alignment horizontal="right" vertical="center"/>
    </xf>
    <xf numFmtId="0" fontId="11" fillId="2" borderId="0" xfId="0" applyNumberFormat="1" applyFont="1" applyFill="1" applyAlignment="1">
      <alignment horizontal="left" vertical="center" indent="2"/>
    </xf>
    <xf numFmtId="0" fontId="11" fillId="2" borderId="1" xfId="0" applyNumberFormat="1" applyFont="1" applyFill="1" applyBorder="1" applyAlignment="1">
      <alignment horizontal="left" vertical="center" indent="2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0" fillId="2" borderId="0" xfId="0" applyFill="1" applyAlignment="1">
      <alignment vertical="center"/>
    </xf>
    <xf numFmtId="38" fontId="6" fillId="2" borderId="0" xfId="1" applyNumberFormat="1" applyFont="1" applyFill="1" applyBorder="1" applyAlignment="1">
      <alignment horizontal="right" vertical="center"/>
    </xf>
    <xf numFmtId="38" fontId="8" fillId="2" borderId="0" xfId="1" applyNumberFormat="1" applyFont="1" applyFill="1" applyBorder="1" applyAlignment="1">
      <alignment horizontal="right" vertical="center"/>
    </xf>
    <xf numFmtId="164" fontId="9" fillId="2" borderId="0" xfId="2" applyNumberFormat="1" applyFont="1" applyFill="1" applyAlignment="1">
      <alignment horizontal="right" vertical="center" indent="2"/>
    </xf>
    <xf numFmtId="164" fontId="9" fillId="2" borderId="0" xfId="2" applyNumberFormat="1" applyFont="1" applyFill="1" applyBorder="1" applyAlignment="1">
      <alignment horizontal="right" vertical="center" indent="2"/>
    </xf>
    <xf numFmtId="38" fontId="8" fillId="2" borderId="1" xfId="1" applyNumberFormat="1" applyFont="1" applyFill="1" applyBorder="1" applyAlignment="1">
      <alignment horizontal="right" vertical="center"/>
    </xf>
    <xf numFmtId="164" fontId="9" fillId="2" borderId="1" xfId="2" applyNumberFormat="1" applyFont="1" applyFill="1" applyBorder="1" applyAlignment="1">
      <alignment horizontal="right" vertical="center" indent="2"/>
    </xf>
    <xf numFmtId="0" fontId="13" fillId="2" borderId="0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right" vertical="center"/>
    </xf>
    <xf numFmtId="0" fontId="10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6">
    <cellStyle name="Comma 2" xfId="1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3 Population." xfId="2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FINAL/9.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FISHERIES%20AND%20AGRICULTURE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8.1"/>
      <sheetName val="9.9"/>
      <sheetName val="9.10"/>
      <sheetName val="9.10.1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89683.148024090799</v>
          </cell>
          <cell r="E9">
            <v>49376.811349197931</v>
          </cell>
          <cell r="F9">
            <v>1074.1737564163373</v>
          </cell>
          <cell r="G9">
            <v>3.4710000000000005</v>
          </cell>
          <cell r="H9">
            <v>21.806846050809384</v>
          </cell>
          <cell r="I9">
            <v>161.34417921404571</v>
          </cell>
          <cell r="J9">
            <v>345.28287397791433</v>
          </cell>
          <cell r="K9">
            <v>2493.9263026769763</v>
          </cell>
        </row>
        <row r="13">
          <cell r="A13" t="str">
            <v xml:space="preserve"> HA</v>
          </cell>
          <cell r="B13">
            <v>3548.6896117828474</v>
          </cell>
        </row>
        <row r="14">
          <cell r="A14" t="str">
            <v xml:space="preserve"> HDh</v>
          </cell>
          <cell r="B14">
            <v>2665.1350675685076</v>
          </cell>
        </row>
        <row r="15">
          <cell r="A15" t="str">
            <v xml:space="preserve"> Sh</v>
          </cell>
          <cell r="B15">
            <v>3221.2989848185966</v>
          </cell>
        </row>
        <row r="16">
          <cell r="A16" t="str">
            <v xml:space="preserve"> N</v>
          </cell>
          <cell r="B16">
            <v>2037.369549684689</v>
          </cell>
        </row>
        <row r="17">
          <cell r="A17" t="str">
            <v xml:space="preserve"> R</v>
          </cell>
          <cell r="B17">
            <v>4736.5105807719865</v>
          </cell>
        </row>
        <row r="18">
          <cell r="A18" t="str">
            <v>B</v>
          </cell>
          <cell r="B18">
            <v>1609.2743994481875</v>
          </cell>
        </row>
        <row r="19">
          <cell r="A19" t="str">
            <v>Lh</v>
          </cell>
          <cell r="B19">
            <v>3285.6221078384801</v>
          </cell>
        </row>
        <row r="20">
          <cell r="A20" t="str">
            <v>K</v>
          </cell>
          <cell r="B20">
            <v>3352.3710822809958</v>
          </cell>
        </row>
        <row r="21">
          <cell r="A21" t="str">
            <v>AA</v>
          </cell>
          <cell r="B21">
            <v>2349.3707511765833</v>
          </cell>
        </row>
        <row r="22">
          <cell r="A22" t="str">
            <v>ADh</v>
          </cell>
          <cell r="B22">
            <v>3069.7628263915908</v>
          </cell>
        </row>
        <row r="23">
          <cell r="A23" t="str">
            <v>V</v>
          </cell>
          <cell r="B23">
            <v>240.41875105324056</v>
          </cell>
        </row>
        <row r="24">
          <cell r="A24" t="str">
            <v>M</v>
          </cell>
          <cell r="B24">
            <v>3303.4787321652643</v>
          </cell>
        </row>
        <row r="25">
          <cell r="A25" t="str">
            <v>F</v>
          </cell>
          <cell r="B25">
            <v>2969.6042037139136</v>
          </cell>
        </row>
        <row r="26">
          <cell r="A26" t="str">
            <v>Dh</v>
          </cell>
          <cell r="B26">
            <v>8390.1824668277168</v>
          </cell>
        </row>
        <row r="27">
          <cell r="A27" t="str">
            <v>Th</v>
          </cell>
          <cell r="B27">
            <v>5794.2599899738352</v>
          </cell>
        </row>
        <row r="28">
          <cell r="A28" t="str">
            <v xml:space="preserve"> L</v>
          </cell>
          <cell r="B28">
            <v>12223.952593290209</v>
          </cell>
        </row>
        <row r="29">
          <cell r="A29" t="str">
            <v>GA</v>
          </cell>
          <cell r="B29">
            <v>24214.26468123731</v>
          </cell>
        </row>
        <row r="30">
          <cell r="A30" t="str">
            <v>GDh</v>
          </cell>
          <cell r="B30">
            <v>13637.841725925478</v>
          </cell>
        </row>
        <row r="31">
          <cell r="A31" t="str">
            <v>Gn</v>
          </cell>
          <cell r="B31">
            <v>5096.0265002171318</v>
          </cell>
        </row>
        <row r="32">
          <cell r="A32" t="str">
            <v>S</v>
          </cell>
          <cell r="B32">
            <v>9377.6345015550251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Y12" t="str">
            <v>India</v>
          </cell>
        </row>
      </sheetData>
      <sheetData sheetId="12" refreshError="1"/>
      <sheetData sheetId="13">
        <row r="5">
          <cell r="B5">
            <v>2014</v>
          </cell>
        </row>
      </sheetData>
      <sheetData sheetId="14" refreshError="1"/>
      <sheetData sheetId="15" refreshError="1"/>
      <sheetData sheetId="16" refreshError="1"/>
      <sheetData sheetId="17">
        <row r="6">
          <cell r="J6">
            <v>2016</v>
          </cell>
          <cell r="K6">
            <v>2017</v>
          </cell>
          <cell r="L6">
            <v>2018</v>
          </cell>
        </row>
        <row r="8">
          <cell r="A8" t="str">
            <v>January</v>
          </cell>
          <cell r="J8">
            <v>6955911</v>
          </cell>
          <cell r="K8">
            <v>8451496</v>
          </cell>
          <cell r="L8">
            <v>3998689</v>
          </cell>
        </row>
        <row r="9">
          <cell r="A9" t="str">
            <v>February</v>
          </cell>
          <cell r="J9">
            <v>8760849</v>
          </cell>
          <cell r="K9">
            <v>8453823.5</v>
          </cell>
          <cell r="L9">
            <v>5869779</v>
          </cell>
        </row>
        <row r="10">
          <cell r="A10" t="str">
            <v>March</v>
          </cell>
          <cell r="J10">
            <v>4695175</v>
          </cell>
          <cell r="K10">
            <v>7567492</v>
          </cell>
          <cell r="L10">
            <v>5047706</v>
          </cell>
        </row>
        <row r="11">
          <cell r="A11" t="str">
            <v>April</v>
          </cell>
          <cell r="J11">
            <v>7632635</v>
          </cell>
          <cell r="K11">
            <v>7684767</v>
          </cell>
          <cell r="L11">
            <v>6195221</v>
          </cell>
        </row>
        <row r="12">
          <cell r="A12" t="str">
            <v>May</v>
          </cell>
          <cell r="J12">
            <v>4402140</v>
          </cell>
          <cell r="K12">
            <v>4452678</v>
          </cell>
          <cell r="L12">
            <v>5648060</v>
          </cell>
        </row>
        <row r="13">
          <cell r="A13" t="str">
            <v>June</v>
          </cell>
          <cell r="J13">
            <v>17783645</v>
          </cell>
          <cell r="K13">
            <v>8162327.5</v>
          </cell>
          <cell r="L13">
            <v>4394775</v>
          </cell>
        </row>
        <row r="14">
          <cell r="A14" t="str">
            <v>July</v>
          </cell>
          <cell r="J14">
            <v>3498845</v>
          </cell>
          <cell r="K14">
            <v>3507629</v>
          </cell>
          <cell r="L14">
            <v>1475635</v>
          </cell>
        </row>
        <row r="15">
          <cell r="A15" t="str">
            <v>August</v>
          </cell>
          <cell r="J15">
            <v>1213770</v>
          </cell>
          <cell r="K15">
            <v>4520327</v>
          </cell>
          <cell r="L15">
            <v>2343393</v>
          </cell>
        </row>
        <row r="16">
          <cell r="A16" t="str">
            <v>September</v>
          </cell>
          <cell r="J16">
            <v>4420818</v>
          </cell>
          <cell r="K16">
            <v>247465</v>
          </cell>
          <cell r="L16">
            <v>736400</v>
          </cell>
        </row>
        <row r="17">
          <cell r="A17" t="str">
            <v>October</v>
          </cell>
          <cell r="J17">
            <v>3415419</v>
          </cell>
          <cell r="K17">
            <v>3873070</v>
          </cell>
          <cell r="L17">
            <v>3165053</v>
          </cell>
        </row>
        <row r="18">
          <cell r="A18" t="str">
            <v>November</v>
          </cell>
          <cell r="J18">
            <v>1232500</v>
          </cell>
          <cell r="K18">
            <v>2455632.5</v>
          </cell>
          <cell r="L18">
            <v>2708995</v>
          </cell>
        </row>
        <row r="19">
          <cell r="A19" t="str">
            <v>December</v>
          </cell>
          <cell r="J19">
            <v>1016000</v>
          </cell>
          <cell r="K19">
            <v>4703310</v>
          </cell>
          <cell r="L19">
            <v>1875775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zoomScaleNormal="100" workbookViewId="0">
      <selection activeCell="T16" sqref="T16"/>
    </sheetView>
  </sheetViews>
  <sheetFormatPr defaultRowHeight="15" x14ac:dyDescent="0.25"/>
  <cols>
    <col min="1" max="1" width="16.140625" style="1" customWidth="1"/>
    <col min="2" max="7" width="14" style="1" customWidth="1"/>
    <col min="8" max="8" width="19.5703125" style="1" customWidth="1"/>
    <col min="9" max="260" width="9.140625" style="1"/>
    <col min="261" max="261" width="15.5703125" style="1" customWidth="1"/>
    <col min="262" max="262" width="19" style="1" customWidth="1"/>
    <col min="263" max="263" width="16.140625" style="1" customWidth="1"/>
    <col min="264" max="264" width="19" style="1" customWidth="1"/>
    <col min="265" max="516" width="9.140625" style="1"/>
    <col min="517" max="517" width="15.5703125" style="1" customWidth="1"/>
    <col min="518" max="518" width="19" style="1" customWidth="1"/>
    <col min="519" max="519" width="16.140625" style="1" customWidth="1"/>
    <col min="520" max="520" width="19" style="1" customWidth="1"/>
    <col min="521" max="772" width="9.140625" style="1"/>
    <col min="773" max="773" width="15.5703125" style="1" customWidth="1"/>
    <col min="774" max="774" width="19" style="1" customWidth="1"/>
    <col min="775" max="775" width="16.140625" style="1" customWidth="1"/>
    <col min="776" max="776" width="19" style="1" customWidth="1"/>
    <col min="777" max="1028" width="9.140625" style="1"/>
    <col min="1029" max="1029" width="15.5703125" style="1" customWidth="1"/>
    <col min="1030" max="1030" width="19" style="1" customWidth="1"/>
    <col min="1031" max="1031" width="16.140625" style="1" customWidth="1"/>
    <col min="1032" max="1032" width="19" style="1" customWidth="1"/>
    <col min="1033" max="1284" width="9.140625" style="1"/>
    <col min="1285" max="1285" width="15.5703125" style="1" customWidth="1"/>
    <col min="1286" max="1286" width="19" style="1" customWidth="1"/>
    <col min="1287" max="1287" width="16.140625" style="1" customWidth="1"/>
    <col min="1288" max="1288" width="19" style="1" customWidth="1"/>
    <col min="1289" max="1540" width="9.140625" style="1"/>
    <col min="1541" max="1541" width="15.5703125" style="1" customWidth="1"/>
    <col min="1542" max="1542" width="19" style="1" customWidth="1"/>
    <col min="1543" max="1543" width="16.140625" style="1" customWidth="1"/>
    <col min="1544" max="1544" width="19" style="1" customWidth="1"/>
    <col min="1545" max="1796" width="9.140625" style="1"/>
    <col min="1797" max="1797" width="15.5703125" style="1" customWidth="1"/>
    <col min="1798" max="1798" width="19" style="1" customWidth="1"/>
    <col min="1799" max="1799" width="16.140625" style="1" customWidth="1"/>
    <col min="1800" max="1800" width="19" style="1" customWidth="1"/>
    <col min="1801" max="2052" width="9.140625" style="1"/>
    <col min="2053" max="2053" width="15.5703125" style="1" customWidth="1"/>
    <col min="2054" max="2054" width="19" style="1" customWidth="1"/>
    <col min="2055" max="2055" width="16.140625" style="1" customWidth="1"/>
    <col min="2056" max="2056" width="19" style="1" customWidth="1"/>
    <col min="2057" max="2308" width="9.140625" style="1"/>
    <col min="2309" max="2309" width="15.5703125" style="1" customWidth="1"/>
    <col min="2310" max="2310" width="19" style="1" customWidth="1"/>
    <col min="2311" max="2311" width="16.140625" style="1" customWidth="1"/>
    <col min="2312" max="2312" width="19" style="1" customWidth="1"/>
    <col min="2313" max="2564" width="9.140625" style="1"/>
    <col min="2565" max="2565" width="15.5703125" style="1" customWidth="1"/>
    <col min="2566" max="2566" width="19" style="1" customWidth="1"/>
    <col min="2567" max="2567" width="16.140625" style="1" customWidth="1"/>
    <col min="2568" max="2568" width="19" style="1" customWidth="1"/>
    <col min="2569" max="2820" width="9.140625" style="1"/>
    <col min="2821" max="2821" width="15.5703125" style="1" customWidth="1"/>
    <col min="2822" max="2822" width="19" style="1" customWidth="1"/>
    <col min="2823" max="2823" width="16.140625" style="1" customWidth="1"/>
    <col min="2824" max="2824" width="19" style="1" customWidth="1"/>
    <col min="2825" max="3076" width="9.140625" style="1"/>
    <col min="3077" max="3077" width="15.5703125" style="1" customWidth="1"/>
    <col min="3078" max="3078" width="19" style="1" customWidth="1"/>
    <col min="3079" max="3079" width="16.140625" style="1" customWidth="1"/>
    <col min="3080" max="3080" width="19" style="1" customWidth="1"/>
    <col min="3081" max="3332" width="9.140625" style="1"/>
    <col min="3333" max="3333" width="15.5703125" style="1" customWidth="1"/>
    <col min="3334" max="3334" width="19" style="1" customWidth="1"/>
    <col min="3335" max="3335" width="16.140625" style="1" customWidth="1"/>
    <col min="3336" max="3336" width="19" style="1" customWidth="1"/>
    <col min="3337" max="3588" width="9.140625" style="1"/>
    <col min="3589" max="3589" width="15.5703125" style="1" customWidth="1"/>
    <col min="3590" max="3590" width="19" style="1" customWidth="1"/>
    <col min="3591" max="3591" width="16.140625" style="1" customWidth="1"/>
    <col min="3592" max="3592" width="19" style="1" customWidth="1"/>
    <col min="3593" max="3844" width="9.140625" style="1"/>
    <col min="3845" max="3845" width="15.5703125" style="1" customWidth="1"/>
    <col min="3846" max="3846" width="19" style="1" customWidth="1"/>
    <col min="3847" max="3847" width="16.140625" style="1" customWidth="1"/>
    <col min="3848" max="3848" width="19" style="1" customWidth="1"/>
    <col min="3849" max="4100" width="9.140625" style="1"/>
    <col min="4101" max="4101" width="15.5703125" style="1" customWidth="1"/>
    <col min="4102" max="4102" width="19" style="1" customWidth="1"/>
    <col min="4103" max="4103" width="16.140625" style="1" customWidth="1"/>
    <col min="4104" max="4104" width="19" style="1" customWidth="1"/>
    <col min="4105" max="4356" width="9.140625" style="1"/>
    <col min="4357" max="4357" width="15.5703125" style="1" customWidth="1"/>
    <col min="4358" max="4358" width="19" style="1" customWidth="1"/>
    <col min="4359" max="4359" width="16.140625" style="1" customWidth="1"/>
    <col min="4360" max="4360" width="19" style="1" customWidth="1"/>
    <col min="4361" max="4612" width="9.140625" style="1"/>
    <col min="4613" max="4613" width="15.5703125" style="1" customWidth="1"/>
    <col min="4614" max="4614" width="19" style="1" customWidth="1"/>
    <col min="4615" max="4615" width="16.140625" style="1" customWidth="1"/>
    <col min="4616" max="4616" width="19" style="1" customWidth="1"/>
    <col min="4617" max="4868" width="9.140625" style="1"/>
    <col min="4869" max="4869" width="15.5703125" style="1" customWidth="1"/>
    <col min="4870" max="4870" width="19" style="1" customWidth="1"/>
    <col min="4871" max="4871" width="16.140625" style="1" customWidth="1"/>
    <col min="4872" max="4872" width="19" style="1" customWidth="1"/>
    <col min="4873" max="5124" width="9.140625" style="1"/>
    <col min="5125" max="5125" width="15.5703125" style="1" customWidth="1"/>
    <col min="5126" max="5126" width="19" style="1" customWidth="1"/>
    <col min="5127" max="5127" width="16.140625" style="1" customWidth="1"/>
    <col min="5128" max="5128" width="19" style="1" customWidth="1"/>
    <col min="5129" max="5380" width="9.140625" style="1"/>
    <col min="5381" max="5381" width="15.5703125" style="1" customWidth="1"/>
    <col min="5382" max="5382" width="19" style="1" customWidth="1"/>
    <col min="5383" max="5383" width="16.140625" style="1" customWidth="1"/>
    <col min="5384" max="5384" width="19" style="1" customWidth="1"/>
    <col min="5385" max="5636" width="9.140625" style="1"/>
    <col min="5637" max="5637" width="15.5703125" style="1" customWidth="1"/>
    <col min="5638" max="5638" width="19" style="1" customWidth="1"/>
    <col min="5639" max="5639" width="16.140625" style="1" customWidth="1"/>
    <col min="5640" max="5640" width="19" style="1" customWidth="1"/>
    <col min="5641" max="5892" width="9.140625" style="1"/>
    <col min="5893" max="5893" width="15.5703125" style="1" customWidth="1"/>
    <col min="5894" max="5894" width="19" style="1" customWidth="1"/>
    <col min="5895" max="5895" width="16.140625" style="1" customWidth="1"/>
    <col min="5896" max="5896" width="19" style="1" customWidth="1"/>
    <col min="5897" max="6148" width="9.140625" style="1"/>
    <col min="6149" max="6149" width="15.5703125" style="1" customWidth="1"/>
    <col min="6150" max="6150" width="19" style="1" customWidth="1"/>
    <col min="6151" max="6151" width="16.140625" style="1" customWidth="1"/>
    <col min="6152" max="6152" width="19" style="1" customWidth="1"/>
    <col min="6153" max="6404" width="9.140625" style="1"/>
    <col min="6405" max="6405" width="15.5703125" style="1" customWidth="1"/>
    <col min="6406" max="6406" width="19" style="1" customWidth="1"/>
    <col min="6407" max="6407" width="16.140625" style="1" customWidth="1"/>
    <col min="6408" max="6408" width="19" style="1" customWidth="1"/>
    <col min="6409" max="6660" width="9.140625" style="1"/>
    <col min="6661" max="6661" width="15.5703125" style="1" customWidth="1"/>
    <col min="6662" max="6662" width="19" style="1" customWidth="1"/>
    <col min="6663" max="6663" width="16.140625" style="1" customWidth="1"/>
    <col min="6664" max="6664" width="19" style="1" customWidth="1"/>
    <col min="6665" max="6916" width="9.140625" style="1"/>
    <col min="6917" max="6917" width="15.5703125" style="1" customWidth="1"/>
    <col min="6918" max="6918" width="19" style="1" customWidth="1"/>
    <col min="6919" max="6919" width="16.140625" style="1" customWidth="1"/>
    <col min="6920" max="6920" width="19" style="1" customWidth="1"/>
    <col min="6921" max="7172" width="9.140625" style="1"/>
    <col min="7173" max="7173" width="15.5703125" style="1" customWidth="1"/>
    <col min="7174" max="7174" width="19" style="1" customWidth="1"/>
    <col min="7175" max="7175" width="16.140625" style="1" customWidth="1"/>
    <col min="7176" max="7176" width="19" style="1" customWidth="1"/>
    <col min="7177" max="7428" width="9.140625" style="1"/>
    <col min="7429" max="7429" width="15.5703125" style="1" customWidth="1"/>
    <col min="7430" max="7430" width="19" style="1" customWidth="1"/>
    <col min="7431" max="7431" width="16.140625" style="1" customWidth="1"/>
    <col min="7432" max="7432" width="19" style="1" customWidth="1"/>
    <col min="7433" max="7684" width="9.140625" style="1"/>
    <col min="7685" max="7685" width="15.5703125" style="1" customWidth="1"/>
    <col min="7686" max="7686" width="19" style="1" customWidth="1"/>
    <col min="7687" max="7687" width="16.140625" style="1" customWidth="1"/>
    <col min="7688" max="7688" width="19" style="1" customWidth="1"/>
    <col min="7689" max="7940" width="9.140625" style="1"/>
    <col min="7941" max="7941" width="15.5703125" style="1" customWidth="1"/>
    <col min="7942" max="7942" width="19" style="1" customWidth="1"/>
    <col min="7943" max="7943" width="16.140625" style="1" customWidth="1"/>
    <col min="7944" max="7944" width="19" style="1" customWidth="1"/>
    <col min="7945" max="8196" width="9.140625" style="1"/>
    <col min="8197" max="8197" width="15.5703125" style="1" customWidth="1"/>
    <col min="8198" max="8198" width="19" style="1" customWidth="1"/>
    <col min="8199" max="8199" width="16.140625" style="1" customWidth="1"/>
    <col min="8200" max="8200" width="19" style="1" customWidth="1"/>
    <col min="8201" max="8452" width="9.140625" style="1"/>
    <col min="8453" max="8453" width="15.5703125" style="1" customWidth="1"/>
    <col min="8454" max="8454" width="19" style="1" customWidth="1"/>
    <col min="8455" max="8455" width="16.140625" style="1" customWidth="1"/>
    <col min="8456" max="8456" width="19" style="1" customWidth="1"/>
    <col min="8457" max="8708" width="9.140625" style="1"/>
    <col min="8709" max="8709" width="15.5703125" style="1" customWidth="1"/>
    <col min="8710" max="8710" width="19" style="1" customWidth="1"/>
    <col min="8711" max="8711" width="16.140625" style="1" customWidth="1"/>
    <col min="8712" max="8712" width="19" style="1" customWidth="1"/>
    <col min="8713" max="8964" width="9.140625" style="1"/>
    <col min="8965" max="8965" width="15.5703125" style="1" customWidth="1"/>
    <col min="8966" max="8966" width="19" style="1" customWidth="1"/>
    <col min="8967" max="8967" width="16.140625" style="1" customWidth="1"/>
    <col min="8968" max="8968" width="19" style="1" customWidth="1"/>
    <col min="8969" max="9220" width="9.140625" style="1"/>
    <col min="9221" max="9221" width="15.5703125" style="1" customWidth="1"/>
    <col min="9222" max="9222" width="19" style="1" customWidth="1"/>
    <col min="9223" max="9223" width="16.140625" style="1" customWidth="1"/>
    <col min="9224" max="9224" width="19" style="1" customWidth="1"/>
    <col min="9225" max="9476" width="9.140625" style="1"/>
    <col min="9477" max="9477" width="15.5703125" style="1" customWidth="1"/>
    <col min="9478" max="9478" width="19" style="1" customWidth="1"/>
    <col min="9479" max="9479" width="16.140625" style="1" customWidth="1"/>
    <col min="9480" max="9480" width="19" style="1" customWidth="1"/>
    <col min="9481" max="9732" width="9.140625" style="1"/>
    <col min="9733" max="9733" width="15.5703125" style="1" customWidth="1"/>
    <col min="9734" max="9734" width="19" style="1" customWidth="1"/>
    <col min="9735" max="9735" width="16.140625" style="1" customWidth="1"/>
    <col min="9736" max="9736" width="19" style="1" customWidth="1"/>
    <col min="9737" max="9988" width="9.140625" style="1"/>
    <col min="9989" max="9989" width="15.5703125" style="1" customWidth="1"/>
    <col min="9990" max="9990" width="19" style="1" customWidth="1"/>
    <col min="9991" max="9991" width="16.140625" style="1" customWidth="1"/>
    <col min="9992" max="9992" width="19" style="1" customWidth="1"/>
    <col min="9993" max="10244" width="9.140625" style="1"/>
    <col min="10245" max="10245" width="15.5703125" style="1" customWidth="1"/>
    <col min="10246" max="10246" width="19" style="1" customWidth="1"/>
    <col min="10247" max="10247" width="16.140625" style="1" customWidth="1"/>
    <col min="10248" max="10248" width="19" style="1" customWidth="1"/>
    <col min="10249" max="10500" width="9.140625" style="1"/>
    <col min="10501" max="10501" width="15.5703125" style="1" customWidth="1"/>
    <col min="10502" max="10502" width="19" style="1" customWidth="1"/>
    <col min="10503" max="10503" width="16.140625" style="1" customWidth="1"/>
    <col min="10504" max="10504" width="19" style="1" customWidth="1"/>
    <col min="10505" max="10756" width="9.140625" style="1"/>
    <col min="10757" max="10757" width="15.5703125" style="1" customWidth="1"/>
    <col min="10758" max="10758" width="19" style="1" customWidth="1"/>
    <col min="10759" max="10759" width="16.140625" style="1" customWidth="1"/>
    <col min="10760" max="10760" width="19" style="1" customWidth="1"/>
    <col min="10761" max="11012" width="9.140625" style="1"/>
    <col min="11013" max="11013" width="15.5703125" style="1" customWidth="1"/>
    <col min="11014" max="11014" width="19" style="1" customWidth="1"/>
    <col min="11015" max="11015" width="16.140625" style="1" customWidth="1"/>
    <col min="11016" max="11016" width="19" style="1" customWidth="1"/>
    <col min="11017" max="11268" width="9.140625" style="1"/>
    <col min="11269" max="11269" width="15.5703125" style="1" customWidth="1"/>
    <col min="11270" max="11270" width="19" style="1" customWidth="1"/>
    <col min="11271" max="11271" width="16.140625" style="1" customWidth="1"/>
    <col min="11272" max="11272" width="19" style="1" customWidth="1"/>
    <col min="11273" max="11524" width="9.140625" style="1"/>
    <col min="11525" max="11525" width="15.5703125" style="1" customWidth="1"/>
    <col min="11526" max="11526" width="19" style="1" customWidth="1"/>
    <col min="11527" max="11527" width="16.140625" style="1" customWidth="1"/>
    <col min="11528" max="11528" width="19" style="1" customWidth="1"/>
    <col min="11529" max="11780" width="9.140625" style="1"/>
    <col min="11781" max="11781" width="15.5703125" style="1" customWidth="1"/>
    <col min="11782" max="11782" width="19" style="1" customWidth="1"/>
    <col min="11783" max="11783" width="16.140625" style="1" customWidth="1"/>
    <col min="11784" max="11784" width="19" style="1" customWidth="1"/>
    <col min="11785" max="12036" width="9.140625" style="1"/>
    <col min="12037" max="12037" width="15.5703125" style="1" customWidth="1"/>
    <col min="12038" max="12038" width="19" style="1" customWidth="1"/>
    <col min="12039" max="12039" width="16.140625" style="1" customWidth="1"/>
    <col min="12040" max="12040" width="19" style="1" customWidth="1"/>
    <col min="12041" max="12292" width="9.140625" style="1"/>
    <col min="12293" max="12293" width="15.5703125" style="1" customWidth="1"/>
    <col min="12294" max="12294" width="19" style="1" customWidth="1"/>
    <col min="12295" max="12295" width="16.140625" style="1" customWidth="1"/>
    <col min="12296" max="12296" width="19" style="1" customWidth="1"/>
    <col min="12297" max="12548" width="9.140625" style="1"/>
    <col min="12549" max="12549" width="15.5703125" style="1" customWidth="1"/>
    <col min="12550" max="12550" width="19" style="1" customWidth="1"/>
    <col min="12551" max="12551" width="16.140625" style="1" customWidth="1"/>
    <col min="12552" max="12552" width="19" style="1" customWidth="1"/>
    <col min="12553" max="12804" width="9.140625" style="1"/>
    <col min="12805" max="12805" width="15.5703125" style="1" customWidth="1"/>
    <col min="12806" max="12806" width="19" style="1" customWidth="1"/>
    <col min="12807" max="12807" width="16.140625" style="1" customWidth="1"/>
    <col min="12808" max="12808" width="19" style="1" customWidth="1"/>
    <col min="12809" max="13060" width="9.140625" style="1"/>
    <col min="13061" max="13061" width="15.5703125" style="1" customWidth="1"/>
    <col min="13062" max="13062" width="19" style="1" customWidth="1"/>
    <col min="13063" max="13063" width="16.140625" style="1" customWidth="1"/>
    <col min="13064" max="13064" width="19" style="1" customWidth="1"/>
    <col min="13065" max="13316" width="9.140625" style="1"/>
    <col min="13317" max="13317" width="15.5703125" style="1" customWidth="1"/>
    <col min="13318" max="13318" width="19" style="1" customWidth="1"/>
    <col min="13319" max="13319" width="16.140625" style="1" customWidth="1"/>
    <col min="13320" max="13320" width="19" style="1" customWidth="1"/>
    <col min="13321" max="13572" width="9.140625" style="1"/>
    <col min="13573" max="13573" width="15.5703125" style="1" customWidth="1"/>
    <col min="13574" max="13574" width="19" style="1" customWidth="1"/>
    <col min="13575" max="13575" width="16.140625" style="1" customWidth="1"/>
    <col min="13576" max="13576" width="19" style="1" customWidth="1"/>
    <col min="13577" max="13828" width="9.140625" style="1"/>
    <col min="13829" max="13829" width="15.5703125" style="1" customWidth="1"/>
    <col min="13830" max="13830" width="19" style="1" customWidth="1"/>
    <col min="13831" max="13831" width="16.140625" style="1" customWidth="1"/>
    <col min="13832" max="13832" width="19" style="1" customWidth="1"/>
    <col min="13833" max="14084" width="9.140625" style="1"/>
    <col min="14085" max="14085" width="15.5703125" style="1" customWidth="1"/>
    <col min="14086" max="14086" width="19" style="1" customWidth="1"/>
    <col min="14087" max="14087" width="16.140625" style="1" customWidth="1"/>
    <col min="14088" max="14088" width="19" style="1" customWidth="1"/>
    <col min="14089" max="14340" width="9.140625" style="1"/>
    <col min="14341" max="14341" width="15.5703125" style="1" customWidth="1"/>
    <col min="14342" max="14342" width="19" style="1" customWidth="1"/>
    <col min="14343" max="14343" width="16.140625" style="1" customWidth="1"/>
    <col min="14344" max="14344" width="19" style="1" customWidth="1"/>
    <col min="14345" max="14596" width="9.140625" style="1"/>
    <col min="14597" max="14597" width="15.5703125" style="1" customWidth="1"/>
    <col min="14598" max="14598" width="19" style="1" customWidth="1"/>
    <col min="14599" max="14599" width="16.140625" style="1" customWidth="1"/>
    <col min="14600" max="14600" width="19" style="1" customWidth="1"/>
    <col min="14601" max="14852" width="9.140625" style="1"/>
    <col min="14853" max="14853" width="15.5703125" style="1" customWidth="1"/>
    <col min="14854" max="14854" width="19" style="1" customWidth="1"/>
    <col min="14855" max="14855" width="16.140625" style="1" customWidth="1"/>
    <col min="14856" max="14856" width="19" style="1" customWidth="1"/>
    <col min="14857" max="15108" width="9.140625" style="1"/>
    <col min="15109" max="15109" width="15.5703125" style="1" customWidth="1"/>
    <col min="15110" max="15110" width="19" style="1" customWidth="1"/>
    <col min="15111" max="15111" width="16.140625" style="1" customWidth="1"/>
    <col min="15112" max="15112" width="19" style="1" customWidth="1"/>
    <col min="15113" max="15364" width="9.140625" style="1"/>
    <col min="15365" max="15365" width="15.5703125" style="1" customWidth="1"/>
    <col min="15366" max="15366" width="19" style="1" customWidth="1"/>
    <col min="15367" max="15367" width="16.140625" style="1" customWidth="1"/>
    <col min="15368" max="15368" width="19" style="1" customWidth="1"/>
    <col min="15369" max="15620" width="9.140625" style="1"/>
    <col min="15621" max="15621" width="15.5703125" style="1" customWidth="1"/>
    <col min="15622" max="15622" width="19" style="1" customWidth="1"/>
    <col min="15623" max="15623" width="16.140625" style="1" customWidth="1"/>
    <col min="15624" max="15624" width="19" style="1" customWidth="1"/>
    <col min="15625" max="15876" width="9.140625" style="1"/>
    <col min="15877" max="15877" width="15.5703125" style="1" customWidth="1"/>
    <col min="15878" max="15878" width="19" style="1" customWidth="1"/>
    <col min="15879" max="15879" width="16.140625" style="1" customWidth="1"/>
    <col min="15880" max="15880" width="19" style="1" customWidth="1"/>
    <col min="15881" max="16132" width="9.140625" style="1"/>
    <col min="16133" max="16133" width="15.5703125" style="1" customWidth="1"/>
    <col min="16134" max="16134" width="19" style="1" customWidth="1"/>
    <col min="16135" max="16135" width="16.140625" style="1" customWidth="1"/>
    <col min="16136" max="16136" width="19" style="1" customWidth="1"/>
    <col min="16137" max="16384" width="9.140625" style="1"/>
  </cols>
  <sheetData>
    <row r="1" spans="1:14" ht="18.75" x14ac:dyDescent="0.25">
      <c r="A1" s="22" t="s">
        <v>42</v>
      </c>
      <c r="B1" s="22"/>
      <c r="C1" s="22"/>
      <c r="D1" s="22"/>
      <c r="E1" s="22"/>
      <c r="F1" s="22"/>
      <c r="G1" s="22"/>
      <c r="H1" s="22"/>
    </row>
    <row r="2" spans="1:14" s="8" customFormat="1" x14ac:dyDescent="0.25">
      <c r="A2" s="16" t="s">
        <v>43</v>
      </c>
      <c r="B2" s="16"/>
      <c r="C2" s="16"/>
      <c r="D2" s="16"/>
      <c r="E2" s="16"/>
      <c r="F2" s="16"/>
      <c r="G2" s="16"/>
      <c r="H2" s="16"/>
    </row>
    <row r="3" spans="1:14" s="8" customFormat="1" ht="15" customHeight="1" x14ac:dyDescent="0.25">
      <c r="A3" s="17" t="s">
        <v>0</v>
      </c>
      <c r="B3" s="19" t="s">
        <v>44</v>
      </c>
      <c r="C3" s="19"/>
      <c r="D3" s="19"/>
      <c r="E3" s="19"/>
      <c r="F3" s="19"/>
      <c r="G3" s="19"/>
      <c r="H3" s="20" t="s">
        <v>34</v>
      </c>
    </row>
    <row r="4" spans="1:14" x14ac:dyDescent="0.25">
      <c r="A4" s="18"/>
      <c r="B4" s="2">
        <v>2013</v>
      </c>
      <c r="C4" s="2">
        <v>2014</v>
      </c>
      <c r="D4" s="2">
        <v>2015</v>
      </c>
      <c r="E4" s="2">
        <v>2016</v>
      </c>
      <c r="F4" s="2">
        <v>2017</v>
      </c>
      <c r="G4" s="2">
        <v>2018</v>
      </c>
      <c r="H4" s="21"/>
    </row>
    <row r="5" spans="1:14" ht="21" x14ac:dyDescent="0.25">
      <c r="A5" s="3" t="s">
        <v>35</v>
      </c>
      <c r="B5" s="9">
        <f t="shared" ref="B5:G5" si="0">SUM(B6:B25)</f>
        <v>9973.2153715049062</v>
      </c>
      <c r="C5" s="9">
        <f t="shared" si="0"/>
        <v>6549</v>
      </c>
      <c r="D5" s="9">
        <f t="shared" si="0"/>
        <v>7410</v>
      </c>
      <c r="E5" s="9">
        <f t="shared" si="0"/>
        <v>7567</v>
      </c>
      <c r="F5" s="9">
        <f t="shared" si="0"/>
        <v>7567</v>
      </c>
      <c r="G5" s="9">
        <f t="shared" si="0"/>
        <v>7568</v>
      </c>
      <c r="H5" s="4" t="s">
        <v>36</v>
      </c>
      <c r="L5" s="23"/>
      <c r="M5" s="23"/>
      <c r="N5" s="23"/>
    </row>
    <row r="6" spans="1:14" ht="15.75" x14ac:dyDescent="0.25">
      <c r="A6" s="5" t="s">
        <v>37</v>
      </c>
      <c r="B6" s="10">
        <v>659.99566999861804</v>
      </c>
      <c r="C6" s="10">
        <v>149</v>
      </c>
      <c r="D6" s="10">
        <v>139</v>
      </c>
      <c r="E6" s="10">
        <v>139</v>
      </c>
      <c r="F6" s="10">
        <v>139</v>
      </c>
      <c r="G6" s="10">
        <v>139</v>
      </c>
      <c r="H6" s="11" t="s">
        <v>1</v>
      </c>
      <c r="L6" s="23"/>
      <c r="M6" s="23"/>
      <c r="N6" s="23"/>
    </row>
    <row r="7" spans="1:14" ht="15.75" x14ac:dyDescent="0.25">
      <c r="A7" s="5" t="s">
        <v>38</v>
      </c>
      <c r="B7" s="10">
        <v>451.02855958358282</v>
      </c>
      <c r="C7" s="10">
        <v>480</v>
      </c>
      <c r="D7" s="10">
        <v>479</v>
      </c>
      <c r="E7" s="10">
        <v>480</v>
      </c>
      <c r="F7" s="10">
        <v>480</v>
      </c>
      <c r="G7" s="10">
        <v>480</v>
      </c>
      <c r="H7" s="11" t="s">
        <v>2</v>
      </c>
      <c r="L7" s="23"/>
      <c r="M7" s="23"/>
      <c r="N7" s="23"/>
    </row>
    <row r="8" spans="1:14" ht="15.75" x14ac:dyDescent="0.25">
      <c r="A8" s="5" t="s">
        <v>39</v>
      </c>
      <c r="B8" s="10">
        <v>838.17979230324352</v>
      </c>
      <c r="C8" s="10">
        <v>909</v>
      </c>
      <c r="D8" s="10">
        <v>909</v>
      </c>
      <c r="E8" s="10">
        <v>992</v>
      </c>
      <c r="F8" s="10">
        <v>992</v>
      </c>
      <c r="G8" s="10">
        <v>992</v>
      </c>
      <c r="H8" s="11" t="s">
        <v>3</v>
      </c>
      <c r="L8" s="23"/>
      <c r="M8" s="23"/>
      <c r="N8" s="23"/>
    </row>
    <row r="9" spans="1:14" ht="15.75" x14ac:dyDescent="0.25">
      <c r="A9" s="5" t="s">
        <v>31</v>
      </c>
      <c r="B9" s="10">
        <v>300.16039942471377</v>
      </c>
      <c r="C9" s="10">
        <v>219</v>
      </c>
      <c r="D9" s="10">
        <v>219</v>
      </c>
      <c r="E9" s="10">
        <v>219</v>
      </c>
      <c r="F9" s="10">
        <v>219</v>
      </c>
      <c r="G9" s="10">
        <v>219</v>
      </c>
      <c r="H9" s="11" t="s">
        <v>4</v>
      </c>
      <c r="L9" s="23"/>
      <c r="M9" s="23"/>
      <c r="N9" s="23"/>
    </row>
    <row r="10" spans="1:14" ht="15.75" x14ac:dyDescent="0.25">
      <c r="A10" s="5" t="s">
        <v>40</v>
      </c>
      <c r="B10" s="10">
        <v>760.6970150628772</v>
      </c>
      <c r="C10" s="10">
        <v>138</v>
      </c>
      <c r="D10" s="10">
        <v>130</v>
      </c>
      <c r="E10" s="10">
        <v>130</v>
      </c>
      <c r="F10" s="10">
        <v>130</v>
      </c>
      <c r="G10" s="10">
        <v>130</v>
      </c>
      <c r="H10" s="11" t="s">
        <v>5</v>
      </c>
      <c r="L10" s="23"/>
      <c r="M10" s="23"/>
      <c r="N10" s="23"/>
    </row>
    <row r="11" spans="1:14" ht="15.75" x14ac:dyDescent="0.25">
      <c r="A11" s="5" t="s">
        <v>6</v>
      </c>
      <c r="B11" s="10">
        <v>704.85688475337929</v>
      </c>
      <c r="C11" s="10">
        <v>163</v>
      </c>
      <c r="D11" s="10">
        <v>170</v>
      </c>
      <c r="E11" s="10">
        <v>172</v>
      </c>
      <c r="F11" s="10">
        <v>172</v>
      </c>
      <c r="G11" s="10">
        <v>172</v>
      </c>
      <c r="H11" s="11" t="s">
        <v>7</v>
      </c>
      <c r="L11" s="23"/>
      <c r="M11" s="23"/>
      <c r="N11" s="23"/>
    </row>
    <row r="12" spans="1:14" ht="15.75" x14ac:dyDescent="0.25">
      <c r="A12" s="5" t="s">
        <v>8</v>
      </c>
      <c r="B12" s="10">
        <v>352.42844237668965</v>
      </c>
      <c r="C12" s="10">
        <v>47</v>
      </c>
      <c r="D12" s="10">
        <v>46</v>
      </c>
      <c r="E12" s="10">
        <v>46</v>
      </c>
      <c r="F12" s="10">
        <v>46</v>
      </c>
      <c r="G12" s="10">
        <v>46</v>
      </c>
      <c r="H12" s="11" t="s">
        <v>9</v>
      </c>
      <c r="L12" s="23"/>
      <c r="M12" s="23"/>
      <c r="N12" s="23"/>
    </row>
    <row r="13" spans="1:14" ht="15.75" x14ac:dyDescent="0.25">
      <c r="A13" s="5" t="s">
        <v>10</v>
      </c>
      <c r="B13" s="10">
        <v>562.60375880971026</v>
      </c>
      <c r="C13" s="10">
        <v>6</v>
      </c>
      <c r="D13" s="10">
        <v>742</v>
      </c>
      <c r="E13" s="10">
        <v>773</v>
      </c>
      <c r="F13" s="10">
        <v>773</v>
      </c>
      <c r="G13" s="10">
        <v>773</v>
      </c>
      <c r="H13" s="11" t="s">
        <v>41</v>
      </c>
      <c r="L13" s="23"/>
      <c r="M13" s="23"/>
      <c r="N13" s="23"/>
    </row>
    <row r="14" spans="1:14" ht="15.75" x14ac:dyDescent="0.25">
      <c r="A14" s="5" t="s">
        <v>11</v>
      </c>
      <c r="B14" s="10">
        <v>430.80424145643639</v>
      </c>
      <c r="C14" s="10">
        <v>916</v>
      </c>
      <c r="D14" s="10">
        <v>920</v>
      </c>
      <c r="E14" s="10">
        <v>921</v>
      </c>
      <c r="F14" s="10">
        <v>921</v>
      </c>
      <c r="G14" s="10">
        <v>921</v>
      </c>
      <c r="H14" s="11" t="s">
        <v>12</v>
      </c>
      <c r="L14" s="23"/>
      <c r="M14" s="23"/>
      <c r="N14" s="23"/>
    </row>
    <row r="15" spans="1:14" ht="15.75" x14ac:dyDescent="0.25">
      <c r="A15" s="5" t="s">
        <v>13</v>
      </c>
      <c r="B15" s="10">
        <v>284.76890536950879</v>
      </c>
      <c r="C15" s="10">
        <v>4</v>
      </c>
      <c r="D15" s="10">
        <v>4</v>
      </c>
      <c r="E15" s="10">
        <v>4</v>
      </c>
      <c r="F15" s="10">
        <v>4</v>
      </c>
      <c r="G15" s="10">
        <v>4</v>
      </c>
      <c r="H15" s="11" t="s">
        <v>14</v>
      </c>
      <c r="L15" s="23"/>
      <c r="M15" s="23"/>
      <c r="N15" s="23"/>
    </row>
    <row r="16" spans="1:14" ht="15.75" x14ac:dyDescent="0.25">
      <c r="A16" s="5" t="s">
        <v>15</v>
      </c>
      <c r="B16" s="10">
        <v>90.773043438205349</v>
      </c>
      <c r="C16" s="10">
        <v>2</v>
      </c>
      <c r="D16" s="10">
        <v>2</v>
      </c>
      <c r="E16" s="10">
        <v>5</v>
      </c>
      <c r="F16" s="10">
        <v>5</v>
      </c>
      <c r="G16" s="10">
        <v>5</v>
      </c>
      <c r="H16" s="11" t="s">
        <v>16</v>
      </c>
      <c r="L16" s="23"/>
      <c r="M16" s="23"/>
      <c r="N16" s="23"/>
    </row>
    <row r="17" spans="1:14" ht="15.75" x14ac:dyDescent="0.25">
      <c r="A17" s="5" t="s">
        <v>17</v>
      </c>
      <c r="B17" s="10">
        <v>377.06533900430441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1" t="s">
        <v>18</v>
      </c>
      <c r="L17" s="23"/>
      <c r="M17" s="23"/>
      <c r="N17" s="23"/>
    </row>
    <row r="18" spans="1:14" ht="15.75" x14ac:dyDescent="0.25">
      <c r="A18" s="5" t="s">
        <v>19</v>
      </c>
      <c r="B18" s="10">
        <v>330.10289639217729</v>
      </c>
      <c r="C18" s="10">
        <v>96</v>
      </c>
      <c r="D18" s="10">
        <v>185</v>
      </c>
      <c r="E18" s="10">
        <v>188</v>
      </c>
      <c r="F18" s="10">
        <v>188</v>
      </c>
      <c r="G18" s="10">
        <v>188</v>
      </c>
      <c r="H18" s="11" t="s">
        <v>20</v>
      </c>
      <c r="L18" s="23"/>
      <c r="M18" s="23"/>
      <c r="N18" s="23"/>
    </row>
    <row r="19" spans="1:14" ht="15.75" x14ac:dyDescent="0.25">
      <c r="A19" s="5" t="s">
        <v>21</v>
      </c>
      <c r="B19" s="10">
        <v>399.6010077745533</v>
      </c>
      <c r="C19" s="10">
        <v>1</v>
      </c>
      <c r="D19" s="10">
        <v>2</v>
      </c>
      <c r="E19" s="10">
        <v>2</v>
      </c>
      <c r="F19" s="10">
        <v>2</v>
      </c>
      <c r="G19" s="10">
        <v>2</v>
      </c>
      <c r="H19" s="11" t="s">
        <v>22</v>
      </c>
    </row>
    <row r="20" spans="1:14" ht="15.75" x14ac:dyDescent="0.25">
      <c r="A20" s="5" t="s">
        <v>23</v>
      </c>
      <c r="B20" s="10">
        <v>689.78057487677927</v>
      </c>
      <c r="C20" s="10">
        <v>461</v>
      </c>
      <c r="D20" s="10">
        <v>356</v>
      </c>
      <c r="E20" s="10">
        <v>356</v>
      </c>
      <c r="F20" s="10">
        <v>356</v>
      </c>
      <c r="G20" s="10">
        <v>356</v>
      </c>
      <c r="H20" s="11" t="s">
        <v>24</v>
      </c>
    </row>
    <row r="21" spans="1:14" ht="15.75" x14ac:dyDescent="0.25">
      <c r="A21" s="5" t="s">
        <v>9</v>
      </c>
      <c r="B21" s="10">
        <v>823.83891217672146</v>
      </c>
      <c r="C21" s="10">
        <v>1717</v>
      </c>
      <c r="D21" s="10">
        <v>1711</v>
      </c>
      <c r="E21" s="10">
        <v>1711</v>
      </c>
      <c r="F21" s="10">
        <v>1711</v>
      </c>
      <c r="G21" s="10">
        <v>1711</v>
      </c>
      <c r="H21" s="11" t="s">
        <v>25</v>
      </c>
    </row>
    <row r="22" spans="1:14" ht="15.75" x14ac:dyDescent="0.25">
      <c r="A22" s="5" t="s">
        <v>26</v>
      </c>
      <c r="B22" s="10">
        <v>762.01028247373074</v>
      </c>
      <c r="C22" s="10">
        <v>562</v>
      </c>
      <c r="D22" s="10">
        <v>625</v>
      </c>
      <c r="E22" s="10">
        <v>650</v>
      </c>
      <c r="F22" s="10">
        <v>650</v>
      </c>
      <c r="G22" s="10">
        <v>651</v>
      </c>
      <c r="H22" s="11" t="s">
        <v>27</v>
      </c>
    </row>
    <row r="23" spans="1:14" ht="15.75" x14ac:dyDescent="0.25">
      <c r="A23" s="5" t="s">
        <v>28</v>
      </c>
      <c r="B23" s="10">
        <v>796.62801142383341</v>
      </c>
      <c r="C23" s="10">
        <v>359</v>
      </c>
      <c r="D23" s="10">
        <v>358</v>
      </c>
      <c r="E23" s="10">
        <v>433</v>
      </c>
      <c r="F23" s="10">
        <v>433</v>
      </c>
      <c r="G23" s="10">
        <v>433</v>
      </c>
      <c r="H23" s="12" t="s">
        <v>29</v>
      </c>
    </row>
    <row r="24" spans="1:14" ht="15.75" x14ac:dyDescent="0.25">
      <c r="A24" s="5" t="s">
        <v>30</v>
      </c>
      <c r="B24" s="10">
        <v>67.449414221444258</v>
      </c>
      <c r="C24" s="10">
        <v>165</v>
      </c>
      <c r="D24" s="10">
        <v>274</v>
      </c>
      <c r="E24" s="10">
        <v>284</v>
      </c>
      <c r="F24" s="10">
        <v>284</v>
      </c>
      <c r="G24" s="10">
        <v>284</v>
      </c>
      <c r="H24" s="12" t="s">
        <v>31</v>
      </c>
    </row>
    <row r="25" spans="1:14" ht="15.75" x14ac:dyDescent="0.25">
      <c r="A25" s="6" t="s">
        <v>3</v>
      </c>
      <c r="B25" s="13">
        <v>290.44222058439664</v>
      </c>
      <c r="C25" s="13">
        <v>155</v>
      </c>
      <c r="D25" s="13">
        <v>139</v>
      </c>
      <c r="E25" s="13">
        <v>62</v>
      </c>
      <c r="F25" s="13">
        <v>62</v>
      </c>
      <c r="G25" s="13">
        <v>62</v>
      </c>
      <c r="H25" s="14" t="s">
        <v>32</v>
      </c>
    </row>
    <row r="26" spans="1:14" ht="18" x14ac:dyDescent="0.45">
      <c r="A26" s="7" t="s">
        <v>45</v>
      </c>
      <c r="B26" s="7"/>
      <c r="H26" s="15" t="s">
        <v>33</v>
      </c>
    </row>
  </sheetData>
  <mergeCells count="6">
    <mergeCell ref="A1:H1"/>
    <mergeCell ref="A2:H2"/>
    <mergeCell ref="A3:A4"/>
    <mergeCell ref="B3:G3"/>
    <mergeCell ref="H3:H4"/>
    <mergeCell ref="L5:N18"/>
  </mergeCells>
  <pageMargins left="0.7" right="0.7" top="0.75" bottom="0.75" header="0.3" footer="0.3"/>
  <pageSetup paperSize="9" scale="6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9.15</vt:lpstr>
      <vt:lpstr>'9.15'!Print_Area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2019-09-09T06:09:02Z</cp:lastPrinted>
  <dcterms:created xsi:type="dcterms:W3CDTF">2019-09-09T05:11:24Z</dcterms:created>
  <dcterms:modified xsi:type="dcterms:W3CDTF">2019-09-09T06:09:10Z</dcterms:modified>
</cp:coreProperties>
</file>