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2" sheetId="12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'9.12'!$A$1:$J$45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2" l="1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 s="1"/>
  <c r="H7" i="12"/>
  <c r="G7" i="12"/>
  <c r="F7" i="12"/>
  <c r="E7" i="12"/>
  <c r="D7" i="12"/>
  <c r="C7" i="12"/>
</calcChain>
</file>

<file path=xl/sharedStrings.xml><?xml version="1.0" encoding="utf-8"?>
<sst xmlns="http://schemas.openxmlformats.org/spreadsheetml/2006/main" count="74" uniqueCount="67">
  <si>
    <t>Total</t>
  </si>
  <si>
    <t>ޖުމްލަ</t>
  </si>
  <si>
    <t>2018 ,cawtctwvWb egumwkirevuDnwd Wdcawh cSokumcaWa iawgEjcaWr cniaeret egukwtctwvWb unuveruk cTrOpcmia cSwaejcaWr  : 9.12 ulwvWt</t>
  </si>
  <si>
    <t>Table 9.12: IMPORTS OF FRESH AGRICULTURAL CROPS MAINLY PRODUCED IN MALDIVES, 2018</t>
  </si>
  <si>
    <t>(ރުފިޔާއިން )</t>
  </si>
  <si>
    <t>(Value in MVR)</t>
  </si>
  <si>
    <t>Agricultural crops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</si>
  <si>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</si>
  <si>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</si>
  <si>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</si>
  <si>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</si>
  <si>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</si>
  <si>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</si>
  <si>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</si>
  <si>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</si>
  <si>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</si>
  <si>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</si>
  <si>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</si>
  <si>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</si>
  <si>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</si>
  <si>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</si>
  <si>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</si>
  <si>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</si>
  <si>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</si>
  <si>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</si>
  <si>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Bitter Gourd (Fresh Or Chilled )</t>
  </si>
  <si>
    <t>ފާގަ</t>
  </si>
  <si>
    <t>Bottle Gourd (Fresh Or Chilled )</t>
  </si>
  <si>
    <t>ކަދޫ</t>
  </si>
  <si>
    <t>Bread Fruit (Fresh Or Chilled)</t>
  </si>
  <si>
    <t>ބަނބުކެޔޮ</t>
  </si>
  <si>
    <t>Cabbage (Fresh Or Chilled )</t>
  </si>
  <si>
    <t>ބޮނޑިކޮޕީ</t>
  </si>
  <si>
    <t>Cabbage Lettuce, Fresh or Chilled</t>
  </si>
  <si>
    <t>ކެބެޖް ލެޓިއުސް</t>
  </si>
  <si>
    <t>Cassava &amp; Manioc (Fresh , Chilled Or Frozen )</t>
  </si>
  <si>
    <t>ދަނޑިއަލުވި</t>
  </si>
  <si>
    <t>Chillies(Fresh Or Chilled )</t>
  </si>
  <si>
    <t>ގިތެޔޮމިރުސް</t>
  </si>
  <si>
    <t>Cucumber (Fresh Or Chilled )</t>
  </si>
  <si>
    <t>ކިއުކަމްބަރ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</si>
  <si>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</si>
  <si>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</si>
  <si>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</si>
  <si>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</si>
  <si>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</si>
  <si>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</si>
  <si>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</si>
  <si>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</si>
  <si>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</si>
  <si>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</si>
  <si>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</si>
  <si>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</si>
  <si>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</si>
  <si>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</si>
  <si>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Pumpkin (Fresh Or Chilled)</t>
  </si>
  <si>
    <t>ބަރަބޯ</t>
  </si>
  <si>
    <t>Sapodilla (Fresh)</t>
  </si>
  <si>
    <t>ސަބްދެލި</t>
  </si>
  <si>
    <t>Snake Gourd (Fresh Or Chilled )</t>
  </si>
  <si>
    <t>ޗިޗަންޑާ</t>
  </si>
  <si>
    <t>Sweet Potato (Fresh , Chilled Or Frozen )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</si>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</sst>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1" formatCode="[$-409]mmmm\ d\,\ yyyy;@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Randhoo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8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0" fontId="2" fillId="0" borderId="0"/>
    <xf numFmtId="0" fontId="10" fillId="0" borderId="0"/>
    <xf numFmtId="171" fontId="1" fillId="0" borderId="0"/>
    <xf numFmtId="171" fontId="1" fillId="0" borderId="0"/>
    <xf numFmtId="171" fontId="1" fillId="0" borderId="0"/>
  </cellStyleXfs>
  <cellXfs count="57">
    <xf numFmtId="0" fontId="0" fillId="0" borderId="0" xfId="0"/>
    <xf numFmtId="164" fontId="4" fillId="2" borderId="0" xfId="1" applyFont="1" applyFill="1" applyBorder="1" applyAlignment="1" applyProtection="1">
      <alignment horizontal="left" vertical="center"/>
    </xf>
    <xf numFmtId="38" fontId="5" fillId="2" borderId="0" xfId="2" applyNumberFormat="1" applyFont="1" applyFill="1" applyBorder="1"/>
    <xf numFmtId="38" fontId="7" fillId="2" borderId="0" xfId="2" applyNumberFormat="1" applyFont="1" applyFill="1" applyBorder="1"/>
    <xf numFmtId="38" fontId="7" fillId="2" borderId="1" xfId="2" applyNumberFormat="1" applyFont="1" applyFill="1" applyBorder="1"/>
    <xf numFmtId="164" fontId="10" fillId="2" borderId="4" xfId="4" applyNumberFormat="1" applyFill="1" applyBorder="1"/>
    <xf numFmtId="164" fontId="10" fillId="2" borderId="4" xfId="4" applyNumberFormat="1" applyFont="1" applyFill="1" applyBorder="1"/>
    <xf numFmtId="2" fontId="15" fillId="2" borderId="3" xfId="4" applyNumberFormat="1" applyFont="1" applyFill="1" applyBorder="1" applyAlignment="1">
      <alignment horizontal="right" vertical="center"/>
    </xf>
    <xf numFmtId="0" fontId="14" fillId="2" borderId="1" xfId="4" applyNumberFormat="1" applyFont="1" applyFill="1" applyBorder="1" applyAlignment="1">
      <alignment horizontal="right" vertical="center"/>
    </xf>
    <xf numFmtId="164" fontId="1" fillId="2" borderId="4" xfId="4" applyNumberFormat="1" applyFont="1" applyFill="1" applyBorder="1"/>
    <xf numFmtId="0" fontId="13" fillId="2" borderId="2" xfId="4" applyNumberFormat="1" applyFont="1" applyFill="1" applyBorder="1" applyAlignment="1">
      <alignment horizontal="left" vertical="center"/>
    </xf>
    <xf numFmtId="38" fontId="14" fillId="2" borderId="2" xfId="4" applyNumberFormat="1" applyFont="1" applyFill="1" applyBorder="1" applyAlignment="1">
      <alignment horizontal="right" vertical="center"/>
    </xf>
    <xf numFmtId="0" fontId="12" fillId="2" borderId="7" xfId="4" applyNumberFormat="1" applyFont="1" applyFill="1" applyBorder="1" applyAlignment="1">
      <alignment horizontal="right" vertical="center"/>
    </xf>
    <xf numFmtId="1" fontId="7" fillId="2" borderId="0" xfId="0" applyNumberFormat="1" applyFont="1" applyFill="1" applyBorder="1" applyAlignment="1">
      <alignment horizontal="left" vertical="center" indent="1"/>
    </xf>
    <xf numFmtId="0" fontId="16" fillId="2" borderId="10" xfId="4" applyNumberFormat="1" applyFont="1" applyFill="1" applyBorder="1" applyAlignment="1">
      <alignment horizontal="right" vertical="center" indent="1"/>
    </xf>
    <xf numFmtId="0" fontId="17" fillId="2" borderId="11" xfId="4" applyNumberFormat="1" applyFont="1" applyFill="1" applyBorder="1" applyAlignment="1">
      <alignment horizontal="left" vertical="center" indent="1"/>
    </xf>
    <xf numFmtId="0" fontId="16" fillId="2" borderId="12" xfId="4" applyNumberFormat="1" applyFont="1" applyFill="1" applyBorder="1" applyAlignment="1">
      <alignment horizontal="right" vertical="center" indent="1"/>
    </xf>
    <xf numFmtId="0" fontId="17" fillId="2" borderId="13" xfId="4" applyNumberFormat="1" applyFont="1" applyFill="1" applyBorder="1" applyAlignment="1">
      <alignment horizontal="left" vertical="center" indent="1"/>
    </xf>
    <xf numFmtId="0" fontId="17" fillId="2" borderId="14" xfId="4" applyNumberFormat="1" applyFont="1" applyFill="1" applyBorder="1" applyAlignment="1">
      <alignment horizontal="left" vertical="center" indent="1"/>
    </xf>
    <xf numFmtId="38" fontId="5" fillId="2" borderId="1" xfId="2" applyNumberFormat="1" applyFont="1" applyFill="1" applyBorder="1"/>
    <xf numFmtId="0" fontId="16" fillId="2" borderId="15" xfId="4" applyNumberFormat="1" applyFont="1" applyFill="1" applyBorder="1" applyAlignment="1">
      <alignment horizontal="right" vertical="center" indent="1"/>
    </xf>
    <xf numFmtId="164" fontId="3" fillId="2" borderId="11" xfId="1" applyFont="1" applyFill="1" applyBorder="1" applyAlignment="1" applyProtection="1">
      <alignment horizontal="left" vertical="center"/>
    </xf>
    <xf numFmtId="164" fontId="1" fillId="2" borderId="16" xfId="4" applyNumberFormat="1" applyFont="1" applyFill="1" applyBorder="1"/>
    <xf numFmtId="164" fontId="8" fillId="2" borderId="16" xfId="1" applyFont="1" applyFill="1" applyBorder="1" applyAlignment="1">
      <alignment horizontal="right" vertical="center" indent="1"/>
    </xf>
    <xf numFmtId="164" fontId="3" fillId="2" borderId="0" xfId="1" applyFont="1" applyFill="1" applyBorder="1" applyAlignment="1" applyProtection="1">
      <alignment horizontal="left" vertical="center"/>
    </xf>
    <xf numFmtId="1" fontId="7" fillId="2" borderId="0" xfId="0" applyNumberFormat="1" applyFont="1" applyFill="1" applyBorder="1"/>
    <xf numFmtId="164" fontId="1" fillId="2" borderId="12" xfId="4" applyNumberFormat="1" applyFont="1" applyFill="1" applyBorder="1"/>
    <xf numFmtId="164" fontId="4" fillId="2" borderId="16" xfId="1" applyFont="1" applyFill="1" applyBorder="1" applyAlignment="1" applyProtection="1">
      <alignment horizontal="left" vertical="center"/>
    </xf>
    <xf numFmtId="164" fontId="8" fillId="2" borderId="16" xfId="1" applyFont="1" applyFill="1" applyBorder="1" applyAlignment="1">
      <alignment horizontal="left" vertical="center" indent="1" readingOrder="2"/>
    </xf>
    <xf numFmtId="164" fontId="3" fillId="2" borderId="17" xfId="1" applyFont="1" applyFill="1" applyBorder="1" applyAlignment="1" applyProtection="1">
      <alignment horizontal="left" vertical="center"/>
    </xf>
    <xf numFmtId="164" fontId="1" fillId="2" borderId="18" xfId="4" applyNumberFormat="1" applyFont="1" applyFill="1" applyBorder="1"/>
    <xf numFmtId="164" fontId="4" fillId="2" borderId="19" xfId="1" applyFont="1" applyFill="1" applyBorder="1" applyAlignment="1" applyProtection="1">
      <alignment horizontal="left" vertical="center"/>
    </xf>
    <xf numFmtId="164" fontId="8" fillId="2" borderId="19" xfId="1" applyFont="1" applyFill="1" applyBorder="1" applyAlignment="1">
      <alignment horizontal="left" vertical="center" indent="1" readingOrder="2"/>
    </xf>
    <xf numFmtId="164" fontId="1" fillId="2" borderId="5" xfId="4" applyNumberFormat="1" applyFont="1" applyFill="1" applyBorder="1"/>
    <xf numFmtId="164" fontId="1" fillId="2" borderId="0" xfId="4" applyNumberFormat="1" applyFont="1" applyFill="1" applyBorder="1"/>
    <xf numFmtId="164" fontId="8" fillId="2" borderId="0" xfId="1" applyFont="1" applyFill="1" applyBorder="1" applyAlignment="1">
      <alignment horizontal="left" vertical="center" indent="1" readingOrder="2"/>
    </xf>
    <xf numFmtId="2" fontId="15" fillId="2" borderId="0" xfId="4" applyNumberFormat="1" applyFont="1" applyFill="1" applyBorder="1" applyAlignment="1">
      <alignment horizontal="right" vertical="center"/>
    </xf>
    <xf numFmtId="0" fontId="14" fillId="2" borderId="0" xfId="4" applyNumberFormat="1" applyFont="1" applyFill="1" applyBorder="1" applyAlignment="1">
      <alignment horizontal="right" vertical="center"/>
    </xf>
    <xf numFmtId="0" fontId="13" fillId="2" borderId="0" xfId="4" applyNumberFormat="1" applyFont="1" applyFill="1" applyBorder="1" applyAlignment="1">
      <alignment horizontal="left" vertical="center"/>
    </xf>
    <xf numFmtId="38" fontId="14" fillId="2" borderId="0" xfId="4" applyNumberFormat="1" applyFont="1" applyFill="1" applyBorder="1" applyAlignment="1">
      <alignment horizontal="right" vertical="center"/>
    </xf>
    <xf numFmtId="0" fontId="12" fillId="2" borderId="0" xfId="4" applyNumberFormat="1" applyFont="1" applyFill="1" applyBorder="1" applyAlignment="1">
      <alignment horizontal="right" vertical="center"/>
    </xf>
    <xf numFmtId="0" fontId="16" fillId="2" borderId="0" xfId="4" applyNumberFormat="1" applyFont="1" applyFill="1" applyBorder="1" applyAlignment="1">
      <alignment vertical="center"/>
    </xf>
    <xf numFmtId="0" fontId="17" fillId="2" borderId="0" xfId="4" applyNumberFormat="1" applyFont="1" applyFill="1" applyBorder="1" applyAlignment="1">
      <alignment horizontal="left" vertical="center"/>
    </xf>
    <xf numFmtId="0" fontId="9" fillId="2" borderId="4" xfId="3" applyFont="1" applyFill="1" applyBorder="1" applyAlignment="1">
      <alignment horizontal="center" vertical="center"/>
    </xf>
    <xf numFmtId="0" fontId="11" fillId="2" borderId="4" xfId="4" applyNumberFormat="1" applyFont="1" applyFill="1" applyBorder="1" applyAlignment="1">
      <alignment horizontal="center" vertical="center"/>
    </xf>
    <xf numFmtId="0" fontId="12" fillId="2" borderId="4" xfId="4" applyNumberFormat="1" applyFont="1" applyFill="1" applyBorder="1" applyAlignment="1">
      <alignment horizontal="center" vertical="center"/>
    </xf>
    <xf numFmtId="0" fontId="13" fillId="2" borderId="5" xfId="4" applyNumberFormat="1" applyFont="1" applyFill="1" applyBorder="1" applyAlignment="1">
      <alignment horizontal="center" vertical="center"/>
    </xf>
    <xf numFmtId="0" fontId="14" fillId="2" borderId="6" xfId="4" applyNumberFormat="1" applyFont="1" applyFill="1" applyBorder="1" applyAlignment="1">
      <alignment horizontal="left" vertical="center"/>
    </xf>
    <xf numFmtId="0" fontId="14" fillId="2" borderId="8" xfId="4" applyNumberFormat="1" applyFont="1" applyFill="1" applyBorder="1" applyAlignment="1">
      <alignment horizontal="left" vertical="center"/>
    </xf>
    <xf numFmtId="0" fontId="12" fillId="2" borderId="7" xfId="4" applyNumberFormat="1" applyFont="1" applyFill="1" applyBorder="1" applyAlignment="1">
      <alignment horizontal="right" vertical="center"/>
    </xf>
    <xf numFmtId="0" fontId="12" fillId="2" borderId="9" xfId="4" applyNumberFormat="1" applyFont="1" applyFill="1" applyBorder="1" applyAlignment="1">
      <alignment horizontal="right" vertical="center"/>
    </xf>
    <xf numFmtId="0" fontId="9" fillId="2" borderId="0" xfId="3" applyFont="1" applyFill="1" applyBorder="1" applyAlignment="1">
      <alignment horizontal="center" vertical="center"/>
    </xf>
    <xf numFmtId="0" fontId="11" fillId="2" borderId="0" xfId="4" applyNumberFormat="1" applyFont="1" applyFill="1" applyBorder="1" applyAlignment="1">
      <alignment horizontal="center" vertical="center"/>
    </xf>
    <xf numFmtId="0" fontId="12" fillId="2" borderId="0" xfId="4" applyNumberFormat="1" applyFont="1" applyFill="1" applyBorder="1" applyAlignment="1">
      <alignment horizontal="center" vertical="center"/>
    </xf>
    <xf numFmtId="0" fontId="13" fillId="2" borderId="0" xfId="4" applyNumberFormat="1" applyFont="1" applyFill="1" applyBorder="1" applyAlignment="1">
      <alignment horizontal="center" vertical="center"/>
    </xf>
    <xf numFmtId="0" fontId="13" fillId="2" borderId="0" xfId="4" applyNumberFormat="1" applyFont="1" applyFill="1" applyBorder="1" applyAlignment="1">
      <alignment horizontal="left" vertical="center"/>
    </xf>
    <xf numFmtId="0" fontId="12" fillId="2" borderId="0" xfId="4" applyNumberFormat="1" applyFont="1" applyFill="1" applyBorder="1" applyAlignment="1">
      <alignment horizontal="right" vertical="center"/>
    </xf>
  </cellXfs>
  <cellStyles count="8">
    <cellStyle name="Comma 2" xfId="2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agri planning 2009 year book(final)" xfId="4"/>
    <cellStyle name="Normal_Fish &amp;  Agri - 8" xfId="1"/>
    <cellStyle name="Normal_mmifco" xfId="3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9.8: Imports of fresh agricultural crops by Country, 2018</a:t>
            </a:r>
          </a:p>
        </c:rich>
      </c:tx>
      <c:layout>
        <c:manualLayout>
          <c:xMode val="edge"/>
          <c:yMode val="edge"/>
          <c:x val="0.2323128127050525"/>
          <c:y val="5.51674115059941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6278245980971"/>
          <c:y val="0.17630082683349171"/>
          <c:w val="0.84210906742125979"/>
          <c:h val="0.7060363907214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66"/>
            </a:solidFill>
          </c:spPr>
          <c:invertIfNegative val="0"/>
          <c:cat>
            <c:strRef>
              <c:f>'9.12'!$Y$12:$Y$17</c:f>
              <c:strCache>
                <c:ptCount val="6"/>
                <c:pt idx="0">
                  <c:v>India</c:v>
                </c:pt>
                <c:pt idx="1">
                  <c:v>U.A.E</c:v>
                </c:pt>
                <c:pt idx="2">
                  <c:v>Srilanka</c:v>
                </c:pt>
                <c:pt idx="3">
                  <c:v>Thailand</c:v>
                </c:pt>
                <c:pt idx="4">
                  <c:v>Other Countries</c:v>
                </c:pt>
                <c:pt idx="5">
                  <c:v>Australia</c:v>
                </c:pt>
              </c:strCache>
            </c:strRef>
          </c:cat>
          <c:val>
            <c:numRef>
              <c:f>'9.12'!$Z$12:$Z$17</c:f>
              <c:numCache>
                <c:formatCode>General_)</c:formatCode>
                <c:ptCount val="6"/>
                <c:pt idx="0">
                  <c:v>124404067.35999998</c:v>
                </c:pt>
                <c:pt idx="1">
                  <c:v>89466498.949999988</c:v>
                </c:pt>
                <c:pt idx="2">
                  <c:v>84504694.510000005</c:v>
                </c:pt>
                <c:pt idx="3">
                  <c:v>76314727.409999982</c:v>
                </c:pt>
                <c:pt idx="4">
                  <c:v>42838737.359999999</c:v>
                </c:pt>
                <c:pt idx="5">
                  <c:v>19911562.610000003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1-4561-9385-881463F2A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80512"/>
        <c:axId val="99570816"/>
      </c:barChart>
      <c:catAx>
        <c:axId val="952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9570816"/>
        <c:crosses val="autoZero"/>
        <c:auto val="1"/>
        <c:lblAlgn val="ctr"/>
        <c:lblOffset val="100"/>
        <c:noMultiLvlLbl val="0"/>
      </c:catAx>
      <c:valAx>
        <c:axId val="995708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(Value in MVR)</a:t>
                </a:r>
              </a:p>
            </c:rich>
          </c:tx>
          <c:layout>
            <c:manualLayout>
              <c:xMode val="edge"/>
              <c:yMode val="edge"/>
              <c:x val="9.8238086450131226E-3"/>
              <c:y val="0.32085053557494503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528051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1226820</xdr:colOff>
      <xdr:row>31</xdr:row>
      <xdr:rowOff>114300</xdr:rowOff>
    </xdr:from>
    <xdr:to>
      <xdr:col>7</xdr:col>
      <xdr:colOff>962025</xdr:colOff>
      <xdr:row>43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zoomScaleNormal="100" workbookViewId="0">
      <selection activeCell="F63" sqref="F63"/>
    </sheetView>
  </sheetViews>
  <sheetFormatPr defaultColWidth="8.85546875" defaultRowHeight="15" x14ac:dyDescent="0.25"/>
  <cols>
    <col min="1" max="1" width="38.5703125" style="5" customWidth="1"/>
    <col min="2" max="2" width="18.85546875" style="5" customWidth="1"/>
    <col min="3" max="3" width="14" style="5" customWidth="1"/>
    <col min="4" max="7" width="12.7109375" style="5" customWidth="1"/>
    <col min="8" max="8" width="17.140625" style="5" customWidth="1"/>
    <col min="9" max="9" width="22.5703125" style="5" customWidth="1"/>
    <col min="10" max="11" width="8.85546875" style="5"/>
    <col min="12" max="26" width="11.140625" style="5" customWidth="1"/>
    <col min="27" max="27" width="13.28515625" style="5" bestFit="1" customWidth="1"/>
    <col min="28" max="29" width="8.85546875" style="5"/>
    <col min="30" max="30" width="9" style="5" bestFit="1" customWidth="1"/>
    <col min="31" max="16384" width="8.85546875" style="5"/>
  </cols>
  <sheetData>
    <row r="1" spans="1:26" ht="18" x14ac:dyDescent="0.25">
      <c r="A1" s="43" t="s">
        <v>2</v>
      </c>
      <c r="B1" s="43"/>
      <c r="C1" s="43"/>
      <c r="D1" s="43"/>
      <c r="E1" s="43"/>
      <c r="F1" s="43"/>
      <c r="G1" s="43"/>
      <c r="H1" s="43"/>
      <c r="I1" s="43"/>
    </row>
    <row r="2" spans="1:26" s="6" customFormat="1" ht="15.75" x14ac:dyDescent="0.25">
      <c r="A2" s="44" t="s">
        <v>3</v>
      </c>
      <c r="B2" s="44"/>
      <c r="C2" s="44"/>
      <c r="D2" s="44"/>
      <c r="E2" s="44"/>
      <c r="F2" s="44"/>
      <c r="G2" s="44"/>
      <c r="H2" s="44"/>
      <c r="I2" s="44"/>
    </row>
    <row r="3" spans="1:26" ht="21" x14ac:dyDescent="0.25">
      <c r="A3" s="45" t="s">
        <v>4</v>
      </c>
      <c r="B3" s="45"/>
      <c r="C3" s="45"/>
      <c r="D3" s="45"/>
      <c r="E3" s="45"/>
      <c r="F3" s="45"/>
      <c r="G3" s="45"/>
      <c r="H3" s="45"/>
      <c r="I3" s="45"/>
    </row>
    <row r="4" spans="1:26" x14ac:dyDescent="0.25">
      <c r="A4" s="46" t="s">
        <v>5</v>
      </c>
      <c r="B4" s="46"/>
      <c r="C4" s="46"/>
      <c r="D4" s="46"/>
      <c r="E4" s="46"/>
      <c r="F4" s="46"/>
      <c r="G4" s="46"/>
      <c r="H4" s="46"/>
      <c r="I4" s="46"/>
    </row>
    <row r="5" spans="1:26" ht="18.75" x14ac:dyDescent="0.25">
      <c r="A5" s="47" t="s">
        <v>6</v>
      </c>
      <c r="B5" s="7" t="s">
        <v>1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49" t="s">
        <v>13</v>
      </c>
    </row>
    <row r="6" spans="1:26" x14ac:dyDescent="0.25">
      <c r="A6" s="48"/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50"/>
      <c r="J6" s="9"/>
      <c r="K6" s="9"/>
    </row>
    <row r="7" spans="1:26" ht="21" x14ac:dyDescent="0.25">
      <c r="A7" s="10" t="s">
        <v>0</v>
      </c>
      <c r="B7" s="11">
        <f>SUM(B8:B29)</f>
        <v>437440288.20000005</v>
      </c>
      <c r="C7" s="11">
        <f>SUM(C8:C29)</f>
        <v>124404067.35999998</v>
      </c>
      <c r="D7" s="11">
        <f t="shared" ref="D7:G7" si="0">SUM(D8:D29)</f>
        <v>84504694.510000005</v>
      </c>
      <c r="E7" s="11">
        <f t="shared" si="0"/>
        <v>89466498.949999988</v>
      </c>
      <c r="F7" s="11">
        <f t="shared" si="0"/>
        <v>19911562.610000003</v>
      </c>
      <c r="G7" s="11">
        <f t="shared" si="0"/>
        <v>76314727.409999982</v>
      </c>
      <c r="H7" s="11">
        <f>SUM(H8:H29)</f>
        <v>42838737.359999999</v>
      </c>
      <c r="I7" s="12" t="s">
        <v>1</v>
      </c>
      <c r="J7" s="9"/>
      <c r="K7" s="9"/>
    </row>
    <row r="8" spans="1:26" ht="21" x14ac:dyDescent="0.25">
      <c r="A8" s="13" t="s">
        <v>21</v>
      </c>
      <c r="B8" s="2">
        <f>SUM(C8:H8)</f>
        <v>25231479.590000004</v>
      </c>
      <c r="C8" s="3">
        <v>17718213.640000004</v>
      </c>
      <c r="D8" s="3">
        <v>4001605.88</v>
      </c>
      <c r="E8" s="3">
        <v>1820967.2899999998</v>
      </c>
      <c r="F8" s="3">
        <v>69169.640000000014</v>
      </c>
      <c r="G8" s="3">
        <v>794447.40000000014</v>
      </c>
      <c r="H8" s="3">
        <v>827075.74000000022</v>
      </c>
      <c r="I8" s="14" t="s">
        <v>22</v>
      </c>
    </row>
    <row r="9" spans="1:26" ht="21" x14ac:dyDescent="0.25">
      <c r="A9" s="15" t="s">
        <v>23</v>
      </c>
      <c r="B9" s="2">
        <f t="shared" ref="B9:B29" si="1">SUM(C9:H9)</f>
        <v>26427082.919999998</v>
      </c>
      <c r="C9" s="3">
        <v>14973159.1</v>
      </c>
      <c r="D9" s="3">
        <v>5479159.0299999993</v>
      </c>
      <c r="E9" s="3">
        <v>2703228.2399999988</v>
      </c>
      <c r="F9" s="3">
        <v>402765.97000000009</v>
      </c>
      <c r="G9" s="3">
        <v>1693962.4600000002</v>
      </c>
      <c r="H9" s="3">
        <v>1174808.1199999999</v>
      </c>
      <c r="I9" s="16" t="s">
        <v>24</v>
      </c>
      <c r="J9" s="6"/>
      <c r="K9" s="6"/>
    </row>
    <row r="10" spans="1:26" ht="21" x14ac:dyDescent="0.25">
      <c r="A10" s="17" t="s">
        <v>25</v>
      </c>
      <c r="B10" s="2">
        <f t="shared" si="1"/>
        <v>217.14</v>
      </c>
      <c r="C10" s="3">
        <v>0</v>
      </c>
      <c r="D10" s="3">
        <v>217.14</v>
      </c>
      <c r="E10" s="3">
        <v>0</v>
      </c>
      <c r="F10" s="3">
        <v>0</v>
      </c>
      <c r="G10" s="3">
        <v>0</v>
      </c>
      <c r="H10" s="3">
        <v>0</v>
      </c>
      <c r="I10" s="16" t="s">
        <v>26</v>
      </c>
    </row>
    <row r="11" spans="1:26" ht="21" x14ac:dyDescent="0.25">
      <c r="A11" s="17" t="s">
        <v>27</v>
      </c>
      <c r="B11" s="2">
        <f t="shared" si="1"/>
        <v>1627.63</v>
      </c>
      <c r="C11" s="3">
        <v>1627.63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6" t="s">
        <v>28</v>
      </c>
    </row>
    <row r="12" spans="1:26" ht="21" x14ac:dyDescent="0.25">
      <c r="A12" s="17" t="s">
        <v>29</v>
      </c>
      <c r="B12" s="2">
        <f t="shared" si="1"/>
        <v>335231.02999999997</v>
      </c>
      <c r="C12" s="3">
        <v>795.66</v>
      </c>
      <c r="D12" s="3">
        <v>223099.94999999995</v>
      </c>
      <c r="E12" s="3">
        <v>76578.989999999991</v>
      </c>
      <c r="F12" s="3">
        <v>637.12</v>
      </c>
      <c r="G12" s="3">
        <v>17455.25</v>
      </c>
      <c r="H12" s="3">
        <v>16664.060000000001</v>
      </c>
      <c r="I12" s="16" t="s">
        <v>30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Y12" s="5" t="s">
        <v>15</v>
      </c>
      <c r="Z12" s="5">
        <v>124404067.35999998</v>
      </c>
    </row>
    <row r="13" spans="1:26" ht="21" x14ac:dyDescent="0.25">
      <c r="A13" s="17" t="s">
        <v>31</v>
      </c>
      <c r="B13" s="2">
        <f t="shared" si="1"/>
        <v>39418254.080000006</v>
      </c>
      <c r="C13" s="3">
        <v>22786087.970000003</v>
      </c>
      <c r="D13" s="3">
        <v>8106286.9399999985</v>
      </c>
      <c r="E13" s="3">
        <v>3788788.6800000006</v>
      </c>
      <c r="F13" s="3">
        <v>605713.05000000005</v>
      </c>
      <c r="G13" s="3">
        <v>851035.59999999986</v>
      </c>
      <c r="H13" s="3">
        <v>3280341.8400000003</v>
      </c>
      <c r="I13" s="16" t="s">
        <v>32</v>
      </c>
      <c r="Y13" s="5" t="s">
        <v>17</v>
      </c>
      <c r="Z13" s="5">
        <v>89466498.949999988</v>
      </c>
    </row>
    <row r="14" spans="1:26" ht="21" x14ac:dyDescent="0.25">
      <c r="A14" s="17" t="s">
        <v>33</v>
      </c>
      <c r="B14" s="2">
        <f t="shared" si="1"/>
        <v>6139646.2699999996</v>
      </c>
      <c r="C14" s="3">
        <v>115556.06</v>
      </c>
      <c r="D14" s="3">
        <v>1125568.6000000003</v>
      </c>
      <c r="E14" s="3">
        <v>1421129.72</v>
      </c>
      <c r="F14" s="3">
        <v>323646.12</v>
      </c>
      <c r="G14" s="3">
        <v>2856630.399999999</v>
      </c>
      <c r="H14" s="3">
        <v>297115.37</v>
      </c>
      <c r="I14" s="16" t="s">
        <v>34</v>
      </c>
      <c r="Y14" s="5" t="s">
        <v>16</v>
      </c>
      <c r="Z14" s="5">
        <v>84504694.510000005</v>
      </c>
    </row>
    <row r="15" spans="1:26" ht="21" x14ac:dyDescent="0.25">
      <c r="A15" s="17" t="s">
        <v>35</v>
      </c>
      <c r="B15" s="2">
        <f t="shared" si="1"/>
        <v>2487894.6800000002</v>
      </c>
      <c r="C15" s="3">
        <v>109874.80000000003</v>
      </c>
      <c r="D15" s="3">
        <v>2281990.6500000004</v>
      </c>
      <c r="E15" s="3">
        <v>71457.829999999987</v>
      </c>
      <c r="F15" s="3">
        <v>1141.04</v>
      </c>
      <c r="G15" s="3">
        <v>7491.36</v>
      </c>
      <c r="H15" s="3">
        <v>15939</v>
      </c>
      <c r="I15" s="16" t="s">
        <v>36</v>
      </c>
      <c r="Y15" s="5" t="s">
        <v>19</v>
      </c>
      <c r="Z15" s="5">
        <v>76314727.409999982</v>
      </c>
    </row>
    <row r="16" spans="1:26" ht="21" x14ac:dyDescent="0.25">
      <c r="A16" s="17" t="s">
        <v>37</v>
      </c>
      <c r="B16" s="2">
        <f t="shared" si="1"/>
        <v>21086680.849999998</v>
      </c>
      <c r="C16" s="3">
        <v>9830754.8499999978</v>
      </c>
      <c r="D16" s="3">
        <v>3452845.25</v>
      </c>
      <c r="E16" s="3">
        <v>1768938.92</v>
      </c>
      <c r="F16" s="3">
        <v>28770.26</v>
      </c>
      <c r="G16" s="3">
        <v>2538896.9599999995</v>
      </c>
      <c r="H16" s="3">
        <v>3466474.6099999989</v>
      </c>
      <c r="I16" s="16" t="s">
        <v>38</v>
      </c>
      <c r="Y16" s="5" t="s">
        <v>20</v>
      </c>
      <c r="Z16" s="5">
        <v>42838737.359999999</v>
      </c>
    </row>
    <row r="17" spans="1:26" ht="21" x14ac:dyDescent="0.25">
      <c r="A17" s="17" t="s">
        <v>39</v>
      </c>
      <c r="B17" s="2">
        <f t="shared" si="1"/>
        <v>26595567.779999997</v>
      </c>
      <c r="C17" s="3">
        <v>5200891.21</v>
      </c>
      <c r="D17" s="3">
        <v>11416550.450000001</v>
      </c>
      <c r="E17" s="3">
        <v>6062099.5999999978</v>
      </c>
      <c r="F17" s="3">
        <v>1359489.9700000002</v>
      </c>
      <c r="G17" s="3">
        <v>513199.34</v>
      </c>
      <c r="H17" s="3">
        <v>2043337.21</v>
      </c>
      <c r="I17" s="16" t="s">
        <v>40</v>
      </c>
      <c r="Y17" s="5" t="s">
        <v>18</v>
      </c>
      <c r="Z17" s="5">
        <v>19911562.610000003</v>
      </c>
    </row>
    <row r="18" spans="1:26" ht="21" x14ac:dyDescent="0.25">
      <c r="A18" s="17" t="s">
        <v>41</v>
      </c>
      <c r="B18" s="2">
        <f t="shared" si="1"/>
        <v>4800395.379999999</v>
      </c>
      <c r="C18" s="3">
        <v>3574207.75</v>
      </c>
      <c r="D18" s="3">
        <v>971307.72000000009</v>
      </c>
      <c r="E18" s="3">
        <v>179428.05</v>
      </c>
      <c r="F18" s="3">
        <v>0</v>
      </c>
      <c r="G18" s="3">
        <v>16870.93</v>
      </c>
      <c r="H18" s="3">
        <v>58580.93</v>
      </c>
      <c r="I18" s="16" t="s">
        <v>42</v>
      </c>
    </row>
    <row r="19" spans="1:26" ht="21" x14ac:dyDescent="0.25">
      <c r="A19" s="17" t="s">
        <v>43</v>
      </c>
      <c r="B19" s="2">
        <f t="shared" si="1"/>
        <v>21304266.050000001</v>
      </c>
      <c r="C19" s="3">
        <v>2523155.4200000004</v>
      </c>
      <c r="D19" s="3">
        <v>3673665.21</v>
      </c>
      <c r="E19" s="3">
        <v>3570830.4499999993</v>
      </c>
      <c r="F19" s="3">
        <v>9330.68</v>
      </c>
      <c r="G19" s="3">
        <v>9043897.8099999987</v>
      </c>
      <c r="H19" s="3">
        <v>2483386.4800000004</v>
      </c>
      <c r="I19" s="16" t="s">
        <v>44</v>
      </c>
    </row>
    <row r="20" spans="1:26" ht="21" x14ac:dyDescent="0.25">
      <c r="A20" s="17" t="s">
        <v>45</v>
      </c>
      <c r="B20" s="2">
        <f t="shared" si="1"/>
        <v>55181761.25999999</v>
      </c>
      <c r="C20" s="3">
        <v>1177517.68</v>
      </c>
      <c r="D20" s="3">
        <v>5250827.4600000018</v>
      </c>
      <c r="E20" s="3">
        <v>26506152.099999987</v>
      </c>
      <c r="F20" s="3">
        <v>8395182.0600000005</v>
      </c>
      <c r="G20" s="3">
        <v>4697865.3999999994</v>
      </c>
      <c r="H20" s="3">
        <v>9154216.5599999987</v>
      </c>
      <c r="I20" s="16" t="s">
        <v>46</v>
      </c>
    </row>
    <row r="21" spans="1:26" ht="21" x14ac:dyDescent="0.25">
      <c r="A21" s="17" t="s">
        <v>47</v>
      </c>
      <c r="B21" s="2">
        <f t="shared" si="1"/>
        <v>65511127.089999996</v>
      </c>
      <c r="C21" s="3">
        <v>6499864.209999999</v>
      </c>
      <c r="D21" s="3">
        <v>5671909.1199999992</v>
      </c>
      <c r="E21" s="3">
        <v>14060417.959999999</v>
      </c>
      <c r="F21" s="3">
        <v>1292959.08</v>
      </c>
      <c r="G21" s="3">
        <v>30070811.619999997</v>
      </c>
      <c r="H21" s="3">
        <v>7915165.0999999996</v>
      </c>
      <c r="I21" s="16" t="s">
        <v>48</v>
      </c>
    </row>
    <row r="22" spans="1:26" ht="21" x14ac:dyDescent="0.25">
      <c r="A22" s="17" t="s">
        <v>49</v>
      </c>
      <c r="B22" s="2">
        <f t="shared" si="1"/>
        <v>43240005.379999995</v>
      </c>
      <c r="C22" s="3">
        <v>9576331.049999997</v>
      </c>
      <c r="D22" s="3">
        <v>1533755.9000000004</v>
      </c>
      <c r="E22" s="3">
        <v>17562728.709999997</v>
      </c>
      <c r="F22" s="3">
        <v>3543793.83</v>
      </c>
      <c r="G22" s="3">
        <v>7551873.6200000001</v>
      </c>
      <c r="H22" s="3">
        <v>3471522.27</v>
      </c>
      <c r="I22" s="16" t="s">
        <v>50</v>
      </c>
    </row>
    <row r="23" spans="1:26" ht="21" x14ac:dyDescent="0.25">
      <c r="A23" s="17" t="s">
        <v>51</v>
      </c>
      <c r="B23" s="2">
        <f t="shared" si="1"/>
        <v>5217303.67</v>
      </c>
      <c r="C23" s="3">
        <v>101705.61</v>
      </c>
      <c r="D23" s="3">
        <v>2338389.1100000003</v>
      </c>
      <c r="E23" s="3">
        <v>169843.56</v>
      </c>
      <c r="F23" s="3">
        <v>4525.34</v>
      </c>
      <c r="G23" s="3">
        <v>2550618.3599999994</v>
      </c>
      <c r="H23" s="3">
        <v>52221.689999999995</v>
      </c>
      <c r="I23" s="16" t="s">
        <v>52</v>
      </c>
    </row>
    <row r="24" spans="1:26" ht="21" x14ac:dyDescent="0.25">
      <c r="A24" s="17" t="s">
        <v>53</v>
      </c>
      <c r="B24" s="2">
        <f t="shared" si="1"/>
        <v>21497423.030000005</v>
      </c>
      <c r="C24" s="3">
        <v>478346.88999999996</v>
      </c>
      <c r="D24" s="3">
        <v>12896681.150000002</v>
      </c>
      <c r="E24" s="3">
        <v>3403583.1200000006</v>
      </c>
      <c r="F24" s="3">
        <v>158726.37</v>
      </c>
      <c r="G24" s="3">
        <v>3562925.12</v>
      </c>
      <c r="H24" s="3">
        <v>997160.37999999989</v>
      </c>
      <c r="I24" s="16" t="s">
        <v>54</v>
      </c>
    </row>
    <row r="25" spans="1:26" ht="21" x14ac:dyDescent="0.25">
      <c r="A25" s="17" t="s">
        <v>55</v>
      </c>
      <c r="B25" s="2">
        <f t="shared" si="1"/>
        <v>7570313.5099999998</v>
      </c>
      <c r="C25" s="3">
        <v>3004625.8</v>
      </c>
      <c r="D25" s="3">
        <v>1956140.33</v>
      </c>
      <c r="E25" s="3">
        <v>1599913.3800000001</v>
      </c>
      <c r="F25" s="3">
        <v>490143.57</v>
      </c>
      <c r="G25" s="3">
        <v>51551.159999999989</v>
      </c>
      <c r="H25" s="3">
        <v>467939.26999999996</v>
      </c>
      <c r="I25" s="16" t="s">
        <v>56</v>
      </c>
    </row>
    <row r="26" spans="1:26" ht="21" x14ac:dyDescent="0.25">
      <c r="A26" s="17" t="s">
        <v>57</v>
      </c>
      <c r="B26" s="2">
        <f t="shared" si="1"/>
        <v>319823.19</v>
      </c>
      <c r="C26" s="3">
        <v>33435.300000000003</v>
      </c>
      <c r="D26" s="3">
        <v>6919.45</v>
      </c>
      <c r="E26" s="3">
        <v>22447.15</v>
      </c>
      <c r="F26" s="3">
        <v>0</v>
      </c>
      <c r="G26" s="3">
        <v>257021.28999999998</v>
      </c>
      <c r="H26" s="3">
        <v>0</v>
      </c>
      <c r="I26" s="16" t="s">
        <v>58</v>
      </c>
    </row>
    <row r="27" spans="1:26" ht="21" x14ac:dyDescent="0.25">
      <c r="A27" s="17" t="s">
        <v>59</v>
      </c>
      <c r="B27" s="2">
        <f t="shared" si="1"/>
        <v>7781095.2800000003</v>
      </c>
      <c r="C27" s="3">
        <v>3286958.2800000007</v>
      </c>
      <c r="D27" s="3">
        <v>4040528.91</v>
      </c>
      <c r="E27" s="3">
        <v>248615.14</v>
      </c>
      <c r="F27" s="3">
        <v>1149.05</v>
      </c>
      <c r="G27" s="3">
        <v>77383.89</v>
      </c>
      <c r="H27" s="3">
        <v>126460.01000000002</v>
      </c>
      <c r="I27" s="16" t="s">
        <v>60</v>
      </c>
    </row>
    <row r="28" spans="1:26" ht="21" x14ac:dyDescent="0.25">
      <c r="A28" s="17" t="s">
        <v>61</v>
      </c>
      <c r="B28" s="2">
        <f t="shared" si="1"/>
        <v>9034538.9799999986</v>
      </c>
      <c r="C28" s="3">
        <v>994343.66999999993</v>
      </c>
      <c r="D28" s="3">
        <v>4875443.5299999984</v>
      </c>
      <c r="E28" s="3">
        <v>827935.86999999976</v>
      </c>
      <c r="F28" s="3">
        <v>209680.38</v>
      </c>
      <c r="G28" s="3">
        <v>213080.6</v>
      </c>
      <c r="H28" s="3">
        <v>1914054.9300000002</v>
      </c>
      <c r="I28" s="16" t="s">
        <v>62</v>
      </c>
    </row>
    <row r="29" spans="1:26" ht="21" x14ac:dyDescent="0.25">
      <c r="A29" s="18" t="s">
        <v>63</v>
      </c>
      <c r="B29" s="19">
        <f t="shared" si="1"/>
        <v>48258553.410000004</v>
      </c>
      <c r="C29" s="4">
        <v>22416614.779999997</v>
      </c>
      <c r="D29" s="4">
        <v>5201802.7299999995</v>
      </c>
      <c r="E29" s="4">
        <v>3601414.1900000004</v>
      </c>
      <c r="F29" s="4">
        <v>3014739.0800000005</v>
      </c>
      <c r="G29" s="4">
        <v>8947708.8400000017</v>
      </c>
      <c r="H29" s="4">
        <v>5076273.79</v>
      </c>
      <c r="I29" s="20" t="s">
        <v>64</v>
      </c>
    </row>
    <row r="30" spans="1:26" s="9" customFormat="1" x14ac:dyDescent="0.25">
      <c r="A30" s="21" t="s">
        <v>65</v>
      </c>
      <c r="B30" s="21"/>
      <c r="C30" s="22"/>
      <c r="D30" s="22"/>
      <c r="E30" s="22"/>
      <c r="F30" s="22"/>
      <c r="G30" s="22"/>
      <c r="H30" s="22"/>
      <c r="I30" s="23" t="s">
        <v>66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6" s="9" customFormat="1" x14ac:dyDescent="0.25">
      <c r="A31" s="21"/>
      <c r="B31" s="24"/>
      <c r="C31" s="25"/>
      <c r="D31" s="26"/>
      <c r="E31" s="27"/>
      <c r="F31" s="27"/>
      <c r="G31" s="27"/>
      <c r="H31" s="2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6" s="9" customFormat="1" x14ac:dyDescent="0.25">
      <c r="A32" s="29"/>
      <c r="B32" s="24"/>
      <c r="C32" s="25"/>
      <c r="D32" s="30"/>
      <c r="E32" s="31"/>
      <c r="F32" s="31"/>
      <c r="G32" s="31"/>
      <c r="H32" s="32"/>
      <c r="I32" s="3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s="9" customFormat="1" x14ac:dyDescent="0.25">
      <c r="A33" s="24"/>
      <c r="B33" s="24"/>
      <c r="C33" s="25"/>
      <c r="D33" s="34"/>
      <c r="E33" s="1"/>
      <c r="F33" s="1"/>
      <c r="G33" s="1"/>
      <c r="H33" s="35"/>
      <c r="I33" s="3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8" x14ac:dyDescent="0.25">
      <c r="A34" s="51"/>
      <c r="B34" s="51"/>
      <c r="C34" s="51"/>
      <c r="D34" s="51"/>
      <c r="E34" s="51"/>
      <c r="F34" s="51"/>
      <c r="G34" s="51"/>
      <c r="H34" s="51"/>
      <c r="I34" s="51"/>
    </row>
    <row r="35" spans="1:21" s="6" customFormat="1" ht="15.75" x14ac:dyDescent="0.25">
      <c r="A35" s="52"/>
      <c r="B35" s="52"/>
      <c r="C35" s="52"/>
      <c r="D35" s="52"/>
      <c r="E35" s="52"/>
      <c r="F35" s="52"/>
      <c r="G35" s="52"/>
      <c r="H35" s="52"/>
      <c r="I35" s="52"/>
    </row>
    <row r="36" spans="1:21" ht="21" x14ac:dyDescent="0.25">
      <c r="A36" s="53"/>
      <c r="B36" s="53"/>
      <c r="C36" s="53"/>
      <c r="D36" s="53"/>
      <c r="E36" s="53"/>
      <c r="F36" s="53"/>
      <c r="G36" s="53"/>
      <c r="H36" s="53"/>
      <c r="I36" s="53"/>
    </row>
    <row r="37" spans="1:21" x14ac:dyDescent="0.25">
      <c r="A37" s="54"/>
      <c r="B37" s="54"/>
      <c r="C37" s="54"/>
      <c r="D37" s="54"/>
      <c r="E37" s="54"/>
      <c r="F37" s="54"/>
      <c r="G37" s="54"/>
      <c r="H37" s="54"/>
      <c r="I37" s="54"/>
    </row>
    <row r="38" spans="1:21" ht="18.75" x14ac:dyDescent="0.25">
      <c r="A38" s="55"/>
      <c r="B38" s="36"/>
      <c r="C38" s="36"/>
      <c r="D38" s="36"/>
      <c r="E38" s="36"/>
      <c r="F38" s="36"/>
      <c r="G38" s="36"/>
      <c r="H38" s="36"/>
      <c r="I38" s="56"/>
    </row>
    <row r="39" spans="1:21" x14ac:dyDescent="0.25">
      <c r="A39" s="55"/>
      <c r="B39" s="37"/>
      <c r="C39" s="37"/>
      <c r="D39" s="37"/>
      <c r="E39" s="37"/>
      <c r="F39" s="37"/>
      <c r="G39" s="37"/>
      <c r="H39" s="37"/>
      <c r="I39" s="56"/>
      <c r="J39" s="9"/>
      <c r="K39" s="9"/>
    </row>
    <row r="40" spans="1:21" ht="21" x14ac:dyDescent="0.25">
      <c r="A40" s="38"/>
      <c r="B40" s="39"/>
      <c r="C40" s="39"/>
      <c r="D40" s="39"/>
      <c r="E40" s="39"/>
      <c r="F40" s="39"/>
      <c r="G40" s="39"/>
      <c r="H40" s="39"/>
      <c r="I40" s="40"/>
      <c r="J40" s="9"/>
      <c r="K40" s="9"/>
    </row>
    <row r="41" spans="1:21" ht="21" x14ac:dyDescent="0.25">
      <c r="A41" s="25"/>
      <c r="B41" s="2"/>
      <c r="C41" s="3"/>
      <c r="D41" s="3"/>
      <c r="E41" s="3"/>
      <c r="F41" s="3"/>
      <c r="G41" s="3"/>
      <c r="H41" s="3"/>
      <c r="I41" s="41"/>
    </row>
    <row r="42" spans="1:21" ht="21" x14ac:dyDescent="0.25">
      <c r="A42" s="42"/>
      <c r="B42" s="2"/>
      <c r="C42" s="3"/>
      <c r="D42" s="3"/>
      <c r="E42" s="3"/>
      <c r="F42" s="3"/>
      <c r="G42" s="3"/>
      <c r="H42" s="3"/>
      <c r="I42" s="41"/>
      <c r="J42" s="6"/>
      <c r="K42" s="6"/>
    </row>
    <row r="43" spans="1:21" ht="21" x14ac:dyDescent="0.25">
      <c r="A43" s="42"/>
      <c r="B43" s="2"/>
      <c r="C43" s="3"/>
      <c r="D43" s="3"/>
      <c r="E43" s="3"/>
      <c r="F43" s="3"/>
      <c r="G43" s="3"/>
      <c r="H43" s="3"/>
      <c r="I43" s="41"/>
    </row>
    <row r="44" spans="1:21" ht="21" x14ac:dyDescent="0.25">
      <c r="A44" s="42"/>
      <c r="B44" s="2"/>
      <c r="C44" s="3"/>
      <c r="D44" s="3"/>
      <c r="E44" s="3"/>
      <c r="F44" s="3"/>
      <c r="G44" s="3"/>
      <c r="H44" s="3"/>
      <c r="I44" s="41"/>
    </row>
    <row r="45" spans="1:21" ht="21" x14ac:dyDescent="0.25">
      <c r="A45" s="42"/>
      <c r="B45" s="2"/>
      <c r="C45" s="3"/>
      <c r="D45" s="3"/>
      <c r="E45" s="3"/>
      <c r="F45" s="3"/>
      <c r="G45" s="3"/>
      <c r="H45" s="3"/>
      <c r="I45" s="41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21" x14ac:dyDescent="0.25">
      <c r="A46" s="42"/>
      <c r="B46" s="2"/>
      <c r="C46" s="3"/>
      <c r="D46" s="3"/>
      <c r="E46" s="3"/>
      <c r="F46" s="3"/>
      <c r="G46" s="3"/>
      <c r="H46" s="3"/>
      <c r="I46" s="41"/>
    </row>
    <row r="47" spans="1:21" ht="21" x14ac:dyDescent="0.25">
      <c r="A47" s="42"/>
      <c r="B47" s="2"/>
      <c r="C47" s="3"/>
      <c r="D47" s="3"/>
      <c r="E47" s="3"/>
      <c r="F47" s="3"/>
      <c r="G47" s="3"/>
      <c r="H47" s="3"/>
      <c r="I47" s="41"/>
    </row>
    <row r="48" spans="1:21" x14ac:dyDescent="0.25">
      <c r="A48" s="21"/>
      <c r="B48" s="21"/>
      <c r="C48" s="22"/>
      <c r="D48" s="22"/>
      <c r="E48" s="22"/>
      <c r="F48" s="22"/>
      <c r="G48" s="22"/>
      <c r="H48" s="22"/>
      <c r="I48" s="23"/>
    </row>
    <row r="49" spans="1:9" x14ac:dyDescent="0.25">
      <c r="A49" s="21"/>
      <c r="B49" s="24"/>
      <c r="C49" s="25"/>
      <c r="D49" s="26"/>
      <c r="E49" s="27"/>
      <c r="F49" s="27"/>
      <c r="G49" s="27"/>
      <c r="H49" s="28"/>
      <c r="I49" s="9"/>
    </row>
  </sheetData>
  <mergeCells count="12">
    <mergeCell ref="A34:I34"/>
    <mergeCell ref="A35:I35"/>
    <mergeCell ref="A36:I36"/>
    <mergeCell ref="A37:I37"/>
    <mergeCell ref="A38:A39"/>
    <mergeCell ref="I38:I39"/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paperSize="9" scale="5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9.12</vt:lpstr>
      <vt:lpstr>'9.12'!Print_Area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2019-09-09T06:05:33Z</cp:lastPrinted>
  <dcterms:created xsi:type="dcterms:W3CDTF">2019-09-09T05:11:24Z</dcterms:created>
  <dcterms:modified xsi:type="dcterms:W3CDTF">2019-09-09T06:05:40Z</dcterms:modified>
</cp:coreProperties>
</file>