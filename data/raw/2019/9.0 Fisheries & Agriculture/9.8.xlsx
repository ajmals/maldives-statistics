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9. FISHERIES AND AGRICULTURE\"/>
    </mc:Choice>
  </mc:AlternateContent>
  <bookViews>
    <workbookView xWindow="0" yWindow="0" windowWidth="28800" windowHeight="11730" tabRatio="833"/>
  </bookViews>
  <sheets>
    <sheet name="9.8" sheetId="8" r:id="rId1"/>
  </sheets>
  <definedNames>
    <definedName name="_xlnm.Print_Area" localSheetId="0">'9.8'!$A$1:$F$136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5" i="8" l="1"/>
  <c r="D112" i="8" s="1"/>
  <c r="C115" i="8"/>
  <c r="C112" i="8" s="1"/>
  <c r="B115" i="8"/>
  <c r="B112" i="8" s="1"/>
  <c r="D84" i="8"/>
  <c r="C84" i="8"/>
  <c r="B84" i="8"/>
  <c r="D81" i="8"/>
  <c r="C81" i="8"/>
  <c r="B81" i="8"/>
  <c r="D43" i="8"/>
  <c r="D40" i="8" s="1"/>
  <c r="C43" i="8"/>
  <c r="B43" i="8"/>
  <c r="C40" i="8"/>
  <c r="B40" i="8"/>
  <c r="D12" i="8"/>
  <c r="D9" i="8" s="1"/>
  <c r="C12" i="8"/>
  <c r="C9" i="8" s="1"/>
  <c r="B12" i="8"/>
  <c r="B9" i="8" s="1"/>
</calcChain>
</file>

<file path=xl/sharedStrings.xml><?xml version="1.0" encoding="utf-8"?>
<sst xmlns="http://schemas.openxmlformats.org/spreadsheetml/2006/main" count="286" uniqueCount="69">
  <si>
    <t xml:space="preserve"> Locality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</si>
  <si>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</si>
  <si>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</si>
  <si>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</si>
  <si>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</si>
  <si>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</si>
  <si>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</si>
  <si>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</si>
  <si>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</si>
  <si>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</si>
  <si>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</si>
  <si>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</si>
  <si>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</si>
  <si>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</si>
  <si>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</si>
  <si>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</si>
  <si>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</si>
  <si>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</si>
  <si>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</si>
  <si>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</si>
  <si>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</si>
  <si>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</si>
  <si>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</si>
  <si>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</si>
  <si>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</si>
  <si>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</si>
  <si>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</si>
  <si>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</si>
  <si>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</si>
  <si>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</si>
  <si>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</si>
  <si>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</si>
  <si>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</si>
  <si>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</si>
  <si>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</si>
  <si>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</si>
  <si>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</si>
  <si>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</si>
  <si>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</si>
  <si>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</si>
  <si>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</si>
  <si>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</si>
  <si>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</si>
  <si>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</si>
  <si>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</si>
  <si>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</si>
  <si>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-</t>
  </si>
  <si>
    <t>Other vessels</t>
  </si>
  <si>
    <t>inOdcswm cnehinehea</t>
  </si>
  <si>
    <t>Longline vessels</t>
  </si>
  <si>
    <t>udnwLua egumwkirevcswm unEl</t>
  </si>
  <si>
    <r>
      <t xml:space="preserve">                               </t>
    </r>
    <r>
      <rPr>
        <b/>
        <sz val="10"/>
        <rFont val="Calibri"/>
        <family val="2"/>
      </rPr>
      <t xml:space="preserve">  Fishing Trips</t>
    </r>
    <r>
      <rPr>
        <b/>
        <sz val="10"/>
        <rFont val="A_Randhoo"/>
      </rPr>
      <t xml:space="preserve">                           </t>
    </r>
    <r>
      <rPr>
        <b/>
        <sz val="10"/>
        <rFont val="A_Waheed"/>
      </rPr>
      <t xml:space="preserve"> urwhwfirufcSwhwm</t>
    </r>
  </si>
  <si>
    <t>ތަން</t>
  </si>
  <si>
    <t>inOdcswm iLeaunIjcnia</t>
  </si>
  <si>
    <t>Mechanised</t>
  </si>
  <si>
    <t>Masdhoni</t>
  </si>
  <si>
    <t xml:space="preserve"> AA</t>
  </si>
  <si>
    <t>Table 9.7  ( continued )</t>
  </si>
  <si>
    <r>
      <rPr>
        <b/>
        <sz val="10"/>
        <rFont val="Calibri"/>
        <family val="2"/>
      </rPr>
      <t xml:space="preserve">Average no. of vessels engaged per month  </t>
    </r>
    <r>
      <rPr>
        <b/>
        <sz val="10"/>
        <rFont val="A_Randhoo"/>
      </rPr>
      <t xml:space="preserve">      </t>
    </r>
  </si>
  <si>
    <t xml:space="preserve">  udwdwA egInOdirufcSwhwm ukwhwm emcnok cSokcjercvea</t>
  </si>
  <si>
    <t>inOdcswmiLeaunIjcnia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</si>
  <si>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</si>
  <si>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</si>
  <si>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</si>
  <si>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t>2018 ,udwdwA irufcSwhwm urwhwfinOd iaWdwdwA egurwhwfudnwLua Wrukcnwkirevcswm irufcSwhwm ukwhwm emcnok cSokcjercvea ,cnutog eguLotwa WviawfcSokIrcTcsijwr udnwLua : 9.8 ulwvWt</t>
  </si>
  <si>
    <t>Table 9.8 :  NUMBER OF VESSELS ENGAGED PER MONTH IN FISHING AND NUMBER OF FISHING TRIPS BY VESSEL LOCALITY, 2018</t>
  </si>
  <si>
    <t>udnwLua egumwkirevcswmunEl</t>
  </si>
  <si>
    <t>2017 ,udwdwA irufcSwhwm urwhwfinOd iaWdwdwA egurwhwfudnwLua Wrukcnwkirevcswm irufcSwhwm ukwhwm emcnok cSokcjercvea ,cnutog eguLotwa WviawfcSokIrcTcsijwr udnwLua : 9.8 ulwvWt</t>
  </si>
  <si>
    <t>Table 9.8 :  NUMBER OF VESSELS ENGAGED PER MONTH IN FISHING AND NUMBER OF FISHING TRIPS BY VESSEL LOCALITY,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</si>
</sst>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70" formatCode="[$-409]mmmm\ d\,\ yyyy;@"/>
  </numFmts>
  <fonts count="2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A_Waheed"/>
    </font>
    <font>
      <sz val="10"/>
      <name val="Calibri"/>
      <family val="2"/>
    </font>
    <font>
      <sz val="10"/>
      <name val="A_Waheed"/>
    </font>
    <font>
      <sz val="10"/>
      <name val="Arial"/>
      <family val="2"/>
    </font>
    <font>
      <b/>
      <sz val="10"/>
      <name val="Calibri"/>
      <family val="2"/>
    </font>
    <font>
      <b/>
      <sz val="10"/>
      <name val="A_Waheed"/>
    </font>
    <font>
      <sz val="9"/>
      <name val="Faruma"/>
    </font>
    <font>
      <i/>
      <sz val="9"/>
      <name val="Calibri"/>
      <family val="2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10"/>
      <color indexed="8"/>
      <name val="Calibri"/>
      <family val="2"/>
    </font>
    <font>
      <sz val="10"/>
      <name val="A_Randhoo"/>
    </font>
    <font>
      <b/>
      <sz val="10"/>
      <name val="Courier"/>
      <family val="3"/>
    </font>
    <font>
      <i/>
      <sz val="10"/>
      <name val="Calibri"/>
      <family val="2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164" fontId="1" fillId="0" borderId="0"/>
    <xf numFmtId="40" fontId="14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</cellStyleXfs>
  <cellXfs count="59">
    <xf numFmtId="0" fontId="0" fillId="0" borderId="0" xfId="0"/>
    <xf numFmtId="164" fontId="7" fillId="2" borderId="0" xfId="1" applyFont="1" applyFill="1" applyAlignment="1">
      <alignment vertical="center"/>
    </xf>
    <xf numFmtId="164" fontId="8" fillId="2" borderId="0" xfId="1" applyFont="1" applyFill="1" applyAlignment="1" applyProtection="1">
      <alignment horizontal="left" vertical="center"/>
    </xf>
    <xf numFmtId="164" fontId="10" fillId="2" borderId="0" xfId="1" applyFont="1" applyFill="1" applyBorder="1" applyAlignment="1">
      <alignment horizontal="right" vertical="center"/>
    </xf>
    <xf numFmtId="164" fontId="11" fillId="2" borderId="0" xfId="1" applyFont="1" applyFill="1" applyAlignment="1" applyProtection="1">
      <alignment horizontal="left" vertical="center"/>
    </xf>
    <xf numFmtId="164" fontId="9" fillId="2" borderId="0" xfId="1" applyFont="1" applyFill="1" applyAlignment="1">
      <alignment horizontal="right" vertical="center"/>
    </xf>
    <xf numFmtId="164" fontId="8" fillId="2" borderId="0" xfId="1" applyFont="1" applyFill="1" applyAlignment="1" applyProtection="1">
      <alignment vertical="center"/>
    </xf>
    <xf numFmtId="38" fontId="16" fillId="2" borderId="0" xfId="2" applyNumberFormat="1" applyFont="1" applyFill="1" applyBorder="1" applyAlignment="1">
      <alignment horizontal="right" vertical="center" indent="1"/>
    </xf>
    <xf numFmtId="38" fontId="16" fillId="2" borderId="1" xfId="2" applyNumberFormat="1" applyFont="1" applyFill="1" applyBorder="1" applyAlignment="1">
      <alignment horizontal="right" vertical="center" indent="1"/>
    </xf>
    <xf numFmtId="164" fontId="6" fillId="2" borderId="0" xfId="0" applyNumberFormat="1" applyFont="1" applyFill="1" applyAlignment="1">
      <alignment horizontal="right" vertical="center"/>
    </xf>
    <xf numFmtId="164" fontId="1" fillId="2" borderId="0" xfId="0" applyNumberFormat="1" applyFont="1" applyFill="1"/>
    <xf numFmtId="164" fontId="5" fillId="2" borderId="0" xfId="0" applyNumberFormat="1" applyFont="1" applyFill="1"/>
    <xf numFmtId="164" fontId="15" fillId="2" borderId="3" xfId="0" applyNumberFormat="1" applyFont="1" applyFill="1" applyBorder="1" applyAlignment="1">
      <alignment vertical="center"/>
    </xf>
    <xf numFmtId="164" fontId="9" fillId="2" borderId="4" xfId="0" applyNumberFormat="1" applyFont="1" applyFill="1" applyBorder="1" applyAlignment="1">
      <alignment horizontal="right" vertical="center" wrapText="1"/>
    </xf>
    <xf numFmtId="164" fontId="9" fillId="2" borderId="4" xfId="0" applyNumberFormat="1" applyFont="1" applyFill="1" applyBorder="1" applyAlignment="1">
      <alignment horizontal="right" vertical="center"/>
    </xf>
    <xf numFmtId="164" fontId="1" fillId="2" borderId="0" xfId="0" applyNumberFormat="1" applyFont="1" applyFill="1" applyAlignment="1">
      <alignment wrapText="1"/>
    </xf>
    <xf numFmtId="164" fontId="18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/>
    <xf numFmtId="164" fontId="8" fillId="2" borderId="0" xfId="0" applyNumberFormat="1" applyFont="1" applyFill="1" applyBorder="1" applyAlignment="1">
      <alignment horizontal="right"/>
    </xf>
    <xf numFmtId="164" fontId="8" fillId="2" borderId="5" xfId="1" applyFont="1" applyFill="1" applyBorder="1" applyAlignment="1" applyProtection="1">
      <alignment horizontal="right"/>
    </xf>
    <xf numFmtId="1" fontId="5" fillId="2" borderId="0" xfId="0" applyNumberFormat="1" applyFont="1" applyFill="1" applyAlignment="1">
      <alignment vertical="center"/>
    </xf>
    <xf numFmtId="164" fontId="8" fillId="2" borderId="1" xfId="0" applyNumberFormat="1" applyFont="1" applyFill="1" applyBorder="1" applyAlignment="1">
      <alignment horizontal="right"/>
    </xf>
    <xf numFmtId="164" fontId="8" fillId="2" borderId="0" xfId="1" applyFont="1" applyFill="1" applyAlignment="1" applyProtection="1">
      <alignment horizontal="left" vertical="center" indent="2"/>
    </xf>
    <xf numFmtId="3" fontId="8" fillId="2" borderId="2" xfId="0" applyNumberFormat="1" applyFont="1" applyFill="1" applyBorder="1" applyAlignment="1">
      <alignment horizontal="right" vertical="center"/>
    </xf>
    <xf numFmtId="1" fontId="18" fillId="2" borderId="0" xfId="0" applyNumberFormat="1" applyFont="1" applyFill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3" fontId="13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Alignment="1" applyProtection="1">
      <alignment horizontal="left" vertical="center" indent="2"/>
    </xf>
    <xf numFmtId="3" fontId="5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>
      <alignment horizontal="right" vertical="center" indent="1"/>
    </xf>
    <xf numFmtId="1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164" fontId="5" fillId="2" borderId="1" xfId="0" applyNumberFormat="1" applyFont="1" applyFill="1" applyBorder="1" applyAlignment="1" applyProtection="1">
      <alignment horizontal="left" vertical="center" indent="2"/>
    </xf>
    <xf numFmtId="3" fontId="5" fillId="2" borderId="1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>
      <alignment horizontal="right" vertical="center" indent="1"/>
    </xf>
    <xf numFmtId="164" fontId="1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15" fillId="2" borderId="3" xfId="0" applyNumberFormat="1" applyFont="1" applyFill="1" applyBorder="1" applyAlignment="1">
      <alignment horizontal="right" vertical="center" wrapText="1"/>
    </xf>
    <xf numFmtId="164" fontId="15" fillId="2" borderId="3" xfId="0" applyNumberFormat="1" applyFont="1" applyFill="1" applyBorder="1" applyAlignment="1">
      <alignment vertical="center" wrapText="1"/>
    </xf>
    <xf numFmtId="164" fontId="15" fillId="2" borderId="3" xfId="0" applyNumberFormat="1" applyFont="1" applyFill="1" applyBorder="1" applyAlignment="1">
      <alignment horizontal="left" vertical="top" wrapText="1"/>
    </xf>
    <xf numFmtId="164" fontId="18" fillId="2" borderId="0" xfId="0" applyNumberFormat="1" applyFont="1" applyFill="1"/>
    <xf numFmtId="164" fontId="5" fillId="2" borderId="0" xfId="0" applyNumberFormat="1" applyFont="1" applyFill="1" applyAlignment="1" applyProtection="1">
      <alignment horizontal="left" vertical="center"/>
    </xf>
    <xf numFmtId="164" fontId="5" fillId="2" borderId="1" xfId="0" applyNumberFormat="1" applyFont="1" applyFill="1" applyBorder="1" applyAlignment="1" applyProtection="1">
      <alignment horizontal="left" vertical="center"/>
    </xf>
    <xf numFmtId="164" fontId="6" fillId="2" borderId="1" xfId="0" applyNumberFormat="1" applyFont="1" applyFill="1" applyBorder="1" applyAlignment="1">
      <alignment horizontal="right" vertical="center"/>
    </xf>
    <xf numFmtId="164" fontId="19" fillId="2" borderId="0" xfId="1" applyFont="1" applyFill="1" applyAlignment="1" applyProtection="1">
      <alignment horizontal="left" vertical="center"/>
    </xf>
    <xf numFmtId="164" fontId="17" fillId="2" borderId="0" xfId="1" applyFont="1" applyFill="1" applyBorder="1" applyAlignment="1">
      <alignment horizontal="right" vertical="center"/>
    </xf>
    <xf numFmtId="0" fontId="20" fillId="2" borderId="0" xfId="0" applyNumberFormat="1" applyFont="1" applyFill="1" applyBorder="1" applyAlignment="1">
      <alignment horizontal="right" indent="1"/>
    </xf>
    <xf numFmtId="164" fontId="15" fillId="2" borderId="3" xfId="0" applyNumberFormat="1" applyFont="1" applyFill="1" applyBorder="1" applyAlignment="1">
      <alignment horizontal="right" vertical="top" wrapText="1"/>
    </xf>
    <xf numFmtId="164" fontId="8" fillId="2" borderId="2" xfId="0" applyNumberFormat="1" applyFont="1" applyFill="1" applyBorder="1" applyAlignment="1">
      <alignment horizontal="left" vertical="center"/>
    </xf>
    <xf numFmtId="164" fontId="8" fillId="2" borderId="0" xfId="0" applyNumberFormat="1" applyFont="1" applyFill="1" applyBorder="1" applyAlignment="1">
      <alignment horizontal="left" vertical="center"/>
    </xf>
    <xf numFmtId="164" fontId="8" fillId="2" borderId="1" xfId="0" applyNumberFormat="1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top"/>
    </xf>
    <xf numFmtId="164" fontId="8" fillId="2" borderId="1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top"/>
    </xf>
  </cellXfs>
  <cellStyles count="6"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T136"/>
  <sheetViews>
    <sheetView tabSelected="1" zoomScaleNormal="100" workbookViewId="0">
      <selection activeCell="G11" sqref="G11"/>
    </sheetView>
  </sheetViews>
  <sheetFormatPr defaultRowHeight="12" x14ac:dyDescent="0.15"/>
  <cols>
    <col min="1" max="1" width="15.140625" style="10" customWidth="1"/>
    <col min="2" max="4" width="31.28515625" style="10" customWidth="1"/>
    <col min="5" max="5" width="30.85546875" style="10" customWidth="1"/>
    <col min="6" max="6" width="9.140625" style="10"/>
    <col min="7" max="7" width="20.28515625" style="10" customWidth="1"/>
    <col min="8" max="16384" width="9.140625" style="10"/>
  </cols>
  <sheetData>
    <row r="1" spans="1:228" ht="27" customHeight="1" x14ac:dyDescent="0.15">
      <c r="A1" s="54" t="s">
        <v>64</v>
      </c>
      <c r="B1" s="54"/>
      <c r="C1" s="54"/>
      <c r="D1" s="54"/>
      <c r="E1" s="54"/>
    </row>
    <row r="2" spans="1:228" s="11" customFormat="1" ht="23.25" customHeight="1" x14ac:dyDescent="0.2">
      <c r="A2" s="58" t="s">
        <v>65</v>
      </c>
      <c r="B2" s="58"/>
      <c r="C2" s="58"/>
      <c r="D2" s="58"/>
      <c r="E2" s="58"/>
    </row>
    <row r="3" spans="1:228" s="11" customFormat="1" ht="12.75" x14ac:dyDescent="0.2">
      <c r="A3" s="56"/>
      <c r="B3" s="57"/>
      <c r="C3" s="57"/>
    </row>
    <row r="4" spans="1:228" ht="15.75" x14ac:dyDescent="0.15">
      <c r="A4" s="48" t="s">
        <v>0</v>
      </c>
      <c r="B4" s="12" t="s">
        <v>51</v>
      </c>
      <c r="C4" s="12"/>
      <c r="D4" s="12"/>
      <c r="E4" s="51" t="s">
        <v>52</v>
      </c>
    </row>
    <row r="5" spans="1:228" s="15" customFormat="1" ht="39" customHeight="1" x14ac:dyDescent="0.15">
      <c r="A5" s="49"/>
      <c r="B5" s="13" t="s">
        <v>53</v>
      </c>
      <c r="C5" s="5" t="s">
        <v>48</v>
      </c>
      <c r="D5" s="14" t="s">
        <v>66</v>
      </c>
      <c r="E5" s="52"/>
    </row>
    <row r="6" spans="1:228" ht="1.1499999999999999" customHeight="1" x14ac:dyDescent="0.15">
      <c r="A6" s="49"/>
      <c r="B6" s="16"/>
      <c r="C6" s="16"/>
      <c r="D6" s="17"/>
      <c r="E6" s="52"/>
    </row>
    <row r="7" spans="1:228" s="20" customFormat="1" ht="12" customHeight="1" x14ac:dyDescent="0.2">
      <c r="A7" s="49"/>
      <c r="B7" s="18" t="s">
        <v>54</v>
      </c>
      <c r="C7" s="19" t="s">
        <v>47</v>
      </c>
      <c r="D7" s="18" t="s">
        <v>49</v>
      </c>
      <c r="E7" s="52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</row>
    <row r="8" spans="1:228" s="20" customFormat="1" ht="12.75" x14ac:dyDescent="0.2">
      <c r="A8" s="50"/>
      <c r="B8" s="21" t="s">
        <v>55</v>
      </c>
      <c r="C8" s="21"/>
      <c r="D8" s="18"/>
      <c r="E8" s="53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</row>
    <row r="9" spans="1:228" s="24" customFormat="1" ht="15" x14ac:dyDescent="0.25">
      <c r="A9" s="22" t="s">
        <v>1</v>
      </c>
      <c r="B9" s="23">
        <f>B10+B12+B11</f>
        <v>81627</v>
      </c>
      <c r="C9" s="23">
        <f>C10+C12+C11</f>
        <v>176</v>
      </c>
      <c r="D9" s="23">
        <f t="shared" ref="D9" si="0">D10+D12+D11</f>
        <v>2120</v>
      </c>
      <c r="E9" s="5" t="s">
        <v>2</v>
      </c>
    </row>
    <row r="10" spans="1:228" s="24" customFormat="1" ht="15" x14ac:dyDescent="0.25">
      <c r="A10" s="22" t="s">
        <v>3</v>
      </c>
      <c r="B10" s="25">
        <v>11634</v>
      </c>
      <c r="C10" s="25">
        <v>0</v>
      </c>
      <c r="D10" s="25">
        <v>0</v>
      </c>
      <c r="E10" s="5" t="s">
        <v>4</v>
      </c>
    </row>
    <row r="11" spans="1:228" s="24" customFormat="1" ht="15" x14ac:dyDescent="0.25">
      <c r="A11" s="22" t="s">
        <v>7</v>
      </c>
      <c r="B11" s="25">
        <v>0</v>
      </c>
      <c r="C11" s="25">
        <v>0</v>
      </c>
      <c r="D11" s="26">
        <v>2120</v>
      </c>
      <c r="E11" s="5" t="s">
        <v>62</v>
      </c>
    </row>
    <row r="12" spans="1:228" s="24" customFormat="1" ht="15" x14ac:dyDescent="0.25">
      <c r="A12" s="22" t="s">
        <v>5</v>
      </c>
      <c r="B12" s="25">
        <f>SUM(B13:B32)</f>
        <v>69993</v>
      </c>
      <c r="C12" s="25">
        <f>SUM(C13:C32)</f>
        <v>176</v>
      </c>
      <c r="D12" s="25">
        <f t="shared" ref="D12" si="1">SUM(D13:D32)</f>
        <v>0</v>
      </c>
      <c r="E12" s="5" t="s">
        <v>6</v>
      </c>
    </row>
    <row r="13" spans="1:228" s="30" customFormat="1" ht="15" x14ac:dyDescent="0.25">
      <c r="A13" s="27" t="s">
        <v>8</v>
      </c>
      <c r="B13" s="28">
        <v>3554</v>
      </c>
      <c r="C13" s="28">
        <v>0</v>
      </c>
      <c r="D13" s="28">
        <v>0</v>
      </c>
      <c r="E13" s="29" t="s">
        <v>9</v>
      </c>
    </row>
    <row r="14" spans="1:228" s="30" customFormat="1" ht="15" x14ac:dyDescent="0.25">
      <c r="A14" s="27" t="s">
        <v>10</v>
      </c>
      <c r="B14" s="28">
        <v>2492</v>
      </c>
      <c r="C14" s="28">
        <v>0</v>
      </c>
      <c r="D14" s="28">
        <v>0</v>
      </c>
      <c r="E14" s="29" t="s">
        <v>11</v>
      </c>
    </row>
    <row r="15" spans="1:228" s="30" customFormat="1" ht="15" x14ac:dyDescent="0.25">
      <c r="A15" s="27" t="s">
        <v>12</v>
      </c>
      <c r="B15" s="28">
        <v>2697</v>
      </c>
      <c r="C15" s="28">
        <v>0</v>
      </c>
      <c r="D15" s="28">
        <v>0</v>
      </c>
      <c r="E15" s="29" t="s">
        <v>13</v>
      </c>
    </row>
    <row r="16" spans="1:228" s="30" customFormat="1" ht="15" x14ac:dyDescent="0.25">
      <c r="A16" s="27" t="s">
        <v>14</v>
      </c>
      <c r="B16" s="28">
        <v>2514</v>
      </c>
      <c r="C16" s="28">
        <v>0</v>
      </c>
      <c r="D16" s="28">
        <v>0</v>
      </c>
      <c r="E16" s="29" t="s">
        <v>15</v>
      </c>
    </row>
    <row r="17" spans="1:228" s="30" customFormat="1" ht="15" x14ac:dyDescent="0.25">
      <c r="A17" s="27" t="s">
        <v>16</v>
      </c>
      <c r="B17" s="28">
        <v>3569</v>
      </c>
      <c r="C17" s="28">
        <v>0</v>
      </c>
      <c r="D17" s="28">
        <v>0</v>
      </c>
      <c r="E17" s="29" t="s">
        <v>17</v>
      </c>
    </row>
    <row r="18" spans="1:228" s="30" customFormat="1" ht="15" x14ac:dyDescent="0.25">
      <c r="A18" s="27" t="s">
        <v>18</v>
      </c>
      <c r="B18" s="28">
        <v>1654</v>
      </c>
      <c r="C18" s="28">
        <v>0</v>
      </c>
      <c r="D18" s="28">
        <v>0</v>
      </c>
      <c r="E18" s="29" t="s">
        <v>19</v>
      </c>
    </row>
    <row r="19" spans="1:228" s="30" customFormat="1" ht="15" x14ac:dyDescent="0.25">
      <c r="A19" s="27" t="s">
        <v>20</v>
      </c>
      <c r="B19" s="28">
        <v>2024</v>
      </c>
      <c r="C19" s="28">
        <v>0</v>
      </c>
      <c r="D19" s="28">
        <v>0</v>
      </c>
      <c r="E19" s="29" t="s">
        <v>21</v>
      </c>
    </row>
    <row r="20" spans="1:228" s="30" customFormat="1" ht="15" x14ac:dyDescent="0.25">
      <c r="A20" s="27" t="s">
        <v>22</v>
      </c>
      <c r="B20" s="28">
        <v>2111</v>
      </c>
      <c r="C20" s="28">
        <v>0</v>
      </c>
      <c r="D20" s="28">
        <v>0</v>
      </c>
      <c r="E20" s="29" t="s">
        <v>23</v>
      </c>
    </row>
    <row r="21" spans="1:228" s="30" customFormat="1" ht="15" x14ac:dyDescent="0.25">
      <c r="A21" s="27" t="s">
        <v>56</v>
      </c>
      <c r="B21" s="28">
        <v>2887</v>
      </c>
      <c r="C21" s="28">
        <v>0</v>
      </c>
      <c r="D21" s="28">
        <v>0</v>
      </c>
      <c r="E21" s="29" t="s">
        <v>24</v>
      </c>
    </row>
    <row r="22" spans="1:228" s="30" customFormat="1" ht="15" x14ac:dyDescent="0.25">
      <c r="A22" s="27" t="s">
        <v>25</v>
      </c>
      <c r="B22" s="28">
        <v>3807</v>
      </c>
      <c r="C22" s="28">
        <v>18</v>
      </c>
      <c r="D22" s="28">
        <v>0</v>
      </c>
      <c r="E22" s="29" t="s">
        <v>26</v>
      </c>
    </row>
    <row r="23" spans="1:228" s="30" customFormat="1" ht="15" x14ac:dyDescent="0.25">
      <c r="A23" s="27" t="s">
        <v>27</v>
      </c>
      <c r="B23" s="28">
        <v>228</v>
      </c>
      <c r="C23" s="28">
        <v>0</v>
      </c>
      <c r="D23" s="28">
        <v>0</v>
      </c>
      <c r="E23" s="29" t="s">
        <v>28</v>
      </c>
    </row>
    <row r="24" spans="1:228" s="30" customFormat="1" ht="15" x14ac:dyDescent="0.25">
      <c r="A24" s="27" t="s">
        <v>29</v>
      </c>
      <c r="B24" s="28">
        <v>1537</v>
      </c>
      <c r="C24" s="28">
        <v>0</v>
      </c>
      <c r="D24" s="28">
        <v>0</v>
      </c>
      <c r="E24" s="29" t="s">
        <v>30</v>
      </c>
    </row>
    <row r="25" spans="1:228" s="30" customFormat="1" ht="15" x14ac:dyDescent="0.25">
      <c r="A25" s="27" t="s">
        <v>31</v>
      </c>
      <c r="B25" s="28">
        <v>3333</v>
      </c>
      <c r="C25" s="28">
        <v>0</v>
      </c>
      <c r="D25" s="28">
        <v>0</v>
      </c>
      <c r="E25" s="29" t="s">
        <v>32</v>
      </c>
    </row>
    <row r="26" spans="1:228" ht="15" x14ac:dyDescent="0.15">
      <c r="A26" s="27" t="s">
        <v>33</v>
      </c>
      <c r="B26" s="28">
        <v>5581</v>
      </c>
      <c r="C26" s="28">
        <v>0</v>
      </c>
      <c r="D26" s="28">
        <v>0</v>
      </c>
      <c r="E26" s="29" t="s">
        <v>34</v>
      </c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  <c r="FS26" s="30"/>
      <c r="FT26" s="30"/>
      <c r="FU26" s="30"/>
      <c r="FV26" s="30"/>
      <c r="FW26" s="30"/>
      <c r="FX26" s="30"/>
      <c r="FY26" s="30"/>
      <c r="FZ26" s="30"/>
      <c r="GA26" s="30"/>
      <c r="GB26" s="30"/>
      <c r="GC26" s="30"/>
      <c r="GD26" s="30"/>
      <c r="GE26" s="30"/>
      <c r="GF26" s="30"/>
      <c r="GG26" s="30"/>
      <c r="GH26" s="30"/>
      <c r="GI26" s="30"/>
      <c r="GJ26" s="30"/>
      <c r="GK26" s="30"/>
      <c r="GL26" s="30"/>
      <c r="GM26" s="30"/>
      <c r="GN26" s="30"/>
      <c r="GO26" s="30"/>
      <c r="GP26" s="30"/>
      <c r="GQ26" s="30"/>
      <c r="GR26" s="30"/>
      <c r="GS26" s="30"/>
      <c r="GT26" s="30"/>
      <c r="GU26" s="30"/>
      <c r="GV26" s="30"/>
      <c r="GW26" s="30"/>
      <c r="GX26" s="30"/>
      <c r="GY26" s="30"/>
      <c r="GZ26" s="30"/>
      <c r="HA26" s="30"/>
      <c r="HB26" s="30"/>
      <c r="HC26" s="30"/>
      <c r="HD26" s="30"/>
      <c r="HE26" s="30"/>
      <c r="HF26" s="30"/>
      <c r="HG26" s="30"/>
      <c r="HH26" s="30"/>
      <c r="HI26" s="30"/>
      <c r="HJ26" s="30"/>
      <c r="HK26" s="30"/>
      <c r="HL26" s="30"/>
      <c r="HM26" s="30"/>
      <c r="HN26" s="30"/>
      <c r="HO26" s="30"/>
      <c r="HP26" s="30"/>
      <c r="HQ26" s="30"/>
      <c r="HR26" s="30"/>
      <c r="HS26" s="30"/>
      <c r="HT26" s="30"/>
    </row>
    <row r="27" spans="1:228" ht="15" x14ac:dyDescent="0.15">
      <c r="A27" s="27" t="s">
        <v>35</v>
      </c>
      <c r="B27" s="28">
        <v>3381</v>
      </c>
      <c r="C27" s="28">
        <v>0</v>
      </c>
      <c r="D27" s="28">
        <v>0</v>
      </c>
      <c r="E27" s="29" t="s">
        <v>36</v>
      </c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30"/>
      <c r="GI27" s="30"/>
      <c r="GJ27" s="30"/>
      <c r="GK27" s="30"/>
      <c r="GL27" s="30"/>
      <c r="GM27" s="30"/>
      <c r="GN27" s="30"/>
      <c r="GO27" s="30"/>
      <c r="GP27" s="30"/>
      <c r="GQ27" s="30"/>
      <c r="GR27" s="30"/>
      <c r="GS27" s="30"/>
      <c r="GT27" s="30"/>
      <c r="GU27" s="30"/>
      <c r="GV27" s="30"/>
      <c r="GW27" s="30"/>
      <c r="GX27" s="30"/>
      <c r="GY27" s="30"/>
      <c r="GZ27" s="30"/>
      <c r="HA27" s="30"/>
      <c r="HB27" s="30"/>
      <c r="HC27" s="30"/>
      <c r="HD27" s="30"/>
      <c r="HE27" s="30"/>
      <c r="HF27" s="30"/>
      <c r="HG27" s="30"/>
      <c r="HH27" s="30"/>
      <c r="HI27" s="30"/>
      <c r="HJ27" s="30"/>
      <c r="HK27" s="30"/>
      <c r="HL27" s="30"/>
      <c r="HM27" s="30"/>
      <c r="HN27" s="30"/>
      <c r="HO27" s="30"/>
      <c r="HP27" s="30"/>
      <c r="HQ27" s="30"/>
      <c r="HR27" s="30"/>
      <c r="HS27" s="30"/>
      <c r="HT27" s="30"/>
    </row>
    <row r="28" spans="1:228" ht="15" x14ac:dyDescent="0.15">
      <c r="A28" s="27" t="s">
        <v>37</v>
      </c>
      <c r="B28" s="28">
        <v>6695</v>
      </c>
      <c r="C28" s="28">
        <v>0</v>
      </c>
      <c r="D28" s="28">
        <v>0</v>
      </c>
      <c r="E28" s="29" t="s">
        <v>38</v>
      </c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</row>
    <row r="29" spans="1:228" s="31" customFormat="1" ht="15" x14ac:dyDescent="0.25">
      <c r="A29" s="27" t="s">
        <v>39</v>
      </c>
      <c r="B29" s="28">
        <v>7844</v>
      </c>
      <c r="C29" s="28">
        <v>0</v>
      </c>
      <c r="D29" s="28">
        <v>0</v>
      </c>
      <c r="E29" s="29" t="s">
        <v>40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  <c r="FS29" s="30"/>
      <c r="FT29" s="30"/>
      <c r="FU29" s="30"/>
      <c r="FV29" s="30"/>
      <c r="FW29" s="30"/>
      <c r="FX29" s="30"/>
      <c r="FY29" s="30"/>
      <c r="FZ29" s="30"/>
      <c r="GA29" s="30"/>
      <c r="GB29" s="30"/>
      <c r="GC29" s="30"/>
      <c r="GD29" s="30"/>
      <c r="GE29" s="30"/>
      <c r="GF29" s="30"/>
      <c r="GG29" s="30"/>
      <c r="GH29" s="30"/>
      <c r="GI29" s="30"/>
      <c r="GJ29" s="30"/>
      <c r="GK29" s="30"/>
      <c r="GL29" s="30"/>
      <c r="GM29" s="30"/>
      <c r="GN29" s="30"/>
      <c r="GO29" s="30"/>
      <c r="GP29" s="30"/>
      <c r="GQ29" s="30"/>
      <c r="GR29" s="30"/>
      <c r="GS29" s="30"/>
      <c r="GT29" s="30"/>
      <c r="GU29" s="30"/>
      <c r="GV29" s="30"/>
      <c r="GW29" s="30"/>
      <c r="GX29" s="30"/>
      <c r="GY29" s="30"/>
      <c r="GZ29" s="30"/>
      <c r="HA29" s="30"/>
      <c r="HB29" s="30"/>
      <c r="HC29" s="30"/>
      <c r="HD29" s="30"/>
      <c r="HE29" s="30"/>
      <c r="HF29" s="30"/>
      <c r="HG29" s="30"/>
      <c r="HH29" s="30"/>
      <c r="HI29" s="30"/>
      <c r="HJ29" s="30"/>
      <c r="HK29" s="30"/>
      <c r="HL29" s="30"/>
      <c r="HM29" s="30"/>
      <c r="HN29" s="30"/>
      <c r="HO29" s="30"/>
      <c r="HP29" s="30"/>
      <c r="HQ29" s="30"/>
      <c r="HR29" s="30"/>
      <c r="HS29" s="30"/>
      <c r="HT29" s="30"/>
    </row>
    <row r="30" spans="1:228" s="31" customFormat="1" ht="15" x14ac:dyDescent="0.25">
      <c r="A30" s="27" t="s">
        <v>41</v>
      </c>
      <c r="B30" s="28">
        <v>4668</v>
      </c>
      <c r="C30" s="28">
        <v>8</v>
      </c>
      <c r="D30" s="28">
        <v>0</v>
      </c>
      <c r="E30" s="29" t="s">
        <v>42</v>
      </c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  <c r="FS30" s="30"/>
      <c r="FT30" s="30"/>
      <c r="FU30" s="30"/>
      <c r="FV30" s="30"/>
      <c r="FW30" s="30"/>
      <c r="FX30" s="30"/>
      <c r="FY30" s="30"/>
      <c r="FZ30" s="30"/>
      <c r="GA30" s="30"/>
      <c r="GB30" s="30"/>
      <c r="GC30" s="30"/>
      <c r="GD30" s="30"/>
      <c r="GE30" s="30"/>
      <c r="GF30" s="30"/>
      <c r="GG30" s="30"/>
      <c r="GH30" s="30"/>
      <c r="GI30" s="30"/>
      <c r="GJ30" s="30"/>
      <c r="GK30" s="30"/>
      <c r="GL30" s="30"/>
      <c r="GM30" s="30"/>
      <c r="GN30" s="30"/>
      <c r="GO30" s="30"/>
      <c r="GP30" s="30"/>
      <c r="GQ30" s="30"/>
      <c r="GR30" s="30"/>
      <c r="GS30" s="30"/>
      <c r="GT30" s="30"/>
      <c r="GU30" s="30"/>
      <c r="GV30" s="30"/>
      <c r="GW30" s="30"/>
      <c r="GX30" s="30"/>
      <c r="GY30" s="30"/>
      <c r="GZ30" s="30"/>
      <c r="HA30" s="30"/>
      <c r="HB30" s="30"/>
      <c r="HC30" s="30"/>
      <c r="HD30" s="30"/>
      <c r="HE30" s="30"/>
      <c r="HF30" s="30"/>
      <c r="HG30" s="30"/>
      <c r="HH30" s="30"/>
      <c r="HI30" s="30"/>
      <c r="HJ30" s="30"/>
      <c r="HK30" s="30"/>
      <c r="HL30" s="30"/>
      <c r="HM30" s="30"/>
      <c r="HN30" s="30"/>
      <c r="HO30" s="30"/>
      <c r="HP30" s="30"/>
      <c r="HQ30" s="30"/>
      <c r="HR30" s="30"/>
      <c r="HS30" s="30"/>
      <c r="HT30" s="30"/>
    </row>
    <row r="31" spans="1:228" s="31" customFormat="1" ht="15" x14ac:dyDescent="0.25">
      <c r="A31" s="27" t="s">
        <v>43</v>
      </c>
      <c r="B31" s="28">
        <v>5814</v>
      </c>
      <c r="C31" s="28">
        <v>150</v>
      </c>
      <c r="D31" s="28">
        <v>0</v>
      </c>
      <c r="E31" s="29" t="s">
        <v>44</v>
      </c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  <c r="FS31" s="30"/>
      <c r="FT31" s="30"/>
      <c r="FU31" s="30"/>
      <c r="FV31" s="30"/>
      <c r="FW31" s="30"/>
      <c r="FX31" s="30"/>
      <c r="FY31" s="30"/>
      <c r="FZ31" s="30"/>
      <c r="GA31" s="30"/>
      <c r="GB31" s="30"/>
      <c r="GC31" s="30"/>
      <c r="GD31" s="30"/>
      <c r="GE31" s="30"/>
      <c r="GF31" s="30"/>
      <c r="GG31" s="30"/>
      <c r="GH31" s="30"/>
      <c r="GI31" s="30"/>
      <c r="GJ31" s="30"/>
      <c r="GK31" s="30"/>
      <c r="GL31" s="30"/>
      <c r="GM31" s="30"/>
      <c r="GN31" s="30"/>
      <c r="GO31" s="30"/>
      <c r="GP31" s="30"/>
      <c r="GQ31" s="30"/>
      <c r="GR31" s="30"/>
      <c r="GS31" s="30"/>
      <c r="GT31" s="30"/>
      <c r="GU31" s="30"/>
      <c r="GV31" s="30"/>
      <c r="GW31" s="30"/>
      <c r="GX31" s="30"/>
      <c r="GY31" s="30"/>
      <c r="GZ31" s="30"/>
      <c r="HA31" s="30"/>
      <c r="HB31" s="30"/>
      <c r="HC31" s="30"/>
      <c r="HD31" s="30"/>
      <c r="HE31" s="30"/>
      <c r="HF31" s="30"/>
      <c r="HG31" s="30"/>
      <c r="HH31" s="30"/>
      <c r="HI31" s="30"/>
      <c r="HJ31" s="30"/>
      <c r="HK31" s="30"/>
      <c r="HL31" s="30"/>
      <c r="HM31" s="30"/>
      <c r="HN31" s="30"/>
      <c r="HO31" s="30"/>
      <c r="HP31" s="30"/>
      <c r="HQ31" s="30"/>
      <c r="HR31" s="30"/>
      <c r="HS31" s="30"/>
      <c r="HT31" s="30"/>
    </row>
    <row r="32" spans="1:228" s="31" customFormat="1" ht="15" x14ac:dyDescent="0.25">
      <c r="A32" s="32" t="s">
        <v>13</v>
      </c>
      <c r="B32" s="33">
        <v>3603</v>
      </c>
      <c r="C32" s="33">
        <v>0</v>
      </c>
      <c r="D32" s="33">
        <v>0</v>
      </c>
      <c r="E32" s="34" t="s">
        <v>45</v>
      </c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  <c r="FS32" s="30"/>
      <c r="FT32" s="30"/>
      <c r="FU32" s="30"/>
      <c r="FV32" s="30"/>
      <c r="FW32" s="30"/>
      <c r="FX32" s="30"/>
      <c r="FY32" s="30"/>
      <c r="FZ32" s="30"/>
      <c r="GA32" s="30"/>
      <c r="GB32" s="30"/>
      <c r="GC32" s="30"/>
      <c r="GD32" s="30"/>
      <c r="GE32" s="30"/>
      <c r="GF32" s="30"/>
      <c r="GG32" s="30"/>
      <c r="GH32" s="30"/>
      <c r="GI32" s="30"/>
      <c r="GJ32" s="30"/>
      <c r="GK32" s="30"/>
      <c r="GL32" s="30"/>
      <c r="GM32" s="30"/>
      <c r="GN32" s="30"/>
      <c r="GO32" s="30"/>
      <c r="GP32" s="30"/>
      <c r="GQ32" s="30"/>
      <c r="GR32" s="30"/>
      <c r="GS32" s="30"/>
      <c r="GT32" s="30"/>
      <c r="GU32" s="30"/>
      <c r="GV32" s="30"/>
      <c r="GW32" s="30"/>
      <c r="GX32" s="30"/>
      <c r="GY32" s="30"/>
      <c r="GZ32" s="30"/>
      <c r="HA32" s="30"/>
      <c r="HB32" s="30"/>
      <c r="HC32" s="30"/>
      <c r="HD32" s="30"/>
      <c r="HE32" s="30"/>
      <c r="HF32" s="30"/>
      <c r="HG32" s="30"/>
      <c r="HH32" s="30"/>
      <c r="HI32" s="30"/>
      <c r="HJ32" s="30"/>
      <c r="HK32" s="30"/>
      <c r="HL32" s="30"/>
      <c r="HM32" s="30"/>
      <c r="HN32" s="30"/>
      <c r="HO32" s="30"/>
      <c r="HP32" s="30"/>
      <c r="HQ32" s="30"/>
      <c r="HR32" s="30"/>
      <c r="HS32" s="30"/>
      <c r="HT32" s="30"/>
    </row>
    <row r="33" spans="1:228" s="31" customFormat="1" ht="17.25" x14ac:dyDescent="0.15">
      <c r="B33" s="35"/>
      <c r="C33" s="35"/>
      <c r="E33" s="3" t="s">
        <v>61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</row>
    <row r="34" spans="1:228" ht="12.75" x14ac:dyDescent="0.15">
      <c r="A34" s="36" t="s">
        <v>57</v>
      </c>
    </row>
    <row r="36" spans="1:228" ht="33" customHeight="1" x14ac:dyDescent="0.15">
      <c r="A36" s="48" t="s">
        <v>0</v>
      </c>
      <c r="B36" s="37" t="s">
        <v>58</v>
      </c>
      <c r="C36" s="38"/>
      <c r="D36" s="47" t="s">
        <v>59</v>
      </c>
      <c r="E36" s="51" t="s">
        <v>52</v>
      </c>
    </row>
    <row r="37" spans="1:228" ht="40.15" customHeight="1" x14ac:dyDescent="0.15">
      <c r="A37" s="49"/>
      <c r="B37" s="13" t="s">
        <v>60</v>
      </c>
      <c r="C37" s="5" t="s">
        <v>48</v>
      </c>
      <c r="D37" s="13" t="s">
        <v>50</v>
      </c>
      <c r="E37" s="52"/>
    </row>
    <row r="38" spans="1:228" ht="12.75" x14ac:dyDescent="0.2">
      <c r="A38" s="49"/>
      <c r="B38" s="18" t="s">
        <v>54</v>
      </c>
      <c r="C38" s="19" t="s">
        <v>47</v>
      </c>
      <c r="D38" s="18" t="s">
        <v>49</v>
      </c>
      <c r="E38" s="52"/>
    </row>
    <row r="39" spans="1:228" ht="12.75" x14ac:dyDescent="0.2">
      <c r="A39" s="50"/>
      <c r="B39" s="21" t="s">
        <v>55</v>
      </c>
      <c r="C39" s="21"/>
      <c r="D39" s="21"/>
      <c r="E39" s="53"/>
    </row>
    <row r="40" spans="1:228" ht="15" x14ac:dyDescent="0.15">
      <c r="A40" s="2" t="s">
        <v>1</v>
      </c>
      <c r="B40" s="25">
        <f>B41+B43+B42</f>
        <v>734</v>
      </c>
      <c r="C40" s="25">
        <f>C41+C43+C42</f>
        <v>5</v>
      </c>
      <c r="D40" s="25">
        <f t="shared" ref="D40" si="2">D41+D43+D42</f>
        <v>33</v>
      </c>
      <c r="E40" s="5" t="s">
        <v>2</v>
      </c>
    </row>
    <row r="41" spans="1:228" ht="15" x14ac:dyDescent="0.15">
      <c r="A41" s="2" t="s">
        <v>3</v>
      </c>
      <c r="B41" s="25">
        <v>103</v>
      </c>
      <c r="C41" s="25">
        <v>0</v>
      </c>
      <c r="D41" s="26">
        <v>0</v>
      </c>
      <c r="E41" s="5" t="s">
        <v>4</v>
      </c>
    </row>
    <row r="42" spans="1:228" s="40" customFormat="1" ht="15" x14ac:dyDescent="0.15">
      <c r="A42" s="6" t="s">
        <v>7</v>
      </c>
      <c r="B42" s="25">
        <v>0</v>
      </c>
      <c r="C42" s="25">
        <v>0</v>
      </c>
      <c r="D42" s="25">
        <v>33</v>
      </c>
      <c r="E42" s="5" t="s">
        <v>62</v>
      </c>
    </row>
    <row r="43" spans="1:228" ht="15" x14ac:dyDescent="0.15">
      <c r="A43" s="2" t="s">
        <v>5</v>
      </c>
      <c r="B43" s="25">
        <f>SUM(B44:B63)</f>
        <v>631</v>
      </c>
      <c r="C43" s="25">
        <f>SUM(C44:C63)</f>
        <v>5</v>
      </c>
      <c r="D43" s="25">
        <f t="shared" ref="D43" si="3">SUM(D44:D63)</f>
        <v>0</v>
      </c>
      <c r="E43" s="5" t="s">
        <v>6</v>
      </c>
    </row>
    <row r="44" spans="1:228" ht="15" x14ac:dyDescent="0.15">
      <c r="A44" s="41" t="s">
        <v>8</v>
      </c>
      <c r="B44" s="28">
        <v>45</v>
      </c>
      <c r="C44" s="28">
        <v>0</v>
      </c>
      <c r="D44" s="28">
        <v>0</v>
      </c>
      <c r="E44" s="9" t="s">
        <v>9</v>
      </c>
    </row>
    <row r="45" spans="1:228" ht="15" x14ac:dyDescent="0.15">
      <c r="A45" s="41" t="s">
        <v>10</v>
      </c>
      <c r="B45" s="28">
        <v>29</v>
      </c>
      <c r="C45" s="28">
        <v>0</v>
      </c>
      <c r="D45" s="28">
        <v>0</v>
      </c>
      <c r="E45" s="9" t="s">
        <v>11</v>
      </c>
    </row>
    <row r="46" spans="1:228" ht="15" x14ac:dyDescent="0.15">
      <c r="A46" s="41" t="s">
        <v>12</v>
      </c>
      <c r="B46" s="28">
        <v>31</v>
      </c>
      <c r="C46" s="28">
        <v>0</v>
      </c>
      <c r="D46" s="28">
        <v>0</v>
      </c>
      <c r="E46" s="9" t="s">
        <v>13</v>
      </c>
    </row>
    <row r="47" spans="1:228" ht="15" x14ac:dyDescent="0.15">
      <c r="A47" s="41" t="s">
        <v>14</v>
      </c>
      <c r="B47" s="28">
        <v>25</v>
      </c>
      <c r="C47" s="28">
        <v>0</v>
      </c>
      <c r="D47" s="28">
        <v>0</v>
      </c>
      <c r="E47" s="9" t="s">
        <v>15</v>
      </c>
    </row>
    <row r="48" spans="1:228" ht="15" x14ac:dyDescent="0.15">
      <c r="A48" s="41" t="s">
        <v>16</v>
      </c>
      <c r="B48" s="28">
        <v>41</v>
      </c>
      <c r="C48" s="28">
        <v>0</v>
      </c>
      <c r="D48" s="28">
        <v>0</v>
      </c>
      <c r="E48" s="9" t="s">
        <v>17</v>
      </c>
    </row>
    <row r="49" spans="1:5" ht="15" x14ac:dyDescent="0.15">
      <c r="A49" s="41" t="s">
        <v>18</v>
      </c>
      <c r="B49" s="28">
        <v>19</v>
      </c>
      <c r="C49" s="28">
        <v>0</v>
      </c>
      <c r="D49" s="28">
        <v>0</v>
      </c>
      <c r="E49" s="9" t="s">
        <v>19</v>
      </c>
    </row>
    <row r="50" spans="1:5" ht="15" x14ac:dyDescent="0.15">
      <c r="A50" s="41" t="s">
        <v>20</v>
      </c>
      <c r="B50" s="28">
        <v>18</v>
      </c>
      <c r="C50" s="28">
        <v>0</v>
      </c>
      <c r="D50" s="28">
        <v>0</v>
      </c>
      <c r="E50" s="9" t="s">
        <v>21</v>
      </c>
    </row>
    <row r="51" spans="1:5" ht="15" x14ac:dyDescent="0.15">
      <c r="A51" s="41" t="s">
        <v>22</v>
      </c>
      <c r="B51" s="28">
        <v>29</v>
      </c>
      <c r="C51" s="28">
        <v>0</v>
      </c>
      <c r="D51" s="28">
        <v>0</v>
      </c>
      <c r="E51" s="9" t="s">
        <v>23</v>
      </c>
    </row>
    <row r="52" spans="1:5" ht="15" x14ac:dyDescent="0.15">
      <c r="A52" s="41" t="s">
        <v>56</v>
      </c>
      <c r="B52" s="28">
        <v>23</v>
      </c>
      <c r="C52" s="28">
        <v>0</v>
      </c>
      <c r="D52" s="28">
        <v>0</v>
      </c>
      <c r="E52" s="9" t="s">
        <v>24</v>
      </c>
    </row>
    <row r="53" spans="1:5" ht="15" x14ac:dyDescent="0.15">
      <c r="A53" s="41" t="s">
        <v>25</v>
      </c>
      <c r="B53" s="28">
        <v>27</v>
      </c>
      <c r="C53" s="28">
        <v>1</v>
      </c>
      <c r="D53" s="28">
        <v>0</v>
      </c>
      <c r="E53" s="9" t="s">
        <v>26</v>
      </c>
    </row>
    <row r="54" spans="1:5" ht="15" x14ac:dyDescent="0.15">
      <c r="A54" s="41" t="s">
        <v>27</v>
      </c>
      <c r="B54" s="28">
        <v>4</v>
      </c>
      <c r="C54" s="28">
        <v>0</v>
      </c>
      <c r="D54" s="28">
        <v>0</v>
      </c>
      <c r="E54" s="9" t="s">
        <v>28</v>
      </c>
    </row>
    <row r="55" spans="1:5" ht="15" x14ac:dyDescent="0.15">
      <c r="A55" s="41" t="s">
        <v>29</v>
      </c>
      <c r="B55" s="28">
        <v>27</v>
      </c>
      <c r="C55" s="28">
        <v>0</v>
      </c>
      <c r="D55" s="28">
        <v>0</v>
      </c>
      <c r="E55" s="9" t="s">
        <v>30</v>
      </c>
    </row>
    <row r="56" spans="1:5" ht="15" x14ac:dyDescent="0.15">
      <c r="A56" s="41" t="s">
        <v>31</v>
      </c>
      <c r="B56" s="28">
        <v>32</v>
      </c>
      <c r="C56" s="28">
        <v>0</v>
      </c>
      <c r="D56" s="28">
        <v>0</v>
      </c>
      <c r="E56" s="9" t="s">
        <v>32</v>
      </c>
    </row>
    <row r="57" spans="1:5" ht="15" x14ac:dyDescent="0.15">
      <c r="A57" s="41" t="s">
        <v>33</v>
      </c>
      <c r="B57" s="28">
        <v>56</v>
      </c>
      <c r="C57" s="28">
        <v>0</v>
      </c>
      <c r="D57" s="28">
        <v>0</v>
      </c>
      <c r="E57" s="9" t="s">
        <v>34</v>
      </c>
    </row>
    <row r="58" spans="1:5" ht="15" x14ac:dyDescent="0.15">
      <c r="A58" s="41" t="s">
        <v>35</v>
      </c>
      <c r="B58" s="28">
        <v>37</v>
      </c>
      <c r="C58" s="28">
        <v>0</v>
      </c>
      <c r="D58" s="28">
        <v>0</v>
      </c>
      <c r="E58" s="9" t="s">
        <v>36</v>
      </c>
    </row>
    <row r="59" spans="1:5" ht="15" x14ac:dyDescent="0.15">
      <c r="A59" s="41" t="s">
        <v>37</v>
      </c>
      <c r="B59" s="28">
        <v>42</v>
      </c>
      <c r="C59" s="28">
        <v>0</v>
      </c>
      <c r="D59" s="28">
        <v>0</v>
      </c>
      <c r="E59" s="9" t="s">
        <v>38</v>
      </c>
    </row>
    <row r="60" spans="1:5" ht="15" x14ac:dyDescent="0.15">
      <c r="A60" s="41" t="s">
        <v>39</v>
      </c>
      <c r="B60" s="28">
        <v>41</v>
      </c>
      <c r="C60" s="28">
        <v>0</v>
      </c>
      <c r="D60" s="28">
        <v>0</v>
      </c>
      <c r="E60" s="9" t="s">
        <v>40</v>
      </c>
    </row>
    <row r="61" spans="1:5" ht="15" x14ac:dyDescent="0.15">
      <c r="A61" s="41" t="s">
        <v>41</v>
      </c>
      <c r="B61" s="28">
        <v>29</v>
      </c>
      <c r="C61" s="28">
        <v>1</v>
      </c>
      <c r="D61" s="28">
        <v>0</v>
      </c>
      <c r="E61" s="9" t="s">
        <v>42</v>
      </c>
    </row>
    <row r="62" spans="1:5" ht="15" x14ac:dyDescent="0.15">
      <c r="A62" s="41" t="s">
        <v>43</v>
      </c>
      <c r="B62" s="28">
        <v>46</v>
      </c>
      <c r="C62" s="28">
        <v>3</v>
      </c>
      <c r="D62" s="28">
        <v>0</v>
      </c>
      <c r="E62" s="9" t="s">
        <v>44</v>
      </c>
    </row>
    <row r="63" spans="1:5" ht="15" x14ac:dyDescent="0.15">
      <c r="A63" s="42" t="s">
        <v>13</v>
      </c>
      <c r="B63" s="33">
        <v>30</v>
      </c>
      <c r="C63" s="33">
        <v>0</v>
      </c>
      <c r="D63" s="33">
        <v>0</v>
      </c>
      <c r="E63" s="43" t="s">
        <v>45</v>
      </c>
    </row>
    <row r="64" spans="1:5" s="1" customFormat="1" ht="17.25" x14ac:dyDescent="0.25">
      <c r="A64" s="44" t="s">
        <v>63</v>
      </c>
      <c r="B64" s="44"/>
      <c r="C64" s="44"/>
      <c r="D64" s="45"/>
      <c r="E64" s="3" t="s">
        <v>61</v>
      </c>
    </row>
    <row r="73" spans="1:228" ht="27" customHeight="1" x14ac:dyDescent="0.15">
      <c r="A73" s="54" t="s">
        <v>67</v>
      </c>
      <c r="B73" s="54"/>
      <c r="C73" s="54"/>
      <c r="D73" s="54"/>
      <c r="E73" s="54"/>
    </row>
    <row r="74" spans="1:228" s="11" customFormat="1" ht="23.25" customHeight="1" x14ac:dyDescent="0.2">
      <c r="A74" s="55" t="s">
        <v>68</v>
      </c>
      <c r="B74" s="55"/>
      <c r="C74" s="55"/>
      <c r="D74" s="55"/>
      <c r="E74" s="55"/>
    </row>
    <row r="75" spans="1:228" s="11" customFormat="1" ht="12.75" x14ac:dyDescent="0.2">
      <c r="A75" s="56"/>
      <c r="B75" s="57"/>
      <c r="C75" s="57"/>
    </row>
    <row r="76" spans="1:228" ht="15.75" x14ac:dyDescent="0.15">
      <c r="A76" s="48" t="s">
        <v>0</v>
      </c>
      <c r="B76" s="12" t="s">
        <v>51</v>
      </c>
      <c r="C76" s="12"/>
      <c r="D76" s="12"/>
      <c r="E76" s="51" t="s">
        <v>52</v>
      </c>
    </row>
    <row r="77" spans="1:228" s="15" customFormat="1" ht="39" customHeight="1" x14ac:dyDescent="0.15">
      <c r="A77" s="49"/>
      <c r="B77" s="13" t="s">
        <v>53</v>
      </c>
      <c r="C77" s="5" t="s">
        <v>48</v>
      </c>
      <c r="D77" s="14" t="s">
        <v>50</v>
      </c>
      <c r="E77" s="52"/>
    </row>
    <row r="78" spans="1:228" ht="1.1499999999999999" customHeight="1" x14ac:dyDescent="0.15">
      <c r="A78" s="49"/>
      <c r="B78" s="16"/>
      <c r="C78" s="16"/>
      <c r="D78" s="17"/>
      <c r="E78" s="52"/>
    </row>
    <row r="79" spans="1:228" s="20" customFormat="1" ht="12" customHeight="1" x14ac:dyDescent="0.2">
      <c r="A79" s="49"/>
      <c r="B79" s="18" t="s">
        <v>54</v>
      </c>
      <c r="C79" s="19" t="s">
        <v>47</v>
      </c>
      <c r="D79" s="18" t="s">
        <v>49</v>
      </c>
      <c r="E79" s="52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1"/>
      <c r="DL79" s="11"/>
      <c r="DM79" s="11"/>
      <c r="DN79" s="11"/>
      <c r="DO79" s="11"/>
      <c r="DP79" s="11"/>
      <c r="DQ79" s="11"/>
      <c r="DR79" s="11"/>
      <c r="DS79" s="11"/>
      <c r="DT79" s="11"/>
      <c r="DU79" s="11"/>
      <c r="DV79" s="11"/>
      <c r="DW79" s="11"/>
      <c r="DX79" s="11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1"/>
      <c r="FW79" s="11"/>
      <c r="FX79" s="11"/>
      <c r="FY79" s="11"/>
      <c r="FZ79" s="11"/>
      <c r="GA79" s="11"/>
      <c r="GB79" s="11"/>
      <c r="GC79" s="11"/>
      <c r="GD79" s="11"/>
      <c r="GE79" s="11"/>
      <c r="GF79" s="11"/>
      <c r="GG79" s="11"/>
      <c r="GH79" s="11"/>
      <c r="GI79" s="11"/>
      <c r="GJ79" s="11"/>
      <c r="GK79" s="11"/>
      <c r="GL79" s="11"/>
      <c r="GM79" s="11"/>
      <c r="GN79" s="11"/>
      <c r="GO79" s="11"/>
      <c r="GP79" s="11"/>
      <c r="GQ79" s="11"/>
      <c r="GR79" s="11"/>
      <c r="GS79" s="11"/>
      <c r="GT79" s="11"/>
      <c r="GU79" s="11"/>
      <c r="GV79" s="11"/>
      <c r="GW79" s="11"/>
      <c r="GX79" s="11"/>
      <c r="GY79" s="11"/>
      <c r="GZ79" s="11"/>
      <c r="HA79" s="11"/>
      <c r="HB79" s="11"/>
      <c r="HC79" s="11"/>
      <c r="HD79" s="11"/>
      <c r="HE79" s="11"/>
      <c r="HF79" s="11"/>
      <c r="HG79" s="11"/>
      <c r="HH79" s="11"/>
      <c r="HI79" s="11"/>
      <c r="HJ79" s="11"/>
      <c r="HK79" s="11"/>
      <c r="HL79" s="11"/>
      <c r="HM79" s="11"/>
      <c r="HN79" s="11"/>
      <c r="HO79" s="11"/>
      <c r="HP79" s="11"/>
      <c r="HQ79" s="11"/>
      <c r="HR79" s="11"/>
      <c r="HS79" s="11"/>
      <c r="HT79" s="11"/>
    </row>
    <row r="80" spans="1:228" s="20" customFormat="1" ht="12.75" x14ac:dyDescent="0.2">
      <c r="A80" s="50"/>
      <c r="B80" s="21" t="s">
        <v>55</v>
      </c>
      <c r="C80" s="21"/>
      <c r="D80" s="18"/>
      <c r="E80" s="53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/>
      <c r="DI80" s="11"/>
      <c r="DJ80" s="11"/>
      <c r="DK80" s="11"/>
      <c r="DL80" s="11"/>
      <c r="DM80" s="11"/>
      <c r="DN80" s="11"/>
      <c r="DO80" s="11"/>
      <c r="DP80" s="11"/>
      <c r="DQ80" s="11"/>
      <c r="DR80" s="11"/>
      <c r="DS80" s="11"/>
      <c r="DT80" s="11"/>
      <c r="DU80" s="11"/>
      <c r="DV80" s="11"/>
      <c r="DW80" s="11"/>
      <c r="DX80" s="11"/>
      <c r="DY80" s="11"/>
      <c r="DZ80" s="11"/>
      <c r="EA80" s="11"/>
      <c r="EB80" s="11"/>
      <c r="EC80" s="11"/>
      <c r="ED80" s="11"/>
      <c r="EE80" s="11"/>
      <c r="EF80" s="11"/>
      <c r="EG80" s="11"/>
      <c r="EH80" s="11"/>
      <c r="EI80" s="11"/>
      <c r="EJ80" s="11"/>
      <c r="EK80" s="11"/>
      <c r="EL80" s="11"/>
      <c r="EM80" s="11"/>
      <c r="EN80" s="11"/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1"/>
      <c r="FC80" s="11"/>
      <c r="FD80" s="11"/>
      <c r="FE80" s="11"/>
      <c r="FF80" s="11"/>
      <c r="FG80" s="11"/>
      <c r="FH80" s="11"/>
      <c r="FI80" s="11"/>
      <c r="FJ80" s="11"/>
      <c r="FK80" s="11"/>
      <c r="FL80" s="11"/>
      <c r="FM80" s="11"/>
      <c r="FN80" s="11"/>
      <c r="FO80" s="11"/>
      <c r="FP80" s="11"/>
      <c r="FQ80" s="11"/>
      <c r="FR80" s="11"/>
      <c r="FS80" s="11"/>
      <c r="FT80" s="11"/>
      <c r="FU80" s="11"/>
      <c r="FV80" s="11"/>
      <c r="FW80" s="11"/>
      <c r="FX80" s="11"/>
      <c r="FY80" s="11"/>
      <c r="FZ80" s="11"/>
      <c r="GA80" s="11"/>
      <c r="GB80" s="11"/>
      <c r="GC80" s="11"/>
      <c r="GD80" s="11"/>
      <c r="GE80" s="11"/>
      <c r="GF80" s="11"/>
      <c r="GG80" s="11"/>
      <c r="GH80" s="11"/>
      <c r="GI80" s="11"/>
      <c r="GJ80" s="11"/>
      <c r="GK80" s="11"/>
      <c r="GL80" s="11"/>
      <c r="GM80" s="11"/>
      <c r="GN80" s="11"/>
      <c r="GO80" s="11"/>
      <c r="GP80" s="11"/>
      <c r="GQ80" s="11"/>
      <c r="GR80" s="11"/>
      <c r="GS80" s="11"/>
      <c r="GT80" s="11"/>
      <c r="GU80" s="11"/>
      <c r="GV80" s="11"/>
      <c r="GW80" s="11"/>
      <c r="GX80" s="11"/>
      <c r="GY80" s="11"/>
      <c r="GZ80" s="11"/>
      <c r="HA80" s="11"/>
      <c r="HB80" s="11"/>
      <c r="HC80" s="11"/>
      <c r="HD80" s="11"/>
      <c r="HE80" s="11"/>
      <c r="HF80" s="11"/>
      <c r="HG80" s="11"/>
      <c r="HH80" s="11"/>
      <c r="HI80" s="11"/>
      <c r="HJ80" s="11"/>
      <c r="HK80" s="11"/>
      <c r="HL80" s="11"/>
      <c r="HM80" s="11"/>
      <c r="HN80" s="11"/>
      <c r="HO80" s="11"/>
      <c r="HP80" s="11"/>
      <c r="HQ80" s="11"/>
      <c r="HR80" s="11"/>
      <c r="HS80" s="11"/>
      <c r="HT80" s="11"/>
    </row>
    <row r="81" spans="1:5" s="24" customFormat="1" ht="15" x14ac:dyDescent="0.25">
      <c r="A81" s="22" t="s">
        <v>1</v>
      </c>
      <c r="B81" s="23">
        <f>B82+B84+B83</f>
        <v>51821</v>
      </c>
      <c r="C81" s="23">
        <f>C82+C84+C83</f>
        <v>88</v>
      </c>
      <c r="D81" s="23">
        <f t="shared" ref="D81" si="4">D82+D84+D83</f>
        <v>2343</v>
      </c>
      <c r="E81" s="5" t="s">
        <v>2</v>
      </c>
    </row>
    <row r="82" spans="1:5" s="24" customFormat="1" ht="15" x14ac:dyDescent="0.25">
      <c r="A82" s="22" t="s">
        <v>3</v>
      </c>
      <c r="B82" s="25">
        <v>7172</v>
      </c>
      <c r="C82" s="25">
        <v>0</v>
      </c>
      <c r="D82" s="25">
        <v>0</v>
      </c>
      <c r="E82" s="5" t="s">
        <v>4</v>
      </c>
    </row>
    <row r="83" spans="1:5" s="24" customFormat="1" ht="15" x14ac:dyDescent="0.25">
      <c r="A83" s="22" t="s">
        <v>7</v>
      </c>
      <c r="B83" s="25">
        <v>0</v>
      </c>
      <c r="C83" s="25">
        <v>0</v>
      </c>
      <c r="D83" s="26">
        <v>2343</v>
      </c>
      <c r="E83" s="5" t="s">
        <v>62</v>
      </c>
    </row>
    <row r="84" spans="1:5" s="24" customFormat="1" ht="15" x14ac:dyDescent="0.25">
      <c r="A84" s="22" t="s">
        <v>5</v>
      </c>
      <c r="B84" s="25">
        <f>SUM(B85:B104)</f>
        <v>44649</v>
      </c>
      <c r="C84" s="25">
        <f>SUM(C85:C104)</f>
        <v>88</v>
      </c>
      <c r="D84" s="25">
        <f t="shared" ref="D84" si="5">SUM(D85:D104)</f>
        <v>0</v>
      </c>
      <c r="E84" s="5" t="s">
        <v>6</v>
      </c>
    </row>
    <row r="85" spans="1:5" s="30" customFormat="1" ht="15" x14ac:dyDescent="0.25">
      <c r="A85" s="27" t="s">
        <v>8</v>
      </c>
      <c r="B85" s="28">
        <v>2170</v>
      </c>
      <c r="C85" s="28">
        <v>0</v>
      </c>
      <c r="D85" s="7" t="s">
        <v>46</v>
      </c>
      <c r="E85" s="29" t="s">
        <v>9</v>
      </c>
    </row>
    <row r="86" spans="1:5" s="30" customFormat="1" ht="15" x14ac:dyDescent="0.25">
      <c r="A86" s="27" t="s">
        <v>10</v>
      </c>
      <c r="B86" s="28">
        <v>1812</v>
      </c>
      <c r="C86" s="28">
        <v>0</v>
      </c>
      <c r="D86" s="7" t="s">
        <v>46</v>
      </c>
      <c r="E86" s="29" t="s">
        <v>11</v>
      </c>
    </row>
    <row r="87" spans="1:5" s="30" customFormat="1" ht="15" x14ac:dyDescent="0.25">
      <c r="A87" s="27" t="s">
        <v>12</v>
      </c>
      <c r="B87" s="28">
        <v>2444</v>
      </c>
      <c r="C87" s="28">
        <v>0</v>
      </c>
      <c r="D87" s="7" t="s">
        <v>46</v>
      </c>
      <c r="E87" s="29" t="s">
        <v>13</v>
      </c>
    </row>
    <row r="88" spans="1:5" s="30" customFormat="1" ht="15" x14ac:dyDescent="0.25">
      <c r="A88" s="27" t="s">
        <v>14</v>
      </c>
      <c r="B88" s="28">
        <v>1451</v>
      </c>
      <c r="C88" s="28">
        <v>0</v>
      </c>
      <c r="D88" s="7" t="s">
        <v>46</v>
      </c>
      <c r="E88" s="29" t="s">
        <v>15</v>
      </c>
    </row>
    <row r="89" spans="1:5" s="30" customFormat="1" ht="15" x14ac:dyDescent="0.25">
      <c r="A89" s="27" t="s">
        <v>16</v>
      </c>
      <c r="B89" s="28">
        <v>2541</v>
      </c>
      <c r="C89" s="28">
        <v>0</v>
      </c>
      <c r="D89" s="7" t="s">
        <v>46</v>
      </c>
      <c r="E89" s="29" t="s">
        <v>17</v>
      </c>
    </row>
    <row r="90" spans="1:5" s="30" customFormat="1" ht="15" x14ac:dyDescent="0.25">
      <c r="A90" s="27" t="s">
        <v>18</v>
      </c>
      <c r="B90" s="28">
        <v>1004</v>
      </c>
      <c r="C90" s="28">
        <v>0</v>
      </c>
      <c r="D90" s="7" t="s">
        <v>46</v>
      </c>
      <c r="E90" s="29" t="s">
        <v>19</v>
      </c>
    </row>
    <row r="91" spans="1:5" s="30" customFormat="1" ht="15" x14ac:dyDescent="0.25">
      <c r="A91" s="27" t="s">
        <v>20</v>
      </c>
      <c r="B91" s="28">
        <v>1498</v>
      </c>
      <c r="C91" s="28">
        <v>0</v>
      </c>
      <c r="D91" s="7" t="s">
        <v>46</v>
      </c>
      <c r="E91" s="29" t="s">
        <v>21</v>
      </c>
    </row>
    <row r="92" spans="1:5" s="30" customFormat="1" ht="15" x14ac:dyDescent="0.25">
      <c r="A92" s="27" t="s">
        <v>22</v>
      </c>
      <c r="B92" s="28">
        <v>1708</v>
      </c>
      <c r="C92" s="28">
        <v>0</v>
      </c>
      <c r="D92" s="7" t="s">
        <v>46</v>
      </c>
      <c r="E92" s="29" t="s">
        <v>23</v>
      </c>
    </row>
    <row r="93" spans="1:5" s="30" customFormat="1" ht="15" x14ac:dyDescent="0.25">
      <c r="A93" s="27" t="s">
        <v>56</v>
      </c>
      <c r="B93" s="28">
        <v>1743</v>
      </c>
      <c r="C93" s="28">
        <v>0</v>
      </c>
      <c r="D93" s="7" t="s">
        <v>46</v>
      </c>
      <c r="E93" s="29" t="s">
        <v>24</v>
      </c>
    </row>
    <row r="94" spans="1:5" s="30" customFormat="1" ht="15" x14ac:dyDescent="0.25">
      <c r="A94" s="27" t="s">
        <v>25</v>
      </c>
      <c r="B94" s="28">
        <v>2860</v>
      </c>
      <c r="C94" s="28">
        <v>0</v>
      </c>
      <c r="D94" s="7" t="s">
        <v>46</v>
      </c>
      <c r="E94" s="29" t="s">
        <v>26</v>
      </c>
    </row>
    <row r="95" spans="1:5" s="30" customFormat="1" ht="15" x14ac:dyDescent="0.25">
      <c r="A95" s="27" t="s">
        <v>27</v>
      </c>
      <c r="B95" s="28">
        <v>101</v>
      </c>
      <c r="C95" s="28">
        <v>0</v>
      </c>
      <c r="D95" s="7" t="s">
        <v>46</v>
      </c>
      <c r="E95" s="29" t="s">
        <v>28</v>
      </c>
    </row>
    <row r="96" spans="1:5" s="30" customFormat="1" ht="15" x14ac:dyDescent="0.25">
      <c r="A96" s="27" t="s">
        <v>29</v>
      </c>
      <c r="B96" s="28">
        <v>1105</v>
      </c>
      <c r="C96" s="28">
        <v>0</v>
      </c>
      <c r="D96" s="7" t="s">
        <v>46</v>
      </c>
      <c r="E96" s="29" t="s">
        <v>30</v>
      </c>
    </row>
    <row r="97" spans="1:228" s="30" customFormat="1" ht="15" x14ac:dyDescent="0.25">
      <c r="A97" s="27" t="s">
        <v>31</v>
      </c>
      <c r="B97" s="28">
        <v>2370</v>
      </c>
      <c r="C97" s="28">
        <v>0</v>
      </c>
      <c r="D97" s="7" t="s">
        <v>46</v>
      </c>
      <c r="E97" s="29" t="s">
        <v>32</v>
      </c>
    </row>
    <row r="98" spans="1:228" ht="15" x14ac:dyDescent="0.15">
      <c r="A98" s="27" t="s">
        <v>33</v>
      </c>
      <c r="B98" s="28">
        <v>3930</v>
      </c>
      <c r="C98" s="28">
        <v>16</v>
      </c>
      <c r="D98" s="7" t="s">
        <v>46</v>
      </c>
      <c r="E98" s="29" t="s">
        <v>34</v>
      </c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  <c r="FS98" s="30"/>
      <c r="FT98" s="30"/>
      <c r="FU98" s="30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/>
      <c r="GP98" s="30"/>
      <c r="GQ98" s="30"/>
      <c r="GR98" s="30"/>
      <c r="GS98" s="30"/>
      <c r="GT98" s="30"/>
      <c r="GU98" s="30"/>
      <c r="GV98" s="30"/>
      <c r="GW98" s="30"/>
      <c r="GX98" s="30"/>
      <c r="GY98" s="30"/>
      <c r="GZ98" s="30"/>
      <c r="HA98" s="30"/>
      <c r="HB98" s="30"/>
      <c r="HC98" s="30"/>
      <c r="HD98" s="30"/>
      <c r="HE98" s="30"/>
      <c r="HF98" s="30"/>
      <c r="HG98" s="30"/>
      <c r="HH98" s="30"/>
      <c r="HI98" s="30"/>
      <c r="HJ98" s="30"/>
      <c r="HK98" s="30"/>
      <c r="HL98" s="30"/>
      <c r="HM98" s="30"/>
      <c r="HN98" s="30"/>
      <c r="HO98" s="30"/>
      <c r="HP98" s="30"/>
      <c r="HQ98" s="30"/>
      <c r="HR98" s="30"/>
      <c r="HS98" s="30"/>
      <c r="HT98" s="30"/>
    </row>
    <row r="99" spans="1:228" ht="15" x14ac:dyDescent="0.15">
      <c r="A99" s="27" t="s">
        <v>35</v>
      </c>
      <c r="B99" s="28">
        <v>2612</v>
      </c>
      <c r="C99" s="28">
        <v>0</v>
      </c>
      <c r="D99" s="7" t="s">
        <v>46</v>
      </c>
      <c r="E99" s="29" t="s">
        <v>36</v>
      </c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  <c r="FS99" s="30"/>
      <c r="FT99" s="30"/>
      <c r="FU99" s="30"/>
      <c r="FV99" s="30"/>
      <c r="FW99" s="30"/>
      <c r="FX99" s="30"/>
      <c r="FY99" s="30"/>
      <c r="FZ99" s="30"/>
      <c r="GA99" s="30"/>
      <c r="GB99" s="30"/>
      <c r="GC99" s="30"/>
      <c r="GD99" s="30"/>
      <c r="GE99" s="30"/>
      <c r="GF99" s="30"/>
      <c r="GG99" s="30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30"/>
      <c r="GS99" s="30"/>
      <c r="GT99" s="30"/>
      <c r="GU99" s="30"/>
      <c r="GV99" s="30"/>
      <c r="GW99" s="30"/>
      <c r="GX99" s="30"/>
      <c r="GY99" s="30"/>
      <c r="GZ99" s="30"/>
      <c r="HA99" s="30"/>
      <c r="HB99" s="30"/>
      <c r="HC99" s="30"/>
      <c r="HD99" s="30"/>
      <c r="HE99" s="30"/>
      <c r="HF99" s="30"/>
      <c r="HG99" s="30"/>
      <c r="HH99" s="30"/>
      <c r="HI99" s="30"/>
      <c r="HJ99" s="30"/>
      <c r="HK99" s="30"/>
      <c r="HL99" s="30"/>
      <c r="HM99" s="30"/>
      <c r="HN99" s="30"/>
      <c r="HO99" s="30"/>
      <c r="HP99" s="30"/>
      <c r="HQ99" s="30"/>
      <c r="HR99" s="30"/>
      <c r="HS99" s="30"/>
      <c r="HT99" s="30"/>
    </row>
    <row r="100" spans="1:228" ht="15" x14ac:dyDescent="0.15">
      <c r="A100" s="27" t="s">
        <v>37</v>
      </c>
      <c r="B100" s="28">
        <v>3801</v>
      </c>
      <c r="C100" s="28">
        <v>0</v>
      </c>
      <c r="D100" s="7" t="s">
        <v>46</v>
      </c>
      <c r="E100" s="29" t="s">
        <v>38</v>
      </c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  <c r="FS100" s="30"/>
      <c r="FT100" s="30"/>
      <c r="FU100" s="30"/>
      <c r="FV100" s="30"/>
      <c r="FW100" s="30"/>
      <c r="FX100" s="30"/>
      <c r="FY100" s="30"/>
      <c r="FZ100" s="30"/>
      <c r="GA100" s="30"/>
      <c r="GB100" s="30"/>
      <c r="GC100" s="30"/>
      <c r="GD100" s="30"/>
      <c r="GE100" s="30"/>
      <c r="GF100" s="30"/>
      <c r="GG100" s="30"/>
      <c r="GH100" s="30"/>
      <c r="GI100" s="30"/>
      <c r="GJ100" s="30"/>
      <c r="GK100" s="30"/>
      <c r="GL100" s="30"/>
      <c r="GM100" s="30"/>
      <c r="GN100" s="30"/>
      <c r="GO100" s="30"/>
      <c r="GP100" s="30"/>
      <c r="GQ100" s="30"/>
      <c r="GR100" s="30"/>
      <c r="GS100" s="30"/>
      <c r="GT100" s="30"/>
      <c r="GU100" s="30"/>
      <c r="GV100" s="30"/>
      <c r="GW100" s="30"/>
      <c r="GX100" s="30"/>
      <c r="GY100" s="30"/>
      <c r="GZ100" s="30"/>
      <c r="HA100" s="30"/>
      <c r="HB100" s="30"/>
      <c r="HC100" s="30"/>
      <c r="HD100" s="30"/>
      <c r="HE100" s="30"/>
      <c r="HF100" s="30"/>
      <c r="HG100" s="30"/>
      <c r="HH100" s="30"/>
      <c r="HI100" s="30"/>
      <c r="HJ100" s="30"/>
      <c r="HK100" s="30"/>
      <c r="HL100" s="30"/>
      <c r="HM100" s="30"/>
      <c r="HN100" s="30"/>
      <c r="HO100" s="30"/>
      <c r="HP100" s="30"/>
      <c r="HQ100" s="30"/>
      <c r="HR100" s="30"/>
      <c r="HS100" s="30"/>
      <c r="HT100" s="30"/>
    </row>
    <row r="101" spans="1:228" s="31" customFormat="1" ht="15" x14ac:dyDescent="0.25">
      <c r="A101" s="27" t="s">
        <v>39</v>
      </c>
      <c r="B101" s="28">
        <v>4456</v>
      </c>
      <c r="C101" s="28">
        <v>0</v>
      </c>
      <c r="D101" s="7" t="s">
        <v>46</v>
      </c>
      <c r="E101" s="29" t="s">
        <v>40</v>
      </c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  <c r="FS101" s="30"/>
      <c r="FT101" s="30"/>
      <c r="FU101" s="30"/>
      <c r="FV101" s="30"/>
      <c r="FW101" s="30"/>
      <c r="FX101" s="30"/>
      <c r="FY101" s="30"/>
      <c r="FZ101" s="30"/>
      <c r="GA101" s="30"/>
      <c r="GB101" s="30"/>
      <c r="GC101" s="30"/>
      <c r="GD101" s="30"/>
      <c r="GE101" s="30"/>
      <c r="GF101" s="30"/>
      <c r="GG101" s="30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/>
      <c r="GR101" s="30"/>
      <c r="GS101" s="30"/>
      <c r="GT101" s="30"/>
      <c r="GU101" s="30"/>
      <c r="GV101" s="30"/>
      <c r="GW101" s="30"/>
      <c r="GX101" s="30"/>
      <c r="GY101" s="30"/>
      <c r="GZ101" s="30"/>
      <c r="HA101" s="30"/>
      <c r="HB101" s="30"/>
      <c r="HC101" s="30"/>
      <c r="HD101" s="30"/>
      <c r="HE101" s="30"/>
      <c r="HF101" s="30"/>
      <c r="HG101" s="30"/>
      <c r="HH101" s="30"/>
      <c r="HI101" s="30"/>
      <c r="HJ101" s="30"/>
      <c r="HK101" s="30"/>
      <c r="HL101" s="30"/>
      <c r="HM101" s="30"/>
      <c r="HN101" s="30"/>
      <c r="HO101" s="30"/>
      <c r="HP101" s="30"/>
      <c r="HQ101" s="30"/>
      <c r="HR101" s="30"/>
      <c r="HS101" s="30"/>
      <c r="HT101" s="30"/>
    </row>
    <row r="102" spans="1:228" s="31" customFormat="1" ht="15" x14ac:dyDescent="0.25">
      <c r="A102" s="27" t="s">
        <v>41</v>
      </c>
      <c r="B102" s="28">
        <v>2459</v>
      </c>
      <c r="C102" s="28">
        <v>11</v>
      </c>
      <c r="D102" s="7" t="s">
        <v>46</v>
      </c>
      <c r="E102" s="29" t="s">
        <v>42</v>
      </c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  <c r="FS102" s="30"/>
      <c r="FT102" s="30"/>
      <c r="FU102" s="30"/>
      <c r="FV102" s="30"/>
      <c r="FW102" s="30"/>
      <c r="FX102" s="30"/>
      <c r="FY102" s="30"/>
      <c r="FZ102" s="30"/>
      <c r="GA102" s="30"/>
      <c r="GB102" s="30"/>
      <c r="GC102" s="30"/>
      <c r="GD102" s="30"/>
      <c r="GE102" s="30"/>
      <c r="GF102" s="30"/>
      <c r="GG102" s="30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30"/>
      <c r="GS102" s="30"/>
      <c r="GT102" s="30"/>
      <c r="GU102" s="30"/>
      <c r="GV102" s="30"/>
      <c r="GW102" s="30"/>
      <c r="GX102" s="30"/>
      <c r="GY102" s="30"/>
      <c r="GZ102" s="30"/>
      <c r="HA102" s="30"/>
      <c r="HB102" s="30"/>
      <c r="HC102" s="30"/>
      <c r="HD102" s="30"/>
      <c r="HE102" s="30"/>
      <c r="HF102" s="30"/>
      <c r="HG102" s="30"/>
      <c r="HH102" s="30"/>
      <c r="HI102" s="30"/>
      <c r="HJ102" s="30"/>
      <c r="HK102" s="30"/>
      <c r="HL102" s="30"/>
      <c r="HM102" s="30"/>
      <c r="HN102" s="30"/>
      <c r="HO102" s="30"/>
      <c r="HP102" s="30"/>
      <c r="HQ102" s="30"/>
      <c r="HR102" s="30"/>
      <c r="HS102" s="30"/>
      <c r="HT102" s="30"/>
    </row>
    <row r="103" spans="1:228" s="31" customFormat="1" ht="15" x14ac:dyDescent="0.25">
      <c r="A103" s="27" t="s">
        <v>43</v>
      </c>
      <c r="B103" s="28">
        <v>2713</v>
      </c>
      <c r="C103" s="28">
        <v>61</v>
      </c>
      <c r="D103" s="7" t="s">
        <v>46</v>
      </c>
      <c r="E103" s="29" t="s">
        <v>44</v>
      </c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  <c r="FS103" s="30"/>
      <c r="FT103" s="30"/>
      <c r="FU103" s="30"/>
      <c r="FV103" s="30"/>
      <c r="FW103" s="30"/>
      <c r="FX103" s="30"/>
      <c r="FY103" s="30"/>
      <c r="FZ103" s="30"/>
      <c r="GA103" s="30"/>
      <c r="GB103" s="30"/>
      <c r="GC103" s="30"/>
      <c r="GD103" s="30"/>
      <c r="GE103" s="30"/>
      <c r="GF103" s="30"/>
      <c r="GG103" s="30"/>
      <c r="GH103" s="30"/>
      <c r="GI103" s="30"/>
      <c r="GJ103" s="30"/>
      <c r="GK103" s="30"/>
      <c r="GL103" s="30"/>
      <c r="GM103" s="30"/>
      <c r="GN103" s="30"/>
      <c r="GO103" s="30"/>
      <c r="GP103" s="30"/>
      <c r="GQ103" s="30"/>
      <c r="GR103" s="30"/>
      <c r="GS103" s="30"/>
      <c r="GT103" s="30"/>
      <c r="GU103" s="30"/>
      <c r="GV103" s="30"/>
      <c r="GW103" s="30"/>
      <c r="GX103" s="30"/>
      <c r="GY103" s="30"/>
      <c r="GZ103" s="30"/>
      <c r="HA103" s="30"/>
      <c r="HB103" s="30"/>
      <c r="HC103" s="30"/>
      <c r="HD103" s="30"/>
      <c r="HE103" s="30"/>
      <c r="HF103" s="30"/>
      <c r="HG103" s="30"/>
      <c r="HH103" s="30"/>
      <c r="HI103" s="30"/>
      <c r="HJ103" s="30"/>
      <c r="HK103" s="30"/>
      <c r="HL103" s="30"/>
      <c r="HM103" s="30"/>
      <c r="HN103" s="30"/>
      <c r="HO103" s="30"/>
      <c r="HP103" s="30"/>
      <c r="HQ103" s="30"/>
      <c r="HR103" s="30"/>
      <c r="HS103" s="30"/>
      <c r="HT103" s="30"/>
    </row>
    <row r="104" spans="1:228" s="31" customFormat="1" ht="15" x14ac:dyDescent="0.25">
      <c r="A104" s="32" t="s">
        <v>13</v>
      </c>
      <c r="B104" s="33">
        <v>1871</v>
      </c>
      <c r="C104" s="33">
        <v>0</v>
      </c>
      <c r="D104" s="8" t="s">
        <v>46</v>
      </c>
      <c r="E104" s="34" t="s">
        <v>45</v>
      </c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  <c r="FS104" s="30"/>
      <c r="FT104" s="30"/>
      <c r="FU104" s="30"/>
      <c r="FV104" s="30"/>
      <c r="FW104" s="30"/>
      <c r="FX104" s="30"/>
      <c r="FY104" s="30"/>
      <c r="FZ104" s="30"/>
      <c r="GA104" s="30"/>
      <c r="GB104" s="30"/>
      <c r="GC104" s="30"/>
      <c r="GD104" s="30"/>
      <c r="GE104" s="30"/>
      <c r="GF104" s="30"/>
      <c r="GG104" s="30"/>
      <c r="GH104" s="30"/>
      <c r="GI104" s="30"/>
      <c r="GJ104" s="30"/>
      <c r="GK104" s="30"/>
      <c r="GL104" s="30"/>
      <c r="GM104" s="30"/>
      <c r="GN104" s="30"/>
      <c r="GO104" s="30"/>
      <c r="GP104" s="30"/>
      <c r="GQ104" s="30"/>
      <c r="GR104" s="30"/>
      <c r="GS104" s="30"/>
      <c r="GT104" s="30"/>
      <c r="GU104" s="30"/>
      <c r="GV104" s="30"/>
      <c r="GW104" s="30"/>
      <c r="GX104" s="30"/>
      <c r="GY104" s="30"/>
      <c r="GZ104" s="30"/>
      <c r="HA104" s="30"/>
      <c r="HB104" s="30"/>
      <c r="HC104" s="30"/>
      <c r="HD104" s="30"/>
      <c r="HE104" s="30"/>
      <c r="HF104" s="30"/>
      <c r="HG104" s="30"/>
      <c r="HH104" s="30"/>
      <c r="HI104" s="30"/>
      <c r="HJ104" s="30"/>
      <c r="HK104" s="30"/>
      <c r="HL104" s="30"/>
      <c r="HM104" s="30"/>
      <c r="HN104" s="30"/>
      <c r="HO104" s="30"/>
      <c r="HP104" s="30"/>
      <c r="HQ104" s="30"/>
      <c r="HR104" s="30"/>
      <c r="HS104" s="30"/>
      <c r="HT104" s="30"/>
    </row>
    <row r="105" spans="1:228" s="31" customFormat="1" ht="17.25" x14ac:dyDescent="0.45">
      <c r="B105" s="35"/>
      <c r="C105" s="35"/>
      <c r="E105" s="46" t="s">
        <v>61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 s="10"/>
      <c r="GM105" s="10"/>
      <c r="GN105" s="10"/>
      <c r="GO105" s="10"/>
      <c r="GP105" s="10"/>
      <c r="GQ105" s="10"/>
      <c r="GR105" s="10"/>
      <c r="GS105" s="10"/>
      <c r="GT105" s="10"/>
      <c r="GU105" s="10"/>
      <c r="GV105" s="10"/>
      <c r="GW105" s="10"/>
      <c r="GX105" s="10"/>
      <c r="GY105" s="10"/>
      <c r="GZ105" s="10"/>
      <c r="HA105" s="10"/>
      <c r="HB105" s="10"/>
      <c r="HC105" s="10"/>
      <c r="HD105" s="10"/>
      <c r="HE105" s="10"/>
      <c r="HF105" s="10"/>
      <c r="HG105" s="10"/>
      <c r="HH105" s="10"/>
      <c r="HI105" s="10"/>
      <c r="HJ105" s="10"/>
      <c r="HK105" s="10"/>
      <c r="HL105" s="10"/>
      <c r="HM105" s="10"/>
      <c r="HN105" s="10"/>
      <c r="HO105" s="10"/>
      <c r="HP105" s="10"/>
      <c r="HQ105" s="10"/>
      <c r="HR105" s="10"/>
      <c r="HS105" s="10"/>
      <c r="HT105" s="10"/>
    </row>
    <row r="106" spans="1:228" ht="12.75" x14ac:dyDescent="0.15">
      <c r="A106" s="36" t="s">
        <v>57</v>
      </c>
    </row>
    <row r="108" spans="1:228" ht="33" customHeight="1" x14ac:dyDescent="0.15">
      <c r="A108" s="48" t="s">
        <v>0</v>
      </c>
      <c r="B108" s="37" t="s">
        <v>58</v>
      </c>
      <c r="C108" s="38"/>
      <c r="D108" s="39" t="s">
        <v>59</v>
      </c>
      <c r="E108" s="51" t="s">
        <v>52</v>
      </c>
    </row>
    <row r="109" spans="1:228" ht="40.15" customHeight="1" x14ac:dyDescent="0.15">
      <c r="A109" s="49"/>
      <c r="B109" s="13" t="s">
        <v>60</v>
      </c>
      <c r="C109" s="5" t="s">
        <v>48</v>
      </c>
      <c r="D109" s="13" t="s">
        <v>50</v>
      </c>
      <c r="E109" s="52"/>
    </row>
    <row r="110" spans="1:228" ht="12.75" x14ac:dyDescent="0.2">
      <c r="A110" s="49"/>
      <c r="B110" s="18" t="s">
        <v>54</v>
      </c>
      <c r="C110" s="19" t="s">
        <v>47</v>
      </c>
      <c r="D110" s="18" t="s">
        <v>49</v>
      </c>
      <c r="E110" s="52"/>
    </row>
    <row r="111" spans="1:228" ht="12.75" x14ac:dyDescent="0.2">
      <c r="A111" s="50"/>
      <c r="B111" s="21" t="s">
        <v>55</v>
      </c>
      <c r="C111" s="21"/>
      <c r="D111" s="21"/>
      <c r="E111" s="53"/>
    </row>
    <row r="112" spans="1:228" ht="15" x14ac:dyDescent="0.15">
      <c r="A112" s="2" t="s">
        <v>1</v>
      </c>
      <c r="B112" s="25">
        <f>B113+B115+B114</f>
        <v>505.41666666666669</v>
      </c>
      <c r="C112" s="25">
        <f>C113+C115+C114</f>
        <v>4</v>
      </c>
      <c r="D112" s="25">
        <f t="shared" ref="D112" si="6">D113+D115+D114</f>
        <v>24.25</v>
      </c>
      <c r="E112" s="5" t="s">
        <v>2</v>
      </c>
    </row>
    <row r="113" spans="1:5" ht="15" x14ac:dyDescent="0.15">
      <c r="A113" s="2" t="s">
        <v>3</v>
      </c>
      <c r="B113" s="25">
        <v>72.416666666666671</v>
      </c>
      <c r="C113" s="25">
        <v>0</v>
      </c>
      <c r="D113" s="26">
        <v>0</v>
      </c>
      <c r="E113" s="5" t="s">
        <v>4</v>
      </c>
    </row>
    <row r="114" spans="1:5" s="40" customFormat="1" ht="15" x14ac:dyDescent="0.15">
      <c r="A114" s="2" t="s">
        <v>7</v>
      </c>
      <c r="B114" s="25">
        <v>0</v>
      </c>
      <c r="C114" s="25">
        <v>0</v>
      </c>
      <c r="D114" s="25">
        <v>24.25</v>
      </c>
      <c r="E114" s="5" t="s">
        <v>62</v>
      </c>
    </row>
    <row r="115" spans="1:5" ht="15" x14ac:dyDescent="0.15">
      <c r="A115" s="2" t="s">
        <v>5</v>
      </c>
      <c r="B115" s="25">
        <f>SUM(B116:B135)</f>
        <v>433</v>
      </c>
      <c r="C115" s="25">
        <f>SUM(C116:C135)</f>
        <v>4</v>
      </c>
      <c r="D115" s="25">
        <f t="shared" ref="D115" si="7">SUM(D116:D135)</f>
        <v>0</v>
      </c>
      <c r="E115" s="5" t="s">
        <v>6</v>
      </c>
    </row>
    <row r="116" spans="1:5" ht="15" x14ac:dyDescent="0.15">
      <c r="A116" s="41" t="s">
        <v>8</v>
      </c>
      <c r="B116" s="28">
        <v>21.583333333333332</v>
      </c>
      <c r="C116" s="28">
        <v>0</v>
      </c>
      <c r="D116" s="7" t="s">
        <v>46</v>
      </c>
      <c r="E116" s="9" t="s">
        <v>9</v>
      </c>
    </row>
    <row r="117" spans="1:5" ht="15" x14ac:dyDescent="0.15">
      <c r="A117" s="41" t="s">
        <v>10</v>
      </c>
      <c r="B117" s="28">
        <v>13.75</v>
      </c>
      <c r="C117" s="28">
        <v>0</v>
      </c>
      <c r="D117" s="7" t="s">
        <v>46</v>
      </c>
      <c r="E117" s="9" t="s">
        <v>11</v>
      </c>
    </row>
    <row r="118" spans="1:5" ht="15" x14ac:dyDescent="0.15">
      <c r="A118" s="41" t="s">
        <v>12</v>
      </c>
      <c r="B118" s="28">
        <v>22.25</v>
      </c>
      <c r="C118" s="28">
        <v>0</v>
      </c>
      <c r="D118" s="7" t="s">
        <v>46</v>
      </c>
      <c r="E118" s="9" t="s">
        <v>13</v>
      </c>
    </row>
    <row r="119" spans="1:5" ht="15" x14ac:dyDescent="0.15">
      <c r="A119" s="41" t="s">
        <v>14</v>
      </c>
      <c r="B119" s="28">
        <v>13.833333333333334</v>
      </c>
      <c r="C119" s="28">
        <v>0</v>
      </c>
      <c r="D119" s="7" t="s">
        <v>46</v>
      </c>
      <c r="E119" s="9" t="s">
        <v>15</v>
      </c>
    </row>
    <row r="120" spans="1:5" ht="15" x14ac:dyDescent="0.15">
      <c r="A120" s="41" t="s">
        <v>16</v>
      </c>
      <c r="B120" s="28">
        <v>27.5</v>
      </c>
      <c r="C120" s="28">
        <v>0</v>
      </c>
      <c r="D120" s="7" t="s">
        <v>46</v>
      </c>
      <c r="E120" s="9" t="s">
        <v>17</v>
      </c>
    </row>
    <row r="121" spans="1:5" ht="15" x14ac:dyDescent="0.15">
      <c r="A121" s="41" t="s">
        <v>18</v>
      </c>
      <c r="B121" s="28">
        <v>10.5</v>
      </c>
      <c r="C121" s="28">
        <v>0</v>
      </c>
      <c r="D121" s="7" t="s">
        <v>46</v>
      </c>
      <c r="E121" s="9" t="s">
        <v>19</v>
      </c>
    </row>
    <row r="122" spans="1:5" ht="15" x14ac:dyDescent="0.15">
      <c r="A122" s="41" t="s">
        <v>20</v>
      </c>
      <c r="B122" s="28">
        <v>13.583333333333334</v>
      </c>
      <c r="C122" s="28">
        <v>0</v>
      </c>
      <c r="D122" s="7" t="s">
        <v>46</v>
      </c>
      <c r="E122" s="9" t="s">
        <v>21</v>
      </c>
    </row>
    <row r="123" spans="1:5" ht="15" x14ac:dyDescent="0.15">
      <c r="A123" s="41" t="s">
        <v>22</v>
      </c>
      <c r="B123" s="28">
        <v>19.5</v>
      </c>
      <c r="C123" s="28">
        <v>0</v>
      </c>
      <c r="D123" s="7" t="s">
        <v>46</v>
      </c>
      <c r="E123" s="9" t="s">
        <v>23</v>
      </c>
    </row>
    <row r="124" spans="1:5" ht="15" x14ac:dyDescent="0.15">
      <c r="A124" s="41" t="s">
        <v>56</v>
      </c>
      <c r="B124" s="28">
        <v>15.333333333333334</v>
      </c>
      <c r="C124" s="28">
        <v>0</v>
      </c>
      <c r="D124" s="7" t="s">
        <v>46</v>
      </c>
      <c r="E124" s="9" t="s">
        <v>24</v>
      </c>
    </row>
    <row r="125" spans="1:5" ht="15" x14ac:dyDescent="0.15">
      <c r="A125" s="41" t="s">
        <v>25</v>
      </c>
      <c r="B125" s="28">
        <v>22.666666666666668</v>
      </c>
      <c r="C125" s="28">
        <v>0</v>
      </c>
      <c r="D125" s="7" t="s">
        <v>46</v>
      </c>
      <c r="E125" s="9" t="s">
        <v>26</v>
      </c>
    </row>
    <row r="126" spans="1:5" ht="15" x14ac:dyDescent="0.15">
      <c r="A126" s="41" t="s">
        <v>27</v>
      </c>
      <c r="B126" s="28">
        <v>2</v>
      </c>
      <c r="C126" s="28">
        <v>0</v>
      </c>
      <c r="D126" s="7" t="s">
        <v>46</v>
      </c>
      <c r="E126" s="9" t="s">
        <v>28</v>
      </c>
    </row>
    <row r="127" spans="1:5" ht="15" x14ac:dyDescent="0.15">
      <c r="A127" s="41" t="s">
        <v>29</v>
      </c>
      <c r="B127" s="28">
        <v>16.5</v>
      </c>
      <c r="C127" s="28">
        <v>0</v>
      </c>
      <c r="D127" s="7" t="s">
        <v>46</v>
      </c>
      <c r="E127" s="9" t="s">
        <v>30</v>
      </c>
    </row>
    <row r="128" spans="1:5" ht="15" x14ac:dyDescent="0.15">
      <c r="A128" s="41" t="s">
        <v>31</v>
      </c>
      <c r="B128" s="28">
        <v>21.166666666666668</v>
      </c>
      <c r="C128" s="28">
        <v>0</v>
      </c>
      <c r="D128" s="7" t="s">
        <v>46</v>
      </c>
      <c r="E128" s="9" t="s">
        <v>32</v>
      </c>
    </row>
    <row r="129" spans="1:5" ht="15" x14ac:dyDescent="0.15">
      <c r="A129" s="41" t="s">
        <v>33</v>
      </c>
      <c r="B129" s="28">
        <v>41.916666666666664</v>
      </c>
      <c r="C129" s="28">
        <v>1</v>
      </c>
      <c r="D129" s="7" t="s">
        <v>46</v>
      </c>
      <c r="E129" s="9" t="s">
        <v>34</v>
      </c>
    </row>
    <row r="130" spans="1:5" ht="15" x14ac:dyDescent="0.15">
      <c r="A130" s="41" t="s">
        <v>35</v>
      </c>
      <c r="B130" s="28">
        <v>25.75</v>
      </c>
      <c r="C130" s="28">
        <v>0</v>
      </c>
      <c r="D130" s="7" t="s">
        <v>46</v>
      </c>
      <c r="E130" s="9" t="s">
        <v>36</v>
      </c>
    </row>
    <row r="131" spans="1:5" ht="15" x14ac:dyDescent="0.15">
      <c r="A131" s="41" t="s">
        <v>37</v>
      </c>
      <c r="B131" s="28">
        <v>40.25</v>
      </c>
      <c r="C131" s="28">
        <v>0</v>
      </c>
      <c r="D131" s="7" t="s">
        <v>46</v>
      </c>
      <c r="E131" s="9" t="s">
        <v>38</v>
      </c>
    </row>
    <row r="132" spans="1:5" ht="15" x14ac:dyDescent="0.15">
      <c r="A132" s="41" t="s">
        <v>39</v>
      </c>
      <c r="B132" s="28">
        <v>32.166666666666664</v>
      </c>
      <c r="C132" s="28">
        <v>0</v>
      </c>
      <c r="D132" s="7" t="s">
        <v>46</v>
      </c>
      <c r="E132" s="9" t="s">
        <v>40</v>
      </c>
    </row>
    <row r="133" spans="1:5" ht="15" x14ac:dyDescent="0.15">
      <c r="A133" s="41" t="s">
        <v>41</v>
      </c>
      <c r="B133" s="28">
        <v>21.333333333333332</v>
      </c>
      <c r="C133" s="28">
        <v>1</v>
      </c>
      <c r="D133" s="7" t="s">
        <v>46</v>
      </c>
      <c r="E133" s="9" t="s">
        <v>42</v>
      </c>
    </row>
    <row r="134" spans="1:5" ht="15" x14ac:dyDescent="0.15">
      <c r="A134" s="41" t="s">
        <v>43</v>
      </c>
      <c r="B134" s="28">
        <v>29.166666666666668</v>
      </c>
      <c r="C134" s="28">
        <v>2</v>
      </c>
      <c r="D134" s="7" t="s">
        <v>46</v>
      </c>
      <c r="E134" s="9" t="s">
        <v>44</v>
      </c>
    </row>
    <row r="135" spans="1:5" ht="15" x14ac:dyDescent="0.15">
      <c r="A135" s="42" t="s">
        <v>13</v>
      </c>
      <c r="B135" s="33">
        <v>22.25</v>
      </c>
      <c r="C135" s="33">
        <v>0</v>
      </c>
      <c r="D135" s="8" t="s">
        <v>46</v>
      </c>
      <c r="E135" s="43" t="s">
        <v>45</v>
      </c>
    </row>
    <row r="136" spans="1:5" s="1" customFormat="1" ht="17.25" x14ac:dyDescent="0.45">
      <c r="A136" s="4" t="s">
        <v>63</v>
      </c>
      <c r="B136" s="44"/>
      <c r="C136" s="44"/>
      <c r="D136" s="45"/>
      <c r="E136" s="46" t="s">
        <v>61</v>
      </c>
    </row>
  </sheetData>
  <mergeCells count="14">
    <mergeCell ref="A1:E1"/>
    <mergeCell ref="A2:E2"/>
    <mergeCell ref="A3:C3"/>
    <mergeCell ref="A4:A8"/>
    <mergeCell ref="E4:E8"/>
    <mergeCell ref="A76:A80"/>
    <mergeCell ref="E76:E80"/>
    <mergeCell ref="A108:A111"/>
    <mergeCell ref="E108:E111"/>
    <mergeCell ref="A36:A39"/>
    <mergeCell ref="E36:E39"/>
    <mergeCell ref="A73:E73"/>
    <mergeCell ref="A74:E74"/>
    <mergeCell ref="A75:C75"/>
  </mergeCells>
  <pageMargins left="0.7" right="0.7" top="0.75" bottom="0.75" header="0.3" footer="0.3"/>
  <pageSetup paperSize="9" scale="58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9.8</vt:lpstr>
      <vt:lpstr>'9.8'!Print_Area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2020-01-12T06:25:17Z</cp:lastPrinted>
  <dcterms:created xsi:type="dcterms:W3CDTF">2019-09-09T05:11:24Z</dcterms:created>
  <dcterms:modified xsi:type="dcterms:W3CDTF">2020-01-12T06:25:28Z</dcterms:modified>
</cp:coreProperties>
</file>