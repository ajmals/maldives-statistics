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 tabRatio="833"/>
  </bookViews>
  <sheets>
    <sheet name="9.6" sheetId="6" r:id="rId1"/>
  </sheets>
  <definedNames>
    <definedName name="_xlnm.Print_Area" localSheetId="0">'9.6'!$A$1:$I$51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8" i="6" l="1"/>
  <c r="G27" i="6" l="1"/>
  <c r="F27" i="6"/>
  <c r="E27" i="6"/>
  <c r="D27" i="6"/>
  <c r="C27" i="6"/>
  <c r="B27" i="6"/>
  <c r="G20" i="6"/>
  <c r="F20" i="6"/>
  <c r="E20" i="6"/>
  <c r="D20" i="6"/>
  <c r="C20" i="6"/>
  <c r="B20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G6" i="6" s="1"/>
  <c r="F7" i="6"/>
  <c r="F6" i="6" s="1"/>
  <c r="E7" i="6"/>
  <c r="D7" i="6"/>
  <c r="C7" i="6"/>
  <c r="B7" i="6"/>
  <c r="E6" i="6"/>
  <c r="C6" i="6" l="1"/>
  <c r="B6" i="6"/>
  <c r="D6" i="6"/>
</calcChain>
</file>

<file path=xl/sharedStrings.xml><?xml version="1.0" encoding="utf-8"?>
<sst xmlns="http://schemas.openxmlformats.org/spreadsheetml/2006/main" count="64" uniqueCount="28">
  <si>
    <t>Bigeye tuna</t>
  </si>
  <si>
    <t>ilencnwk uDobOl</t>
  </si>
  <si>
    <t>(cnunwT ckircTem)</t>
  </si>
  <si>
    <t>cswmwlibuLwk</t>
  </si>
  <si>
    <t>ilencnwk</t>
  </si>
  <si>
    <t>cswmurwf cnehinehea</t>
  </si>
  <si>
    <t>Yellowfin tuna</t>
  </si>
  <si>
    <t>(In metric tons)</t>
  </si>
  <si>
    <t>ilencnwk ugid ctwfcnwk</t>
  </si>
  <si>
    <t>Skipjack</t>
  </si>
  <si>
    <t>Type of vessel &amp; species</t>
  </si>
  <si>
    <t>ctwvWb eguhwm iaWdnwLua</t>
  </si>
  <si>
    <t>All Vessels</t>
  </si>
  <si>
    <t>urwhwf udnwLua Whiruh</t>
  </si>
  <si>
    <t>Albacore</t>
  </si>
  <si>
    <t>Other tuna related species</t>
  </si>
  <si>
    <t>cswm iSov idwa iDnogWr ,iTcawl</t>
  </si>
  <si>
    <t>Other Marine Fishes</t>
  </si>
  <si>
    <t>Mechanised Masdhoni</t>
  </si>
  <si>
    <t>inOd cswm iLea unIjcnia</t>
  </si>
  <si>
    <t>Other vessels</t>
  </si>
  <si>
    <t>inOdcswm cnehinehea</t>
  </si>
  <si>
    <t>Longline vessels</t>
  </si>
  <si>
    <t>udnwLua egumwkirevcswm unEl</t>
  </si>
  <si>
    <t>މަޢުލޫމާތުދެއްވި ފަރާތް: މިނިސްޓްރީ އޮފް ފިޝަރީޒް، މެރިންރިސޯސަސް އެންޑް އެގްރިކަލްޗަރ</t>
  </si>
  <si>
    <t>2018 - 2013 ,cswminEb wtwvun ifih cnutog egutwvWb eguhwm iaWncnutog egudnwLua : 9.6 ulwvWt</t>
  </si>
  <si>
    <t>Table 9.6 :  FISH CATCH BY TYPE OF VESSELS AND SPECIES, 2013 - 2018</t>
  </si>
  <si>
    <t>Source: Ministry of Fisheries, Marine Resources and 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</si>
</sst>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7" formatCode="0.0"/>
    <numFmt numFmtId="169" formatCode="#,##0.0_);[Red]\(#,##0.0\)"/>
    <numFmt numFmtId="170" formatCode="[$-409]mmmm\ d\,\ yyyy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Waheed"/>
    </font>
    <font>
      <b/>
      <sz val="12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Calibri"/>
      <family val="2"/>
    </font>
    <font>
      <b/>
      <sz val="9"/>
      <name val="A_Waheed"/>
    </font>
    <font>
      <sz val="10"/>
      <name val="Calibri"/>
      <family val="2"/>
    </font>
    <font>
      <sz val="10"/>
      <name val="A_Waheed"/>
    </font>
    <font>
      <sz val="10"/>
      <name val="Arial"/>
      <family val="2"/>
    </font>
    <font>
      <b/>
      <sz val="10"/>
      <name val="Calibri"/>
      <family val="2"/>
    </font>
    <font>
      <b/>
      <sz val="10"/>
      <name val="A_Waheed"/>
    </font>
    <font>
      <sz val="9"/>
      <name val="Faruma"/>
    </font>
    <font>
      <i/>
      <sz val="9"/>
      <name val="Calibri"/>
      <family val="2"/>
    </font>
    <font>
      <sz val="9"/>
      <name val="A_Waheed"/>
    </font>
    <font>
      <sz val="9"/>
      <name val="Courier"/>
      <family val="3"/>
    </font>
    <font>
      <b/>
      <sz val="10"/>
      <name val="Arial"/>
      <family val="2"/>
    </font>
    <font>
      <sz val="9"/>
      <name val="Calibri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A_Faseyha"/>
    </font>
    <font>
      <i/>
      <sz val="10"/>
      <name val="Calibri"/>
      <family val="2"/>
      <scheme val="minor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2" fillId="0" borderId="0"/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</cellStyleXfs>
  <cellXfs count="57">
    <xf numFmtId="0" fontId="0" fillId="0" borderId="0" xfId="0"/>
    <xf numFmtId="164" fontId="2" fillId="2" borderId="0" xfId="2" applyFont="1" applyFill="1" applyAlignment="1">
      <alignment vertical="center"/>
    </xf>
    <xf numFmtId="164" fontId="9" fillId="2" borderId="0" xfId="2" applyFont="1" applyFill="1" applyAlignment="1" applyProtection="1">
      <alignment horizontal="left" vertical="center"/>
    </xf>
    <xf numFmtId="164" fontId="11" fillId="2" borderId="0" xfId="2" applyFont="1" applyFill="1" applyAlignment="1">
      <alignment vertical="center"/>
    </xf>
    <xf numFmtId="164" fontId="12" fillId="2" borderId="0" xfId="2" applyFont="1" applyFill="1" applyAlignment="1" applyProtection="1">
      <alignment horizontal="left" vertical="center"/>
    </xf>
    <xf numFmtId="164" fontId="13" fillId="2" borderId="0" xfId="0" applyNumberFormat="1" applyFont="1" applyFill="1" applyAlignment="1">
      <alignment horizontal="right" vertical="center"/>
    </xf>
    <xf numFmtId="164" fontId="9" fillId="2" borderId="1" xfId="2" applyFont="1" applyFill="1" applyBorder="1" applyAlignment="1" applyProtection="1">
      <alignment horizontal="left" vertical="center"/>
    </xf>
    <xf numFmtId="164" fontId="14" fillId="2" borderId="0" xfId="2" applyFont="1" applyFill="1" applyBorder="1" applyAlignment="1">
      <alignment horizontal="right" vertical="center"/>
    </xf>
    <xf numFmtId="164" fontId="17" fillId="2" borderId="0" xfId="2" applyFont="1" applyFill="1" applyAlignment="1">
      <alignment vertical="center"/>
    </xf>
    <xf numFmtId="164" fontId="15" fillId="2" borderId="0" xfId="2" applyFont="1" applyFill="1" applyAlignment="1" applyProtection="1">
      <alignment horizontal="left" vertical="center"/>
    </xf>
    <xf numFmtId="164" fontId="18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4" fontId="19" fillId="2" borderId="0" xfId="2" applyFont="1" applyFill="1" applyAlignment="1">
      <alignment vertical="center"/>
    </xf>
    <xf numFmtId="164" fontId="7" fillId="2" borderId="0" xfId="2" applyFont="1" applyFill="1" applyAlignment="1">
      <alignment vertical="center"/>
    </xf>
    <xf numFmtId="164" fontId="16" fillId="2" borderId="1" xfId="2" applyFont="1" applyFill="1" applyBorder="1" applyAlignment="1">
      <alignment horizontal="right" vertical="center"/>
    </xf>
    <xf numFmtId="164" fontId="8" fillId="2" borderId="0" xfId="2" applyFont="1" applyFill="1" applyAlignment="1">
      <alignment horizontal="right" vertical="center"/>
    </xf>
    <xf numFmtId="1" fontId="11" fillId="2" borderId="0" xfId="2" applyNumberFormat="1" applyFont="1" applyFill="1" applyAlignment="1">
      <alignment vertical="center"/>
    </xf>
    <xf numFmtId="164" fontId="19" fillId="2" borderId="0" xfId="2" applyFont="1" applyFill="1" applyAlignment="1">
      <alignment horizontal="right" vertical="center"/>
    </xf>
    <xf numFmtId="164" fontId="7" fillId="2" borderId="0" xfId="2" applyFont="1" applyFill="1" applyAlignment="1">
      <alignment horizontal="right" vertical="center"/>
    </xf>
    <xf numFmtId="164" fontId="7" fillId="2" borderId="0" xfId="2" applyFont="1" applyFill="1" applyAlignment="1" applyProtection="1">
      <alignment horizontal="centerContinuous" vertical="center"/>
    </xf>
    <xf numFmtId="164" fontId="7" fillId="2" borderId="0" xfId="2" applyFont="1" applyFill="1" applyAlignment="1">
      <alignment horizontal="centerContinuous" vertical="center"/>
    </xf>
    <xf numFmtId="164" fontId="20" fillId="2" borderId="0" xfId="2" applyFont="1" applyFill="1" applyAlignment="1">
      <alignment horizontal="centerContinuous" vertical="center"/>
    </xf>
    <xf numFmtId="164" fontId="12" fillId="2" borderId="3" xfId="2" applyFont="1" applyFill="1" applyBorder="1" applyAlignment="1" applyProtection="1">
      <alignment horizontal="left" vertical="center"/>
    </xf>
    <xf numFmtId="164" fontId="20" fillId="2" borderId="3" xfId="2" applyFont="1" applyFill="1" applyBorder="1" applyAlignment="1" applyProtection="1">
      <alignment horizontal="right" vertical="center"/>
    </xf>
    <xf numFmtId="164" fontId="13" fillId="2" borderId="3" xfId="2" applyFont="1" applyFill="1" applyBorder="1" applyAlignment="1">
      <alignment horizontal="right" vertical="center"/>
    </xf>
    <xf numFmtId="38" fontId="20" fillId="2" borderId="0" xfId="4" applyNumberFormat="1" applyFont="1" applyFill="1" applyAlignment="1" applyProtection="1">
      <alignment horizontal="right" vertical="center"/>
    </xf>
    <xf numFmtId="38" fontId="20" fillId="2" borderId="0" xfId="3" applyNumberFormat="1" applyFont="1" applyFill="1" applyAlignment="1" applyProtection="1">
      <alignment horizontal="right" vertical="center"/>
    </xf>
    <xf numFmtId="9" fontId="17" fillId="2" borderId="0" xfId="1" applyFont="1" applyFill="1" applyAlignment="1">
      <alignment vertical="center"/>
    </xf>
    <xf numFmtId="0" fontId="20" fillId="2" borderId="0" xfId="0" applyFont="1" applyFill="1" applyAlignment="1">
      <alignment horizontal="left"/>
    </xf>
    <xf numFmtId="164" fontId="12" fillId="2" borderId="2" xfId="2" applyFont="1" applyFill="1" applyBorder="1" applyAlignment="1" applyProtection="1">
      <alignment horizontal="left" vertical="center"/>
    </xf>
    <xf numFmtId="38" fontId="20" fillId="2" borderId="2" xfId="3" applyNumberFormat="1" applyFont="1" applyFill="1" applyBorder="1" applyAlignment="1" applyProtection="1">
      <alignment horizontal="right" vertical="center"/>
    </xf>
    <xf numFmtId="164" fontId="8" fillId="2" borderId="2" xfId="2" applyFont="1" applyFill="1" applyBorder="1" applyAlignment="1">
      <alignment horizontal="right" vertical="center"/>
    </xf>
    <xf numFmtId="38" fontId="22" fillId="2" borderId="0" xfId="4" applyNumberFormat="1" applyFont="1" applyFill="1" applyAlignment="1" applyProtection="1">
      <alignment horizontal="right" vertical="center"/>
      <protection locked="0"/>
    </xf>
    <xf numFmtId="38" fontId="22" fillId="2" borderId="0" xfId="3" applyNumberFormat="1" applyFont="1" applyFill="1" applyAlignment="1" applyProtection="1">
      <alignment horizontal="right" vertical="center"/>
      <protection locked="0"/>
    </xf>
    <xf numFmtId="164" fontId="16" fillId="2" borderId="0" xfId="2" applyFont="1" applyFill="1" applyAlignment="1">
      <alignment horizontal="right" vertical="center"/>
    </xf>
    <xf numFmtId="167" fontId="17" fillId="2" borderId="0" xfId="2" applyNumberFormat="1" applyFont="1" applyFill="1" applyAlignment="1">
      <alignment vertical="center"/>
    </xf>
    <xf numFmtId="164" fontId="10" fillId="2" borderId="0" xfId="0" applyNumberFormat="1" applyFont="1" applyFill="1" applyAlignment="1">
      <alignment horizontal="right" vertical="center"/>
    </xf>
    <xf numFmtId="0" fontId="22" fillId="2" borderId="0" xfId="0" applyFont="1" applyFill="1" applyAlignment="1">
      <alignment horizontal="left"/>
    </xf>
    <xf numFmtId="164" fontId="9" fillId="2" borderId="2" xfId="2" applyFont="1" applyFill="1" applyBorder="1" applyAlignment="1" applyProtection="1">
      <alignment horizontal="left" vertical="center"/>
    </xf>
    <xf numFmtId="38" fontId="22" fillId="2" borderId="2" xfId="3" applyNumberFormat="1" applyFont="1" applyFill="1" applyBorder="1" applyAlignment="1" applyProtection="1">
      <alignment horizontal="right" vertical="center"/>
      <protection locked="0"/>
    </xf>
    <xf numFmtId="164" fontId="16" fillId="2" borderId="2" xfId="2" applyFont="1" applyFill="1" applyBorder="1" applyAlignment="1">
      <alignment horizontal="right" vertical="center"/>
    </xf>
    <xf numFmtId="164" fontId="12" fillId="2" borderId="0" xfId="2" applyFont="1" applyFill="1" applyAlignment="1">
      <alignment horizontal="left" vertical="center"/>
    </xf>
    <xf numFmtId="164" fontId="9" fillId="2" borderId="0" xfId="2" applyFont="1" applyFill="1" applyAlignment="1">
      <alignment horizontal="left" vertical="center"/>
    </xf>
    <xf numFmtId="38" fontId="22" fillId="2" borderId="0" xfId="4" applyNumberFormat="1" applyFont="1" applyFill="1" applyAlignment="1" applyProtection="1">
      <alignment horizontal="right" vertical="center"/>
    </xf>
    <xf numFmtId="169" fontId="5" fillId="2" borderId="0" xfId="4" applyNumberFormat="1" applyFont="1" applyFill="1" applyAlignment="1" applyProtection="1">
      <alignment horizontal="right" vertical="center"/>
    </xf>
    <xf numFmtId="169" fontId="5" fillId="2" borderId="0" xfId="3" applyNumberFormat="1" applyFont="1" applyFill="1" applyAlignment="1" applyProtection="1">
      <alignment horizontal="right" vertical="center"/>
    </xf>
    <xf numFmtId="38" fontId="22" fillId="2" borderId="1" xfId="4" applyNumberFormat="1" applyFont="1" applyFill="1" applyBorder="1" applyAlignment="1" applyProtection="1">
      <alignment horizontal="right" vertical="center"/>
      <protection locked="0"/>
    </xf>
    <xf numFmtId="164" fontId="24" fillId="2" borderId="0" xfId="2" applyFont="1" applyFill="1" applyAlignment="1" applyProtection="1">
      <alignment horizontal="left" vertical="center"/>
    </xf>
    <xf numFmtId="164" fontId="9" fillId="2" borderId="0" xfId="2" applyFont="1" applyFill="1" applyAlignment="1">
      <alignment vertical="center"/>
    </xf>
    <xf numFmtId="164" fontId="22" fillId="2" borderId="0" xfId="2" applyFont="1" applyFill="1" applyAlignment="1">
      <alignment vertical="center"/>
    </xf>
    <xf numFmtId="1" fontId="25" fillId="2" borderId="0" xfId="2" applyNumberFormat="1" applyFont="1" applyFill="1" applyAlignment="1">
      <alignment vertical="center" readingOrder="2"/>
    </xf>
    <xf numFmtId="164" fontId="20" fillId="2" borderId="0" xfId="2" applyFont="1" applyFill="1" applyAlignment="1">
      <alignment vertical="center"/>
    </xf>
    <xf numFmtId="1" fontId="17" fillId="2" borderId="0" xfId="2" applyNumberFormat="1" applyFont="1" applyFill="1" applyAlignment="1">
      <alignment vertical="center"/>
    </xf>
    <xf numFmtId="1" fontId="0" fillId="2" borderId="0" xfId="2" applyNumberFormat="1" applyFont="1" applyFill="1" applyAlignment="1">
      <alignment vertical="center"/>
    </xf>
    <xf numFmtId="164" fontId="3" fillId="2" borderId="0" xfId="2" applyFont="1" applyFill="1" applyAlignment="1">
      <alignment horizontal="center" vertical="center"/>
    </xf>
    <xf numFmtId="164" fontId="4" fillId="2" borderId="0" xfId="2" applyFont="1" applyFill="1" applyAlignment="1" applyProtection="1">
      <alignment horizontal="center" vertical="center"/>
    </xf>
    <xf numFmtId="164" fontId="23" fillId="2" borderId="0" xfId="2" applyFont="1" applyFill="1" applyAlignment="1">
      <alignment horizontal="center" vertical="center" wrapText="1"/>
    </xf>
  </cellXfs>
  <cellStyles count="8">
    <cellStyle name="Comma 2" xfId="3"/>
    <cellStyle name="Comma_Fish &amp;  Agri - 8" xfId="4"/>
    <cellStyle name="Normal" xfId="0" builtinId="0"/>
    <cellStyle name="Normal 2_agri planning 2009 year book(final)" xfId="5"/>
    <cellStyle name="Normal 3_agri planning 2009 year book(final)" xfId="7"/>
    <cellStyle name="Normal 4_agri planning 2009 year book(final)" xfId="6"/>
    <cellStyle name="Normal_Fish &amp;  Agri - 8" xfId="2"/>
    <cellStyle name="Percent" xfId="1" builtinId="5"/>
  </cellStyles>
  <dxfs count="0"/>
  <tableStyles count="0" defaultTableStyle="TableStyleMedium2" defaultPivotStyle="PivotStyleLight16"/>
  <colors>
    <mruColors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Figure 9.4: Percentage of  fish catch by type of  species, 2017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694444444444444"/>
          <c:y val="0.2824973267230485"/>
          <c:w val="0.81388888888888888"/>
          <c:h val="0.6905197498460841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A98-4A59-9836-14A031CBDD0E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A98-4A59-9836-14A031CBDD0E}"/>
              </c:ext>
            </c:extLst>
          </c:dPt>
          <c:dPt>
            <c:idx val="2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A98-4A59-9836-14A031CBDD0E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A98-4A59-9836-14A031CBDD0E}"/>
              </c:ext>
            </c:extLst>
          </c:dPt>
          <c:dLbls>
            <c:dLbl>
              <c:idx val="0"/>
              <c:layout>
                <c:manualLayout>
                  <c:x val="-0.26848611365439784"/>
                  <c:y val="-8.998858838297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A98-4A59-9836-14A031CBDD0E}"/>
                </c:ext>
              </c:extLst>
            </c:dLbl>
            <c:dLbl>
              <c:idx val="1"/>
              <c:layout>
                <c:manualLayout>
                  <c:x val="0.21733748397729349"/>
                  <c:y val="3.484508729887025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A98-4A59-9836-14A031CBDD0E}"/>
                </c:ext>
              </c:extLst>
            </c:dLbl>
            <c:dLbl>
              <c:idx val="2"/>
              <c:layout>
                <c:manualLayout>
                  <c:x val="-2.8978346456692915E-2"/>
                  <c:y val="-4.99983798321506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A98-4A59-9836-14A031CBDD0E}"/>
                </c:ext>
              </c:extLst>
            </c:dLbl>
            <c:dLbl>
              <c:idx val="3"/>
              <c:layout>
                <c:manualLayout>
                  <c:x val="0.13162945329508222"/>
                  <c:y val="1.745863288828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2A98-4A59-9836-14A031CBDD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'9.6'!$A$7:$A$12</c15:sqref>
                  </c15:fullRef>
                </c:ext>
              </c:extLst>
              <c:f>('9.6'!$A$7:$A$9,'9.6'!$A$12)</c:f>
              <c:strCache>
                <c:ptCount val="4"/>
                <c:pt idx="0">
                  <c:v>Skipjack</c:v>
                </c:pt>
                <c:pt idx="1">
                  <c:v>Yellowfin tuna</c:v>
                </c:pt>
                <c:pt idx="2">
                  <c:v>Bigeye tuna</c:v>
                </c:pt>
                <c:pt idx="3">
                  <c:v>Other Marine Fishes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'9.6'!$F$7:$F$12</c15:sqref>
                  </c15:fullRef>
                </c:ext>
              </c:extLst>
              <c:f>('9.6'!$F$7:$F$9,'9.6'!$F$12)</c:f>
              <c:numCache>
                <c:formatCode>#,##0_);[Red]\(#,##0\)</c:formatCode>
                <c:ptCount val="4"/>
                <c:pt idx="0">
                  <c:v>89683.148024090726</c:v>
                </c:pt>
                <c:pt idx="1">
                  <c:v>49376.811349197844</c:v>
                </c:pt>
                <c:pt idx="2">
                  <c:v>1074.1737564163373</c:v>
                </c:pt>
                <c:pt idx="3">
                  <c:v>2493.9263026769804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'9.6'!$F$10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4">
                            <a:tint val="50000"/>
                            <a:satMod val="300000"/>
                          </a:schemeClr>
                        </a:gs>
                        <a:gs pos="35000">
                          <a:schemeClr val="accent4">
                            <a:tint val="37000"/>
                            <a:satMod val="300000"/>
                          </a:schemeClr>
                        </a:gs>
                        <a:gs pos="100000">
                          <a:schemeClr val="accent4"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>
                      <a:noFill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  <a:sp3d/>
                  </c15:spPr>
                  <c15:bubble3D val="0"/>
                  <c15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2C26-457D-976D-FC7BBF149D59}"/>
                      </c:ext>
                    </c:extLst>
                  </c15:dLbl>
                </c15:categoryFilterException>
                <c15:categoryFilterException>
                  <c15:sqref>'9.6'!$F$11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5">
                            <a:tint val="50000"/>
                            <a:satMod val="300000"/>
                          </a:schemeClr>
                        </a:gs>
                        <a:gs pos="35000">
                          <a:schemeClr val="accent5">
                            <a:tint val="37000"/>
                            <a:satMod val="300000"/>
                          </a:schemeClr>
                        </a:gs>
                        <a:gs pos="100000">
                          <a:schemeClr val="accent5"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>
                      <a:noFill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  <a:sp3d/>
                  </c15:spPr>
                  <c15:bubble3D val="0"/>
                  <c15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2C26-457D-976D-FC7BBF149D59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2A98-4A59-9836-14A031CBD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AE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Figure 9.4: Percentage of  fish catch by type of  species, 2018</a:t>
            </a:r>
          </a:p>
        </c:rich>
      </c:tx>
      <c:layout>
        <c:manualLayout>
          <c:xMode val="edge"/>
          <c:yMode val="edge"/>
          <c:x val="0.22313820984275426"/>
          <c:y val="4.6497437556987271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672524381242126E-2"/>
          <c:y val="0.26127589109018434"/>
          <c:w val="0.81388888888888888"/>
          <c:h val="0.6905197498460841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A9F-4895-81DB-58F06A800A85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A9F-4895-81DB-58F06A800A85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8A9F-4895-81DB-58F06A800A85}"/>
              </c:ext>
            </c:extLst>
          </c:dPt>
          <c:dLbls>
            <c:dLbl>
              <c:idx val="0"/>
              <c:layout>
                <c:manualLayout>
                  <c:x val="-0.26848611365439784"/>
                  <c:y val="-8.998858838297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A9F-4895-81DB-58F06A800A85}"/>
                </c:ext>
              </c:extLst>
            </c:dLbl>
            <c:dLbl>
              <c:idx val="1"/>
              <c:layout>
                <c:manualLayout>
                  <c:x val="0.16284151129610161"/>
                  <c:y val="6.38305945452469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A9F-4895-81DB-58F06A800A85}"/>
                </c:ext>
              </c:extLst>
            </c:dLbl>
            <c:dLbl>
              <c:idx val="2"/>
              <c:layout>
                <c:manualLayout>
                  <c:x val="0.13162945329508222"/>
                  <c:y val="1.745863288828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8A9F-4895-81DB-58F06A800A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'9.6'!$A$7:$A$12</c15:sqref>
                  </c15:fullRef>
                </c:ext>
              </c:extLst>
              <c:f>('9.6'!$A$7:$A$8,'9.6'!$A$12)</c:f>
              <c:strCache>
                <c:ptCount val="3"/>
                <c:pt idx="0">
                  <c:v>Skipjack</c:v>
                </c:pt>
                <c:pt idx="1">
                  <c:v>Yellowfin tuna</c:v>
                </c:pt>
                <c:pt idx="2">
                  <c:v>Other Marine Fishes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'9.6'!$G$7:$G$12</c15:sqref>
                  </c15:fullRef>
                </c:ext>
              </c:extLst>
              <c:f>('9.6'!$G$7:$G$8,'9.6'!$G$12)</c:f>
              <c:numCache>
                <c:formatCode>#,##0_);[Red]\(#,##0\)</c:formatCode>
                <c:ptCount val="3"/>
                <c:pt idx="0">
                  <c:v>100099.48690598567</c:v>
                </c:pt>
                <c:pt idx="1">
                  <c:v>47216.695506999946</c:v>
                </c:pt>
                <c:pt idx="2">
                  <c:v>2825.4547469191102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'9.6'!$G$9</c15:sqref>
                  <c15:spPr xmlns:c15="http://schemas.microsoft.com/office/drawing/2012/chart">
                    <a:solidFill>
                      <a:schemeClr val="accent1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  <a:sp3d/>
                  </c15:spPr>
                  <c15:bubble3D val="0"/>
                  <c15:dLbl>
                    <c:idx val="1"/>
                    <c:layout>
                      <c:manualLayout>
                        <c:x val="-2.8978346456692915E-2"/>
                        <c:y val="-4.9998379832150608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layout/>
                      </c:ext>
                      <c:ext xmlns:c16="http://schemas.microsoft.com/office/drawing/2014/chart" uri="{C3380CC4-5D6E-409C-BE32-E72D297353CC}">
                        <c16:uniqueId val="{00000005-8A9F-4895-81DB-58F06A800A85}"/>
                      </c:ext>
                    </c:extLst>
                  </c15:dLbl>
                </c15:categoryFilterException>
                <c15:categoryFilterException>
                  <c15:sqref>'9.6'!$G$10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4">
                            <a:tint val="50000"/>
                            <a:satMod val="300000"/>
                          </a:schemeClr>
                        </a:gs>
                        <a:gs pos="35000">
                          <a:schemeClr val="accent4">
                            <a:tint val="37000"/>
                            <a:satMod val="300000"/>
                          </a:schemeClr>
                        </a:gs>
                        <a:gs pos="100000">
                          <a:schemeClr val="accent4"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>
                      <a:noFill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  <a:sp3d/>
                  </c15:spPr>
                  <c15:bubble3D val="0"/>
                </c15:categoryFilterException>
                <c15:categoryFilterException>
                  <c15:sqref>'9.6'!$G$11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5">
                            <a:tint val="50000"/>
                            <a:satMod val="300000"/>
                          </a:schemeClr>
                        </a:gs>
                        <a:gs pos="35000">
                          <a:schemeClr val="accent5">
                            <a:tint val="37000"/>
                            <a:satMod val="300000"/>
                          </a:schemeClr>
                        </a:gs>
                        <a:gs pos="100000">
                          <a:schemeClr val="accent5"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>
                      <a:noFill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  <a:sp3d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8A9F-4895-81DB-58F06A800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DF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552449</xdr:colOff>
      <xdr:row>35</xdr:row>
      <xdr:rowOff>0</xdr:rowOff>
    </xdr:from>
    <xdr:to>
      <xdr:col>6</xdr:col>
      <xdr:colOff>809624</xdr:colOff>
      <xdr:row>50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560567</xdr:colOff>
      <xdr:row>34</xdr:row>
      <xdr:rowOff>159652</xdr:rowOff>
    </xdr:from>
    <xdr:to>
      <xdr:col>7</xdr:col>
      <xdr:colOff>817742</xdr:colOff>
      <xdr:row>50</xdr:row>
      <xdr:rowOff>6819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tabSelected="1" zoomScale="86" zoomScaleNormal="86" workbookViewId="0">
      <selection activeCell="O39" sqref="O39"/>
    </sheetView>
  </sheetViews>
  <sheetFormatPr defaultColWidth="8.85546875" defaultRowHeight="12.75" x14ac:dyDescent="0.25"/>
  <cols>
    <col min="1" max="1" width="24.7109375" style="3" customWidth="1"/>
    <col min="2" max="7" width="12.7109375" style="49" customWidth="1"/>
    <col min="8" max="8" width="26.5703125" style="16" customWidth="1"/>
    <col min="9" max="9" width="2" style="3" customWidth="1"/>
    <col min="10" max="13" width="8.85546875" style="3"/>
    <col min="14" max="14" width="22.28515625" style="3" bestFit="1" customWidth="1"/>
    <col min="15" max="16384" width="8.85546875" style="3"/>
  </cols>
  <sheetData>
    <row r="1" spans="1:28" s="10" customFormat="1" ht="18.75" x14ac:dyDescent="0.25">
      <c r="A1" s="54" t="s">
        <v>25</v>
      </c>
      <c r="B1" s="54"/>
      <c r="C1" s="54"/>
      <c r="D1" s="54"/>
      <c r="E1" s="54"/>
      <c r="F1" s="54"/>
      <c r="G1" s="54"/>
      <c r="H1" s="5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18" customFormat="1" ht="15.75" x14ac:dyDescent="0.25">
      <c r="A2" s="55" t="s">
        <v>26</v>
      </c>
      <c r="B2" s="55"/>
      <c r="C2" s="55"/>
      <c r="D2" s="55"/>
      <c r="E2" s="55"/>
      <c r="F2" s="55"/>
      <c r="G2" s="55"/>
      <c r="H2" s="55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s="11" customFormat="1" ht="15.75" x14ac:dyDescent="0.25">
      <c r="A3" s="56" t="s">
        <v>2</v>
      </c>
      <c r="B3" s="56"/>
      <c r="C3" s="56"/>
      <c r="D3" s="56"/>
      <c r="E3" s="56"/>
      <c r="F3" s="56"/>
      <c r="G3" s="56"/>
      <c r="H3" s="5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s="13" customFormat="1" x14ac:dyDescent="0.25">
      <c r="A4" s="19" t="s">
        <v>7</v>
      </c>
      <c r="B4" s="21"/>
      <c r="C4" s="21"/>
      <c r="D4" s="21"/>
      <c r="E4" s="21"/>
      <c r="F4" s="21"/>
      <c r="G4" s="21"/>
      <c r="H4" s="20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 s="10" customFormat="1" ht="15" x14ac:dyDescent="0.25">
      <c r="A5" s="22" t="s">
        <v>10</v>
      </c>
      <c r="B5" s="23">
        <v>2013</v>
      </c>
      <c r="C5" s="23">
        <v>2014</v>
      </c>
      <c r="D5" s="23">
        <v>2015</v>
      </c>
      <c r="E5" s="23">
        <v>2016</v>
      </c>
      <c r="F5" s="23">
        <v>2017</v>
      </c>
      <c r="G5" s="23">
        <v>2018</v>
      </c>
      <c r="H5" s="24" t="s">
        <v>11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s="11" customFormat="1" ht="14.25" x14ac:dyDescent="0.25">
      <c r="A6" s="4" t="s">
        <v>12</v>
      </c>
      <c r="B6" s="25">
        <f>SUM(B7:B12)</f>
        <v>129843.14697257294</v>
      </c>
      <c r="C6" s="25">
        <f t="shared" ref="C6:G6" si="0">SUM(C7:C12)</f>
        <v>128683.22700000007</v>
      </c>
      <c r="D6" s="25">
        <f t="shared" si="0"/>
        <v>127351.81848143297</v>
      </c>
      <c r="E6" s="25">
        <f t="shared" si="0"/>
        <v>129190.99510655231</v>
      </c>
      <c r="F6" s="25">
        <f t="shared" si="0"/>
        <v>143159.96433162465</v>
      </c>
      <c r="G6" s="25">
        <f t="shared" si="0"/>
        <v>151024.32375223361</v>
      </c>
      <c r="H6" s="15" t="s">
        <v>13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s="11" customFormat="1" ht="14.25" x14ac:dyDescent="0.25">
      <c r="A7" s="4" t="s">
        <v>9</v>
      </c>
      <c r="B7" s="26">
        <f t="shared" ref="B7:G12" si="1">B14+B21+B28</f>
        <v>74421.630037020906</v>
      </c>
      <c r="C7" s="26">
        <f t="shared" si="1"/>
        <v>68521.958485088442</v>
      </c>
      <c r="D7" s="26">
        <f t="shared" si="1"/>
        <v>69244.324399131321</v>
      </c>
      <c r="E7" s="26">
        <f t="shared" si="1"/>
        <v>69589.480938961424</v>
      </c>
      <c r="F7" s="26">
        <f t="shared" si="1"/>
        <v>89683.148024090726</v>
      </c>
      <c r="G7" s="26">
        <f t="shared" si="1"/>
        <v>100099.48690598567</v>
      </c>
      <c r="H7" s="15" t="s">
        <v>3</v>
      </c>
      <c r="I7" s="27"/>
      <c r="J7" s="27"/>
      <c r="K7" s="27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s="11" customFormat="1" ht="14.25" x14ac:dyDescent="0.25">
      <c r="A8" s="4" t="s">
        <v>6</v>
      </c>
      <c r="B8" s="26">
        <f>B15+B22+B29</f>
        <v>45626.057995683717</v>
      </c>
      <c r="C8" s="26">
        <f t="shared" si="1"/>
        <v>49100.552219018806</v>
      </c>
      <c r="D8" s="26">
        <f t="shared" si="1"/>
        <v>51472.456475638181</v>
      </c>
      <c r="E8" s="26">
        <f t="shared" si="1"/>
        <v>53705.451966179055</v>
      </c>
      <c r="F8" s="26">
        <f t="shared" si="1"/>
        <v>49376.811349197844</v>
      </c>
      <c r="G8" s="26">
        <f t="shared" si="1"/>
        <v>47216.695506999946</v>
      </c>
      <c r="H8" s="15" t="s">
        <v>4</v>
      </c>
      <c r="I8" s="27"/>
      <c r="J8" s="27"/>
      <c r="K8" s="2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s="11" customFormat="1" ht="15" x14ac:dyDescent="0.25">
      <c r="A9" s="4" t="s">
        <v>0</v>
      </c>
      <c r="B9" s="26">
        <f>B16+B23+B30</f>
        <v>1520.3581800000002</v>
      </c>
      <c r="C9" s="26">
        <f t="shared" si="1"/>
        <v>2334.0795325544514</v>
      </c>
      <c r="D9" s="26">
        <f t="shared" si="1"/>
        <v>1828.2678227461424</v>
      </c>
      <c r="E9" s="26">
        <f t="shared" si="1"/>
        <v>2480.0423404201283</v>
      </c>
      <c r="F9" s="26">
        <f t="shared" si="1"/>
        <v>1074.1737564163373</v>
      </c>
      <c r="G9" s="26">
        <f t="shared" si="1"/>
        <v>432.30529269740236</v>
      </c>
      <c r="H9" s="5" t="s">
        <v>1</v>
      </c>
      <c r="I9" s="27"/>
      <c r="J9" s="27"/>
      <c r="K9" s="2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s="11" customFormat="1" ht="15" x14ac:dyDescent="0.2">
      <c r="A10" s="28" t="s">
        <v>14</v>
      </c>
      <c r="B10" s="26">
        <f>B17+B24+B31</f>
        <v>0</v>
      </c>
      <c r="C10" s="26">
        <f t="shared" si="1"/>
        <v>0</v>
      </c>
      <c r="D10" s="26">
        <f t="shared" si="1"/>
        <v>1.2469999999999999</v>
      </c>
      <c r="E10" s="26">
        <f t="shared" si="1"/>
        <v>15.290000000000001</v>
      </c>
      <c r="F10" s="26">
        <f t="shared" si="1"/>
        <v>3.4710000000000005</v>
      </c>
      <c r="G10" s="26">
        <f t="shared" si="1"/>
        <v>10.569000000000001</v>
      </c>
      <c r="H10" s="5" t="s">
        <v>8</v>
      </c>
      <c r="I10" s="27"/>
      <c r="J10" s="27"/>
      <c r="K10" s="2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s="11" customFormat="1" ht="14.25" x14ac:dyDescent="0.25">
      <c r="A11" s="4" t="s">
        <v>15</v>
      </c>
      <c r="B11" s="26">
        <f>B18+B25+B32</f>
        <v>1664.0466762930218</v>
      </c>
      <c r="C11" s="26">
        <f t="shared" si="1"/>
        <v>1590.1763812155898</v>
      </c>
      <c r="D11" s="26">
        <f t="shared" si="1"/>
        <v>388.14185000950374</v>
      </c>
      <c r="E11" s="26">
        <f t="shared" si="1"/>
        <v>184.62584430785094</v>
      </c>
      <c r="F11" s="26">
        <f t="shared" si="1"/>
        <v>528.43389924277017</v>
      </c>
      <c r="G11" s="26">
        <f t="shared" si="1"/>
        <v>439.81229963149298</v>
      </c>
      <c r="H11" s="15" t="s">
        <v>16</v>
      </c>
      <c r="I11" s="27"/>
      <c r="J11" s="27"/>
      <c r="K11" s="2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s="11" customFormat="1" ht="14.25" x14ac:dyDescent="0.25">
      <c r="A12" s="29" t="s">
        <v>17</v>
      </c>
      <c r="B12" s="30">
        <f>B19+B26+B33</f>
        <v>6611.0540835753118</v>
      </c>
      <c r="C12" s="30">
        <f t="shared" si="1"/>
        <v>7136.4603821227938</v>
      </c>
      <c r="D12" s="30">
        <f t="shared" si="1"/>
        <v>4417.3809339078243</v>
      </c>
      <c r="E12" s="30">
        <f t="shared" si="1"/>
        <v>3216.1040166838497</v>
      </c>
      <c r="F12" s="30">
        <f t="shared" si="1"/>
        <v>2493.9263026769804</v>
      </c>
      <c r="G12" s="30">
        <f t="shared" si="1"/>
        <v>2825.4547469191102</v>
      </c>
      <c r="H12" s="31" t="s">
        <v>5</v>
      </c>
      <c r="I12" s="27"/>
      <c r="J12" s="27"/>
      <c r="K12" s="2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s="11" customFormat="1" ht="14.25" x14ac:dyDescent="0.25">
      <c r="A13" s="4" t="s">
        <v>18</v>
      </c>
      <c r="B13" s="25">
        <f t="shared" ref="B13:G13" si="2">SUM(B14:B19)</f>
        <v>127749.7519243329</v>
      </c>
      <c r="C13" s="25">
        <f t="shared" si="2"/>
        <v>125719.12905590361</v>
      </c>
      <c r="D13" s="25">
        <f t="shared" si="2"/>
        <v>126033.20197139472</v>
      </c>
      <c r="E13" s="25">
        <f t="shared" si="2"/>
        <v>126998.75543939034</v>
      </c>
      <c r="F13" s="25">
        <f t="shared" si="2"/>
        <v>140592.52760031726</v>
      </c>
      <c r="G13" s="25">
        <f t="shared" si="2"/>
        <v>149483.07983864215</v>
      </c>
      <c r="H13" s="15" t="s">
        <v>19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s="11" customFormat="1" ht="14.25" x14ac:dyDescent="0.25">
      <c r="A14" s="2" t="s">
        <v>9</v>
      </c>
      <c r="B14" s="33">
        <v>74320.951139064913</v>
      </c>
      <c r="C14" s="33">
        <v>68264.06166711259</v>
      </c>
      <c r="D14" s="33">
        <v>68993.039348680875</v>
      </c>
      <c r="E14" s="33">
        <v>69296.858985614817</v>
      </c>
      <c r="F14" s="33">
        <v>89674.12634652984</v>
      </c>
      <c r="G14" s="33">
        <v>99948.05043073585</v>
      </c>
      <c r="H14" s="34" t="s">
        <v>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s="11" customFormat="1" ht="14.25" x14ac:dyDescent="0.25">
      <c r="A15" s="2" t="s">
        <v>6</v>
      </c>
      <c r="B15" s="33">
        <v>45098.605516431489</v>
      </c>
      <c r="C15" s="33">
        <v>48392.262881971219</v>
      </c>
      <c r="D15" s="33">
        <v>50839.521094786913</v>
      </c>
      <c r="E15" s="33">
        <v>52923.722126591507</v>
      </c>
      <c r="F15" s="33">
        <v>48084.267819922592</v>
      </c>
      <c r="G15" s="33">
        <v>46558.076742999947</v>
      </c>
      <c r="H15" s="34" t="s">
        <v>4</v>
      </c>
      <c r="I15" s="8"/>
      <c r="J15" s="8"/>
      <c r="K15" s="8"/>
      <c r="L15" s="8"/>
      <c r="M15" s="8"/>
      <c r="N15" s="4"/>
      <c r="O15" s="8"/>
      <c r="P15" s="8"/>
      <c r="Q15" s="8"/>
      <c r="R15" s="4"/>
      <c r="S15" s="25"/>
      <c r="T15" s="35"/>
      <c r="U15" s="8"/>
      <c r="V15" s="8"/>
      <c r="W15" s="8"/>
      <c r="X15" s="8"/>
      <c r="Y15" s="8"/>
      <c r="Z15" s="8"/>
      <c r="AA15" s="8"/>
      <c r="AB15" s="8"/>
    </row>
    <row r="16" spans="1:28" s="11" customFormat="1" ht="15" x14ac:dyDescent="0.25">
      <c r="A16" s="2" t="s">
        <v>0</v>
      </c>
      <c r="B16" s="33">
        <v>461.89524</v>
      </c>
      <c r="C16" s="33">
        <v>832.08553255445054</v>
      </c>
      <c r="D16" s="33">
        <v>1597.0517227461426</v>
      </c>
      <c r="E16" s="33">
        <v>1850.7364661923034</v>
      </c>
      <c r="F16" s="33">
        <v>382.19979641633751</v>
      </c>
      <c r="G16" s="33">
        <v>267.71670285126027</v>
      </c>
      <c r="H16" s="36" t="s">
        <v>1</v>
      </c>
      <c r="I16" s="8"/>
      <c r="J16" s="8"/>
      <c r="K16" s="8"/>
      <c r="L16" s="8"/>
      <c r="M16" s="8"/>
      <c r="N16" s="4"/>
      <c r="O16" s="8"/>
      <c r="P16" s="8"/>
      <c r="Q16" s="8"/>
      <c r="R16" s="4"/>
      <c r="S16" s="25"/>
      <c r="T16" s="35"/>
      <c r="U16" s="8"/>
      <c r="V16" s="8"/>
      <c r="W16" s="8"/>
      <c r="X16" s="8"/>
      <c r="Y16" s="8"/>
      <c r="Z16" s="8"/>
      <c r="AA16" s="8"/>
      <c r="AB16" s="8"/>
    </row>
    <row r="17" spans="1:28" s="11" customFormat="1" ht="15" x14ac:dyDescent="0.2">
      <c r="A17" s="37" t="s">
        <v>14</v>
      </c>
      <c r="B17" s="33">
        <v>0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6" t="s">
        <v>8</v>
      </c>
      <c r="I17" s="8"/>
      <c r="J17" s="8"/>
      <c r="K17" s="8"/>
      <c r="L17" s="8"/>
      <c r="M17" s="8"/>
      <c r="N17" s="4"/>
      <c r="O17" s="8"/>
      <c r="P17" s="8"/>
      <c r="Q17" s="8"/>
      <c r="R17" s="4"/>
      <c r="S17" s="25"/>
      <c r="T17" s="35"/>
      <c r="U17" s="8"/>
      <c r="V17" s="8"/>
      <c r="W17" s="8"/>
      <c r="X17" s="8"/>
      <c r="Y17" s="8"/>
      <c r="Z17" s="8"/>
      <c r="AA17" s="8"/>
      <c r="AB17" s="8"/>
    </row>
    <row r="18" spans="1:28" s="11" customFormat="1" ht="14.25" x14ac:dyDescent="0.25">
      <c r="A18" s="2" t="s">
        <v>15</v>
      </c>
      <c r="B18" s="33">
        <v>1633.567275997812</v>
      </c>
      <c r="C18" s="33">
        <v>1578.9184695880226</v>
      </c>
      <c r="D18" s="33">
        <v>382.14671124456078</v>
      </c>
      <c r="E18" s="33">
        <v>184.62584430785094</v>
      </c>
      <c r="F18" s="33">
        <v>528.43389924277017</v>
      </c>
      <c r="G18" s="33">
        <v>420.82297649699524</v>
      </c>
      <c r="H18" s="34" t="s">
        <v>16</v>
      </c>
      <c r="I18" s="8"/>
      <c r="J18" s="8"/>
      <c r="K18" s="8"/>
      <c r="L18" s="8"/>
      <c r="M18" s="8"/>
      <c r="N18" s="4"/>
      <c r="O18" s="8"/>
      <c r="P18" s="8"/>
      <c r="Q18" s="8"/>
      <c r="R18" s="4"/>
      <c r="S18" s="25"/>
      <c r="T18" s="35"/>
      <c r="U18" s="8"/>
      <c r="V18" s="8"/>
      <c r="W18" s="8"/>
      <c r="X18" s="8"/>
      <c r="Y18" s="8"/>
      <c r="Z18" s="8"/>
      <c r="AA18" s="8"/>
      <c r="AB18" s="8"/>
    </row>
    <row r="19" spans="1:28" s="11" customFormat="1" ht="14.25" x14ac:dyDescent="0.25">
      <c r="A19" s="38" t="s">
        <v>17</v>
      </c>
      <c r="B19" s="39">
        <v>6234.7327528386877</v>
      </c>
      <c r="C19" s="39">
        <v>6651.8005046773324</v>
      </c>
      <c r="D19" s="39">
        <v>4221.4430939362337</v>
      </c>
      <c r="E19" s="39">
        <v>2742.8120166838498</v>
      </c>
      <c r="F19" s="39">
        <v>1923.4997382057331</v>
      </c>
      <c r="G19" s="39">
        <v>2288.4129855580886</v>
      </c>
      <c r="H19" s="40" t="s">
        <v>5</v>
      </c>
      <c r="I19" s="8"/>
      <c r="J19" s="8"/>
      <c r="K19" s="8"/>
      <c r="L19" s="8"/>
      <c r="M19" s="8"/>
      <c r="N19" s="4"/>
      <c r="O19" s="8"/>
      <c r="P19" s="8"/>
      <c r="Q19" s="8"/>
      <c r="R19" s="4"/>
      <c r="S19" s="25"/>
      <c r="T19" s="35"/>
      <c r="U19" s="8"/>
      <c r="V19" s="8"/>
      <c r="W19" s="8"/>
      <c r="X19" s="8"/>
      <c r="Y19" s="8"/>
      <c r="Z19" s="8"/>
      <c r="AA19" s="8"/>
      <c r="AB19" s="8"/>
    </row>
    <row r="20" spans="1:28" s="11" customFormat="1" ht="14.25" x14ac:dyDescent="0.25">
      <c r="A20" s="4" t="s">
        <v>20</v>
      </c>
      <c r="B20" s="25">
        <f t="shared" ref="B20:G20" si="3">SUM(B21:B26)</f>
        <v>492.97239824004771</v>
      </c>
      <c r="C20" s="25">
        <f t="shared" si="3"/>
        <v>840.85994409647162</v>
      </c>
      <c r="D20" s="25">
        <f t="shared" si="3"/>
        <v>834.73882003824372</v>
      </c>
      <c r="E20" s="25">
        <f t="shared" si="3"/>
        <v>350.24466716197429</v>
      </c>
      <c r="F20" s="25">
        <f t="shared" si="3"/>
        <v>31.751651307386688</v>
      </c>
      <c r="G20" s="25">
        <f t="shared" si="3"/>
        <v>195.73893359147394</v>
      </c>
      <c r="H20" s="15" t="s">
        <v>21</v>
      </c>
      <c r="I20" s="8"/>
      <c r="J20" s="8"/>
      <c r="K20" s="8"/>
      <c r="L20" s="8"/>
      <c r="M20" s="8"/>
      <c r="N20" s="4"/>
      <c r="O20" s="8"/>
      <c r="P20" s="8"/>
      <c r="Q20" s="8"/>
      <c r="R20" s="4"/>
      <c r="S20" s="25"/>
      <c r="T20" s="35"/>
      <c r="U20" s="8"/>
      <c r="V20" s="8"/>
      <c r="W20" s="8"/>
      <c r="X20" s="8"/>
      <c r="Y20" s="8"/>
      <c r="Z20" s="8"/>
      <c r="AA20" s="8"/>
      <c r="AB20" s="8"/>
    </row>
    <row r="21" spans="1:28" s="11" customFormat="1" ht="14.25" x14ac:dyDescent="0.25">
      <c r="A21" s="2" t="s">
        <v>9</v>
      </c>
      <c r="B21" s="33">
        <v>74.834397955989857</v>
      </c>
      <c r="C21" s="33">
        <v>257.56381797585459</v>
      </c>
      <c r="D21" s="33">
        <v>250.95905045044441</v>
      </c>
      <c r="E21" s="33">
        <v>290.20995334660569</v>
      </c>
      <c r="F21" s="33">
        <v>7.8696775608898752</v>
      </c>
      <c r="G21" s="33">
        <v>147.77947524981249</v>
      </c>
      <c r="H21" s="34" t="s">
        <v>3</v>
      </c>
      <c r="I21" s="8"/>
      <c r="J21" s="8"/>
      <c r="K21" s="8"/>
      <c r="L21" s="8"/>
      <c r="M21" s="8"/>
      <c r="N21" s="4"/>
      <c r="O21" s="8"/>
      <c r="P21" s="8"/>
      <c r="Q21" s="8"/>
      <c r="R21" s="4"/>
      <c r="S21" s="25"/>
      <c r="T21" s="35"/>
      <c r="U21" s="8"/>
      <c r="V21" s="8"/>
      <c r="W21" s="8"/>
      <c r="X21" s="8"/>
      <c r="Y21" s="8"/>
      <c r="Z21" s="8"/>
      <c r="AA21" s="8"/>
      <c r="AB21" s="8"/>
    </row>
    <row r="22" spans="1:28" s="11" customFormat="1" ht="14.25" x14ac:dyDescent="0.25">
      <c r="A22" s="2" t="s">
        <v>6</v>
      </c>
      <c r="B22" s="33">
        <v>283.11389925222397</v>
      </c>
      <c r="C22" s="33">
        <v>515.8723370475883</v>
      </c>
      <c r="D22" s="33">
        <v>520.86879085126566</v>
      </c>
      <c r="E22" s="33">
        <v>54.944839587543285</v>
      </c>
      <c r="F22" s="33">
        <v>23.359729275249677</v>
      </c>
      <c r="G22" s="33">
        <v>24.767424000000002</v>
      </c>
      <c r="H22" s="34" t="s">
        <v>4</v>
      </c>
      <c r="I22" s="8"/>
      <c r="J22" s="8"/>
      <c r="K22" s="8"/>
      <c r="L22" s="8"/>
      <c r="M22" s="8"/>
      <c r="N22" s="4"/>
      <c r="O22" s="8"/>
      <c r="P22" s="8"/>
      <c r="Q22" s="8"/>
      <c r="R22" s="4"/>
      <c r="S22" s="25"/>
      <c r="T22" s="35"/>
      <c r="U22" s="8"/>
      <c r="V22" s="8"/>
      <c r="W22" s="8"/>
      <c r="X22" s="8"/>
      <c r="Y22" s="8"/>
      <c r="Z22" s="8"/>
      <c r="AA22" s="8"/>
      <c r="AB22" s="8"/>
    </row>
    <row r="23" spans="1:28" s="11" customFormat="1" ht="15" x14ac:dyDescent="0.25">
      <c r="A23" s="2" t="s">
        <v>0</v>
      </c>
      <c r="B23" s="33">
        <v>0</v>
      </c>
      <c r="C23" s="33">
        <v>0</v>
      </c>
      <c r="D23" s="33">
        <v>0</v>
      </c>
      <c r="E23" s="33">
        <v>5.089874227825316</v>
      </c>
      <c r="F23" s="33">
        <v>0</v>
      </c>
      <c r="G23" s="33">
        <v>0.64744984614212131</v>
      </c>
      <c r="H23" s="36" t="s">
        <v>1</v>
      </c>
      <c r="I23" s="8"/>
      <c r="J23" s="8"/>
      <c r="K23" s="8"/>
      <c r="L23" s="8"/>
      <c r="M23" s="8"/>
      <c r="N23" s="4"/>
      <c r="O23" s="8"/>
      <c r="P23" s="8"/>
      <c r="Q23" s="8"/>
      <c r="R23" s="4"/>
      <c r="S23" s="25"/>
      <c r="T23" s="35"/>
      <c r="U23" s="8"/>
      <c r="V23" s="8"/>
      <c r="W23" s="8"/>
      <c r="X23" s="8"/>
      <c r="Y23" s="8"/>
      <c r="Z23" s="8"/>
      <c r="AA23" s="8"/>
      <c r="AB23" s="8"/>
    </row>
    <row r="24" spans="1:28" s="11" customFormat="1" ht="15" x14ac:dyDescent="0.2">
      <c r="A24" s="37" t="s">
        <v>14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6" t="s">
        <v>8</v>
      </c>
      <c r="I24" s="8"/>
      <c r="J24" s="8"/>
      <c r="K24" s="8"/>
      <c r="L24" s="8"/>
      <c r="M24" s="8"/>
      <c r="N24" s="4"/>
      <c r="O24" s="8"/>
      <c r="P24" s="8"/>
      <c r="Q24" s="8"/>
      <c r="R24" s="4"/>
      <c r="S24" s="25"/>
      <c r="T24" s="35"/>
      <c r="U24" s="8"/>
      <c r="V24" s="8"/>
      <c r="W24" s="8"/>
      <c r="X24" s="8"/>
      <c r="Y24" s="8"/>
      <c r="Z24" s="8"/>
      <c r="AA24" s="8"/>
      <c r="AB24" s="8"/>
    </row>
    <row r="25" spans="1:28" s="11" customFormat="1" ht="14.25" x14ac:dyDescent="0.25">
      <c r="A25" s="2" t="s">
        <v>15</v>
      </c>
      <c r="B25" s="33">
        <v>28.987400295209881</v>
      </c>
      <c r="C25" s="33">
        <v>11.257911627567223</v>
      </c>
      <c r="D25" s="33">
        <v>5.9951387649429648</v>
      </c>
      <c r="E25" s="33">
        <v>0</v>
      </c>
      <c r="F25" s="33">
        <v>0</v>
      </c>
      <c r="G25" s="33">
        <v>18.989323134497742</v>
      </c>
      <c r="H25" s="34" t="s">
        <v>16</v>
      </c>
      <c r="I25" s="8"/>
      <c r="J25" s="8"/>
      <c r="K25" s="8"/>
      <c r="L25" s="8"/>
      <c r="M25" s="8"/>
      <c r="N25" s="4"/>
      <c r="O25" s="8"/>
      <c r="P25" s="8"/>
      <c r="Q25" s="8"/>
      <c r="R25" s="4"/>
      <c r="S25" s="25"/>
      <c r="T25" s="35"/>
      <c r="U25" s="8"/>
      <c r="V25" s="8"/>
      <c r="W25" s="8"/>
      <c r="X25" s="8"/>
      <c r="Y25" s="8"/>
      <c r="Z25" s="8"/>
      <c r="AA25" s="8"/>
      <c r="AB25" s="8"/>
    </row>
    <row r="26" spans="1:28" s="11" customFormat="1" ht="14.25" x14ac:dyDescent="0.25">
      <c r="A26" s="38" t="s">
        <v>17</v>
      </c>
      <c r="B26" s="39">
        <v>106.03670073662398</v>
      </c>
      <c r="C26" s="39">
        <v>56.165877445461554</v>
      </c>
      <c r="D26" s="39">
        <v>56.915839971590572</v>
      </c>
      <c r="E26" s="39">
        <v>0</v>
      </c>
      <c r="F26" s="39">
        <v>0.5222444712471328</v>
      </c>
      <c r="G26" s="39">
        <v>3.5552613610215893</v>
      </c>
      <c r="H26" s="40" t="s">
        <v>5</v>
      </c>
      <c r="I26" s="8"/>
      <c r="J26" s="8"/>
      <c r="K26" s="8"/>
      <c r="L26" s="8"/>
      <c r="M26" s="8"/>
      <c r="N26" s="4"/>
      <c r="O26" s="8"/>
      <c r="P26" s="8"/>
      <c r="Q26" s="8"/>
      <c r="R26" s="4"/>
      <c r="S26" s="25"/>
      <c r="T26" s="35"/>
      <c r="U26" s="8"/>
      <c r="V26" s="8"/>
      <c r="W26" s="8"/>
      <c r="X26" s="8"/>
      <c r="Y26" s="8"/>
      <c r="Z26" s="8"/>
      <c r="AA26" s="8"/>
      <c r="AB26" s="8"/>
    </row>
    <row r="27" spans="1:28" s="11" customFormat="1" ht="14.25" x14ac:dyDescent="0.25">
      <c r="A27" s="41" t="s">
        <v>22</v>
      </c>
      <c r="B27" s="25">
        <f t="shared" ref="B27:E27" si="4">SUM(B28:B33)</f>
        <v>1600.4226500000002</v>
      </c>
      <c r="C27" s="25">
        <f t="shared" si="4"/>
        <v>2123.2380000000007</v>
      </c>
      <c r="D27" s="25">
        <f t="shared" si="4"/>
        <v>483.87768999999992</v>
      </c>
      <c r="E27" s="25">
        <f t="shared" si="4"/>
        <v>1841.9949999999999</v>
      </c>
      <c r="F27" s="25">
        <f>SUM(F28:F33)</f>
        <v>2535.6850800000002</v>
      </c>
      <c r="G27" s="25">
        <f>SUM(G28:G33)</f>
        <v>1345.5049800000002</v>
      </c>
      <c r="H27" s="15" t="s">
        <v>23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s="11" customFormat="1" ht="14.25" x14ac:dyDescent="0.25">
      <c r="A28" s="42" t="s">
        <v>9</v>
      </c>
      <c r="B28" s="43">
        <v>25.8445</v>
      </c>
      <c r="C28" s="43">
        <v>0.33300000000000007</v>
      </c>
      <c r="D28" s="43">
        <v>0.32600000000000001</v>
      </c>
      <c r="E28" s="43">
        <v>2.4120000000000004</v>
      </c>
      <c r="F28" s="43">
        <v>1.1520000000000001</v>
      </c>
      <c r="G28" s="43">
        <v>3.657</v>
      </c>
      <c r="H28" s="15" t="s">
        <v>3</v>
      </c>
      <c r="I28" s="44"/>
      <c r="J28" s="44"/>
      <c r="K28" s="44"/>
      <c r="L28" s="44"/>
      <c r="M28" s="44"/>
      <c r="N28" s="45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s="11" customFormat="1" ht="14.25" x14ac:dyDescent="0.25">
      <c r="A29" s="2" t="s">
        <v>6</v>
      </c>
      <c r="B29" s="32">
        <v>244.33858000000012</v>
      </c>
      <c r="C29" s="32">
        <v>192.41699999999997</v>
      </c>
      <c r="D29" s="32">
        <v>112.06659000000001</v>
      </c>
      <c r="E29" s="32">
        <v>726.78499999999997</v>
      </c>
      <c r="F29" s="32">
        <v>1269.1838000000002</v>
      </c>
      <c r="G29" s="32">
        <v>633.85134000000016</v>
      </c>
      <c r="H29" s="34" t="s">
        <v>4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s="11" customFormat="1" ht="15" x14ac:dyDescent="0.25">
      <c r="A30" s="2" t="s">
        <v>0</v>
      </c>
      <c r="B30" s="32">
        <v>1058.4629400000001</v>
      </c>
      <c r="C30" s="32">
        <v>1501.9940000000006</v>
      </c>
      <c r="D30" s="32">
        <v>231.21609999999993</v>
      </c>
      <c r="E30" s="32">
        <v>624.21599999999989</v>
      </c>
      <c r="F30" s="32">
        <v>691.97395999999981</v>
      </c>
      <c r="G30" s="32">
        <v>163.94113999999999</v>
      </c>
      <c r="H30" s="36" t="s">
        <v>1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s="11" customFormat="1" ht="15" x14ac:dyDescent="0.2">
      <c r="A31" s="37" t="s">
        <v>14</v>
      </c>
      <c r="B31" s="32">
        <v>0</v>
      </c>
      <c r="C31" s="32">
        <v>0</v>
      </c>
      <c r="D31" s="32">
        <v>1.2469999999999999</v>
      </c>
      <c r="E31" s="32">
        <v>15.290000000000001</v>
      </c>
      <c r="F31" s="32">
        <v>3.4710000000000005</v>
      </c>
      <c r="G31" s="32">
        <v>10.569000000000001</v>
      </c>
      <c r="H31" s="36" t="s">
        <v>8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s="11" customFormat="1" ht="14.25" x14ac:dyDescent="0.25">
      <c r="A32" s="2" t="s">
        <v>15</v>
      </c>
      <c r="B32" s="32">
        <v>1.4919999999999998</v>
      </c>
      <c r="C32" s="32">
        <v>0</v>
      </c>
      <c r="D32" s="32">
        <v>0</v>
      </c>
      <c r="E32" s="32">
        <v>0</v>
      </c>
      <c r="F32" s="32">
        <v>0</v>
      </c>
      <c r="G32" s="32"/>
      <c r="H32" s="34" t="s">
        <v>16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s="11" customFormat="1" ht="14.25" x14ac:dyDescent="0.25">
      <c r="A33" s="6" t="s">
        <v>17</v>
      </c>
      <c r="B33" s="46">
        <v>270.28463000000005</v>
      </c>
      <c r="C33" s="46">
        <v>428.49399999999997</v>
      </c>
      <c r="D33" s="46">
        <v>139.02200000000002</v>
      </c>
      <c r="E33" s="46">
        <v>473.29199999999992</v>
      </c>
      <c r="F33" s="46">
        <v>569.90431999999998</v>
      </c>
      <c r="G33" s="46">
        <v>533.48649999999998</v>
      </c>
      <c r="H33" s="14" t="s">
        <v>5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ht="17.25" x14ac:dyDescent="0.25">
      <c r="A34" s="9" t="s">
        <v>27</v>
      </c>
      <c r="B34" s="47"/>
      <c r="C34" s="47"/>
      <c r="D34" s="47"/>
      <c r="E34" s="47"/>
      <c r="F34" s="47"/>
      <c r="G34" s="47"/>
      <c r="H34" s="7" t="s">
        <v>24</v>
      </c>
    </row>
    <row r="35" spans="1:28" x14ac:dyDescent="0.25">
      <c r="A35" s="48"/>
    </row>
    <row r="36" spans="1:28" ht="18.75" x14ac:dyDescent="0.25">
      <c r="A36" s="48"/>
      <c r="H36" s="50"/>
    </row>
    <row r="37" spans="1:28" ht="18.75" x14ac:dyDescent="0.25">
      <c r="A37" s="48"/>
      <c r="H37" s="50"/>
    </row>
    <row r="38" spans="1:28" ht="18.75" x14ac:dyDescent="0.25">
      <c r="H38" s="50"/>
    </row>
    <row r="39" spans="1:28" s="11" customFormat="1" ht="18.75" x14ac:dyDescent="0.25">
      <c r="B39" s="51"/>
      <c r="C39" s="51"/>
      <c r="D39" s="51"/>
      <c r="E39" s="51"/>
      <c r="F39" s="51"/>
      <c r="G39" s="51"/>
      <c r="H39" s="50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s="11" customFormat="1" ht="18.75" x14ac:dyDescent="0.25">
      <c r="B40" s="51"/>
      <c r="C40" s="51"/>
      <c r="D40" s="51"/>
      <c r="E40" s="51"/>
      <c r="F40" s="51"/>
      <c r="G40" s="51"/>
      <c r="H40" s="50"/>
      <c r="I40" s="8"/>
      <c r="J40" s="8"/>
      <c r="K40" s="8"/>
      <c r="L40" s="8"/>
      <c r="M40" s="8"/>
      <c r="O40" s="4"/>
      <c r="P40" s="52"/>
      <c r="Q40" s="25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s="11" customFormat="1" ht="18.75" x14ac:dyDescent="0.25">
      <c r="B41" s="51"/>
      <c r="C41" s="51"/>
      <c r="D41" s="51"/>
      <c r="E41" s="51"/>
      <c r="F41" s="51"/>
      <c r="G41" s="51"/>
      <c r="H41" s="50"/>
      <c r="I41" s="8"/>
      <c r="J41" s="8"/>
      <c r="K41" s="8"/>
      <c r="L41" s="8"/>
      <c r="M41" s="8"/>
      <c r="O41" s="4"/>
      <c r="P41" s="53"/>
      <c r="Q41" s="26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s="11" customFormat="1" ht="18.75" x14ac:dyDescent="0.25">
      <c r="B42" s="51"/>
      <c r="C42" s="51"/>
      <c r="D42" s="51"/>
      <c r="E42" s="51"/>
      <c r="F42" s="51"/>
      <c r="G42" s="51"/>
      <c r="H42" s="50"/>
      <c r="I42" s="8"/>
      <c r="J42" s="8"/>
      <c r="K42" s="8"/>
      <c r="L42" s="8"/>
      <c r="M42" s="8"/>
      <c r="O42" s="4"/>
      <c r="P42" s="52"/>
      <c r="Q42" s="26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s="11" customFormat="1" ht="18.75" x14ac:dyDescent="0.25">
      <c r="B43" s="51"/>
      <c r="C43" s="51"/>
      <c r="D43" s="51"/>
      <c r="E43" s="51"/>
      <c r="F43" s="51"/>
      <c r="G43" s="51"/>
      <c r="H43" s="50"/>
      <c r="I43" s="8"/>
      <c r="J43" s="8"/>
      <c r="K43" s="8"/>
      <c r="L43" s="8"/>
      <c r="M43" s="8"/>
      <c r="O43" s="4"/>
      <c r="P43" s="52"/>
      <c r="Q43" s="26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s="11" customFormat="1" ht="18.75" x14ac:dyDescent="0.25">
      <c r="B44" s="51"/>
      <c r="C44" s="51"/>
      <c r="D44" s="51"/>
      <c r="E44" s="51"/>
      <c r="F44" s="51"/>
      <c r="G44" s="51"/>
      <c r="H44" s="50"/>
      <c r="I44" s="8"/>
      <c r="J44" s="8"/>
      <c r="K44" s="8"/>
      <c r="L44" s="8"/>
      <c r="M44" s="8"/>
      <c r="O44" s="4"/>
      <c r="P44" s="52"/>
      <c r="Q44" s="26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s="11" customFormat="1" ht="18.75" x14ac:dyDescent="0.25">
      <c r="B45" s="51"/>
      <c r="C45" s="51"/>
      <c r="D45" s="51"/>
      <c r="E45" s="51"/>
      <c r="F45" s="51"/>
      <c r="G45" s="51"/>
      <c r="H45" s="50"/>
      <c r="I45" s="8"/>
      <c r="J45" s="8"/>
      <c r="K45" s="8"/>
      <c r="L45" s="8"/>
      <c r="M45" s="8"/>
      <c r="P45" s="52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ht="18.75" x14ac:dyDescent="0.25">
      <c r="H46" s="50"/>
      <c r="O46" s="4"/>
      <c r="P46" s="16"/>
      <c r="Q46" s="25"/>
    </row>
    <row r="47" spans="1:28" ht="18.75" x14ac:dyDescent="0.25">
      <c r="H47" s="50"/>
      <c r="O47" s="4"/>
      <c r="P47" s="16"/>
      <c r="Q47" s="8"/>
    </row>
    <row r="48" spans="1:28" ht="18.75" x14ac:dyDescent="0.25">
      <c r="H48" s="50"/>
      <c r="L48" s="3">
        <f>100-30</f>
        <v>70</v>
      </c>
      <c r="O48" s="4"/>
      <c r="P48" s="16"/>
      <c r="Q48" s="8"/>
    </row>
    <row r="49" spans="8:17" ht="18.75" x14ac:dyDescent="0.25">
      <c r="H49" s="50"/>
      <c r="O49" s="4"/>
      <c r="P49" s="16"/>
      <c r="Q49" s="8"/>
    </row>
    <row r="50" spans="8:17" x14ac:dyDescent="0.25">
      <c r="O50" s="41"/>
      <c r="P50" s="16"/>
      <c r="Q50" s="8"/>
    </row>
    <row r="51" spans="8:17" x14ac:dyDescent="0.25">
      <c r="O51" s="4"/>
      <c r="P51" s="16"/>
      <c r="Q51" s="8"/>
    </row>
  </sheetData>
  <mergeCells count="3">
    <mergeCell ref="A1:H1"/>
    <mergeCell ref="A2:H2"/>
    <mergeCell ref="A3:H3"/>
  </mergeCells>
  <pageMargins left="0.7" right="0.7" top="0.75" bottom="0.75" header="0.3" footer="0.3"/>
  <pageSetup paperSize="9" scale="67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9.6</vt:lpstr>
      <vt:lpstr>'9.6'!Print_Area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2020-01-12T06:12:18Z</cp:lastPrinted>
  <dcterms:created xsi:type="dcterms:W3CDTF">2019-09-09T05:11:24Z</dcterms:created>
  <dcterms:modified xsi:type="dcterms:W3CDTF">2020-01-12T06:12:25Z</dcterms:modified>
</cp:coreProperties>
</file>