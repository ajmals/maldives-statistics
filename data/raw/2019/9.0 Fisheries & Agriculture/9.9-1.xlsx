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 tabRatio="833"/>
  </bookViews>
  <sheets>
    <sheet name="9.9" sheetId="9" r:id="rId1"/>
  </sheets>
  <definedNames>
    <definedName name="_xlnm.Print_Area" localSheetId="0">'9.9'!$A$1:$K$58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" i="9" l="1"/>
  <c r="AD5" i="9"/>
  <c r="AC5" i="9"/>
  <c r="AB5" i="9"/>
  <c r="B35" i="9" l="1"/>
  <c r="B15" i="9"/>
  <c r="B14" i="9"/>
  <c r="B13" i="9"/>
  <c r="B12" i="9"/>
  <c r="B11" i="9"/>
  <c r="B10" i="9"/>
  <c r="B9" i="9"/>
  <c r="B8" i="9"/>
  <c r="D28" i="9" s="1"/>
  <c r="B7" i="9"/>
  <c r="E27" i="9" s="1"/>
  <c r="I6" i="9"/>
  <c r="H6" i="9"/>
  <c r="H25" i="9" s="1"/>
  <c r="G6" i="9"/>
  <c r="F6" i="9"/>
  <c r="E6" i="9"/>
  <c r="D6" i="9"/>
  <c r="C6" i="9"/>
  <c r="C22" i="9" s="1"/>
  <c r="G27" i="9" l="1"/>
  <c r="C23" i="9"/>
  <c r="C16" i="9"/>
  <c r="C20" i="9"/>
  <c r="F25" i="9"/>
  <c r="C24" i="9"/>
  <c r="I31" i="9"/>
  <c r="C17" i="9"/>
  <c r="C25" i="9"/>
  <c r="C18" i="9"/>
  <c r="C19" i="9"/>
  <c r="C21" i="9"/>
  <c r="F34" i="9"/>
  <c r="H34" i="9"/>
  <c r="F28" i="9"/>
  <c r="D32" i="9"/>
  <c r="H28" i="9"/>
  <c r="H32" i="9"/>
  <c r="D30" i="9"/>
  <c r="F30" i="9"/>
  <c r="C33" i="9"/>
  <c r="C31" i="9"/>
  <c r="I27" i="9"/>
  <c r="E31" i="9"/>
  <c r="G29" i="9"/>
  <c r="B6" i="9"/>
  <c r="G26" i="9" s="1"/>
  <c r="D16" i="9"/>
  <c r="D17" i="9"/>
  <c r="D18" i="9"/>
  <c r="D19" i="9"/>
  <c r="D20" i="9"/>
  <c r="D21" i="9"/>
  <c r="D22" i="9"/>
  <c r="D23" i="9"/>
  <c r="D24" i="9"/>
  <c r="D25" i="9"/>
  <c r="I28" i="9"/>
  <c r="H29" i="9"/>
  <c r="G30" i="9"/>
  <c r="F31" i="9"/>
  <c r="E32" i="9"/>
  <c r="D33" i="9"/>
  <c r="C34" i="9"/>
  <c r="E16" i="9"/>
  <c r="E17" i="9"/>
  <c r="E18" i="9"/>
  <c r="E19" i="9"/>
  <c r="E20" i="9"/>
  <c r="E21" i="9"/>
  <c r="E22" i="9"/>
  <c r="E23" i="9"/>
  <c r="E24" i="9"/>
  <c r="E25" i="9"/>
  <c r="C27" i="9"/>
  <c r="I29" i="9"/>
  <c r="H30" i="9"/>
  <c r="G31" i="9"/>
  <c r="F32" i="9"/>
  <c r="E33" i="9"/>
  <c r="D34" i="9"/>
  <c r="F16" i="9"/>
  <c r="F17" i="9"/>
  <c r="F18" i="9"/>
  <c r="F19" i="9"/>
  <c r="F20" i="9"/>
  <c r="F21" i="9"/>
  <c r="F22" i="9"/>
  <c r="F23" i="9"/>
  <c r="F24" i="9"/>
  <c r="D27" i="9"/>
  <c r="C28" i="9"/>
  <c r="I30" i="9"/>
  <c r="H31" i="9"/>
  <c r="G32" i="9"/>
  <c r="F33" i="9"/>
  <c r="E34" i="9"/>
  <c r="G16" i="9"/>
  <c r="G17" i="9"/>
  <c r="G18" i="9"/>
  <c r="G19" i="9"/>
  <c r="G20" i="9"/>
  <c r="G21" i="9"/>
  <c r="G22" i="9"/>
  <c r="G23" i="9"/>
  <c r="G24" i="9"/>
  <c r="G25" i="9"/>
  <c r="C29" i="9"/>
  <c r="G33" i="9"/>
  <c r="H16" i="9"/>
  <c r="H17" i="9"/>
  <c r="H18" i="9"/>
  <c r="H19" i="9"/>
  <c r="H20" i="9"/>
  <c r="H21" i="9"/>
  <c r="H22" i="9"/>
  <c r="H23" i="9"/>
  <c r="H24" i="9"/>
  <c r="F27" i="9"/>
  <c r="E28" i="9"/>
  <c r="D29" i="9"/>
  <c r="C30" i="9"/>
  <c r="I32" i="9"/>
  <c r="H33" i="9"/>
  <c r="G34" i="9"/>
  <c r="I16" i="9"/>
  <c r="I17" i="9"/>
  <c r="I18" i="9"/>
  <c r="I19" i="9"/>
  <c r="I20" i="9"/>
  <c r="I21" i="9"/>
  <c r="I22" i="9"/>
  <c r="I23" i="9"/>
  <c r="I24" i="9"/>
  <c r="I25" i="9"/>
  <c r="E29" i="9"/>
  <c r="I33" i="9"/>
  <c r="B18" i="9"/>
  <c r="B21" i="9"/>
  <c r="B22" i="9"/>
  <c r="H27" i="9"/>
  <c r="G28" i="9"/>
  <c r="F29" i="9"/>
  <c r="E30" i="9"/>
  <c r="D31" i="9"/>
  <c r="C32" i="9"/>
  <c r="I34" i="9"/>
  <c r="B20" i="9" l="1"/>
  <c r="B19" i="9"/>
  <c r="B17" i="9"/>
  <c r="B24" i="9"/>
  <c r="B23" i="9"/>
  <c r="B32" i="9"/>
  <c r="D26" i="9"/>
  <c r="E26" i="9"/>
  <c r="B25" i="9"/>
  <c r="C26" i="9"/>
  <c r="B31" i="9"/>
  <c r="B33" i="9"/>
  <c r="B34" i="9"/>
  <c r="B28" i="9"/>
  <c r="B16" i="9"/>
  <c r="H26" i="9"/>
  <c r="F26" i="9"/>
  <c r="B30" i="9"/>
  <c r="B27" i="9"/>
  <c r="I26" i="9"/>
  <c r="B29" i="9"/>
  <c r="B26" i="9" l="1"/>
</calcChain>
</file>

<file path=xl/sharedStrings.xml><?xml version="1.0" encoding="utf-8"?>
<sst xmlns="http://schemas.openxmlformats.org/spreadsheetml/2006/main" count="78" uniqueCount="37">
  <si>
    <t>Bigeye tuna</t>
  </si>
  <si>
    <t>ilencnwk uDobOl</t>
  </si>
  <si>
    <t>Type of fish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</si>
  <si>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</si>
  <si>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</si>
  <si>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</si>
  <si>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</si>
  <si>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</si>
  <si>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</si>
  <si>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</si>
  <si>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</si>
  <si>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</si>
  <si>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</si>
  <si>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ctwvWbeguhwm</t>
  </si>
  <si>
    <t xml:space="preserve">        wlcmuj</t>
  </si>
  <si>
    <t xml:space="preserve">       cswmwlibuLwk</t>
  </si>
  <si>
    <t>ilencnwk ugid ctwfcnwk</t>
  </si>
  <si>
    <t>Skipjack</t>
  </si>
  <si>
    <t>Little tuna</t>
  </si>
  <si>
    <t>Albacore</t>
  </si>
  <si>
    <t>Miscellaneous</t>
  </si>
  <si>
    <r>
      <t xml:space="preserve">Fishing methods  </t>
    </r>
    <r>
      <rPr>
        <b/>
        <sz val="10"/>
        <rFont val="Faruma"/>
      </rPr>
      <t xml:space="preserve">   މަސްބޭނިގޮތް</t>
    </r>
  </si>
  <si>
    <t>Pole and Line</t>
  </si>
  <si>
    <t>Trolling</t>
  </si>
  <si>
    <t>Long Line</t>
  </si>
  <si>
    <t>Hand  Line</t>
  </si>
  <si>
    <t>Hand line (Reef )</t>
  </si>
  <si>
    <t>Other methods</t>
  </si>
  <si>
    <t>Other tuna</t>
  </si>
  <si>
    <t>cswmuDnwk cnehinehea</t>
  </si>
  <si>
    <t>Percentage share ( % )</t>
  </si>
  <si>
    <t xml:space="preserve"> (%) cniawtcaws ctogWviawfiheb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</si>
  <si>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</si>
  <si>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</si>
  <si>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>ތާވަލު 9.9: މަހުގެ ބާވަތުންނާއި މަސްބާނާފައިވާގޮތުން ބޭނުނު އަދަދު، 2018</t>
  </si>
  <si>
    <t>Table 9.9 :  FISH CATCH BY TYPE AND FISHING METHODS, 2018 (In metric tons)</t>
  </si>
  <si>
    <t>Diving  (Grouper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</si>
</sst>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0.0"/>
    <numFmt numFmtId="166" formatCode="[$-409]mmmm\ d\,\ yyyy;@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b/>
      <sz val="10"/>
      <name val="A_Waheed"/>
    </font>
    <font>
      <sz val="9"/>
      <name val="Faruma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Faruma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2"/>
      <name val="Faruma"/>
    </font>
    <font>
      <sz val="11"/>
      <name val="Courier"/>
      <family val="3"/>
    </font>
    <font>
      <b/>
      <sz val="11"/>
      <name val="Arial"/>
      <family val="2"/>
    </font>
    <font>
      <b/>
      <sz val="8"/>
      <name val="A_Faseyha"/>
    </font>
    <font>
      <sz val="9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0.499984740745262"/>
      </bottom>
      <diagonal/>
    </border>
  </borders>
  <cellStyleXfs count="6">
    <xf numFmtId="0" fontId="0" fillId="0" borderId="0"/>
    <xf numFmtId="164" fontId="1" fillId="0" borderId="0"/>
    <xf numFmtId="40" fontId="19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</cellStyleXfs>
  <cellXfs count="63">
    <xf numFmtId="0" fontId="0" fillId="0" borderId="0" xfId="0"/>
    <xf numFmtId="164" fontId="2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164" fontId="11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vertical="center"/>
    </xf>
    <xf numFmtId="164" fontId="12" fillId="2" borderId="0" xfId="1" applyFont="1" applyFill="1" applyAlignment="1" applyProtection="1">
      <alignment horizontal="left" vertical="center"/>
    </xf>
    <xf numFmtId="164" fontId="13" fillId="2" borderId="0" xfId="1" applyFont="1" applyFill="1" applyBorder="1" applyAlignment="1">
      <alignment vertical="center"/>
    </xf>
    <xf numFmtId="164" fontId="1" fillId="2" borderId="0" xfId="1" applyFont="1" applyFill="1" applyBorder="1" applyAlignment="1">
      <alignment vertical="center"/>
    </xf>
    <xf numFmtId="164" fontId="14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left" vertical="center"/>
    </xf>
    <xf numFmtId="164" fontId="5" fillId="2" borderId="0" xfId="1" applyFont="1" applyFill="1" applyAlignment="1">
      <alignment vertical="center"/>
    </xf>
    <xf numFmtId="164" fontId="5" fillId="2" borderId="1" xfId="1" applyFont="1" applyFill="1" applyBorder="1" applyAlignment="1" applyProtection="1">
      <alignment horizontal="right" vertical="center" wrapText="1"/>
    </xf>
    <xf numFmtId="164" fontId="6" fillId="2" borderId="0" xfId="1" applyFont="1" applyFill="1" applyAlignment="1">
      <alignment horizontal="right" vertical="center"/>
    </xf>
    <xf numFmtId="164" fontId="4" fillId="2" borderId="0" xfId="1" applyFont="1" applyFill="1" applyBorder="1" applyAlignment="1">
      <alignment vertical="center"/>
    </xf>
    <xf numFmtId="164" fontId="15" fillId="2" borderId="0" xfId="1" applyFont="1" applyFill="1" applyBorder="1" applyAlignment="1" applyProtection="1">
      <alignment horizontal="left" vertical="center"/>
    </xf>
    <xf numFmtId="164" fontId="10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left"/>
    </xf>
    <xf numFmtId="164" fontId="7" fillId="2" borderId="1" xfId="0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horizontal="center" vertical="center"/>
    </xf>
    <xf numFmtId="164" fontId="22" fillId="2" borderId="0" xfId="1" applyFont="1" applyFill="1" applyAlignment="1">
      <alignment horizontal="center" vertical="center"/>
    </xf>
    <xf numFmtId="164" fontId="23" fillId="2" borderId="0" xfId="1" applyFont="1" applyFill="1" applyAlignment="1">
      <alignment horizontal="center" vertical="center"/>
    </xf>
    <xf numFmtId="164" fontId="14" fillId="2" borderId="0" xfId="1" applyFont="1" applyFill="1" applyBorder="1" applyAlignment="1">
      <alignment vertical="center"/>
    </xf>
    <xf numFmtId="164" fontId="5" fillId="2" borderId="4" xfId="1" applyFont="1" applyFill="1" applyBorder="1" applyAlignment="1">
      <alignment horizontal="right" vertical="center" wrapText="1"/>
    </xf>
    <xf numFmtId="164" fontId="17" fillId="2" borderId="1" xfId="1" applyFont="1" applyFill="1" applyBorder="1" applyAlignment="1">
      <alignment horizontal="right" vertical="center" wrapText="1"/>
    </xf>
    <xf numFmtId="164" fontId="13" fillId="2" borderId="0" xfId="1" applyFont="1" applyFill="1" applyAlignment="1">
      <alignment horizontal="right" vertical="center" wrapText="1"/>
    </xf>
    <xf numFmtId="164" fontId="4" fillId="2" borderId="0" xfId="1" applyFont="1" applyFill="1" applyAlignment="1">
      <alignment horizontal="right" vertical="center" wrapText="1"/>
    </xf>
    <xf numFmtId="164" fontId="5" fillId="2" borderId="0" xfId="1" applyFont="1" applyFill="1" applyAlignment="1" applyProtection="1">
      <alignment horizontal="left" vertical="center"/>
    </xf>
    <xf numFmtId="3" fontId="18" fillId="2" borderId="0" xfId="1" applyNumberFormat="1" applyFont="1" applyFill="1" applyAlignment="1" applyProtection="1">
      <alignment horizontal="right" vertical="center"/>
    </xf>
    <xf numFmtId="164" fontId="15" fillId="2" borderId="0" xfId="1" applyFont="1" applyFill="1" applyBorder="1" applyAlignment="1" applyProtection="1">
      <alignment horizontal="left" vertical="center" wrapText="1"/>
    </xf>
    <xf numFmtId="3" fontId="20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/>
    </xf>
    <xf numFmtId="165" fontId="25" fillId="2" borderId="0" xfId="1" applyNumberFormat="1" applyFont="1" applyFill="1" applyAlignment="1">
      <alignment vertical="center"/>
    </xf>
    <xf numFmtId="164" fontId="15" fillId="2" borderId="3" xfId="1" applyFont="1" applyFill="1" applyBorder="1" applyAlignment="1" applyProtection="1">
      <alignment horizontal="left" vertical="center" wrapText="1"/>
    </xf>
    <xf numFmtId="3" fontId="18" fillId="2" borderId="3" xfId="1" applyNumberFormat="1" applyFont="1" applyFill="1" applyBorder="1" applyAlignment="1" applyProtection="1">
      <alignment horizontal="right" vertical="center"/>
    </xf>
    <xf numFmtId="3" fontId="20" fillId="2" borderId="3" xfId="1" applyNumberFormat="1" applyFont="1" applyFill="1" applyBorder="1" applyAlignment="1">
      <alignment horizontal="right" vertical="center"/>
    </xf>
    <xf numFmtId="3" fontId="20" fillId="2" borderId="3" xfId="2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right" vertical="center"/>
    </xf>
    <xf numFmtId="164" fontId="15" fillId="2" borderId="6" xfId="1" applyFont="1" applyFill="1" applyBorder="1" applyAlignment="1" applyProtection="1">
      <alignment horizontal="left" vertical="center" wrapText="1"/>
    </xf>
    <xf numFmtId="3" fontId="18" fillId="2" borderId="6" xfId="1" applyNumberFormat="1" applyFont="1" applyFill="1" applyBorder="1" applyAlignment="1" applyProtection="1">
      <alignment horizontal="right" vertical="center"/>
    </xf>
    <xf numFmtId="3" fontId="18" fillId="2" borderId="0" xfId="1" applyNumberFormat="1" applyFont="1" applyFill="1" applyBorder="1" applyAlignment="1" applyProtection="1">
      <alignment horizontal="right" vertical="center"/>
    </xf>
    <xf numFmtId="3" fontId="20" fillId="2" borderId="0" xfId="1" applyNumberFormat="1" applyFont="1" applyFill="1" applyBorder="1" applyAlignment="1" applyProtection="1">
      <alignment horizontal="right" vertical="center"/>
    </xf>
    <xf numFmtId="3" fontId="20" fillId="2" borderId="3" xfId="1" applyNumberFormat="1" applyFont="1" applyFill="1" applyBorder="1" applyAlignment="1" applyProtection="1">
      <alignment horizontal="right" vertical="center"/>
    </xf>
    <xf numFmtId="3" fontId="20" fillId="2" borderId="6" xfId="1" applyNumberFormat="1" applyFont="1" applyFill="1" applyBorder="1" applyAlignment="1" applyProtection="1">
      <alignment horizontal="right" vertical="center"/>
    </xf>
    <xf numFmtId="164" fontId="7" fillId="2" borderId="6" xfId="0" applyNumberFormat="1" applyFont="1" applyFill="1" applyBorder="1" applyAlignment="1">
      <alignment horizontal="right" vertical="center"/>
    </xf>
    <xf numFmtId="1" fontId="18" fillId="2" borderId="0" xfId="1" applyNumberFormat="1" applyFont="1" applyFill="1" applyAlignment="1">
      <alignment vertical="center"/>
    </xf>
    <xf numFmtId="1" fontId="18" fillId="2" borderId="3" xfId="1" applyNumberFormat="1" applyFont="1" applyFill="1" applyBorder="1" applyAlignment="1">
      <alignment vertical="center"/>
    </xf>
    <xf numFmtId="164" fontId="15" fillId="2" borderId="1" xfId="1" applyFont="1" applyFill="1" applyBorder="1" applyAlignment="1" applyProtection="1">
      <alignment horizontal="left" vertical="center" wrapText="1"/>
    </xf>
    <xf numFmtId="1" fontId="18" fillId="2" borderId="1" xfId="1" applyNumberFormat="1" applyFont="1" applyFill="1" applyBorder="1" applyAlignment="1">
      <alignment vertical="center"/>
    </xf>
    <xf numFmtId="3" fontId="20" fillId="2" borderId="1" xfId="1" applyNumberFormat="1" applyFont="1" applyFill="1" applyBorder="1" applyAlignment="1" applyProtection="1">
      <alignment horizontal="right" vertical="center"/>
    </xf>
    <xf numFmtId="164" fontId="5" fillId="2" borderId="0" xfId="1" applyFont="1" applyFill="1" applyAlignment="1">
      <alignment horizontal="left" vertical="center"/>
    </xf>
    <xf numFmtId="164" fontId="15" fillId="2" borderId="0" xfId="1" applyFont="1" applyFill="1" applyAlignment="1">
      <alignment horizontal="left" vertical="center"/>
    </xf>
    <xf numFmtId="164" fontId="9" fillId="2" borderId="0" xfId="1" applyFont="1" applyFill="1" applyBorder="1" applyAlignment="1" applyProtection="1">
      <alignment horizontal="center" vertical="center"/>
    </xf>
    <xf numFmtId="164" fontId="21" fillId="2" borderId="0" xfId="1" applyFont="1" applyFill="1" applyAlignment="1">
      <alignment horizontal="center" vertical="center"/>
    </xf>
    <xf numFmtId="164" fontId="3" fillId="2" borderId="0" xfId="1" applyFont="1" applyFill="1" applyBorder="1" applyAlignment="1" applyProtection="1">
      <alignment horizontal="center" vertical="center"/>
    </xf>
    <xf numFmtId="164" fontId="9" fillId="2" borderId="1" xfId="1" applyFont="1" applyFill="1" applyBorder="1" applyAlignment="1">
      <alignment horizontal="center" vertical="center"/>
    </xf>
    <xf numFmtId="164" fontId="9" fillId="2" borderId="0" xfId="1" applyFont="1" applyFill="1" applyBorder="1" applyAlignment="1">
      <alignment horizontal="center" vertical="center"/>
    </xf>
    <xf numFmtId="164" fontId="5" fillId="2" borderId="2" xfId="1" applyFont="1" applyFill="1" applyBorder="1" applyAlignment="1" applyProtection="1">
      <alignment horizontal="left" vertical="center"/>
    </xf>
    <xf numFmtId="164" fontId="5" fillId="2" borderId="1" xfId="1" applyFont="1" applyFill="1" applyBorder="1" applyAlignment="1" applyProtection="1">
      <alignment horizontal="left" vertical="center"/>
    </xf>
    <xf numFmtId="164" fontId="9" fillId="2" borderId="5" xfId="1" applyFont="1" applyFill="1" applyBorder="1" applyAlignment="1" applyProtection="1">
      <alignment horizontal="center" vertical="center"/>
    </xf>
    <xf numFmtId="164" fontId="24" fillId="2" borderId="2" xfId="1" applyFont="1" applyFill="1" applyBorder="1" applyAlignment="1">
      <alignment horizontal="right" vertical="center"/>
    </xf>
    <xf numFmtId="164" fontId="24" fillId="2" borderId="1" xfId="1" applyFont="1" applyFill="1" applyBorder="1" applyAlignment="1">
      <alignment horizontal="right" vertical="center"/>
    </xf>
  </cellXfs>
  <cellStyles count="6"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C21-4E73-B27E-27370CF4E0CB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C21-4E73-B27E-27370CF4E0CB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1C21-4E73-B27E-27370CF4E0CB}"/>
              </c:ext>
            </c:extLst>
          </c:dPt>
          <c:dLbls>
            <c:dLbl>
              <c:idx val="0"/>
              <c:layout>
                <c:manualLayout>
                  <c:x val="-0.15866483675905557"/>
                  <c:y val="-0.202361761117888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21-4E73-B27E-27370CF4E0CB}"/>
                </c:ext>
              </c:extLst>
            </c:dLbl>
            <c:dLbl>
              <c:idx val="1"/>
              <c:layout>
                <c:manualLayout>
                  <c:x val="0.10231184798246662"/>
                  <c:y val="0.162336031939669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21-4E73-B27E-27370CF4E0CB}"/>
                </c:ext>
              </c:extLst>
            </c:dLbl>
            <c:dLbl>
              <c:idx val="2"/>
              <c:layout>
                <c:manualLayout>
                  <c:x val="1.828119583477535E-2"/>
                  <c:y val="7.44283020960408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21-4E73-B27E-27370CF4E0CB}"/>
                </c:ext>
              </c:extLst>
            </c:dLbl>
            <c:dLbl>
              <c:idx val="4"/>
              <c:layout>
                <c:manualLayout>
                  <c:x val="-0.17770075391293791"/>
                  <c:y val="0.112539129791874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21-4E73-B27E-27370CF4E0CB}"/>
                </c:ext>
              </c:extLst>
            </c:dLbl>
            <c:dLbl>
              <c:idx val="5"/>
              <c:layout>
                <c:manualLayout>
                  <c:x val="-8.9605043388715166E-2"/>
                  <c:y val="1.15958744593545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21-4E73-B27E-27370CF4E0CB}"/>
                </c:ext>
              </c:extLst>
            </c:dLbl>
            <c:dLbl>
              <c:idx val="6"/>
              <c:layout>
                <c:manualLayout>
                  <c:x val="0.11981999857673285"/>
                  <c:y val="5.120106465565044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21-4E73-B27E-27370CF4E0CB}"/>
                </c:ext>
              </c:extLst>
            </c:dLbl>
            <c:dLbl>
              <c:idx val="7"/>
              <c:layout>
                <c:manualLayout>
                  <c:x val="0.18697760866016142"/>
                  <c:y val="0.155963772134117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21-4E73-B27E-27370CF4E0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'9.9'!$AF$6:$AH$6</c:f>
              <c:numCache>
                <c:formatCode>General_)</c:formatCode>
                <c:ptCount val="3"/>
              </c:numCache>
            </c:numRef>
          </c:cat>
          <c:val>
            <c:numRef>
              <c:f>'9.9'!$AF$7:$AH$7</c:f>
              <c:numCache>
                <c:formatCode>General_)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A-1C21-4E73-B27E-27370CF4E0C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7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AF88-401D-AF4A-7E69F46B0E24}"/>
              </c:ext>
            </c:extLst>
          </c:dPt>
          <c:dLbls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69-424A-8E49-99D2613D1B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'9.9'!$AB$4:$AD$4</c:f>
              <c:strCache>
                <c:ptCount val="3"/>
                <c:pt idx="0">
                  <c:v>Pole and Line</c:v>
                </c:pt>
                <c:pt idx="1">
                  <c:v>Hand  Line</c:v>
                </c:pt>
                <c:pt idx="2">
                  <c:v>Other methods</c:v>
                </c:pt>
              </c:strCache>
            </c:strRef>
          </c:cat>
          <c:val>
            <c:numRef>
              <c:f>'9.9'!$AB$5:$AD$5</c:f>
              <c:numCache>
                <c:formatCode>0.0</c:formatCode>
                <c:ptCount val="3"/>
                <c:pt idx="0">
                  <c:v>78.297244763011889</c:v>
                </c:pt>
                <c:pt idx="1">
                  <c:v>19.363472898536013</c:v>
                </c:pt>
                <c:pt idx="2">
                  <c:v>2.3392823384521138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69-424A-8E49-99D2613D1BE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37</xdr:row>
      <xdr:rowOff>9524</xdr:rowOff>
    </xdr:from>
    <xdr:to>
      <xdr:col>9</xdr:col>
      <xdr:colOff>457200</xdr:colOff>
      <xdr:row>57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466724</xdr:colOff>
      <xdr:row>37</xdr:row>
      <xdr:rowOff>9524</xdr:rowOff>
    </xdr:from>
    <xdr:to>
      <xdr:col>9</xdr:col>
      <xdr:colOff>457200</xdr:colOff>
      <xdr:row>57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0.1066</cdr:x>
      <cdr:y>0.0338</cdr:y>
    </cdr:from>
    <cdr:to>
      <cdr:x>0.89071</cdr:x>
      <cdr:y>0.11267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3250" y="114303"/>
          <a:ext cx="5467051" cy="2666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2017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0.1066</cdr:x>
      <cdr:y>0.0338</cdr:y>
    </cdr:from>
    <cdr:to>
      <cdr:x>0.97523</cdr:x>
      <cdr:y>0.11267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5926" y="114290"/>
          <a:ext cx="5344825" cy="2666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2018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7"/>
  <sheetViews>
    <sheetView tabSelected="1" topLeftCell="A13" zoomScaleNormal="100" workbookViewId="0">
      <selection activeCell="O30" sqref="O30"/>
    </sheetView>
  </sheetViews>
  <sheetFormatPr defaultRowHeight="12.75" x14ac:dyDescent="0.25"/>
  <cols>
    <col min="1" max="1" width="16.85546875" style="2" customWidth="1"/>
    <col min="2" max="2" width="12.28515625" style="8" customWidth="1"/>
    <col min="3" max="3" width="12.28515625" style="2" customWidth="1"/>
    <col min="4" max="5" width="10.7109375" style="2" customWidth="1"/>
    <col min="6" max="6" width="11" style="2" customWidth="1"/>
    <col min="7" max="7" width="11.85546875" style="2" customWidth="1"/>
    <col min="8" max="8" width="11.28515625" style="2" customWidth="1"/>
    <col min="9" max="9" width="12.28515625" style="2" customWidth="1"/>
    <col min="10" max="10" width="21.5703125" style="2" customWidth="1"/>
    <col min="11" max="11" width="3.85546875" style="2" customWidth="1"/>
    <col min="12" max="16384" width="9.140625" style="2"/>
  </cols>
  <sheetData>
    <row r="1" spans="1:32" s="20" customFormat="1" ht="21.75" x14ac:dyDescent="0.25">
      <c r="A1" s="54" t="s">
        <v>34</v>
      </c>
      <c r="B1" s="54"/>
      <c r="C1" s="54"/>
      <c r="D1" s="54"/>
      <c r="E1" s="54"/>
      <c r="F1" s="54"/>
      <c r="G1" s="54"/>
      <c r="H1" s="54"/>
      <c r="I1" s="54"/>
      <c r="J1" s="54"/>
    </row>
    <row r="2" spans="1:32" s="22" customFormat="1" ht="15" x14ac:dyDescent="0.25">
      <c r="A2" s="55" t="s">
        <v>35</v>
      </c>
      <c r="B2" s="55"/>
      <c r="C2" s="55"/>
      <c r="D2" s="55"/>
      <c r="E2" s="55"/>
      <c r="F2" s="55"/>
      <c r="G2" s="55"/>
      <c r="H2" s="55"/>
      <c r="I2" s="55"/>
      <c r="J2" s="55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2" s="23" customFormat="1" x14ac:dyDescent="0.25">
      <c r="A3" s="56"/>
      <c r="B3" s="57"/>
      <c r="C3" s="57"/>
      <c r="D3" s="57"/>
      <c r="E3" s="57"/>
      <c r="F3" s="57"/>
      <c r="G3" s="57"/>
      <c r="H3" s="5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26"/>
      <c r="AC3" s="26"/>
      <c r="AD3" s="26"/>
      <c r="AE3" s="26"/>
      <c r="AF3" s="7"/>
    </row>
    <row r="4" spans="1:32" s="9" customFormat="1" ht="24" x14ac:dyDescent="0.25">
      <c r="A4" s="58" t="s">
        <v>2</v>
      </c>
      <c r="B4" s="60" t="s">
        <v>21</v>
      </c>
      <c r="C4" s="60"/>
      <c r="D4" s="60"/>
      <c r="E4" s="60"/>
      <c r="F4" s="60"/>
      <c r="G4" s="60"/>
      <c r="H4" s="60"/>
      <c r="I4" s="60"/>
      <c r="J4" s="61" t="s">
        <v>13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2" t="s">
        <v>22</v>
      </c>
      <c r="AC4" s="12" t="s">
        <v>25</v>
      </c>
      <c r="AD4" s="12" t="s">
        <v>27</v>
      </c>
      <c r="AE4" s="4"/>
      <c r="AF4" s="4"/>
    </row>
    <row r="5" spans="1:32" s="27" customFormat="1" ht="24" x14ac:dyDescent="0.25">
      <c r="A5" s="59"/>
      <c r="B5" s="12" t="s">
        <v>8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36</v>
      </c>
      <c r="H5" s="24" t="s">
        <v>26</v>
      </c>
      <c r="I5" s="25" t="s">
        <v>20</v>
      </c>
      <c r="J5" s="62"/>
      <c r="K5" s="26"/>
      <c r="L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33">
        <f>C6/$B$6*100</f>
        <v>78.297244763011889</v>
      </c>
      <c r="AC5" s="33">
        <f>F6/$B$6*100</f>
        <v>19.363472898536013</v>
      </c>
      <c r="AD5" s="33">
        <f>AE5/B6*100</f>
        <v>2.3392823384521138</v>
      </c>
      <c r="AE5" s="4">
        <f>D6+E6+G6+H6+I6</f>
        <v>3532.885332302742</v>
      </c>
    </row>
    <row r="6" spans="1:32" s="9" customFormat="1" ht="15" x14ac:dyDescent="0.35">
      <c r="A6" s="28" t="s">
        <v>8</v>
      </c>
      <c r="B6" s="29">
        <f>SUM(B7:B15)</f>
        <v>151024.32375223364</v>
      </c>
      <c r="C6" s="29">
        <f>SUM(C7:C14)</f>
        <v>118247.88441996987</v>
      </c>
      <c r="D6" s="29">
        <f>SUM(D7:D14)</f>
        <v>57.055519402097836</v>
      </c>
      <c r="E6" s="29">
        <f>SUM(E7:E15)</f>
        <v>1345.5049800000002</v>
      </c>
      <c r="F6" s="29">
        <f>SUM(F7:F14)</f>
        <v>29243.553999961048</v>
      </c>
      <c r="G6" s="29">
        <f>SUM(G7:G14)</f>
        <v>1775.5269636195399</v>
      </c>
      <c r="H6" s="29">
        <f>SUM(H7:H14)</f>
        <v>288.82463422347553</v>
      </c>
      <c r="I6" s="29">
        <f>SUM(I7:I14)</f>
        <v>65.973235057628798</v>
      </c>
      <c r="J6" s="16" t="s">
        <v>14</v>
      </c>
      <c r="K6" s="4"/>
      <c r="L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33"/>
      <c r="AC6" s="33"/>
      <c r="AD6" s="33"/>
      <c r="AE6" s="4"/>
    </row>
    <row r="7" spans="1:32" s="9" customFormat="1" ht="15" x14ac:dyDescent="0.25">
      <c r="A7" s="30" t="s">
        <v>17</v>
      </c>
      <c r="B7" s="29">
        <f t="shared" ref="B7:B15" si="0">SUM(C7:I7)</f>
        <v>100099.48690598567</v>
      </c>
      <c r="C7" s="31">
        <v>99886.543418972768</v>
      </c>
      <c r="D7" s="31">
        <v>0</v>
      </c>
      <c r="E7" s="31">
        <v>3.657</v>
      </c>
      <c r="F7" s="31">
        <v>209.28648701289765</v>
      </c>
      <c r="G7" s="31">
        <v>0</v>
      </c>
      <c r="H7" s="31">
        <v>0</v>
      </c>
      <c r="I7" s="31">
        <v>0</v>
      </c>
      <c r="J7" s="32" t="s">
        <v>15</v>
      </c>
      <c r="K7" s="4"/>
      <c r="L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2" s="9" customFormat="1" ht="15" x14ac:dyDescent="0.25">
      <c r="A8" s="15" t="s">
        <v>9</v>
      </c>
      <c r="B8" s="29">
        <f t="shared" si="0"/>
        <v>47216.695506999968</v>
      </c>
      <c r="C8" s="31">
        <v>17619.341007000025</v>
      </c>
      <c r="D8" s="31">
        <v>2.9902199999999994</v>
      </c>
      <c r="E8" s="31">
        <v>633.85134000000016</v>
      </c>
      <c r="F8" s="31">
        <v>28960.512939999946</v>
      </c>
      <c r="G8" s="31">
        <v>0</v>
      </c>
      <c r="H8" s="31">
        <v>0</v>
      </c>
      <c r="I8" s="31">
        <v>0</v>
      </c>
      <c r="J8" s="32" t="s">
        <v>3</v>
      </c>
      <c r="K8" s="4"/>
      <c r="L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2" s="9" customFormat="1" ht="15" x14ac:dyDescent="0.25">
      <c r="A9" s="15" t="s">
        <v>0</v>
      </c>
      <c r="B9" s="29">
        <f t="shared" si="0"/>
        <v>432.30529269740259</v>
      </c>
      <c r="C9" s="31">
        <v>221.72872113263628</v>
      </c>
      <c r="D9" s="31">
        <v>0.2665969954702852</v>
      </c>
      <c r="E9" s="31">
        <v>163.94113999999999</v>
      </c>
      <c r="F9" s="31">
        <v>46.368834569296027</v>
      </c>
      <c r="G9" s="31">
        <v>0</v>
      </c>
      <c r="H9" s="31">
        <v>0</v>
      </c>
      <c r="I9" s="31">
        <v>0</v>
      </c>
      <c r="J9" s="32" t="s">
        <v>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2" s="9" customFormat="1" ht="15" x14ac:dyDescent="0.2">
      <c r="A10" s="18" t="s">
        <v>19</v>
      </c>
      <c r="B10" s="29">
        <f t="shared" si="0"/>
        <v>10.569000000000001</v>
      </c>
      <c r="C10" s="31">
        <v>0</v>
      </c>
      <c r="D10" s="31">
        <v>0</v>
      </c>
      <c r="E10" s="31">
        <v>10.569000000000001</v>
      </c>
      <c r="F10" s="31">
        <v>0</v>
      </c>
      <c r="G10" s="31">
        <v>0</v>
      </c>
      <c r="H10" s="31">
        <v>0</v>
      </c>
      <c r="I10" s="31">
        <v>0</v>
      </c>
      <c r="J10" s="32" t="s">
        <v>16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2" s="9" customFormat="1" ht="15" x14ac:dyDescent="0.25">
      <c r="A11" s="30" t="s">
        <v>10</v>
      </c>
      <c r="B11" s="29">
        <f t="shared" si="0"/>
        <v>2.0185201085607294</v>
      </c>
      <c r="C11" s="31">
        <v>1.6433800506489711</v>
      </c>
      <c r="D11" s="31">
        <v>0.23422450316317914</v>
      </c>
      <c r="E11" s="31">
        <v>0</v>
      </c>
      <c r="F11" s="31">
        <v>0.14091555474857931</v>
      </c>
      <c r="G11" s="31">
        <v>0</v>
      </c>
      <c r="H11" s="31">
        <v>0</v>
      </c>
      <c r="I11" s="31">
        <v>0</v>
      </c>
      <c r="J11" s="32" t="s">
        <v>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2" s="9" customFormat="1" ht="15" x14ac:dyDescent="0.25">
      <c r="A12" s="30" t="s">
        <v>18</v>
      </c>
      <c r="B12" s="29">
        <f t="shared" si="0"/>
        <v>90.91167014604595</v>
      </c>
      <c r="C12" s="31">
        <v>74.161761773498611</v>
      </c>
      <c r="D12" s="31">
        <v>11.340084055179249</v>
      </c>
      <c r="E12" s="31">
        <v>0</v>
      </c>
      <c r="F12" s="31">
        <v>5.4098243173680958</v>
      </c>
      <c r="G12" s="31">
        <v>0</v>
      </c>
      <c r="H12" s="31">
        <v>0</v>
      </c>
      <c r="I12" s="31">
        <v>0</v>
      </c>
      <c r="J12" s="32" t="s">
        <v>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2" s="9" customFormat="1" ht="15" x14ac:dyDescent="0.25">
      <c r="A13" s="30" t="s">
        <v>11</v>
      </c>
      <c r="B13" s="29">
        <f t="shared" si="0"/>
        <v>338.61322270952434</v>
      </c>
      <c r="C13" s="31">
        <v>328.90071331169116</v>
      </c>
      <c r="D13" s="31">
        <v>5.4736171698556273</v>
      </c>
      <c r="E13" s="31">
        <v>0</v>
      </c>
      <c r="F13" s="31">
        <v>4.2388922279775354</v>
      </c>
      <c r="G13" s="31">
        <v>0</v>
      </c>
      <c r="H13" s="31">
        <v>0</v>
      </c>
      <c r="I13" s="31">
        <v>0</v>
      </c>
      <c r="J13" s="32" t="s">
        <v>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2" s="9" customFormat="1" ht="15" x14ac:dyDescent="0.25">
      <c r="A14" s="34" t="s">
        <v>12</v>
      </c>
      <c r="B14" s="35">
        <f t="shared" si="0"/>
        <v>2833.7236335864723</v>
      </c>
      <c r="C14" s="36">
        <v>115.565417728586</v>
      </c>
      <c r="D14" s="36">
        <v>36.750776678429496</v>
      </c>
      <c r="E14" s="36">
        <v>533.48649999999998</v>
      </c>
      <c r="F14" s="36">
        <v>17.59610627881257</v>
      </c>
      <c r="G14" s="36">
        <v>1775.5269636195399</v>
      </c>
      <c r="H14" s="36">
        <v>288.82463422347553</v>
      </c>
      <c r="I14" s="37">
        <v>65.973235057628798</v>
      </c>
      <c r="J14" s="38" t="s">
        <v>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2" s="9" customFormat="1" ht="15" hidden="1" x14ac:dyDescent="0.25">
      <c r="A15" s="39" t="s">
        <v>28</v>
      </c>
      <c r="B15" s="40">
        <f t="shared" si="0"/>
        <v>0</v>
      </c>
      <c r="C15" s="36"/>
      <c r="D15" s="36"/>
      <c r="E15" s="36"/>
      <c r="F15" s="36"/>
      <c r="G15" s="36"/>
      <c r="H15" s="36"/>
      <c r="I15" s="36"/>
      <c r="J15" s="38" t="s">
        <v>29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s="1" customFormat="1" ht="14.25" x14ac:dyDescent="0.25">
      <c r="A16" s="11" t="s">
        <v>30</v>
      </c>
      <c r="B16" s="41">
        <f t="shared" ref="B16:I16" si="1">B6/B6*100</f>
        <v>100</v>
      </c>
      <c r="C16" s="41">
        <f>C6/C6*100</f>
        <v>100</v>
      </c>
      <c r="D16" s="41">
        <f t="shared" si="1"/>
        <v>100</v>
      </c>
      <c r="E16" s="41">
        <f t="shared" si="1"/>
        <v>100</v>
      </c>
      <c r="F16" s="41">
        <f t="shared" si="1"/>
        <v>100</v>
      </c>
      <c r="G16" s="41">
        <f t="shared" si="1"/>
        <v>100</v>
      </c>
      <c r="H16" s="41">
        <f>H6/H6*100</f>
        <v>100</v>
      </c>
      <c r="I16" s="41">
        <f t="shared" si="1"/>
        <v>100</v>
      </c>
      <c r="J16" s="13" t="s">
        <v>31</v>
      </c>
    </row>
    <row r="17" spans="1:32" s="1" customFormat="1" ht="15" x14ac:dyDescent="0.25">
      <c r="A17" s="30" t="s">
        <v>17</v>
      </c>
      <c r="B17" s="41">
        <f>B7/B6*100</f>
        <v>66.280374193369113</v>
      </c>
      <c r="C17" s="42">
        <f>C7/C6*100</f>
        <v>84.472161095259139</v>
      </c>
      <c r="D17" s="42">
        <f t="shared" ref="D17:I17" si="2">D7/D6*100</f>
        <v>0</v>
      </c>
      <c r="E17" s="42">
        <f t="shared" si="2"/>
        <v>0.27179386582426468</v>
      </c>
      <c r="F17" s="42">
        <f t="shared" si="2"/>
        <v>0.7156670732058642</v>
      </c>
      <c r="G17" s="42">
        <f t="shared" si="2"/>
        <v>0</v>
      </c>
      <c r="H17" s="42">
        <f t="shared" si="2"/>
        <v>0</v>
      </c>
      <c r="I17" s="42">
        <f t="shared" si="2"/>
        <v>0</v>
      </c>
      <c r="J17" s="17" t="s">
        <v>15</v>
      </c>
    </row>
    <row r="18" spans="1:32" s="9" customFormat="1" ht="15" x14ac:dyDescent="0.25">
      <c r="A18" s="15" t="s">
        <v>9</v>
      </c>
      <c r="B18" s="41">
        <f>B8/B6*100</f>
        <v>31.264298580447463</v>
      </c>
      <c r="C18" s="42">
        <f>C8/C6*100</f>
        <v>14.900343539697566</v>
      </c>
      <c r="D18" s="42">
        <f t="shared" ref="D18:I18" si="3">D8/D6*100</f>
        <v>5.2408952391204657</v>
      </c>
      <c r="E18" s="42">
        <f t="shared" si="3"/>
        <v>47.108806687582835</v>
      </c>
      <c r="F18" s="42">
        <f t="shared" si="3"/>
        <v>99.032124960045962</v>
      </c>
      <c r="G18" s="42">
        <f t="shared" si="3"/>
        <v>0</v>
      </c>
      <c r="H18" s="42">
        <f t="shared" si="3"/>
        <v>0</v>
      </c>
      <c r="I18" s="42">
        <f t="shared" si="3"/>
        <v>0</v>
      </c>
      <c r="J18" s="17" t="s">
        <v>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9" customFormat="1" ht="15" x14ac:dyDescent="0.25">
      <c r="A19" s="15" t="s">
        <v>0</v>
      </c>
      <c r="B19" s="41">
        <f>B9/B6*100</f>
        <v>0.28624878559736561</v>
      </c>
      <c r="C19" s="42">
        <f>C9/C6*100</f>
        <v>0.18751178697214005</v>
      </c>
      <c r="D19" s="42">
        <f t="shared" ref="D19:I19" si="4">D9/D6*100</f>
        <v>0.46725890547318877</v>
      </c>
      <c r="E19" s="42">
        <f t="shared" si="4"/>
        <v>12.184357727163519</v>
      </c>
      <c r="F19" s="42">
        <f t="shared" si="4"/>
        <v>0.15856087317347881</v>
      </c>
      <c r="G19" s="42">
        <f t="shared" si="4"/>
        <v>0</v>
      </c>
      <c r="H19" s="42">
        <f t="shared" si="4"/>
        <v>0</v>
      </c>
      <c r="I19" s="42">
        <f t="shared" si="4"/>
        <v>0</v>
      </c>
      <c r="J19" s="17" t="s">
        <v>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9" customFormat="1" ht="15" x14ac:dyDescent="0.2">
      <c r="A20" s="18" t="s">
        <v>19</v>
      </c>
      <c r="B20" s="41">
        <f t="shared" ref="B20:I20" si="5">B10/B6*100</f>
        <v>6.9982104454506359E-3</v>
      </c>
      <c r="C20" s="42">
        <f t="shared" si="5"/>
        <v>0</v>
      </c>
      <c r="D20" s="42">
        <f>D10/D6*100</f>
        <v>0</v>
      </c>
      <c r="E20" s="42">
        <f t="shared" si="5"/>
        <v>0.78550433904748529</v>
      </c>
      <c r="F20" s="42">
        <f t="shared" si="5"/>
        <v>0</v>
      </c>
      <c r="G20" s="42">
        <f t="shared" si="5"/>
        <v>0</v>
      </c>
      <c r="H20" s="42">
        <f t="shared" si="5"/>
        <v>0</v>
      </c>
      <c r="I20" s="42">
        <f t="shared" si="5"/>
        <v>0</v>
      </c>
      <c r="J20" s="17" t="s">
        <v>16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9" customFormat="1" ht="15" x14ac:dyDescent="0.25">
      <c r="A21" s="30" t="s">
        <v>10</v>
      </c>
      <c r="B21" s="41">
        <f t="shared" ref="B21:I21" si="6">B11/B6*100</f>
        <v>1.3365529859099108E-3</v>
      </c>
      <c r="C21" s="42">
        <f t="shared" si="6"/>
        <v>1.3897754354846071E-3</v>
      </c>
      <c r="D21" s="42">
        <f t="shared" si="6"/>
        <v>0.41052032409430156</v>
      </c>
      <c r="E21" s="42">
        <f t="shared" si="6"/>
        <v>0</v>
      </c>
      <c r="F21" s="42">
        <f t="shared" si="6"/>
        <v>4.8186877268326214E-4</v>
      </c>
      <c r="G21" s="42">
        <f t="shared" si="6"/>
        <v>0</v>
      </c>
      <c r="H21" s="42">
        <f t="shared" si="6"/>
        <v>0</v>
      </c>
      <c r="I21" s="42">
        <f t="shared" si="6"/>
        <v>0</v>
      </c>
      <c r="J21" s="17" t="s">
        <v>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9" customFormat="1" ht="15" x14ac:dyDescent="0.25">
      <c r="A22" s="30" t="s">
        <v>18</v>
      </c>
      <c r="B22" s="41">
        <f>B12/B6*100</f>
        <v>6.0196707316626123E-2</v>
      </c>
      <c r="C22" s="42">
        <f t="shared" ref="C22:I22" si="7">C12/C6*100</f>
        <v>6.2717199666850076E-2</v>
      </c>
      <c r="D22" s="42">
        <f t="shared" si="7"/>
        <v>19.875525057024181</v>
      </c>
      <c r="E22" s="42">
        <f t="shared" si="7"/>
        <v>0</v>
      </c>
      <c r="F22" s="42">
        <f t="shared" si="7"/>
        <v>1.8499202652917292E-2</v>
      </c>
      <c r="G22" s="42">
        <f t="shared" si="7"/>
        <v>0</v>
      </c>
      <c r="H22" s="42">
        <f t="shared" si="7"/>
        <v>0</v>
      </c>
      <c r="I22" s="42">
        <f t="shared" si="7"/>
        <v>0</v>
      </c>
      <c r="J22" s="17" t="s">
        <v>5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9" customFormat="1" ht="15" x14ac:dyDescent="0.25">
      <c r="A23" s="30" t="s">
        <v>11</v>
      </c>
      <c r="B23" s="41">
        <f t="shared" ref="B23:I23" si="8">B13/B6*100</f>
        <v>0.22421105044313516</v>
      </c>
      <c r="C23" s="42">
        <f t="shared" si="8"/>
        <v>0.27814511432912026</v>
      </c>
      <c r="D23" s="42">
        <f t="shared" si="8"/>
        <v>9.5934928420866701</v>
      </c>
      <c r="E23" s="42">
        <f t="shared" si="8"/>
        <v>0</v>
      </c>
      <c r="F23" s="42">
        <f t="shared" si="8"/>
        <v>1.4495133621526241E-2</v>
      </c>
      <c r="G23" s="42">
        <f t="shared" si="8"/>
        <v>0</v>
      </c>
      <c r="H23" s="42">
        <f t="shared" si="8"/>
        <v>0</v>
      </c>
      <c r="I23" s="42">
        <f t="shared" si="8"/>
        <v>0</v>
      </c>
      <c r="J23" s="17" t="s">
        <v>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14" customFormat="1" ht="15" x14ac:dyDescent="0.25">
      <c r="A24" s="34" t="s">
        <v>12</v>
      </c>
      <c r="B24" s="35">
        <f>B14/B6*100</f>
        <v>1.8763359193949454</v>
      </c>
      <c r="C24" s="43">
        <f t="shared" ref="C24:I24" si="9">C14/C6*100</f>
        <v>9.7731488639697939E-2</v>
      </c>
      <c r="D24" s="43">
        <f t="shared" si="9"/>
        <v>64.412307632201191</v>
      </c>
      <c r="E24" s="43">
        <f t="shared" si="9"/>
        <v>39.649537380381894</v>
      </c>
      <c r="F24" s="43">
        <f t="shared" si="9"/>
        <v>6.017088852755724E-2</v>
      </c>
      <c r="G24" s="43">
        <f t="shared" si="9"/>
        <v>100</v>
      </c>
      <c r="H24" s="43">
        <f t="shared" si="9"/>
        <v>100</v>
      </c>
      <c r="I24" s="43">
        <f t="shared" si="9"/>
        <v>100</v>
      </c>
      <c r="J24" s="38" t="s">
        <v>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s="9" customFormat="1" ht="15" hidden="1" x14ac:dyDescent="0.25">
      <c r="A25" s="39" t="s">
        <v>28</v>
      </c>
      <c r="B25" s="40">
        <f t="shared" ref="B25:I25" si="10">B15/B6*100</f>
        <v>0</v>
      </c>
      <c r="C25" s="44">
        <f t="shared" si="10"/>
        <v>0</v>
      </c>
      <c r="D25" s="44">
        <f t="shared" si="10"/>
        <v>0</v>
      </c>
      <c r="E25" s="44">
        <f t="shared" si="10"/>
        <v>0</v>
      </c>
      <c r="F25" s="44">
        <f t="shared" si="10"/>
        <v>0</v>
      </c>
      <c r="G25" s="44">
        <f t="shared" si="10"/>
        <v>0</v>
      </c>
      <c r="H25" s="44">
        <f t="shared" si="10"/>
        <v>0</v>
      </c>
      <c r="I25" s="44">
        <f t="shared" si="10"/>
        <v>0</v>
      </c>
      <c r="J25" s="45" t="s">
        <v>29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4.25" x14ac:dyDescent="0.25">
      <c r="A26" s="11" t="s">
        <v>30</v>
      </c>
      <c r="B26" s="46">
        <f t="shared" ref="B26:B35" si="11">SUM(C26:I26)</f>
        <v>100.00000000000003</v>
      </c>
      <c r="C26" s="41">
        <f>(C6/$B$6)*100</f>
        <v>78.297244763011889</v>
      </c>
      <c r="D26" s="41">
        <f t="shared" ref="D26:I26" si="12">(D6/$B$6)*100</f>
        <v>3.7779026573031747E-2</v>
      </c>
      <c r="E26" s="41">
        <f t="shared" si="12"/>
        <v>0.89091938740106447</v>
      </c>
      <c r="F26" s="41">
        <f t="shared" si="12"/>
        <v>19.363472898536013</v>
      </c>
      <c r="G26" s="41">
        <f t="shared" si="12"/>
        <v>1.1756562913219335</v>
      </c>
      <c r="H26" s="41">
        <f>(H6/$B$6)*100</f>
        <v>0.19124378580056633</v>
      </c>
      <c r="I26" s="41">
        <f t="shared" si="12"/>
        <v>4.3683847355517828E-2</v>
      </c>
      <c r="J26" s="13" t="s">
        <v>31</v>
      </c>
    </row>
    <row r="27" spans="1:32" ht="15" x14ac:dyDescent="0.25">
      <c r="A27" s="30" t="s">
        <v>17</v>
      </c>
      <c r="B27" s="46">
        <f t="shared" si="11"/>
        <v>99.999999999999986</v>
      </c>
      <c r="C27" s="42">
        <f>(C7/$B$7)*100</f>
        <v>99.787268153319403</v>
      </c>
      <c r="D27" s="42">
        <f t="shared" ref="D27:I27" si="13">(D7/$B$7)*100</f>
        <v>0</v>
      </c>
      <c r="E27" s="42">
        <f t="shared" si="13"/>
        <v>3.6533653798192659E-3</v>
      </c>
      <c r="F27" s="42">
        <f t="shared" si="13"/>
        <v>0.20907848130076967</v>
      </c>
      <c r="G27" s="42">
        <f t="shared" si="13"/>
        <v>0</v>
      </c>
      <c r="H27" s="42">
        <f t="shared" si="13"/>
        <v>0</v>
      </c>
      <c r="I27" s="42">
        <f t="shared" si="13"/>
        <v>0</v>
      </c>
      <c r="J27" s="17" t="s">
        <v>15</v>
      </c>
    </row>
    <row r="28" spans="1:32" ht="15" x14ac:dyDescent="0.25">
      <c r="A28" s="15" t="s">
        <v>9</v>
      </c>
      <c r="B28" s="46">
        <f t="shared" si="11"/>
        <v>100</v>
      </c>
      <c r="C28" s="42">
        <f>(C8/$B$8)*100</f>
        <v>37.315912979102741</v>
      </c>
      <c r="D28" s="42">
        <f t="shared" ref="D28:I28" si="14">(D8/$B$8)*100</f>
        <v>6.3329717759615213E-3</v>
      </c>
      <c r="E28" s="42">
        <f t="shared" si="14"/>
        <v>1.3424305390156548</v>
      </c>
      <c r="F28" s="42">
        <f t="shared" si="14"/>
        <v>61.335323510105646</v>
      </c>
      <c r="G28" s="42">
        <f t="shared" si="14"/>
        <v>0</v>
      </c>
      <c r="H28" s="42">
        <f t="shared" si="14"/>
        <v>0</v>
      </c>
      <c r="I28" s="42">
        <f t="shared" si="14"/>
        <v>0</v>
      </c>
      <c r="J28" s="17" t="s">
        <v>3</v>
      </c>
    </row>
    <row r="29" spans="1:32" ht="15" x14ac:dyDescent="0.25">
      <c r="A29" s="15" t="s">
        <v>0</v>
      </c>
      <c r="B29" s="46">
        <f t="shared" si="11"/>
        <v>100</v>
      </c>
      <c r="C29" s="42">
        <f>(C9/$B$9)*100</f>
        <v>51.289846522382973</v>
      </c>
      <c r="D29" s="42">
        <f t="shared" ref="D29:I29" si="15">(D9/$B$9)*100</f>
        <v>6.1668686452306061E-2</v>
      </c>
      <c r="E29" s="42">
        <f t="shared" si="15"/>
        <v>37.922538254638624</v>
      </c>
      <c r="F29" s="42">
        <f t="shared" si="15"/>
        <v>10.72594653652609</v>
      </c>
      <c r="G29" s="42">
        <f t="shared" si="15"/>
        <v>0</v>
      </c>
      <c r="H29" s="42">
        <f t="shared" si="15"/>
        <v>0</v>
      </c>
      <c r="I29" s="42">
        <f t="shared" si="15"/>
        <v>0</v>
      </c>
      <c r="J29" s="17" t="s">
        <v>1</v>
      </c>
    </row>
    <row r="30" spans="1:32" ht="15" x14ac:dyDescent="0.2">
      <c r="A30" s="18" t="s">
        <v>19</v>
      </c>
      <c r="B30" s="46">
        <f t="shared" si="11"/>
        <v>100</v>
      </c>
      <c r="C30" s="42">
        <f>(C10/$B$10)*100</f>
        <v>0</v>
      </c>
      <c r="D30" s="42">
        <f t="shared" ref="D30:I30" si="16">(D10/$B$10)*100</f>
        <v>0</v>
      </c>
      <c r="E30" s="42">
        <f t="shared" si="16"/>
        <v>100</v>
      </c>
      <c r="F30" s="42">
        <f t="shared" si="16"/>
        <v>0</v>
      </c>
      <c r="G30" s="42">
        <f t="shared" si="16"/>
        <v>0</v>
      </c>
      <c r="H30" s="42">
        <f t="shared" si="16"/>
        <v>0</v>
      </c>
      <c r="I30" s="42">
        <f t="shared" si="16"/>
        <v>0</v>
      </c>
      <c r="J30" s="17" t="s">
        <v>16</v>
      </c>
    </row>
    <row r="31" spans="1:32" ht="15" x14ac:dyDescent="0.25">
      <c r="A31" s="30" t="s">
        <v>10</v>
      </c>
      <c r="B31" s="46">
        <f t="shared" si="11"/>
        <v>100.00000000000001</v>
      </c>
      <c r="C31" s="42">
        <f>(C11/$B$11)*100</f>
        <v>81.415094339622641</v>
      </c>
      <c r="D31" s="42">
        <f t="shared" ref="D31:I31" si="17">(D11/$B$11)*100</f>
        <v>11.603773584905669</v>
      </c>
      <c r="E31" s="42">
        <f t="shared" si="17"/>
        <v>0</v>
      </c>
      <c r="F31" s="42">
        <f t="shared" si="17"/>
        <v>6.9811320754717023</v>
      </c>
      <c r="G31" s="42">
        <f t="shared" si="17"/>
        <v>0</v>
      </c>
      <c r="H31" s="42">
        <f t="shared" si="17"/>
        <v>0</v>
      </c>
      <c r="I31" s="42">
        <f t="shared" si="17"/>
        <v>0</v>
      </c>
      <c r="J31" s="17" t="s">
        <v>4</v>
      </c>
    </row>
    <row r="32" spans="1:32" ht="15" x14ac:dyDescent="0.25">
      <c r="A32" s="30" t="s">
        <v>18</v>
      </c>
      <c r="B32" s="46">
        <f t="shared" si="11"/>
        <v>100.00000000000001</v>
      </c>
      <c r="C32" s="42">
        <f>(C12/$B$12)*100</f>
        <v>81.575623519357549</v>
      </c>
      <c r="D32" s="42">
        <f t="shared" ref="D32:I32" si="18">(D12/$B$12)*100</f>
        <v>12.473738560695077</v>
      </c>
      <c r="E32" s="42">
        <f t="shared" si="18"/>
        <v>0</v>
      </c>
      <c r="F32" s="42">
        <f t="shared" si="18"/>
        <v>5.9506379199473844</v>
      </c>
      <c r="G32" s="42">
        <f t="shared" si="18"/>
        <v>0</v>
      </c>
      <c r="H32" s="42">
        <f t="shared" si="18"/>
        <v>0</v>
      </c>
      <c r="I32" s="42">
        <f t="shared" si="18"/>
        <v>0</v>
      </c>
      <c r="J32" s="17" t="s">
        <v>5</v>
      </c>
    </row>
    <row r="33" spans="1:10" ht="15" x14ac:dyDescent="0.25">
      <c r="A33" s="30" t="s">
        <v>11</v>
      </c>
      <c r="B33" s="46">
        <f t="shared" si="11"/>
        <v>100</v>
      </c>
      <c r="C33" s="42">
        <f>(C13/$B$13)*100</f>
        <v>97.131680411026082</v>
      </c>
      <c r="D33" s="42">
        <f t="shared" ref="D33:I33" si="19">(D13/$B$13)*100</f>
        <v>1.6164806341750895</v>
      </c>
      <c r="E33" s="42">
        <f t="shared" si="19"/>
        <v>0</v>
      </c>
      <c r="F33" s="42">
        <f t="shared" si="19"/>
        <v>1.2518389547988273</v>
      </c>
      <c r="G33" s="42">
        <f t="shared" si="19"/>
        <v>0</v>
      </c>
      <c r="H33" s="42">
        <f t="shared" si="19"/>
        <v>0</v>
      </c>
      <c r="I33" s="42">
        <f t="shared" si="19"/>
        <v>0</v>
      </c>
      <c r="J33" s="17" t="s">
        <v>6</v>
      </c>
    </row>
    <row r="34" spans="1:10" ht="15" x14ac:dyDescent="0.25">
      <c r="A34" s="34" t="s">
        <v>12</v>
      </c>
      <c r="B34" s="47">
        <f t="shared" si="11"/>
        <v>100</v>
      </c>
      <c r="C34" s="43">
        <f>(C14/$B$14)*100</f>
        <v>4.0782176624020972</v>
      </c>
      <c r="D34" s="43">
        <f t="shared" ref="D34:I34" si="20">(D14/$B$14)*100</f>
        <v>1.2969075827594474</v>
      </c>
      <c r="E34" s="43">
        <f t="shared" si="20"/>
        <v>18.826341908466159</v>
      </c>
      <c r="F34" s="43">
        <f t="shared" si="20"/>
        <v>0.6209535069071731</v>
      </c>
      <c r="G34" s="43">
        <f t="shared" si="20"/>
        <v>62.657026344250902</v>
      </c>
      <c r="H34" s="43">
        <f t="shared" si="20"/>
        <v>10.192406584756739</v>
      </c>
      <c r="I34" s="43">
        <f t="shared" si="20"/>
        <v>2.3281464104574825</v>
      </c>
      <c r="J34" s="38" t="s">
        <v>7</v>
      </c>
    </row>
    <row r="35" spans="1:10" ht="15" hidden="1" x14ac:dyDescent="0.25">
      <c r="A35" s="48" t="s">
        <v>28</v>
      </c>
      <c r="B35" s="49">
        <f t="shared" si="11"/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19" t="s">
        <v>29</v>
      </c>
    </row>
    <row r="36" spans="1:10" s="10" customFormat="1" ht="17.25" x14ac:dyDescent="0.25">
      <c r="A36" s="5" t="s">
        <v>33</v>
      </c>
      <c r="B36" s="51"/>
      <c r="C36" s="52"/>
      <c r="D36" s="52"/>
      <c r="E36" s="52"/>
      <c r="F36" s="52"/>
      <c r="G36" s="52"/>
      <c r="H36" s="52"/>
      <c r="J36" s="3" t="s">
        <v>32</v>
      </c>
    </row>
    <row r="47" spans="1:10" x14ac:dyDescent="0.25">
      <c r="B47" s="2"/>
    </row>
  </sheetData>
  <mergeCells count="6">
    <mergeCell ref="A1:J1"/>
    <mergeCell ref="A2:J2"/>
    <mergeCell ref="A3:G3"/>
    <mergeCell ref="A4:A5"/>
    <mergeCell ref="B4:I4"/>
    <mergeCell ref="J4:J5"/>
  </mergeCells>
  <pageMargins left="0.7" right="0.7" top="0.75" bottom="0.75" header="0.3" footer="0.3"/>
  <pageSetup paperSize="9" scale="6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9.9</vt:lpstr>
      <vt:lpstr>'9.9'!Print_Area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2019-09-09T05:11:24Z</dcterms:created>
  <dcterms:modified xsi:type="dcterms:W3CDTF">2020-01-12T06:53:13Z</dcterms:modified>
</cp:coreProperties>
</file>