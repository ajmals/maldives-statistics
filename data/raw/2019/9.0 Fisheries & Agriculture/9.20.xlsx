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/>
  </bookViews>
  <sheets>
    <sheet name="9.20" sheetId="20" r:id="rId1"/>
  </sheets>
  <externalReferences>
    <externalReference r:id="rId2"/>
    <externalReference r:id="rId3"/>
    <externalReference r:id="rId4"/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3" i="20" l="1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Y37" i="20"/>
  <c r="X37" i="20"/>
  <c r="W37" i="20"/>
  <c r="V37" i="20"/>
  <c r="U37" i="20"/>
  <c r="T37" i="20"/>
  <c r="S37" i="20"/>
  <c r="R37" i="20"/>
  <c r="Q37" i="20"/>
  <c r="O37" i="20"/>
  <c r="N37" i="20"/>
  <c r="M37" i="20"/>
  <c r="L37" i="20"/>
  <c r="J37" i="20"/>
  <c r="I37" i="20"/>
  <c r="G37" i="20"/>
  <c r="F37" i="20"/>
  <c r="E37" i="20"/>
  <c r="D37" i="20"/>
  <c r="C37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Y7" i="20"/>
  <c r="X7" i="20"/>
  <c r="W7" i="20"/>
  <c r="V7" i="20"/>
  <c r="U7" i="20"/>
  <c r="T7" i="20"/>
  <c r="S7" i="20"/>
  <c r="R7" i="20"/>
  <c r="Q7" i="20"/>
  <c r="O7" i="20"/>
  <c r="N7" i="20"/>
  <c r="M7" i="20"/>
  <c r="L7" i="20"/>
  <c r="J7" i="20"/>
  <c r="I7" i="20"/>
  <c r="G7" i="20"/>
  <c r="F7" i="20"/>
  <c r="E7" i="20"/>
  <c r="D7" i="20"/>
  <c r="C7" i="20"/>
  <c r="B7" i="20" l="1"/>
  <c r="B37" i="20"/>
</calcChain>
</file>

<file path=xl/sharedStrings.xml><?xml version="1.0" encoding="utf-8"?>
<sst xmlns="http://schemas.openxmlformats.org/spreadsheetml/2006/main" count="239" uniqueCount="89">
  <si>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</si>
  <si>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</si>
  <si>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</si>
  <si>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</si>
  <si>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</si>
  <si>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</si>
  <si>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</si>
  <si>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</si>
  <si>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</si>
  <si>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</si>
  <si>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</si>
  <si>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</si>
  <si>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</si>
  <si>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</si>
  <si>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</si>
  <si>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</si>
  <si>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</si>
  <si>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</si>
  <si>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</si>
  <si>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</si>
  <si>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</si>
  <si>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</si>
  <si>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</si>
  <si>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</si>
  <si>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</si>
  <si>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</si>
  <si>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</si>
  <si>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</si>
  <si>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</si>
  <si>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</si>
  <si>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</si>
  <si>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</si>
  <si>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</si>
  <si>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</si>
  <si>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</si>
  <si>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</si>
  <si>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</si>
  <si>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</si>
  <si>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Total</t>
  </si>
  <si>
    <t>-</t>
  </si>
  <si>
    <t>ޖުމްލަ</t>
  </si>
  <si>
    <t xml:space="preserve"> AA</t>
  </si>
  <si>
    <t>R</t>
  </si>
  <si>
    <t>ދަނޑުވެރިކަމުގެ ބާވަތްތައް</t>
  </si>
  <si>
    <t>ފަތްކެޔޮ</t>
  </si>
  <si>
    <t>ގިތެޔޮމިރުސް</t>
  </si>
  <si>
    <t>ކިއުކަމްބަރ</t>
  </si>
  <si>
    <t>އަނބު</t>
  </si>
  <si>
    <t>ފަޅޯ</t>
  </si>
  <si>
    <t>ބަރަބޯ</t>
  </si>
  <si>
    <t>ކަރާ</t>
  </si>
  <si>
    <t>Agricultural Crops</t>
  </si>
  <si>
    <t>ޅ</t>
  </si>
  <si>
    <t>އުފެއްދުނު އަތޮޅުތައް</t>
  </si>
  <si>
    <t>Watermelon</t>
  </si>
  <si>
    <t>Coconut (young)</t>
  </si>
  <si>
    <t>ކުރުނބާ</t>
  </si>
  <si>
    <t>Pumpkin</t>
  </si>
  <si>
    <t>Cucumber</t>
  </si>
  <si>
    <t>Banana</t>
  </si>
  <si>
    <t>Brinjal</t>
  </si>
  <si>
    <t>ބަށި</t>
  </si>
  <si>
    <t>Coconut</t>
  </si>
  <si>
    <t>ކާށި</t>
  </si>
  <si>
    <t>Bottle gourd</t>
  </si>
  <si>
    <t>Butternut</t>
  </si>
  <si>
    <t>ބަޓާނާ</t>
  </si>
  <si>
    <t>Chinese Cabbage</t>
  </si>
  <si>
    <t>ޗައިނީޒް ކެބެޖް</t>
  </si>
  <si>
    <t>Mango</t>
  </si>
  <si>
    <t>Wax gourd</t>
  </si>
  <si>
    <t>ފުފޫ</t>
  </si>
  <si>
    <t>Others</t>
  </si>
  <si>
    <t>އެހެނިހެން</t>
  </si>
  <si>
    <t>Source:  Agriculture Data Management Unit/Min. Fisheries and Agriculture</t>
  </si>
  <si>
    <t>ނޯޓް: ހދ، ރ، ޅ، ވ، ފ، ދ، ގއ ގެ މައުލޫމާތު ނެތީ އެ އަތޮޅު ތަކުން މާލެއަށް ތަރުކަރީ އަދި މޭވާ ވިއްކަން ގެނެސްފައި ނުވާތީއެވެ.</t>
  </si>
  <si>
    <t>މައުލޫމާތު ދެއްވި ފަރާތް: އެގްރިކަލްޗަރ ޑާޓާ މެނޭޖްމަންޓް ޔުނިޓް/ މިނިސްޓްރީ އޮފް ފިޝަރީޒް އެންޑް އެގްރިކަލްޗަރ</t>
  </si>
  <si>
    <t>ނޯޓް:  ރ، ޅ، ވ އަދި ދ ގެ މައުލޫމާތު ނެތީ އެ އަތޮޅު ތަކުން މާލެއަށް ތަރުކަރީ އަދި މޭވާ ވިއްކަން ގެނެސްފައި ނުވާތީއެވެ.</t>
  </si>
  <si>
    <t>ތާވަލު 9.20:  އަތޮޅުތަކުން މާލެ މާރުކޭޓަށް ވިއްކި ދަނޑުވެރިކަމުގެ ތަކެތި ، 2018</t>
  </si>
  <si>
    <t xml:space="preserve">       Table 9.20: AGRICULTURAL PRODUCTS TRADED IN MALE' MARKET BY ATOLLS, 2018</t>
  </si>
  <si>
    <t xml:space="preserve">            (Value in MVR)  (ރުފިޔާއިން)</t>
  </si>
  <si>
    <t>Producing by Atolls</t>
  </si>
  <si>
    <t>Betel leaf</t>
  </si>
  <si>
    <t>ބިލެއް</t>
  </si>
  <si>
    <t>Chilly</t>
  </si>
  <si>
    <t>Papaya</t>
  </si>
  <si>
    <t>ދިއްސާ</t>
  </si>
  <si>
    <t>ތާވަލު 9.20:  އަތޮޅުތަކުން މާލެ މާރުކޭޓަށް ވިއްކި ދަނޑުވެރިކަމުގެ ތަކެތި ، 2017</t>
  </si>
  <si>
    <t xml:space="preserve">       Table 9.20: AGRICULTURAL PRODUCTS TRADED IN MALE' MARKET BY ATOLLS,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</si>
</sst>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71" formatCode="[$-409]mmmm\ d\,\ yyyy;@"/>
  </numFmts>
  <fonts count="2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11"/>
      <name val="Calibri"/>
      <family val="2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color indexed="8"/>
      <name val="Calibri"/>
      <family val="2"/>
    </font>
    <font>
      <sz val="10"/>
      <name val="Faruma"/>
    </font>
    <font>
      <i/>
      <sz val="10"/>
      <name val="Calibri"/>
      <family val="2"/>
    </font>
    <font>
      <sz val="11"/>
      <name val="Courier"/>
      <family val="3"/>
    </font>
    <font>
      <sz val="11"/>
      <color indexed="8"/>
      <name val="Calibri"/>
      <family val="2"/>
    </font>
    <font>
      <b/>
      <sz val="11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sz val="10"/>
      <color theme="1"/>
      <name val="Faruma"/>
    </font>
    <font>
      <sz val="10"/>
      <color indexed="8"/>
      <name val="Faruma"/>
    </font>
    <font>
      <b/>
      <sz val="12"/>
      <color indexed="8"/>
      <name val="Faruma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7">
    <xf numFmtId="0" fontId="0" fillId="0" borderId="0"/>
    <xf numFmtId="40" fontId="10" fillId="0" borderId="0" applyFont="0" applyFill="0" applyBorder="0" applyAlignment="0" applyProtection="0"/>
    <xf numFmtId="0" fontId="16" fillId="0" borderId="0"/>
    <xf numFmtId="171" fontId="1" fillId="0" borderId="0"/>
    <xf numFmtId="43" fontId="16" fillId="0" borderId="0" applyFont="0" applyFill="0" applyBorder="0" applyAlignment="0" applyProtection="0"/>
    <xf numFmtId="171" fontId="1" fillId="0" borderId="0"/>
    <xf numFmtId="171" fontId="1" fillId="0" borderId="0"/>
  </cellStyleXfs>
  <cellXfs count="58">
    <xf numFmtId="0" fontId="0" fillId="0" borderId="0" xfId="0"/>
    <xf numFmtId="0" fontId="18" fillId="2" borderId="3" xfId="5" applyNumberFormat="1" applyFont="1" applyFill="1" applyBorder="1" applyAlignment="1">
      <alignment vertical="center"/>
    </xf>
    <xf numFmtId="0" fontId="1" fillId="2" borderId="3" xfId="5" applyNumberFormat="1" applyFont="1" applyFill="1" applyBorder="1" applyAlignment="1">
      <alignment vertical="center"/>
    </xf>
    <xf numFmtId="0" fontId="3" fillId="2" borderId="0" xfId="0" applyFont="1" applyFill="1" applyBorder="1" applyAlignment="1" applyProtection="1">
      <alignment horizontal="right" vertical="center"/>
    </xf>
    <xf numFmtId="164" fontId="15" fillId="2" borderId="0" xfId="5" applyNumberFormat="1" applyFont="1" applyFill="1"/>
    <xf numFmtId="0" fontId="4" fillId="2" borderId="0" xfId="5" applyNumberFormat="1" applyFont="1" applyFill="1" applyBorder="1" applyAlignment="1">
      <alignment vertical="center"/>
    </xf>
    <xf numFmtId="0" fontId="14" fillId="2" borderId="0" xfId="5" applyNumberFormat="1" applyFont="1" applyFill="1" applyBorder="1" applyAlignment="1">
      <alignment vertical="center"/>
    </xf>
    <xf numFmtId="0" fontId="20" fillId="2" borderId="0" xfId="5" applyNumberFormat="1" applyFont="1" applyFill="1" applyAlignment="1">
      <alignment horizontal="right" vertical="center"/>
    </xf>
    <xf numFmtId="0" fontId="21" fillId="2" borderId="0" xfId="3" applyNumberFormat="1" applyFont="1" applyFill="1" applyBorder="1" applyAlignment="1">
      <alignment horizontal="right" vertical="center"/>
    </xf>
    <xf numFmtId="164" fontId="1" fillId="2" borderId="0" xfId="6" applyNumberFormat="1" applyFill="1"/>
    <xf numFmtId="164" fontId="6" fillId="2" borderId="0" xfId="6" applyNumberFormat="1" applyFont="1" applyFill="1"/>
    <xf numFmtId="0" fontId="1" fillId="2" borderId="2" xfId="6" applyNumberFormat="1" applyFont="1" applyFill="1" applyBorder="1" applyAlignment="1">
      <alignment vertical="center"/>
    </xf>
    <xf numFmtId="0" fontId="18" fillId="2" borderId="3" xfId="5" applyNumberFormat="1" applyFont="1" applyFill="1" applyBorder="1" applyAlignment="1">
      <alignment horizontal="center" vertical="center"/>
    </xf>
    <xf numFmtId="164" fontId="6" fillId="2" borderId="0" xfId="6" applyNumberFormat="1" applyFont="1" applyFill="1" applyAlignment="1">
      <alignment horizontal="center"/>
    </xf>
    <xf numFmtId="0" fontId="7" fillId="2" borderId="0" xfId="6" applyNumberFormat="1" applyFont="1" applyFill="1" applyAlignment="1">
      <alignment horizontal="center" vertical="center"/>
    </xf>
    <xf numFmtId="0" fontId="8" fillId="2" borderId="0" xfId="0" applyFont="1" applyFill="1" applyBorder="1" applyAlignment="1">
      <alignment horizontal="right" vertical="center"/>
    </xf>
    <xf numFmtId="0" fontId="4" fillId="2" borderId="0" xfId="6" applyNumberFormat="1" applyFont="1" applyFill="1" applyAlignment="1">
      <alignment horizontal="center" vertical="center"/>
    </xf>
    <xf numFmtId="0" fontId="18" fillId="2" borderId="2" xfId="6" applyNumberFormat="1" applyFont="1" applyFill="1" applyBorder="1" applyAlignment="1">
      <alignment vertical="center"/>
    </xf>
    <xf numFmtId="3" fontId="18" fillId="2" borderId="2" xfId="5" applyNumberFormat="1" applyFont="1" applyFill="1" applyBorder="1" applyAlignment="1">
      <alignment horizontal="right"/>
    </xf>
    <xf numFmtId="3" fontId="2" fillId="2" borderId="2" xfId="5" applyNumberFormat="1" applyFont="1" applyFill="1" applyBorder="1" applyAlignment="1">
      <alignment horizontal="right"/>
    </xf>
    <xf numFmtId="0" fontId="17" fillId="2" borderId="2" xfId="6" applyNumberFormat="1" applyFont="1" applyFill="1" applyBorder="1" applyAlignment="1">
      <alignment vertical="center"/>
    </xf>
    <xf numFmtId="0" fontId="12" fillId="2" borderId="0" xfId="2" applyNumberFormat="1" applyFont="1" applyFill="1" applyBorder="1" applyAlignment="1">
      <alignment horizontal="left" vertical="center" indent="2"/>
    </xf>
    <xf numFmtId="3" fontId="18" fillId="2" borderId="0" xfId="5" applyNumberFormat="1" applyFont="1" applyFill="1" applyBorder="1" applyAlignment="1">
      <alignment horizontal="right"/>
    </xf>
    <xf numFmtId="3" fontId="9" fillId="2" borderId="0" xfId="6" applyNumberFormat="1" applyFont="1" applyFill="1"/>
    <xf numFmtId="0" fontId="19" fillId="2" borderId="0" xfId="6" applyNumberFormat="1" applyFont="1" applyFill="1" applyBorder="1" applyAlignment="1">
      <alignment horizontal="right" vertical="center" indent="4"/>
    </xf>
    <xf numFmtId="3" fontId="16" fillId="2" borderId="0" xfId="5" applyNumberFormat="1" applyFont="1" applyFill="1" applyBorder="1" applyAlignment="1">
      <alignment horizontal="right"/>
    </xf>
    <xf numFmtId="3" fontId="23" fillId="2" borderId="0" xfId="4" applyNumberFormat="1" applyFont="1" applyFill="1" applyBorder="1" applyAlignment="1">
      <alignment horizontal="right" vertical="center"/>
    </xf>
    <xf numFmtId="3" fontId="16" fillId="2" borderId="0" xfId="1" applyNumberFormat="1" applyFont="1" applyFill="1" applyBorder="1" applyAlignment="1">
      <alignment horizontal="right"/>
    </xf>
    <xf numFmtId="3" fontId="9" fillId="2" borderId="0" xfId="1" applyNumberFormat="1" applyFont="1" applyFill="1" applyBorder="1" applyAlignment="1">
      <alignment horizontal="right"/>
    </xf>
    <xf numFmtId="3" fontId="4" fillId="2" borderId="0" xfId="1" applyNumberFormat="1" applyFont="1" applyFill="1" applyBorder="1" applyAlignment="1">
      <alignment horizontal="right"/>
    </xf>
    <xf numFmtId="0" fontId="12" fillId="2" borderId="0" xfId="2" applyFont="1" applyFill="1" applyBorder="1" applyAlignment="1">
      <alignment horizontal="left" indent="2"/>
    </xf>
    <xf numFmtId="3" fontId="11" fillId="2" borderId="0" xfId="6" applyNumberFormat="1" applyFont="1" applyFill="1"/>
    <xf numFmtId="3" fontId="4" fillId="2" borderId="0" xfId="1" quotePrefix="1" applyNumberFormat="1" applyFont="1" applyFill="1" applyBorder="1" applyAlignment="1">
      <alignment horizontal="right"/>
    </xf>
    <xf numFmtId="0" fontId="4" fillId="2" borderId="0" xfId="5" applyNumberFormat="1" applyFont="1" applyFill="1" applyBorder="1" applyAlignment="1">
      <alignment horizontal="left" vertical="center" indent="2"/>
    </xf>
    <xf numFmtId="0" fontId="4" fillId="2" borderId="1" xfId="6" applyNumberFormat="1" applyFont="1" applyFill="1" applyBorder="1" applyAlignment="1">
      <alignment vertical="center"/>
    </xf>
    <xf numFmtId="3" fontId="16" fillId="2" borderId="1" xfId="5" applyNumberFormat="1" applyFont="1" applyFill="1" applyBorder="1" applyAlignment="1">
      <alignment horizontal="right"/>
    </xf>
    <xf numFmtId="3" fontId="23" fillId="2" borderId="1" xfId="4" applyNumberFormat="1" applyFont="1" applyFill="1" applyBorder="1" applyAlignment="1">
      <alignment horizontal="right" vertical="center"/>
    </xf>
    <xf numFmtId="3" fontId="16" fillId="2" borderId="1" xfId="1" applyNumberFormat="1" applyFont="1" applyFill="1" applyBorder="1" applyAlignment="1">
      <alignment horizontal="right"/>
    </xf>
    <xf numFmtId="3" fontId="9" fillId="2" borderId="1" xfId="1" applyNumberFormat="1" applyFont="1" applyFill="1" applyBorder="1" applyAlignment="1">
      <alignment horizontal="right"/>
    </xf>
    <xf numFmtId="3" fontId="4" fillId="2" borderId="1" xfId="1" applyNumberFormat="1" applyFont="1" applyFill="1" applyBorder="1" applyAlignment="1">
      <alignment horizontal="right"/>
    </xf>
    <xf numFmtId="0" fontId="19" fillId="2" borderId="1" xfId="6" applyNumberFormat="1" applyFont="1" applyFill="1" applyBorder="1" applyAlignment="1">
      <alignment horizontal="right" vertical="center" indent="4"/>
    </xf>
    <xf numFmtId="0" fontId="4" fillId="2" borderId="0" xfId="6" applyNumberFormat="1" applyFont="1" applyFill="1" applyAlignment="1">
      <alignment vertical="center"/>
    </xf>
    <xf numFmtId="0" fontId="5" fillId="2" borderId="0" xfId="6" applyNumberFormat="1" applyFont="1" applyFill="1" applyAlignment="1">
      <alignment vertical="center"/>
    </xf>
    <xf numFmtId="0" fontId="1" fillId="2" borderId="0" xfId="6" applyNumberFormat="1" applyFont="1" applyFill="1" applyAlignment="1">
      <alignment vertical="center"/>
    </xf>
    <xf numFmtId="0" fontId="13" fillId="2" borderId="0" xfId="3" applyNumberFormat="1" applyFont="1" applyFill="1" applyBorder="1" applyAlignment="1">
      <alignment horizontal="right" vertical="center"/>
    </xf>
    <xf numFmtId="3" fontId="4" fillId="2" borderId="0" xfId="6" applyNumberFormat="1" applyFont="1" applyFill="1" applyAlignment="1">
      <alignment vertical="center"/>
    </xf>
    <xf numFmtId="3" fontId="18" fillId="2" borderId="1" xfId="5" applyNumberFormat="1" applyFont="1" applyFill="1" applyBorder="1" applyAlignment="1">
      <alignment horizontal="right"/>
    </xf>
    <xf numFmtId="38" fontId="1" fillId="2" borderId="0" xfId="1" applyNumberFormat="1" applyFont="1" applyFill="1"/>
    <xf numFmtId="164" fontId="1" fillId="2" borderId="0" xfId="6" applyNumberFormat="1" applyFont="1" applyFill="1"/>
    <xf numFmtId="0" fontId="18" fillId="2" borderId="2" xfId="5" applyNumberFormat="1" applyFont="1" applyFill="1" applyBorder="1" applyAlignment="1">
      <alignment horizontal="right" vertical="center"/>
    </xf>
    <xf numFmtId="0" fontId="18" fillId="2" borderId="0" xfId="5" applyNumberFormat="1" applyFont="1" applyFill="1" applyBorder="1" applyAlignment="1">
      <alignment horizontal="right" vertical="center"/>
    </xf>
    <xf numFmtId="0" fontId="18" fillId="2" borderId="3" xfId="5" applyNumberFormat="1" applyFont="1" applyFill="1" applyBorder="1" applyAlignment="1">
      <alignment horizontal="center" vertical="center"/>
    </xf>
    <xf numFmtId="0" fontId="17" fillId="2" borderId="3" xfId="5" applyNumberFormat="1" applyFont="1" applyFill="1" applyBorder="1" applyAlignment="1">
      <alignment horizontal="center" vertical="center"/>
    </xf>
    <xf numFmtId="0" fontId="22" fillId="2" borderId="0" xfId="6" applyNumberFormat="1" applyFont="1" applyFill="1" applyAlignment="1">
      <alignment horizontal="center" vertical="center"/>
    </xf>
    <xf numFmtId="0" fontId="18" fillId="2" borderId="0" xfId="6" applyNumberFormat="1" applyFont="1" applyFill="1" applyAlignment="1">
      <alignment horizontal="center" vertical="center"/>
    </xf>
    <xf numFmtId="0" fontId="17" fillId="2" borderId="0" xfId="6" applyNumberFormat="1" applyFont="1" applyFill="1" applyAlignment="1">
      <alignment horizontal="center" vertical="center"/>
    </xf>
    <xf numFmtId="0" fontId="17" fillId="2" borderId="2" xfId="6" applyNumberFormat="1" applyFont="1" applyFill="1" applyBorder="1" applyAlignment="1">
      <alignment horizontal="center" vertical="center"/>
    </xf>
    <xf numFmtId="0" fontId="17" fillId="2" borderId="0" xfId="6" applyNumberFormat="1" applyFont="1" applyFill="1" applyBorder="1" applyAlignment="1">
      <alignment horizontal="center" vertical="center"/>
    </xf>
  </cellXfs>
  <cellStyles count="7">
    <cellStyle name="Comma 2" xfId="1"/>
    <cellStyle name="Comma_agri planning 2009 year book(final)" xfId="4"/>
    <cellStyle name="Normal" xfId="0" builtinId="0"/>
    <cellStyle name="Normal 2_agri planning 2009 year book(final)" xfId="3"/>
    <cellStyle name="Normal 3_agri planning 2009 year book(final)" xfId="6"/>
    <cellStyle name="Normal 4_agri planning 2009 year book(final)" xfId="5"/>
    <cellStyle name="Normal_agri planning 2009 year book(final)" xfId="2"/>
  </cellStyles>
  <dxfs count="0"/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FINAL/9.%20FISHERIES%20AND%20AGRICULTU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9.%20FISHERIES%20AND%20AGRICULTURE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8.1"/>
      <sheetName val="9.9"/>
      <sheetName val="9.10"/>
      <sheetName val="9.10.1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89683.148024090799</v>
          </cell>
          <cell r="E9">
            <v>49376.811349197931</v>
          </cell>
          <cell r="F9">
            <v>1074.1737564163373</v>
          </cell>
          <cell r="G9">
            <v>3.4710000000000005</v>
          </cell>
          <cell r="H9">
            <v>21.806846050809384</v>
          </cell>
          <cell r="I9">
            <v>161.34417921404571</v>
          </cell>
          <cell r="J9">
            <v>345.28287397791433</v>
          </cell>
          <cell r="K9">
            <v>2493.9263026769763</v>
          </cell>
        </row>
        <row r="13">
          <cell r="A13" t="str">
            <v xml:space="preserve"> HA</v>
          </cell>
          <cell r="B13">
            <v>3548.6896117828474</v>
          </cell>
        </row>
        <row r="14">
          <cell r="A14" t="str">
            <v xml:space="preserve"> HDh</v>
          </cell>
          <cell r="B14">
            <v>2665.1350675685076</v>
          </cell>
        </row>
        <row r="15">
          <cell r="A15" t="str">
            <v xml:space="preserve"> Sh</v>
          </cell>
          <cell r="B15">
            <v>3221.2989848185966</v>
          </cell>
        </row>
        <row r="16">
          <cell r="A16" t="str">
            <v xml:space="preserve"> N</v>
          </cell>
          <cell r="B16">
            <v>2037.369549684689</v>
          </cell>
        </row>
        <row r="17">
          <cell r="A17" t="str">
            <v xml:space="preserve"> R</v>
          </cell>
          <cell r="B17">
            <v>4736.5105807719865</v>
          </cell>
        </row>
        <row r="18">
          <cell r="A18" t="str">
            <v>B</v>
          </cell>
          <cell r="B18">
            <v>1609.2743994481875</v>
          </cell>
        </row>
        <row r="19">
          <cell r="A19" t="str">
            <v>Lh</v>
          </cell>
          <cell r="B19">
            <v>3285.6221078384801</v>
          </cell>
        </row>
        <row r="20">
          <cell r="A20" t="str">
            <v>K</v>
          </cell>
          <cell r="B20">
            <v>3352.3710822809958</v>
          </cell>
        </row>
        <row r="21">
          <cell r="A21" t="str">
            <v>AA</v>
          </cell>
          <cell r="B21">
            <v>2349.3707511765833</v>
          </cell>
        </row>
        <row r="22">
          <cell r="A22" t="str">
            <v>ADh</v>
          </cell>
          <cell r="B22">
            <v>3069.7628263915908</v>
          </cell>
        </row>
        <row r="23">
          <cell r="A23" t="str">
            <v>V</v>
          </cell>
          <cell r="B23">
            <v>240.41875105324056</v>
          </cell>
        </row>
        <row r="24">
          <cell r="A24" t="str">
            <v>M</v>
          </cell>
          <cell r="B24">
            <v>3303.4787321652643</v>
          </cell>
        </row>
        <row r="25">
          <cell r="A25" t="str">
            <v>F</v>
          </cell>
          <cell r="B25">
            <v>2969.6042037139136</v>
          </cell>
        </row>
        <row r="26">
          <cell r="A26" t="str">
            <v>Dh</v>
          </cell>
          <cell r="B26">
            <v>8390.1824668277168</v>
          </cell>
        </row>
        <row r="27">
          <cell r="A27" t="str">
            <v>Th</v>
          </cell>
          <cell r="B27">
            <v>5794.2599899738352</v>
          </cell>
        </row>
        <row r="28">
          <cell r="A28" t="str">
            <v xml:space="preserve"> L</v>
          </cell>
          <cell r="B28">
            <v>12223.952593290209</v>
          </cell>
        </row>
        <row r="29">
          <cell r="A29" t="str">
            <v>GA</v>
          </cell>
          <cell r="B29">
            <v>24214.26468123731</v>
          </cell>
        </row>
        <row r="30">
          <cell r="A30" t="str">
            <v>GDh</v>
          </cell>
          <cell r="B30">
            <v>13637.841725925478</v>
          </cell>
        </row>
        <row r="31">
          <cell r="A31" t="str">
            <v>Gn</v>
          </cell>
          <cell r="B31">
            <v>5096.0265002171318</v>
          </cell>
        </row>
        <row r="32">
          <cell r="A32" t="str">
            <v>S</v>
          </cell>
          <cell r="B32">
            <v>9377.6345015550251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  <sheetName val="Sheet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2">
          <cell r="Y12" t="str">
            <v>India</v>
          </cell>
        </row>
      </sheetData>
      <sheetData sheetId="12" refreshError="1"/>
      <sheetData sheetId="13">
        <row r="5">
          <cell r="B5">
            <v>2014</v>
          </cell>
        </row>
      </sheetData>
      <sheetData sheetId="14" refreshError="1"/>
      <sheetData sheetId="15" refreshError="1"/>
      <sheetData sheetId="16" refreshError="1"/>
      <sheetData sheetId="17">
        <row r="6">
          <cell r="J6">
            <v>2016</v>
          </cell>
          <cell r="K6">
            <v>2017</v>
          </cell>
          <cell r="L6">
            <v>2018</v>
          </cell>
        </row>
        <row r="8">
          <cell r="A8" t="str">
            <v>January</v>
          </cell>
          <cell r="J8">
            <v>6955911</v>
          </cell>
          <cell r="K8">
            <v>8451496</v>
          </cell>
          <cell r="L8">
            <v>3998689</v>
          </cell>
        </row>
        <row r="9">
          <cell r="A9" t="str">
            <v>February</v>
          </cell>
          <cell r="J9">
            <v>8760849</v>
          </cell>
          <cell r="K9">
            <v>8453823.5</v>
          </cell>
          <cell r="L9">
            <v>5869779</v>
          </cell>
        </row>
        <row r="10">
          <cell r="A10" t="str">
            <v>March</v>
          </cell>
          <cell r="J10">
            <v>4695175</v>
          </cell>
          <cell r="K10">
            <v>7567492</v>
          </cell>
          <cell r="L10">
            <v>5047706</v>
          </cell>
        </row>
        <row r="11">
          <cell r="A11" t="str">
            <v>April</v>
          </cell>
          <cell r="J11">
            <v>7632635</v>
          </cell>
          <cell r="K11">
            <v>7684767</v>
          </cell>
          <cell r="L11">
            <v>6195221</v>
          </cell>
        </row>
        <row r="12">
          <cell r="A12" t="str">
            <v>May</v>
          </cell>
          <cell r="J12">
            <v>4402140</v>
          </cell>
          <cell r="K12">
            <v>4452678</v>
          </cell>
          <cell r="L12">
            <v>5648060</v>
          </cell>
        </row>
        <row r="13">
          <cell r="A13" t="str">
            <v>June</v>
          </cell>
          <cell r="J13">
            <v>17783645</v>
          </cell>
          <cell r="K13">
            <v>8162327.5</v>
          </cell>
          <cell r="L13">
            <v>4394775</v>
          </cell>
        </row>
        <row r="14">
          <cell r="A14" t="str">
            <v>July</v>
          </cell>
          <cell r="J14">
            <v>3498845</v>
          </cell>
          <cell r="K14">
            <v>3507629</v>
          </cell>
          <cell r="L14">
            <v>1475635</v>
          </cell>
        </row>
        <row r="15">
          <cell r="A15" t="str">
            <v>August</v>
          </cell>
          <cell r="J15">
            <v>1213770</v>
          </cell>
          <cell r="K15">
            <v>4520327</v>
          </cell>
          <cell r="L15">
            <v>2343393</v>
          </cell>
        </row>
        <row r="16">
          <cell r="A16" t="str">
            <v>September</v>
          </cell>
          <cell r="J16">
            <v>4420818</v>
          </cell>
          <cell r="K16">
            <v>247465</v>
          </cell>
          <cell r="L16">
            <v>736400</v>
          </cell>
        </row>
        <row r="17">
          <cell r="A17" t="str">
            <v>October</v>
          </cell>
          <cell r="J17">
            <v>3415419</v>
          </cell>
          <cell r="K17">
            <v>3873070</v>
          </cell>
          <cell r="L17">
            <v>3165053</v>
          </cell>
        </row>
        <row r="18">
          <cell r="A18" t="str">
            <v>November</v>
          </cell>
          <cell r="J18">
            <v>1232500</v>
          </cell>
          <cell r="K18">
            <v>2455632.5</v>
          </cell>
          <cell r="L18">
            <v>2708995</v>
          </cell>
        </row>
        <row r="19">
          <cell r="A19" t="str">
            <v>December</v>
          </cell>
          <cell r="J19">
            <v>1016000</v>
          </cell>
          <cell r="K19">
            <v>4703310</v>
          </cell>
          <cell r="L19">
            <v>1875775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7"/>
  <sheetViews>
    <sheetView tabSelected="1" zoomScaleNormal="100" workbookViewId="0">
      <selection activeCell="E13" sqref="E13"/>
    </sheetView>
  </sheetViews>
  <sheetFormatPr defaultColWidth="11.28515625" defaultRowHeight="12" x14ac:dyDescent="0.15"/>
  <cols>
    <col min="1" max="1" width="18.28515625" style="9" customWidth="1"/>
    <col min="2" max="2" width="14.28515625" style="47" customWidth="1"/>
    <col min="3" max="3" width="10.7109375" style="47" customWidth="1"/>
    <col min="4" max="4" width="10.7109375" style="47" hidden="1" customWidth="1"/>
    <col min="5" max="6" width="10.7109375" style="47" customWidth="1"/>
    <col min="7" max="8" width="10.7109375" style="47" hidden="1" customWidth="1"/>
    <col min="9" max="9" width="10.7109375" style="47" customWidth="1"/>
    <col min="10" max="11" width="10.7109375" style="47" hidden="1" customWidth="1"/>
    <col min="12" max="14" width="10.7109375" style="47" customWidth="1"/>
    <col min="15" max="16" width="10.7109375" style="47" hidden="1" customWidth="1"/>
    <col min="17" max="17" width="10.7109375" style="47" customWidth="1"/>
    <col min="18" max="19" width="10.7109375" style="48" hidden="1" customWidth="1"/>
    <col min="20" max="21" width="10.7109375" style="48" customWidth="1"/>
    <col min="22" max="22" width="10.7109375" style="48" hidden="1" customWidth="1"/>
    <col min="23" max="25" width="10.7109375" style="48" customWidth="1"/>
    <col min="26" max="26" width="24" style="9" customWidth="1"/>
    <col min="27" max="16384" width="11.28515625" style="9"/>
  </cols>
  <sheetData>
    <row r="1" spans="1:26" ht="21.75" x14ac:dyDescent="0.15">
      <c r="A1" s="53" t="s">
        <v>78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s="10" customFormat="1" ht="17.25" customHeight="1" x14ac:dyDescent="0.15">
      <c r="A2" s="54" t="s">
        <v>79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s="10" customFormat="1" ht="21" x14ac:dyDescent="0.15">
      <c r="A3" s="55" t="s">
        <v>80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s="13" customFormat="1" ht="21" x14ac:dyDescent="0.15">
      <c r="A4" s="11"/>
      <c r="B4" s="49" t="s">
        <v>38</v>
      </c>
      <c r="C4" s="51" t="s">
        <v>81</v>
      </c>
      <c r="D4" s="51"/>
      <c r="E4" s="51"/>
      <c r="F4" s="51"/>
      <c r="G4" s="51"/>
      <c r="H4" s="12"/>
      <c r="I4" s="1"/>
      <c r="J4" s="2"/>
      <c r="K4" s="2"/>
      <c r="L4" s="2"/>
      <c r="M4" s="2"/>
      <c r="N4" s="2"/>
      <c r="O4" s="2"/>
      <c r="P4" s="2"/>
      <c r="Q4" s="2"/>
      <c r="R4" s="2"/>
      <c r="S4" s="52" t="s">
        <v>53</v>
      </c>
      <c r="T4" s="52"/>
      <c r="U4" s="52"/>
      <c r="V4" s="52"/>
      <c r="W4" s="52"/>
      <c r="X4" s="52"/>
      <c r="Y4" s="52"/>
      <c r="Z4" s="56" t="s">
        <v>43</v>
      </c>
    </row>
    <row r="5" spans="1:26" s="13" customFormat="1" ht="12.75" customHeight="1" x14ac:dyDescent="0.15">
      <c r="A5" s="14" t="s">
        <v>51</v>
      </c>
      <c r="B5" s="50"/>
      <c r="C5" s="15" t="s">
        <v>1</v>
      </c>
      <c r="D5" s="15" t="s">
        <v>3</v>
      </c>
      <c r="E5" s="15" t="s">
        <v>5</v>
      </c>
      <c r="F5" s="15" t="s">
        <v>7</v>
      </c>
      <c r="G5" s="15" t="s">
        <v>9</v>
      </c>
      <c r="H5" s="15"/>
      <c r="I5" s="15" t="s">
        <v>11</v>
      </c>
      <c r="J5" s="15" t="s">
        <v>13</v>
      </c>
      <c r="K5" s="15" t="s">
        <v>52</v>
      </c>
      <c r="L5" s="15" t="s">
        <v>15</v>
      </c>
      <c r="M5" s="15" t="s">
        <v>16</v>
      </c>
      <c r="N5" s="15" t="s">
        <v>18</v>
      </c>
      <c r="O5" s="15" t="s">
        <v>20</v>
      </c>
      <c r="P5" s="15"/>
      <c r="Q5" s="15" t="s">
        <v>22</v>
      </c>
      <c r="R5" s="15" t="s">
        <v>24</v>
      </c>
      <c r="S5" s="15" t="s">
        <v>26</v>
      </c>
      <c r="T5" s="15" t="s">
        <v>28</v>
      </c>
      <c r="U5" s="15" t="s">
        <v>30</v>
      </c>
      <c r="V5" s="15" t="s">
        <v>32</v>
      </c>
      <c r="W5" s="15" t="s">
        <v>34</v>
      </c>
      <c r="X5" s="15" t="s">
        <v>36</v>
      </c>
      <c r="Y5" s="15" t="s">
        <v>37</v>
      </c>
      <c r="Z5" s="57"/>
    </row>
    <row r="6" spans="1:26" s="10" customFormat="1" ht="12.75" x14ac:dyDescent="0.15">
      <c r="A6" s="16"/>
      <c r="B6" s="50"/>
      <c r="C6" s="3" t="s">
        <v>0</v>
      </c>
      <c r="D6" s="3" t="s">
        <v>2</v>
      </c>
      <c r="E6" s="3" t="s">
        <v>4</v>
      </c>
      <c r="F6" s="3" t="s">
        <v>6</v>
      </c>
      <c r="G6" s="3" t="s">
        <v>8</v>
      </c>
      <c r="H6" s="3" t="s">
        <v>42</v>
      </c>
      <c r="I6" s="3" t="s">
        <v>10</v>
      </c>
      <c r="J6" s="3" t="s">
        <v>12</v>
      </c>
      <c r="K6" s="3" t="s">
        <v>12</v>
      </c>
      <c r="L6" s="3" t="s">
        <v>14</v>
      </c>
      <c r="M6" s="3" t="s">
        <v>41</v>
      </c>
      <c r="N6" s="3" t="s">
        <v>17</v>
      </c>
      <c r="O6" s="3" t="s">
        <v>19</v>
      </c>
      <c r="P6" s="3" t="s">
        <v>19</v>
      </c>
      <c r="Q6" s="3" t="s">
        <v>21</v>
      </c>
      <c r="R6" s="3" t="s">
        <v>23</v>
      </c>
      <c r="S6" s="3" t="s">
        <v>25</v>
      </c>
      <c r="T6" s="3" t="s">
        <v>27</v>
      </c>
      <c r="U6" s="3" t="s">
        <v>29</v>
      </c>
      <c r="V6" s="3" t="s">
        <v>31</v>
      </c>
      <c r="W6" s="3" t="s">
        <v>33</v>
      </c>
      <c r="X6" s="3" t="s">
        <v>35</v>
      </c>
      <c r="Y6" s="3" t="s">
        <v>5</v>
      </c>
      <c r="Z6" s="57"/>
    </row>
    <row r="7" spans="1:26" s="10" customFormat="1" ht="21" x14ac:dyDescent="0.25">
      <c r="A7" s="17" t="s">
        <v>38</v>
      </c>
      <c r="B7" s="18">
        <f>SUM(C7:Y7)</f>
        <v>43459481</v>
      </c>
      <c r="C7" s="19">
        <f>SUM(C8:C23)</f>
        <v>258230</v>
      </c>
      <c r="D7" s="19">
        <f>SUM(D8:D23)</f>
        <v>0</v>
      </c>
      <c r="E7" s="19">
        <f>SUM(E8:E23)</f>
        <v>2323473</v>
      </c>
      <c r="F7" s="19">
        <f>SUM(F9:F23)</f>
        <v>28680</v>
      </c>
      <c r="G7" s="19">
        <f>SUM(G9:G23)</f>
        <v>0</v>
      </c>
      <c r="H7" s="19"/>
      <c r="I7" s="19">
        <f>SUM(I9:I23)</f>
        <v>1113705</v>
      </c>
      <c r="J7" s="19">
        <f>SUM(J9:J23)</f>
        <v>0</v>
      </c>
      <c r="K7" s="19"/>
      <c r="L7" s="19">
        <f>SUM(L9:L23)</f>
        <v>5167802</v>
      </c>
      <c r="M7" s="19">
        <f>SUM(M8:M23)</f>
        <v>25679645</v>
      </c>
      <c r="N7" s="19">
        <f>SUM(N9:N23)</f>
        <v>83205</v>
      </c>
      <c r="O7" s="19">
        <f>SUM(O9:O23)</f>
        <v>0</v>
      </c>
      <c r="P7" s="19"/>
      <c r="Q7" s="19">
        <f t="shared" ref="Q7:Y7" si="0">SUM(Q9:Q23)</f>
        <v>13270</v>
      </c>
      <c r="R7" s="19">
        <f t="shared" si="0"/>
        <v>0</v>
      </c>
      <c r="S7" s="19">
        <f t="shared" si="0"/>
        <v>0</v>
      </c>
      <c r="T7" s="19">
        <f>SUM(T8:T23)</f>
        <v>1585710</v>
      </c>
      <c r="U7" s="19">
        <f t="shared" si="0"/>
        <v>4336156</v>
      </c>
      <c r="V7" s="19">
        <f t="shared" si="0"/>
        <v>0</v>
      </c>
      <c r="W7" s="19">
        <f t="shared" si="0"/>
        <v>56260</v>
      </c>
      <c r="X7" s="19">
        <f t="shared" si="0"/>
        <v>2651855</v>
      </c>
      <c r="Y7" s="19">
        <f t="shared" si="0"/>
        <v>161490</v>
      </c>
      <c r="Z7" s="20" t="s">
        <v>40</v>
      </c>
    </row>
    <row r="8" spans="1:26" s="10" customFormat="1" ht="21" x14ac:dyDescent="0.25">
      <c r="A8" s="21" t="s">
        <v>82</v>
      </c>
      <c r="B8" s="22">
        <f>SUM(C8:Y8)</f>
        <v>7577000</v>
      </c>
      <c r="C8" s="23">
        <v>0</v>
      </c>
      <c r="D8" s="23">
        <v>0</v>
      </c>
      <c r="E8" s="23">
        <v>0</v>
      </c>
      <c r="F8" s="23">
        <v>0</v>
      </c>
      <c r="G8" s="23"/>
      <c r="H8" s="23">
        <v>0</v>
      </c>
      <c r="I8" s="23">
        <v>0</v>
      </c>
      <c r="J8" s="23"/>
      <c r="K8" s="23">
        <v>0</v>
      </c>
      <c r="L8" s="23">
        <v>0</v>
      </c>
      <c r="M8" s="23">
        <v>7577000</v>
      </c>
      <c r="N8" s="23">
        <v>0</v>
      </c>
      <c r="O8" s="23"/>
      <c r="P8" s="23">
        <v>0</v>
      </c>
      <c r="Q8" s="23">
        <v>0</v>
      </c>
      <c r="R8" s="23">
        <v>0</v>
      </c>
      <c r="S8" s="23"/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4" t="s">
        <v>83</v>
      </c>
    </row>
    <row r="9" spans="1:26" s="10" customFormat="1" ht="21" x14ac:dyDescent="0.25">
      <c r="A9" s="21" t="s">
        <v>54</v>
      </c>
      <c r="B9" s="22">
        <f t="shared" ref="B9:B23" si="1">SUM(C9:Y9)</f>
        <v>4035210</v>
      </c>
      <c r="C9" s="25">
        <v>0</v>
      </c>
      <c r="D9" s="25">
        <v>0</v>
      </c>
      <c r="E9" s="25">
        <v>141650</v>
      </c>
      <c r="F9" s="25">
        <v>0</v>
      </c>
      <c r="G9" s="26"/>
      <c r="H9" s="26">
        <v>0</v>
      </c>
      <c r="I9" s="27">
        <v>245600</v>
      </c>
      <c r="J9" s="26"/>
      <c r="K9" s="26">
        <v>0</v>
      </c>
      <c r="L9" s="28">
        <v>582700</v>
      </c>
      <c r="M9" s="27">
        <v>2571100</v>
      </c>
      <c r="N9" s="28">
        <v>0</v>
      </c>
      <c r="O9" s="26"/>
      <c r="P9" s="26">
        <v>0</v>
      </c>
      <c r="Q9" s="28">
        <v>0</v>
      </c>
      <c r="R9" s="28">
        <v>0</v>
      </c>
      <c r="S9" s="29"/>
      <c r="T9" s="29">
        <v>75000</v>
      </c>
      <c r="U9" s="29">
        <v>419160</v>
      </c>
      <c r="V9" s="29">
        <v>0</v>
      </c>
      <c r="W9" s="29">
        <v>0</v>
      </c>
      <c r="X9" s="29">
        <v>0</v>
      </c>
      <c r="Y9" s="29">
        <v>0</v>
      </c>
      <c r="Z9" s="24" t="s">
        <v>50</v>
      </c>
    </row>
    <row r="10" spans="1:26" s="10" customFormat="1" ht="21" x14ac:dyDescent="0.25">
      <c r="A10" s="30" t="s">
        <v>58</v>
      </c>
      <c r="B10" s="22">
        <f t="shared" si="1"/>
        <v>2180155</v>
      </c>
      <c r="C10" s="25">
        <v>0</v>
      </c>
      <c r="D10" s="25">
        <v>0</v>
      </c>
      <c r="E10" s="25">
        <v>32270</v>
      </c>
      <c r="F10" s="25">
        <v>0</v>
      </c>
      <c r="G10" s="26"/>
      <c r="H10" s="26">
        <v>0</v>
      </c>
      <c r="I10" s="27">
        <v>234200</v>
      </c>
      <c r="J10" s="26"/>
      <c r="K10" s="26">
        <v>0</v>
      </c>
      <c r="L10" s="28">
        <v>157525</v>
      </c>
      <c r="M10" s="27">
        <v>1691250</v>
      </c>
      <c r="N10" s="28">
        <v>36505</v>
      </c>
      <c r="O10" s="26"/>
      <c r="P10" s="26">
        <v>0</v>
      </c>
      <c r="Q10" s="28">
        <v>660</v>
      </c>
      <c r="R10" s="29">
        <v>0</v>
      </c>
      <c r="S10" s="29"/>
      <c r="T10" s="29">
        <v>9160</v>
      </c>
      <c r="U10" s="29">
        <v>18585</v>
      </c>
      <c r="V10" s="29">
        <v>0</v>
      </c>
      <c r="W10" s="29">
        <v>0</v>
      </c>
      <c r="X10" s="29">
        <v>0</v>
      </c>
      <c r="Y10" s="29">
        <v>0</v>
      </c>
      <c r="Z10" s="24" t="s">
        <v>46</v>
      </c>
    </row>
    <row r="11" spans="1:26" s="10" customFormat="1" ht="21" x14ac:dyDescent="0.25">
      <c r="A11" s="30" t="s">
        <v>84</v>
      </c>
      <c r="B11" s="22">
        <f t="shared" si="1"/>
        <v>3155762</v>
      </c>
      <c r="C11" s="25">
        <v>3000</v>
      </c>
      <c r="D11" s="25">
        <v>0</v>
      </c>
      <c r="E11" s="25">
        <v>33450</v>
      </c>
      <c r="F11" s="25">
        <v>0</v>
      </c>
      <c r="G11" s="26"/>
      <c r="H11" s="26">
        <v>0</v>
      </c>
      <c r="I11" s="27">
        <v>2080</v>
      </c>
      <c r="J11" s="26"/>
      <c r="K11" s="26">
        <v>0</v>
      </c>
      <c r="L11" s="28">
        <v>174945</v>
      </c>
      <c r="M11" s="27">
        <v>217590</v>
      </c>
      <c r="N11" s="28">
        <v>0</v>
      </c>
      <c r="O11" s="26"/>
      <c r="P11" s="26">
        <v>0</v>
      </c>
      <c r="Q11" s="28">
        <v>0</v>
      </c>
      <c r="R11" s="29">
        <v>0</v>
      </c>
      <c r="S11" s="29"/>
      <c r="T11" s="31">
        <v>1243440</v>
      </c>
      <c r="U11" s="29">
        <v>1481257</v>
      </c>
      <c r="V11" s="29">
        <v>0</v>
      </c>
      <c r="W11" s="29">
        <v>0</v>
      </c>
      <c r="X11" s="29">
        <v>0</v>
      </c>
      <c r="Y11" s="29">
        <v>0</v>
      </c>
      <c r="Z11" s="24" t="s">
        <v>45</v>
      </c>
    </row>
    <row r="12" spans="1:26" s="10" customFormat="1" ht="21" x14ac:dyDescent="0.25">
      <c r="A12" s="21" t="s">
        <v>85</v>
      </c>
      <c r="B12" s="22">
        <f t="shared" si="1"/>
        <v>7373240</v>
      </c>
      <c r="C12" s="25">
        <v>0</v>
      </c>
      <c r="D12" s="25">
        <v>0</v>
      </c>
      <c r="E12" s="25">
        <v>0</v>
      </c>
      <c r="F12" s="25">
        <v>0</v>
      </c>
      <c r="G12" s="26"/>
      <c r="H12" s="26">
        <v>0</v>
      </c>
      <c r="I12" s="27">
        <v>0</v>
      </c>
      <c r="J12" s="26"/>
      <c r="K12" s="26">
        <v>0</v>
      </c>
      <c r="L12" s="28">
        <v>175240</v>
      </c>
      <c r="M12" s="27">
        <v>7195000</v>
      </c>
      <c r="N12" s="28">
        <v>0</v>
      </c>
      <c r="O12" s="26"/>
      <c r="P12" s="26">
        <v>0</v>
      </c>
      <c r="Q12" s="28">
        <v>0</v>
      </c>
      <c r="R12" s="29">
        <v>0</v>
      </c>
      <c r="S12" s="32"/>
      <c r="T12" s="29">
        <v>0</v>
      </c>
      <c r="U12" s="29">
        <v>3000</v>
      </c>
      <c r="V12" s="29">
        <v>0</v>
      </c>
      <c r="W12" s="29">
        <v>0</v>
      </c>
      <c r="X12" s="29">
        <v>0</v>
      </c>
      <c r="Y12" s="29">
        <v>0</v>
      </c>
      <c r="Z12" s="24" t="s">
        <v>48</v>
      </c>
    </row>
    <row r="13" spans="1:26" s="10" customFormat="1" ht="21" x14ac:dyDescent="0.25">
      <c r="A13" s="21" t="s">
        <v>57</v>
      </c>
      <c r="B13" s="22">
        <f t="shared" si="1"/>
        <v>625924</v>
      </c>
      <c r="C13" s="25">
        <v>2600</v>
      </c>
      <c r="D13" s="25">
        <v>0</v>
      </c>
      <c r="E13" s="25">
        <v>36600</v>
      </c>
      <c r="F13" s="25">
        <v>0</v>
      </c>
      <c r="G13" s="26"/>
      <c r="H13" s="26">
        <v>0</v>
      </c>
      <c r="I13" s="27">
        <v>17990</v>
      </c>
      <c r="J13" s="26"/>
      <c r="K13" s="26">
        <v>0</v>
      </c>
      <c r="L13" s="28">
        <v>96160</v>
      </c>
      <c r="M13" s="27">
        <v>330140</v>
      </c>
      <c r="N13" s="28">
        <v>0</v>
      </c>
      <c r="O13" s="26"/>
      <c r="P13" s="26">
        <v>0</v>
      </c>
      <c r="Q13" s="28">
        <v>0</v>
      </c>
      <c r="R13" s="29">
        <v>0</v>
      </c>
      <c r="S13" s="29"/>
      <c r="T13" s="29">
        <v>5130</v>
      </c>
      <c r="U13" s="29">
        <v>137304</v>
      </c>
      <c r="V13" s="29">
        <v>0</v>
      </c>
      <c r="W13" s="26">
        <v>0</v>
      </c>
      <c r="X13" s="29">
        <v>0</v>
      </c>
      <c r="Y13" s="29">
        <v>0</v>
      </c>
      <c r="Z13" s="24" t="s">
        <v>49</v>
      </c>
    </row>
    <row r="14" spans="1:26" s="10" customFormat="1" ht="21" x14ac:dyDescent="0.25">
      <c r="A14" s="21" t="s">
        <v>59</v>
      </c>
      <c r="B14" s="22">
        <f t="shared" si="1"/>
        <v>2368730</v>
      </c>
      <c r="C14" s="25">
        <v>25840</v>
      </c>
      <c r="D14" s="25">
        <v>0</v>
      </c>
      <c r="E14" s="25">
        <v>238680</v>
      </c>
      <c r="F14" s="25">
        <v>0</v>
      </c>
      <c r="G14" s="26"/>
      <c r="H14" s="26">
        <v>0</v>
      </c>
      <c r="I14" s="27">
        <v>39910</v>
      </c>
      <c r="J14" s="26"/>
      <c r="K14" s="26">
        <v>0</v>
      </c>
      <c r="L14" s="28">
        <v>784740</v>
      </c>
      <c r="M14" s="27">
        <v>100210</v>
      </c>
      <c r="N14" s="28">
        <v>0</v>
      </c>
      <c r="O14" s="26"/>
      <c r="P14" s="26">
        <v>0</v>
      </c>
      <c r="Q14" s="28">
        <v>1400</v>
      </c>
      <c r="R14" s="29">
        <v>0</v>
      </c>
      <c r="S14" s="29"/>
      <c r="T14" s="29">
        <v>28440</v>
      </c>
      <c r="U14" s="29">
        <v>805215</v>
      </c>
      <c r="V14" s="29">
        <v>0</v>
      </c>
      <c r="W14" s="26">
        <v>8515</v>
      </c>
      <c r="X14" s="29">
        <v>282530</v>
      </c>
      <c r="Y14" s="29">
        <v>53250</v>
      </c>
      <c r="Z14" s="24" t="s">
        <v>44</v>
      </c>
    </row>
    <row r="15" spans="1:26" s="10" customFormat="1" ht="21" x14ac:dyDescent="0.25">
      <c r="A15" s="33" t="s">
        <v>55</v>
      </c>
      <c r="B15" s="22">
        <f t="shared" si="1"/>
        <v>2891607</v>
      </c>
      <c r="C15" s="25">
        <v>162140</v>
      </c>
      <c r="D15" s="25">
        <v>0</v>
      </c>
      <c r="E15" s="25">
        <v>149224</v>
      </c>
      <c r="F15" s="25">
        <v>3600</v>
      </c>
      <c r="G15" s="26"/>
      <c r="H15" s="26">
        <v>0</v>
      </c>
      <c r="I15" s="27">
        <v>92810</v>
      </c>
      <c r="J15" s="26"/>
      <c r="K15" s="26">
        <v>0</v>
      </c>
      <c r="L15" s="28">
        <v>722100</v>
      </c>
      <c r="M15" s="27">
        <v>199375</v>
      </c>
      <c r="N15" s="28">
        <v>0</v>
      </c>
      <c r="O15" s="26"/>
      <c r="P15" s="26">
        <v>0</v>
      </c>
      <c r="Q15" s="28">
        <v>6150</v>
      </c>
      <c r="R15" s="29">
        <v>0</v>
      </c>
      <c r="S15" s="29"/>
      <c r="T15" s="29">
        <v>27546</v>
      </c>
      <c r="U15" s="29">
        <v>732962</v>
      </c>
      <c r="V15" s="29">
        <v>0</v>
      </c>
      <c r="W15" s="26">
        <v>22800</v>
      </c>
      <c r="X15" s="29">
        <v>705000</v>
      </c>
      <c r="Y15" s="29">
        <v>67900</v>
      </c>
      <c r="Z15" s="24" t="s">
        <v>56</v>
      </c>
    </row>
    <row r="16" spans="1:26" s="10" customFormat="1" ht="21" x14ac:dyDescent="0.25">
      <c r="A16" s="21" t="s">
        <v>60</v>
      </c>
      <c r="B16" s="22">
        <f t="shared" si="1"/>
        <v>1125530</v>
      </c>
      <c r="C16" s="25">
        <v>0</v>
      </c>
      <c r="D16" s="25">
        <v>0</v>
      </c>
      <c r="E16" s="25">
        <v>23380</v>
      </c>
      <c r="F16" s="25">
        <v>0</v>
      </c>
      <c r="G16" s="26"/>
      <c r="H16" s="26">
        <v>0</v>
      </c>
      <c r="I16" s="27">
        <v>134800</v>
      </c>
      <c r="J16" s="26"/>
      <c r="K16" s="26">
        <v>0</v>
      </c>
      <c r="L16" s="28">
        <v>217750</v>
      </c>
      <c r="M16" s="27">
        <v>616550</v>
      </c>
      <c r="N16" s="28">
        <v>45750</v>
      </c>
      <c r="O16" s="26"/>
      <c r="P16" s="26">
        <v>0</v>
      </c>
      <c r="Q16" s="28">
        <v>0</v>
      </c>
      <c r="R16" s="29">
        <v>0</v>
      </c>
      <c r="S16" s="29"/>
      <c r="T16" s="29">
        <v>16000</v>
      </c>
      <c r="U16" s="29">
        <v>71300</v>
      </c>
      <c r="V16" s="29">
        <v>0</v>
      </c>
      <c r="W16" s="26">
        <v>0</v>
      </c>
      <c r="X16" s="29">
        <v>0</v>
      </c>
      <c r="Y16" s="29">
        <v>0</v>
      </c>
      <c r="Z16" s="24" t="s">
        <v>61</v>
      </c>
    </row>
    <row r="17" spans="1:26" s="10" customFormat="1" ht="21" x14ac:dyDescent="0.25">
      <c r="A17" s="30" t="s">
        <v>67</v>
      </c>
      <c r="B17" s="22">
        <f t="shared" si="1"/>
        <v>1904725</v>
      </c>
      <c r="C17" s="25">
        <v>0</v>
      </c>
      <c r="D17" s="25">
        <v>0</v>
      </c>
      <c r="E17" s="25">
        <v>0</v>
      </c>
      <c r="F17" s="25">
        <v>0</v>
      </c>
      <c r="G17" s="26"/>
      <c r="H17" s="26">
        <v>0</v>
      </c>
      <c r="I17" s="27">
        <v>8000</v>
      </c>
      <c r="J17" s="26"/>
      <c r="K17" s="26">
        <v>0</v>
      </c>
      <c r="L17" s="28">
        <v>384475</v>
      </c>
      <c r="M17" s="27">
        <v>1512250</v>
      </c>
      <c r="N17" s="28">
        <v>0</v>
      </c>
      <c r="O17" s="26"/>
      <c r="P17" s="26">
        <v>0</v>
      </c>
      <c r="Q17" s="28">
        <v>0</v>
      </c>
      <c r="R17" s="29">
        <v>0</v>
      </c>
      <c r="S17" s="29"/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4" t="s">
        <v>68</v>
      </c>
    </row>
    <row r="18" spans="1:26" s="10" customFormat="1" ht="21" x14ac:dyDescent="0.25">
      <c r="A18" s="33" t="s">
        <v>62</v>
      </c>
      <c r="B18" s="22">
        <f t="shared" si="1"/>
        <v>942366</v>
      </c>
      <c r="C18" s="25">
        <v>63350</v>
      </c>
      <c r="D18" s="25">
        <v>0</v>
      </c>
      <c r="E18" s="25">
        <v>49336</v>
      </c>
      <c r="F18" s="25">
        <v>2500</v>
      </c>
      <c r="G18" s="26"/>
      <c r="H18" s="26">
        <v>0</v>
      </c>
      <c r="I18" s="27">
        <v>24770</v>
      </c>
      <c r="J18" s="26"/>
      <c r="K18" s="26">
        <v>0</v>
      </c>
      <c r="L18" s="28">
        <v>82217</v>
      </c>
      <c r="M18" s="27">
        <v>38650</v>
      </c>
      <c r="N18" s="28">
        <v>0</v>
      </c>
      <c r="O18" s="26"/>
      <c r="P18" s="26">
        <v>0</v>
      </c>
      <c r="Q18" s="28">
        <v>2160</v>
      </c>
      <c r="R18" s="29">
        <v>0</v>
      </c>
      <c r="S18" s="29"/>
      <c r="T18" s="29">
        <v>125305</v>
      </c>
      <c r="U18" s="29">
        <v>375018</v>
      </c>
      <c r="V18" s="29">
        <v>0</v>
      </c>
      <c r="W18" s="26">
        <v>10670</v>
      </c>
      <c r="X18" s="29">
        <v>139450</v>
      </c>
      <c r="Y18" s="29">
        <v>28940</v>
      </c>
      <c r="Z18" s="24" t="s">
        <v>63</v>
      </c>
    </row>
    <row r="19" spans="1:26" s="10" customFormat="1" ht="21" x14ac:dyDescent="0.25">
      <c r="A19" s="21" t="s">
        <v>65</v>
      </c>
      <c r="B19" s="22">
        <f t="shared" si="1"/>
        <v>265645</v>
      </c>
      <c r="C19" s="25">
        <v>0</v>
      </c>
      <c r="D19" s="25">
        <v>0</v>
      </c>
      <c r="E19" s="25">
        <v>0</v>
      </c>
      <c r="F19" s="25">
        <v>0</v>
      </c>
      <c r="G19" s="26"/>
      <c r="H19" s="26">
        <v>0</v>
      </c>
      <c r="I19" s="27">
        <v>182400</v>
      </c>
      <c r="J19" s="26"/>
      <c r="K19" s="26">
        <v>0</v>
      </c>
      <c r="L19" s="28">
        <v>2000</v>
      </c>
      <c r="M19" s="27">
        <v>7000</v>
      </c>
      <c r="N19" s="28">
        <v>0</v>
      </c>
      <c r="O19" s="26"/>
      <c r="P19" s="26">
        <v>0</v>
      </c>
      <c r="Q19" s="28">
        <v>0</v>
      </c>
      <c r="R19" s="28">
        <v>0</v>
      </c>
      <c r="S19" s="29"/>
      <c r="T19" s="29">
        <v>15280</v>
      </c>
      <c r="U19" s="29">
        <v>58965</v>
      </c>
      <c r="V19" s="29">
        <v>0</v>
      </c>
      <c r="W19" s="26">
        <v>0</v>
      </c>
      <c r="X19" s="26">
        <v>0</v>
      </c>
      <c r="Y19" s="26">
        <v>0</v>
      </c>
      <c r="Z19" s="24" t="s">
        <v>66</v>
      </c>
    </row>
    <row r="20" spans="1:26" s="10" customFormat="1" ht="21" x14ac:dyDescent="0.25">
      <c r="A20" s="30" t="s">
        <v>69</v>
      </c>
      <c r="B20" s="22">
        <f t="shared" si="1"/>
        <v>2812510</v>
      </c>
      <c r="C20" s="25">
        <v>0</v>
      </c>
      <c r="D20" s="25">
        <v>0</v>
      </c>
      <c r="E20" s="25">
        <v>1199350</v>
      </c>
      <c r="F20" s="25">
        <v>0</v>
      </c>
      <c r="G20" s="26"/>
      <c r="H20" s="26">
        <v>0</v>
      </c>
      <c r="I20" s="27">
        <v>0</v>
      </c>
      <c r="J20" s="26"/>
      <c r="K20" s="26">
        <v>0</v>
      </c>
      <c r="L20" s="28">
        <v>6500</v>
      </c>
      <c r="M20" s="27">
        <v>16400</v>
      </c>
      <c r="N20" s="28">
        <v>0</v>
      </c>
      <c r="O20" s="26"/>
      <c r="P20" s="26">
        <v>0</v>
      </c>
      <c r="Q20" s="28">
        <v>2500</v>
      </c>
      <c r="R20" s="28">
        <v>0</v>
      </c>
      <c r="S20" s="29"/>
      <c r="T20" s="29">
        <v>0</v>
      </c>
      <c r="U20" s="29">
        <v>132360</v>
      </c>
      <c r="V20" s="29">
        <v>0</v>
      </c>
      <c r="W20" s="26">
        <v>0</v>
      </c>
      <c r="X20" s="29">
        <v>1445000</v>
      </c>
      <c r="Y20" s="29">
        <v>10400</v>
      </c>
      <c r="Z20" s="24" t="s">
        <v>47</v>
      </c>
    </row>
    <row r="21" spans="1:26" s="10" customFormat="1" ht="21" x14ac:dyDescent="0.25">
      <c r="A21" s="21" t="s">
        <v>64</v>
      </c>
      <c r="B21" s="22">
        <f t="shared" si="1"/>
        <v>387100</v>
      </c>
      <c r="C21" s="25">
        <v>0</v>
      </c>
      <c r="D21" s="25">
        <v>0</v>
      </c>
      <c r="E21" s="25">
        <v>0</v>
      </c>
      <c r="F21" s="25">
        <v>0</v>
      </c>
      <c r="G21" s="26"/>
      <c r="H21" s="26">
        <v>0</v>
      </c>
      <c r="I21" s="27">
        <v>16260</v>
      </c>
      <c r="J21" s="26"/>
      <c r="K21" s="26">
        <v>0</v>
      </c>
      <c r="L21" s="28">
        <v>86350</v>
      </c>
      <c r="M21" s="27">
        <v>261940</v>
      </c>
      <c r="N21" s="28">
        <v>0</v>
      </c>
      <c r="O21" s="26"/>
      <c r="P21" s="26">
        <v>0</v>
      </c>
      <c r="Q21" s="28">
        <v>0</v>
      </c>
      <c r="R21" s="28">
        <v>0</v>
      </c>
      <c r="S21" s="29"/>
      <c r="T21" s="29">
        <v>0</v>
      </c>
      <c r="U21" s="29">
        <v>22550</v>
      </c>
      <c r="V21" s="29">
        <v>0</v>
      </c>
      <c r="W21" s="26">
        <v>0</v>
      </c>
      <c r="X21" s="26">
        <v>0</v>
      </c>
      <c r="Y21" s="26">
        <v>0</v>
      </c>
      <c r="Z21" s="24" t="s">
        <v>86</v>
      </c>
    </row>
    <row r="22" spans="1:26" s="10" customFormat="1" ht="20.25" customHeight="1" x14ac:dyDescent="0.25">
      <c r="A22" s="21" t="s">
        <v>70</v>
      </c>
      <c r="B22" s="22">
        <f t="shared" si="1"/>
        <v>371430</v>
      </c>
      <c r="C22" s="25">
        <v>0</v>
      </c>
      <c r="D22" s="25">
        <v>0</v>
      </c>
      <c r="E22" s="25">
        <v>2600</v>
      </c>
      <c r="F22" s="25">
        <v>0</v>
      </c>
      <c r="G22" s="26"/>
      <c r="H22" s="26">
        <v>0</v>
      </c>
      <c r="I22" s="27">
        <v>16400</v>
      </c>
      <c r="J22" s="26"/>
      <c r="K22" s="26">
        <v>0</v>
      </c>
      <c r="L22" s="28">
        <v>108600</v>
      </c>
      <c r="M22" s="27">
        <v>239080</v>
      </c>
      <c r="N22" s="28">
        <v>0</v>
      </c>
      <c r="O22" s="26"/>
      <c r="P22" s="26">
        <v>0</v>
      </c>
      <c r="Q22" s="28">
        <v>0</v>
      </c>
      <c r="R22" s="28">
        <v>0</v>
      </c>
      <c r="S22" s="29"/>
      <c r="T22" s="29">
        <v>0</v>
      </c>
      <c r="U22" s="29">
        <v>4750</v>
      </c>
      <c r="V22" s="29">
        <v>0</v>
      </c>
      <c r="W22" s="26">
        <v>0</v>
      </c>
      <c r="X22" s="26">
        <v>0</v>
      </c>
      <c r="Y22" s="26">
        <v>0</v>
      </c>
      <c r="Z22" s="24" t="s">
        <v>71</v>
      </c>
    </row>
    <row r="23" spans="1:26" s="4" customFormat="1" ht="21.75" customHeight="1" x14ac:dyDescent="0.25">
      <c r="A23" s="34" t="s">
        <v>72</v>
      </c>
      <c r="B23" s="46">
        <f t="shared" si="1"/>
        <v>5442547</v>
      </c>
      <c r="C23" s="35">
        <v>1300</v>
      </c>
      <c r="D23" s="35">
        <v>0</v>
      </c>
      <c r="E23" s="35">
        <v>416933</v>
      </c>
      <c r="F23" s="35">
        <v>22580</v>
      </c>
      <c r="G23" s="36"/>
      <c r="H23" s="36">
        <v>0</v>
      </c>
      <c r="I23" s="37">
        <v>98485</v>
      </c>
      <c r="J23" s="36"/>
      <c r="K23" s="36">
        <v>0</v>
      </c>
      <c r="L23" s="38">
        <v>1586500</v>
      </c>
      <c r="M23" s="37">
        <v>3106110</v>
      </c>
      <c r="N23" s="38">
        <v>950</v>
      </c>
      <c r="O23" s="36"/>
      <c r="P23" s="36">
        <v>0</v>
      </c>
      <c r="Q23" s="38">
        <v>400</v>
      </c>
      <c r="R23" s="39">
        <v>0</v>
      </c>
      <c r="S23" s="39"/>
      <c r="T23" s="39">
        <v>40409</v>
      </c>
      <c r="U23" s="39">
        <v>73730</v>
      </c>
      <c r="V23" s="39">
        <v>0</v>
      </c>
      <c r="W23" s="36">
        <v>14275</v>
      </c>
      <c r="X23" s="39">
        <v>79875</v>
      </c>
      <c r="Y23" s="39">
        <v>1000</v>
      </c>
      <c r="Z23" s="40" t="s">
        <v>73</v>
      </c>
    </row>
    <row r="24" spans="1:26" s="4" customFormat="1" ht="19.5" customHeight="1" x14ac:dyDescent="0.15">
      <c r="A24" s="6" t="s">
        <v>74</v>
      </c>
      <c r="B24" s="41"/>
      <c r="C24" s="41"/>
      <c r="D24" s="41"/>
      <c r="E24" s="42"/>
      <c r="F24" s="42"/>
      <c r="G24" s="42"/>
      <c r="H24" s="42"/>
      <c r="I24" s="42"/>
      <c r="J24" s="43"/>
      <c r="K24" s="43"/>
      <c r="L24" s="43"/>
      <c r="M24" s="43"/>
      <c r="N24" s="43"/>
      <c r="O24" s="43"/>
      <c r="P24" s="43"/>
      <c r="Q24" s="44"/>
      <c r="R24" s="10"/>
      <c r="S24" s="10"/>
      <c r="T24" s="10"/>
      <c r="U24" s="10"/>
      <c r="V24" s="10"/>
      <c r="W24" s="10"/>
      <c r="X24" s="10"/>
      <c r="Y24" s="10"/>
      <c r="Z24" s="7" t="s">
        <v>75</v>
      </c>
    </row>
    <row r="25" spans="1:26" s="4" customFormat="1" ht="12.75" customHeight="1" x14ac:dyDescent="0.15">
      <c r="A25" s="5"/>
      <c r="B25" s="45"/>
      <c r="C25" s="41"/>
      <c r="D25" s="41"/>
      <c r="E25" s="42"/>
      <c r="F25" s="42"/>
      <c r="G25" s="42"/>
      <c r="H25" s="42"/>
      <c r="I25" s="42"/>
      <c r="J25" s="43"/>
      <c r="K25" s="43"/>
      <c r="L25" s="43"/>
      <c r="M25" s="43"/>
      <c r="N25" s="43"/>
      <c r="O25" s="43"/>
      <c r="P25" s="43"/>
      <c r="Q25" s="44"/>
      <c r="R25" s="10"/>
      <c r="S25" s="10"/>
      <c r="T25" s="10"/>
      <c r="U25" s="10"/>
      <c r="V25" s="10"/>
      <c r="W25" s="10"/>
      <c r="X25" s="10"/>
      <c r="Y25" s="10"/>
      <c r="Z25" s="8" t="s">
        <v>76</v>
      </c>
    </row>
    <row r="26" spans="1:26" s="4" customFormat="1" ht="12.75" customHeight="1" x14ac:dyDescent="0.15">
      <c r="A26" s="5"/>
      <c r="B26" s="45"/>
      <c r="C26" s="41"/>
      <c r="D26" s="41"/>
      <c r="E26" s="42"/>
      <c r="F26" s="42"/>
      <c r="G26" s="42"/>
      <c r="H26" s="42"/>
      <c r="I26" s="42"/>
      <c r="J26" s="43"/>
      <c r="K26" s="43"/>
      <c r="L26" s="43"/>
      <c r="M26" s="43"/>
      <c r="N26" s="43"/>
      <c r="O26" s="43"/>
      <c r="P26" s="43"/>
      <c r="Q26" s="44"/>
      <c r="R26" s="10"/>
      <c r="S26" s="10"/>
      <c r="T26" s="10"/>
      <c r="U26" s="10"/>
      <c r="V26" s="10"/>
      <c r="W26" s="10"/>
      <c r="X26" s="10"/>
      <c r="Y26" s="10"/>
    </row>
    <row r="31" spans="1:26" ht="21.75" x14ac:dyDescent="0.15">
      <c r="A31" s="53" t="s">
        <v>87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s="10" customFormat="1" ht="17.25" customHeight="1" x14ac:dyDescent="0.15">
      <c r="A32" s="54" t="s">
        <v>88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s="10" customFormat="1" ht="21" x14ac:dyDescent="0.15">
      <c r="A33" s="55" t="s">
        <v>80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s="13" customFormat="1" ht="21" x14ac:dyDescent="0.15">
      <c r="A34" s="11"/>
      <c r="B34" s="49" t="s">
        <v>38</v>
      </c>
      <c r="C34" s="51" t="s">
        <v>81</v>
      </c>
      <c r="D34" s="51"/>
      <c r="E34" s="51"/>
      <c r="F34" s="51"/>
      <c r="G34" s="51"/>
      <c r="H34" s="12"/>
      <c r="I34" s="1"/>
      <c r="J34" s="2"/>
      <c r="K34" s="2"/>
      <c r="L34" s="2"/>
      <c r="M34" s="2"/>
      <c r="N34" s="2"/>
      <c r="O34" s="2"/>
      <c r="P34" s="2"/>
      <c r="Q34" s="2"/>
      <c r="R34" s="2"/>
      <c r="S34" s="52" t="s">
        <v>53</v>
      </c>
      <c r="T34" s="52"/>
      <c r="U34" s="52"/>
      <c r="V34" s="52"/>
      <c r="W34" s="52"/>
      <c r="X34" s="52"/>
      <c r="Y34" s="52"/>
      <c r="Z34" s="56" t="s">
        <v>43</v>
      </c>
    </row>
    <row r="35" spans="1:26" s="13" customFormat="1" ht="12.75" customHeight="1" x14ac:dyDescent="0.15">
      <c r="A35" s="14" t="s">
        <v>51</v>
      </c>
      <c r="B35" s="50"/>
      <c r="C35" s="15" t="s">
        <v>1</v>
      </c>
      <c r="D35" s="15" t="s">
        <v>3</v>
      </c>
      <c r="E35" s="15" t="s">
        <v>5</v>
      </c>
      <c r="F35" s="15" t="s">
        <v>7</v>
      </c>
      <c r="G35" s="15" t="s">
        <v>9</v>
      </c>
      <c r="H35" s="15"/>
      <c r="I35" s="15" t="s">
        <v>11</v>
      </c>
      <c r="J35" s="15" t="s">
        <v>13</v>
      </c>
      <c r="K35" s="15"/>
      <c r="L35" s="15" t="s">
        <v>15</v>
      </c>
      <c r="M35" s="15" t="s">
        <v>16</v>
      </c>
      <c r="N35" s="15" t="s">
        <v>18</v>
      </c>
      <c r="O35" s="15" t="s">
        <v>20</v>
      </c>
      <c r="P35" s="15"/>
      <c r="Q35" s="15" t="s">
        <v>22</v>
      </c>
      <c r="R35" s="15" t="s">
        <v>24</v>
      </c>
      <c r="S35" s="15" t="s">
        <v>26</v>
      </c>
      <c r="T35" s="15" t="s">
        <v>28</v>
      </c>
      <c r="U35" s="15" t="s">
        <v>30</v>
      </c>
      <c r="V35" s="15" t="s">
        <v>32</v>
      </c>
      <c r="W35" s="15" t="s">
        <v>34</v>
      </c>
      <c r="X35" s="15" t="s">
        <v>36</v>
      </c>
      <c r="Y35" s="15" t="s">
        <v>37</v>
      </c>
      <c r="Z35" s="57"/>
    </row>
    <row r="36" spans="1:26" s="10" customFormat="1" ht="12.75" x14ac:dyDescent="0.15">
      <c r="A36" s="16"/>
      <c r="B36" s="50"/>
      <c r="C36" s="3" t="s">
        <v>0</v>
      </c>
      <c r="D36" s="3" t="s">
        <v>2</v>
      </c>
      <c r="E36" s="3" t="s">
        <v>4</v>
      </c>
      <c r="F36" s="3" t="s">
        <v>6</v>
      </c>
      <c r="G36" s="3" t="s">
        <v>8</v>
      </c>
      <c r="H36" s="3"/>
      <c r="I36" s="3" t="s">
        <v>10</v>
      </c>
      <c r="J36" s="3" t="s">
        <v>12</v>
      </c>
      <c r="K36" s="3"/>
      <c r="L36" s="3" t="s">
        <v>14</v>
      </c>
      <c r="M36" s="3" t="s">
        <v>41</v>
      </c>
      <c r="N36" s="3" t="s">
        <v>17</v>
      </c>
      <c r="O36" s="3" t="s">
        <v>19</v>
      </c>
      <c r="P36" s="3"/>
      <c r="Q36" s="3" t="s">
        <v>21</v>
      </c>
      <c r="R36" s="3" t="s">
        <v>23</v>
      </c>
      <c r="S36" s="3" t="s">
        <v>25</v>
      </c>
      <c r="T36" s="3" t="s">
        <v>27</v>
      </c>
      <c r="U36" s="3" t="s">
        <v>29</v>
      </c>
      <c r="V36" s="3" t="s">
        <v>31</v>
      </c>
      <c r="W36" s="3" t="s">
        <v>33</v>
      </c>
      <c r="X36" s="3" t="s">
        <v>35</v>
      </c>
      <c r="Y36" s="3" t="s">
        <v>5</v>
      </c>
      <c r="Z36" s="57"/>
    </row>
    <row r="37" spans="1:26" s="10" customFormat="1" ht="21" x14ac:dyDescent="0.25">
      <c r="A37" s="17" t="s">
        <v>38</v>
      </c>
      <c r="B37" s="18">
        <f t="shared" ref="B37:B52" si="2">SUM(C37:Y37)</f>
        <v>64080018</v>
      </c>
      <c r="C37" s="19">
        <f>SUM(C38:C53)</f>
        <v>697217.5</v>
      </c>
      <c r="D37" s="19">
        <f t="shared" ref="D37:Y37" si="3">SUM(D38:D53)</f>
        <v>57670</v>
      </c>
      <c r="E37" s="19">
        <f t="shared" si="3"/>
        <v>4453766.5</v>
      </c>
      <c r="F37" s="19">
        <f t="shared" si="3"/>
        <v>149520</v>
      </c>
      <c r="G37" s="19">
        <f t="shared" si="3"/>
        <v>0</v>
      </c>
      <c r="H37" s="19"/>
      <c r="I37" s="19">
        <f t="shared" si="3"/>
        <v>492875</v>
      </c>
      <c r="J37" s="19">
        <f t="shared" si="3"/>
        <v>0</v>
      </c>
      <c r="K37" s="19"/>
      <c r="L37" s="19">
        <f t="shared" si="3"/>
        <v>11076498</v>
      </c>
      <c r="M37" s="19">
        <f t="shared" si="3"/>
        <v>28445182</v>
      </c>
      <c r="N37" s="19">
        <f t="shared" si="3"/>
        <v>214928</v>
      </c>
      <c r="O37" s="19">
        <f t="shared" si="3"/>
        <v>0</v>
      </c>
      <c r="P37" s="19"/>
      <c r="Q37" s="19">
        <f t="shared" si="3"/>
        <v>191010</v>
      </c>
      <c r="R37" s="19">
        <f t="shared" si="3"/>
        <v>24705</v>
      </c>
      <c r="S37" s="19">
        <f t="shared" si="3"/>
        <v>0</v>
      </c>
      <c r="T37" s="19">
        <f t="shared" si="3"/>
        <v>9349071</v>
      </c>
      <c r="U37" s="19">
        <f t="shared" si="3"/>
        <v>6521615</v>
      </c>
      <c r="V37" s="19">
        <f t="shared" si="3"/>
        <v>168895</v>
      </c>
      <c r="W37" s="19">
        <f t="shared" si="3"/>
        <v>464600</v>
      </c>
      <c r="X37" s="19">
        <f t="shared" si="3"/>
        <v>1562315</v>
      </c>
      <c r="Y37" s="19">
        <f t="shared" si="3"/>
        <v>210150</v>
      </c>
      <c r="Z37" s="20" t="s">
        <v>40</v>
      </c>
    </row>
    <row r="38" spans="1:26" s="10" customFormat="1" ht="21" x14ac:dyDescent="0.25">
      <c r="A38" s="21" t="s">
        <v>82</v>
      </c>
      <c r="B38" s="22">
        <f t="shared" si="2"/>
        <v>10454350</v>
      </c>
      <c r="C38" s="25">
        <v>0</v>
      </c>
      <c r="D38" s="25">
        <v>1600</v>
      </c>
      <c r="E38" s="25">
        <v>0</v>
      </c>
      <c r="F38" s="25">
        <v>0</v>
      </c>
      <c r="G38" s="26" t="s">
        <v>39</v>
      </c>
      <c r="H38" s="26"/>
      <c r="I38" s="27">
        <v>0</v>
      </c>
      <c r="J38" s="26" t="s">
        <v>39</v>
      </c>
      <c r="K38" s="26"/>
      <c r="L38" s="28">
        <v>0</v>
      </c>
      <c r="M38" s="27">
        <v>10452750</v>
      </c>
      <c r="N38" s="28">
        <v>0</v>
      </c>
      <c r="O38" s="26" t="s">
        <v>39</v>
      </c>
      <c r="P38" s="26"/>
      <c r="Q38" s="28">
        <v>0</v>
      </c>
      <c r="R38" s="28">
        <v>0</v>
      </c>
      <c r="S38" s="29" t="s">
        <v>39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4" t="s">
        <v>83</v>
      </c>
    </row>
    <row r="39" spans="1:26" s="10" customFormat="1" ht="21" x14ac:dyDescent="0.25">
      <c r="A39" s="21" t="s">
        <v>54</v>
      </c>
      <c r="B39" s="22">
        <f t="shared" si="2"/>
        <v>4171919</v>
      </c>
      <c r="C39" s="25">
        <v>6210</v>
      </c>
      <c r="D39" s="25">
        <v>1200</v>
      </c>
      <c r="E39" s="25">
        <v>409650</v>
      </c>
      <c r="F39" s="25">
        <v>0</v>
      </c>
      <c r="G39" s="26" t="s">
        <v>39</v>
      </c>
      <c r="H39" s="26"/>
      <c r="I39" s="27">
        <v>55960</v>
      </c>
      <c r="J39" s="26" t="s">
        <v>39</v>
      </c>
      <c r="K39" s="26"/>
      <c r="L39" s="28">
        <v>323530</v>
      </c>
      <c r="M39" s="27">
        <v>1964000</v>
      </c>
      <c r="N39" s="28">
        <v>10000</v>
      </c>
      <c r="O39" s="26" t="s">
        <v>39</v>
      </c>
      <c r="P39" s="26"/>
      <c r="Q39" s="28">
        <v>0</v>
      </c>
      <c r="R39" s="28">
        <v>0</v>
      </c>
      <c r="S39" s="29" t="s">
        <v>39</v>
      </c>
      <c r="T39" s="29">
        <v>317874</v>
      </c>
      <c r="U39" s="29">
        <v>1079995</v>
      </c>
      <c r="V39" s="29">
        <v>0</v>
      </c>
      <c r="W39" s="26">
        <v>3500</v>
      </c>
      <c r="X39" s="29">
        <v>0</v>
      </c>
      <c r="Y39" s="29">
        <v>0</v>
      </c>
      <c r="Z39" s="24" t="s">
        <v>50</v>
      </c>
    </row>
    <row r="40" spans="1:26" s="10" customFormat="1" ht="21" x14ac:dyDescent="0.25">
      <c r="A40" s="30" t="s">
        <v>58</v>
      </c>
      <c r="B40" s="22">
        <f t="shared" si="2"/>
        <v>1428706</v>
      </c>
      <c r="C40" s="25">
        <v>0</v>
      </c>
      <c r="D40" s="25">
        <v>520</v>
      </c>
      <c r="E40" s="25">
        <v>176920</v>
      </c>
      <c r="F40" s="25">
        <v>0</v>
      </c>
      <c r="G40" s="26" t="s">
        <v>39</v>
      </c>
      <c r="H40" s="26"/>
      <c r="I40" s="27">
        <v>37000</v>
      </c>
      <c r="J40" s="26" t="s">
        <v>39</v>
      </c>
      <c r="K40" s="26"/>
      <c r="L40" s="28">
        <v>135770</v>
      </c>
      <c r="M40" s="27">
        <v>921450</v>
      </c>
      <c r="N40" s="28">
        <v>103068</v>
      </c>
      <c r="O40" s="26" t="s">
        <v>39</v>
      </c>
      <c r="P40" s="26"/>
      <c r="Q40" s="28">
        <v>0</v>
      </c>
      <c r="R40" s="29">
        <v>180</v>
      </c>
      <c r="S40" s="29" t="s">
        <v>39</v>
      </c>
      <c r="T40" s="29">
        <v>22088</v>
      </c>
      <c r="U40" s="29">
        <v>31710</v>
      </c>
      <c r="V40" s="29">
        <v>0</v>
      </c>
      <c r="W40" s="29">
        <v>0</v>
      </c>
      <c r="X40" s="29">
        <v>0</v>
      </c>
      <c r="Y40" s="29">
        <v>0</v>
      </c>
      <c r="Z40" s="24" t="s">
        <v>46</v>
      </c>
    </row>
    <row r="41" spans="1:26" s="10" customFormat="1" ht="21" x14ac:dyDescent="0.25">
      <c r="A41" s="30" t="s">
        <v>84</v>
      </c>
      <c r="B41" s="22">
        <f t="shared" si="2"/>
        <v>7836130</v>
      </c>
      <c r="C41" s="25">
        <v>27000</v>
      </c>
      <c r="D41" s="25">
        <v>9000</v>
      </c>
      <c r="E41" s="25">
        <v>175945</v>
      </c>
      <c r="F41" s="25">
        <v>0</v>
      </c>
      <c r="G41" s="26" t="s">
        <v>39</v>
      </c>
      <c r="H41" s="26"/>
      <c r="I41" s="27">
        <v>4800</v>
      </c>
      <c r="J41" s="26" t="s">
        <v>39</v>
      </c>
      <c r="K41" s="26"/>
      <c r="L41" s="28">
        <v>440960</v>
      </c>
      <c r="M41" s="27">
        <v>729770</v>
      </c>
      <c r="N41" s="28">
        <v>0</v>
      </c>
      <c r="O41" s="26" t="s">
        <v>39</v>
      </c>
      <c r="P41" s="26"/>
      <c r="Q41" s="28">
        <v>13500</v>
      </c>
      <c r="R41" s="29">
        <v>0</v>
      </c>
      <c r="S41" s="29" t="s">
        <v>39</v>
      </c>
      <c r="T41" s="31">
        <v>4807205</v>
      </c>
      <c r="U41" s="29">
        <v>1627950</v>
      </c>
      <c r="V41" s="29">
        <v>0</v>
      </c>
      <c r="W41" s="29">
        <v>0</v>
      </c>
      <c r="X41" s="29">
        <v>0</v>
      </c>
      <c r="Y41" s="29">
        <v>0</v>
      </c>
      <c r="Z41" s="24" t="s">
        <v>45</v>
      </c>
    </row>
    <row r="42" spans="1:26" s="10" customFormat="1" ht="21" x14ac:dyDescent="0.25">
      <c r="A42" s="21" t="s">
        <v>85</v>
      </c>
      <c r="B42" s="22">
        <f t="shared" si="2"/>
        <v>6106924</v>
      </c>
      <c r="C42" s="25">
        <v>0</v>
      </c>
      <c r="D42" s="25">
        <v>0</v>
      </c>
      <c r="E42" s="25">
        <v>0</v>
      </c>
      <c r="F42" s="25">
        <v>0</v>
      </c>
      <c r="G42" s="26" t="s">
        <v>39</v>
      </c>
      <c r="H42" s="26"/>
      <c r="I42" s="27">
        <v>0</v>
      </c>
      <c r="J42" s="26" t="s">
        <v>39</v>
      </c>
      <c r="K42" s="26"/>
      <c r="L42" s="28">
        <v>187124</v>
      </c>
      <c r="M42" s="27">
        <v>5919620</v>
      </c>
      <c r="N42" s="28">
        <v>0</v>
      </c>
      <c r="O42" s="26" t="s">
        <v>39</v>
      </c>
      <c r="P42" s="26"/>
      <c r="Q42" s="28">
        <v>0</v>
      </c>
      <c r="R42" s="29">
        <v>0</v>
      </c>
      <c r="S42" s="32" t="s">
        <v>39</v>
      </c>
      <c r="T42" s="29">
        <v>0</v>
      </c>
      <c r="U42" s="29">
        <v>180</v>
      </c>
      <c r="V42" s="29">
        <v>0</v>
      </c>
      <c r="W42" s="29">
        <v>0</v>
      </c>
      <c r="X42" s="29">
        <v>0</v>
      </c>
      <c r="Y42" s="29">
        <v>0</v>
      </c>
      <c r="Z42" s="24" t="s">
        <v>48</v>
      </c>
    </row>
    <row r="43" spans="1:26" s="10" customFormat="1" ht="21" x14ac:dyDescent="0.25">
      <c r="A43" s="21" t="s">
        <v>57</v>
      </c>
      <c r="B43" s="22">
        <f t="shared" si="2"/>
        <v>1158530</v>
      </c>
      <c r="C43" s="25">
        <v>990</v>
      </c>
      <c r="D43" s="25">
        <v>0</v>
      </c>
      <c r="E43" s="25">
        <v>112535</v>
      </c>
      <c r="F43" s="25">
        <v>0</v>
      </c>
      <c r="G43" s="26" t="s">
        <v>39</v>
      </c>
      <c r="H43" s="26"/>
      <c r="I43" s="27">
        <v>28250</v>
      </c>
      <c r="J43" s="26" t="s">
        <v>39</v>
      </c>
      <c r="K43" s="26"/>
      <c r="L43" s="28">
        <v>203160</v>
      </c>
      <c r="M43" s="27">
        <v>506220</v>
      </c>
      <c r="N43" s="28">
        <v>0</v>
      </c>
      <c r="O43" s="26" t="s">
        <v>39</v>
      </c>
      <c r="P43" s="26"/>
      <c r="Q43" s="28">
        <v>0</v>
      </c>
      <c r="R43" s="29">
        <v>0</v>
      </c>
      <c r="S43" s="29" t="s">
        <v>39</v>
      </c>
      <c r="T43" s="29">
        <v>25725</v>
      </c>
      <c r="U43" s="29">
        <v>280050</v>
      </c>
      <c r="V43" s="29">
        <v>0</v>
      </c>
      <c r="W43" s="26">
        <v>1600</v>
      </c>
      <c r="X43" s="29">
        <v>0</v>
      </c>
      <c r="Y43" s="29">
        <v>0</v>
      </c>
      <c r="Z43" s="24" t="s">
        <v>49</v>
      </c>
    </row>
    <row r="44" spans="1:26" s="10" customFormat="1" ht="21" x14ac:dyDescent="0.25">
      <c r="A44" s="21" t="s">
        <v>59</v>
      </c>
      <c r="B44" s="22">
        <f t="shared" si="2"/>
        <v>9572639</v>
      </c>
      <c r="C44" s="25">
        <v>130680</v>
      </c>
      <c r="D44" s="25">
        <v>21200</v>
      </c>
      <c r="E44" s="25">
        <v>945669</v>
      </c>
      <c r="F44" s="25">
        <v>47300</v>
      </c>
      <c r="G44" s="26" t="s">
        <v>39</v>
      </c>
      <c r="H44" s="26"/>
      <c r="I44" s="27">
        <v>24685</v>
      </c>
      <c r="J44" s="26" t="s">
        <v>39</v>
      </c>
      <c r="K44" s="26"/>
      <c r="L44" s="28">
        <v>5629505</v>
      </c>
      <c r="M44" s="27">
        <v>829835</v>
      </c>
      <c r="N44" s="28">
        <v>0</v>
      </c>
      <c r="O44" s="26" t="s">
        <v>39</v>
      </c>
      <c r="P44" s="26"/>
      <c r="Q44" s="28">
        <v>8890</v>
      </c>
      <c r="R44" s="29">
        <v>4200</v>
      </c>
      <c r="S44" s="29" t="s">
        <v>39</v>
      </c>
      <c r="T44" s="29">
        <v>98040</v>
      </c>
      <c r="U44" s="29">
        <v>984420</v>
      </c>
      <c r="V44" s="29">
        <v>29475</v>
      </c>
      <c r="W44" s="26">
        <v>188900</v>
      </c>
      <c r="X44" s="29">
        <v>575090</v>
      </c>
      <c r="Y44" s="29">
        <v>54750</v>
      </c>
      <c r="Z44" s="24" t="s">
        <v>44</v>
      </c>
    </row>
    <row r="45" spans="1:26" s="10" customFormat="1" ht="21" x14ac:dyDescent="0.25">
      <c r="A45" s="33" t="s">
        <v>55</v>
      </c>
      <c r="B45" s="22">
        <f t="shared" si="2"/>
        <v>3406596</v>
      </c>
      <c r="C45" s="25">
        <v>191000</v>
      </c>
      <c r="D45" s="25">
        <v>2700</v>
      </c>
      <c r="E45" s="25">
        <v>419947</v>
      </c>
      <c r="F45" s="25">
        <v>21000</v>
      </c>
      <c r="G45" s="26" t="s">
        <v>39</v>
      </c>
      <c r="H45" s="26"/>
      <c r="I45" s="27">
        <v>69685</v>
      </c>
      <c r="J45" s="26" t="s">
        <v>39</v>
      </c>
      <c r="K45" s="26"/>
      <c r="L45" s="28">
        <v>994160</v>
      </c>
      <c r="M45" s="27">
        <v>224965</v>
      </c>
      <c r="N45" s="28">
        <v>0</v>
      </c>
      <c r="O45" s="26" t="s">
        <v>39</v>
      </c>
      <c r="P45" s="26"/>
      <c r="Q45" s="28">
        <v>68340</v>
      </c>
      <c r="R45" s="29">
        <v>12000</v>
      </c>
      <c r="S45" s="29" t="s">
        <v>39</v>
      </c>
      <c r="T45" s="29">
        <v>95150</v>
      </c>
      <c r="U45" s="29">
        <v>699579</v>
      </c>
      <c r="V45" s="29">
        <v>53920</v>
      </c>
      <c r="W45" s="26">
        <v>97000</v>
      </c>
      <c r="X45" s="29">
        <v>404750</v>
      </c>
      <c r="Y45" s="29">
        <v>52400</v>
      </c>
      <c r="Z45" s="24" t="s">
        <v>56</v>
      </c>
    </row>
    <row r="46" spans="1:26" s="10" customFormat="1" ht="21" x14ac:dyDescent="0.25">
      <c r="A46" s="21" t="s">
        <v>60</v>
      </c>
      <c r="B46" s="22">
        <f t="shared" si="2"/>
        <v>1424136</v>
      </c>
      <c r="C46" s="25">
        <v>0</v>
      </c>
      <c r="D46" s="25">
        <v>0</v>
      </c>
      <c r="E46" s="25">
        <v>95101</v>
      </c>
      <c r="F46" s="25">
        <v>0</v>
      </c>
      <c r="G46" s="26" t="s">
        <v>39</v>
      </c>
      <c r="H46" s="26"/>
      <c r="I46" s="27">
        <v>36450</v>
      </c>
      <c r="J46" s="26" t="s">
        <v>39</v>
      </c>
      <c r="K46" s="26"/>
      <c r="L46" s="28">
        <v>376875</v>
      </c>
      <c r="M46" s="27">
        <v>679660</v>
      </c>
      <c r="N46" s="28">
        <v>80900</v>
      </c>
      <c r="O46" s="26" t="s">
        <v>39</v>
      </c>
      <c r="P46" s="26"/>
      <c r="Q46" s="28">
        <v>0</v>
      </c>
      <c r="R46" s="29">
        <v>3125</v>
      </c>
      <c r="S46" s="29" t="s">
        <v>39</v>
      </c>
      <c r="T46" s="29">
        <v>25855</v>
      </c>
      <c r="U46" s="29">
        <v>124170</v>
      </c>
      <c r="V46" s="29">
        <v>0</v>
      </c>
      <c r="W46" s="26">
        <v>2000</v>
      </c>
      <c r="X46" s="29">
        <v>0</v>
      </c>
      <c r="Y46" s="29">
        <v>0</v>
      </c>
      <c r="Z46" s="24" t="s">
        <v>61</v>
      </c>
    </row>
    <row r="47" spans="1:26" s="10" customFormat="1" ht="21" x14ac:dyDescent="0.25">
      <c r="A47" s="30" t="s">
        <v>67</v>
      </c>
      <c r="B47" s="22">
        <f t="shared" si="2"/>
        <v>1629590</v>
      </c>
      <c r="C47" s="25">
        <v>0</v>
      </c>
      <c r="D47" s="25">
        <v>0</v>
      </c>
      <c r="E47" s="25">
        <v>7500</v>
      </c>
      <c r="F47" s="25">
        <v>0</v>
      </c>
      <c r="G47" s="26" t="s">
        <v>39</v>
      </c>
      <c r="H47" s="26"/>
      <c r="I47" s="27">
        <v>0</v>
      </c>
      <c r="J47" s="26" t="s">
        <v>39</v>
      </c>
      <c r="K47" s="26"/>
      <c r="L47" s="28">
        <v>217450</v>
      </c>
      <c r="M47" s="27">
        <v>1404640</v>
      </c>
      <c r="N47" s="28">
        <v>0</v>
      </c>
      <c r="O47" s="26" t="s">
        <v>39</v>
      </c>
      <c r="P47" s="26"/>
      <c r="Q47" s="28">
        <v>0</v>
      </c>
      <c r="R47" s="29">
        <v>0</v>
      </c>
      <c r="S47" s="29" t="s">
        <v>39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0</v>
      </c>
      <c r="Z47" s="24" t="s">
        <v>68</v>
      </c>
    </row>
    <row r="48" spans="1:26" s="10" customFormat="1" ht="21" x14ac:dyDescent="0.25">
      <c r="A48" s="33" t="s">
        <v>62</v>
      </c>
      <c r="B48" s="22">
        <f t="shared" si="2"/>
        <v>6743471.5</v>
      </c>
      <c r="C48" s="25">
        <v>284752.5</v>
      </c>
      <c r="D48" s="25">
        <v>13450</v>
      </c>
      <c r="E48" s="25">
        <v>234837</v>
      </c>
      <c r="F48" s="25">
        <v>6750</v>
      </c>
      <c r="G48" s="26" t="s">
        <v>39</v>
      </c>
      <c r="H48" s="26"/>
      <c r="I48" s="27">
        <v>54060</v>
      </c>
      <c r="J48" s="26" t="s">
        <v>39</v>
      </c>
      <c r="K48" s="26"/>
      <c r="L48" s="28">
        <v>297609</v>
      </c>
      <c r="M48" s="27">
        <v>81332</v>
      </c>
      <c r="N48" s="28">
        <v>3640</v>
      </c>
      <c r="O48" s="26" t="s">
        <v>39</v>
      </c>
      <c r="P48" s="26"/>
      <c r="Q48" s="28">
        <v>94880</v>
      </c>
      <c r="R48" s="29">
        <v>600</v>
      </c>
      <c r="S48" s="29" t="s">
        <v>39</v>
      </c>
      <c r="T48" s="29">
        <v>3753754</v>
      </c>
      <c r="U48" s="29">
        <v>1403067</v>
      </c>
      <c r="V48" s="29">
        <v>80500</v>
      </c>
      <c r="W48" s="26">
        <v>160200</v>
      </c>
      <c r="X48" s="29">
        <v>175540</v>
      </c>
      <c r="Y48" s="29">
        <v>98500</v>
      </c>
      <c r="Z48" s="24" t="s">
        <v>63</v>
      </c>
    </row>
    <row r="49" spans="1:26" s="10" customFormat="1" ht="21" x14ac:dyDescent="0.25">
      <c r="A49" s="21" t="s">
        <v>65</v>
      </c>
      <c r="B49" s="22">
        <f t="shared" si="2"/>
        <v>340605</v>
      </c>
      <c r="C49" s="25">
        <v>27000</v>
      </c>
      <c r="D49" s="25">
        <v>2000</v>
      </c>
      <c r="E49" s="25">
        <v>15200</v>
      </c>
      <c r="F49" s="25">
        <v>0</v>
      </c>
      <c r="G49" s="26" t="s">
        <v>39</v>
      </c>
      <c r="H49" s="26"/>
      <c r="I49" s="27">
        <v>148850</v>
      </c>
      <c r="J49" s="26" t="s">
        <v>39</v>
      </c>
      <c r="K49" s="26"/>
      <c r="L49" s="28">
        <v>6000</v>
      </c>
      <c r="M49" s="27">
        <v>1100</v>
      </c>
      <c r="N49" s="28">
        <v>0</v>
      </c>
      <c r="O49" s="26" t="s">
        <v>39</v>
      </c>
      <c r="P49" s="26"/>
      <c r="Q49" s="28">
        <v>0</v>
      </c>
      <c r="R49" s="28">
        <v>0</v>
      </c>
      <c r="S49" s="29" t="s">
        <v>39</v>
      </c>
      <c r="T49" s="29">
        <v>95875</v>
      </c>
      <c r="U49" s="29">
        <v>44580</v>
      </c>
      <c r="V49" s="29">
        <v>0</v>
      </c>
      <c r="W49" s="26">
        <v>0</v>
      </c>
      <c r="X49" s="26">
        <v>0</v>
      </c>
      <c r="Y49" s="26">
        <v>0</v>
      </c>
      <c r="Z49" s="24" t="s">
        <v>66</v>
      </c>
    </row>
    <row r="50" spans="1:26" s="10" customFormat="1" ht="21" x14ac:dyDescent="0.25">
      <c r="A50" s="30" t="s">
        <v>69</v>
      </c>
      <c r="B50" s="22">
        <f t="shared" si="2"/>
        <v>869155</v>
      </c>
      <c r="C50" s="25">
        <v>0</v>
      </c>
      <c r="D50" s="25">
        <v>0</v>
      </c>
      <c r="E50" s="25">
        <v>292310</v>
      </c>
      <c r="F50" s="25">
        <v>0</v>
      </c>
      <c r="G50" s="26" t="s">
        <v>39</v>
      </c>
      <c r="H50" s="26"/>
      <c r="I50" s="27">
        <v>0</v>
      </c>
      <c r="J50" s="26" t="s">
        <v>39</v>
      </c>
      <c r="K50" s="26"/>
      <c r="L50" s="28">
        <v>103800</v>
      </c>
      <c r="M50" s="27">
        <v>36150</v>
      </c>
      <c r="N50" s="28">
        <v>0</v>
      </c>
      <c r="O50" s="26" t="s">
        <v>39</v>
      </c>
      <c r="P50" s="26"/>
      <c r="Q50" s="28">
        <v>0</v>
      </c>
      <c r="R50" s="28">
        <v>0</v>
      </c>
      <c r="S50" s="29" t="s">
        <v>39</v>
      </c>
      <c r="T50" s="29">
        <v>11200</v>
      </c>
      <c r="U50" s="29">
        <v>112920</v>
      </c>
      <c r="V50" s="29">
        <v>5000</v>
      </c>
      <c r="W50" s="26">
        <v>11400</v>
      </c>
      <c r="X50" s="29">
        <v>291875</v>
      </c>
      <c r="Y50" s="29">
        <v>4500</v>
      </c>
      <c r="Z50" s="24" t="s">
        <v>47</v>
      </c>
    </row>
    <row r="51" spans="1:26" s="10" customFormat="1" ht="21" x14ac:dyDescent="0.25">
      <c r="A51" s="21" t="s">
        <v>64</v>
      </c>
      <c r="B51" s="22">
        <f t="shared" si="2"/>
        <v>303690</v>
      </c>
      <c r="C51" s="25">
        <v>0</v>
      </c>
      <c r="D51" s="25">
        <v>0</v>
      </c>
      <c r="E51" s="25">
        <v>0</v>
      </c>
      <c r="F51" s="25">
        <v>0</v>
      </c>
      <c r="G51" s="26" t="s">
        <v>39</v>
      </c>
      <c r="H51" s="26"/>
      <c r="I51" s="27">
        <v>0</v>
      </c>
      <c r="J51" s="26" t="s">
        <v>39</v>
      </c>
      <c r="K51" s="26"/>
      <c r="L51" s="28">
        <v>90430</v>
      </c>
      <c r="M51" s="27">
        <v>196660</v>
      </c>
      <c r="N51" s="28">
        <v>0</v>
      </c>
      <c r="O51" s="26" t="s">
        <v>39</v>
      </c>
      <c r="P51" s="26"/>
      <c r="Q51" s="28">
        <v>0</v>
      </c>
      <c r="R51" s="28">
        <v>0</v>
      </c>
      <c r="S51" s="29" t="s">
        <v>39</v>
      </c>
      <c r="T51" s="29">
        <v>0</v>
      </c>
      <c r="U51" s="29">
        <v>16600</v>
      </c>
      <c r="V51" s="29">
        <v>0</v>
      </c>
      <c r="W51" s="26">
        <v>0</v>
      </c>
      <c r="X51" s="26">
        <v>0</v>
      </c>
      <c r="Y51" s="26">
        <v>0</v>
      </c>
      <c r="Z51" s="24" t="s">
        <v>86</v>
      </c>
    </row>
    <row r="52" spans="1:26" s="10" customFormat="1" ht="21" x14ac:dyDescent="0.25">
      <c r="A52" s="21" t="s">
        <v>70</v>
      </c>
      <c r="B52" s="22">
        <f t="shared" si="2"/>
        <v>655500</v>
      </c>
      <c r="C52" s="25">
        <v>0</v>
      </c>
      <c r="D52" s="25">
        <v>0</v>
      </c>
      <c r="E52" s="25">
        <v>600</v>
      </c>
      <c r="F52" s="25">
        <v>0</v>
      </c>
      <c r="G52" s="26" t="s">
        <v>39</v>
      </c>
      <c r="H52" s="26"/>
      <c r="I52" s="27">
        <v>0</v>
      </c>
      <c r="J52" s="26" t="s">
        <v>39</v>
      </c>
      <c r="K52" s="26"/>
      <c r="L52" s="28">
        <v>252070</v>
      </c>
      <c r="M52" s="27">
        <v>402830</v>
      </c>
      <c r="N52" s="28">
        <v>0</v>
      </c>
      <c r="O52" s="26" t="s">
        <v>39</v>
      </c>
      <c r="P52" s="26"/>
      <c r="Q52" s="28">
        <v>0</v>
      </c>
      <c r="R52" s="28">
        <v>0</v>
      </c>
      <c r="S52" s="29" t="s">
        <v>39</v>
      </c>
      <c r="T52" s="29">
        <v>0</v>
      </c>
      <c r="U52" s="29" t="s">
        <v>39</v>
      </c>
      <c r="V52" s="29">
        <v>0</v>
      </c>
      <c r="W52" s="26">
        <v>0</v>
      </c>
      <c r="X52" s="26">
        <v>0</v>
      </c>
      <c r="Y52" s="26">
        <v>0</v>
      </c>
      <c r="Z52" s="24" t="s">
        <v>71</v>
      </c>
    </row>
    <row r="53" spans="1:26" s="4" customFormat="1" ht="12.75" customHeight="1" x14ac:dyDescent="0.25">
      <c r="A53" s="34" t="s">
        <v>72</v>
      </c>
      <c r="B53" s="46">
        <f>SUM(C53:Y53)</f>
        <v>7978076.5</v>
      </c>
      <c r="C53" s="35">
        <v>29585</v>
      </c>
      <c r="D53" s="35">
        <v>6000</v>
      </c>
      <c r="E53" s="35">
        <v>1567552.5</v>
      </c>
      <c r="F53" s="35">
        <v>74470</v>
      </c>
      <c r="G53" s="36" t="s">
        <v>39</v>
      </c>
      <c r="H53" s="36"/>
      <c r="I53" s="37">
        <v>33135</v>
      </c>
      <c r="J53" s="36" t="s">
        <v>39</v>
      </c>
      <c r="K53" s="36"/>
      <c r="L53" s="38">
        <v>1818055</v>
      </c>
      <c r="M53" s="37">
        <v>4094200</v>
      </c>
      <c r="N53" s="38">
        <v>17320</v>
      </c>
      <c r="O53" s="36" t="s">
        <v>39</v>
      </c>
      <c r="P53" s="36"/>
      <c r="Q53" s="38">
        <v>5400</v>
      </c>
      <c r="R53" s="39">
        <v>4600</v>
      </c>
      <c r="S53" s="39" t="s">
        <v>39</v>
      </c>
      <c r="T53" s="39">
        <v>96305</v>
      </c>
      <c r="U53" s="39">
        <v>116394</v>
      </c>
      <c r="V53" s="39">
        <v>0</v>
      </c>
      <c r="W53" s="36">
        <v>0</v>
      </c>
      <c r="X53" s="39">
        <v>115060</v>
      </c>
      <c r="Y53" s="39">
        <v>0</v>
      </c>
      <c r="Z53" s="40" t="s">
        <v>73</v>
      </c>
    </row>
    <row r="54" spans="1:26" s="4" customFormat="1" ht="19.5" customHeight="1" x14ac:dyDescent="0.15">
      <c r="A54" s="6" t="s">
        <v>74</v>
      </c>
      <c r="B54" s="41"/>
      <c r="C54" s="41"/>
      <c r="D54" s="41"/>
      <c r="E54" s="42"/>
      <c r="F54" s="42"/>
      <c r="G54" s="42"/>
      <c r="H54" s="42"/>
      <c r="I54" s="42"/>
      <c r="J54" s="43"/>
      <c r="K54" s="43"/>
      <c r="L54" s="43"/>
      <c r="M54" s="43"/>
      <c r="N54" s="43"/>
      <c r="O54" s="43"/>
      <c r="P54" s="43"/>
      <c r="Q54" s="44"/>
      <c r="R54" s="10"/>
      <c r="S54" s="10"/>
      <c r="T54" s="10"/>
      <c r="U54" s="10"/>
      <c r="V54" s="10"/>
      <c r="W54" s="10"/>
      <c r="X54" s="10"/>
      <c r="Y54" s="10"/>
      <c r="Z54" s="7" t="s">
        <v>77</v>
      </c>
    </row>
    <row r="55" spans="1:26" s="4" customFormat="1" ht="12.75" customHeight="1" x14ac:dyDescent="0.15">
      <c r="A55" s="5"/>
      <c r="B55" s="45"/>
      <c r="C55" s="41"/>
      <c r="D55" s="41"/>
      <c r="E55" s="42"/>
      <c r="F55" s="42"/>
      <c r="G55" s="42"/>
      <c r="H55" s="42"/>
      <c r="I55" s="42"/>
      <c r="J55" s="43"/>
      <c r="K55" s="43"/>
      <c r="L55" s="43"/>
      <c r="M55" s="43"/>
      <c r="N55" s="43"/>
      <c r="O55" s="43"/>
      <c r="P55" s="43"/>
      <c r="Q55" s="44"/>
      <c r="R55" s="10"/>
      <c r="S55" s="10"/>
      <c r="T55" s="10"/>
      <c r="U55" s="10"/>
      <c r="V55" s="10"/>
      <c r="W55" s="10"/>
      <c r="X55" s="10"/>
      <c r="Y55" s="10"/>
      <c r="Z55" s="8" t="s">
        <v>76</v>
      </c>
    </row>
    <row r="56" spans="1:26" s="4" customFormat="1" ht="12.75" customHeight="1" x14ac:dyDescent="0.15">
      <c r="A56" s="5"/>
      <c r="B56" s="45"/>
      <c r="C56" s="41"/>
      <c r="D56" s="41"/>
      <c r="E56" s="42"/>
      <c r="F56" s="42"/>
      <c r="G56" s="42"/>
      <c r="H56" s="42"/>
      <c r="I56" s="42"/>
      <c r="J56" s="43"/>
      <c r="K56" s="43"/>
      <c r="L56" s="43"/>
      <c r="M56" s="43"/>
      <c r="N56" s="43"/>
      <c r="O56" s="43"/>
      <c r="P56" s="43"/>
      <c r="Q56" s="44"/>
      <c r="R56" s="10"/>
      <c r="S56" s="10"/>
      <c r="T56" s="10"/>
      <c r="U56" s="10"/>
      <c r="V56" s="10"/>
      <c r="W56" s="10"/>
      <c r="X56" s="10"/>
      <c r="Y56" s="10"/>
    </row>
    <row r="57" spans="1:26" s="4" customFormat="1" ht="12.75" customHeight="1" x14ac:dyDescent="0.15">
      <c r="A57" s="5"/>
      <c r="B57" s="45"/>
      <c r="C57" s="41"/>
      <c r="D57" s="41"/>
      <c r="E57" s="42"/>
      <c r="F57" s="42"/>
      <c r="G57" s="42"/>
      <c r="H57" s="42"/>
      <c r="I57" s="42"/>
      <c r="J57" s="43"/>
      <c r="K57" s="43"/>
      <c r="L57" s="43"/>
      <c r="M57" s="43"/>
      <c r="N57" s="43"/>
      <c r="O57" s="43"/>
      <c r="P57" s="43"/>
      <c r="Q57" s="44"/>
      <c r="R57" s="10"/>
      <c r="S57" s="10"/>
      <c r="T57" s="10"/>
      <c r="U57" s="10"/>
      <c r="V57" s="10"/>
      <c r="W57" s="10"/>
      <c r="X57" s="10"/>
      <c r="Y57" s="10"/>
      <c r="Z57" s="8"/>
    </row>
  </sheetData>
  <mergeCells count="14">
    <mergeCell ref="A31:Z31"/>
    <mergeCell ref="A32:Z32"/>
    <mergeCell ref="A33:Z33"/>
    <mergeCell ref="B34:B36"/>
    <mergeCell ref="C34:G34"/>
    <mergeCell ref="S34:Y34"/>
    <mergeCell ref="Z34:Z36"/>
    <mergeCell ref="A1:Z1"/>
    <mergeCell ref="A2:Z2"/>
    <mergeCell ref="A3:Z3"/>
    <mergeCell ref="B4:B6"/>
    <mergeCell ref="C4:G4"/>
    <mergeCell ref="S4:Y4"/>
    <mergeCell ref="Z4:Z6"/>
  </mergeCells>
  <pageMargins left="0.7" right="0.7" top="0.75" bottom="0.75" header="0.3" footer="0.3"/>
  <pageSetup paperSize="9" scale="4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2019-09-09T06:15:45Z</cp:lastPrinted>
  <dcterms:created xsi:type="dcterms:W3CDTF">2019-09-09T05:11:24Z</dcterms:created>
  <dcterms:modified xsi:type="dcterms:W3CDTF">2019-09-09T06:15:55Z</dcterms:modified>
</cp:coreProperties>
</file>