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X:\Dissemination\Publications\Statistical Year Book\YEARBOOK 2019\web\18. PENSION AND SOCIAL PROTECTION\"/>
    </mc:Choice>
  </mc:AlternateContent>
  <bookViews>
    <workbookView xWindow="0" yWindow="0" windowWidth="28800" windowHeight="12330" tabRatio="841"/>
  </bookViews>
  <sheets>
    <sheet name="18.16" sheetId="16" r:id="rId1"/>
  </sheets>
  <definedNames>
    <definedName name="_xlnm.Print_Area" localSheetId="0">'18.16'!$A$1:$J$50</definedName>
  </definedNames>
  <calcPr calcId="162913"/>
</workbook>
</file>

<file path=xl/calcChain.xml><?xml version="1.0" encoding="utf-8"?>
<calcChain xmlns="http://schemas.openxmlformats.org/spreadsheetml/2006/main">
  <c r="HL33" i="16" l="1"/>
  <c r="H11" i="16" l="1"/>
  <c r="H19" i="16"/>
  <c r="AA41" i="16" l="1"/>
  <c r="AA40" i="16"/>
  <c r="B11" i="16" l="1"/>
  <c r="B9" i="16"/>
  <c r="AA42" i="16" l="1"/>
  <c r="AA43" i="16"/>
  <c r="AA44" i="16"/>
  <c r="AA45" i="16"/>
  <c r="AA46" i="16"/>
  <c r="AA47" i="16"/>
  <c r="AA48" i="16"/>
  <c r="AA49" i="16"/>
  <c r="AA50" i="16"/>
  <c r="AA51" i="16"/>
  <c r="AA52" i="16"/>
  <c r="AA53" i="16"/>
  <c r="AA54" i="16"/>
  <c r="AA55" i="16"/>
  <c r="AA56" i="16"/>
  <c r="AA57" i="16"/>
  <c r="AA58" i="16"/>
  <c r="AA59" i="16"/>
  <c r="AA60" i="16"/>
  <c r="I11" i="16" l="1"/>
  <c r="I9" i="16" s="1"/>
  <c r="H9" i="16"/>
  <c r="G11" i="16"/>
  <c r="G9" i="16" s="1"/>
  <c r="F11" i="16"/>
  <c r="F9" i="16" s="1"/>
  <c r="E11" i="16"/>
  <c r="E9" i="16" s="1"/>
  <c r="D11" i="16"/>
  <c r="D9" i="16" s="1"/>
  <c r="C11" i="16"/>
  <c r="C9" i="16" s="1"/>
</calcChain>
</file>

<file path=xl/sharedStrings.xml><?xml version="1.0" encoding="utf-8"?>
<sst xmlns="http://schemas.openxmlformats.org/spreadsheetml/2006/main" count="97" uniqueCount="94">
  <si>
    <t>ތާވަލް 18.16: އިޖްތިމާއީ ރައްކާތެރިކަމުގެ ދަށުން އަތޮޅުތަކުން ޚިދުމަތްދެވިފައިވާ މީހުންގެ އަދަދު، 2018</t>
  </si>
  <si>
    <t>Locality</t>
  </si>
  <si>
    <t>ހެލްތް އިންޝުއަރަންސް</t>
  </si>
  <si>
    <t xml:space="preserve">އެކަނިވެރި މައިންނާއި ކުދިންނަށް ދެވޭ އެހީ </t>
  </si>
  <si>
    <t xml:space="preserve">އަޅާލާނެ މީހަކުނެތިފައިވާ ކުދިން ބަލަމުންދާ މީހުންނަށް ދެވޭ އެހީ </t>
  </si>
  <si>
    <t>ވެލްފެއާ އެހީ</t>
  </si>
  <si>
    <t xml:space="preserve">ނުކުޅެދުންތެރިކަން ހުންނަ ފަރާތްތަކަށް ދެވޭ އެހީ </t>
  </si>
  <si>
    <t>ފަޤީރު ހާލަތުގައި ދިރިއުޅޭ ފަރާތްތަކުން ކާބޯތަކެތި ގަތުމަށް ދެވޭ މާލީ އެހީ</t>
  </si>
  <si>
    <t>cnwt</t>
  </si>
  <si>
    <t>HEALTH INSURANCE SCHEMES</t>
  </si>
  <si>
    <t>SINGLE PARENT ALLOWANCE</t>
  </si>
  <si>
    <t>EMERGENCY MEDICAL WELFARE</t>
  </si>
  <si>
    <t>Aasandha</t>
  </si>
  <si>
    <t xml:space="preserve">Parent </t>
  </si>
  <si>
    <t>Children</t>
  </si>
  <si>
    <t xml:space="preserve">Children </t>
  </si>
  <si>
    <t xml:space="preserve">އާސަންދަ </t>
  </si>
  <si>
    <t>މައިން</t>
  </si>
  <si>
    <t xml:space="preserve">ކުދިން </t>
  </si>
  <si>
    <t>ބެލެނިވެރިން</t>
  </si>
  <si>
    <t>Republic</t>
  </si>
  <si>
    <t>މުޅި ރާއްޖެ</t>
  </si>
  <si>
    <t xml:space="preserve">Male' </t>
  </si>
  <si>
    <t>މާލެ</t>
  </si>
  <si>
    <t>Atolls</t>
  </si>
  <si>
    <t>އަތޮޅުތައް</t>
  </si>
  <si>
    <t>North Thiladhunmathi (HA)</t>
  </si>
  <si>
    <t xml:space="preserve">       (ah)  iruburutua Itwmcnudwlit</t>
  </si>
  <si>
    <t>South Thiladhunmathi (HDh)</t>
  </si>
  <si>
    <t>(dh) irubunuked Itwmcnudwlit</t>
  </si>
  <si>
    <t>North Miladhunmadulu (Sh)</t>
  </si>
  <si>
    <t>(S) iruburutua uluDwmcnudwlim</t>
  </si>
  <si>
    <t>South Miladhunmadulu (N)</t>
  </si>
  <si>
    <t>(n) irubunuked uluDwmcnudwlim</t>
  </si>
  <si>
    <t>North Maalhosmadulu (R)</t>
  </si>
  <si>
    <t>(r) iruburutuauluDwmcsoLWm</t>
  </si>
  <si>
    <t>South Maalhosmadulu (B)</t>
  </si>
  <si>
    <t>(b) irubunukeduluDwcsoLWm</t>
  </si>
  <si>
    <t>Faadhippolhu (Lh)</t>
  </si>
  <si>
    <t>(L) uLopcaidWf</t>
  </si>
  <si>
    <t>Male' Atoll (K)</t>
  </si>
  <si>
    <t>(k) uLotwa elWm</t>
  </si>
  <si>
    <t>North Ari Atoll (AA)</t>
  </si>
  <si>
    <t>(aa) iruburutuauLotwairwa</t>
  </si>
  <si>
    <t>South Ari Atoll (ADh)</t>
  </si>
  <si>
    <t>(da) iruburutuauLotwairwa</t>
  </si>
  <si>
    <t>Felidhu Atoll (V)</t>
  </si>
  <si>
    <t>(v) uLotwa udilef</t>
  </si>
  <si>
    <t>Mulakatholhu (M)</t>
  </si>
  <si>
    <t>(m) uLotwkwlum</t>
  </si>
  <si>
    <t>North Nilandhe Atoll (F)</t>
  </si>
  <si>
    <t>(f) iruburutua uLotwaedcnwlin</t>
  </si>
  <si>
    <t>South Nilandhe Atoll (Dh)</t>
  </si>
  <si>
    <t>(d) irubunuked uLotwaedcnwlin</t>
  </si>
  <si>
    <t>Kolhumadulu (Th)</t>
  </si>
  <si>
    <t>(t) uluDwmuLok</t>
  </si>
  <si>
    <t>Hadhdhunmathi (L)</t>
  </si>
  <si>
    <t>(l) itwmcnudcawh</t>
  </si>
  <si>
    <t>North Huvadhu Atoll (GA)</t>
  </si>
  <si>
    <t>(ag) iruburutua uLotwaudwvuh</t>
  </si>
  <si>
    <t>South Huvadhu Atoll (GDh)</t>
  </si>
  <si>
    <t xml:space="preserve"> (dg) irubunuked uLotwaudwvuh</t>
  </si>
  <si>
    <t>Fuvahmulah (Gn)</t>
  </si>
  <si>
    <t>(N)cawlumcawvuf</t>
  </si>
  <si>
    <t>Addu Atoll (S)</t>
  </si>
  <si>
    <t>(s) uLotwauDcawa</t>
  </si>
  <si>
    <t>Note: Universal Health Insuarance Scheme named "Aasandha" was introduced in January 2012 and replaced the existing schemes "Madhana" and "Madhana Plus".</t>
  </si>
  <si>
    <t>Source: National Social Protection Agency</t>
  </si>
  <si>
    <t xml:space="preserve"> </t>
  </si>
  <si>
    <t xml:space="preserve">މަޢުލޫމާތު ދެއްވީ: ނެޝަނަލް ސޯޝަލް ޕްރޮޓެކްޝަން އޭޖެންސީ </t>
  </si>
  <si>
    <t>DISABILITY ALLOWANCE</t>
  </si>
  <si>
    <t>FOOD SUBSIDY</t>
  </si>
  <si>
    <t>Table 18.16 :  NUMBER OF PERSONS COVERED UNDER DIFFERENT SOCIAL PROTECTION SCHEMES BY LOCALITY,  2018</t>
  </si>
  <si>
    <t xml:space="preserve">FOSTER PARENT ALLOWANCE </t>
  </si>
  <si>
    <t xml:space="preserve"> HA</t>
  </si>
  <si>
    <t>HDh</t>
  </si>
  <si>
    <t>Sh</t>
  </si>
  <si>
    <t>N</t>
  </si>
  <si>
    <t>R</t>
  </si>
  <si>
    <t>B</t>
  </si>
  <si>
    <t xml:space="preserve"> Lh</t>
  </si>
  <si>
    <t>K</t>
  </si>
  <si>
    <t>AA</t>
  </si>
  <si>
    <t>ADh</t>
  </si>
  <si>
    <t>V</t>
  </si>
  <si>
    <t>M</t>
  </si>
  <si>
    <t>F</t>
  </si>
  <si>
    <t>Dh</t>
  </si>
  <si>
    <t>Th</t>
  </si>
  <si>
    <t>L</t>
  </si>
  <si>
    <t>GA</t>
  </si>
  <si>
    <t>GDh</t>
  </si>
  <si>
    <t>Gn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</si>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</sst>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3" formatCode="_(* #,##0.00_);_(* \(#,##0.00\);_(* &quot;-&quot;??_);_(@_)"/>
    <numFmt numFmtId="164" formatCode="_(* #,##0_);_(* \(#,##0\);_(* &quot;-&quot;??_);_(@_)"/>
    <numFmt numFmtId="168" formatCode="General_)"/>
  </numFmts>
  <fonts count="34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 tint="0.14999847407452621"/>
      <name val="Faruma"/>
    </font>
    <font>
      <sz val="10"/>
      <color theme="1" tint="0.14999847407452621"/>
      <name val="Arial"/>
      <family val="2"/>
    </font>
    <font>
      <b/>
      <sz val="11"/>
      <color theme="1" tint="0.14999847407452621"/>
      <name val="Calibri"/>
      <family val="2"/>
      <scheme val="minor"/>
    </font>
    <font>
      <b/>
      <sz val="9"/>
      <color theme="1" tint="0.14999847407452621"/>
      <name val="Arial"/>
      <family val="2"/>
    </font>
    <font>
      <b/>
      <sz val="10"/>
      <color theme="1"/>
      <name val="Faruma"/>
    </font>
    <font>
      <b/>
      <sz val="9"/>
      <color theme="1"/>
      <name val="Faruma"/>
    </font>
    <font>
      <b/>
      <sz val="9"/>
      <color theme="1" tint="0.14999847407452621"/>
      <name val="A_Randhoo"/>
    </font>
    <font>
      <sz val="9"/>
      <color theme="1"/>
      <name val="Faruma"/>
    </font>
    <font>
      <sz val="10"/>
      <name val="Courier"/>
      <family val="3"/>
    </font>
    <font>
      <b/>
      <sz val="9"/>
      <name val="Calibri"/>
      <family val="2"/>
      <scheme val="minor"/>
    </font>
    <font>
      <b/>
      <sz val="8"/>
      <name val="Calibri"/>
      <family val="2"/>
      <scheme val="minor"/>
    </font>
    <font>
      <sz val="9"/>
      <name val="Courier"/>
      <family val="3"/>
    </font>
    <font>
      <b/>
      <sz val="10"/>
      <name val="Calibri"/>
      <family val="2"/>
      <scheme val="minor"/>
    </font>
    <font>
      <b/>
      <sz val="10"/>
      <name val="Faruma"/>
    </font>
    <font>
      <b/>
      <sz val="11"/>
      <color theme="1"/>
      <name val="Calibri"/>
      <family val="2"/>
      <charset val="1"/>
      <scheme val="minor"/>
    </font>
    <font>
      <b/>
      <sz val="10"/>
      <color theme="1"/>
      <name val="Calibri"/>
      <family val="2"/>
      <scheme val="minor"/>
    </font>
    <font>
      <b/>
      <sz val="10"/>
      <color theme="1" tint="0.14999847407452621"/>
      <name val="Faruma"/>
    </font>
    <font>
      <sz val="11"/>
      <color theme="1"/>
      <name val="Calibri"/>
      <family val="2"/>
      <charset val="1"/>
      <scheme val="minor"/>
    </font>
    <font>
      <b/>
      <sz val="10"/>
      <color theme="1" tint="0.1499984740745262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 tint="0.14999847407452621"/>
      <name val="Calibri"/>
      <family val="2"/>
      <scheme val="minor"/>
    </font>
    <font>
      <sz val="10"/>
      <name val="Calibri"/>
      <family val="2"/>
      <scheme val="minor"/>
    </font>
    <font>
      <sz val="10"/>
      <color theme="1" tint="0.14999847407452621"/>
      <name val="A_Randhoo"/>
    </font>
    <font>
      <b/>
      <sz val="11"/>
      <name val="Calibri"/>
      <family val="2"/>
      <scheme val="minor"/>
    </font>
    <font>
      <i/>
      <sz val="9"/>
      <color theme="1"/>
      <name val="Calibri"/>
      <family val="2"/>
      <scheme val="minor"/>
    </font>
    <font>
      <i/>
      <sz val="9"/>
      <name val="Calibri"/>
      <family val="2"/>
      <scheme val="minor"/>
    </font>
    <font>
      <sz val="9"/>
      <color theme="1" tint="0.14999847407452621"/>
      <name val="Faruma"/>
    </font>
    <font>
      <sz val="12"/>
      <color theme="1" tint="0.1499984740745262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/>
      <right/>
      <top/>
      <bottom style="dotted">
        <color indexed="64"/>
      </bottom>
      <diagonal/>
    </border>
    <border>
      <left style="hair">
        <color indexed="64"/>
      </left>
      <right/>
      <top/>
      <bottom style="dotted">
        <color indexed="64"/>
      </bottom>
      <diagonal/>
    </border>
    <border>
      <left/>
      <right style="hair">
        <color indexed="64"/>
      </right>
      <top/>
      <bottom style="dotted">
        <color indexed="64"/>
      </bottom>
      <diagonal/>
    </border>
    <border>
      <left style="hair">
        <color indexed="64"/>
      </left>
      <right style="hair">
        <color indexed="64"/>
      </right>
      <top/>
      <bottom style="dotted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/>
      <right style="hair">
        <color auto="1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dotted">
        <color indexed="64"/>
      </top>
      <bottom/>
      <diagonal/>
    </border>
  </borders>
  <cellStyleXfs count="9">
    <xf numFmtId="0" fontId="0" fillId="0" borderId="0"/>
    <xf numFmtId="43" fontId="3" fillId="0" borderId="0" applyFont="0" applyFill="0" applyBorder="0" applyAlignment="0" applyProtection="0"/>
    <xf numFmtId="0" fontId="5" fillId="0" borderId="1"/>
    <xf numFmtId="164" fontId="14" fillId="0" borderId="1"/>
    <xf numFmtId="0" fontId="1" fillId="0" borderId="1"/>
    <xf numFmtId="0" fontId="14" fillId="0" borderId="1"/>
    <xf numFmtId="0" fontId="1" fillId="0" borderId="1"/>
    <xf numFmtId="43" fontId="2" fillId="0" borderId="1" applyFont="0" applyFill="0" applyBorder="0" applyAlignment="0" applyProtection="0"/>
    <xf numFmtId="43" fontId="2" fillId="0" borderId="1" applyFont="0" applyFill="0" applyBorder="0" applyAlignment="0" applyProtection="0"/>
  </cellStyleXfs>
  <cellXfs count="129">
    <xf numFmtId="0" fontId="0" fillId="0" borderId="0" xfId="0" applyFont="1" applyAlignment="1"/>
    <xf numFmtId="3" fontId="7" fillId="2" borderId="1" xfId="2" applyNumberFormat="1" applyFont="1" applyFill="1"/>
    <xf numFmtId="3" fontId="7" fillId="2" borderId="1" xfId="2" applyNumberFormat="1" applyFont="1" applyFill="1" applyBorder="1"/>
    <xf numFmtId="0" fontId="13" fillId="2" borderId="0" xfId="0" applyFont="1" applyFill="1"/>
    <xf numFmtId="168" fontId="17" fillId="2" borderId="0" xfId="0" applyNumberFormat="1" applyFont="1" applyFill="1" applyAlignment="1">
      <alignment vertical="center"/>
    </xf>
    <xf numFmtId="168" fontId="18" fillId="2" borderId="14" xfId="3" applyNumberFormat="1" applyFont="1" applyFill="1" applyBorder="1" applyAlignment="1">
      <alignment horizontal="right" vertical="center" wrapText="1"/>
    </xf>
    <xf numFmtId="168" fontId="18" fillId="2" borderId="15" xfId="3" applyNumberFormat="1" applyFont="1" applyFill="1" applyBorder="1" applyAlignment="1">
      <alignment horizontal="right" vertical="center" wrapText="1"/>
    </xf>
    <xf numFmtId="168" fontId="17" fillId="2" borderId="1" xfId="0" applyNumberFormat="1" applyFont="1" applyFill="1" applyBorder="1"/>
    <xf numFmtId="168" fontId="19" fillId="2" borderId="11" xfId="3" applyNumberFormat="1" applyFont="1" applyFill="1" applyBorder="1" applyAlignment="1">
      <alignment horizontal="right" vertical="center" wrapText="1"/>
    </xf>
    <xf numFmtId="168" fontId="19" fillId="2" borderId="12" xfId="3" applyNumberFormat="1" applyFont="1" applyFill="1" applyBorder="1" applyAlignment="1">
      <alignment horizontal="right" vertical="center" wrapText="1"/>
    </xf>
    <xf numFmtId="168" fontId="4" fillId="2" borderId="16" xfId="0" applyNumberFormat="1" applyFont="1" applyFill="1" applyBorder="1" applyAlignment="1">
      <alignment horizontal="center" vertical="center"/>
    </xf>
    <xf numFmtId="168" fontId="4" fillId="2" borderId="2" xfId="0" applyNumberFormat="1" applyFont="1" applyFill="1" applyBorder="1" applyAlignment="1">
      <alignment horizontal="center" vertical="center"/>
    </xf>
    <xf numFmtId="168" fontId="0" fillId="2" borderId="0" xfId="0" applyNumberFormat="1" applyFill="1"/>
    <xf numFmtId="168" fontId="18" fillId="2" borderId="1" xfId="3" applyNumberFormat="1" applyFont="1" applyFill="1" applyBorder="1" applyAlignment="1" applyProtection="1">
      <alignment horizontal="left" vertical="center"/>
    </xf>
    <xf numFmtId="37" fontId="18" fillId="2" borderId="1" xfId="1" applyNumberFormat="1" applyFont="1" applyFill="1" applyBorder="1" applyAlignment="1" applyProtection="1">
      <alignment vertical="center"/>
    </xf>
    <xf numFmtId="37" fontId="18" fillId="2" borderId="14" xfId="1" applyNumberFormat="1" applyFont="1" applyFill="1" applyBorder="1" applyAlignment="1" applyProtection="1">
      <alignment horizontal="right" vertical="center"/>
    </xf>
    <xf numFmtId="37" fontId="18" fillId="2" borderId="1" xfId="1" applyNumberFormat="1" applyFont="1" applyFill="1" applyBorder="1" applyAlignment="1" applyProtection="1">
      <alignment horizontal="right" vertical="center"/>
    </xf>
    <xf numFmtId="3" fontId="22" fillId="2" borderId="1" xfId="2" applyNumberFormat="1" applyFont="1" applyFill="1" applyBorder="1" applyAlignment="1" applyProtection="1">
      <alignment horizontal="right" vertical="center"/>
    </xf>
    <xf numFmtId="168" fontId="23" fillId="2" borderId="0" xfId="0" applyNumberFormat="1" applyFont="1" applyFill="1"/>
    <xf numFmtId="3" fontId="24" fillId="2" borderId="1" xfId="2" applyNumberFormat="1" applyFont="1" applyFill="1"/>
    <xf numFmtId="168" fontId="20" fillId="2" borderId="0" xfId="0" applyNumberFormat="1" applyFont="1" applyFill="1"/>
    <xf numFmtId="37" fontId="21" fillId="2" borderId="14" xfId="1" applyNumberFormat="1" applyFont="1" applyFill="1" applyBorder="1" applyAlignment="1">
      <alignment vertical="center"/>
    </xf>
    <xf numFmtId="37" fontId="21" fillId="2" borderId="15" xfId="1" applyNumberFormat="1" applyFont="1" applyFill="1" applyBorder="1" applyAlignment="1">
      <alignment vertical="center"/>
    </xf>
    <xf numFmtId="3" fontId="26" fillId="2" borderId="1" xfId="2" applyNumberFormat="1" applyFont="1" applyFill="1"/>
    <xf numFmtId="3" fontId="28" fillId="2" borderId="1" xfId="2" applyNumberFormat="1" applyFont="1" applyFill="1" applyBorder="1" applyAlignment="1" applyProtection="1">
      <alignment horizontal="right" vertical="center"/>
    </xf>
    <xf numFmtId="0" fontId="0" fillId="2" borderId="0" xfId="0" applyFill="1"/>
    <xf numFmtId="3" fontId="29" fillId="2" borderId="1" xfId="1" applyNumberFormat="1" applyFont="1" applyFill="1" applyBorder="1" applyAlignment="1" applyProtection="1">
      <alignment horizontal="right" vertical="center"/>
    </xf>
    <xf numFmtId="3" fontId="8" fillId="2" borderId="1" xfId="2" applyNumberFormat="1" applyFont="1" applyFill="1"/>
    <xf numFmtId="37" fontId="27" fillId="2" borderId="1" xfId="1" applyNumberFormat="1" applyFont="1" applyFill="1" applyBorder="1" applyAlignment="1" applyProtection="1">
      <alignment vertical="center"/>
    </xf>
    <xf numFmtId="3" fontId="26" fillId="2" borderId="1" xfId="2" applyNumberFormat="1" applyFont="1" applyFill="1" applyBorder="1"/>
    <xf numFmtId="168" fontId="23" fillId="2" borderId="1" xfId="0" applyNumberFormat="1" applyFont="1" applyFill="1" applyBorder="1"/>
    <xf numFmtId="0" fontId="23" fillId="2" borderId="0" xfId="0" applyFont="1" applyFill="1"/>
    <xf numFmtId="0" fontId="23" fillId="2" borderId="1" xfId="0" applyFont="1" applyFill="1" applyBorder="1"/>
    <xf numFmtId="3" fontId="26" fillId="2" borderId="2" xfId="2" applyNumberFormat="1" applyFont="1" applyFill="1" applyBorder="1"/>
    <xf numFmtId="0" fontId="30" fillId="2" borderId="0" xfId="0" applyFont="1" applyFill="1"/>
    <xf numFmtId="0" fontId="25" fillId="2" borderId="0" xfId="0" applyFont="1" applyFill="1"/>
    <xf numFmtId="0" fontId="21" fillId="2" borderId="0" xfId="0" applyFont="1" applyFill="1" applyAlignment="1">
      <alignment horizontal="center" vertical="center"/>
    </xf>
    <xf numFmtId="168" fontId="31" fillId="2" borderId="1" xfId="3" applyNumberFormat="1" applyFont="1" applyFill="1" applyBorder="1" applyAlignment="1" applyProtection="1">
      <alignment horizontal="left" vertical="center"/>
    </xf>
    <xf numFmtId="168" fontId="32" fillId="2" borderId="1" xfId="5" applyNumberFormat="1" applyFont="1" applyFill="1" applyAlignment="1">
      <alignment horizontal="right" vertical="center"/>
    </xf>
    <xf numFmtId="0" fontId="4" fillId="2" borderId="0" xfId="0" applyFont="1" applyFill="1" applyAlignment="1">
      <alignment horizontal="center" vertical="center"/>
    </xf>
    <xf numFmtId="0" fontId="0" fillId="2" borderId="1" xfId="0" applyFill="1" applyBorder="1"/>
    <xf numFmtId="0" fontId="4" fillId="2" borderId="1" xfId="0" applyFont="1" applyFill="1" applyBorder="1" applyAlignment="1">
      <alignment horizontal="center" vertical="center"/>
    </xf>
    <xf numFmtId="168" fontId="32" fillId="2" borderId="1" xfId="5" applyNumberFormat="1" applyFont="1" applyFill="1" applyBorder="1" applyAlignment="1">
      <alignment horizontal="right" vertical="center"/>
    </xf>
    <xf numFmtId="3" fontId="33" fillId="2" borderId="1" xfId="2" applyNumberFormat="1" applyFont="1" applyFill="1"/>
    <xf numFmtId="3" fontId="33" fillId="2" borderId="1" xfId="2" applyNumberFormat="1" applyFont="1" applyFill="1" applyBorder="1"/>
    <xf numFmtId="168" fontId="19" fillId="2" borderId="1" xfId="3" applyNumberFormat="1" applyFont="1" applyFill="1" applyBorder="1" applyAlignment="1">
      <alignment horizontal="right" vertical="center" wrapText="1"/>
    </xf>
    <xf numFmtId="168" fontId="20" fillId="2" borderId="1" xfId="0" applyNumberFormat="1" applyFont="1" applyFill="1" applyBorder="1"/>
    <xf numFmtId="168" fontId="4" fillId="2" borderId="1" xfId="0" applyNumberFormat="1" applyFont="1" applyFill="1" applyBorder="1" applyAlignment="1">
      <alignment horizontal="center" vertical="center"/>
    </xf>
    <xf numFmtId="37" fontId="21" fillId="2" borderId="1" xfId="1" applyNumberFormat="1" applyFont="1" applyFill="1" applyBorder="1" applyAlignment="1">
      <alignment horizontal="right" vertical="center" indent="3"/>
    </xf>
    <xf numFmtId="3" fontId="24" fillId="2" borderId="1" xfId="2" applyNumberFormat="1" applyFont="1" applyFill="1" applyBorder="1"/>
    <xf numFmtId="37" fontId="21" fillId="2" borderId="1" xfId="1" applyNumberFormat="1" applyFont="1" applyFill="1" applyBorder="1" applyAlignment="1">
      <alignment horizontal="right" vertical="center"/>
    </xf>
    <xf numFmtId="37" fontId="27" fillId="2" borderId="1" xfId="1" applyNumberFormat="1" applyFont="1" applyFill="1" applyBorder="1" applyAlignment="1" applyProtection="1">
      <alignment horizontal="right" vertical="center"/>
    </xf>
    <xf numFmtId="37" fontId="25" fillId="2" borderId="1" xfId="1" applyNumberFormat="1" applyFont="1" applyFill="1" applyBorder="1" applyAlignment="1">
      <alignment horizontal="right" vertical="center"/>
    </xf>
    <xf numFmtId="37" fontId="25" fillId="2" borderId="1" xfId="1" applyNumberFormat="1" applyFont="1" applyFill="1" applyBorder="1" applyAlignment="1">
      <alignment horizontal="right" vertical="center" indent="3"/>
    </xf>
    <xf numFmtId="37" fontId="27" fillId="2" borderId="15" xfId="1" applyNumberFormat="1" applyFont="1" applyFill="1" applyBorder="1" applyAlignment="1" applyProtection="1">
      <alignment vertical="center"/>
    </xf>
    <xf numFmtId="37" fontId="25" fillId="2" borderId="0" xfId="1" applyNumberFormat="1" applyFont="1" applyFill="1" applyAlignment="1">
      <alignment horizontal="right" vertical="center" indent="5"/>
    </xf>
    <xf numFmtId="37" fontId="25" fillId="2" borderId="14" xfId="1" applyNumberFormat="1" applyFont="1" applyFill="1" applyBorder="1" applyAlignment="1">
      <alignment vertical="center"/>
    </xf>
    <xf numFmtId="37" fontId="25" fillId="2" borderId="11" xfId="1" applyNumberFormat="1" applyFont="1" applyFill="1" applyBorder="1" applyAlignment="1">
      <alignment vertical="center"/>
    </xf>
    <xf numFmtId="37" fontId="25" fillId="2" borderId="1" xfId="1" applyNumberFormat="1" applyFont="1" applyFill="1" applyBorder="1" applyAlignment="1">
      <alignment vertical="center"/>
    </xf>
    <xf numFmtId="37" fontId="25" fillId="2" borderId="1" xfId="1" applyNumberFormat="1" applyFont="1" applyFill="1" applyBorder="1" applyAlignment="1">
      <alignment horizontal="right" vertical="center" indent="5"/>
    </xf>
    <xf numFmtId="37" fontId="18" fillId="2" borderId="13" xfId="1" applyNumberFormat="1" applyFont="1" applyFill="1" applyBorder="1" applyAlignment="1" applyProtection="1">
      <alignment horizontal="right" vertical="center"/>
    </xf>
    <xf numFmtId="37" fontId="18" fillId="2" borderId="6" xfId="1" applyNumberFormat="1" applyFont="1" applyFill="1" applyBorder="1" applyAlignment="1" applyProtection="1">
      <alignment horizontal="right" vertical="center"/>
    </xf>
    <xf numFmtId="37" fontId="27" fillId="2" borderId="15" xfId="1" applyNumberFormat="1" applyFont="1" applyFill="1" applyBorder="1" applyAlignment="1" applyProtection="1">
      <alignment horizontal="right" vertical="center" indent="4"/>
    </xf>
    <xf numFmtId="37" fontId="27" fillId="2" borderId="1" xfId="1" applyNumberFormat="1" applyFont="1" applyFill="1" applyBorder="1" applyAlignment="1" applyProtection="1">
      <alignment horizontal="right" vertical="center" indent="5"/>
    </xf>
    <xf numFmtId="37" fontId="25" fillId="2" borderId="14" xfId="1" applyNumberFormat="1" applyFont="1" applyFill="1" applyBorder="1" applyAlignment="1">
      <alignment horizontal="right" vertical="center" indent="5"/>
    </xf>
    <xf numFmtId="37" fontId="27" fillId="2" borderId="13" xfId="1" applyNumberFormat="1" applyFont="1" applyFill="1" applyBorder="1" applyAlignment="1" applyProtection="1">
      <alignment vertical="center"/>
    </xf>
    <xf numFmtId="37" fontId="25" fillId="2" borderId="13" xfId="1" applyNumberFormat="1" applyFont="1" applyFill="1" applyBorder="1" applyAlignment="1">
      <alignment vertical="center"/>
    </xf>
    <xf numFmtId="37" fontId="25" fillId="2" borderId="16" xfId="1" applyNumberFormat="1" applyFont="1" applyFill="1" applyBorder="1" applyAlignment="1">
      <alignment vertical="center"/>
    </xf>
    <xf numFmtId="37" fontId="21" fillId="2" borderId="1" xfId="1" applyNumberFormat="1" applyFont="1" applyFill="1" applyBorder="1" applyAlignment="1">
      <alignment horizontal="right" vertical="center" indent="5"/>
    </xf>
    <xf numFmtId="37" fontId="21" fillId="2" borderId="13" xfId="1" applyNumberFormat="1" applyFont="1" applyFill="1" applyBorder="1" applyAlignment="1">
      <alignment horizontal="right" vertical="center" indent="4"/>
    </xf>
    <xf numFmtId="37" fontId="27" fillId="2" borderId="13" xfId="1" applyNumberFormat="1" applyFont="1" applyFill="1" applyBorder="1" applyAlignment="1" applyProtection="1">
      <alignment horizontal="right" vertical="center" indent="4"/>
    </xf>
    <xf numFmtId="37" fontId="25" fillId="2" borderId="11" xfId="1" applyNumberFormat="1" applyFont="1" applyFill="1" applyBorder="1" applyAlignment="1">
      <alignment horizontal="right" vertical="center" indent="5"/>
    </xf>
    <xf numFmtId="37" fontId="18" fillId="2" borderId="4" xfId="1" applyNumberFormat="1" applyFont="1" applyFill="1" applyBorder="1" applyAlignment="1" applyProtection="1">
      <alignment horizontal="right" vertical="center"/>
    </xf>
    <xf numFmtId="168" fontId="15" fillId="2" borderId="2" xfId="3" applyNumberFormat="1" applyFont="1" applyFill="1" applyBorder="1" applyAlignment="1">
      <alignment horizontal="right" vertical="center" wrapText="1" indent="1"/>
    </xf>
    <xf numFmtId="168" fontId="18" fillId="2" borderId="1" xfId="3" applyNumberFormat="1" applyFont="1" applyFill="1" applyBorder="1" applyAlignment="1">
      <alignment horizontal="right" vertical="center" wrapText="1" indent="1"/>
    </xf>
    <xf numFmtId="168" fontId="19" fillId="2" borderId="2" xfId="3" applyNumberFormat="1" applyFont="1" applyFill="1" applyBorder="1" applyAlignment="1">
      <alignment horizontal="right" vertical="center" wrapText="1" indent="1"/>
    </xf>
    <xf numFmtId="1" fontId="29" fillId="2" borderId="1" xfId="1" applyNumberFormat="1" applyFont="1" applyFill="1" applyBorder="1" applyAlignment="1" applyProtection="1">
      <alignment horizontal="right" vertical="center"/>
    </xf>
    <xf numFmtId="37" fontId="13" fillId="2" borderId="0" xfId="0" applyNumberFormat="1" applyFont="1" applyFill="1"/>
    <xf numFmtId="37" fontId="18" fillId="2" borderId="14" xfId="1" applyNumberFormat="1" applyFont="1" applyFill="1" applyBorder="1" applyAlignment="1" applyProtection="1">
      <alignment horizontal="center" vertical="center"/>
    </xf>
    <xf numFmtId="37" fontId="21" fillId="2" borderId="13" xfId="1" applyNumberFormat="1" applyFont="1" applyFill="1" applyBorder="1" applyAlignment="1">
      <alignment vertical="center"/>
    </xf>
    <xf numFmtId="37" fontId="27" fillId="2" borderId="16" xfId="1" applyNumberFormat="1" applyFont="1" applyFill="1" applyBorder="1" applyAlignment="1" applyProtection="1">
      <alignment vertical="center"/>
    </xf>
    <xf numFmtId="37" fontId="27" fillId="2" borderId="2" xfId="1" applyNumberFormat="1" applyFont="1" applyFill="1" applyBorder="1" applyAlignment="1" applyProtection="1">
      <alignment vertical="center"/>
    </xf>
    <xf numFmtId="3" fontId="28" fillId="2" borderId="2" xfId="2" applyNumberFormat="1" applyFont="1" applyFill="1" applyBorder="1" applyAlignment="1" applyProtection="1">
      <alignment horizontal="right" vertical="center"/>
    </xf>
    <xf numFmtId="37" fontId="21" fillId="2" borderId="15" xfId="7" applyNumberFormat="1" applyFont="1" applyFill="1" applyBorder="1" applyAlignment="1">
      <alignment vertical="center"/>
    </xf>
    <xf numFmtId="37" fontId="27" fillId="2" borderId="15" xfId="7" applyNumberFormat="1" applyFont="1" applyFill="1" applyBorder="1" applyAlignment="1">
      <alignment vertical="center"/>
    </xf>
    <xf numFmtId="37" fontId="25" fillId="2" borderId="12" xfId="7" applyNumberFormat="1" applyFont="1" applyFill="1" applyBorder="1" applyAlignment="1">
      <alignment vertical="center"/>
    </xf>
    <xf numFmtId="168" fontId="15" fillId="2" borderId="1" xfId="3" applyNumberFormat="1" applyFont="1" applyFill="1" applyBorder="1" applyAlignment="1">
      <alignment horizontal="center" vertical="center" wrapText="1"/>
    </xf>
    <xf numFmtId="3" fontId="8" fillId="2" borderId="1" xfId="2" applyNumberFormat="1" applyFont="1" applyFill="1" applyBorder="1" applyAlignment="1" applyProtection="1">
      <alignment horizontal="center" vertical="center"/>
    </xf>
    <xf numFmtId="0" fontId="11" fillId="2" borderId="1" xfId="0" applyFont="1" applyFill="1" applyBorder="1" applyAlignment="1">
      <alignment horizontal="center" vertical="center" wrapText="1"/>
    </xf>
    <xf numFmtId="168" fontId="18" fillId="2" borderId="1" xfId="3" applyNumberFormat="1" applyFont="1" applyFill="1" applyBorder="1" applyAlignment="1">
      <alignment horizontal="right" vertical="center" wrapText="1"/>
    </xf>
    <xf numFmtId="37" fontId="21" fillId="2" borderId="6" xfId="1" applyNumberFormat="1" applyFont="1" applyFill="1" applyBorder="1" applyAlignment="1">
      <alignment horizontal="right" vertical="center" indent="4"/>
    </xf>
    <xf numFmtId="37" fontId="27" fillId="2" borderId="16" xfId="1" applyNumberFormat="1" applyFont="1" applyFill="1" applyBorder="1" applyAlignment="1" applyProtection="1">
      <alignment horizontal="right" vertical="center" indent="4"/>
    </xf>
    <xf numFmtId="168" fontId="15" fillId="2" borderId="1" xfId="3" applyNumberFormat="1" applyFont="1" applyFill="1" applyBorder="1" applyAlignment="1">
      <alignment horizontal="center" vertical="center" wrapText="1"/>
    </xf>
    <xf numFmtId="168" fontId="15" fillId="2" borderId="17" xfId="3" applyNumberFormat="1" applyFont="1" applyFill="1" applyBorder="1" applyAlignment="1">
      <alignment horizontal="right" vertical="center" wrapText="1"/>
    </xf>
    <xf numFmtId="168" fontId="15" fillId="2" borderId="13" xfId="3" applyNumberFormat="1" applyFont="1" applyFill="1" applyBorder="1" applyAlignment="1">
      <alignment horizontal="right" vertical="center" wrapText="1"/>
    </xf>
    <xf numFmtId="168" fontId="15" fillId="2" borderId="16" xfId="3" applyNumberFormat="1" applyFont="1" applyFill="1" applyBorder="1" applyAlignment="1">
      <alignment horizontal="right" vertical="center" wrapText="1"/>
    </xf>
    <xf numFmtId="168" fontId="16" fillId="2" borderId="1" xfId="3" applyNumberFormat="1" applyFont="1" applyFill="1" applyBorder="1" applyAlignment="1">
      <alignment horizontal="right" vertical="center" wrapText="1"/>
    </xf>
    <xf numFmtId="3" fontId="6" fillId="2" borderId="1" xfId="2" applyNumberFormat="1" applyFont="1" applyFill="1" applyBorder="1" applyAlignment="1">
      <alignment horizontal="center" vertical="center" readingOrder="2"/>
    </xf>
    <xf numFmtId="3" fontId="8" fillId="2" borderId="1" xfId="2" applyNumberFormat="1" applyFont="1" applyFill="1" applyBorder="1" applyAlignment="1" applyProtection="1">
      <alignment horizontal="center" vertical="center"/>
    </xf>
    <xf numFmtId="3" fontId="9" fillId="2" borderId="1" xfId="2" applyNumberFormat="1" applyFont="1" applyFill="1" applyBorder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wrapText="1"/>
    </xf>
    <xf numFmtId="0" fontId="11" fillId="2" borderId="1" xfId="0" applyFont="1" applyFill="1" applyBorder="1" applyAlignment="1">
      <alignment horizontal="right" vertical="center" wrapText="1"/>
    </xf>
    <xf numFmtId="0" fontId="11" fillId="2" borderId="1" xfId="0" applyFont="1" applyFill="1" applyBorder="1" applyAlignment="1">
      <alignment horizontal="center" vertical="center" wrapText="1"/>
    </xf>
    <xf numFmtId="3" fontId="12" fillId="2" borderId="1" xfId="2" applyNumberFormat="1" applyFont="1" applyFill="1" applyBorder="1" applyAlignment="1">
      <alignment horizontal="right" vertical="center" wrapText="1"/>
    </xf>
    <xf numFmtId="3" fontId="6" fillId="2" borderId="1" xfId="2" applyNumberFormat="1" applyFont="1" applyFill="1" applyAlignment="1">
      <alignment horizontal="center" vertical="center" readingOrder="2"/>
    </xf>
    <xf numFmtId="3" fontId="9" fillId="2" borderId="3" xfId="2" applyNumberFormat="1" applyFont="1" applyFill="1" applyBorder="1" applyAlignment="1">
      <alignment horizontal="left" vertical="center"/>
    </xf>
    <xf numFmtId="3" fontId="9" fillId="2" borderId="2" xfId="2" applyNumberFormat="1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right" vertical="center" wrapText="1" indent="1"/>
    </xf>
    <xf numFmtId="0" fontId="10" fillId="2" borderId="7" xfId="0" applyFont="1" applyFill="1" applyBorder="1" applyAlignment="1">
      <alignment horizontal="right" vertical="center" wrapText="1" indent="1"/>
    </xf>
    <xf numFmtId="0" fontId="10" fillId="2" borderId="4" xfId="0" applyFont="1" applyFill="1" applyBorder="1" applyAlignment="1">
      <alignment horizontal="center" vertical="center" wrapText="1"/>
    </xf>
    <xf numFmtId="0" fontId="10" fillId="2" borderId="5" xfId="0" applyFont="1" applyFill="1" applyBorder="1" applyAlignment="1">
      <alignment horizontal="center" vertical="center" wrapText="1"/>
    </xf>
    <xf numFmtId="0" fontId="10" fillId="2" borderId="8" xfId="0" applyFont="1" applyFill="1" applyBorder="1" applyAlignment="1">
      <alignment horizontal="center" vertical="center" wrapText="1"/>
    </xf>
    <xf numFmtId="0" fontId="10" fillId="2" borderId="9" xfId="0" applyFont="1" applyFill="1" applyBorder="1" applyAlignment="1">
      <alignment horizontal="center" vertical="center" wrapText="1"/>
    </xf>
    <xf numFmtId="0" fontId="10" fillId="2" borderId="4" xfId="0" applyFont="1" applyFill="1" applyBorder="1" applyAlignment="1">
      <alignment horizontal="center" wrapText="1"/>
    </xf>
    <xf numFmtId="0" fontId="10" fillId="2" borderId="5" xfId="0" applyFont="1" applyFill="1" applyBorder="1" applyAlignment="1">
      <alignment horizontal="center" wrapText="1"/>
    </xf>
    <xf numFmtId="0" fontId="10" fillId="2" borderId="8" xfId="0" applyFont="1" applyFill="1" applyBorder="1" applyAlignment="1">
      <alignment horizontal="center" wrapText="1"/>
    </xf>
    <xf numFmtId="0" fontId="10" fillId="2" borderId="9" xfId="0" applyFont="1" applyFill="1" applyBorder="1" applyAlignment="1">
      <alignment horizontal="center" wrapText="1"/>
    </xf>
    <xf numFmtId="0" fontId="11" fillId="2" borderId="4" xfId="0" applyFont="1" applyFill="1" applyBorder="1" applyAlignment="1">
      <alignment horizontal="right" vertical="center" wrapText="1"/>
    </xf>
    <xf numFmtId="0" fontId="11" fillId="2" borderId="8" xfId="0" applyFont="1" applyFill="1" applyBorder="1" applyAlignment="1">
      <alignment horizontal="right" vertical="center" wrapText="1"/>
    </xf>
    <xf numFmtId="0" fontId="11" fillId="2" borderId="6" xfId="0" applyFont="1" applyFill="1" applyBorder="1" applyAlignment="1">
      <alignment horizontal="center" vertical="center" wrapText="1"/>
    </xf>
    <xf numFmtId="0" fontId="11" fillId="2" borderId="10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11" fillId="2" borderId="7" xfId="0" applyFont="1" applyFill="1" applyBorder="1" applyAlignment="1">
      <alignment horizontal="center" vertical="center" wrapText="1"/>
    </xf>
    <xf numFmtId="3" fontId="12" fillId="2" borderId="3" xfId="2" applyNumberFormat="1" applyFont="1" applyFill="1" applyBorder="1" applyAlignment="1">
      <alignment horizontal="right" vertical="center" wrapText="1"/>
    </xf>
    <xf numFmtId="3" fontId="12" fillId="2" borderId="2" xfId="2" applyNumberFormat="1" applyFont="1" applyFill="1" applyBorder="1" applyAlignment="1">
      <alignment horizontal="right" vertical="center" wrapText="1"/>
    </xf>
    <xf numFmtId="168" fontId="15" fillId="2" borderId="11" xfId="3" applyNumberFormat="1" applyFont="1" applyFill="1" applyBorder="1" applyAlignment="1">
      <alignment horizontal="center" vertical="center" wrapText="1"/>
    </xf>
    <xf numFmtId="168" fontId="15" fillId="2" borderId="12" xfId="3" applyNumberFormat="1" applyFont="1" applyFill="1" applyBorder="1" applyAlignment="1">
      <alignment horizontal="center" vertical="center" wrapText="1"/>
    </xf>
    <xf numFmtId="168" fontId="15" fillId="2" borderId="13" xfId="3" applyNumberFormat="1" applyFont="1" applyFill="1" applyBorder="1" applyAlignment="1">
      <alignment horizontal="center" vertical="center" wrapText="1"/>
    </xf>
  </cellXfs>
  <cellStyles count="9">
    <cellStyle name="Comma" xfId="1" builtinId="3"/>
    <cellStyle name="Comma 23" xfId="8"/>
    <cellStyle name="Comma 3" xfId="7"/>
    <cellStyle name="Normal" xfId="0" builtinId="0"/>
    <cellStyle name="Normal 12" xfId="6"/>
    <cellStyle name="Normal 2" xfId="3"/>
    <cellStyle name="Normal 3 2" xfId="4"/>
    <cellStyle name="Normal_3 Population." xfId="5"/>
    <cellStyle name="Normal_II-15(Population) 2" xfId="2"/>
  </cellStyles>
  <dxfs count="0"/>
  <tableStyles count="0" defaultTableStyle="TableStyleMedium2" defaultPivotStyle="PivotStyleLight16"/>
  <colors>
    <mruColors>
      <color rgb="FFFFFFEB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200" b="1" i="0" u="none" strike="noStrike" baseline="0">
                <a:effectLst/>
                <a:latin typeface="+mn-lt"/>
              </a:rPr>
              <a:t>Figure 18.20:  NUMBER OF PERSON SERVICED UNDER HEALTH INSURANCE SCHEMES BY ATOLL, 2017 -  2018</a:t>
            </a:r>
            <a:endParaRPr lang="en-US" sz="1200">
              <a:latin typeface="+mn-lt"/>
            </a:endParaRPr>
          </a:p>
        </c:rich>
      </c:tx>
      <c:layout>
        <c:manualLayout>
          <c:xMode val="edge"/>
          <c:yMode val="edge"/>
          <c:x val="0.14425665742323826"/>
          <c:y val="6.0491666122425507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7.7045954897955141E-2"/>
          <c:y val="0.20294790493901321"/>
          <c:w val="0.90863920347488047"/>
          <c:h val="0.69119859411490647"/>
        </c:manualLayout>
      </c:layout>
      <c:barChart>
        <c:barDir val="col"/>
        <c:grouping val="clustered"/>
        <c:varyColors val="0"/>
        <c:ser>
          <c:idx val="2"/>
          <c:order val="0"/>
          <c:tx>
            <c:strRef>
              <c:f>'18.16'!$Z$39</c:f>
              <c:strCache>
                <c:ptCount val="1"/>
                <c:pt idx="0">
                  <c:v>2017 </c:v>
                </c:pt>
              </c:strCache>
            </c:strRef>
          </c:tx>
          <c:spPr>
            <a:solidFill>
              <a:schemeClr val="accent4">
                <a:lumMod val="50000"/>
              </a:schemeClr>
            </a:solidFill>
            <a:ln>
              <a:noFill/>
            </a:ln>
          </c:spPr>
          <c:invertIfNegative val="0"/>
          <c:cat>
            <c:strRef>
              <c:f>'18.16'!$V$40:$V$60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'18.16'!$Z$40:$Z$60</c:f>
              <c:numCache>
                <c:formatCode>General_)</c:formatCode>
                <c:ptCount val="21"/>
                <c:pt idx="0">
                  <c:v>55899</c:v>
                </c:pt>
                <c:pt idx="1">
                  <c:v>20287</c:v>
                </c:pt>
                <c:pt idx="2">
                  <c:v>24162</c:v>
                </c:pt>
                <c:pt idx="3">
                  <c:v>16192</c:v>
                </c:pt>
                <c:pt idx="4">
                  <c:v>14727</c:v>
                </c:pt>
                <c:pt idx="5">
                  <c:v>21032</c:v>
                </c:pt>
                <c:pt idx="6">
                  <c:v>13091</c:v>
                </c:pt>
                <c:pt idx="7">
                  <c:v>11895</c:v>
                </c:pt>
                <c:pt idx="8">
                  <c:v>12010</c:v>
                </c:pt>
                <c:pt idx="9">
                  <c:v>7248</c:v>
                </c:pt>
                <c:pt idx="10">
                  <c:v>9714</c:v>
                </c:pt>
                <c:pt idx="11">
                  <c:v>2241</c:v>
                </c:pt>
                <c:pt idx="12">
                  <c:v>6504</c:v>
                </c:pt>
                <c:pt idx="13">
                  <c:v>5477</c:v>
                </c:pt>
                <c:pt idx="14">
                  <c:v>7084</c:v>
                </c:pt>
                <c:pt idx="15">
                  <c:v>14715</c:v>
                </c:pt>
                <c:pt idx="16">
                  <c:v>16392</c:v>
                </c:pt>
                <c:pt idx="17">
                  <c:v>13119</c:v>
                </c:pt>
                <c:pt idx="18">
                  <c:v>19003</c:v>
                </c:pt>
                <c:pt idx="19">
                  <c:v>10481</c:v>
                </c:pt>
                <c:pt idx="20">
                  <c:v>29131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1D7-4050-872F-7D3CC4AC9683}"/>
            </c:ext>
          </c:extLst>
        </c:ser>
        <c:ser>
          <c:idx val="3"/>
          <c:order val="1"/>
          <c:tx>
            <c:strRef>
              <c:f>'18.16'!$AA$39</c:f>
              <c:strCache>
                <c:ptCount val="1"/>
                <c:pt idx="0">
                  <c:v>2018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</c:spPr>
          <c:invertIfNegative val="0"/>
          <c:cat>
            <c:strRef>
              <c:f>'18.16'!$V$40:$V$60</c:f>
              <c:strCache>
                <c:ptCount val="21"/>
                <c:pt idx="0">
                  <c:v>Male' </c:v>
                </c:pt>
                <c:pt idx="1">
                  <c:v> HA</c:v>
                </c:pt>
                <c:pt idx="2">
                  <c:v>HDh</c:v>
                </c:pt>
                <c:pt idx="3">
                  <c:v>Sh</c:v>
                </c:pt>
                <c:pt idx="4">
                  <c:v>N</c:v>
                </c:pt>
                <c:pt idx="5">
                  <c:v>R</c:v>
                </c:pt>
                <c:pt idx="6">
                  <c:v>B</c:v>
                </c:pt>
                <c:pt idx="7">
                  <c:v> Lh</c:v>
                </c:pt>
                <c:pt idx="8">
                  <c:v>K</c:v>
                </c:pt>
                <c:pt idx="9">
                  <c:v>AA</c:v>
                </c:pt>
                <c:pt idx="10">
                  <c:v>ADh</c:v>
                </c:pt>
                <c:pt idx="11">
                  <c:v>V</c:v>
                </c:pt>
                <c:pt idx="12">
                  <c:v>M</c:v>
                </c:pt>
                <c:pt idx="13">
                  <c:v>F</c:v>
                </c:pt>
                <c:pt idx="14">
                  <c:v>Dh</c:v>
                </c:pt>
                <c:pt idx="15">
                  <c:v>Th</c:v>
                </c:pt>
                <c:pt idx="16">
                  <c:v>L</c:v>
                </c:pt>
                <c:pt idx="17">
                  <c:v>GA</c:v>
                </c:pt>
                <c:pt idx="18">
                  <c:v>GDh</c:v>
                </c:pt>
                <c:pt idx="19">
                  <c:v>Gn</c:v>
                </c:pt>
                <c:pt idx="20">
                  <c:v>S</c:v>
                </c:pt>
              </c:strCache>
            </c:strRef>
          </c:cat>
          <c:val>
            <c:numRef>
              <c:f>'18.16'!$AA$40:$AA$60</c:f>
              <c:numCache>
                <c:formatCode>#,##0_);\(#,##0\)</c:formatCode>
                <c:ptCount val="21"/>
                <c:pt idx="0">
                  <c:v>57975</c:v>
                </c:pt>
                <c:pt idx="1">
                  <c:v>20756</c:v>
                </c:pt>
                <c:pt idx="2">
                  <c:v>24686</c:v>
                </c:pt>
                <c:pt idx="3">
                  <c:v>16439</c:v>
                </c:pt>
                <c:pt idx="4">
                  <c:v>15103</c:v>
                </c:pt>
                <c:pt idx="5">
                  <c:v>21478</c:v>
                </c:pt>
                <c:pt idx="6">
                  <c:v>13407</c:v>
                </c:pt>
                <c:pt idx="7">
                  <c:v>12008</c:v>
                </c:pt>
                <c:pt idx="8">
                  <c:v>12411</c:v>
                </c:pt>
                <c:pt idx="9">
                  <c:v>7651</c:v>
                </c:pt>
                <c:pt idx="10">
                  <c:v>10660</c:v>
                </c:pt>
                <c:pt idx="11">
                  <c:v>2282</c:v>
                </c:pt>
                <c:pt idx="12">
                  <c:v>6836</c:v>
                </c:pt>
                <c:pt idx="13">
                  <c:v>5776</c:v>
                </c:pt>
                <c:pt idx="14">
                  <c:v>7231</c:v>
                </c:pt>
                <c:pt idx="15">
                  <c:v>14896</c:v>
                </c:pt>
                <c:pt idx="16">
                  <c:v>16872</c:v>
                </c:pt>
                <c:pt idx="17">
                  <c:v>13407</c:v>
                </c:pt>
                <c:pt idx="18">
                  <c:v>19336</c:v>
                </c:pt>
                <c:pt idx="19">
                  <c:v>11150</c:v>
                </c:pt>
                <c:pt idx="20">
                  <c:v>29637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1D7-4050-872F-7D3CC4AC96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axId val="317776888"/>
        <c:axId val="317777280"/>
      </c:barChart>
      <c:catAx>
        <c:axId val="3177768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crossAx val="317777280"/>
        <c:crosses val="autoZero"/>
        <c:auto val="1"/>
        <c:lblAlgn val="ctr"/>
        <c:lblOffset val="100"/>
        <c:noMultiLvlLbl val="0"/>
      </c:catAx>
      <c:valAx>
        <c:axId val="317777280"/>
        <c:scaling>
          <c:orientation val="minMax"/>
          <c:max val="60000"/>
        </c:scaling>
        <c:delete val="0"/>
        <c:axPos val="l"/>
        <c:majorGridlines>
          <c:spPr>
            <a:ln>
              <a:solidFill>
                <a:schemeClr val="accent4">
                  <a:lumMod val="40000"/>
                  <a:lumOff val="60000"/>
                </a:schemeClr>
              </a:solidFill>
            </a:ln>
          </c:spPr>
        </c:majorGridlines>
        <c:numFmt formatCode="#,##0" sourceLinked="0"/>
        <c:majorTickMark val="none"/>
        <c:minorTickMark val="none"/>
        <c:tickLblPos val="nextTo"/>
        <c:crossAx val="3177768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r"/>
      <c:layout>
        <c:manualLayout>
          <c:xMode val="edge"/>
          <c:yMode val="edge"/>
          <c:x val="0.58369560922212571"/>
          <c:y val="0.33544867771830139"/>
          <c:w val="0.22747394382875633"/>
          <c:h val="7.0243619270913826E-2"/>
        </c:manualLayout>
      </c:layout>
      <c:overlay val="0"/>
      <c:txPr>
        <a:bodyPr/>
        <a:lstStyle/>
        <a:p>
          <a:pPr>
            <a:defRPr sz="1050"/>
          </a:pPr>
          <a:endParaRPr lang="en-US"/>
        </a:p>
      </c:txPr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3108</xdr:colOff>
      <xdr:row>33</xdr:row>
      <xdr:rowOff>57149</xdr:rowOff>
    </xdr:from>
    <xdr:to>
      <xdr:col>8</xdr:col>
      <xdr:colOff>826147</xdr:colOff>
      <xdr:row>49</xdr:row>
      <xdr:rowOff>142875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0.00756</cdr:x>
      <cdr:y>0.11247</cdr:y>
    </cdr:from>
    <cdr:to>
      <cdr:x>0.17128</cdr:x>
      <cdr:y>0.17514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57149" y="379220"/>
          <a:ext cx="1238251" cy="2113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/>
            <a:t>Number of persons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IU70"/>
  <sheetViews>
    <sheetView tabSelected="1" topLeftCell="C1" zoomScale="98" zoomScaleNormal="98" zoomScaleSheetLayoutView="86" workbookViewId="0">
      <selection activeCell="G63" sqref="G63:H68"/>
    </sheetView>
  </sheetViews>
  <sheetFormatPr defaultColWidth="9.140625" defaultRowHeight="15" x14ac:dyDescent="0.25"/>
  <cols>
    <col min="1" max="1" width="26.28515625" style="25" customWidth="1"/>
    <col min="2" max="2" width="14.85546875" style="25" customWidth="1"/>
    <col min="3" max="4" width="14.140625" style="25" customWidth="1"/>
    <col min="5" max="5" width="13.42578125" style="25" customWidth="1"/>
    <col min="6" max="6" width="12.7109375" style="25" customWidth="1"/>
    <col min="7" max="7" width="20.28515625" style="25" customWidth="1"/>
    <col min="8" max="8" width="19.28515625" style="39" customWidth="1"/>
    <col min="9" max="9" width="18.140625" style="39" customWidth="1"/>
    <col min="10" max="10" width="25.28515625" style="25" customWidth="1"/>
    <col min="11" max="219" width="9.140625" style="25"/>
    <col min="220" max="220" width="24.85546875" style="25" customWidth="1"/>
    <col min="221" max="16384" width="9.140625" style="25"/>
  </cols>
  <sheetData>
    <row r="1" spans="1:14" s="1" customFormat="1" ht="21" x14ac:dyDescent="0.2">
      <c r="A1" s="105" t="s">
        <v>0</v>
      </c>
      <c r="B1" s="105"/>
      <c r="C1" s="105"/>
      <c r="D1" s="105"/>
      <c r="E1" s="105"/>
      <c r="F1" s="105"/>
      <c r="G1" s="105"/>
      <c r="H1" s="105"/>
      <c r="I1" s="105"/>
      <c r="J1" s="105"/>
    </row>
    <row r="2" spans="1:14" s="1" customFormat="1" x14ac:dyDescent="0.2">
      <c r="A2" s="98" t="s">
        <v>72</v>
      </c>
      <c r="B2" s="98"/>
      <c r="C2" s="98"/>
      <c r="D2" s="98"/>
      <c r="E2" s="98"/>
      <c r="F2" s="98"/>
      <c r="G2" s="98"/>
      <c r="H2" s="98"/>
      <c r="I2" s="98"/>
      <c r="J2" s="98"/>
    </row>
    <row r="3" spans="1:14" s="2" customFormat="1" x14ac:dyDescent="0.2">
      <c r="A3" s="87"/>
      <c r="B3" s="87"/>
      <c r="C3" s="87"/>
      <c r="D3" s="87"/>
      <c r="E3" s="87"/>
      <c r="F3" s="87"/>
      <c r="G3" s="87"/>
      <c r="H3" s="87"/>
      <c r="I3" s="87"/>
      <c r="J3" s="87"/>
    </row>
    <row r="4" spans="1:14" s="3" customFormat="1" ht="25.5" customHeight="1" x14ac:dyDescent="0.45">
      <c r="A4" s="106" t="s">
        <v>1</v>
      </c>
      <c r="B4" s="108" t="s">
        <v>2</v>
      </c>
      <c r="C4" s="110" t="s">
        <v>3</v>
      </c>
      <c r="D4" s="111"/>
      <c r="E4" s="114" t="s">
        <v>4</v>
      </c>
      <c r="F4" s="115"/>
      <c r="G4" s="118" t="s">
        <v>5</v>
      </c>
      <c r="H4" s="120" t="s">
        <v>6</v>
      </c>
      <c r="I4" s="122" t="s">
        <v>7</v>
      </c>
      <c r="J4" s="124" t="s">
        <v>8</v>
      </c>
    </row>
    <row r="5" spans="1:14" s="3" customFormat="1" ht="31.5" customHeight="1" x14ac:dyDescent="0.45">
      <c r="A5" s="99"/>
      <c r="B5" s="109"/>
      <c r="C5" s="112"/>
      <c r="D5" s="113"/>
      <c r="E5" s="116"/>
      <c r="F5" s="117"/>
      <c r="G5" s="119"/>
      <c r="H5" s="121"/>
      <c r="I5" s="123"/>
      <c r="J5" s="104"/>
    </row>
    <row r="6" spans="1:14" s="4" customFormat="1" ht="36" x14ac:dyDescent="0.25">
      <c r="A6" s="99"/>
      <c r="B6" s="73" t="s">
        <v>9</v>
      </c>
      <c r="C6" s="126" t="s">
        <v>10</v>
      </c>
      <c r="D6" s="127"/>
      <c r="E6" s="126" t="s">
        <v>73</v>
      </c>
      <c r="F6" s="127"/>
      <c r="G6" s="93" t="s">
        <v>11</v>
      </c>
      <c r="H6" s="128" t="s">
        <v>70</v>
      </c>
      <c r="I6" s="92" t="s">
        <v>71</v>
      </c>
      <c r="J6" s="104"/>
      <c r="N6" s="92"/>
    </row>
    <row r="7" spans="1:14" s="7" customFormat="1" ht="12.75" x14ac:dyDescent="0.15">
      <c r="A7" s="99"/>
      <c r="B7" s="74" t="s">
        <v>12</v>
      </c>
      <c r="C7" s="5" t="s">
        <v>13</v>
      </c>
      <c r="D7" s="6" t="s">
        <v>14</v>
      </c>
      <c r="E7" s="5" t="s">
        <v>13</v>
      </c>
      <c r="F7" s="6" t="s">
        <v>15</v>
      </c>
      <c r="G7" s="94"/>
      <c r="H7" s="128"/>
      <c r="I7" s="92"/>
      <c r="J7" s="104"/>
      <c r="N7" s="92"/>
    </row>
    <row r="8" spans="1:14" s="12" customFormat="1" ht="18.75" x14ac:dyDescent="0.25">
      <c r="A8" s="107"/>
      <c r="B8" s="75" t="s">
        <v>16</v>
      </c>
      <c r="C8" s="8" t="s">
        <v>17</v>
      </c>
      <c r="D8" s="9" t="s">
        <v>18</v>
      </c>
      <c r="E8" s="8" t="s">
        <v>19</v>
      </c>
      <c r="F8" s="9" t="s">
        <v>18</v>
      </c>
      <c r="G8" s="95"/>
      <c r="H8" s="10"/>
      <c r="I8" s="11"/>
      <c r="J8" s="125"/>
    </row>
    <row r="9" spans="1:14" s="18" customFormat="1" ht="18.75" x14ac:dyDescent="0.25">
      <c r="A9" s="13" t="s">
        <v>20</v>
      </c>
      <c r="B9" s="14">
        <f>SUM(B10:B11)</f>
        <v>339997</v>
      </c>
      <c r="C9" s="15">
        <f>SUM(C10:C11)</f>
        <v>2592</v>
      </c>
      <c r="D9" s="72">
        <f t="shared" ref="D9:I9" si="0">SUM(D10:D11)</f>
        <v>4359</v>
      </c>
      <c r="E9" s="61">
        <f t="shared" si="0"/>
        <v>107</v>
      </c>
      <c r="F9" s="16">
        <f t="shared" si="0"/>
        <v>147</v>
      </c>
      <c r="G9" s="15">
        <f t="shared" si="0"/>
        <v>5790</v>
      </c>
      <c r="H9" s="90">
        <f>SUM(H10:H11)</f>
        <v>7771</v>
      </c>
      <c r="I9" s="78">
        <f t="shared" si="0"/>
        <v>483</v>
      </c>
      <c r="J9" s="17" t="s">
        <v>21</v>
      </c>
      <c r="L9" s="16"/>
    </row>
    <row r="10" spans="1:14" s="20" customFormat="1" ht="18.75" x14ac:dyDescent="0.25">
      <c r="A10" s="19" t="s">
        <v>22</v>
      </c>
      <c r="B10" s="83">
        <v>57975</v>
      </c>
      <c r="C10" s="21">
        <v>745</v>
      </c>
      <c r="D10" s="79">
        <v>1117</v>
      </c>
      <c r="E10" s="79">
        <v>29</v>
      </c>
      <c r="F10" s="22">
        <v>33</v>
      </c>
      <c r="G10" s="50">
        <v>1015</v>
      </c>
      <c r="H10" s="69">
        <v>2295</v>
      </c>
      <c r="I10" s="68">
        <v>175</v>
      </c>
      <c r="J10" s="17" t="s">
        <v>23</v>
      </c>
    </row>
    <row r="11" spans="1:14" s="18" customFormat="1" ht="18.75" x14ac:dyDescent="0.25">
      <c r="A11" s="13" t="s">
        <v>24</v>
      </c>
      <c r="B11" s="22">
        <f>SUM(B12:B31)</f>
        <v>282022</v>
      </c>
      <c r="C11" s="15">
        <f t="shared" ref="C11:I11" si="1">SUM(C12:C31)</f>
        <v>1847</v>
      </c>
      <c r="D11" s="60">
        <f t="shared" si="1"/>
        <v>3242</v>
      </c>
      <c r="E11" s="79">
        <f t="shared" si="1"/>
        <v>78</v>
      </c>
      <c r="F11" s="22">
        <f t="shared" si="1"/>
        <v>114</v>
      </c>
      <c r="G11" s="50">
        <f t="shared" si="1"/>
        <v>4775</v>
      </c>
      <c r="H11" s="69">
        <f t="shared" si="1"/>
        <v>5476</v>
      </c>
      <c r="I11" s="68">
        <f t="shared" si="1"/>
        <v>308</v>
      </c>
      <c r="J11" s="17" t="s">
        <v>25</v>
      </c>
    </row>
    <row r="12" spans="1:14" s="18" customFormat="1" ht="15.75" x14ac:dyDescent="0.25">
      <c r="A12" s="23" t="s">
        <v>26</v>
      </c>
      <c r="B12" s="84">
        <v>20756</v>
      </c>
      <c r="C12" s="56">
        <v>98</v>
      </c>
      <c r="D12" s="65">
        <v>157</v>
      </c>
      <c r="E12" s="66">
        <v>2</v>
      </c>
      <c r="F12" s="54">
        <v>2</v>
      </c>
      <c r="G12" s="28">
        <v>528</v>
      </c>
      <c r="H12" s="70">
        <v>409</v>
      </c>
      <c r="I12" s="63">
        <v>24</v>
      </c>
      <c r="J12" s="24" t="s">
        <v>27</v>
      </c>
    </row>
    <row r="13" spans="1:14" s="18" customFormat="1" ht="15.75" x14ac:dyDescent="0.25">
      <c r="A13" s="23" t="s">
        <v>28</v>
      </c>
      <c r="B13" s="84">
        <v>24686</v>
      </c>
      <c r="C13" s="56">
        <v>198</v>
      </c>
      <c r="D13" s="65">
        <v>351</v>
      </c>
      <c r="E13" s="66">
        <v>4</v>
      </c>
      <c r="F13" s="54">
        <v>4</v>
      </c>
      <c r="G13" s="28">
        <v>236</v>
      </c>
      <c r="H13" s="70">
        <v>532</v>
      </c>
      <c r="I13" s="59">
        <v>48</v>
      </c>
      <c r="J13" s="24" t="s">
        <v>29</v>
      </c>
    </row>
    <row r="14" spans="1:14" s="18" customFormat="1" ht="15.75" x14ac:dyDescent="0.25">
      <c r="A14" s="23" t="s">
        <v>30</v>
      </c>
      <c r="B14" s="84">
        <v>16439</v>
      </c>
      <c r="C14" s="56">
        <v>76</v>
      </c>
      <c r="D14" s="65">
        <v>122</v>
      </c>
      <c r="E14" s="66">
        <v>0</v>
      </c>
      <c r="F14" s="54">
        <v>0</v>
      </c>
      <c r="G14" s="28">
        <v>293</v>
      </c>
      <c r="H14" s="70">
        <v>389</v>
      </c>
      <c r="I14" s="59">
        <v>6</v>
      </c>
      <c r="J14" s="24" t="s">
        <v>31</v>
      </c>
    </row>
    <row r="15" spans="1:14" s="18" customFormat="1" ht="15.75" x14ac:dyDescent="0.25">
      <c r="A15" s="23" t="s">
        <v>32</v>
      </c>
      <c r="B15" s="84">
        <v>15103</v>
      </c>
      <c r="C15" s="56">
        <v>119</v>
      </c>
      <c r="D15" s="65">
        <v>220</v>
      </c>
      <c r="E15" s="66">
        <v>6</v>
      </c>
      <c r="F15" s="54">
        <v>9</v>
      </c>
      <c r="G15" s="28">
        <v>173</v>
      </c>
      <c r="H15" s="70">
        <v>207</v>
      </c>
      <c r="I15" s="63">
        <v>2</v>
      </c>
      <c r="J15" s="24" t="s">
        <v>33</v>
      </c>
    </row>
    <row r="16" spans="1:14" s="18" customFormat="1" ht="15.75" x14ac:dyDescent="0.25">
      <c r="A16" s="23" t="s">
        <v>34</v>
      </c>
      <c r="B16" s="84">
        <v>21478</v>
      </c>
      <c r="C16" s="56">
        <v>126</v>
      </c>
      <c r="D16" s="65">
        <v>235</v>
      </c>
      <c r="E16" s="66">
        <v>7</v>
      </c>
      <c r="F16" s="54">
        <v>9</v>
      </c>
      <c r="G16" s="28">
        <v>358</v>
      </c>
      <c r="H16" s="70">
        <v>369</v>
      </c>
      <c r="I16" s="59">
        <v>8</v>
      </c>
      <c r="J16" s="24" t="s">
        <v>35</v>
      </c>
    </row>
    <row r="17" spans="1:255" s="18" customFormat="1" ht="15.75" x14ac:dyDescent="0.25">
      <c r="A17" s="23" t="s">
        <v>36</v>
      </c>
      <c r="B17" s="84">
        <v>13407</v>
      </c>
      <c r="C17" s="56">
        <v>64</v>
      </c>
      <c r="D17" s="65">
        <v>104</v>
      </c>
      <c r="E17" s="66">
        <v>2</v>
      </c>
      <c r="F17" s="54">
        <v>2</v>
      </c>
      <c r="G17" s="28">
        <v>229</v>
      </c>
      <c r="H17" s="70">
        <v>219</v>
      </c>
      <c r="I17" s="59">
        <v>12</v>
      </c>
      <c r="J17" s="24" t="s">
        <v>37</v>
      </c>
    </row>
    <row r="18" spans="1:255" s="18" customFormat="1" ht="18.75" customHeight="1" x14ac:dyDescent="0.25">
      <c r="A18" s="23" t="s">
        <v>38</v>
      </c>
      <c r="B18" s="84">
        <v>12008</v>
      </c>
      <c r="C18" s="56">
        <v>99</v>
      </c>
      <c r="D18" s="65">
        <v>139</v>
      </c>
      <c r="E18" s="66">
        <v>4</v>
      </c>
      <c r="F18" s="54">
        <v>4</v>
      </c>
      <c r="G18" s="28">
        <v>158</v>
      </c>
      <c r="H18" s="70">
        <v>234</v>
      </c>
      <c r="I18" s="63">
        <v>12</v>
      </c>
      <c r="J18" s="24" t="s">
        <v>39</v>
      </c>
    </row>
    <row r="19" spans="1:255" s="18" customFormat="1" ht="18.75" customHeight="1" x14ac:dyDescent="0.25">
      <c r="A19" s="23" t="s">
        <v>40</v>
      </c>
      <c r="B19" s="84">
        <v>12411</v>
      </c>
      <c r="C19" s="56">
        <v>84</v>
      </c>
      <c r="D19" s="65">
        <v>142</v>
      </c>
      <c r="E19" s="66">
        <v>1</v>
      </c>
      <c r="F19" s="54">
        <v>1</v>
      </c>
      <c r="G19" s="28">
        <v>274</v>
      </c>
      <c r="H19" s="70">
        <f>258+2</f>
        <v>260</v>
      </c>
      <c r="I19" s="59">
        <v>0</v>
      </c>
      <c r="J19" s="24" t="s">
        <v>41</v>
      </c>
    </row>
    <row r="20" spans="1:255" s="18" customFormat="1" ht="18.75" customHeight="1" x14ac:dyDescent="0.25">
      <c r="A20" s="23" t="s">
        <v>42</v>
      </c>
      <c r="B20" s="84">
        <v>7651</v>
      </c>
      <c r="C20" s="56">
        <v>41</v>
      </c>
      <c r="D20" s="65">
        <v>71</v>
      </c>
      <c r="E20" s="66">
        <v>1</v>
      </c>
      <c r="F20" s="54">
        <v>1</v>
      </c>
      <c r="G20" s="28">
        <v>193</v>
      </c>
      <c r="H20" s="70">
        <v>141</v>
      </c>
      <c r="I20" s="55">
        <v>6</v>
      </c>
      <c r="J20" s="24" t="s">
        <v>43</v>
      </c>
      <c r="Y20" s="25"/>
      <c r="Z20" s="26"/>
    </row>
    <row r="21" spans="1:255" s="18" customFormat="1" ht="15.75" x14ac:dyDescent="0.25">
      <c r="A21" s="23" t="s">
        <v>44</v>
      </c>
      <c r="B21" s="84">
        <v>10660</v>
      </c>
      <c r="C21" s="56">
        <v>31</v>
      </c>
      <c r="D21" s="65">
        <v>49</v>
      </c>
      <c r="E21" s="66">
        <v>4</v>
      </c>
      <c r="F21" s="54">
        <v>5</v>
      </c>
      <c r="G21" s="28">
        <v>179</v>
      </c>
      <c r="H21" s="70">
        <v>244</v>
      </c>
      <c r="I21" s="63">
        <v>0</v>
      </c>
      <c r="J21" s="24" t="s">
        <v>45</v>
      </c>
      <c r="Y21" s="25"/>
      <c r="Z21" s="26"/>
    </row>
    <row r="22" spans="1:255" s="18" customFormat="1" ht="18.75" customHeight="1" x14ac:dyDescent="0.25">
      <c r="A22" s="23" t="s">
        <v>46</v>
      </c>
      <c r="B22" s="84">
        <v>2282</v>
      </c>
      <c r="C22" s="56">
        <v>5</v>
      </c>
      <c r="D22" s="65">
        <v>10</v>
      </c>
      <c r="E22" s="66">
        <v>0</v>
      </c>
      <c r="F22" s="54">
        <v>0</v>
      </c>
      <c r="G22" s="28">
        <v>46</v>
      </c>
      <c r="H22" s="70">
        <v>29</v>
      </c>
      <c r="I22" s="64">
        <v>0</v>
      </c>
      <c r="J22" s="24" t="s">
        <v>47</v>
      </c>
      <c r="Y22" s="27"/>
      <c r="Z22" s="14"/>
    </row>
    <row r="23" spans="1:255" s="18" customFormat="1" ht="13.15" customHeight="1" x14ac:dyDescent="0.25">
      <c r="A23" s="23" t="s">
        <v>48</v>
      </c>
      <c r="B23" s="84">
        <v>6836</v>
      </c>
      <c r="C23" s="56">
        <v>26</v>
      </c>
      <c r="D23" s="65">
        <v>45</v>
      </c>
      <c r="E23" s="66">
        <v>1</v>
      </c>
      <c r="F23" s="54">
        <v>1</v>
      </c>
      <c r="G23" s="28">
        <v>100</v>
      </c>
      <c r="H23" s="70">
        <v>109</v>
      </c>
      <c r="I23" s="55">
        <v>5</v>
      </c>
      <c r="J23" s="24" t="s">
        <v>49</v>
      </c>
      <c r="Y23" s="23"/>
      <c r="Z23" s="28"/>
    </row>
    <row r="24" spans="1:255" s="18" customFormat="1" ht="18.75" customHeight="1" x14ac:dyDescent="0.25">
      <c r="A24" s="23" t="s">
        <v>50</v>
      </c>
      <c r="B24" s="84">
        <v>5776</v>
      </c>
      <c r="C24" s="56">
        <v>23</v>
      </c>
      <c r="D24" s="65">
        <v>38</v>
      </c>
      <c r="E24" s="66">
        <v>2</v>
      </c>
      <c r="F24" s="54">
        <v>7</v>
      </c>
      <c r="G24" s="28">
        <v>197</v>
      </c>
      <c r="H24" s="70">
        <v>120</v>
      </c>
      <c r="I24" s="63">
        <v>6</v>
      </c>
      <c r="J24" s="24" t="s">
        <v>51</v>
      </c>
      <c r="Y24" s="23"/>
      <c r="Z24" s="28"/>
    </row>
    <row r="25" spans="1:255" s="18" customFormat="1" ht="18.75" customHeight="1" x14ac:dyDescent="0.25">
      <c r="A25" s="23" t="s">
        <v>52</v>
      </c>
      <c r="B25" s="84">
        <v>7231</v>
      </c>
      <c r="C25" s="56">
        <v>43</v>
      </c>
      <c r="D25" s="65">
        <v>65</v>
      </c>
      <c r="E25" s="66">
        <v>1</v>
      </c>
      <c r="F25" s="54">
        <v>1</v>
      </c>
      <c r="G25" s="54">
        <v>277</v>
      </c>
      <c r="H25" s="62">
        <v>127</v>
      </c>
      <c r="I25" s="64">
        <v>7</v>
      </c>
      <c r="J25" s="24" t="s">
        <v>53</v>
      </c>
      <c r="Y25" s="23"/>
      <c r="Z25" s="28"/>
    </row>
    <row r="26" spans="1:255" s="18" customFormat="1" ht="18.75" customHeight="1" x14ac:dyDescent="0.25">
      <c r="A26" s="23" t="s">
        <v>54</v>
      </c>
      <c r="B26" s="84">
        <v>14896</v>
      </c>
      <c r="C26" s="56">
        <v>74</v>
      </c>
      <c r="D26" s="65">
        <v>133</v>
      </c>
      <c r="E26" s="66">
        <v>5</v>
      </c>
      <c r="F26" s="54">
        <v>6</v>
      </c>
      <c r="G26" s="54">
        <v>182</v>
      </c>
      <c r="H26" s="62">
        <v>215</v>
      </c>
      <c r="I26" s="55">
        <v>17</v>
      </c>
      <c r="J26" s="24" t="s">
        <v>55</v>
      </c>
      <c r="Y26" s="23"/>
      <c r="Z26" s="28"/>
    </row>
    <row r="27" spans="1:255" s="30" customFormat="1" ht="18.75" customHeight="1" x14ac:dyDescent="0.25">
      <c r="A27" s="29" t="s">
        <v>56</v>
      </c>
      <c r="B27" s="84">
        <v>16872</v>
      </c>
      <c r="C27" s="56">
        <v>172</v>
      </c>
      <c r="D27" s="65">
        <v>299</v>
      </c>
      <c r="E27" s="66">
        <v>5</v>
      </c>
      <c r="F27" s="54">
        <v>12</v>
      </c>
      <c r="G27" s="54">
        <v>180</v>
      </c>
      <c r="H27" s="62">
        <v>297</v>
      </c>
      <c r="I27" s="63">
        <v>0</v>
      </c>
      <c r="J27" s="24" t="s">
        <v>57</v>
      </c>
      <c r="Y27" s="23"/>
      <c r="Z27" s="28"/>
    </row>
    <row r="28" spans="1:255" s="31" customFormat="1" ht="18.75" customHeight="1" x14ac:dyDescent="0.25">
      <c r="A28" s="23" t="s">
        <v>58</v>
      </c>
      <c r="B28" s="84">
        <v>13407</v>
      </c>
      <c r="C28" s="56">
        <v>75</v>
      </c>
      <c r="D28" s="65">
        <v>148</v>
      </c>
      <c r="E28" s="66">
        <v>7</v>
      </c>
      <c r="F28" s="54">
        <v>7</v>
      </c>
      <c r="G28" s="54">
        <v>309</v>
      </c>
      <c r="H28" s="62">
        <v>317</v>
      </c>
      <c r="I28" s="64">
        <v>100</v>
      </c>
      <c r="J28" s="24" t="s">
        <v>59</v>
      </c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23"/>
      <c r="Z28" s="28"/>
      <c r="AA28" s="18"/>
      <c r="AB28" s="18"/>
      <c r="AC28" s="18"/>
      <c r="AD28" s="18"/>
      <c r="AE28" s="18"/>
      <c r="AF28" s="18"/>
      <c r="AG28" s="18"/>
      <c r="AH28" s="18"/>
      <c r="AI28" s="18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18"/>
      <c r="AU28" s="18"/>
      <c r="AV28" s="18"/>
      <c r="AW28" s="18"/>
      <c r="AX28" s="18"/>
      <c r="AY28" s="18"/>
      <c r="AZ28" s="18"/>
      <c r="BA28" s="18"/>
      <c r="BB28" s="18"/>
      <c r="BC28" s="18"/>
      <c r="BD28" s="18"/>
      <c r="BE28" s="18"/>
      <c r="BF28" s="18"/>
      <c r="BG28" s="18"/>
      <c r="BH28" s="18"/>
      <c r="BI28" s="18"/>
      <c r="BJ28" s="18"/>
      <c r="BK28" s="18"/>
      <c r="BL28" s="18"/>
      <c r="BM28" s="18"/>
      <c r="BN28" s="18"/>
      <c r="BO28" s="18"/>
      <c r="BP28" s="18"/>
      <c r="BQ28" s="18"/>
      <c r="BR28" s="18"/>
      <c r="BS28" s="18"/>
      <c r="BT28" s="18"/>
      <c r="BU28" s="18"/>
      <c r="BV28" s="18"/>
      <c r="BW28" s="18"/>
      <c r="BX28" s="18"/>
      <c r="BY28" s="18"/>
      <c r="BZ28" s="18"/>
      <c r="CA28" s="18"/>
      <c r="CB28" s="18"/>
      <c r="CC28" s="18"/>
      <c r="CD28" s="18"/>
      <c r="CE28" s="18"/>
      <c r="CF28" s="18"/>
      <c r="CG28" s="18"/>
      <c r="CH28" s="18"/>
      <c r="CI28" s="18"/>
      <c r="CJ28" s="18"/>
      <c r="CK28" s="18"/>
      <c r="CL28" s="18"/>
      <c r="CM28" s="18"/>
      <c r="CN28" s="18"/>
      <c r="CO28" s="18"/>
      <c r="CP28" s="18"/>
      <c r="CQ28" s="18"/>
      <c r="CR28" s="18"/>
      <c r="CS28" s="18"/>
      <c r="CT28" s="18"/>
      <c r="CU28" s="18"/>
      <c r="CV28" s="18"/>
      <c r="CW28" s="18"/>
      <c r="CX28" s="18"/>
      <c r="CY28" s="18"/>
      <c r="CZ28" s="18"/>
      <c r="DA28" s="18"/>
      <c r="DB28" s="18"/>
      <c r="DC28" s="18"/>
      <c r="DD28" s="18"/>
      <c r="DE28" s="18"/>
      <c r="DF28" s="18"/>
      <c r="DG28" s="18"/>
      <c r="DH28" s="18"/>
      <c r="DI28" s="18"/>
      <c r="DJ28" s="18"/>
      <c r="DK28" s="18"/>
      <c r="DL28" s="18"/>
      <c r="DM28" s="18"/>
      <c r="DN28" s="18"/>
      <c r="DO28" s="18"/>
      <c r="DP28" s="18"/>
      <c r="DQ28" s="18"/>
      <c r="DR28" s="18"/>
      <c r="DS28" s="18"/>
      <c r="DT28" s="18"/>
      <c r="DU28" s="18"/>
      <c r="DV28" s="18"/>
      <c r="DW28" s="18"/>
      <c r="DX28" s="18"/>
      <c r="DY28" s="18"/>
      <c r="DZ28" s="18"/>
      <c r="EA28" s="18"/>
      <c r="EB28" s="18"/>
      <c r="EC28" s="18"/>
      <c r="ED28" s="18"/>
      <c r="EE28" s="18"/>
      <c r="EF28" s="18"/>
      <c r="EG28" s="18"/>
      <c r="EH28" s="18"/>
      <c r="EI28" s="18"/>
      <c r="EJ28" s="18"/>
      <c r="EK28" s="18"/>
      <c r="EL28" s="18"/>
      <c r="EM28" s="18"/>
      <c r="EN28" s="18"/>
      <c r="EO28" s="18"/>
      <c r="EP28" s="18"/>
      <c r="EQ28" s="18"/>
      <c r="ER28" s="18"/>
      <c r="ES28" s="18"/>
      <c r="ET28" s="18"/>
      <c r="EU28" s="18"/>
      <c r="EV28" s="18"/>
      <c r="EW28" s="18"/>
      <c r="EX28" s="18"/>
      <c r="EY28" s="18"/>
      <c r="EZ28" s="18"/>
      <c r="FA28" s="18"/>
      <c r="FB28" s="18"/>
      <c r="FC28" s="18"/>
      <c r="FD28" s="18"/>
      <c r="FE28" s="18"/>
      <c r="FF28" s="18"/>
      <c r="FG28" s="18"/>
      <c r="FH28" s="18"/>
      <c r="FI28" s="18"/>
      <c r="FJ28" s="18"/>
      <c r="FK28" s="18"/>
      <c r="FL28" s="18"/>
      <c r="FM28" s="18"/>
      <c r="FN28" s="18"/>
      <c r="FO28" s="18"/>
      <c r="FP28" s="18"/>
      <c r="FQ28" s="18"/>
      <c r="FR28" s="18"/>
      <c r="FS28" s="18"/>
      <c r="FT28" s="18"/>
      <c r="FU28" s="18"/>
      <c r="FV28" s="18"/>
      <c r="FW28" s="18"/>
      <c r="FX28" s="18"/>
      <c r="FY28" s="18"/>
      <c r="FZ28" s="18"/>
      <c r="GA28" s="18"/>
      <c r="GB28" s="18"/>
      <c r="GC28" s="18"/>
      <c r="GD28" s="18"/>
      <c r="GE28" s="18"/>
      <c r="GF28" s="18"/>
      <c r="GG28" s="18"/>
      <c r="GH28" s="18"/>
      <c r="GI28" s="18"/>
      <c r="GJ28" s="18"/>
      <c r="GK28" s="18"/>
      <c r="GL28" s="18"/>
      <c r="GM28" s="18"/>
      <c r="GN28" s="18"/>
      <c r="GO28" s="18"/>
      <c r="GP28" s="18"/>
      <c r="GQ28" s="18"/>
      <c r="GR28" s="18"/>
      <c r="GS28" s="18"/>
      <c r="GT28" s="18"/>
      <c r="GU28" s="18"/>
      <c r="GV28" s="18"/>
      <c r="GW28" s="18"/>
      <c r="GX28" s="18"/>
      <c r="GY28" s="18"/>
      <c r="GZ28" s="18"/>
      <c r="HA28" s="18"/>
      <c r="HB28" s="18"/>
      <c r="HC28" s="18"/>
      <c r="HD28" s="18"/>
      <c r="HE28" s="18"/>
      <c r="HF28" s="18"/>
      <c r="HG28" s="18"/>
      <c r="HH28" s="18"/>
      <c r="HI28" s="18"/>
      <c r="HJ28" s="18"/>
      <c r="HK28" s="18"/>
      <c r="HL28" s="18"/>
      <c r="HM28" s="18"/>
      <c r="HN28" s="18"/>
      <c r="HO28" s="18"/>
      <c r="HP28" s="18"/>
      <c r="HQ28" s="18"/>
      <c r="HR28" s="18"/>
      <c r="HS28" s="18"/>
      <c r="HT28" s="18"/>
      <c r="HU28" s="18"/>
      <c r="HV28" s="18"/>
      <c r="HW28" s="18"/>
      <c r="HX28" s="18"/>
      <c r="HY28" s="18"/>
      <c r="HZ28" s="18"/>
      <c r="IA28" s="18"/>
      <c r="IB28" s="18"/>
      <c r="IC28" s="18"/>
      <c r="ID28" s="18"/>
      <c r="IE28" s="18"/>
      <c r="IF28" s="18"/>
      <c r="IG28" s="18"/>
      <c r="IH28" s="18"/>
      <c r="II28" s="18"/>
      <c r="IJ28" s="18"/>
      <c r="IK28" s="18"/>
      <c r="IL28" s="18"/>
      <c r="IM28" s="18"/>
      <c r="IN28" s="18"/>
      <c r="IO28" s="18"/>
      <c r="IP28" s="18"/>
      <c r="IQ28" s="18"/>
      <c r="IR28" s="18"/>
      <c r="IS28" s="18"/>
      <c r="IT28" s="18"/>
      <c r="IU28" s="18"/>
    </row>
    <row r="29" spans="1:255" s="32" customFormat="1" ht="18.75" customHeight="1" x14ac:dyDescent="0.25">
      <c r="A29" s="29" t="s">
        <v>60</v>
      </c>
      <c r="B29" s="84">
        <v>19336</v>
      </c>
      <c r="C29" s="56">
        <v>148</v>
      </c>
      <c r="D29" s="65">
        <v>292</v>
      </c>
      <c r="E29" s="66">
        <v>9</v>
      </c>
      <c r="F29" s="28">
        <v>17</v>
      </c>
      <c r="G29" s="65">
        <v>453</v>
      </c>
      <c r="H29" s="62">
        <v>411</v>
      </c>
      <c r="I29" s="55">
        <v>23</v>
      </c>
      <c r="J29" s="24" t="s">
        <v>61</v>
      </c>
      <c r="Y29" s="23"/>
      <c r="Z29" s="28"/>
    </row>
    <row r="30" spans="1:255" s="31" customFormat="1" ht="18.75" customHeight="1" x14ac:dyDescent="0.25">
      <c r="A30" s="29" t="s">
        <v>62</v>
      </c>
      <c r="B30" s="84">
        <v>11150</v>
      </c>
      <c r="C30" s="56">
        <v>121</v>
      </c>
      <c r="D30" s="65">
        <v>226</v>
      </c>
      <c r="E30" s="66">
        <v>11</v>
      </c>
      <c r="F30" s="58">
        <v>18</v>
      </c>
      <c r="G30" s="65">
        <v>108</v>
      </c>
      <c r="H30" s="62">
        <v>289</v>
      </c>
      <c r="I30" s="63">
        <v>29</v>
      </c>
      <c r="J30" s="24" t="s">
        <v>63</v>
      </c>
      <c r="Y30" s="23"/>
      <c r="Z30" s="28"/>
    </row>
    <row r="31" spans="1:255" s="31" customFormat="1" ht="18.75" customHeight="1" x14ac:dyDescent="0.25">
      <c r="A31" s="33" t="s">
        <v>64</v>
      </c>
      <c r="B31" s="85">
        <v>29637</v>
      </c>
      <c r="C31" s="57">
        <v>224</v>
      </c>
      <c r="D31" s="80">
        <v>396</v>
      </c>
      <c r="E31" s="67">
        <v>6</v>
      </c>
      <c r="F31" s="81">
        <v>8</v>
      </c>
      <c r="G31" s="80">
        <v>302</v>
      </c>
      <c r="H31" s="91">
        <v>558</v>
      </c>
      <c r="I31" s="71">
        <v>3</v>
      </c>
      <c r="J31" s="82" t="s">
        <v>65</v>
      </c>
      <c r="Y31" s="23"/>
      <c r="Z31" s="28"/>
    </row>
    <row r="32" spans="1:255" s="35" customFormat="1" ht="17.25" customHeight="1" x14ac:dyDescent="0.2">
      <c r="A32" s="34" t="s">
        <v>66</v>
      </c>
      <c r="H32" s="36"/>
      <c r="I32" s="36"/>
      <c r="Y32" s="23"/>
      <c r="Z32" s="28"/>
    </row>
    <row r="33" spans="1:220" s="35" customFormat="1" ht="17.25" x14ac:dyDescent="0.2">
      <c r="A33" s="37" t="s">
        <v>67</v>
      </c>
      <c r="F33" s="35" t="s">
        <v>68</v>
      </c>
      <c r="H33" s="36"/>
      <c r="I33" s="36"/>
      <c r="J33" s="38" t="s">
        <v>69</v>
      </c>
      <c r="Y33" s="23"/>
      <c r="Z33" s="28"/>
      <c r="HL33" s="35">
        <f>31200/71</f>
        <v>439.43661971830988</v>
      </c>
    </row>
    <row r="34" spans="1:220" x14ac:dyDescent="0.25">
      <c r="Y34" s="23"/>
      <c r="Z34" s="28"/>
    </row>
    <row r="35" spans="1:220" x14ac:dyDescent="0.25">
      <c r="A35" s="40"/>
      <c r="B35" s="40"/>
      <c r="C35" s="40"/>
      <c r="D35" s="40"/>
      <c r="E35" s="40"/>
      <c r="F35" s="40"/>
      <c r="G35" s="40"/>
      <c r="H35" s="41"/>
      <c r="I35" s="41"/>
      <c r="J35" s="40"/>
      <c r="Y35" s="23"/>
      <c r="Z35" s="28"/>
    </row>
    <row r="36" spans="1:220" ht="17.25" x14ac:dyDescent="0.25">
      <c r="A36" s="37"/>
      <c r="B36" s="40"/>
      <c r="C36" s="40"/>
      <c r="D36" s="40"/>
      <c r="E36" s="40"/>
      <c r="F36" s="40"/>
      <c r="G36" s="40"/>
      <c r="H36" s="41"/>
      <c r="I36" s="41"/>
      <c r="J36" s="42"/>
      <c r="Y36" s="23"/>
      <c r="Z36" s="28"/>
    </row>
    <row r="37" spans="1:220" s="43" customFormat="1" ht="21" x14ac:dyDescent="0.2">
      <c r="A37" s="97"/>
      <c r="B37" s="97"/>
      <c r="C37" s="97"/>
      <c r="D37" s="97"/>
      <c r="E37" s="97"/>
      <c r="F37" s="97"/>
      <c r="G37" s="97"/>
      <c r="H37" s="97"/>
      <c r="I37" s="97"/>
      <c r="J37" s="97"/>
    </row>
    <row r="38" spans="1:220" s="44" customFormat="1" x14ac:dyDescent="0.2">
      <c r="A38" s="98"/>
      <c r="B38" s="98"/>
      <c r="C38" s="98"/>
      <c r="D38" s="98"/>
      <c r="E38" s="98"/>
      <c r="F38" s="98"/>
      <c r="G38" s="98"/>
      <c r="H38" s="98"/>
      <c r="I38" s="98"/>
      <c r="J38" s="98"/>
    </row>
    <row r="39" spans="1:220" s="1" customFormat="1" x14ac:dyDescent="0.25">
      <c r="A39" s="87"/>
      <c r="B39" s="87"/>
      <c r="C39" s="87"/>
      <c r="D39" s="87"/>
      <c r="E39" s="87"/>
      <c r="F39" s="87"/>
      <c r="G39" s="87"/>
      <c r="H39" s="87"/>
      <c r="I39" s="87"/>
      <c r="J39" s="87"/>
      <c r="V39" s="25"/>
      <c r="W39" s="76">
        <v>2014</v>
      </c>
      <c r="X39" s="18">
        <v>2015</v>
      </c>
      <c r="Y39" s="76">
        <v>2016</v>
      </c>
      <c r="Z39" s="18">
        <v>2017</v>
      </c>
      <c r="AA39" s="76">
        <v>2018</v>
      </c>
    </row>
    <row r="40" spans="1:220" s="3" customFormat="1" ht="18" x14ac:dyDescent="0.45">
      <c r="A40" s="99"/>
      <c r="B40" s="100"/>
      <c r="C40" s="100"/>
      <c r="D40" s="100"/>
      <c r="E40" s="101"/>
      <c r="F40" s="101"/>
      <c r="G40" s="102"/>
      <c r="H40" s="103"/>
      <c r="I40" s="88"/>
      <c r="J40" s="104"/>
      <c r="V40" s="27" t="s">
        <v>22</v>
      </c>
      <c r="W40" s="14">
        <v>49489</v>
      </c>
      <c r="X40" s="18">
        <v>52253</v>
      </c>
      <c r="Y40" s="18">
        <v>54165</v>
      </c>
      <c r="Z40" s="18">
        <v>55899</v>
      </c>
      <c r="AA40" s="77">
        <f>B10</f>
        <v>57975</v>
      </c>
    </row>
    <row r="41" spans="1:220" s="3" customFormat="1" ht="18" x14ac:dyDescent="0.45">
      <c r="A41" s="99"/>
      <c r="B41" s="100"/>
      <c r="C41" s="100"/>
      <c r="D41" s="100"/>
      <c r="E41" s="101"/>
      <c r="F41" s="101"/>
      <c r="G41" s="102"/>
      <c r="H41" s="103"/>
      <c r="I41" s="88"/>
      <c r="J41" s="104"/>
      <c r="V41" s="23" t="s">
        <v>74</v>
      </c>
      <c r="W41" s="28">
        <v>18659</v>
      </c>
      <c r="X41" s="18">
        <v>19492</v>
      </c>
      <c r="Y41" s="18">
        <v>19947</v>
      </c>
      <c r="Z41" s="18">
        <v>20287</v>
      </c>
      <c r="AA41" s="77">
        <f>B12</f>
        <v>20756</v>
      </c>
    </row>
    <row r="42" spans="1:220" s="4" customFormat="1" ht="18" x14ac:dyDescent="0.45">
      <c r="A42" s="99"/>
      <c r="B42" s="86"/>
      <c r="C42" s="92"/>
      <c r="D42" s="92"/>
      <c r="E42" s="92"/>
      <c r="F42" s="92"/>
      <c r="G42" s="96"/>
      <c r="H42" s="92"/>
      <c r="I42" s="86"/>
      <c r="J42" s="104"/>
      <c r="V42" s="23" t="s">
        <v>75</v>
      </c>
      <c r="W42" s="28">
        <v>22166</v>
      </c>
      <c r="X42" s="18">
        <v>23057</v>
      </c>
      <c r="Y42" s="18">
        <v>23604</v>
      </c>
      <c r="Z42" s="18">
        <v>24162</v>
      </c>
      <c r="AA42" s="77">
        <f t="shared" ref="AA42:AA60" si="2">B13</f>
        <v>24686</v>
      </c>
    </row>
    <row r="43" spans="1:220" s="7" customFormat="1" ht="18" x14ac:dyDescent="0.45">
      <c r="A43" s="99"/>
      <c r="B43" s="89"/>
      <c r="C43" s="89"/>
      <c r="D43" s="89"/>
      <c r="E43" s="89"/>
      <c r="F43" s="89"/>
      <c r="G43" s="96"/>
      <c r="H43" s="92"/>
      <c r="I43" s="86"/>
      <c r="J43" s="104"/>
      <c r="V43" s="23" t="s">
        <v>76</v>
      </c>
      <c r="W43" s="28">
        <v>14630</v>
      </c>
      <c r="X43" s="18">
        <v>15572</v>
      </c>
      <c r="Y43" s="18">
        <v>15761</v>
      </c>
      <c r="Z43" s="18">
        <v>16192</v>
      </c>
      <c r="AA43" s="77">
        <f t="shared" si="2"/>
        <v>16439</v>
      </c>
    </row>
    <row r="44" spans="1:220" s="12" customFormat="1" ht="18.75" x14ac:dyDescent="0.45">
      <c r="A44" s="99"/>
      <c r="B44" s="45"/>
      <c r="C44" s="45"/>
      <c r="D44" s="45"/>
      <c r="E44" s="45"/>
      <c r="F44" s="45"/>
      <c r="G44" s="46"/>
      <c r="H44" s="47"/>
      <c r="I44" s="47"/>
      <c r="J44" s="104"/>
      <c r="V44" s="23" t="s">
        <v>77</v>
      </c>
      <c r="W44" s="28">
        <v>13115</v>
      </c>
      <c r="X44" s="18">
        <v>14154</v>
      </c>
      <c r="Y44" s="18">
        <v>14498</v>
      </c>
      <c r="Z44" s="18">
        <v>14727</v>
      </c>
      <c r="AA44" s="77">
        <f t="shared" si="2"/>
        <v>15103</v>
      </c>
    </row>
    <row r="45" spans="1:220" s="18" customFormat="1" ht="18.75" x14ac:dyDescent="0.45">
      <c r="A45" s="13"/>
      <c r="B45" s="14"/>
      <c r="C45" s="16"/>
      <c r="D45" s="16"/>
      <c r="E45" s="16"/>
      <c r="F45" s="16"/>
      <c r="G45" s="16"/>
      <c r="H45" s="48"/>
      <c r="I45" s="48"/>
      <c r="J45" s="17"/>
      <c r="V45" s="23" t="s">
        <v>78</v>
      </c>
      <c r="W45" s="28">
        <v>19277</v>
      </c>
      <c r="X45" s="30">
        <v>20204</v>
      </c>
      <c r="Y45" s="18">
        <v>20619</v>
      </c>
      <c r="Z45" s="18">
        <v>21032</v>
      </c>
      <c r="AA45" s="77">
        <f t="shared" si="2"/>
        <v>21478</v>
      </c>
    </row>
    <row r="46" spans="1:220" s="20" customFormat="1" ht="18.75" x14ac:dyDescent="0.45">
      <c r="A46" s="49"/>
      <c r="B46" s="14"/>
      <c r="C46" s="50"/>
      <c r="D46" s="50"/>
      <c r="E46" s="50"/>
      <c r="F46" s="50"/>
      <c r="G46" s="50"/>
      <c r="H46" s="48"/>
      <c r="I46" s="48"/>
      <c r="J46" s="17"/>
      <c r="V46" s="23" t="s">
        <v>79</v>
      </c>
      <c r="W46" s="28">
        <v>11950</v>
      </c>
      <c r="X46" s="18">
        <v>12455</v>
      </c>
      <c r="Y46" s="18">
        <v>12845</v>
      </c>
      <c r="Z46" s="18">
        <v>13091</v>
      </c>
      <c r="AA46" s="77">
        <f t="shared" si="2"/>
        <v>13407</v>
      </c>
    </row>
    <row r="47" spans="1:220" s="18" customFormat="1" ht="18.75" x14ac:dyDescent="0.45">
      <c r="A47" s="13"/>
      <c r="B47" s="16"/>
      <c r="C47" s="16"/>
      <c r="D47" s="16"/>
      <c r="E47" s="16"/>
      <c r="F47" s="16"/>
      <c r="G47" s="50"/>
      <c r="H47" s="48"/>
      <c r="I47" s="48"/>
      <c r="J47" s="17"/>
      <c r="V47" s="23" t="s">
        <v>80</v>
      </c>
      <c r="W47" s="28">
        <v>11097</v>
      </c>
      <c r="X47" s="32">
        <v>11405</v>
      </c>
      <c r="Y47" s="18">
        <v>11665</v>
      </c>
      <c r="Z47" s="18">
        <v>11895</v>
      </c>
      <c r="AA47" s="77">
        <f t="shared" si="2"/>
        <v>12008</v>
      </c>
    </row>
    <row r="48" spans="1:220" s="18" customFormat="1" ht="18" x14ac:dyDescent="0.45">
      <c r="A48" s="29"/>
      <c r="B48" s="28"/>
      <c r="C48" s="51"/>
      <c r="D48" s="51"/>
      <c r="E48" s="51"/>
      <c r="F48" s="51"/>
      <c r="G48" s="52"/>
      <c r="H48" s="53"/>
      <c r="I48" s="53"/>
      <c r="J48" s="24"/>
      <c r="V48" s="23" t="s">
        <v>81</v>
      </c>
      <c r="W48" s="28">
        <v>10660</v>
      </c>
      <c r="X48" s="31">
        <v>11458</v>
      </c>
      <c r="Y48" s="18">
        <v>11711</v>
      </c>
      <c r="Z48" s="18">
        <v>12010</v>
      </c>
      <c r="AA48" s="77">
        <f t="shared" si="2"/>
        <v>12411</v>
      </c>
    </row>
    <row r="49" spans="1:27" s="18" customFormat="1" ht="18" x14ac:dyDescent="0.45">
      <c r="A49" s="29"/>
      <c r="B49" s="28"/>
      <c r="C49" s="52"/>
      <c r="D49" s="52"/>
      <c r="E49" s="52"/>
      <c r="F49" s="52"/>
      <c r="G49" s="52"/>
      <c r="H49" s="53"/>
      <c r="I49" s="53"/>
      <c r="J49" s="24"/>
      <c r="V49" s="23" t="s">
        <v>82</v>
      </c>
      <c r="W49" s="28">
        <v>6537</v>
      </c>
      <c r="X49" s="31">
        <v>6994</v>
      </c>
      <c r="Y49" s="18">
        <v>7282</v>
      </c>
      <c r="Z49" s="18">
        <v>7248</v>
      </c>
      <c r="AA49" s="77">
        <f t="shared" si="2"/>
        <v>7651</v>
      </c>
    </row>
    <row r="50" spans="1:27" s="18" customFormat="1" ht="18" x14ac:dyDescent="0.45">
      <c r="A50" s="29"/>
      <c r="B50" s="28"/>
      <c r="C50" s="52"/>
      <c r="D50" s="52"/>
      <c r="E50" s="52"/>
      <c r="F50" s="52"/>
      <c r="G50" s="52"/>
      <c r="H50" s="53"/>
      <c r="I50" s="53"/>
      <c r="J50" s="24"/>
      <c r="V50" s="23" t="s">
        <v>83</v>
      </c>
      <c r="W50" s="28">
        <v>9570</v>
      </c>
      <c r="X50" s="35">
        <v>9969</v>
      </c>
      <c r="Y50" s="18">
        <v>10228</v>
      </c>
      <c r="Z50" s="18">
        <v>9714</v>
      </c>
      <c r="AA50" s="77">
        <f t="shared" si="2"/>
        <v>10660</v>
      </c>
    </row>
    <row r="51" spans="1:27" s="18" customFormat="1" ht="18" x14ac:dyDescent="0.45">
      <c r="A51" s="29"/>
      <c r="B51" s="28"/>
      <c r="C51" s="52"/>
      <c r="D51" s="52"/>
      <c r="E51" s="52"/>
      <c r="F51" s="52"/>
      <c r="G51" s="52"/>
      <c r="H51" s="53"/>
      <c r="I51" s="53"/>
      <c r="J51" s="24"/>
      <c r="V51" s="23" t="s">
        <v>84</v>
      </c>
      <c r="W51" s="28">
        <v>1770</v>
      </c>
      <c r="X51" s="35">
        <v>2099</v>
      </c>
      <c r="Y51" s="18">
        <v>2200</v>
      </c>
      <c r="Z51" s="18">
        <v>2241</v>
      </c>
      <c r="AA51" s="77">
        <f t="shared" si="2"/>
        <v>2282</v>
      </c>
    </row>
    <row r="52" spans="1:27" s="18" customFormat="1" ht="18" x14ac:dyDescent="0.45">
      <c r="A52" s="29"/>
      <c r="B52" s="28"/>
      <c r="C52" s="52"/>
      <c r="D52" s="52"/>
      <c r="E52" s="52"/>
      <c r="F52" s="52"/>
      <c r="G52" s="52"/>
      <c r="H52" s="53"/>
      <c r="I52" s="53"/>
      <c r="J52" s="24"/>
      <c r="V52" s="23" t="s">
        <v>85</v>
      </c>
      <c r="W52" s="28">
        <v>6247</v>
      </c>
      <c r="X52" s="25">
        <v>6489</v>
      </c>
      <c r="Y52" s="18">
        <v>6580</v>
      </c>
      <c r="Z52" s="18">
        <v>6504</v>
      </c>
      <c r="AA52" s="77">
        <f t="shared" si="2"/>
        <v>6836</v>
      </c>
    </row>
    <row r="53" spans="1:27" s="18" customFormat="1" ht="18" x14ac:dyDescent="0.45">
      <c r="A53" s="29"/>
      <c r="B53" s="28"/>
      <c r="C53" s="52"/>
      <c r="D53" s="52"/>
      <c r="E53" s="52"/>
      <c r="F53" s="52"/>
      <c r="G53" s="52"/>
      <c r="H53" s="53"/>
      <c r="I53" s="53"/>
      <c r="J53" s="24"/>
      <c r="V53" s="23" t="s">
        <v>86</v>
      </c>
      <c r="W53" s="28">
        <v>5176</v>
      </c>
      <c r="X53" s="25">
        <v>5469</v>
      </c>
      <c r="Y53" s="18">
        <v>5556</v>
      </c>
      <c r="Z53" s="18">
        <v>5477</v>
      </c>
      <c r="AA53" s="77">
        <f t="shared" si="2"/>
        <v>5776</v>
      </c>
    </row>
    <row r="54" spans="1:27" s="18" customFormat="1" ht="18" x14ac:dyDescent="0.45">
      <c r="A54" s="29"/>
      <c r="B54" s="28"/>
      <c r="C54" s="52"/>
      <c r="D54" s="52"/>
      <c r="E54" s="52"/>
      <c r="F54" s="52"/>
      <c r="G54" s="52"/>
      <c r="H54" s="53"/>
      <c r="I54" s="53"/>
      <c r="J54" s="24"/>
      <c r="V54" s="23" t="s">
        <v>87</v>
      </c>
      <c r="W54" s="28">
        <v>6497</v>
      </c>
      <c r="X54" s="25">
        <v>6822</v>
      </c>
      <c r="Y54" s="18">
        <v>6940</v>
      </c>
      <c r="Z54" s="18">
        <v>7084</v>
      </c>
      <c r="AA54" s="77">
        <f t="shared" si="2"/>
        <v>7231</v>
      </c>
    </row>
    <row r="55" spans="1:27" ht="18" x14ac:dyDescent="0.45">
      <c r="V55" s="23" t="s">
        <v>88</v>
      </c>
      <c r="W55" s="28">
        <v>13508</v>
      </c>
      <c r="X55" s="25">
        <v>14052</v>
      </c>
      <c r="Y55" s="18">
        <v>14312</v>
      </c>
      <c r="Z55" s="18">
        <v>14715</v>
      </c>
      <c r="AA55" s="77">
        <f t="shared" si="2"/>
        <v>14896</v>
      </c>
    </row>
    <row r="56" spans="1:27" ht="18" x14ac:dyDescent="0.45">
      <c r="V56" s="29" t="s">
        <v>89</v>
      </c>
      <c r="W56" s="28">
        <v>14567</v>
      </c>
      <c r="X56" s="25">
        <v>15563</v>
      </c>
      <c r="Y56" s="18">
        <v>16091</v>
      </c>
      <c r="Z56" s="18">
        <v>16392</v>
      </c>
      <c r="AA56" s="77">
        <f t="shared" si="2"/>
        <v>16872</v>
      </c>
    </row>
    <row r="57" spans="1:27" ht="18" x14ac:dyDescent="0.45">
      <c r="V57" s="23" t="s">
        <v>90</v>
      </c>
      <c r="W57" s="28">
        <v>12163</v>
      </c>
      <c r="X57" s="25">
        <v>12673</v>
      </c>
      <c r="Y57" s="18">
        <v>12885</v>
      </c>
      <c r="Z57" s="18">
        <v>13119</v>
      </c>
      <c r="AA57" s="77">
        <f t="shared" si="2"/>
        <v>13407</v>
      </c>
    </row>
    <row r="58" spans="1:27" ht="18" x14ac:dyDescent="0.45">
      <c r="V58" s="23" t="s">
        <v>91</v>
      </c>
      <c r="W58" s="28">
        <v>17520</v>
      </c>
      <c r="X58" s="25">
        <v>18440</v>
      </c>
      <c r="Y58" s="18">
        <v>18775</v>
      </c>
      <c r="Z58" s="18">
        <v>19003</v>
      </c>
      <c r="AA58" s="77">
        <f t="shared" si="2"/>
        <v>19336</v>
      </c>
    </row>
    <row r="59" spans="1:27" ht="18" x14ac:dyDescent="0.45">
      <c r="V59" s="23" t="s">
        <v>92</v>
      </c>
      <c r="W59" s="28">
        <v>10203</v>
      </c>
      <c r="X59" s="25">
        <v>10673</v>
      </c>
      <c r="Y59" s="18">
        <v>10892</v>
      </c>
      <c r="Z59" s="18">
        <v>10481</v>
      </c>
      <c r="AA59" s="77">
        <f t="shared" si="2"/>
        <v>11150</v>
      </c>
    </row>
    <row r="60" spans="1:27" ht="18" x14ac:dyDescent="0.45">
      <c r="V60" s="33" t="s">
        <v>93</v>
      </c>
      <c r="W60" s="28">
        <v>27303</v>
      </c>
      <c r="X60" s="25">
        <v>28252</v>
      </c>
      <c r="Y60" s="18">
        <v>28831</v>
      </c>
      <c r="Z60" s="18">
        <v>29131</v>
      </c>
      <c r="AA60" s="77">
        <f t="shared" si="2"/>
        <v>29637</v>
      </c>
    </row>
    <row r="70" spans="8:9" x14ac:dyDescent="0.25">
      <c r="H70" s="25"/>
      <c r="I70" s="25"/>
    </row>
  </sheetData>
  <mergeCells count="29">
    <mergeCell ref="A1:J1"/>
    <mergeCell ref="A2:J2"/>
    <mergeCell ref="A4:A8"/>
    <mergeCell ref="B4:B5"/>
    <mergeCell ref="C4:D5"/>
    <mergeCell ref="E4:F5"/>
    <mergeCell ref="G4:G5"/>
    <mergeCell ref="H4:H5"/>
    <mergeCell ref="I4:I5"/>
    <mergeCell ref="J4:J8"/>
    <mergeCell ref="C6:D6"/>
    <mergeCell ref="E6:F6"/>
    <mergeCell ref="H6:H7"/>
    <mergeCell ref="I6:I7"/>
    <mergeCell ref="N6:N7"/>
    <mergeCell ref="G6:G8"/>
    <mergeCell ref="E42:F42"/>
    <mergeCell ref="G42:G43"/>
    <mergeCell ref="H42:H43"/>
    <mergeCell ref="A37:J37"/>
    <mergeCell ref="A38:J38"/>
    <mergeCell ref="A40:A44"/>
    <mergeCell ref="B40:B41"/>
    <mergeCell ref="C40:D41"/>
    <mergeCell ref="E40:F41"/>
    <mergeCell ref="G40:G41"/>
    <mergeCell ref="H40:H41"/>
    <mergeCell ref="J40:J44"/>
    <mergeCell ref="C42:D42"/>
  </mergeCells>
  <pageMargins left="0.7" right="0.7" top="0.75" bottom="0.75" header="0.3" footer="0.3"/>
  <pageSetup paperSize="9" scale="49" orientation="portrait" horizontalDpi="4294967295" verticalDpi="4294967295" r:id="rId1"/>
  <ignoredErrors>
    <ignoredError sqref="C11:G11 I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18.16</vt:lpstr>
      <vt:lpstr>'18.16'!Print_Area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2019-02-21T06:53:34Z</cp:lastPrinted>
  <dcterms:created xsi:type="dcterms:W3CDTF">2019-02-21T04:10:17Z</dcterms:created>
  <dcterms:modified xsi:type="dcterms:W3CDTF">2019-09-01T05:55:35Z</dcterms:modified>
</cp:coreProperties>
</file>