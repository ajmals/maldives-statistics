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12" sheetId="12" r:id="rId1"/>
  </sheets>
  <definedNames>
    <definedName name="_xlnm.Print_Area" localSheetId="0">'18.12'!$A$1:$J$72</definedName>
  </definedNames>
  <calcPr calcId="162913"/>
</workbook>
</file>

<file path=xl/calcChain.xml><?xml version="1.0" encoding="utf-8"?>
<calcChain xmlns="http://schemas.openxmlformats.org/spreadsheetml/2006/main">
  <c r="G31" i="12" l="1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F6" i="12"/>
  <c r="AF37" i="12" s="1"/>
  <c r="E6" i="12"/>
  <c r="AE37" i="12" s="1"/>
  <c r="D6" i="12"/>
  <c r="AD37" i="12" s="1"/>
  <c r="C6" i="12"/>
  <c r="AC37" i="12" s="1"/>
  <c r="B6" i="12"/>
  <c r="AB37" i="12" s="1"/>
  <c r="AG37" i="12" l="1"/>
  <c r="G6" i="12"/>
  <c r="H10" i="12" s="1"/>
  <c r="H15" i="12"/>
  <c r="H25" i="12"/>
  <c r="H22" i="12"/>
  <c r="H27" i="12" l="1"/>
  <c r="H29" i="12"/>
  <c r="H12" i="12"/>
  <c r="H31" i="12"/>
  <c r="H21" i="12"/>
  <c r="H16" i="12"/>
  <c r="H14" i="12"/>
  <c r="H20" i="12"/>
  <c r="H7" i="12"/>
  <c r="H24" i="12"/>
  <c r="H17" i="12"/>
  <c r="H18" i="12"/>
  <c r="H11" i="12"/>
  <c r="H13" i="12"/>
  <c r="H19" i="12"/>
  <c r="H28" i="12"/>
  <c r="H30" i="12"/>
  <c r="H23" i="12"/>
  <c r="H9" i="12"/>
  <c r="H8" i="12"/>
  <c r="H26" i="12"/>
  <c r="H6" i="12" l="1"/>
</calcChain>
</file>

<file path=xl/sharedStrings.xml><?xml version="1.0" encoding="utf-8"?>
<sst xmlns="http://schemas.openxmlformats.org/spreadsheetml/2006/main" count="98" uniqueCount="66">
  <si>
    <t>ޖުމްލަ</t>
  </si>
  <si>
    <t>% share</t>
  </si>
  <si>
    <t>Total</t>
  </si>
  <si>
    <t>Source: Maldives Pension Administration</t>
  </si>
  <si>
    <t>މަޢުލޫމާތު ދެއްވި ފަރާތް: މޯލްޑިވްސް ޕެންޝަން އެޑްމިނިސްޓްރޭޝަން</t>
  </si>
  <si>
    <t>ތާވަލު  18.12 : އެކި ދާއިރާތަކުން ރިޓާޔަމަންޓް ޕެންޝަން ސްކީމްގައި ރެޖިސްޓްރީކޮށްފައިވާ ތަންތަނުގެ ޢަދަދު، ތަނުގެމުވައްޒަފުންގެ ގިންތިން ، 2018</t>
  </si>
  <si>
    <t>TABLE   18.12:   ESTABLISHMENTS REGISTERED IN THE RETIREMENT PENSION SCHEME, BY EMPLOYMENT SIZE, END 2018</t>
  </si>
  <si>
    <t>Sector</t>
  </si>
  <si>
    <t xml:space="preserve">Establishments by Employment size 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</si>
  <si>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</si>
  <si>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</si>
  <si>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</si>
  <si>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</si>
  <si>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</si>
  <si>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</si>
  <si>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</si>
  <si>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</si>
  <si>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</si>
  <si>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</si>
  <si>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</si>
  <si>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</si>
  <si>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</si>
  <si>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</si>
  <si>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</si>
  <si>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</si>
  <si>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</si>
  <si>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</si>
  <si>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</si>
  <si>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</si>
  <si>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</si>
  <si>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</si>
  <si>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</si>
  <si>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</si>
  <si>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</si>
  <si>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</si>
  <si>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</si>
  <si>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</si>
  <si>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</si>
  <si>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</si>
  <si>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</si>
  <si>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</si>
  <si>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</si>
  <si>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</si>
  <si>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</si>
  <si>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</si>
  <si>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</si>
  <si>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</si>
  <si>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</si>
  <si>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</si>
  <si>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</si>
  <si>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</si>
  <si>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</si>
  <si>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</si>
  <si>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</si>
  <si>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</si>
  <si>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</si>
  <si>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</si>
  <si>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</si>
  <si>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</si>
  <si>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</si>
  <si>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</si>
  <si>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</si>
  <si>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</si>
  <si>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</si>
  <si>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</si>
  <si>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establishments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</si>
</sst>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sz val="9"/>
      <color rgb="FF000000"/>
      <name val="Faruma"/>
    </font>
    <font>
      <i/>
      <sz val="10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4">
    <xf numFmtId="0" fontId="0" fillId="0" borderId="0"/>
    <xf numFmtId="164" fontId="9" fillId="0" borderId="13"/>
    <xf numFmtId="0" fontId="1" fillId="0" borderId="13"/>
    <xf numFmtId="0" fontId="1" fillId="0" borderId="13"/>
  </cellStyleXfs>
  <cellXfs count="44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vertical="center"/>
    </xf>
    <xf numFmtId="0" fontId="2" fillId="2" borderId="2" xfId="0" applyFont="1" applyFill="1" applyBorder="1" applyAlignment="1"/>
    <xf numFmtId="0" fontId="6" fillId="2" borderId="2" xfId="0" applyFont="1" applyFill="1" applyBorder="1" applyAlignment="1"/>
    <xf numFmtId="0" fontId="6" fillId="2" borderId="11" xfId="0" applyFont="1" applyFill="1" applyBorder="1" applyAlignment="1"/>
    <xf numFmtId="0" fontId="8" fillId="2" borderId="2" xfId="0" applyFont="1" applyFill="1" applyBorder="1" applyAlignment="1">
      <alignment vertical="center"/>
    </xf>
    <xf numFmtId="43" fontId="0" fillId="2" borderId="2" xfId="0" applyNumberFormat="1" applyFont="1" applyFill="1" applyBorder="1"/>
    <xf numFmtId="0" fontId="0" fillId="2" borderId="2" xfId="0" applyFont="1" applyFill="1" applyBorder="1" applyAlignment="1">
      <alignment horizontal="left" vertical="center"/>
    </xf>
    <xf numFmtId="3" fontId="0" fillId="2" borderId="2" xfId="0" applyNumberFormat="1" applyFont="1" applyFill="1" applyBorder="1" applyAlignment="1">
      <alignment horizontal="right" vertical="center"/>
    </xf>
    <xf numFmtId="3" fontId="0" fillId="4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0" fontId="0" fillId="2" borderId="11" xfId="0" applyFont="1" applyFill="1" applyBorder="1" applyAlignment="1">
      <alignment horizontal="left" vertical="center"/>
    </xf>
    <xf numFmtId="3" fontId="0" fillId="2" borderId="11" xfId="0" applyNumberFormat="1" applyFont="1" applyFill="1" applyBorder="1" applyAlignment="1">
      <alignment horizontal="right" vertical="center"/>
    </xf>
    <xf numFmtId="3" fontId="0" fillId="4" borderId="11" xfId="0" applyNumberFormat="1" applyFont="1" applyFill="1" applyBorder="1" applyAlignment="1">
      <alignment horizontal="right" vertical="center"/>
    </xf>
    <xf numFmtId="0" fontId="5" fillId="2" borderId="2" xfId="0" applyFont="1" applyFill="1" applyBorder="1"/>
    <xf numFmtId="0" fontId="7" fillId="2" borderId="2" xfId="0" applyFont="1" applyFill="1" applyBorder="1" applyAlignment="1"/>
    <xf numFmtId="49" fontId="4" fillId="2" borderId="11" xfId="0" applyNumberFormat="1" applyFont="1" applyFill="1" applyBorder="1" applyAlignment="1">
      <alignment horizontal="right" vertical="center"/>
    </xf>
    <xf numFmtId="49" fontId="4" fillId="2" borderId="12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3" fontId="4" fillId="2" borderId="6" xfId="0" applyNumberFormat="1" applyFont="1" applyFill="1" applyBorder="1" applyAlignment="1">
      <alignment horizontal="right" vertical="center"/>
    </xf>
    <xf numFmtId="165" fontId="0" fillId="2" borderId="2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left" vertical="center" wrapText="1"/>
    </xf>
    <xf numFmtId="3" fontId="0" fillId="4" borderId="2" xfId="0" applyNumberFormat="1" applyFont="1" applyFill="1" applyBorder="1" applyAlignment="1">
      <alignment horizontal="right" vertical="center" wrapText="1"/>
    </xf>
    <xf numFmtId="3" fontId="0" fillId="2" borderId="2" xfId="0" applyNumberFormat="1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0" fillId="2" borderId="2" xfId="0" applyFont="1" applyFill="1" applyBorder="1" applyAlignment="1">
      <alignment horizontal="right" vertical="center" wrapText="1"/>
    </xf>
    <xf numFmtId="165" fontId="0" fillId="2" borderId="11" xfId="0" applyNumberFormat="1" applyFont="1" applyFill="1" applyBorder="1" applyAlignment="1">
      <alignment horizontal="right" vertical="center"/>
    </xf>
    <xf numFmtId="49" fontId="0" fillId="2" borderId="2" xfId="0" applyNumberFormat="1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10" xfId="0" applyFont="1" applyFill="1" applyBorder="1"/>
    <xf numFmtId="0" fontId="3" fillId="3" borderId="9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3" xfId="0" applyFont="1" applyFill="1" applyBorder="1"/>
    <xf numFmtId="0" fontId="4" fillId="2" borderId="5" xfId="0" applyFont="1" applyFill="1" applyBorder="1" applyAlignment="1">
      <alignment horizontal="right" vertic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0658299869640127E-2"/>
          <c:y val="0.20986978900364728"/>
          <c:w val="0.8946918719048268"/>
          <c:h val="0.6742134505914033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7F60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'18.12'!$B$5:$F$5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'18.12'!$B$6:$F$6</c:f>
              <c:numCache>
                <c:formatCode>#,##0</c:formatCode>
                <c:ptCount val="5"/>
                <c:pt idx="0">
                  <c:v>1109</c:v>
                </c:pt>
                <c:pt idx="1">
                  <c:v>582</c:v>
                </c:pt>
                <c:pt idx="2">
                  <c:v>149</c:v>
                </c:pt>
                <c:pt idx="3">
                  <c:v>160</c:v>
                </c:pt>
                <c:pt idx="4">
                  <c:v>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39F-463B-98AB-F6A16E878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246552"/>
        <c:axId val="1271410728"/>
      </c:barChart>
      <c:catAx>
        <c:axId val="2121246552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sz="1100" b="0" i="0"/>
            </a:pPr>
            <a:endParaRPr lang="en-US"/>
          </a:p>
        </c:txPr>
        <c:crossAx val="1271410728"/>
        <c:crosses val="autoZero"/>
        <c:auto val="1"/>
        <c:lblAlgn val="ctr"/>
        <c:lblOffset val="100"/>
        <c:noMultiLvlLbl val="1"/>
      </c:catAx>
      <c:valAx>
        <c:axId val="1271410728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layout/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1" i="0"/>
            </a:pPr>
            <a:endParaRPr lang="en-US"/>
          </a:p>
        </c:txPr>
        <c:crossAx val="2121246552"/>
        <c:crosses val="autoZero"/>
        <c:crossBetween val="between"/>
      </c:valAx>
      <c:spPr>
        <a:solidFill>
          <a:srgbClr val="FFFFEB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7641755685889061E-2"/>
          <c:y val="0.16683763153459027"/>
          <c:w val="0.89597471098005765"/>
          <c:h val="0.33379686484143611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7F6000"/>
            </a:solidFill>
          </c:spPr>
          <c:invertIfNegative val="1"/>
          <c:cat>
            <c:strRef>
              <c:f>'18.12'!$AL$32:$AL$56</c:f>
              <c:strCache>
                <c:ptCount val="25"/>
                <c:pt idx="0">
                  <c:v>Government agencies, public institutions</c:v>
                </c:pt>
                <c:pt idx="1">
                  <c:v>Hotels, Tourist resorts, travel agencies</c:v>
                </c:pt>
                <c:pt idx="2">
                  <c:v>Others</c:v>
                </c:pt>
                <c:pt idx="3">
                  <c:v>Shops, small and medium commercial retail</c:v>
                </c:pt>
                <c:pt idx="4">
                  <c:v>Construction</c:v>
                </c:pt>
                <c:pt idx="5">
                  <c:v>Wholesale retailers</c:v>
                </c:pt>
                <c:pt idx="6">
                  <c:v>Financial sector, Banks, Investment Funds, Insurance companies Investment</c:v>
                </c:pt>
                <c:pt idx="7">
                  <c:v>Schools and educational centers</c:v>
                </c:pt>
                <c:pt idx="8">
                  <c:v>Sea Transportation, shipping</c:v>
                </c:pt>
                <c:pt idx="9">
                  <c:v>Health Sector, hospitals, clinics</c:v>
                </c:pt>
                <c:pt idx="10">
                  <c:v>Restaurants</c:v>
                </c:pt>
                <c:pt idx="11">
                  <c:v>Telecommunications</c:v>
                </c:pt>
                <c:pt idx="12">
                  <c:v>Air Transportation</c:v>
                </c:pt>
                <c:pt idx="13">
                  <c:v>Electricity</c:v>
                </c:pt>
                <c:pt idx="14">
                  <c:v>Fishing Industry</c:v>
                </c:pt>
                <c:pt idx="15">
                  <c:v>Coffee, tea shops</c:v>
                </c:pt>
                <c:pt idx="16">
                  <c:v>Agriculture</c:v>
                </c:pt>
                <c:pt idx="17">
                  <c:v>Land Transportation, taxis, buses etc</c:v>
                </c:pt>
                <c:pt idx="18">
                  <c:v>Pharmacies</c:v>
                </c:pt>
                <c:pt idx="19">
                  <c:v>Garbage, and Recycling industry</c:v>
                </c:pt>
                <c:pt idx="20">
                  <c:v>Water processing</c:v>
                </c:pt>
                <c:pt idx="21">
                  <c:v>Clothing industry</c:v>
                </c:pt>
                <c:pt idx="22">
                  <c:v>Housing Development </c:v>
                </c:pt>
                <c:pt idx="23">
                  <c:v>Sales of Motor Vehicles</c:v>
                </c:pt>
                <c:pt idx="24">
                  <c:v>Mining Industry</c:v>
                </c:pt>
              </c:strCache>
            </c:strRef>
          </c:cat>
          <c:val>
            <c:numRef>
              <c:f>'18.12'!$AM$32:$AM$56</c:f>
              <c:numCache>
                <c:formatCode>General</c:formatCode>
                <c:ptCount val="25"/>
                <c:pt idx="0">
                  <c:v>418</c:v>
                </c:pt>
                <c:pt idx="1">
                  <c:v>359</c:v>
                </c:pt>
                <c:pt idx="2">
                  <c:v>312</c:v>
                </c:pt>
                <c:pt idx="3">
                  <c:v>302</c:v>
                </c:pt>
                <c:pt idx="4">
                  <c:v>148</c:v>
                </c:pt>
                <c:pt idx="5">
                  <c:v>128</c:v>
                </c:pt>
                <c:pt idx="6">
                  <c:v>74</c:v>
                </c:pt>
                <c:pt idx="7">
                  <c:v>61</c:v>
                </c:pt>
                <c:pt idx="8">
                  <c:v>55</c:v>
                </c:pt>
                <c:pt idx="9">
                  <c:v>46</c:v>
                </c:pt>
                <c:pt idx="10">
                  <c:v>26</c:v>
                </c:pt>
                <c:pt idx="11">
                  <c:v>23</c:v>
                </c:pt>
                <c:pt idx="12">
                  <c:v>17</c:v>
                </c:pt>
                <c:pt idx="13">
                  <c:v>16</c:v>
                </c:pt>
                <c:pt idx="14">
                  <c:v>16</c:v>
                </c:pt>
                <c:pt idx="15">
                  <c:v>14</c:v>
                </c:pt>
                <c:pt idx="16">
                  <c:v>12</c:v>
                </c:pt>
                <c:pt idx="17">
                  <c:v>6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036-43A9-8FA1-0903EFAFC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0210103"/>
        <c:axId val="1653321816"/>
      </c:barChart>
      <c:catAx>
        <c:axId val="1360210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900" b="0" i="0"/>
            </a:pPr>
            <a:endParaRPr lang="en-US"/>
          </a:p>
        </c:txPr>
        <c:crossAx val="1653321816"/>
        <c:crosses val="autoZero"/>
        <c:auto val="1"/>
        <c:lblAlgn val="ctr"/>
        <c:lblOffset val="100"/>
        <c:noMultiLvlLbl val="1"/>
      </c:catAx>
      <c:valAx>
        <c:axId val="1653321816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/>
            </a:pPr>
            <a:endParaRPr lang="en-US"/>
          </a:p>
        </c:txPr>
        <c:crossAx val="1360210103"/>
        <c:crosses val="autoZero"/>
        <c:crossBetween val="between"/>
      </c:valAx>
      <c:spPr>
        <a:solidFill>
          <a:srgbClr val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1381125</xdr:colOff>
      <xdr:row>33</xdr:row>
      <xdr:rowOff>76200</xdr:rowOff>
    </xdr:from>
    <xdr:ext cx="7153275" cy="2933700"/>
    <xdr:graphicFrame macro=""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1400175</xdr:colOff>
      <xdr:row>49</xdr:row>
      <xdr:rowOff>19050</xdr:rowOff>
    </xdr:from>
    <xdr:ext cx="6943725" cy="4152900"/>
    <xdr:graphicFrame macro=""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1364034</xdr:colOff>
      <xdr:row>54</xdr:row>
      <xdr:rowOff>48248</xdr:rowOff>
    </xdr:from>
    <xdr:ext cx="190500" cy="828675"/>
    <xdr:sp macro="" textlink="">
      <xdr:nvSpPr>
        <xdr:cNvPr id="23" name="Shape 23"/>
        <xdr:cNvSpPr txBox="1"/>
      </xdr:nvSpPr>
      <xdr:spPr>
        <a:xfrm rot="-5400000">
          <a:off x="1044946" y="13154871"/>
          <a:ext cx="8286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numbers</a:t>
          </a:r>
          <a:endParaRPr sz="1400"/>
        </a:p>
      </xdr:txBody>
    </xdr:sp>
    <xdr:clientData fLocksWithSheet="0"/>
  </xdr:oneCellAnchor>
  <xdr:oneCellAnchor>
    <xdr:from>
      <xdr:col>0</xdr:col>
      <xdr:colOff>2209800</xdr:colOff>
      <xdr:row>34</xdr:row>
      <xdr:rowOff>28575</xdr:rowOff>
    </xdr:from>
    <xdr:ext cx="5829300" cy="495300"/>
    <xdr:sp macro="" textlink="">
      <xdr:nvSpPr>
        <xdr:cNvPr id="24" name="Shape 24"/>
        <xdr:cNvSpPr txBox="1"/>
      </xdr:nvSpPr>
      <xdr:spPr>
        <a:xfrm>
          <a:off x="2209800" y="8801100"/>
          <a:ext cx="582930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18.15: Establishments registered in the retirement pension scheme, by employment size, 2018 </a:t>
          </a:r>
          <a:endParaRPr sz="11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1695450</xdr:colOff>
      <xdr:row>50</xdr:row>
      <xdr:rowOff>66675</xdr:rowOff>
    </xdr:from>
    <xdr:ext cx="6353175" cy="390525"/>
    <xdr:sp macro="" textlink="">
      <xdr:nvSpPr>
        <xdr:cNvPr id="27" name="Shape 27"/>
        <xdr:cNvSpPr txBox="1"/>
      </xdr:nvSpPr>
      <xdr:spPr>
        <a:xfrm>
          <a:off x="1695450" y="12039600"/>
          <a:ext cx="635317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18.16: Number of registered establishments in the retirement pension scheme  by sector,</a:t>
          </a:r>
          <a:r>
            <a:rPr lang="en-US" sz="1100" b="1" i="0" baseline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</a:t>
          </a: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2018</a:t>
          </a:r>
          <a:endParaRPr sz="11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72"/>
  <sheetViews>
    <sheetView tabSelected="1" zoomScaleNormal="100" zoomScaleSheetLayoutView="35" workbookViewId="0">
      <selection activeCell="S10" sqref="S10"/>
    </sheetView>
  </sheetViews>
  <sheetFormatPr defaultColWidth="14.42578125" defaultRowHeight="15" customHeight="1" x14ac:dyDescent="0.25"/>
  <cols>
    <col min="1" max="1" width="40.85546875" style="2" customWidth="1"/>
    <col min="2" max="2" width="8" style="2" customWidth="1"/>
    <col min="3" max="3" width="8.5703125" style="2" customWidth="1"/>
    <col min="4" max="4" width="10.140625" style="2" customWidth="1"/>
    <col min="5" max="5" width="9.7109375" style="2" customWidth="1"/>
    <col min="6" max="8" width="8.85546875" style="2" customWidth="1"/>
    <col min="9" max="9" width="41.7109375" style="2" customWidth="1"/>
    <col min="10" max="10" width="4.140625" style="2" customWidth="1"/>
    <col min="11" max="24" width="8" style="2" customWidth="1"/>
    <col min="25" max="25" width="40.28515625" style="2" customWidth="1"/>
    <col min="26" max="34" width="8" style="2" customWidth="1"/>
    <col min="35" max="16384" width="14.42578125" style="2"/>
  </cols>
  <sheetData>
    <row r="1" spans="1:34" ht="17.25" customHeight="1" x14ac:dyDescent="0.25">
      <c r="A1" s="40" t="s">
        <v>5</v>
      </c>
      <c r="B1" s="32"/>
      <c r="C1" s="32"/>
      <c r="D1" s="32"/>
      <c r="E1" s="32"/>
      <c r="F1" s="32"/>
      <c r="G1" s="32"/>
      <c r="H1" s="32"/>
      <c r="I1" s="3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1"/>
      <c r="AE1" s="1"/>
      <c r="AF1" s="1"/>
      <c r="AG1" s="1"/>
      <c r="AH1" s="1"/>
    </row>
    <row r="2" spans="1:34" ht="17.25" customHeight="1" x14ac:dyDescent="0.25">
      <c r="A2" s="41" t="s">
        <v>6</v>
      </c>
      <c r="B2" s="32"/>
      <c r="C2" s="32"/>
      <c r="D2" s="32"/>
      <c r="E2" s="32"/>
      <c r="F2" s="32"/>
      <c r="G2" s="32"/>
      <c r="H2" s="32"/>
      <c r="I2" s="3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3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3.5" customHeight="1" x14ac:dyDescent="0.25">
      <c r="A4" s="39" t="s">
        <v>7</v>
      </c>
      <c r="B4" s="34" t="s">
        <v>8</v>
      </c>
      <c r="C4" s="35"/>
      <c r="D4" s="35"/>
      <c r="E4" s="35"/>
      <c r="F4" s="35"/>
      <c r="G4" s="38"/>
      <c r="H4" s="43" t="s">
        <v>1</v>
      </c>
      <c r="I4" s="36" t="s">
        <v>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"/>
      <c r="AE4" s="1"/>
      <c r="AF4" s="1"/>
      <c r="AG4" s="1"/>
      <c r="AH4" s="1"/>
    </row>
    <row r="5" spans="1:34" ht="15" customHeight="1" x14ac:dyDescent="0.25">
      <c r="A5" s="42"/>
      <c r="B5" s="20" t="s">
        <v>10</v>
      </c>
      <c r="C5" s="20" t="s">
        <v>11</v>
      </c>
      <c r="D5" s="20" t="s">
        <v>12</v>
      </c>
      <c r="E5" s="20" t="s">
        <v>13</v>
      </c>
      <c r="F5" s="21" t="s">
        <v>14</v>
      </c>
      <c r="G5" s="20" t="s">
        <v>2</v>
      </c>
      <c r="H5" s="37"/>
      <c r="I5" s="3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1"/>
      <c r="AE5" s="1"/>
      <c r="AF5" s="1"/>
      <c r="AG5" s="1"/>
      <c r="AH5" s="1"/>
    </row>
    <row r="6" spans="1:34" ht="21" customHeight="1" x14ac:dyDescent="0.55000000000000004">
      <c r="A6" s="22" t="s">
        <v>2</v>
      </c>
      <c r="B6" s="23">
        <f t="shared" ref="B6:H6" si="0">SUM(B7:B31)</f>
        <v>1109</v>
      </c>
      <c r="C6" s="23">
        <f t="shared" si="0"/>
        <v>582</v>
      </c>
      <c r="D6" s="23">
        <f t="shared" si="0"/>
        <v>149</v>
      </c>
      <c r="E6" s="23">
        <f t="shared" si="0"/>
        <v>160</v>
      </c>
      <c r="F6" s="23">
        <f t="shared" si="0"/>
        <v>55</v>
      </c>
      <c r="G6" s="23">
        <f>SUM(G7:G31)</f>
        <v>2055</v>
      </c>
      <c r="H6" s="23">
        <f t="shared" si="0"/>
        <v>100</v>
      </c>
      <c r="I6" s="6" t="s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"/>
      <c r="AE6" s="1"/>
      <c r="AF6" s="1"/>
      <c r="AG6" s="1"/>
      <c r="AH6" s="1"/>
    </row>
    <row r="7" spans="1:34" ht="21" customHeight="1" x14ac:dyDescent="0.55000000000000004">
      <c r="A7" s="11" t="s">
        <v>15</v>
      </c>
      <c r="B7" s="13">
        <v>8</v>
      </c>
      <c r="C7" s="13">
        <v>2</v>
      </c>
      <c r="D7" s="13">
        <v>2</v>
      </c>
      <c r="E7" s="13">
        <v>0</v>
      </c>
      <c r="F7" s="13">
        <v>0</v>
      </c>
      <c r="G7" s="12">
        <f t="shared" ref="G7:G31" si="1">B7+C7+D7+E7+F7</f>
        <v>12</v>
      </c>
      <c r="H7" s="24">
        <f t="shared" ref="H7:H31" si="2">G7/$G$6*100</f>
        <v>0.58394160583941601</v>
      </c>
      <c r="I7" s="7" t="s">
        <v>16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1" customHeight="1" x14ac:dyDescent="0.55000000000000004">
      <c r="A8" s="11" t="s">
        <v>17</v>
      </c>
      <c r="B8" s="13">
        <v>9</v>
      </c>
      <c r="C8" s="13">
        <v>3</v>
      </c>
      <c r="D8" s="13">
        <v>1</v>
      </c>
      <c r="E8" s="13">
        <v>2</v>
      </c>
      <c r="F8" s="13">
        <v>2</v>
      </c>
      <c r="G8" s="12">
        <f t="shared" si="1"/>
        <v>17</v>
      </c>
      <c r="H8" s="24">
        <f t="shared" si="2"/>
        <v>0.82725060827250596</v>
      </c>
      <c r="I8" s="7" t="s">
        <v>18</v>
      </c>
      <c r="J8" s="1"/>
      <c r="K8" s="1"/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1" customHeight="1" x14ac:dyDescent="0.55000000000000004">
      <c r="A9" s="11" t="s">
        <v>19</v>
      </c>
      <c r="B9" s="13">
        <v>2</v>
      </c>
      <c r="C9" s="13">
        <v>1</v>
      </c>
      <c r="D9" s="13">
        <v>0</v>
      </c>
      <c r="E9" s="13">
        <v>0</v>
      </c>
      <c r="F9" s="13">
        <v>0</v>
      </c>
      <c r="G9" s="12">
        <f t="shared" si="1"/>
        <v>3</v>
      </c>
      <c r="H9" s="24">
        <f t="shared" si="2"/>
        <v>0.145985401459854</v>
      </c>
      <c r="I9" s="7" t="s">
        <v>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1" customHeight="1" x14ac:dyDescent="0.55000000000000004">
      <c r="A10" s="11" t="s">
        <v>21</v>
      </c>
      <c r="B10" s="13">
        <v>14</v>
      </c>
      <c r="C10" s="13">
        <v>0</v>
      </c>
      <c r="D10" s="13">
        <v>0</v>
      </c>
      <c r="E10" s="13">
        <v>0</v>
      </c>
      <c r="F10" s="13">
        <v>0</v>
      </c>
      <c r="G10" s="12">
        <f t="shared" si="1"/>
        <v>14</v>
      </c>
      <c r="H10" s="24">
        <f t="shared" si="2"/>
        <v>0.68126520681265212</v>
      </c>
      <c r="I10" s="7" t="s">
        <v>22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1" customHeight="1" x14ac:dyDescent="0.55000000000000004">
      <c r="A11" s="11" t="s">
        <v>23</v>
      </c>
      <c r="B11" s="13">
        <v>105</v>
      </c>
      <c r="C11" s="13">
        <v>33</v>
      </c>
      <c r="D11" s="13">
        <v>4</v>
      </c>
      <c r="E11" s="13">
        <v>5</v>
      </c>
      <c r="F11" s="13">
        <v>1</v>
      </c>
      <c r="G11" s="12">
        <f t="shared" si="1"/>
        <v>148</v>
      </c>
      <c r="H11" s="24">
        <f t="shared" si="2"/>
        <v>7.2019464720194648</v>
      </c>
      <c r="I11" s="7" t="s">
        <v>24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1" customHeight="1" x14ac:dyDescent="0.55000000000000004">
      <c r="A12" s="11" t="s">
        <v>25</v>
      </c>
      <c r="B12" s="13">
        <v>13</v>
      </c>
      <c r="C12" s="13">
        <v>2</v>
      </c>
      <c r="D12" s="13">
        <v>0</v>
      </c>
      <c r="E12" s="13">
        <v>1</v>
      </c>
      <c r="F12" s="13">
        <v>0</v>
      </c>
      <c r="G12" s="12">
        <f t="shared" si="1"/>
        <v>16</v>
      </c>
      <c r="H12" s="24">
        <f t="shared" si="2"/>
        <v>0.77858880778588813</v>
      </c>
      <c r="I12" s="7" t="s">
        <v>26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44.25" customHeight="1" x14ac:dyDescent="0.25">
      <c r="A13" s="25" t="s">
        <v>27</v>
      </c>
      <c r="B13" s="26">
        <v>31</v>
      </c>
      <c r="C13" s="26">
        <v>31</v>
      </c>
      <c r="D13" s="26">
        <v>4</v>
      </c>
      <c r="E13" s="26">
        <v>5</v>
      </c>
      <c r="F13" s="26">
        <v>3</v>
      </c>
      <c r="G13" s="27">
        <f t="shared" si="1"/>
        <v>74</v>
      </c>
      <c r="H13" s="24">
        <f t="shared" si="2"/>
        <v>3.6009732360097324</v>
      </c>
      <c r="I13" s="28" t="s">
        <v>28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1"/>
      <c r="AE13" s="1"/>
      <c r="AF13" s="1"/>
      <c r="AG13" s="1"/>
      <c r="AH13" s="1"/>
    </row>
    <row r="14" spans="1:34" ht="21" customHeight="1" x14ac:dyDescent="0.55000000000000004">
      <c r="A14" s="11" t="s">
        <v>29</v>
      </c>
      <c r="B14" s="13">
        <v>8</v>
      </c>
      <c r="C14" s="13">
        <v>5</v>
      </c>
      <c r="D14" s="13">
        <v>1</v>
      </c>
      <c r="E14" s="13">
        <v>1</v>
      </c>
      <c r="F14" s="13">
        <v>1</v>
      </c>
      <c r="G14" s="12">
        <f t="shared" si="1"/>
        <v>16</v>
      </c>
      <c r="H14" s="24">
        <f t="shared" si="2"/>
        <v>0.77858880778588813</v>
      </c>
      <c r="I14" s="7" t="s">
        <v>30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1" customHeight="1" x14ac:dyDescent="0.55000000000000004">
      <c r="A15" s="11" t="s">
        <v>31</v>
      </c>
      <c r="B15" s="13">
        <v>1</v>
      </c>
      <c r="C15" s="13">
        <v>2</v>
      </c>
      <c r="D15" s="13">
        <v>1</v>
      </c>
      <c r="E15" s="13">
        <v>0</v>
      </c>
      <c r="F15" s="13">
        <v>0</v>
      </c>
      <c r="G15" s="12">
        <f t="shared" si="1"/>
        <v>4</v>
      </c>
      <c r="H15" s="24">
        <f t="shared" si="2"/>
        <v>0.19464720194647203</v>
      </c>
      <c r="I15" s="7" t="s">
        <v>32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1" customHeight="1" x14ac:dyDescent="0.55000000000000004">
      <c r="A16" s="11" t="s">
        <v>33</v>
      </c>
      <c r="B16" s="13">
        <v>65</v>
      </c>
      <c r="C16" s="13">
        <v>198</v>
      </c>
      <c r="D16" s="13">
        <v>64</v>
      </c>
      <c r="E16" s="13">
        <v>63</v>
      </c>
      <c r="F16" s="13">
        <v>28</v>
      </c>
      <c r="G16" s="12">
        <f t="shared" si="1"/>
        <v>418</v>
      </c>
      <c r="H16" s="24">
        <f t="shared" si="2"/>
        <v>20.340632603406323</v>
      </c>
      <c r="I16" s="7" t="s">
        <v>34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40" ht="21" customHeight="1" x14ac:dyDescent="0.55000000000000004">
      <c r="A17" s="11" t="s">
        <v>35</v>
      </c>
      <c r="B17" s="13">
        <v>29</v>
      </c>
      <c r="C17" s="13">
        <v>13</v>
      </c>
      <c r="D17" s="13">
        <v>1</v>
      </c>
      <c r="E17" s="13">
        <v>3</v>
      </c>
      <c r="F17" s="13">
        <v>0</v>
      </c>
      <c r="G17" s="12">
        <f t="shared" si="1"/>
        <v>46</v>
      </c>
      <c r="H17" s="24">
        <f t="shared" si="2"/>
        <v>2.2384428223844282</v>
      </c>
      <c r="I17" s="7" t="s">
        <v>36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40" ht="21" customHeight="1" x14ac:dyDescent="0.55000000000000004">
      <c r="A18" s="11" t="s">
        <v>37</v>
      </c>
      <c r="B18" s="13">
        <v>170</v>
      </c>
      <c r="C18" s="13">
        <v>84</v>
      </c>
      <c r="D18" s="13">
        <v>32</v>
      </c>
      <c r="E18" s="13">
        <v>62</v>
      </c>
      <c r="F18" s="13">
        <v>11</v>
      </c>
      <c r="G18" s="12">
        <f t="shared" si="1"/>
        <v>359</v>
      </c>
      <c r="H18" s="24">
        <f t="shared" si="2"/>
        <v>17.469586374695865</v>
      </c>
      <c r="I18" s="7" t="s">
        <v>38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40" ht="21" customHeight="1" x14ac:dyDescent="0.55000000000000004">
      <c r="A19" s="11" t="s">
        <v>39</v>
      </c>
      <c r="B19" s="13">
        <v>1</v>
      </c>
      <c r="C19" s="13">
        <v>1</v>
      </c>
      <c r="D19" s="13">
        <v>0</v>
      </c>
      <c r="E19" s="13">
        <v>0</v>
      </c>
      <c r="F19" s="13">
        <v>0</v>
      </c>
      <c r="G19" s="12">
        <f t="shared" si="1"/>
        <v>2</v>
      </c>
      <c r="H19" s="24">
        <f t="shared" si="2"/>
        <v>9.7323600973236016E-2</v>
      </c>
      <c r="I19" s="7" t="s">
        <v>40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40" ht="21" customHeight="1" x14ac:dyDescent="0.55000000000000004">
      <c r="A20" s="11" t="s">
        <v>41</v>
      </c>
      <c r="B20" s="13">
        <v>4</v>
      </c>
      <c r="C20" s="13">
        <v>1</v>
      </c>
      <c r="D20" s="13">
        <v>0</v>
      </c>
      <c r="E20" s="13">
        <v>0</v>
      </c>
      <c r="F20" s="13">
        <v>1</v>
      </c>
      <c r="G20" s="12">
        <f t="shared" si="1"/>
        <v>6</v>
      </c>
      <c r="H20" s="24">
        <f t="shared" si="2"/>
        <v>0.29197080291970801</v>
      </c>
      <c r="I20" s="7" t="s">
        <v>42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40" ht="21" customHeight="1" x14ac:dyDescent="0.55000000000000004">
      <c r="A21" s="11" t="s">
        <v>43</v>
      </c>
      <c r="B21" s="13">
        <v>1</v>
      </c>
      <c r="C21" s="13">
        <v>0</v>
      </c>
      <c r="D21" s="13">
        <v>0</v>
      </c>
      <c r="E21" s="13">
        <v>0</v>
      </c>
      <c r="F21" s="13">
        <v>0</v>
      </c>
      <c r="G21" s="12">
        <f t="shared" si="1"/>
        <v>1</v>
      </c>
      <c r="H21" s="24">
        <f t="shared" si="2"/>
        <v>4.8661800486618008E-2</v>
      </c>
      <c r="I21" s="7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40" ht="21" customHeight="1" x14ac:dyDescent="0.55000000000000004">
      <c r="A22" s="11" t="s">
        <v>45</v>
      </c>
      <c r="B22" s="13">
        <v>4</v>
      </c>
      <c r="C22" s="13">
        <v>2</v>
      </c>
      <c r="D22" s="13">
        <v>0</v>
      </c>
      <c r="E22" s="13">
        <v>0</v>
      </c>
      <c r="F22" s="13">
        <v>0</v>
      </c>
      <c r="G22" s="12">
        <f t="shared" si="1"/>
        <v>6</v>
      </c>
      <c r="H22" s="24">
        <f t="shared" si="2"/>
        <v>0.29197080291970801</v>
      </c>
      <c r="I22" s="7" t="s">
        <v>46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40" ht="21" customHeight="1" x14ac:dyDescent="0.55000000000000004">
      <c r="A23" s="11" t="s">
        <v>47</v>
      </c>
      <c r="B23" s="13">
        <v>18</v>
      </c>
      <c r="C23" s="13">
        <v>8</v>
      </c>
      <c r="D23" s="13">
        <v>0</v>
      </c>
      <c r="E23" s="13">
        <v>0</v>
      </c>
      <c r="F23" s="13">
        <v>0</v>
      </c>
      <c r="G23" s="12">
        <f t="shared" si="1"/>
        <v>26</v>
      </c>
      <c r="H23" s="24">
        <f t="shared" si="2"/>
        <v>1.2652068126520681</v>
      </c>
      <c r="I23" s="7" t="s">
        <v>48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40" ht="21" customHeight="1" x14ac:dyDescent="0.55000000000000004">
      <c r="A24" s="11" t="s">
        <v>49</v>
      </c>
      <c r="B24" s="13">
        <v>0</v>
      </c>
      <c r="C24" s="13">
        <v>1</v>
      </c>
      <c r="D24" s="13">
        <v>1</v>
      </c>
      <c r="E24" s="13">
        <v>0</v>
      </c>
      <c r="F24" s="13">
        <v>0</v>
      </c>
      <c r="G24" s="12">
        <f t="shared" si="1"/>
        <v>2</v>
      </c>
      <c r="H24" s="24">
        <f t="shared" si="2"/>
        <v>9.7323600973236016E-2</v>
      </c>
      <c r="I24" s="7" t="s">
        <v>50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40" ht="21" customHeight="1" x14ac:dyDescent="0.55000000000000004">
      <c r="A25" s="11" t="s">
        <v>51</v>
      </c>
      <c r="B25" s="13">
        <v>26</v>
      </c>
      <c r="C25" s="13">
        <v>21</v>
      </c>
      <c r="D25" s="13">
        <v>9</v>
      </c>
      <c r="E25" s="13">
        <v>5</v>
      </c>
      <c r="F25" s="13">
        <v>0</v>
      </c>
      <c r="G25" s="12">
        <f t="shared" si="1"/>
        <v>61</v>
      </c>
      <c r="H25" s="24">
        <f t="shared" si="2"/>
        <v>2.9683698296836982</v>
      </c>
      <c r="I25" s="7" t="s">
        <v>52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40" ht="21" customHeight="1" x14ac:dyDescent="0.55000000000000004">
      <c r="A26" s="11" t="s">
        <v>53</v>
      </c>
      <c r="B26" s="13">
        <v>39</v>
      </c>
      <c r="C26" s="13">
        <v>10</v>
      </c>
      <c r="D26" s="13">
        <v>3</v>
      </c>
      <c r="E26" s="13">
        <v>1</v>
      </c>
      <c r="F26" s="13">
        <v>2</v>
      </c>
      <c r="G26" s="12">
        <f t="shared" si="1"/>
        <v>55</v>
      </c>
      <c r="H26" s="24">
        <f t="shared" si="2"/>
        <v>2.6763990267639901</v>
      </c>
      <c r="I26" s="7" t="s">
        <v>54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40" ht="21" customHeight="1" x14ac:dyDescent="0.55000000000000004">
      <c r="A27" s="11" t="s">
        <v>55</v>
      </c>
      <c r="B27" s="13">
        <v>221</v>
      </c>
      <c r="C27" s="13">
        <v>66</v>
      </c>
      <c r="D27" s="13">
        <v>10</v>
      </c>
      <c r="E27" s="13">
        <v>5</v>
      </c>
      <c r="F27" s="13">
        <v>0</v>
      </c>
      <c r="G27" s="12">
        <f t="shared" si="1"/>
        <v>302</v>
      </c>
      <c r="H27" s="24">
        <f t="shared" si="2"/>
        <v>14.695863746958636</v>
      </c>
      <c r="I27" s="7" t="s">
        <v>56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40" ht="21" customHeight="1" x14ac:dyDescent="0.55000000000000004">
      <c r="A28" s="11" t="s">
        <v>57</v>
      </c>
      <c r="B28" s="13">
        <v>9</v>
      </c>
      <c r="C28" s="13">
        <v>5</v>
      </c>
      <c r="D28" s="13">
        <v>5</v>
      </c>
      <c r="E28" s="13">
        <v>2</v>
      </c>
      <c r="F28" s="13">
        <v>2</v>
      </c>
      <c r="G28" s="12">
        <f t="shared" si="1"/>
        <v>23</v>
      </c>
      <c r="H28" s="24">
        <f t="shared" si="2"/>
        <v>1.1192214111922141</v>
      </c>
      <c r="I28" s="7" t="s">
        <v>58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40" ht="21" customHeight="1" x14ac:dyDescent="0.55000000000000004">
      <c r="A29" s="11" t="s">
        <v>59</v>
      </c>
      <c r="B29" s="13">
        <v>2</v>
      </c>
      <c r="C29" s="13">
        <v>2</v>
      </c>
      <c r="D29" s="13">
        <v>0</v>
      </c>
      <c r="E29" s="13">
        <v>0</v>
      </c>
      <c r="F29" s="13">
        <v>0</v>
      </c>
      <c r="G29" s="12">
        <f t="shared" si="1"/>
        <v>4</v>
      </c>
      <c r="H29" s="24">
        <f t="shared" si="2"/>
        <v>0.19464720194647203</v>
      </c>
      <c r="I29" s="7" t="s">
        <v>60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40" ht="21" customHeight="1" x14ac:dyDescent="0.55000000000000004">
      <c r="A30" s="11" t="s">
        <v>61</v>
      </c>
      <c r="B30" s="13">
        <v>95</v>
      </c>
      <c r="C30" s="13">
        <v>24</v>
      </c>
      <c r="D30" s="13">
        <v>6</v>
      </c>
      <c r="E30" s="13">
        <v>1</v>
      </c>
      <c r="F30" s="13">
        <v>2</v>
      </c>
      <c r="G30" s="12">
        <f t="shared" si="1"/>
        <v>128</v>
      </c>
      <c r="H30" s="24">
        <f t="shared" si="2"/>
        <v>6.228710462287105</v>
      </c>
      <c r="I30" s="7" t="s">
        <v>62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40" ht="21" customHeight="1" x14ac:dyDescent="0.55000000000000004">
      <c r="A31" s="15" t="s">
        <v>63</v>
      </c>
      <c r="B31" s="17">
        <v>234</v>
      </c>
      <c r="C31" s="17">
        <v>67</v>
      </c>
      <c r="D31" s="17">
        <v>5</v>
      </c>
      <c r="E31" s="17">
        <v>4</v>
      </c>
      <c r="F31" s="17">
        <v>2</v>
      </c>
      <c r="G31" s="16">
        <f t="shared" si="1"/>
        <v>312</v>
      </c>
      <c r="H31" s="30">
        <f t="shared" si="2"/>
        <v>15.182481751824817</v>
      </c>
      <c r="I31" s="8" t="s">
        <v>64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40" ht="17.25" customHeight="1" x14ac:dyDescent="0.45">
      <c r="A32" s="9" t="s">
        <v>3</v>
      </c>
      <c r="B32" s="18"/>
      <c r="C32" s="18"/>
      <c r="D32" s="18"/>
      <c r="E32" s="18"/>
      <c r="F32" s="18"/>
      <c r="G32" s="18"/>
      <c r="H32" s="18"/>
      <c r="I32" s="19" t="s">
        <v>4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L32" s="1" t="s">
        <v>33</v>
      </c>
      <c r="AM32" s="1">
        <v>418</v>
      </c>
      <c r="AN32" s="1"/>
    </row>
    <row r="33" spans="1:40" ht="12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>
        <v>515</v>
      </c>
      <c r="AC33" s="18">
        <v>455</v>
      </c>
      <c r="AD33" s="18">
        <v>127</v>
      </c>
      <c r="AE33" s="18">
        <v>112</v>
      </c>
      <c r="AF33" s="18">
        <v>41</v>
      </c>
      <c r="AG33" s="18">
        <v>1250</v>
      </c>
      <c r="AH33" s="18">
        <v>100</v>
      </c>
      <c r="AL33" s="1" t="s">
        <v>37</v>
      </c>
      <c r="AM33" s="1">
        <v>359</v>
      </c>
      <c r="AN33" s="1"/>
    </row>
    <row r="34" spans="1:40" ht="15.75" customHeight="1" x14ac:dyDescent="0.25">
      <c r="A34" s="1"/>
      <c r="B34" s="1"/>
      <c r="C34" s="1"/>
      <c r="D34" s="31"/>
      <c r="E34" s="31"/>
      <c r="F34" s="3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L34" s="1" t="s">
        <v>63</v>
      </c>
      <c r="AM34" s="1">
        <v>312</v>
      </c>
      <c r="AN34" s="1"/>
    </row>
    <row r="35" spans="1:4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L35" s="1" t="s">
        <v>55</v>
      </c>
      <c r="AM35" s="1">
        <v>302</v>
      </c>
      <c r="AN35" s="1"/>
    </row>
    <row r="36" spans="1:4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1" t="s">
        <v>10</v>
      </c>
      <c r="AC36" s="31" t="s">
        <v>11</v>
      </c>
      <c r="AD36" s="31" t="s">
        <v>12</v>
      </c>
      <c r="AE36" s="31" t="s">
        <v>13</v>
      </c>
      <c r="AF36" s="31" t="s">
        <v>14</v>
      </c>
      <c r="AG36" s="1" t="s">
        <v>2</v>
      </c>
      <c r="AH36" s="1"/>
      <c r="AL36" s="1" t="s">
        <v>23</v>
      </c>
      <c r="AM36" s="1">
        <v>148</v>
      </c>
      <c r="AN36" s="1"/>
    </row>
    <row r="37" spans="1:4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 t="s">
        <v>65</v>
      </c>
      <c r="AB37" s="14">
        <f t="shared" ref="AB37:AF37" si="3">B6</f>
        <v>1109</v>
      </c>
      <c r="AC37" s="14">
        <f t="shared" si="3"/>
        <v>582</v>
      </c>
      <c r="AD37" s="14">
        <f t="shared" si="3"/>
        <v>149</v>
      </c>
      <c r="AE37" s="14">
        <f t="shared" si="3"/>
        <v>160</v>
      </c>
      <c r="AF37" s="14">
        <f t="shared" si="3"/>
        <v>55</v>
      </c>
      <c r="AG37" s="14">
        <f>SUM(AB37:AF37)</f>
        <v>2055</v>
      </c>
      <c r="AH37" s="1"/>
      <c r="AL37" s="1" t="s">
        <v>61</v>
      </c>
      <c r="AM37" s="1">
        <v>128</v>
      </c>
      <c r="AN37" s="1"/>
    </row>
    <row r="38" spans="1:4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L38" s="1" t="s">
        <v>27</v>
      </c>
      <c r="AM38" s="1">
        <v>74</v>
      </c>
      <c r="AN38" s="1"/>
    </row>
    <row r="39" spans="1:4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L39" s="1" t="s">
        <v>51</v>
      </c>
      <c r="AM39" s="1">
        <v>61</v>
      </c>
      <c r="AN39" s="1"/>
    </row>
    <row r="40" spans="1:4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L40" s="1" t="s">
        <v>53</v>
      </c>
      <c r="AM40" s="1">
        <v>55</v>
      </c>
      <c r="AN40" s="1"/>
    </row>
    <row r="41" spans="1:4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L41" s="1" t="s">
        <v>35</v>
      </c>
      <c r="AM41" s="1">
        <v>46</v>
      </c>
      <c r="AN41" s="1"/>
    </row>
    <row r="42" spans="1:4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L42" s="1" t="s">
        <v>47</v>
      </c>
      <c r="AM42" s="1">
        <v>26</v>
      </c>
      <c r="AN42" s="1"/>
    </row>
    <row r="43" spans="1:4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L43" s="1" t="s">
        <v>57</v>
      </c>
      <c r="AM43" s="1">
        <v>23</v>
      </c>
      <c r="AN43" s="1"/>
    </row>
    <row r="44" spans="1:4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L44" s="1" t="s">
        <v>17</v>
      </c>
      <c r="AM44" s="1">
        <v>17</v>
      </c>
      <c r="AN44" s="1"/>
    </row>
    <row r="45" spans="1:4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L45" s="1" t="s">
        <v>25</v>
      </c>
      <c r="AM45" s="1">
        <v>16</v>
      </c>
      <c r="AN45" s="1"/>
    </row>
    <row r="46" spans="1:4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L46" s="1" t="s">
        <v>29</v>
      </c>
      <c r="AM46" s="1">
        <v>16</v>
      </c>
      <c r="AN46" s="1"/>
    </row>
    <row r="47" spans="1:4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L47" s="1" t="s">
        <v>21</v>
      </c>
      <c r="AM47" s="1">
        <v>14</v>
      </c>
      <c r="AN47" s="1"/>
    </row>
    <row r="48" spans="1:4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L48" s="1" t="s">
        <v>15</v>
      </c>
      <c r="AM48" s="1">
        <v>12</v>
      </c>
      <c r="AN48" s="1"/>
    </row>
    <row r="49" spans="1:4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L49" s="1" t="s">
        <v>41</v>
      </c>
      <c r="AM49" s="1">
        <v>6</v>
      </c>
      <c r="AN49" s="1"/>
    </row>
    <row r="50" spans="1:4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L50" s="1" t="s">
        <v>45</v>
      </c>
      <c r="AM50" s="1">
        <v>6</v>
      </c>
      <c r="AN50" s="1"/>
    </row>
    <row r="51" spans="1:4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L51" s="1" t="s">
        <v>31</v>
      </c>
      <c r="AM51" s="1">
        <v>4</v>
      </c>
      <c r="AN51" s="1"/>
    </row>
    <row r="52" spans="1:4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L52" s="1" t="s">
        <v>59</v>
      </c>
      <c r="AM52" s="1">
        <v>4</v>
      </c>
      <c r="AN52" s="1"/>
    </row>
    <row r="53" spans="1:4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L53" s="1" t="s">
        <v>19</v>
      </c>
      <c r="AM53" s="1">
        <v>3</v>
      </c>
      <c r="AN53" s="1"/>
    </row>
    <row r="54" spans="1:4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L54" s="1" t="s">
        <v>39</v>
      </c>
      <c r="AM54" s="1">
        <v>2</v>
      </c>
      <c r="AN54" s="1"/>
    </row>
    <row r="55" spans="1:4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L55" s="1" t="s">
        <v>49</v>
      </c>
      <c r="AM55" s="1">
        <v>2</v>
      </c>
      <c r="AN55" s="1"/>
    </row>
    <row r="56" spans="1:4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L56" s="1" t="s">
        <v>43</v>
      </c>
      <c r="AM56" s="1">
        <v>1</v>
      </c>
      <c r="AN56" s="1"/>
    </row>
    <row r="57" spans="1:4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L57" s="1"/>
      <c r="AM57" s="1"/>
      <c r="AN57" s="1"/>
    </row>
    <row r="58" spans="1:4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L58" s="1"/>
      <c r="AM58" s="1"/>
      <c r="AN58" s="1"/>
    </row>
    <row r="59" spans="1:4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4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4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4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4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4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</sheetData>
  <sortState ref="A145:B169">
    <sortCondition descending="1" ref="B145:B169"/>
  </sortState>
  <mergeCells count="6">
    <mergeCell ref="A1:I1"/>
    <mergeCell ref="A2:I2"/>
    <mergeCell ref="A4:A5"/>
    <mergeCell ref="B4:G4"/>
    <mergeCell ref="I4:I5"/>
    <mergeCell ref="H4:H5"/>
  </mergeCells>
  <pageMargins left="0.7" right="0.7" top="0.75" bottom="0.75" header="0" footer="0"/>
  <pageSetup paperSize="9" scale="76" orientation="landscape" horizontalDpi="4294967295" verticalDpi="4294967295" r:id="rId1"/>
  <rowBreaks count="2" manualBreakCount="2">
    <brk id="32" max="9" man="1"/>
    <brk id="71" max="9" man="1"/>
  </rowBreaks>
  <ignoredErrors>
    <ignoredError sqref="C5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18.12</vt:lpstr>
      <vt:lpstr>'18.12'!Print_Area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2019-05-12T04:34:19Z</cp:lastPrinted>
  <dcterms:created xsi:type="dcterms:W3CDTF">2019-02-21T04:10:17Z</dcterms:created>
  <dcterms:modified xsi:type="dcterms:W3CDTF">2019-05-12T04:34:42Z</dcterms:modified>
</cp:coreProperties>
</file>