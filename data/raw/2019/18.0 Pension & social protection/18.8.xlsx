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8" sheetId="8" r:id="rId1"/>
  </sheets>
  <definedNames>
    <definedName name="_xlnm.Print_Area" localSheetId="0">'18.8'!$A$1:$I$25</definedName>
  </definedNames>
  <calcPr calcId="162913"/>
</workbook>
</file>

<file path=xl/calcChain.xml><?xml version="1.0" encoding="utf-8"?>
<calcChain xmlns="http://schemas.openxmlformats.org/spreadsheetml/2006/main">
  <c r="AN15" i="8" l="1"/>
  <c r="AN14" i="8"/>
  <c r="AN13" i="8"/>
  <c r="AM12" i="8"/>
  <c r="AL12" i="8"/>
  <c r="AK12" i="8"/>
  <c r="AI12" i="8"/>
  <c r="B11" i="8"/>
  <c r="B10" i="8"/>
  <c r="B9" i="8"/>
  <c r="B8" i="8"/>
  <c r="G7" i="8"/>
  <c r="F7" i="8"/>
  <c r="E7" i="8"/>
  <c r="D7" i="8"/>
  <c r="C7" i="8"/>
  <c r="B7" i="8" l="1"/>
  <c r="AN12" i="8"/>
</calcChain>
</file>

<file path=xl/sharedStrings.xml><?xml version="1.0" encoding="utf-8"?>
<sst xmlns="http://schemas.openxmlformats.org/spreadsheetml/2006/main" count="36" uniqueCount="32">
  <si>
    <t>Type of pension</t>
  </si>
  <si>
    <t>ޕެންޝަންގެ ބާވަތް</t>
  </si>
  <si>
    <t>އަސާސީ ޕެންޝަން</t>
  </si>
  <si>
    <t>ރިޓަޔަރމަންޓް ޕެންޝަން</t>
  </si>
  <si>
    <t>އެހެނިހެން ޕެންޝަން</t>
  </si>
  <si>
    <t>ޖުމްލަ</t>
  </si>
  <si>
    <t>Basic pension</t>
  </si>
  <si>
    <t>Total</t>
  </si>
  <si>
    <t>Basic Pension</t>
  </si>
  <si>
    <t>Retirement Pension</t>
  </si>
  <si>
    <t>Other Pension</t>
  </si>
  <si>
    <t>Source: Maldives Pension Administration</t>
  </si>
  <si>
    <t>މަޢުލޫމާތު ދެއްވި ފަރާތް: މޯލްޑިވްސް ޕެންޝަން އެޑްމިނިސްޓްރޭޝަން</t>
  </si>
  <si>
    <t>Senior Citizen Allowance</t>
  </si>
  <si>
    <t>ސީނިއަރ ސިޓިޒަން އެލަވަންސް</t>
  </si>
  <si>
    <t>65-69</t>
  </si>
  <si>
    <t>70-74</t>
  </si>
  <si>
    <t>75 &amp; over</t>
  </si>
  <si>
    <t>&lt; 55</t>
  </si>
  <si>
    <t>55-64</t>
  </si>
  <si>
    <t>75 +</t>
  </si>
  <si>
    <t>ތާވަލު 18.8:  އެކި ޕެންޝަން ސްކީމްތަކުން ޕެންޝަން ލިބޭ މީހުންގެ އަދަދު އަދި އުމުރުފުރާ، 2018</t>
  </si>
  <si>
    <t>TABLE 18.8: NUMBER OF BEFEFICIARIES BY AGE GROUP FOR  DIFFERENT  PENSION SCHEMES, 2018</t>
  </si>
  <si>
    <t>All ages</t>
  </si>
  <si>
    <t xml:space="preserve">Total </t>
  </si>
  <si>
    <t>age-group</t>
  </si>
  <si>
    <t>2015 end</t>
  </si>
  <si>
    <t>under 55</t>
  </si>
  <si>
    <t>Other pension</t>
  </si>
  <si>
    <t>Retirement pension</t>
  </si>
  <si>
    <t>-</t>
  </si>
  <si>
    <t>Age groups, 2018 ( as of end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</si>
</sst>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4">
    <xf numFmtId="0" fontId="0" fillId="0" borderId="0"/>
    <xf numFmtId="164" fontId="12" fillId="0" borderId="14"/>
    <xf numFmtId="0" fontId="1" fillId="0" borderId="14"/>
    <xf numFmtId="0" fontId="1" fillId="0" borderId="14"/>
  </cellStyleXfs>
  <cellXfs count="48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right" vertical="center"/>
    </xf>
    <xf numFmtId="0" fontId="7" fillId="2" borderId="2" xfId="0" applyFont="1" applyFill="1" applyBorder="1" applyAlignment="1"/>
    <xf numFmtId="0" fontId="7" fillId="2" borderId="2" xfId="0" applyFont="1" applyFill="1" applyBorder="1"/>
    <xf numFmtId="0" fontId="0" fillId="2" borderId="11" xfId="0" applyFont="1" applyFill="1" applyBorder="1"/>
    <xf numFmtId="0" fontId="7" fillId="2" borderId="11" xfId="0" applyFont="1" applyFill="1" applyBorder="1" applyAlignment="1"/>
    <xf numFmtId="164" fontId="0" fillId="2" borderId="2" xfId="0" applyNumberFormat="1" applyFont="1" applyFill="1" applyBorder="1"/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0" fillId="4" borderId="11" xfId="0" applyNumberFormat="1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/>
    <xf numFmtId="0" fontId="0" fillId="2" borderId="2" xfId="0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/>
    </xf>
    <xf numFmtId="0" fontId="0" fillId="2" borderId="11" xfId="0" applyFont="1" applyFill="1" applyBorder="1" applyAlignment="1">
      <alignment vertical="center"/>
    </xf>
    <xf numFmtId="3" fontId="0" fillId="4" borderId="1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center"/>
    </xf>
    <xf numFmtId="3" fontId="0" fillId="2" borderId="11" xfId="0" applyNumberFormat="1" applyFont="1" applyFill="1" applyBorder="1" applyAlignment="1">
      <alignment vertical="center" wrapText="1"/>
    </xf>
    <xf numFmtId="164" fontId="0" fillId="2" borderId="11" xfId="0" applyNumberFormat="1" applyFont="1" applyFill="1" applyBorder="1"/>
    <xf numFmtId="3" fontId="5" fillId="2" borderId="11" xfId="0" applyNumberFormat="1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/>
    </xf>
    <xf numFmtId="37" fontId="5" fillId="2" borderId="2" xfId="0" applyNumberFormat="1" applyFont="1" applyFill="1" applyBorder="1" applyAlignment="1">
      <alignment horizontal="right" vertical="center"/>
    </xf>
    <xf numFmtId="37" fontId="0" fillId="2" borderId="2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5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10" xfId="0" applyFont="1" applyFill="1" applyBorder="1"/>
    <xf numFmtId="0" fontId="3" fillId="3" borderId="9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left"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592871132155824"/>
          <c:y val="0.18442576755126069"/>
          <c:w val="0.44231922026382564"/>
          <c:h val="0.75726170304661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FFCC"/>
              </a:solidFill>
            </c:spPr>
            <c:extLst>
              <c:ext xmlns:c16="http://schemas.microsoft.com/office/drawing/2014/chart" uri="{C3380CC4-5D6E-409C-BE32-E72D297353CC}">
                <c16:uniqueId val="{00000001-2DDF-4BA0-8E02-310526BF976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E8BB-438C-8CB1-604EE65F613E}"/>
              </c:ext>
            </c:extLst>
          </c:dPt>
          <c:dPt>
            <c:idx val="2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E8BB-438C-8CB1-604EE65F613E}"/>
              </c:ext>
            </c:extLst>
          </c:dPt>
          <c:dPt>
            <c:idx val="4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8BB-438C-8CB1-604EE65F613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1976</c:v>
                </c:pt>
                <c:pt idx="1">
                  <c:v>1881</c:v>
                </c:pt>
                <c:pt idx="2">
                  <c:v>11244</c:v>
                </c:pt>
                <c:pt idx="3">
                  <c:v>9663</c:v>
                </c:pt>
                <c:pt idx="4">
                  <c:v>17840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F-4BA0-8E02-310526BF9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482600</xdr:colOff>
      <xdr:row>12</xdr:row>
      <xdr:rowOff>111125</xdr:rowOff>
    </xdr:from>
    <xdr:ext cx="6124575" cy="3038475"/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1057275</xdr:colOff>
      <xdr:row>13</xdr:row>
      <xdr:rowOff>104775</xdr:rowOff>
    </xdr:from>
    <xdr:ext cx="4933950" cy="447675"/>
    <xdr:sp macro="" textlink="">
      <xdr:nvSpPr>
        <xdr:cNvPr id="15" name="Shape 15"/>
        <xdr:cNvSpPr txBox="1"/>
      </xdr:nvSpPr>
      <xdr:spPr>
        <a:xfrm>
          <a:off x="1057275" y="3486150"/>
          <a:ext cx="49339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Percentage of beneficiaries under different pension schemes by age-groups, end 2018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25"/>
  <sheetViews>
    <sheetView tabSelected="1" zoomScaleNormal="100" workbookViewId="0">
      <selection activeCell="L8" sqref="L8"/>
    </sheetView>
  </sheetViews>
  <sheetFormatPr defaultColWidth="14.42578125" defaultRowHeight="15" customHeight="1" x14ac:dyDescent="0.25"/>
  <cols>
    <col min="1" max="1" width="24.7109375" style="2" customWidth="1"/>
    <col min="2" max="7" width="9.42578125" style="2" customWidth="1"/>
    <col min="8" max="8" width="25.5703125" style="2" customWidth="1"/>
    <col min="9" max="9" width="3" style="2" customWidth="1"/>
    <col min="10" max="41" width="8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21.75" customHeight="1" x14ac:dyDescent="0.55000000000000004">
      <c r="A2" s="45" t="s">
        <v>21</v>
      </c>
      <c r="B2" s="34"/>
      <c r="C2" s="34"/>
      <c r="D2" s="34"/>
      <c r="E2" s="34"/>
      <c r="F2" s="34"/>
      <c r="G2" s="34"/>
      <c r="H2" s="3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9.5" customHeight="1" x14ac:dyDescent="0.25">
      <c r="A3" s="44" t="s">
        <v>22</v>
      </c>
      <c r="B3" s="34"/>
      <c r="C3" s="34"/>
      <c r="D3" s="34"/>
      <c r="E3" s="34"/>
      <c r="F3" s="34"/>
      <c r="G3" s="34"/>
      <c r="H3" s="35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4" customHeight="1" x14ac:dyDescent="0.25">
      <c r="A5" s="41" t="s">
        <v>0</v>
      </c>
      <c r="B5" s="36" t="s">
        <v>31</v>
      </c>
      <c r="C5" s="37"/>
      <c r="D5" s="37"/>
      <c r="E5" s="37"/>
      <c r="F5" s="37"/>
      <c r="G5" s="40"/>
      <c r="H5" s="38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ht="21" customHeight="1" x14ac:dyDescent="0.25">
      <c r="A6" s="39"/>
      <c r="B6" s="5" t="s">
        <v>23</v>
      </c>
      <c r="C6" s="29" t="s">
        <v>18</v>
      </c>
      <c r="D6" s="29" t="s">
        <v>19</v>
      </c>
      <c r="E6" s="29" t="s">
        <v>15</v>
      </c>
      <c r="F6" s="29" t="s">
        <v>16</v>
      </c>
      <c r="G6" s="29" t="s">
        <v>20</v>
      </c>
      <c r="H6" s="3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ht="21" customHeight="1" x14ac:dyDescent="0.25">
      <c r="A7" s="11" t="s">
        <v>24</v>
      </c>
      <c r="B7" s="12">
        <f t="shared" ref="B7:B11" si="0">SUM(C7:G7)</f>
        <v>42604</v>
      </c>
      <c r="C7" s="28">
        <f t="shared" ref="C7:G7" si="1">SUM(C8:C11)</f>
        <v>1976</v>
      </c>
      <c r="D7" s="28">
        <f t="shared" si="1"/>
        <v>1881</v>
      </c>
      <c r="E7" s="28">
        <f t="shared" si="1"/>
        <v>11244</v>
      </c>
      <c r="F7" s="28">
        <f t="shared" si="1"/>
        <v>9663</v>
      </c>
      <c r="G7" s="28">
        <f t="shared" si="1"/>
        <v>17840</v>
      </c>
      <c r="H7" s="3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" customHeight="1" x14ac:dyDescent="0.55000000000000004">
      <c r="A8" s="4" t="s">
        <v>8</v>
      </c>
      <c r="B8" s="12">
        <f t="shared" si="0"/>
        <v>16835</v>
      </c>
      <c r="C8" s="13">
        <v>0</v>
      </c>
      <c r="D8" s="13">
        <v>0</v>
      </c>
      <c r="E8" s="13">
        <v>4597</v>
      </c>
      <c r="F8" s="13">
        <v>4135</v>
      </c>
      <c r="G8" s="13">
        <v>8103</v>
      </c>
      <c r="H8" s="6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" customHeight="1" x14ac:dyDescent="0.55000000000000004">
      <c r="A9" s="4" t="s">
        <v>9</v>
      </c>
      <c r="B9" s="12">
        <f t="shared" si="0"/>
        <v>1259</v>
      </c>
      <c r="C9" s="21">
        <v>18</v>
      </c>
      <c r="D9" s="21">
        <v>10</v>
      </c>
      <c r="E9" s="13">
        <v>901</v>
      </c>
      <c r="F9" s="13">
        <v>327</v>
      </c>
      <c r="G9" s="13">
        <v>3</v>
      </c>
      <c r="H9" s="6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" customHeight="1" x14ac:dyDescent="0.55000000000000004">
      <c r="A10" s="4" t="s">
        <v>10</v>
      </c>
      <c r="B10" s="12">
        <f t="shared" si="0"/>
        <v>7200</v>
      </c>
      <c r="C10" s="21">
        <v>1958</v>
      </c>
      <c r="D10" s="21">
        <v>1871</v>
      </c>
      <c r="E10" s="21">
        <v>949</v>
      </c>
      <c r="F10" s="21">
        <v>903</v>
      </c>
      <c r="G10" s="21">
        <v>1519</v>
      </c>
      <c r="H10" s="6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25</v>
      </c>
      <c r="AJ10" s="1"/>
      <c r="AK10" s="1"/>
      <c r="AL10" s="1"/>
      <c r="AM10" s="1"/>
      <c r="AN10" s="1"/>
      <c r="AO10" s="16"/>
    </row>
    <row r="11" spans="1:41" ht="24" customHeight="1" x14ac:dyDescent="0.55000000000000004">
      <c r="A11" s="22" t="s">
        <v>13</v>
      </c>
      <c r="B11" s="27">
        <f t="shared" si="0"/>
        <v>17310</v>
      </c>
      <c r="C11" s="15">
        <v>0</v>
      </c>
      <c r="D11" s="15">
        <v>0</v>
      </c>
      <c r="E11" s="23">
        <v>4797</v>
      </c>
      <c r="F11" s="23">
        <v>4298</v>
      </c>
      <c r="G11" s="23">
        <v>8215</v>
      </c>
      <c r="H11" s="9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30" t="s">
        <v>26</v>
      </c>
      <c r="AI11" s="31" t="s">
        <v>27</v>
      </c>
      <c r="AJ11" s="31" t="s">
        <v>19</v>
      </c>
      <c r="AK11" s="30" t="s">
        <v>15</v>
      </c>
      <c r="AL11" s="30" t="s">
        <v>16</v>
      </c>
      <c r="AM11" s="30" t="s">
        <v>17</v>
      </c>
      <c r="AN11" s="30" t="s">
        <v>7</v>
      </c>
      <c r="AO11" s="1"/>
    </row>
    <row r="12" spans="1:41" ht="18" customHeight="1" x14ac:dyDescent="0.45">
      <c r="A12" s="17" t="s">
        <v>11</v>
      </c>
      <c r="B12" s="16"/>
      <c r="C12" s="16"/>
      <c r="D12" s="16"/>
      <c r="E12" s="16"/>
      <c r="F12" s="16"/>
      <c r="G12" s="16"/>
      <c r="H12" s="18" t="s">
        <v>12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" t="s">
        <v>6</v>
      </c>
      <c r="AI12" s="1">
        <f>0</f>
        <v>0</v>
      </c>
      <c r="AJ12" s="1">
        <v>0</v>
      </c>
      <c r="AK12" s="14" t="e">
        <f>#REF!</f>
        <v>#REF!</v>
      </c>
      <c r="AL12" s="14" t="e">
        <f>#REF!</f>
        <v>#REF!</v>
      </c>
      <c r="AM12" s="14" t="e">
        <f>#REF!</f>
        <v>#REF!</v>
      </c>
      <c r="AN12" s="1" t="e">
        <f t="shared" ref="AN12:AN15" si="2">SUM(AI12:AM12)</f>
        <v>#REF!</v>
      </c>
      <c r="AO12" s="1"/>
    </row>
    <row r="13" spans="1:4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28</v>
      </c>
      <c r="AI13" s="26">
        <v>2441</v>
      </c>
      <c r="AJ13" s="26">
        <v>1593</v>
      </c>
      <c r="AK13" s="26">
        <v>930</v>
      </c>
      <c r="AL13" s="26">
        <v>933</v>
      </c>
      <c r="AM13" s="26">
        <v>1367</v>
      </c>
      <c r="AN13" s="10">
        <f t="shared" si="2"/>
        <v>7264</v>
      </c>
      <c r="AO13" s="1"/>
    </row>
    <row r="14" spans="1:4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29</v>
      </c>
      <c r="AI14" s="1">
        <v>11</v>
      </c>
      <c r="AJ14" s="25">
        <v>7</v>
      </c>
      <c r="AK14" s="25">
        <v>708</v>
      </c>
      <c r="AL14" s="25">
        <v>169</v>
      </c>
      <c r="AM14" s="25" t="s">
        <v>30</v>
      </c>
      <c r="AN14" s="1">
        <f t="shared" si="2"/>
        <v>895</v>
      </c>
      <c r="AO14" s="1"/>
    </row>
    <row r="15" spans="1:4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 t="s">
        <v>13</v>
      </c>
      <c r="AI15" s="1"/>
      <c r="AJ15" s="1"/>
      <c r="AK15" s="26">
        <v>4147</v>
      </c>
      <c r="AL15" s="26">
        <v>4656</v>
      </c>
      <c r="AM15" s="26">
        <v>7758</v>
      </c>
      <c r="AN15" s="1">
        <f t="shared" si="2"/>
        <v>16561</v>
      </c>
      <c r="AO15" s="1"/>
    </row>
    <row r="16" spans="1:41" ht="21.75" customHeight="1" x14ac:dyDescent="0.55000000000000004">
      <c r="A16" s="45"/>
      <c r="B16" s="34"/>
      <c r="C16" s="34"/>
      <c r="D16" s="34"/>
      <c r="E16" s="34"/>
      <c r="F16" s="34"/>
      <c r="G16" s="34"/>
      <c r="H16" s="3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9.5" customHeight="1" x14ac:dyDescent="0.25">
      <c r="A17" s="44"/>
      <c r="B17" s="34"/>
      <c r="C17" s="34"/>
      <c r="D17" s="34"/>
      <c r="E17" s="34"/>
      <c r="F17" s="34"/>
      <c r="G17" s="34"/>
      <c r="H17" s="3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24" customHeight="1" x14ac:dyDescent="0.25">
      <c r="A19" s="47"/>
      <c r="B19" s="42"/>
      <c r="C19" s="34"/>
      <c r="D19" s="34"/>
      <c r="E19" s="34"/>
      <c r="F19" s="34"/>
      <c r="G19" s="35"/>
      <c r="H19" s="4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21" customHeight="1" x14ac:dyDescent="0.25">
      <c r="A20" s="43"/>
      <c r="B20" s="24"/>
      <c r="C20" s="20"/>
      <c r="D20" s="20"/>
      <c r="E20" s="20"/>
      <c r="F20" s="20"/>
      <c r="G20" s="20"/>
      <c r="H20" s="4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21" customHeight="1" x14ac:dyDescent="0.25">
      <c r="A21" s="11"/>
      <c r="B21" s="32"/>
      <c r="C21" s="32"/>
      <c r="D21" s="32"/>
      <c r="E21" s="32"/>
      <c r="F21" s="32"/>
      <c r="G21" s="32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24" customHeight="1" x14ac:dyDescent="0.55000000000000004">
      <c r="A22" s="4"/>
      <c r="B22" s="32"/>
      <c r="C22" s="19"/>
      <c r="D22" s="19"/>
      <c r="E22" s="33"/>
      <c r="F22" s="33"/>
      <c r="G22" s="33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24" customHeight="1" x14ac:dyDescent="0.55000000000000004">
      <c r="A23" s="4"/>
      <c r="B23" s="32"/>
      <c r="C23" s="19"/>
      <c r="D23" s="19"/>
      <c r="E23" s="33"/>
      <c r="F23" s="33"/>
      <c r="G23" s="19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24" customHeight="1" x14ac:dyDescent="0.55000000000000004">
      <c r="A24" s="4"/>
      <c r="B24" s="32"/>
      <c r="C24" s="33"/>
      <c r="D24" s="33"/>
      <c r="E24" s="33"/>
      <c r="F24" s="33"/>
      <c r="G24" s="33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24" customHeight="1" x14ac:dyDescent="0.55000000000000004">
      <c r="A25" s="4"/>
      <c r="B25" s="32"/>
      <c r="C25" s="19"/>
      <c r="D25" s="19"/>
      <c r="E25" s="33"/>
      <c r="F25" s="33"/>
      <c r="G25" s="33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</sheetData>
  <mergeCells count="10">
    <mergeCell ref="B19:G19"/>
    <mergeCell ref="A17:H17"/>
    <mergeCell ref="A2:H2"/>
    <mergeCell ref="A3:H3"/>
    <mergeCell ref="A5:A6"/>
    <mergeCell ref="B5:G5"/>
    <mergeCell ref="H5:H6"/>
    <mergeCell ref="A16:H16"/>
    <mergeCell ref="H19:H20"/>
    <mergeCell ref="A19:A20"/>
  </mergeCells>
  <pageMargins left="0.7" right="0.7" top="0.75" bottom="0.75" header="0" footer="0"/>
  <pageSetup paperSize="9" scale="9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2019-05-12T04:24:42Z</cp:lastPrinted>
  <dcterms:created xsi:type="dcterms:W3CDTF">2019-02-21T04:10:17Z</dcterms:created>
  <dcterms:modified xsi:type="dcterms:W3CDTF">2019-05-12T04:25:00Z</dcterms:modified>
</cp:coreProperties>
</file>