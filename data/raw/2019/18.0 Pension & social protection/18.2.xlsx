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18. PENSION AND SOCIAL PROTECTION\"/>
    </mc:Choice>
  </mc:AlternateContent>
  <bookViews>
    <workbookView xWindow="0" yWindow="0" windowWidth="28800" windowHeight="12330" tabRatio="841"/>
  </bookViews>
  <sheets>
    <sheet name="18.2" sheetId="2" r:id="rId1"/>
  </sheets>
  <definedNames>
    <definedName name="_xlnm.Print_Area" localSheetId="0">'18.2'!$A$1:$N$40</definedName>
  </definedNames>
  <calcPr calcId="162913"/>
</workbook>
</file>

<file path=xl/calcChain.xml><?xml version="1.0" encoding="utf-8"?>
<calcChain xmlns="http://schemas.openxmlformats.org/spreadsheetml/2006/main">
  <c r="W24" i="2" l="1"/>
  <c r="W25" i="2"/>
  <c r="Z24" i="2"/>
  <c r="V27" i="2" l="1"/>
  <c r="V26" i="2"/>
  <c r="V25" i="2"/>
  <c r="V24" i="2"/>
  <c r="M8" i="2"/>
  <c r="AB27" i="2" s="1"/>
  <c r="Y27" i="2" s="1"/>
  <c r="L8" i="2"/>
  <c r="AA27" i="2" s="1"/>
  <c r="K8" i="2"/>
  <c r="Z27" i="2" s="1"/>
  <c r="W27" i="2" s="1"/>
  <c r="J8" i="2"/>
  <c r="AB25" i="2" s="1"/>
  <c r="Y25" i="2" s="1"/>
  <c r="I8" i="2"/>
  <c r="AA25" i="2" s="1"/>
  <c r="H8" i="2"/>
  <c r="Z25" i="2" s="1"/>
  <c r="G8" i="2"/>
  <c r="AB26" i="2" s="1"/>
  <c r="Y26" i="2" s="1"/>
  <c r="F8" i="2"/>
  <c r="AA26" i="2" s="1"/>
  <c r="E8" i="2"/>
  <c r="Z26" i="2" s="1"/>
  <c r="W26" i="2" s="1"/>
  <c r="D8" i="2"/>
  <c r="AB24" i="2" s="1"/>
  <c r="C8" i="2"/>
  <c r="AA24" i="2" s="1"/>
  <c r="X24" i="2" s="1"/>
  <c r="B8" i="2"/>
  <c r="AB28" i="2" l="1"/>
  <c r="X27" i="2"/>
  <c r="Y24" i="2"/>
  <c r="X26" i="2"/>
  <c r="X25" i="2"/>
</calcChain>
</file>

<file path=xl/sharedStrings.xml><?xml version="1.0" encoding="utf-8"?>
<sst xmlns="http://schemas.openxmlformats.org/spreadsheetml/2006/main" count="44" uniqueCount="44">
  <si>
    <t>(In MVR)</t>
  </si>
  <si>
    <t>Month</t>
  </si>
  <si>
    <t>އަސާސީ ޕެންޝަން</t>
  </si>
  <si>
    <t>ރިޓަޔަރމަންޓް ޕެންޝަން</t>
  </si>
  <si>
    <t>އެހެނިހެން ޕެންޝަން</t>
  </si>
  <si>
    <t>ސީނިއަ ސިޓިޒަން އެލަވަންސް</t>
  </si>
  <si>
    <t>މަސް</t>
  </si>
  <si>
    <t>ޖުމްލަ</t>
  </si>
  <si>
    <t>Basic pension</t>
  </si>
  <si>
    <t>Retirement  pension</t>
  </si>
  <si>
    <t>Other  pension</t>
  </si>
  <si>
    <t xml:space="preserve"> Senior Citizen Allowance</t>
  </si>
  <si>
    <t>Total</t>
  </si>
  <si>
    <t>Jan</t>
  </si>
  <si>
    <t>ޖެނުއަރީ</t>
  </si>
  <si>
    <t>Feb</t>
  </si>
  <si>
    <t>ފެބްރުއަރީ</t>
  </si>
  <si>
    <t>Mar</t>
  </si>
  <si>
    <t>މާޗް</t>
  </si>
  <si>
    <t>Apr</t>
  </si>
  <si>
    <t>އޭޕްރީލް</t>
  </si>
  <si>
    <t>May</t>
  </si>
  <si>
    <t>މެއި</t>
  </si>
  <si>
    <t>Jun</t>
  </si>
  <si>
    <t>ޖޫން</t>
  </si>
  <si>
    <t>Jul</t>
  </si>
  <si>
    <t>ޖުލައި</t>
  </si>
  <si>
    <t>Aug</t>
  </si>
  <si>
    <t>އޮގަސްޓް</t>
  </si>
  <si>
    <t>Sep</t>
  </si>
  <si>
    <t>ސެޕްޓެމްބަރ</t>
  </si>
  <si>
    <t>Oct</t>
  </si>
  <si>
    <t>އޮކްޓޫބަރ</t>
  </si>
  <si>
    <t>Nov</t>
  </si>
  <si>
    <t>ނޮވެމްބަރ</t>
  </si>
  <si>
    <t>Dec</t>
  </si>
  <si>
    <t>ޑިސެމްބަރ</t>
  </si>
  <si>
    <t>Senior Citizen Allowance was introduced in February 2014.</t>
  </si>
  <si>
    <t xml:space="preserve">ސީނިއަރ ސިޓިޒަން އެލަވަންސް ސްކީމް ތަޢާރަފުކުރެވިފައިވާ ފެބްރުއަރީ 2014 ގައެވެ. </t>
  </si>
  <si>
    <t>Source: Maldives Pension Administration</t>
  </si>
  <si>
    <t>މަޢުލޫމާތު ދެއްވި ފަރާތް: މޯލްޑިވްސް ޕެންޝަން އެޑްމިނިސްޓްރޭޝަން</t>
  </si>
  <si>
    <t>In Rf</t>
  </si>
  <si>
    <t>ތާވަލު 18.2: އެކި މަސްމަހު ޕެންޝަންގެ ގޮތުގައި ސްކީމްތަކުން ދެވުނު މިންވަރު، 2016 - 2018</t>
  </si>
  <si>
    <t>TABLE   18.2: MONTHLY PENSION PAYOUTS BY SCHEME, 2016 - 2018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</si>
</sst>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_);_(* \(#,##0\);_(* &quot;-&quot;??_);_(@_)"/>
  </numFmts>
  <fonts count="15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1"/>
      <color rgb="FF000000"/>
      <name val="Faruma"/>
    </font>
    <font>
      <sz val="11"/>
      <name val="Calibri"/>
      <family val="2"/>
    </font>
    <font>
      <b/>
      <sz val="11"/>
      <color rgb="FF000000"/>
      <name val="Calibri"/>
      <family val="2"/>
    </font>
    <font>
      <sz val="9"/>
      <color rgb="FF000000"/>
      <name val="Calibri"/>
      <family val="2"/>
    </font>
    <font>
      <sz val="8"/>
      <color rgb="FF000000"/>
      <name val="Calibri"/>
      <family val="2"/>
    </font>
    <font>
      <b/>
      <sz val="9"/>
      <color rgb="FF262626"/>
      <name val="Calibri"/>
      <family val="2"/>
    </font>
    <font>
      <b/>
      <sz val="9"/>
      <color rgb="FF000000"/>
      <name val="Calibri"/>
      <family val="2"/>
    </font>
    <font>
      <sz val="11"/>
      <color rgb="FF000000"/>
      <name val="Faruma"/>
    </font>
    <font>
      <i/>
      <sz val="9"/>
      <color rgb="FF000000"/>
      <name val="Calibri"/>
      <family val="2"/>
    </font>
    <font>
      <sz val="9"/>
      <color rgb="FF000000"/>
      <name val="Faruma"/>
    </font>
    <font>
      <b/>
      <sz val="9"/>
      <color rgb="FFFF0000"/>
      <name val="Calibri"/>
      <family val="2"/>
    </font>
    <font>
      <b/>
      <sz val="11"/>
      <color rgb="FF000000"/>
      <name val="Calibri"/>
      <family val="2"/>
    </font>
    <font>
      <sz val="10"/>
      <name val="Courier"/>
      <family val="3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6E3BC"/>
      </patternFill>
    </fill>
  </fills>
  <borders count="2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hair">
        <color rgb="FF000000"/>
      </right>
      <top style="thin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hair">
        <color rgb="FF000000"/>
      </left>
      <right/>
      <top/>
      <bottom style="thin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/>
      <right style="hair">
        <color rgb="FF000000"/>
      </right>
      <top/>
      <bottom style="thin">
        <color rgb="FF000000"/>
      </bottom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/>
      <top style="thin">
        <color rgb="FF000000"/>
      </top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 style="hair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4">
    <xf numFmtId="0" fontId="0" fillId="0" borderId="0"/>
    <xf numFmtId="164" fontId="14" fillId="0" borderId="20"/>
    <xf numFmtId="0" fontId="1" fillId="0" borderId="20"/>
    <xf numFmtId="0" fontId="1" fillId="0" borderId="20"/>
  </cellStyleXfs>
  <cellXfs count="85">
    <xf numFmtId="0" fontId="0" fillId="0" borderId="0" xfId="0" applyFont="1" applyAlignment="1"/>
    <xf numFmtId="0" fontId="0" fillId="2" borderId="2" xfId="0" applyFont="1" applyFill="1" applyBorder="1"/>
    <xf numFmtId="0" fontId="0" fillId="3" borderId="0" xfId="0" applyFont="1" applyFill="1" applyAlignment="1"/>
    <xf numFmtId="0" fontId="4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right" vertical="center"/>
    </xf>
    <xf numFmtId="0" fontId="0" fillId="2" borderId="2" xfId="0" applyFont="1" applyFill="1" applyBorder="1" applyAlignment="1">
      <alignment vertical="center"/>
    </xf>
    <xf numFmtId="0" fontId="4" fillId="2" borderId="12" xfId="0" applyFont="1" applyFill="1" applyBorder="1" applyAlignment="1">
      <alignment horizontal="right" vertical="center"/>
    </xf>
    <xf numFmtId="0" fontId="4" fillId="2" borderId="15" xfId="0" applyFont="1" applyFill="1" applyBorder="1" applyAlignment="1">
      <alignment horizontal="right" vertical="center"/>
    </xf>
    <xf numFmtId="0" fontId="4" fillId="2" borderId="22" xfId="0" applyFont="1" applyFill="1" applyBorder="1" applyAlignment="1">
      <alignment horizontal="right" vertical="center"/>
    </xf>
    <xf numFmtId="0" fontId="4" fillId="2" borderId="13" xfId="0" applyFont="1" applyFill="1" applyBorder="1" applyAlignment="1">
      <alignment horizontal="right" vertical="center"/>
    </xf>
    <xf numFmtId="0" fontId="4" fillId="2" borderId="14" xfId="0" applyFont="1" applyFill="1" applyBorder="1" applyAlignment="1">
      <alignment horizontal="right" vertical="center"/>
    </xf>
    <xf numFmtId="164" fontId="0" fillId="2" borderId="2" xfId="0" applyNumberFormat="1" applyFont="1" applyFill="1" applyBorder="1"/>
    <xf numFmtId="0" fontId="2" fillId="2" borderId="2" xfId="0" applyFont="1" applyFill="1" applyBorder="1" applyAlignment="1">
      <alignment horizontal="center" vertical="center"/>
    </xf>
    <xf numFmtId="0" fontId="0" fillId="2" borderId="20" xfId="0" applyFont="1" applyFill="1" applyBorder="1"/>
    <xf numFmtId="0" fontId="5" fillId="2" borderId="2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20" xfId="0" applyFont="1" applyFill="1" applyBorder="1" applyAlignment="1">
      <alignment horizontal="center"/>
    </xf>
    <xf numFmtId="0" fontId="6" fillId="2" borderId="2" xfId="0" applyFont="1" applyFill="1" applyBorder="1"/>
    <xf numFmtId="0" fontId="5" fillId="2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2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left" vertical="center"/>
    </xf>
    <xf numFmtId="3" fontId="4" fillId="2" borderId="2" xfId="0" applyNumberFormat="1" applyFont="1" applyFill="1" applyBorder="1" applyAlignment="1">
      <alignment horizontal="right" vertical="center"/>
    </xf>
    <xf numFmtId="3" fontId="4" fillId="2" borderId="2" xfId="0" applyNumberFormat="1" applyFont="1" applyFill="1" applyBorder="1" applyAlignment="1">
      <alignment vertical="center"/>
    </xf>
    <xf numFmtId="3" fontId="4" fillId="2" borderId="16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3" fontId="0" fillId="2" borderId="2" xfId="0" applyNumberFormat="1" applyFont="1" applyFill="1" applyBorder="1" applyAlignment="1">
      <alignment vertical="center"/>
    </xf>
    <xf numFmtId="3" fontId="0" fillId="4" borderId="16" xfId="0" applyNumberFormat="1" applyFont="1" applyFill="1" applyBorder="1" applyAlignment="1">
      <alignment vertical="center"/>
    </xf>
    <xf numFmtId="3" fontId="0" fillId="2" borderId="2" xfId="0" applyNumberFormat="1" applyFont="1" applyFill="1" applyBorder="1" applyAlignment="1">
      <alignment horizontal="right" vertical="center"/>
    </xf>
    <xf numFmtId="3" fontId="0" fillId="4" borderId="2" xfId="0" applyNumberFormat="1" applyFont="1" applyFill="1" applyBorder="1" applyAlignment="1">
      <alignment horizontal="right" vertical="center"/>
    </xf>
    <xf numFmtId="0" fontId="9" fillId="2" borderId="2" xfId="0" applyFont="1" applyFill="1" applyBorder="1" applyAlignment="1">
      <alignment horizontal="right" vertical="center"/>
    </xf>
    <xf numFmtId="3" fontId="9" fillId="2" borderId="2" xfId="0" applyNumberFormat="1" applyFont="1" applyFill="1" applyBorder="1" applyAlignment="1">
      <alignment horizontal="right" vertical="center"/>
    </xf>
    <xf numFmtId="3" fontId="0" fillId="2" borderId="2" xfId="0" applyNumberFormat="1" applyFont="1" applyFill="1" applyBorder="1"/>
    <xf numFmtId="3" fontId="5" fillId="2" borderId="2" xfId="0" applyNumberFormat="1" applyFont="1" applyFill="1" applyBorder="1" applyAlignment="1">
      <alignment horizontal="center"/>
    </xf>
    <xf numFmtId="0" fontId="9" fillId="2" borderId="2" xfId="0" applyFont="1" applyFill="1" applyBorder="1" applyAlignment="1">
      <alignment horizontal="right"/>
    </xf>
    <xf numFmtId="3" fontId="0" fillId="2" borderId="12" xfId="0" applyNumberFormat="1" applyFont="1" applyFill="1" applyBorder="1" applyAlignment="1">
      <alignment vertical="center"/>
    </xf>
    <xf numFmtId="3" fontId="0" fillId="2" borderId="13" xfId="0" applyNumberFormat="1" applyFont="1" applyFill="1" applyBorder="1" applyAlignment="1">
      <alignment vertical="center"/>
    </xf>
    <xf numFmtId="3" fontId="0" fillId="4" borderId="15" xfId="0" applyNumberFormat="1" applyFont="1" applyFill="1" applyBorder="1" applyAlignment="1">
      <alignment vertical="center"/>
    </xf>
    <xf numFmtId="3" fontId="0" fillId="2" borderId="12" xfId="0" applyNumberFormat="1" applyFont="1" applyFill="1" applyBorder="1" applyAlignment="1">
      <alignment horizontal="right" vertical="center"/>
    </xf>
    <xf numFmtId="3" fontId="0" fillId="4" borderId="12" xfId="0" applyNumberFormat="1" applyFont="1" applyFill="1" applyBorder="1" applyAlignment="1">
      <alignment horizontal="right" vertical="center"/>
    </xf>
    <xf numFmtId="0" fontId="9" fillId="2" borderId="12" xfId="0" applyFont="1" applyFill="1" applyBorder="1" applyAlignment="1">
      <alignment horizontal="right" vertical="center"/>
    </xf>
    <xf numFmtId="0" fontId="10" fillId="2" borderId="2" xfId="0" applyFont="1" applyFill="1" applyBorder="1" applyAlignment="1">
      <alignment vertical="center"/>
    </xf>
    <xf numFmtId="0" fontId="5" fillId="2" borderId="2" xfId="0" applyFont="1" applyFill="1" applyBorder="1"/>
    <xf numFmtId="0" fontId="11" fillId="2" borderId="2" xfId="0" applyFont="1" applyFill="1" applyBorder="1" applyAlignment="1">
      <alignment vertical="center"/>
    </xf>
    <xf numFmtId="0" fontId="5" fillId="2" borderId="20" xfId="0" applyFont="1" applyFill="1" applyBorder="1" applyAlignment="1">
      <alignment horizontal="center"/>
    </xf>
    <xf numFmtId="0" fontId="10" fillId="2" borderId="2" xfId="0" applyFont="1" applyFill="1" applyBorder="1"/>
    <xf numFmtId="3" fontId="5" fillId="2" borderId="2" xfId="0" applyNumberFormat="1" applyFont="1" applyFill="1" applyBorder="1"/>
    <xf numFmtId="0" fontId="11" fillId="2" borderId="2" xfId="0" applyFont="1" applyFill="1" applyBorder="1" applyAlignment="1"/>
    <xf numFmtId="0" fontId="11" fillId="2" borderId="2" xfId="0" applyFont="1" applyFill="1" applyBorder="1"/>
    <xf numFmtId="0" fontId="5" fillId="2" borderId="20" xfId="0" applyFont="1" applyFill="1" applyBorder="1"/>
    <xf numFmtId="0" fontId="8" fillId="2" borderId="2" xfId="0" applyFont="1" applyFill="1" applyBorder="1" applyAlignment="1">
      <alignment horizontal="right" vertical="center"/>
    </xf>
    <xf numFmtId="0" fontId="0" fillId="2" borderId="2" xfId="0" applyFont="1" applyFill="1" applyBorder="1" applyAlignment="1">
      <alignment horizontal="right" vertical="center"/>
    </xf>
    <xf numFmtId="3" fontId="0" fillId="3" borderId="0" xfId="0" applyNumberFormat="1" applyFont="1" applyFill="1" applyAlignment="1"/>
    <xf numFmtId="0" fontId="6" fillId="2" borderId="20" xfId="0" applyFont="1" applyFill="1" applyBorder="1"/>
    <xf numFmtId="3" fontId="0" fillId="2" borderId="20" xfId="0" applyNumberFormat="1" applyFont="1" applyFill="1" applyBorder="1" applyAlignment="1">
      <alignment vertical="center"/>
    </xf>
    <xf numFmtId="3" fontId="0" fillId="2" borderId="22" xfId="0" applyNumberFormat="1" applyFont="1" applyFill="1" applyBorder="1" applyAlignment="1">
      <alignment vertical="center"/>
    </xf>
    <xf numFmtId="0" fontId="0" fillId="2" borderId="2" xfId="0" applyFont="1" applyFill="1" applyBorder="1" applyAlignment="1">
      <alignment horizontal="left" vertical="center" indent="1"/>
    </xf>
    <xf numFmtId="0" fontId="0" fillId="2" borderId="12" xfId="0" applyFont="1" applyFill="1" applyBorder="1" applyAlignment="1">
      <alignment horizontal="left" vertical="center" indent="1"/>
    </xf>
    <xf numFmtId="0" fontId="3" fillId="3" borderId="3" xfId="0" applyFont="1" applyFill="1" applyBorder="1"/>
    <xf numFmtId="0" fontId="3" fillId="3" borderId="4" xfId="0" applyFont="1" applyFill="1" applyBorder="1"/>
    <xf numFmtId="0" fontId="2" fillId="2" borderId="5" xfId="0" applyFont="1" applyFill="1" applyBorder="1" applyAlignment="1">
      <alignment horizontal="right" vertical="center"/>
    </xf>
    <xf numFmtId="0" fontId="3" fillId="3" borderId="6" xfId="0" applyFont="1" applyFill="1" applyBorder="1"/>
    <xf numFmtId="0" fontId="3" fillId="3" borderId="11" xfId="0" applyFont="1" applyFill="1" applyBorder="1"/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3" fontId="7" fillId="2" borderId="1" xfId="0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/>
    </xf>
    <xf numFmtId="0" fontId="2" fillId="2" borderId="17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3" fontId="4" fillId="2" borderId="20" xfId="0" applyNumberFormat="1" applyFont="1" applyFill="1" applyBorder="1" applyAlignment="1">
      <alignment vertical="center"/>
    </xf>
    <xf numFmtId="3" fontId="0" fillId="4" borderId="20" xfId="0" applyNumberFormat="1" applyFont="1" applyFill="1" applyBorder="1" applyAlignment="1">
      <alignment vertical="center"/>
    </xf>
    <xf numFmtId="3" fontId="0" fillId="4" borderId="22" xfId="0" applyNumberFormat="1" applyFont="1" applyFill="1" applyBorder="1" applyAlignment="1">
      <alignment vertical="center"/>
    </xf>
    <xf numFmtId="3" fontId="4" fillId="2" borderId="19" xfId="0" applyNumberFormat="1" applyFont="1" applyFill="1" applyBorder="1" applyAlignment="1">
      <alignment vertical="center"/>
    </xf>
    <xf numFmtId="3" fontId="4" fillId="2" borderId="18" xfId="0" applyNumberFormat="1" applyFont="1" applyFill="1" applyBorder="1" applyAlignment="1">
      <alignment vertical="center"/>
    </xf>
    <xf numFmtId="3" fontId="0" fillId="2" borderId="19" xfId="0" applyNumberFormat="1" applyFont="1" applyFill="1" applyBorder="1" applyAlignment="1">
      <alignment vertical="center"/>
    </xf>
    <xf numFmtId="3" fontId="0" fillId="4" borderId="18" xfId="0" applyNumberFormat="1" applyFont="1" applyFill="1" applyBorder="1" applyAlignment="1">
      <alignment vertical="center"/>
    </xf>
  </cellXfs>
  <cellStyles count="4">
    <cellStyle name="Normal" xfId="0" builtinId="0"/>
    <cellStyle name="Normal 12" xfId="3"/>
    <cellStyle name="Normal 2" xfId="1"/>
    <cellStyle name="Normal 3 2" xfId="2"/>
  </cellStyles>
  <dxfs count="0"/>
  <tableStyles count="0" defaultTableStyle="TableStyleMedium2" defaultPivotStyle="PivotStyleLight16"/>
  <colors>
    <mruColors>
      <color rgb="FFFFFFEB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6.89186743866195E-2"/>
          <c:y val="0.15093206372459256"/>
          <c:w val="0.90403112631198579"/>
          <c:h val="0.73580235610083622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'18.2'!$W$23</c:f>
              <c:strCache>
                <c:ptCount val="1"/>
                <c:pt idx="0">
                  <c:v>2016</c:v>
                </c:pt>
              </c:strCache>
            </c:strRef>
          </c:tx>
          <c:spPr>
            <a:solidFill>
              <a:srgbClr val="BF9000"/>
            </a:solidFill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0" i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'18.2'!$V$24:$V$27</c:f>
              <c:strCache>
                <c:ptCount val="4"/>
                <c:pt idx="0">
                  <c:v>Basic pension</c:v>
                </c:pt>
                <c:pt idx="1">
                  <c:v>Other  pension</c:v>
                </c:pt>
                <c:pt idx="2">
                  <c:v>Retirement  pension</c:v>
                </c:pt>
                <c:pt idx="3">
                  <c:v> Senior Citizen Allowance</c:v>
                </c:pt>
              </c:strCache>
            </c:strRef>
          </c:cat>
          <c:val>
            <c:numRef>
              <c:f>'18.2'!$W$24:$W$27</c:f>
              <c:numCache>
                <c:formatCode>_(* #,##0_);_(* \(#,##0\);_(* "-"??_);_(@_)</c:formatCode>
                <c:ptCount val="4"/>
                <c:pt idx="0">
                  <c:v>432.11594074999999</c:v>
                </c:pt>
                <c:pt idx="1">
                  <c:v>264.84195393999994</c:v>
                </c:pt>
                <c:pt idx="2">
                  <c:v>49.178627069999997</c:v>
                </c:pt>
                <c:pt idx="3">
                  <c:v>533.48253769000007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4ACB-4276-B2A7-EE61FC27565F}"/>
            </c:ext>
          </c:extLst>
        </c:ser>
        <c:ser>
          <c:idx val="1"/>
          <c:order val="1"/>
          <c:tx>
            <c:strRef>
              <c:f>'18.2'!$X$23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rgbClr val="FFD966"/>
            </a:solidFill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0" i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'18.2'!$V$24:$V$27</c:f>
              <c:strCache>
                <c:ptCount val="4"/>
                <c:pt idx="0">
                  <c:v>Basic pension</c:v>
                </c:pt>
                <c:pt idx="1">
                  <c:v>Other  pension</c:v>
                </c:pt>
                <c:pt idx="2">
                  <c:v>Retirement  pension</c:v>
                </c:pt>
                <c:pt idx="3">
                  <c:v> Senior Citizen Allowance</c:v>
                </c:pt>
              </c:strCache>
            </c:strRef>
          </c:cat>
          <c:val>
            <c:numRef>
              <c:f>'18.2'!$X$24:$X$27</c:f>
              <c:numCache>
                <c:formatCode>_(* #,##0_);_(* \(#,##0\);_(* "-"??_);_(@_)</c:formatCode>
                <c:ptCount val="4"/>
                <c:pt idx="0">
                  <c:v>435.25136824000003</c:v>
                </c:pt>
                <c:pt idx="1">
                  <c:v>270.65722773000005</c:v>
                </c:pt>
                <c:pt idx="2">
                  <c:v>54.585241880000005</c:v>
                </c:pt>
                <c:pt idx="3">
                  <c:v>539.03694702999996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1-4ACB-4276-B2A7-EE61FC27565F}"/>
            </c:ext>
          </c:extLst>
        </c:ser>
        <c:ser>
          <c:idx val="2"/>
          <c:order val="2"/>
          <c:tx>
            <c:strRef>
              <c:f>'18.2'!$Y$23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rgbClr val="7F6000"/>
            </a:solidFill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0" i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'18.2'!$V$24:$V$27</c:f>
              <c:strCache>
                <c:ptCount val="4"/>
                <c:pt idx="0">
                  <c:v>Basic pension</c:v>
                </c:pt>
                <c:pt idx="1">
                  <c:v>Other  pension</c:v>
                </c:pt>
                <c:pt idx="2">
                  <c:v>Retirement  pension</c:v>
                </c:pt>
                <c:pt idx="3">
                  <c:v> Senior Citizen Allowance</c:v>
                </c:pt>
              </c:strCache>
            </c:strRef>
          </c:cat>
          <c:val>
            <c:numRef>
              <c:f>'18.2'!$Y$24:$Y$27</c:f>
              <c:numCache>
                <c:formatCode>_(* #,##0_);_(* \(#,##0\);_(* "-"??_);_(@_)</c:formatCode>
                <c:ptCount val="4"/>
                <c:pt idx="0">
                  <c:v>443.15210785000011</c:v>
                </c:pt>
                <c:pt idx="1">
                  <c:v>280.56057788999999</c:v>
                </c:pt>
                <c:pt idx="2">
                  <c:v>58.618929450000003</c:v>
                </c:pt>
                <c:pt idx="3">
                  <c:v>550.82376364999993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2-4ACB-4276-B2A7-EE61FC2756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9487093"/>
        <c:axId val="114171201"/>
      </c:barChart>
      <c:catAx>
        <c:axId val="209487093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/>
          <a:lstStyle/>
          <a:p>
            <a:pPr lvl="0">
              <a:defRPr b="1" i="0"/>
            </a:pPr>
            <a:endParaRPr lang="en-US"/>
          </a:p>
        </c:txPr>
        <c:crossAx val="114171201"/>
        <c:crosses val="autoZero"/>
        <c:auto val="1"/>
        <c:lblAlgn val="ctr"/>
        <c:lblOffset val="100"/>
        <c:noMultiLvlLbl val="1"/>
      </c:catAx>
      <c:valAx>
        <c:axId val="114171201"/>
        <c:scaling>
          <c:orientation val="minMax"/>
        </c:scaling>
        <c:delete val="0"/>
        <c:axPos val="l"/>
        <c:majorGridlines>
          <c:spPr>
            <a:ln>
              <a:solidFill>
                <a:schemeClr val="bg1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800" b="1" i="0"/>
                </a:pPr>
                <a:r>
                  <a:rPr lang="en-US"/>
                  <a:t>In million MVR</a:t>
                </a:r>
              </a:p>
            </c:rich>
          </c:tx>
          <c:layout/>
          <c:overlay val="0"/>
        </c:title>
        <c:numFmt formatCode="_(* #,##0_);_(* \(#,##0\);_(* &quot;-&quot;??_);_(@_)" sourceLinked="1"/>
        <c:majorTickMark val="cross"/>
        <c:minorTickMark val="cross"/>
        <c:tickLblPos val="nextTo"/>
        <c:spPr>
          <a:ln w="47625">
            <a:noFill/>
          </a:ln>
        </c:spPr>
        <c:txPr>
          <a:bodyPr/>
          <a:lstStyle/>
          <a:p>
            <a:pPr lvl="0">
              <a:defRPr b="1" i="0"/>
            </a:pPr>
            <a:endParaRPr lang="en-US"/>
          </a:p>
        </c:txPr>
        <c:crossAx val="209487093"/>
        <c:crosses val="autoZero"/>
        <c:crossBetween val="between"/>
      </c:valAx>
      <c:spPr>
        <a:solidFill>
          <a:schemeClr val="bg1"/>
        </a:solidFill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3868630428954124"/>
          <c:y val="0.20494414942318259"/>
          <c:w val="0.2928399334435608"/>
          <c:h val="5.5227675028993471E-2"/>
        </c:manualLayout>
      </c:layout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381001</xdr:colOff>
      <xdr:row>22</xdr:row>
      <xdr:rowOff>152400</xdr:rowOff>
    </xdr:from>
    <xdr:ext cx="7619999" cy="3276600"/>
    <xdr:graphicFrame macro=""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3</xdr:col>
      <xdr:colOff>76200</xdr:colOff>
      <xdr:row>23</xdr:row>
      <xdr:rowOff>133350</xdr:rowOff>
    </xdr:from>
    <xdr:ext cx="5400675" cy="266700"/>
    <xdr:sp macro="" textlink="">
      <xdr:nvSpPr>
        <xdr:cNvPr id="3" name="Shape 3"/>
        <xdr:cNvSpPr txBox="1"/>
      </xdr:nvSpPr>
      <xdr:spPr>
        <a:xfrm>
          <a:off x="2324100" y="5686425"/>
          <a:ext cx="5400675" cy="266700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263"/>
            <a:buFont typeface="Consolas"/>
            <a:buNone/>
          </a:pPr>
          <a:r>
            <a:rPr lang="en-US" sz="1050" b="1" i="0">
              <a:solidFill>
                <a:schemeClr val="dk1"/>
              </a:solidFill>
              <a:latin typeface="Consolas"/>
              <a:ea typeface="Consolas"/>
              <a:cs typeface="Consolas"/>
              <a:sym typeface="Consolas"/>
            </a:rPr>
            <a:t>Figure 18.4: Pension payments made under different schemes, 2016 - 2018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200"/>
            <a:buFont typeface="Arial"/>
            <a:buNone/>
          </a:pPr>
          <a:endParaRPr sz="12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D285"/>
  <sheetViews>
    <sheetView tabSelected="1" zoomScaleNormal="100" workbookViewId="0">
      <selection activeCell="R11" sqref="R11"/>
    </sheetView>
  </sheetViews>
  <sheetFormatPr defaultColWidth="14.42578125" defaultRowHeight="15" customHeight="1" x14ac:dyDescent="0.25"/>
  <cols>
    <col min="1" max="1" width="9.7109375" style="2" customWidth="1"/>
    <col min="2" max="13" width="12" style="2" customWidth="1"/>
    <col min="14" max="14" width="14.42578125" style="2" customWidth="1"/>
    <col min="15" max="20" width="15.140625" style="2" customWidth="1"/>
    <col min="21" max="21" width="24.7109375" style="2" customWidth="1"/>
    <col min="22" max="22" width="17" style="2" customWidth="1"/>
    <col min="23" max="25" width="10" style="2" customWidth="1"/>
    <col min="26" max="26" width="13.140625" style="2" customWidth="1"/>
    <col min="27" max="27" width="15.140625" style="2" customWidth="1"/>
    <col min="28" max="16384" width="14.42578125" style="2"/>
  </cols>
  <sheetData>
    <row r="1" spans="1:27" ht="20.25" customHeight="1" x14ac:dyDescent="0.25">
      <c r="A1" s="63" t="s">
        <v>42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9"/>
      <c r="O1" s="12"/>
      <c r="P1" s="12"/>
      <c r="Q1" s="12"/>
      <c r="R1" s="12"/>
      <c r="S1" s="12"/>
      <c r="T1" s="12"/>
      <c r="U1" s="64"/>
      <c r="V1" s="58"/>
      <c r="W1" s="1"/>
      <c r="X1" s="1"/>
      <c r="Y1" s="13"/>
      <c r="Z1" s="1"/>
      <c r="AA1" s="1"/>
    </row>
    <row r="2" spans="1:27" x14ac:dyDescent="0.25">
      <c r="A2" s="66" t="s">
        <v>43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9"/>
      <c r="O2" s="3"/>
      <c r="P2" s="3"/>
      <c r="Q2" s="3"/>
      <c r="R2" s="3"/>
      <c r="S2" s="3"/>
      <c r="T2" s="3"/>
      <c r="U2" s="1"/>
      <c r="V2" s="14"/>
      <c r="W2" s="15"/>
      <c r="X2" s="15"/>
      <c r="Y2" s="16"/>
      <c r="Z2" s="1"/>
      <c r="AA2" s="1"/>
    </row>
    <row r="3" spans="1:27" ht="17.25" customHeight="1" x14ac:dyDescent="0.25">
      <c r="A3" s="67" t="s">
        <v>0</v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9"/>
      <c r="O3" s="3"/>
      <c r="P3" s="3"/>
      <c r="Q3" s="3"/>
      <c r="R3" s="3"/>
      <c r="S3" s="3"/>
      <c r="T3" s="3"/>
      <c r="U3" s="5"/>
      <c r="V3" s="18"/>
      <c r="W3" s="19"/>
      <c r="X3" s="19"/>
      <c r="Y3" s="20"/>
      <c r="Z3" s="1"/>
      <c r="AA3" s="1"/>
    </row>
    <row r="4" spans="1:27" ht="1.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4"/>
      <c r="W4" s="15"/>
      <c r="X4" s="15"/>
      <c r="Y4" s="16"/>
      <c r="Z4" s="1"/>
      <c r="AA4" s="1"/>
    </row>
    <row r="5" spans="1:27" ht="17.25" customHeight="1" x14ac:dyDescent="0.25">
      <c r="A5" s="65" t="s">
        <v>1</v>
      </c>
      <c r="B5" s="70" t="s">
        <v>2</v>
      </c>
      <c r="C5" s="70"/>
      <c r="D5" s="70"/>
      <c r="E5" s="69" t="s">
        <v>3</v>
      </c>
      <c r="F5" s="70"/>
      <c r="G5" s="71"/>
      <c r="H5" s="69" t="s">
        <v>4</v>
      </c>
      <c r="I5" s="70"/>
      <c r="J5" s="71"/>
      <c r="K5" s="69" t="s">
        <v>5</v>
      </c>
      <c r="L5" s="70"/>
      <c r="M5" s="70"/>
      <c r="N5" s="60" t="s">
        <v>6</v>
      </c>
      <c r="O5" s="4"/>
      <c r="P5" s="4"/>
      <c r="Q5" s="4"/>
      <c r="R5" s="4"/>
      <c r="S5" s="4"/>
      <c r="T5" s="4"/>
      <c r="U5" s="1"/>
      <c r="V5" s="14"/>
      <c r="W5" s="15"/>
      <c r="X5" s="15"/>
      <c r="Y5" s="16"/>
      <c r="Z5" s="1"/>
      <c r="AA5" s="1"/>
    </row>
    <row r="6" spans="1:27" ht="15" customHeight="1" x14ac:dyDescent="0.25">
      <c r="A6" s="61"/>
      <c r="B6" s="75" t="s">
        <v>8</v>
      </c>
      <c r="C6" s="75"/>
      <c r="D6" s="75"/>
      <c r="E6" s="77" t="s">
        <v>9</v>
      </c>
      <c r="F6" s="75"/>
      <c r="G6" s="76"/>
      <c r="H6" s="72" t="s">
        <v>10</v>
      </c>
      <c r="I6" s="73"/>
      <c r="J6" s="74"/>
      <c r="K6" s="72" t="s">
        <v>11</v>
      </c>
      <c r="L6" s="73"/>
      <c r="M6" s="73"/>
      <c r="N6" s="61"/>
      <c r="O6" s="4"/>
      <c r="P6" s="4"/>
      <c r="Q6" s="4"/>
      <c r="R6" s="4"/>
      <c r="S6" s="4"/>
      <c r="T6" s="4"/>
      <c r="U6" s="1"/>
      <c r="V6" s="14"/>
      <c r="W6" s="15"/>
      <c r="X6" s="15"/>
      <c r="Y6" s="16"/>
      <c r="Z6" s="1"/>
      <c r="AA6" s="1"/>
    </row>
    <row r="7" spans="1:27" ht="18" customHeight="1" x14ac:dyDescent="0.25">
      <c r="A7" s="62"/>
      <c r="B7" s="6">
        <v>2016</v>
      </c>
      <c r="C7" s="6">
        <v>2017</v>
      </c>
      <c r="D7" s="8">
        <v>2018</v>
      </c>
      <c r="E7" s="9">
        <v>2016</v>
      </c>
      <c r="F7" s="8">
        <v>2017</v>
      </c>
      <c r="G7" s="10">
        <v>2018</v>
      </c>
      <c r="H7" s="6">
        <v>2016</v>
      </c>
      <c r="I7" s="6">
        <v>2017</v>
      </c>
      <c r="J7" s="7">
        <v>2018</v>
      </c>
      <c r="K7" s="6">
        <v>2016</v>
      </c>
      <c r="L7" s="6">
        <v>2017</v>
      </c>
      <c r="M7" s="6">
        <v>2018</v>
      </c>
      <c r="N7" s="62"/>
      <c r="O7" s="4"/>
      <c r="P7" s="4"/>
      <c r="Q7" s="4"/>
      <c r="R7" s="4"/>
      <c r="S7" s="4"/>
      <c r="T7" s="4"/>
      <c r="U7" s="1"/>
      <c r="V7" s="14"/>
      <c r="W7" s="15"/>
      <c r="X7" s="15"/>
      <c r="Y7" s="16"/>
      <c r="Z7" s="1"/>
      <c r="AA7" s="1"/>
    </row>
    <row r="8" spans="1:27" ht="21.75" customHeight="1" x14ac:dyDescent="0.25">
      <c r="A8" s="21" t="s">
        <v>12</v>
      </c>
      <c r="B8" s="23">
        <f t="shared" ref="B8:M8" si="0">SUM(B9:B20)</f>
        <v>432115940.75</v>
      </c>
      <c r="C8" s="23">
        <f t="shared" si="0"/>
        <v>435251368.24000001</v>
      </c>
      <c r="D8" s="78">
        <f t="shared" si="0"/>
        <v>443152107.85000008</v>
      </c>
      <c r="E8" s="81">
        <f t="shared" si="0"/>
        <v>49178627.07</v>
      </c>
      <c r="F8" s="78">
        <f t="shared" si="0"/>
        <v>54585241.880000003</v>
      </c>
      <c r="G8" s="82">
        <f t="shared" si="0"/>
        <v>58618929.450000003</v>
      </c>
      <c r="H8" s="23">
        <f t="shared" si="0"/>
        <v>264841953.93999997</v>
      </c>
      <c r="I8" s="23">
        <f t="shared" si="0"/>
        <v>270657227.73000002</v>
      </c>
      <c r="J8" s="24">
        <f t="shared" si="0"/>
        <v>280560577.88999999</v>
      </c>
      <c r="K8" s="22">
        <f t="shared" si="0"/>
        <v>533482537.69000006</v>
      </c>
      <c r="L8" s="22">
        <f t="shared" si="0"/>
        <v>539036947.02999997</v>
      </c>
      <c r="M8" s="22">
        <f t="shared" si="0"/>
        <v>550823763.64999998</v>
      </c>
      <c r="N8" s="25" t="s">
        <v>7</v>
      </c>
      <c r="O8" s="25"/>
      <c r="P8" s="25"/>
      <c r="Q8" s="25"/>
      <c r="R8" s="25"/>
      <c r="S8" s="25"/>
      <c r="T8" s="25"/>
      <c r="U8" s="1"/>
      <c r="V8" s="14"/>
      <c r="W8" s="15"/>
      <c r="X8" s="15"/>
      <c r="Y8" s="16"/>
      <c r="Z8" s="1"/>
      <c r="AA8" s="1"/>
    </row>
    <row r="9" spans="1:27" ht="21.75" customHeight="1" x14ac:dyDescent="0.25">
      <c r="A9" s="56" t="s">
        <v>13</v>
      </c>
      <c r="B9" s="26">
        <v>35955634.759999998</v>
      </c>
      <c r="C9" s="26">
        <v>35968949.509999998</v>
      </c>
      <c r="D9" s="79">
        <v>36747189</v>
      </c>
      <c r="E9" s="83">
        <v>5056147.95</v>
      </c>
      <c r="F9" s="54">
        <v>3393007.22</v>
      </c>
      <c r="G9" s="84">
        <v>4966924.1900000004</v>
      </c>
      <c r="H9" s="26">
        <v>23053097.239999998</v>
      </c>
      <c r="I9" s="26">
        <v>21353747.300000001</v>
      </c>
      <c r="J9" s="27">
        <v>22997843.920000002</v>
      </c>
      <c r="K9" s="28">
        <v>44468675.030000001</v>
      </c>
      <c r="L9" s="28">
        <v>44461770.149999999</v>
      </c>
      <c r="M9" s="29">
        <v>45577506.369999997</v>
      </c>
      <c r="N9" s="30" t="s">
        <v>14</v>
      </c>
      <c r="O9" s="30"/>
      <c r="P9" s="30"/>
      <c r="Q9" s="31"/>
      <c r="R9" s="30"/>
      <c r="S9" s="30"/>
      <c r="T9" s="30"/>
      <c r="U9" s="32"/>
      <c r="V9" s="33"/>
      <c r="W9" s="15"/>
      <c r="X9" s="15"/>
      <c r="Y9" s="16"/>
      <c r="Z9" s="1"/>
      <c r="AA9" s="1"/>
    </row>
    <row r="10" spans="1:27" ht="21.75" customHeight="1" x14ac:dyDescent="0.25">
      <c r="A10" s="56" t="s">
        <v>15</v>
      </c>
      <c r="B10" s="26">
        <v>36146670.710000001</v>
      </c>
      <c r="C10" s="26">
        <v>36236211.920000002</v>
      </c>
      <c r="D10" s="79">
        <v>37048460.609999999</v>
      </c>
      <c r="E10" s="83">
        <v>3751901.32</v>
      </c>
      <c r="F10" s="54">
        <v>2997796.21</v>
      </c>
      <c r="G10" s="84">
        <v>4755147.32</v>
      </c>
      <c r="H10" s="26">
        <v>21518501.73</v>
      </c>
      <c r="I10" s="26">
        <v>24529736.510000002</v>
      </c>
      <c r="J10" s="27">
        <v>25982204.170000002</v>
      </c>
      <c r="K10" s="28">
        <v>44633060.780000001</v>
      </c>
      <c r="L10" s="28">
        <v>44810914.170000002</v>
      </c>
      <c r="M10" s="29">
        <v>46034387.5</v>
      </c>
      <c r="N10" s="30" t="s">
        <v>16</v>
      </c>
      <c r="O10" s="30"/>
      <c r="P10" s="30"/>
      <c r="Q10" s="31"/>
      <c r="R10" s="30"/>
      <c r="S10" s="30"/>
      <c r="T10" s="30"/>
      <c r="U10" s="1"/>
      <c r="V10" s="33"/>
      <c r="W10" s="15"/>
      <c r="X10" s="15"/>
      <c r="Y10" s="16"/>
      <c r="Z10" s="1"/>
      <c r="AA10" s="1"/>
    </row>
    <row r="11" spans="1:27" ht="21.75" customHeight="1" x14ac:dyDescent="0.25">
      <c r="A11" s="56" t="s">
        <v>17</v>
      </c>
      <c r="B11" s="26">
        <v>36063389.189999998</v>
      </c>
      <c r="C11" s="26">
        <v>36116743.340000004</v>
      </c>
      <c r="D11" s="79">
        <v>36970764.030000001</v>
      </c>
      <c r="E11" s="83">
        <v>3369545.15</v>
      </c>
      <c r="F11" s="54">
        <v>4636382.8099999996</v>
      </c>
      <c r="G11" s="84">
        <v>6350919.9199999999</v>
      </c>
      <c r="H11" s="26">
        <v>21786624.140000001</v>
      </c>
      <c r="I11" s="26">
        <v>20762005.899999999</v>
      </c>
      <c r="J11" s="27">
        <v>23647457.32</v>
      </c>
      <c r="K11" s="28">
        <v>44537862.530000001</v>
      </c>
      <c r="L11" s="28">
        <v>44721757.189999998</v>
      </c>
      <c r="M11" s="29">
        <v>45909139.420000002</v>
      </c>
      <c r="N11" s="30" t="s">
        <v>18</v>
      </c>
      <c r="O11" s="30"/>
      <c r="P11" s="30"/>
      <c r="Q11" s="31"/>
      <c r="R11" s="30"/>
      <c r="S11" s="30"/>
      <c r="T11" s="30"/>
      <c r="U11" s="1"/>
      <c r="V11" s="33"/>
      <c r="W11" s="15"/>
      <c r="X11" s="15"/>
      <c r="Y11" s="16"/>
      <c r="Z11" s="1"/>
      <c r="AA11" s="1"/>
    </row>
    <row r="12" spans="1:27" ht="21.75" customHeight="1" x14ac:dyDescent="0.25">
      <c r="A12" s="56" t="s">
        <v>19</v>
      </c>
      <c r="B12" s="26">
        <v>36068663.939999998</v>
      </c>
      <c r="C12" s="26">
        <v>36230750.740000002</v>
      </c>
      <c r="D12" s="79">
        <v>37007732.969999999</v>
      </c>
      <c r="E12" s="83">
        <v>4183948.61</v>
      </c>
      <c r="F12" s="54">
        <v>6677343.46</v>
      </c>
      <c r="G12" s="84">
        <v>3639247.26</v>
      </c>
      <c r="H12" s="26">
        <v>22144329.760000002</v>
      </c>
      <c r="I12" s="26">
        <v>24685532.059999999</v>
      </c>
      <c r="J12" s="27">
        <v>23186276.129999999</v>
      </c>
      <c r="K12" s="28">
        <v>44571685.759999998</v>
      </c>
      <c r="L12" s="28">
        <v>44880317.399999999</v>
      </c>
      <c r="M12" s="29">
        <v>45996533.189999998</v>
      </c>
      <c r="N12" s="30" t="s">
        <v>20</v>
      </c>
      <c r="O12" s="30"/>
      <c r="P12" s="30"/>
      <c r="Q12" s="31"/>
      <c r="R12" s="30"/>
      <c r="S12" s="30"/>
      <c r="T12" s="30"/>
      <c r="U12" s="1"/>
      <c r="V12" s="33"/>
      <c r="W12" s="15"/>
      <c r="X12" s="15"/>
      <c r="Y12" s="16"/>
      <c r="Z12" s="1"/>
      <c r="AA12" s="1"/>
    </row>
    <row r="13" spans="1:27" ht="21.75" customHeight="1" x14ac:dyDescent="0.25">
      <c r="A13" s="56" t="s">
        <v>21</v>
      </c>
      <c r="B13" s="26">
        <v>36109165.07</v>
      </c>
      <c r="C13" s="26">
        <v>36355611.409999996</v>
      </c>
      <c r="D13" s="79">
        <v>36938771.509999998</v>
      </c>
      <c r="E13" s="83">
        <v>3487923.03</v>
      </c>
      <c r="F13" s="54">
        <v>5085268.92</v>
      </c>
      <c r="G13" s="84">
        <v>3884879.53</v>
      </c>
      <c r="H13" s="26">
        <v>23541403.390000001</v>
      </c>
      <c r="I13" s="26">
        <v>22403673.059999999</v>
      </c>
      <c r="J13" s="27">
        <v>24211040.039999999</v>
      </c>
      <c r="K13" s="28">
        <v>44559908.899999999</v>
      </c>
      <c r="L13" s="28">
        <v>45031827.07</v>
      </c>
      <c r="M13" s="29">
        <v>45905014</v>
      </c>
      <c r="N13" s="30" t="s">
        <v>22</v>
      </c>
      <c r="O13" s="30"/>
      <c r="P13" s="30"/>
      <c r="Q13" s="30"/>
      <c r="R13" s="30"/>
      <c r="S13" s="30"/>
      <c r="T13" s="30"/>
      <c r="U13" s="1"/>
      <c r="V13" s="33"/>
      <c r="W13" s="15"/>
      <c r="X13" s="15"/>
      <c r="Y13" s="16"/>
      <c r="Z13" s="1"/>
      <c r="AA13" s="1"/>
    </row>
    <row r="14" spans="1:27" ht="21.75" customHeight="1" x14ac:dyDescent="0.25">
      <c r="A14" s="56" t="s">
        <v>23</v>
      </c>
      <c r="B14" s="26">
        <v>36029004.759999998</v>
      </c>
      <c r="C14" s="26">
        <v>36298219.840000004</v>
      </c>
      <c r="D14" s="79">
        <v>36925696.890000001</v>
      </c>
      <c r="E14" s="83">
        <v>4518197.97</v>
      </c>
      <c r="F14" s="54">
        <v>3981105.07</v>
      </c>
      <c r="G14" s="84">
        <v>5207816.67</v>
      </c>
      <c r="H14" s="26">
        <v>21892976.16</v>
      </c>
      <c r="I14" s="26">
        <v>20519433.440000001</v>
      </c>
      <c r="J14" s="27">
        <v>22605156.52</v>
      </c>
      <c r="K14" s="28">
        <v>44460131.060000002</v>
      </c>
      <c r="L14" s="28">
        <v>44946197.149999999</v>
      </c>
      <c r="M14" s="29">
        <v>45901185.25</v>
      </c>
      <c r="N14" s="30" t="s">
        <v>24</v>
      </c>
      <c r="O14" s="30"/>
      <c r="P14" s="30"/>
      <c r="Q14" s="30"/>
      <c r="R14" s="30"/>
      <c r="S14" s="30"/>
      <c r="T14" s="30"/>
      <c r="U14" s="1"/>
      <c r="V14" s="33"/>
      <c r="W14" s="15"/>
      <c r="X14" s="15"/>
      <c r="Y14" s="16"/>
      <c r="Z14" s="1"/>
      <c r="AA14" s="1"/>
    </row>
    <row r="15" spans="1:27" ht="21.75" customHeight="1" x14ac:dyDescent="0.25">
      <c r="A15" s="56" t="s">
        <v>25</v>
      </c>
      <c r="B15" s="26">
        <v>36001644.68</v>
      </c>
      <c r="C15" s="26">
        <v>36318836.100000001</v>
      </c>
      <c r="D15" s="79">
        <v>36963420.649999999</v>
      </c>
      <c r="E15" s="83">
        <v>2699440.83</v>
      </c>
      <c r="F15" s="54">
        <v>5261600.0999999996</v>
      </c>
      <c r="G15" s="84">
        <v>5418440.29</v>
      </c>
      <c r="H15" s="26">
        <v>21128570.030000001</v>
      </c>
      <c r="I15" s="26">
        <v>24752976.48</v>
      </c>
      <c r="J15" s="27">
        <v>21475970.510000002</v>
      </c>
      <c r="K15" s="28">
        <v>44393636.399999999</v>
      </c>
      <c r="L15" s="28">
        <v>44989173.789999999</v>
      </c>
      <c r="M15" s="29">
        <v>45986715.799999997</v>
      </c>
      <c r="N15" s="30" t="s">
        <v>26</v>
      </c>
      <c r="O15" s="30"/>
      <c r="P15" s="30"/>
      <c r="Q15" s="30"/>
      <c r="R15" s="30"/>
      <c r="S15" s="30"/>
      <c r="T15" s="30"/>
      <c r="U15" s="1"/>
      <c r="V15" s="33"/>
      <c r="W15" s="15"/>
      <c r="X15" s="15"/>
      <c r="Y15" s="16"/>
      <c r="Z15" s="1"/>
      <c r="AA15" s="1"/>
    </row>
    <row r="16" spans="1:27" ht="21.75" customHeight="1" x14ac:dyDescent="0.25">
      <c r="A16" s="56" t="s">
        <v>27</v>
      </c>
      <c r="B16" s="26">
        <v>36033929.969999999</v>
      </c>
      <c r="C16" s="26">
        <v>36412397.18</v>
      </c>
      <c r="D16" s="79">
        <v>36987685.469999999</v>
      </c>
      <c r="E16" s="83">
        <v>2919856.3</v>
      </c>
      <c r="F16" s="54">
        <v>5162412.24</v>
      </c>
      <c r="G16" s="84">
        <v>4193156.14</v>
      </c>
      <c r="H16" s="26">
        <v>21944891.600000001</v>
      </c>
      <c r="I16" s="26">
        <v>22454599.140000001</v>
      </c>
      <c r="J16" s="27">
        <v>23526425.82</v>
      </c>
      <c r="K16" s="28">
        <v>44528204.109999999</v>
      </c>
      <c r="L16" s="28">
        <v>45041925.409999996</v>
      </c>
      <c r="M16" s="29">
        <v>46020459.649999999</v>
      </c>
      <c r="N16" s="30" t="s">
        <v>28</v>
      </c>
      <c r="O16" s="30"/>
      <c r="P16" s="30"/>
      <c r="Q16" s="30"/>
      <c r="R16" s="30"/>
      <c r="S16" s="30"/>
      <c r="T16" s="30"/>
      <c r="U16" s="1"/>
      <c r="V16" s="33"/>
      <c r="W16" s="15"/>
      <c r="X16" s="15"/>
      <c r="Y16" s="16"/>
      <c r="Z16" s="1"/>
      <c r="AA16" s="1"/>
    </row>
    <row r="17" spans="1:30" ht="21.75" customHeight="1" x14ac:dyDescent="0.25">
      <c r="A17" s="56" t="s">
        <v>29</v>
      </c>
      <c r="B17" s="26">
        <v>36029592.990000002</v>
      </c>
      <c r="C17" s="26">
        <v>36446247.899999999</v>
      </c>
      <c r="D17" s="79">
        <v>36970532.670000002</v>
      </c>
      <c r="E17" s="83">
        <v>5714928.9100000001</v>
      </c>
      <c r="F17" s="54">
        <v>4291130.3600000003</v>
      </c>
      <c r="G17" s="84">
        <v>4639134.76</v>
      </c>
      <c r="H17" s="26">
        <v>21193752.359999999</v>
      </c>
      <c r="I17" s="26">
        <v>22721163.620000001</v>
      </c>
      <c r="J17" s="27">
        <v>23246985.52</v>
      </c>
      <c r="K17" s="28">
        <v>44435147.43</v>
      </c>
      <c r="L17" s="28">
        <v>45281804.299999997</v>
      </c>
      <c r="M17" s="29">
        <v>45982647.130000003</v>
      </c>
      <c r="N17" s="30" t="s">
        <v>30</v>
      </c>
      <c r="O17" s="30"/>
      <c r="P17" s="30"/>
      <c r="Q17" s="30"/>
      <c r="R17" s="30"/>
      <c r="S17" s="30"/>
      <c r="T17" s="30"/>
      <c r="U17" s="1"/>
      <c r="V17" s="33"/>
      <c r="W17" s="15"/>
      <c r="X17" s="15"/>
      <c r="Y17" s="16"/>
      <c r="Z17" s="1"/>
      <c r="AA17" s="1"/>
    </row>
    <row r="18" spans="1:30" ht="21.75" customHeight="1" x14ac:dyDescent="0.25">
      <c r="A18" s="56" t="s">
        <v>31</v>
      </c>
      <c r="B18" s="26">
        <v>35962322.630000003</v>
      </c>
      <c r="C18" s="26">
        <v>36282949.869999997</v>
      </c>
      <c r="D18" s="79">
        <v>36881683.780000001</v>
      </c>
      <c r="E18" s="83">
        <v>5737680.6399999997</v>
      </c>
      <c r="F18" s="54">
        <v>5262311.57</v>
      </c>
      <c r="G18" s="84">
        <v>5013889.07</v>
      </c>
      <c r="H18" s="26">
        <v>22752764.34</v>
      </c>
      <c r="I18" s="26">
        <v>22527771.489999998</v>
      </c>
      <c r="J18" s="27">
        <v>23295345.75</v>
      </c>
      <c r="K18" s="28">
        <v>44405359.340000004</v>
      </c>
      <c r="L18" s="28">
        <v>44969354.149999999</v>
      </c>
      <c r="M18" s="29">
        <v>45894130.229999997</v>
      </c>
      <c r="N18" s="30" t="s">
        <v>32</v>
      </c>
      <c r="O18" s="30"/>
      <c r="P18" s="30"/>
      <c r="Q18" s="30"/>
      <c r="R18" s="30"/>
      <c r="S18" s="30"/>
      <c r="T18" s="30"/>
      <c r="U18" s="1"/>
      <c r="V18" s="33"/>
      <c r="W18" s="15"/>
      <c r="X18" s="15"/>
      <c r="Y18" s="16"/>
      <c r="Z18" s="1"/>
      <c r="AA18" s="1"/>
    </row>
    <row r="19" spans="1:30" ht="21.75" customHeight="1" x14ac:dyDescent="0.55000000000000004">
      <c r="A19" s="56" t="s">
        <v>33</v>
      </c>
      <c r="B19" s="26">
        <v>35841590.75</v>
      </c>
      <c r="C19" s="26">
        <v>36333466.950000003</v>
      </c>
      <c r="D19" s="79">
        <v>36867780.420000002</v>
      </c>
      <c r="E19" s="83">
        <v>6161778.1299999999</v>
      </c>
      <c r="F19" s="54">
        <v>4462791.46</v>
      </c>
      <c r="G19" s="84">
        <v>6112626.2000000002</v>
      </c>
      <c r="H19" s="26">
        <v>22374591.18</v>
      </c>
      <c r="I19" s="26">
        <v>22169535.789999999</v>
      </c>
      <c r="J19" s="27">
        <v>23794397.079999998</v>
      </c>
      <c r="K19" s="28">
        <v>44228858.57</v>
      </c>
      <c r="L19" s="28">
        <v>45004333.439999998</v>
      </c>
      <c r="M19" s="29">
        <v>45831243.82</v>
      </c>
      <c r="N19" s="34" t="s">
        <v>34</v>
      </c>
      <c r="O19" s="34"/>
      <c r="P19" s="34"/>
      <c r="Q19" s="34"/>
      <c r="R19" s="34"/>
      <c r="S19" s="34"/>
      <c r="T19" s="34"/>
      <c r="U19" s="1"/>
      <c r="V19" s="33"/>
      <c r="W19" s="15"/>
      <c r="X19" s="15"/>
      <c r="Y19" s="16"/>
      <c r="Z19" s="1"/>
      <c r="AA19" s="1"/>
    </row>
    <row r="20" spans="1:30" ht="21.75" customHeight="1" x14ac:dyDescent="0.25">
      <c r="A20" s="57" t="s">
        <v>35</v>
      </c>
      <c r="B20" s="35">
        <v>35874331.299999997</v>
      </c>
      <c r="C20" s="35">
        <v>36250983.479999997</v>
      </c>
      <c r="D20" s="80">
        <v>36842389.850000001</v>
      </c>
      <c r="E20" s="36">
        <v>1577278.23</v>
      </c>
      <c r="F20" s="55">
        <v>3374092.46</v>
      </c>
      <c r="G20" s="37">
        <v>4436748.0999999996</v>
      </c>
      <c r="H20" s="35">
        <v>21510452.010000002</v>
      </c>
      <c r="I20" s="35">
        <v>21777052.940000001</v>
      </c>
      <c r="J20" s="37">
        <v>22591475.109999999</v>
      </c>
      <c r="K20" s="38">
        <v>44260007.780000001</v>
      </c>
      <c r="L20" s="38">
        <v>44897572.810000002</v>
      </c>
      <c r="M20" s="39">
        <v>45784801.289999999</v>
      </c>
      <c r="N20" s="40" t="s">
        <v>36</v>
      </c>
      <c r="O20" s="30"/>
      <c r="P20" s="30"/>
      <c r="Q20" s="30"/>
      <c r="R20" s="30"/>
      <c r="S20" s="30"/>
      <c r="T20" s="30"/>
      <c r="U20" s="1"/>
      <c r="V20" s="33"/>
      <c r="W20" s="15"/>
      <c r="X20" s="15"/>
      <c r="Y20" s="16"/>
      <c r="Z20" s="1"/>
      <c r="AA20" s="1"/>
    </row>
    <row r="21" spans="1:30" ht="17.25" customHeight="1" x14ac:dyDescent="0.25">
      <c r="A21" s="41" t="s">
        <v>37</v>
      </c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3" t="s">
        <v>38</v>
      </c>
      <c r="O21" s="43"/>
      <c r="P21" s="43"/>
      <c r="Q21" s="43"/>
      <c r="R21" s="43"/>
      <c r="S21" s="43"/>
      <c r="T21" s="43"/>
      <c r="U21" s="42"/>
      <c r="V21" s="33"/>
      <c r="W21" s="14"/>
      <c r="X21" s="14"/>
      <c r="Y21" s="44"/>
      <c r="Z21" s="1"/>
      <c r="AA21" s="1"/>
    </row>
    <row r="22" spans="1:30" ht="17.25" customHeight="1" x14ac:dyDescent="0.45">
      <c r="A22" s="45" t="s">
        <v>39</v>
      </c>
      <c r="B22" s="42"/>
      <c r="C22" s="42"/>
      <c r="D22" s="42"/>
      <c r="E22" s="46"/>
      <c r="F22" s="46"/>
      <c r="G22" s="46"/>
      <c r="H22" s="42"/>
      <c r="I22" s="42"/>
      <c r="J22" s="42"/>
      <c r="K22" s="42"/>
      <c r="L22" s="42"/>
      <c r="M22" s="42"/>
      <c r="N22" s="47" t="s">
        <v>40</v>
      </c>
      <c r="O22" s="48"/>
      <c r="P22" s="48"/>
      <c r="Q22" s="48"/>
      <c r="R22" s="48"/>
      <c r="S22" s="48"/>
      <c r="T22" s="48"/>
      <c r="U22" s="42"/>
      <c r="V22" s="33"/>
      <c r="W22" s="42"/>
      <c r="X22" s="42"/>
      <c r="Y22" s="49"/>
      <c r="Z22" s="68" t="s">
        <v>41</v>
      </c>
      <c r="AA22" s="58"/>
      <c r="AB22" s="58"/>
      <c r="AC22" s="59"/>
    </row>
    <row r="23" spans="1:30" ht="15.7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33"/>
      <c r="W23" s="14">
        <v>2016</v>
      </c>
      <c r="X23" s="14">
        <v>2017</v>
      </c>
      <c r="Y23" s="14">
        <v>2018</v>
      </c>
      <c r="Z23" s="50">
        <v>2016</v>
      </c>
      <c r="AA23" s="50">
        <v>2017</v>
      </c>
      <c r="AB23" s="50">
        <v>2018</v>
      </c>
    </row>
    <row r="24" spans="1:30" ht="15.75" customHeight="1" x14ac:dyDescent="0.25">
      <c r="A24" s="5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 t="str">
        <f>B6</f>
        <v>Basic pension</v>
      </c>
      <c r="W24" s="11">
        <f>Z24/1000000</f>
        <v>432.11594074999999</v>
      </c>
      <c r="X24" s="11">
        <f>AA24/1000000</f>
        <v>435.25136824000003</v>
      </c>
      <c r="Y24" s="11">
        <f>AB24/1000000</f>
        <v>443.15210785000011</v>
      </c>
      <c r="Z24" s="28">
        <f>B8</f>
        <v>432115940.75</v>
      </c>
      <c r="AA24" s="28">
        <f>C8</f>
        <v>435251368.24000001</v>
      </c>
      <c r="AB24" s="28">
        <f>D8</f>
        <v>443152107.85000008</v>
      </c>
    </row>
    <row r="25" spans="1:30" ht="15.7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 t="str">
        <f>H6</f>
        <v>Other  pension</v>
      </c>
      <c r="W25" s="11">
        <f>Z25/1000000</f>
        <v>264.84195393999994</v>
      </c>
      <c r="X25" s="11">
        <f>AA25/1000000</f>
        <v>270.65722773000005</v>
      </c>
      <c r="Y25" s="11">
        <f>AB25/1000000</f>
        <v>280.56057788999999</v>
      </c>
      <c r="Z25" s="28">
        <f>H8</f>
        <v>264841953.93999997</v>
      </c>
      <c r="AA25" s="28">
        <f>I8</f>
        <v>270657227.73000002</v>
      </c>
      <c r="AB25" s="28">
        <f>J8</f>
        <v>280560577.88999999</v>
      </c>
      <c r="AC25" s="28"/>
      <c r="AD25" s="28"/>
    </row>
    <row r="26" spans="1:30" ht="15.7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 t="str">
        <f>E6</f>
        <v>Retirement  pension</v>
      </c>
      <c r="W26" s="11">
        <f>Z26/1000000</f>
        <v>49.178627069999997</v>
      </c>
      <c r="X26" s="11">
        <f>AA26/1000000</f>
        <v>54.585241880000005</v>
      </c>
      <c r="Y26" s="11">
        <f>AB26/1000000</f>
        <v>58.618929450000003</v>
      </c>
      <c r="Z26" s="28">
        <f>E8</f>
        <v>49178627.07</v>
      </c>
      <c r="AA26" s="28">
        <f>F8</f>
        <v>54585241.880000003</v>
      </c>
      <c r="AB26" s="28">
        <f>G8</f>
        <v>58618929.450000003</v>
      </c>
    </row>
    <row r="27" spans="1:30" ht="15.7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 t="str">
        <f>K6</f>
        <v xml:space="preserve"> Senior Citizen Allowance</v>
      </c>
      <c r="W27" s="11">
        <f>Z27/1000000</f>
        <v>533.48253769000007</v>
      </c>
      <c r="X27" s="11">
        <f>AA27/1000000</f>
        <v>539.03694702999996</v>
      </c>
      <c r="Y27" s="11">
        <f>AB27/1000000</f>
        <v>550.82376364999993</v>
      </c>
      <c r="Z27" s="28">
        <f t="shared" ref="Z27" si="1">K8</f>
        <v>533482537.69000006</v>
      </c>
      <c r="AA27" s="28">
        <f t="shared" ref="AA27" si="2">L8</f>
        <v>539036947.02999997</v>
      </c>
      <c r="AB27" s="28">
        <f t="shared" ref="AB27" si="3">M8</f>
        <v>550823763.64999998</v>
      </c>
    </row>
    <row r="28" spans="1:30" ht="15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4"/>
      <c r="W28" s="1"/>
      <c r="X28" s="1"/>
      <c r="Y28" s="13"/>
      <c r="Z28" s="51"/>
      <c r="AA28" s="1"/>
      <c r="AB28" s="52">
        <f>SUM(AB24:AB27)</f>
        <v>1333155378.8400002</v>
      </c>
    </row>
    <row r="29" spans="1:30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4"/>
      <c r="W29" s="17"/>
      <c r="X29" s="17"/>
      <c r="Y29" s="53"/>
      <c r="Z29" s="1"/>
      <c r="AA29" s="1"/>
    </row>
    <row r="30" spans="1:30" ht="15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3"/>
      <c r="Z30" s="1"/>
      <c r="AA30" s="1"/>
    </row>
    <row r="31" spans="1:30" ht="15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3"/>
      <c r="Z31" s="1"/>
      <c r="AA31" s="1"/>
    </row>
    <row r="32" spans="1:30" ht="15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3"/>
      <c r="Z32" s="1"/>
      <c r="AA32" s="1"/>
    </row>
    <row r="33" spans="1:27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3"/>
      <c r="Z33" s="1"/>
      <c r="AA33" s="1"/>
    </row>
    <row r="34" spans="1:27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3"/>
      <c r="Z34" s="1"/>
      <c r="AA34" s="1"/>
    </row>
    <row r="35" spans="1:27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3"/>
      <c r="Z35" s="1"/>
      <c r="AA35" s="1"/>
    </row>
    <row r="36" spans="1:27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3"/>
      <c r="Z36" s="1"/>
      <c r="AA36" s="1"/>
    </row>
    <row r="37" spans="1:27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3"/>
      <c r="Z37" s="1"/>
      <c r="AA37" s="1"/>
    </row>
    <row r="38" spans="1:27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3"/>
      <c r="Z38" s="1"/>
      <c r="AA38" s="1"/>
    </row>
    <row r="39" spans="1:27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3"/>
      <c r="Z39" s="1"/>
      <c r="AA39" s="1"/>
    </row>
    <row r="40" spans="1:27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3"/>
      <c r="Z40" s="1"/>
      <c r="AA40" s="1"/>
    </row>
    <row r="41" spans="1:27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3"/>
      <c r="Z41" s="1"/>
      <c r="AA41" s="1"/>
    </row>
    <row r="42" spans="1:27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3"/>
      <c r="Z42" s="1"/>
      <c r="AA42" s="1"/>
    </row>
    <row r="43" spans="1:27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3"/>
      <c r="Z43" s="1"/>
      <c r="AA43" s="1"/>
    </row>
    <row r="44" spans="1:27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3"/>
      <c r="Z44" s="1"/>
      <c r="AA44" s="1"/>
    </row>
    <row r="45" spans="1:27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3"/>
      <c r="Z45" s="1"/>
      <c r="AA45" s="1"/>
    </row>
    <row r="46" spans="1:27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3"/>
      <c r="Z46" s="1"/>
      <c r="AA46" s="1"/>
    </row>
    <row r="47" spans="1:27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3"/>
      <c r="Z47" s="1"/>
      <c r="AA47" s="1"/>
    </row>
    <row r="48" spans="1:27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3"/>
      <c r="Z48" s="1"/>
      <c r="AA48" s="1"/>
    </row>
    <row r="49" spans="1:27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3"/>
      <c r="Z49" s="1"/>
      <c r="AA49" s="1"/>
    </row>
    <row r="50" spans="1:27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3"/>
      <c r="Z50" s="1"/>
      <c r="AA50" s="1"/>
    </row>
    <row r="51" spans="1:27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3"/>
      <c r="Z51" s="1"/>
      <c r="AA51" s="1"/>
    </row>
    <row r="52" spans="1:27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3"/>
      <c r="Z52" s="1"/>
      <c r="AA52" s="1"/>
    </row>
    <row r="53" spans="1:27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3"/>
      <c r="Z53" s="1"/>
      <c r="AA53" s="1"/>
    </row>
    <row r="54" spans="1:27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3"/>
      <c r="Z54" s="1"/>
      <c r="AA54" s="1"/>
    </row>
    <row r="55" spans="1:27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3"/>
      <c r="Z55" s="1"/>
      <c r="AA55" s="1"/>
    </row>
    <row r="56" spans="1:27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3"/>
      <c r="Z56" s="1"/>
      <c r="AA56" s="1"/>
    </row>
    <row r="57" spans="1:27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3"/>
      <c r="Z57" s="1"/>
      <c r="AA57" s="1"/>
    </row>
    <row r="58" spans="1:27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3"/>
      <c r="Z58" s="1"/>
      <c r="AA58" s="1"/>
    </row>
    <row r="59" spans="1:27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3"/>
      <c r="Z59" s="1"/>
      <c r="AA59" s="1"/>
    </row>
    <row r="60" spans="1:27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3"/>
      <c r="Z60" s="1"/>
      <c r="AA60" s="1"/>
    </row>
    <row r="61" spans="1:27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3"/>
      <c r="Z61" s="1"/>
      <c r="AA61" s="1"/>
    </row>
    <row r="62" spans="1:27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3"/>
      <c r="Z62" s="1"/>
      <c r="AA62" s="1"/>
    </row>
    <row r="63" spans="1:27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3"/>
      <c r="Z63" s="1"/>
      <c r="AA63" s="1"/>
    </row>
    <row r="64" spans="1:27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3"/>
      <c r="Z64" s="1"/>
      <c r="AA64" s="1"/>
    </row>
    <row r="65" spans="1:27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3"/>
      <c r="Z65" s="1"/>
      <c r="AA65" s="1"/>
    </row>
    <row r="66" spans="1:27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3"/>
      <c r="Z66" s="1"/>
      <c r="AA66" s="1"/>
    </row>
    <row r="67" spans="1:27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3"/>
      <c r="Z67" s="1"/>
      <c r="AA67" s="1"/>
    </row>
    <row r="68" spans="1:27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3"/>
      <c r="Z68" s="1"/>
      <c r="AA68" s="1"/>
    </row>
    <row r="69" spans="1:27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3"/>
      <c r="Z69" s="1"/>
      <c r="AA69" s="1"/>
    </row>
    <row r="70" spans="1:27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3"/>
      <c r="Z70" s="1"/>
      <c r="AA70" s="1"/>
    </row>
    <row r="71" spans="1:27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3"/>
      <c r="Z71" s="1"/>
      <c r="AA71" s="1"/>
    </row>
    <row r="72" spans="1:27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3"/>
      <c r="Z72" s="1"/>
      <c r="AA72" s="1"/>
    </row>
    <row r="73" spans="1:27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3"/>
      <c r="Z73" s="1"/>
      <c r="AA73" s="1"/>
    </row>
    <row r="74" spans="1:27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3"/>
      <c r="Z74" s="1"/>
      <c r="AA74" s="1"/>
    </row>
    <row r="75" spans="1:27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3"/>
      <c r="Z75" s="1"/>
      <c r="AA75" s="1"/>
    </row>
    <row r="76" spans="1:27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3"/>
      <c r="Z76" s="1"/>
      <c r="AA76" s="1"/>
    </row>
    <row r="77" spans="1:27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3"/>
      <c r="Z77" s="1"/>
      <c r="AA77" s="1"/>
    </row>
    <row r="78" spans="1:27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3"/>
      <c r="Z78" s="1"/>
      <c r="AA78" s="1"/>
    </row>
    <row r="79" spans="1:27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3"/>
      <c r="Z79" s="1"/>
      <c r="AA79" s="1"/>
    </row>
    <row r="80" spans="1:27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3"/>
      <c r="Z80" s="1"/>
      <c r="AA80" s="1"/>
    </row>
    <row r="81" spans="1:27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3"/>
      <c r="Z81" s="1"/>
      <c r="AA81" s="1"/>
    </row>
    <row r="82" spans="1:27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3"/>
      <c r="Z82" s="1"/>
      <c r="AA82" s="1"/>
    </row>
    <row r="83" spans="1:27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3"/>
      <c r="Z83" s="1"/>
      <c r="AA83" s="1"/>
    </row>
    <row r="84" spans="1:27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3"/>
      <c r="Z84" s="1"/>
      <c r="AA84" s="1"/>
    </row>
    <row r="85" spans="1:27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3"/>
      <c r="Z85" s="1"/>
      <c r="AA85" s="1"/>
    </row>
    <row r="86" spans="1:27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3"/>
      <c r="Z86" s="1"/>
      <c r="AA86" s="1"/>
    </row>
    <row r="87" spans="1:27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3"/>
      <c r="Z87" s="1"/>
      <c r="AA87" s="1"/>
    </row>
    <row r="88" spans="1:27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3"/>
      <c r="Z88" s="1"/>
      <c r="AA88" s="1"/>
    </row>
    <row r="89" spans="1:27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3"/>
      <c r="Z89" s="1"/>
      <c r="AA89" s="1"/>
    </row>
    <row r="90" spans="1:27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3"/>
      <c r="Z90" s="1"/>
      <c r="AA90" s="1"/>
    </row>
    <row r="91" spans="1:27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3"/>
      <c r="Z91" s="1"/>
      <c r="AA91" s="1"/>
    </row>
    <row r="92" spans="1:27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3"/>
      <c r="Z92" s="1"/>
      <c r="AA92" s="1"/>
    </row>
    <row r="93" spans="1:27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3"/>
      <c r="Z93" s="1"/>
      <c r="AA93" s="1"/>
    </row>
    <row r="94" spans="1:27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3"/>
      <c r="Z94" s="1"/>
      <c r="AA94" s="1"/>
    </row>
    <row r="95" spans="1:27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3"/>
      <c r="Z95" s="1"/>
      <c r="AA95" s="1"/>
    </row>
    <row r="96" spans="1:27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3"/>
      <c r="Z96" s="1"/>
      <c r="AA96" s="1"/>
    </row>
    <row r="97" spans="1:27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3"/>
      <c r="Z97" s="1"/>
      <c r="AA97" s="1"/>
    </row>
    <row r="98" spans="1:27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3"/>
      <c r="Z98" s="1"/>
      <c r="AA98" s="1"/>
    </row>
    <row r="99" spans="1:27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3"/>
      <c r="Z99" s="1"/>
      <c r="AA99" s="1"/>
    </row>
    <row r="100" spans="1:27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3"/>
      <c r="Z100" s="1"/>
      <c r="AA100" s="1"/>
    </row>
    <row r="101" spans="1:27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3"/>
      <c r="Z101" s="1"/>
      <c r="AA101" s="1"/>
    </row>
    <row r="102" spans="1:27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3"/>
      <c r="Z102" s="1"/>
      <c r="AA102" s="1"/>
    </row>
    <row r="103" spans="1:27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3"/>
      <c r="Z103" s="1"/>
      <c r="AA103" s="1"/>
    </row>
    <row r="104" spans="1:27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3"/>
      <c r="Z104" s="1"/>
      <c r="AA104" s="1"/>
    </row>
    <row r="105" spans="1:27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3"/>
      <c r="Z105" s="1"/>
      <c r="AA105" s="1"/>
    </row>
    <row r="106" spans="1:27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3"/>
      <c r="Z106" s="1"/>
      <c r="AA106" s="1"/>
    </row>
    <row r="107" spans="1:27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3"/>
      <c r="Z107" s="1"/>
      <c r="AA107" s="1"/>
    </row>
    <row r="108" spans="1:27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3"/>
      <c r="Z108" s="1"/>
      <c r="AA108" s="1"/>
    </row>
    <row r="109" spans="1:27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3"/>
      <c r="Z109" s="1"/>
      <c r="AA109" s="1"/>
    </row>
    <row r="110" spans="1:27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3"/>
      <c r="Z110" s="1"/>
      <c r="AA110" s="1"/>
    </row>
    <row r="111" spans="1:27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3"/>
      <c r="Z111" s="1"/>
      <c r="AA111" s="1"/>
    </row>
    <row r="112" spans="1:27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3"/>
      <c r="Z112" s="1"/>
      <c r="AA112" s="1"/>
    </row>
    <row r="113" spans="1:27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3"/>
      <c r="Z113" s="1"/>
      <c r="AA113" s="1"/>
    </row>
    <row r="114" spans="1:27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3"/>
      <c r="Z114" s="1"/>
      <c r="AA114" s="1"/>
    </row>
    <row r="115" spans="1:27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3"/>
      <c r="Z115" s="1"/>
      <c r="AA115" s="1"/>
    </row>
    <row r="116" spans="1:27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3"/>
      <c r="Z116" s="1"/>
      <c r="AA116" s="1"/>
    </row>
    <row r="117" spans="1:27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3"/>
      <c r="Z117" s="1"/>
      <c r="AA117" s="1"/>
    </row>
    <row r="118" spans="1:27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3"/>
      <c r="Z118" s="1"/>
      <c r="AA118" s="1"/>
    </row>
    <row r="119" spans="1:27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3"/>
      <c r="Z119" s="1"/>
      <c r="AA119" s="1"/>
    </row>
    <row r="120" spans="1:27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3"/>
      <c r="Z120" s="1"/>
      <c r="AA120" s="1"/>
    </row>
    <row r="121" spans="1:27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3"/>
      <c r="Z121" s="1"/>
      <c r="AA121" s="1"/>
    </row>
    <row r="122" spans="1:27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3"/>
      <c r="Z122" s="1"/>
      <c r="AA122" s="1"/>
    </row>
    <row r="123" spans="1:27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3"/>
      <c r="Z123" s="1"/>
      <c r="AA123" s="1"/>
    </row>
    <row r="124" spans="1:27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3"/>
      <c r="Z124" s="1"/>
      <c r="AA124" s="1"/>
    </row>
    <row r="125" spans="1:27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3"/>
      <c r="Z125" s="1"/>
      <c r="AA125" s="1"/>
    </row>
    <row r="126" spans="1:27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3"/>
      <c r="Z126" s="1"/>
      <c r="AA126" s="1"/>
    </row>
    <row r="127" spans="1:27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3"/>
      <c r="Z127" s="1"/>
      <c r="AA127" s="1"/>
    </row>
    <row r="128" spans="1:27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3"/>
      <c r="Z128" s="1"/>
      <c r="AA128" s="1"/>
    </row>
    <row r="129" spans="1:27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3"/>
      <c r="Z129" s="1"/>
      <c r="AA129" s="1"/>
    </row>
    <row r="130" spans="1:27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3"/>
      <c r="Z130" s="1"/>
      <c r="AA130" s="1"/>
    </row>
    <row r="131" spans="1:27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3"/>
      <c r="Z131" s="1"/>
      <c r="AA131" s="1"/>
    </row>
    <row r="132" spans="1:27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3"/>
      <c r="Z132" s="1"/>
      <c r="AA132" s="1"/>
    </row>
    <row r="133" spans="1:27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3"/>
      <c r="Z133" s="1"/>
      <c r="AA133" s="1"/>
    </row>
    <row r="134" spans="1:27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3"/>
      <c r="Z134" s="1"/>
      <c r="AA134" s="1"/>
    </row>
    <row r="135" spans="1:27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3"/>
      <c r="Z135" s="1"/>
      <c r="AA135" s="1"/>
    </row>
    <row r="136" spans="1:27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3"/>
      <c r="Z136" s="1"/>
      <c r="AA136" s="1"/>
    </row>
    <row r="137" spans="1:27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3"/>
      <c r="Z137" s="1"/>
      <c r="AA137" s="1"/>
    </row>
    <row r="138" spans="1:27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3"/>
      <c r="Z138" s="1"/>
      <c r="AA138" s="1"/>
    </row>
    <row r="139" spans="1:27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3"/>
      <c r="Z139" s="1"/>
      <c r="AA139" s="1"/>
    </row>
    <row r="140" spans="1:27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3"/>
      <c r="Z140" s="1"/>
      <c r="AA140" s="1"/>
    </row>
    <row r="141" spans="1:27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3"/>
      <c r="Z141" s="1"/>
      <c r="AA141" s="1"/>
    </row>
    <row r="142" spans="1:27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3"/>
      <c r="Z142" s="1"/>
      <c r="AA142" s="1"/>
    </row>
    <row r="143" spans="1:27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3"/>
      <c r="Z143" s="1"/>
      <c r="AA143" s="1"/>
    </row>
    <row r="144" spans="1:27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3"/>
      <c r="Z144" s="1"/>
      <c r="AA144" s="1"/>
    </row>
    <row r="145" spans="1:27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3"/>
      <c r="Z145" s="1"/>
      <c r="AA145" s="1"/>
    </row>
    <row r="146" spans="1:27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3"/>
      <c r="Z146" s="1"/>
      <c r="AA146" s="1"/>
    </row>
    <row r="147" spans="1:27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3"/>
      <c r="Z147" s="1"/>
      <c r="AA147" s="1"/>
    </row>
    <row r="148" spans="1:27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3"/>
      <c r="Z148" s="1"/>
      <c r="AA148" s="1"/>
    </row>
    <row r="149" spans="1:27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3"/>
      <c r="Z149" s="1"/>
      <c r="AA149" s="1"/>
    </row>
    <row r="150" spans="1:27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3"/>
      <c r="Z150" s="1"/>
      <c r="AA150" s="1"/>
    </row>
    <row r="151" spans="1:27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3"/>
      <c r="Z151" s="1"/>
      <c r="AA151" s="1"/>
    </row>
    <row r="152" spans="1:27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3"/>
      <c r="Z152" s="1"/>
      <c r="AA152" s="1"/>
    </row>
    <row r="153" spans="1:27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3"/>
      <c r="Z153" s="1"/>
      <c r="AA153" s="1"/>
    </row>
    <row r="154" spans="1:27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3"/>
      <c r="Z154" s="1"/>
      <c r="AA154" s="1"/>
    </row>
    <row r="155" spans="1:27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3"/>
      <c r="Z155" s="1"/>
      <c r="AA155" s="1"/>
    </row>
    <row r="156" spans="1:27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3"/>
      <c r="Z156" s="1"/>
      <c r="AA156" s="1"/>
    </row>
    <row r="157" spans="1:27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3"/>
      <c r="Z157" s="1"/>
      <c r="AA157" s="1"/>
    </row>
    <row r="158" spans="1:27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3"/>
      <c r="Z158" s="1"/>
      <c r="AA158" s="1"/>
    </row>
    <row r="159" spans="1:27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3"/>
      <c r="Z159" s="1"/>
      <c r="AA159" s="1"/>
    </row>
    <row r="160" spans="1:27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3"/>
      <c r="Z160" s="1"/>
      <c r="AA160" s="1"/>
    </row>
    <row r="161" spans="1:27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3"/>
      <c r="Z161" s="1"/>
      <c r="AA161" s="1"/>
    </row>
    <row r="162" spans="1:27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3"/>
      <c r="Z162" s="1"/>
      <c r="AA162" s="1"/>
    </row>
    <row r="163" spans="1:27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3"/>
      <c r="Z163" s="1"/>
      <c r="AA163" s="1"/>
    </row>
    <row r="164" spans="1:27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3"/>
      <c r="Z164" s="1"/>
      <c r="AA164" s="1"/>
    </row>
    <row r="165" spans="1:27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3"/>
      <c r="Z165" s="1"/>
      <c r="AA165" s="1"/>
    </row>
    <row r="166" spans="1:27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3"/>
      <c r="Z166" s="1"/>
      <c r="AA166" s="1"/>
    </row>
    <row r="167" spans="1:27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3"/>
      <c r="Z167" s="1"/>
      <c r="AA167" s="1"/>
    </row>
    <row r="168" spans="1:27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3"/>
      <c r="Z168" s="1"/>
      <c r="AA168" s="1"/>
    </row>
    <row r="169" spans="1:27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3"/>
      <c r="Z169" s="1"/>
      <c r="AA169" s="1"/>
    </row>
    <row r="170" spans="1:27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3"/>
      <c r="Z170" s="1"/>
      <c r="AA170" s="1"/>
    </row>
    <row r="171" spans="1:27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3"/>
      <c r="Z171" s="1"/>
      <c r="AA171" s="1"/>
    </row>
    <row r="172" spans="1:27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3"/>
      <c r="Z172" s="1"/>
      <c r="AA172" s="1"/>
    </row>
    <row r="173" spans="1:27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3"/>
      <c r="Z173" s="1"/>
      <c r="AA173" s="1"/>
    </row>
    <row r="174" spans="1:27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3"/>
      <c r="Z174" s="1"/>
      <c r="AA174" s="1"/>
    </row>
    <row r="175" spans="1:27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3"/>
      <c r="Z175" s="1"/>
      <c r="AA175" s="1"/>
    </row>
    <row r="176" spans="1:27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3"/>
      <c r="Z176" s="1"/>
      <c r="AA176" s="1"/>
    </row>
    <row r="177" spans="1:27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3"/>
      <c r="Z177" s="1"/>
      <c r="AA177" s="1"/>
    </row>
    <row r="178" spans="1:27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3"/>
      <c r="Z178" s="1"/>
      <c r="AA178" s="1"/>
    </row>
    <row r="179" spans="1:27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3"/>
      <c r="Z179" s="1"/>
      <c r="AA179" s="1"/>
    </row>
    <row r="180" spans="1:27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3"/>
      <c r="Z180" s="1"/>
      <c r="AA180" s="1"/>
    </row>
    <row r="181" spans="1:27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3"/>
      <c r="Z181" s="1"/>
      <c r="AA181" s="1"/>
    </row>
    <row r="182" spans="1:27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3"/>
      <c r="Z182" s="1"/>
      <c r="AA182" s="1"/>
    </row>
    <row r="183" spans="1:27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3"/>
      <c r="Z183" s="1"/>
      <c r="AA183" s="1"/>
    </row>
    <row r="184" spans="1:27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3"/>
      <c r="Z184" s="1"/>
      <c r="AA184" s="1"/>
    </row>
    <row r="185" spans="1:27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3"/>
      <c r="Z185" s="1"/>
      <c r="AA185" s="1"/>
    </row>
    <row r="186" spans="1:27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3"/>
      <c r="Z186" s="1"/>
      <c r="AA186" s="1"/>
    </row>
    <row r="187" spans="1:27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3"/>
      <c r="Z187" s="1"/>
      <c r="AA187" s="1"/>
    </row>
    <row r="188" spans="1:27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3"/>
      <c r="Z188" s="1"/>
      <c r="AA188" s="1"/>
    </row>
    <row r="189" spans="1:27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3"/>
      <c r="Z189" s="1"/>
      <c r="AA189" s="1"/>
    </row>
    <row r="190" spans="1:27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3"/>
      <c r="Z190" s="1"/>
      <c r="AA190" s="1"/>
    </row>
    <row r="191" spans="1:27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3"/>
      <c r="Z191" s="1"/>
      <c r="AA191" s="1"/>
    </row>
    <row r="192" spans="1:27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3"/>
      <c r="Z192" s="1"/>
      <c r="AA192" s="1"/>
    </row>
    <row r="193" spans="1:27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3"/>
      <c r="Z193" s="1"/>
      <c r="AA193" s="1"/>
    </row>
    <row r="194" spans="1:27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3"/>
      <c r="Z194" s="1"/>
      <c r="AA194" s="1"/>
    </row>
    <row r="195" spans="1:27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3"/>
      <c r="Z195" s="1"/>
      <c r="AA195" s="1"/>
    </row>
    <row r="196" spans="1:27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3"/>
      <c r="Z196" s="1"/>
      <c r="AA196" s="1"/>
    </row>
    <row r="197" spans="1:27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3"/>
      <c r="Z197" s="1"/>
      <c r="AA197" s="1"/>
    </row>
    <row r="198" spans="1:27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3"/>
      <c r="Z198" s="1"/>
      <c r="AA198" s="1"/>
    </row>
    <row r="199" spans="1:27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3"/>
      <c r="Z199" s="1"/>
      <c r="AA199" s="1"/>
    </row>
    <row r="200" spans="1:27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3"/>
      <c r="Z200" s="1"/>
      <c r="AA200" s="1"/>
    </row>
    <row r="201" spans="1:27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3"/>
      <c r="Z201" s="1"/>
      <c r="AA201" s="1"/>
    </row>
    <row r="202" spans="1:27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3"/>
      <c r="Z202" s="1"/>
      <c r="AA202" s="1"/>
    </row>
    <row r="203" spans="1:27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3"/>
      <c r="Z203" s="1"/>
      <c r="AA203" s="1"/>
    </row>
    <row r="204" spans="1:27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3"/>
      <c r="Z204" s="1"/>
      <c r="AA204" s="1"/>
    </row>
    <row r="205" spans="1:27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3"/>
      <c r="Z205" s="1"/>
      <c r="AA205" s="1"/>
    </row>
    <row r="206" spans="1:27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3"/>
      <c r="Z206" s="1"/>
      <c r="AA206" s="1"/>
    </row>
    <row r="207" spans="1:27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3"/>
      <c r="Z207" s="1"/>
      <c r="AA207" s="1"/>
    </row>
    <row r="208" spans="1:27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3"/>
      <c r="Z208" s="1"/>
      <c r="AA208" s="1"/>
    </row>
    <row r="209" spans="1:27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3"/>
      <c r="Z209" s="1"/>
      <c r="AA209" s="1"/>
    </row>
    <row r="210" spans="1:27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3"/>
      <c r="Z210" s="1"/>
      <c r="AA210" s="1"/>
    </row>
    <row r="211" spans="1:27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3"/>
      <c r="Z211" s="1"/>
      <c r="AA211" s="1"/>
    </row>
    <row r="212" spans="1:27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3"/>
      <c r="Z212" s="1"/>
      <c r="AA212" s="1"/>
    </row>
    <row r="213" spans="1:27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3"/>
      <c r="Z213" s="1"/>
      <c r="AA213" s="1"/>
    </row>
    <row r="214" spans="1:27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3"/>
      <c r="Z214" s="1"/>
      <c r="AA214" s="1"/>
    </row>
    <row r="215" spans="1:27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3"/>
      <c r="Z215" s="1"/>
      <c r="AA215" s="1"/>
    </row>
    <row r="216" spans="1:27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3"/>
      <c r="Z216" s="1"/>
      <c r="AA216" s="1"/>
    </row>
    <row r="217" spans="1:27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3"/>
      <c r="Z217" s="1"/>
      <c r="AA217" s="1"/>
    </row>
    <row r="218" spans="1:27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3"/>
      <c r="Z218" s="1"/>
      <c r="AA218" s="1"/>
    </row>
    <row r="219" spans="1:27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3"/>
      <c r="Z219" s="1"/>
      <c r="AA219" s="1"/>
    </row>
    <row r="220" spans="1:27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3"/>
      <c r="Z220" s="1"/>
      <c r="AA220" s="1"/>
    </row>
    <row r="221" spans="1:27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3"/>
      <c r="Z221" s="1"/>
      <c r="AA221" s="1"/>
    </row>
    <row r="222" spans="1:27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3"/>
      <c r="Z222" s="1"/>
      <c r="AA222" s="1"/>
    </row>
    <row r="223" spans="1:27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3"/>
      <c r="Z223" s="1"/>
      <c r="AA223" s="1"/>
    </row>
    <row r="224" spans="1:27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3"/>
      <c r="Z224" s="1"/>
      <c r="AA224" s="1"/>
    </row>
    <row r="225" spans="1:27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3"/>
      <c r="Z225" s="1"/>
      <c r="AA225" s="1"/>
    </row>
    <row r="226" spans="1:27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3"/>
      <c r="Z226" s="1"/>
      <c r="AA226" s="1"/>
    </row>
    <row r="227" spans="1:27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3"/>
      <c r="Z227" s="1"/>
      <c r="AA227" s="1"/>
    </row>
    <row r="228" spans="1:27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3"/>
      <c r="Z228" s="1"/>
      <c r="AA228" s="1"/>
    </row>
    <row r="229" spans="1:27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3"/>
      <c r="Z229" s="1"/>
      <c r="AA229" s="1"/>
    </row>
    <row r="230" spans="1:27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3"/>
      <c r="Z230" s="1"/>
      <c r="AA230" s="1"/>
    </row>
    <row r="231" spans="1:27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3"/>
      <c r="Z231" s="1"/>
      <c r="AA231" s="1"/>
    </row>
    <row r="232" spans="1:27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3"/>
      <c r="Z232" s="1"/>
      <c r="AA232" s="1"/>
    </row>
    <row r="233" spans="1:27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3"/>
      <c r="Z233" s="1"/>
      <c r="AA233" s="1"/>
    </row>
    <row r="234" spans="1:27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3"/>
      <c r="Z234" s="1"/>
      <c r="AA234" s="1"/>
    </row>
    <row r="235" spans="1:27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3"/>
      <c r="Z235" s="1"/>
      <c r="AA235" s="1"/>
    </row>
    <row r="236" spans="1:27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3"/>
      <c r="Z236" s="1"/>
      <c r="AA236" s="1"/>
    </row>
    <row r="237" spans="1:27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3"/>
      <c r="Z237" s="1"/>
      <c r="AA237" s="1"/>
    </row>
    <row r="238" spans="1:27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3"/>
      <c r="Z238" s="1"/>
      <c r="AA238" s="1"/>
    </row>
    <row r="239" spans="1:27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3"/>
      <c r="Z239" s="1"/>
      <c r="AA239" s="1"/>
    </row>
    <row r="240" spans="1:27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3"/>
      <c r="Z240" s="1"/>
      <c r="AA240" s="1"/>
    </row>
    <row r="241" spans="1:27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3"/>
      <c r="Z241" s="1"/>
      <c r="AA241" s="1"/>
    </row>
    <row r="242" spans="1:27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3"/>
      <c r="Z242" s="1"/>
      <c r="AA242" s="1"/>
    </row>
    <row r="243" spans="1:27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3"/>
      <c r="Z243" s="1"/>
      <c r="AA243" s="1"/>
    </row>
    <row r="244" spans="1:27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3"/>
      <c r="Z244" s="1"/>
      <c r="AA244" s="1"/>
    </row>
    <row r="245" spans="1:27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3"/>
      <c r="Z245" s="1"/>
      <c r="AA245" s="1"/>
    </row>
    <row r="246" spans="1:27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3"/>
      <c r="Z246" s="1"/>
      <c r="AA246" s="1"/>
    </row>
    <row r="247" spans="1:27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3"/>
      <c r="Z247" s="1"/>
      <c r="AA247" s="1"/>
    </row>
    <row r="248" spans="1:27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3"/>
      <c r="Z248" s="1"/>
      <c r="AA248" s="1"/>
    </row>
    <row r="249" spans="1:27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3"/>
      <c r="Z249" s="1"/>
      <c r="AA249" s="1"/>
    </row>
    <row r="250" spans="1:27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3"/>
      <c r="Z250" s="1"/>
      <c r="AA250" s="1"/>
    </row>
    <row r="251" spans="1:27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3"/>
      <c r="Z251" s="1"/>
      <c r="AA251" s="1"/>
    </row>
    <row r="252" spans="1:27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3"/>
      <c r="Z252" s="1"/>
      <c r="AA252" s="1"/>
    </row>
    <row r="253" spans="1:27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3"/>
      <c r="Z253" s="1"/>
      <c r="AA253" s="1"/>
    </row>
    <row r="254" spans="1:27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3"/>
      <c r="Z254" s="1"/>
      <c r="AA254" s="1"/>
    </row>
    <row r="255" spans="1:27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3"/>
      <c r="Z255" s="1"/>
      <c r="AA255" s="1"/>
    </row>
    <row r="256" spans="1:27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3"/>
      <c r="Z256" s="1"/>
      <c r="AA256" s="1"/>
    </row>
    <row r="257" spans="1:27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3"/>
      <c r="Z257" s="1"/>
      <c r="AA257" s="1"/>
    </row>
    <row r="258" spans="1:27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3"/>
      <c r="Z258" s="1"/>
      <c r="AA258" s="1"/>
    </row>
    <row r="259" spans="1:27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3"/>
      <c r="Z259" s="1"/>
      <c r="AA259" s="1"/>
    </row>
    <row r="260" spans="1:27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3"/>
      <c r="Z260" s="1"/>
      <c r="AA260" s="1"/>
    </row>
    <row r="261" spans="1:27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3"/>
      <c r="Z261" s="1"/>
      <c r="AA261" s="1"/>
    </row>
    <row r="262" spans="1:27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3"/>
      <c r="Z262" s="1"/>
      <c r="AA262" s="1"/>
    </row>
    <row r="263" spans="1:27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3"/>
      <c r="Z263" s="1"/>
      <c r="AA263" s="1"/>
    </row>
    <row r="264" spans="1:27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3"/>
      <c r="Z264" s="1"/>
      <c r="AA264" s="1"/>
    </row>
    <row r="265" spans="1:27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3"/>
      <c r="Z265" s="1"/>
      <c r="AA265" s="1"/>
    </row>
    <row r="266" spans="1:27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3"/>
      <c r="Z266" s="1"/>
      <c r="AA266" s="1"/>
    </row>
    <row r="267" spans="1:27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3"/>
      <c r="Z267" s="1"/>
      <c r="AA267" s="1"/>
    </row>
    <row r="268" spans="1:27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3"/>
      <c r="Z268" s="1"/>
      <c r="AA268" s="1"/>
    </row>
    <row r="269" spans="1:27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3"/>
      <c r="Z269" s="1"/>
      <c r="AA269" s="1"/>
    </row>
    <row r="270" spans="1:27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3"/>
      <c r="Z270" s="1"/>
      <c r="AA270" s="1"/>
    </row>
    <row r="271" spans="1:27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3"/>
      <c r="Z271" s="1"/>
      <c r="AA271" s="1"/>
    </row>
    <row r="272" spans="1:27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3"/>
      <c r="Z272" s="1"/>
      <c r="AA272" s="1"/>
    </row>
    <row r="273" spans="1:27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3"/>
      <c r="Z273" s="1"/>
      <c r="AA273" s="1"/>
    </row>
    <row r="274" spans="1:27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3"/>
      <c r="Z274" s="1"/>
      <c r="AA274" s="1"/>
    </row>
    <row r="275" spans="1:27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3"/>
      <c r="Z275" s="1"/>
      <c r="AA275" s="1"/>
    </row>
    <row r="276" spans="1:27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3"/>
      <c r="Z276" s="1"/>
      <c r="AA276" s="1"/>
    </row>
    <row r="277" spans="1:27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3"/>
      <c r="Z277" s="1"/>
      <c r="AA277" s="1"/>
    </row>
    <row r="278" spans="1:27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3"/>
      <c r="Z278" s="1"/>
      <c r="AA278" s="1"/>
    </row>
    <row r="279" spans="1:27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3"/>
      <c r="Z279" s="1"/>
      <c r="AA279" s="1"/>
    </row>
    <row r="280" spans="1:27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3"/>
      <c r="Z280" s="1"/>
      <c r="AA280" s="1"/>
    </row>
    <row r="281" spans="1:27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3"/>
      <c r="Z281" s="1"/>
      <c r="AA281" s="1"/>
    </row>
    <row r="282" spans="1:27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3"/>
      <c r="Z282" s="1"/>
      <c r="AA282" s="1"/>
    </row>
    <row r="283" spans="1:27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3"/>
      <c r="Z283" s="1"/>
      <c r="AA283" s="1"/>
    </row>
    <row r="284" spans="1:27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3"/>
      <c r="Z284" s="1"/>
      <c r="AA284" s="1"/>
    </row>
    <row r="285" spans="1:27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3"/>
      <c r="Z285" s="1"/>
      <c r="AA285" s="1"/>
    </row>
  </sheetData>
  <mergeCells count="15">
    <mergeCell ref="Z22:AC22"/>
    <mergeCell ref="A1:N1"/>
    <mergeCell ref="U1:V1"/>
    <mergeCell ref="A5:A7"/>
    <mergeCell ref="A2:N2"/>
    <mergeCell ref="A3:N3"/>
    <mergeCell ref="N5:N7"/>
    <mergeCell ref="B5:D5"/>
    <mergeCell ref="B6:D6"/>
    <mergeCell ref="E5:G5"/>
    <mergeCell ref="E6:G6"/>
    <mergeCell ref="H5:J5"/>
    <mergeCell ref="H6:J6"/>
    <mergeCell ref="K5:M5"/>
    <mergeCell ref="K6:M6"/>
  </mergeCells>
  <pageMargins left="0.7" right="0.7" top="0.75" bottom="0.75" header="0" footer="0"/>
  <pageSetup paperSize="9" scale="71" orientation="landscape" horizontalDpi="4294967295" verticalDpi="4294967295" r:id="rId1"/>
  <rowBreaks count="1" manualBreakCount="1">
    <brk id="40" max="27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18.2</vt:lpstr>
      <vt:lpstr>'18.2'!Print_Area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2019-05-09T08:07:11Z</cp:lastPrinted>
  <dcterms:created xsi:type="dcterms:W3CDTF">2019-02-21T04:10:17Z</dcterms:created>
  <dcterms:modified xsi:type="dcterms:W3CDTF">2019-05-09T08:09:20Z</dcterms:modified>
</cp:coreProperties>
</file>