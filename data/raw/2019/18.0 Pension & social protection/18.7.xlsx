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8. PENSION AND SOCIAL PROTECTION\"/>
    </mc:Choice>
  </mc:AlternateContent>
  <bookViews>
    <workbookView xWindow="0" yWindow="0" windowWidth="28800" windowHeight="12330" tabRatio="841"/>
  </bookViews>
  <sheets>
    <sheet name="18.7" sheetId="7" r:id="rId1"/>
  </sheets>
  <definedNames>
    <definedName name="_xlnm.Print_Area" localSheetId="0">'18.7'!$A$1:$K$40</definedName>
  </definedNames>
  <calcPr calcId="162913"/>
</workbook>
</file>

<file path=xl/calcChain.xml><?xml version="1.0" encoding="utf-8"?>
<calcChain xmlns="http://schemas.openxmlformats.org/spreadsheetml/2006/main">
  <c r="F19" i="7" l="1"/>
  <c r="B19" i="7"/>
  <c r="F18" i="7"/>
  <c r="B18" i="7"/>
  <c r="F17" i="7"/>
  <c r="B17" i="7"/>
  <c r="F16" i="7"/>
  <c r="B16" i="7"/>
  <c r="F15" i="7"/>
  <c r="B15" i="7"/>
  <c r="F14" i="7"/>
  <c r="B14" i="7"/>
  <c r="F13" i="7"/>
  <c r="B13" i="7"/>
  <c r="F12" i="7"/>
  <c r="B12" i="7"/>
  <c r="F11" i="7"/>
  <c r="B11" i="7"/>
  <c r="F10" i="7"/>
  <c r="B10" i="7"/>
  <c r="F9" i="7"/>
  <c r="B9" i="7"/>
  <c r="F8" i="7"/>
  <c r="B8" i="7"/>
</calcChain>
</file>

<file path=xl/sharedStrings.xml><?xml version="1.0" encoding="utf-8"?>
<sst xmlns="http://schemas.openxmlformats.org/spreadsheetml/2006/main" count="41" uniqueCount="37">
  <si>
    <t>Month</t>
  </si>
  <si>
    <t>Total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</si>
  <si>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</si>
  <si>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</si>
  <si>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</si>
  <si>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</si>
  <si>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</si>
  <si>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</si>
  <si>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</si>
  <si>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</si>
  <si>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</si>
  <si>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</si>
  <si>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</si>
  <si>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</si>
  <si>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</si>
  <si>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</si>
  <si>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</si>
  <si>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</si>
  <si>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</si>
  <si>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</si>
  <si>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</si>
  <si>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</si>
  <si>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</si>
  <si>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</si>
  <si>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</si>
  <si>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</si>
  <si>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Senior Citizen Allowance was introduced in February 2014.</t>
  </si>
  <si>
    <t xml:space="preserve">ސީނިއަރ ސިޓިޒަން އެލަވަންސް ސްކީމް ތަޢާރަފުކުރެވިފައިވާ ފެބްރުއަރީ 2014 ގައެވެ. </t>
  </si>
  <si>
    <t>Source: Maldives Pension Administration</t>
  </si>
  <si>
    <t>މަޢުލޫމާތު ދެއްވި ފަރާތް: މޯލްޑިވްސް ޕެންޝަން އެޑްމިނިސްޓްރޭޝަން</t>
  </si>
  <si>
    <t>65-69</t>
  </si>
  <si>
    <t>70-74</t>
  </si>
  <si>
    <t>75 +</t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</si>
  <si>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</si>
  <si>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</si>
  <si>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t>TABLE 18.7: NUMBER OF BENEFICIARIES OF SENIOR CITIZEN ALLOWANCE BY AGE, 2017 - 2018</t>
  </si>
  <si>
    <t>ތާވަލު  18.7: ސީނިއަރ ސިޓިޒަން އެލަވަންސް ލިބޭ މީހުންގެ އަދަދު އަދި ޢުމުރުފުރާތައް، 2017 - 2018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</si>
</sst>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1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sz val="8"/>
      <color rgb="FF000000"/>
      <name val="Faruma"/>
    </font>
    <font>
      <b/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164" fontId="12" fillId="0" borderId="25"/>
    <xf numFmtId="0" fontId="1" fillId="0" borderId="25"/>
    <xf numFmtId="0" fontId="1" fillId="0" borderId="25"/>
  </cellStyleXfs>
  <cellXfs count="44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2" fillId="2" borderId="2" xfId="0" applyFont="1" applyFill="1" applyBorder="1" applyAlignment="1">
      <alignment horizontal="right" vertical="center"/>
    </xf>
    <xf numFmtId="0" fontId="0" fillId="2" borderId="2" xfId="0" applyFont="1" applyFill="1" applyBorder="1" applyAlignment="1">
      <alignment vertical="center"/>
    </xf>
    <xf numFmtId="0" fontId="4" fillId="2" borderId="15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2" fillId="2" borderId="2" xfId="0" applyFont="1" applyFill="1" applyBorder="1"/>
    <xf numFmtId="0" fontId="0" fillId="2" borderId="12" xfId="0" applyFont="1" applyFill="1" applyBorder="1"/>
    <xf numFmtId="0" fontId="6" fillId="2" borderId="2" xfId="0" applyFont="1" applyFill="1" applyBorder="1" applyAlignment="1">
      <alignment horizontal="right" vertical="center"/>
    </xf>
    <xf numFmtId="0" fontId="6" fillId="2" borderId="12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vertical="center"/>
    </xf>
    <xf numFmtId="0" fontId="5" fillId="2" borderId="2" xfId="0" applyFont="1" applyFill="1" applyBorder="1"/>
    <xf numFmtId="0" fontId="7" fillId="2" borderId="2" xfId="0" applyFont="1" applyFill="1" applyBorder="1"/>
    <xf numFmtId="0" fontId="8" fillId="2" borderId="2" xfId="0" applyFont="1" applyFill="1" applyBorder="1" applyAlignment="1"/>
    <xf numFmtId="0" fontId="4" fillId="2" borderId="17" xfId="0" applyFont="1" applyFill="1" applyBorder="1" applyAlignment="1">
      <alignment horizontal="right" vertical="center"/>
    </xf>
    <xf numFmtId="164" fontId="0" fillId="2" borderId="18" xfId="0" applyNumberFormat="1" applyFont="1" applyFill="1" applyBorder="1" applyAlignment="1">
      <alignment horizontal="right" vertical="center"/>
    </xf>
    <xf numFmtId="164" fontId="0" fillId="2" borderId="13" xfId="0" applyNumberFormat="1" applyFont="1" applyFill="1" applyBorder="1" applyAlignment="1">
      <alignment horizontal="right" vertical="center"/>
    </xf>
    <xf numFmtId="0" fontId="4" fillId="2" borderId="1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164" fontId="0" fillId="4" borderId="2" xfId="0" applyNumberFormat="1" applyFont="1" applyFill="1" applyBorder="1" applyAlignment="1">
      <alignment horizontal="right" vertical="center"/>
    </xf>
    <xf numFmtId="164" fontId="0" fillId="4" borderId="12" xfId="0" applyNumberFormat="1" applyFont="1" applyFill="1" applyBorder="1" applyAlignment="1">
      <alignment horizontal="right" vertical="center"/>
    </xf>
    <xf numFmtId="0" fontId="9" fillId="2" borderId="2" xfId="0" applyFont="1" applyFill="1" applyBorder="1" applyAlignment="1">
      <alignment vertical="center"/>
    </xf>
    <xf numFmtId="164" fontId="0" fillId="2" borderId="25" xfId="0" applyNumberFormat="1" applyFont="1" applyFill="1" applyBorder="1" applyAlignment="1">
      <alignment horizontal="right" vertical="center"/>
    </xf>
    <xf numFmtId="164" fontId="0" fillId="2" borderId="26" xfId="0" applyNumberFormat="1" applyFont="1" applyFill="1" applyBorder="1" applyAlignment="1">
      <alignment horizontal="right" vertical="center"/>
    </xf>
    <xf numFmtId="164" fontId="0" fillId="2" borderId="22" xfId="0" applyNumberFormat="1" applyFont="1" applyFill="1" applyBorder="1" applyAlignment="1">
      <alignment horizontal="right" vertical="center"/>
    </xf>
    <xf numFmtId="164" fontId="0" fillId="2" borderId="16" xfId="0" applyNumberFormat="1" applyFont="1" applyFill="1" applyBorder="1" applyAlignment="1">
      <alignment horizontal="right" vertical="center"/>
    </xf>
    <xf numFmtId="0" fontId="3" fillId="3" borderId="3" xfId="0" applyFont="1" applyFill="1" applyBorder="1"/>
    <xf numFmtId="0" fontId="3" fillId="3" borderId="4" xfId="0" applyFont="1" applyFill="1" applyBorder="1"/>
    <xf numFmtId="0" fontId="3" fillId="3" borderId="20" xfId="0" applyFont="1" applyFill="1" applyBorder="1"/>
    <xf numFmtId="0" fontId="3" fillId="3" borderId="23" xfId="0" applyFont="1" applyFill="1" applyBorder="1"/>
    <xf numFmtId="0" fontId="3" fillId="3" borderId="9" xfId="0" applyFont="1" applyFill="1" applyBorder="1"/>
    <xf numFmtId="0" fontId="3" fillId="3" borderId="8" xfId="0" applyFont="1" applyFill="1" applyBorder="1"/>
    <xf numFmtId="0" fontId="3" fillId="3" borderId="11" xfId="0" applyFont="1" applyFill="1" applyBorder="1"/>
    <xf numFmtId="0" fontId="3" fillId="3" borderId="10" xfId="0" applyFont="1" applyFill="1" applyBorder="1"/>
    <xf numFmtId="0" fontId="2" fillId="2" borderId="1" xfId="0" applyFont="1" applyFill="1" applyBorder="1" applyAlignment="1">
      <alignment horizontal="center"/>
    </xf>
    <xf numFmtId="0" fontId="3" fillId="3" borderId="7" xfId="0" applyFont="1" applyFill="1" applyBorder="1"/>
    <xf numFmtId="0" fontId="3" fillId="3" borderId="19" xfId="0" applyFont="1" applyFill="1" applyBorder="1"/>
    <xf numFmtId="0" fontId="4" fillId="2" borderId="5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</cellXfs>
  <cellStyles count="4">
    <cellStyle name="Normal" xfId="0" builtinId="0"/>
    <cellStyle name="Normal 12" xfId="3"/>
    <cellStyle name="Normal 2" xfId="1"/>
    <cellStyle name="Normal 3 2" xfId="2"/>
  </cellStyles>
  <dxfs count="0"/>
  <tableStyles count="0" defaultTableStyle="TableStyleMedium2" defaultPivotStyle="PivotStyleLight16"/>
  <colors>
    <mruColors>
      <color rgb="FFFFFFE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28416307961504811"/>
          <c:y val="0.15140267687533535"/>
          <c:w val="0.39544804899387576"/>
          <c:h val="0.81929844404808516"/>
        </c:manualLayout>
      </c:layout>
      <c:doughnutChart>
        <c:varyColors val="1"/>
        <c:ser>
          <c:idx val="0"/>
          <c:order val="0"/>
          <c:spPr>
            <a:solidFill>
              <a:schemeClr val="accent4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B097-48AD-A4A2-4DFB6236CE5C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8640-4962-ABFF-4EB16F8A53C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'18.7'!$G$7:$I$7</c:f>
              <c:strCache>
                <c:ptCount val="3"/>
                <c:pt idx="0">
                  <c:v>65-69</c:v>
                </c:pt>
                <c:pt idx="1">
                  <c:v>70-74</c:v>
                </c:pt>
                <c:pt idx="2">
                  <c:v>75 +</c:v>
                </c:pt>
              </c:strCache>
            </c:strRef>
          </c:cat>
          <c:val>
            <c:numRef>
              <c:f>'18.7'!$G$19:$I$19</c:f>
              <c:numCache>
                <c:formatCode>_(* #,##0_);_(* \(#,##0\);_(* "-"??_);_(@_)</c:formatCode>
                <c:ptCount val="3"/>
                <c:pt idx="0">
                  <c:v>4797</c:v>
                </c:pt>
                <c:pt idx="1">
                  <c:v>4298</c:v>
                </c:pt>
                <c:pt idx="2">
                  <c:v>8215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97-48AD-A4A2-4DFB6236C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119063</xdr:colOff>
      <xdr:row>21</xdr:row>
      <xdr:rowOff>80962</xdr:rowOff>
    </xdr:from>
    <xdr:ext cx="7493000" cy="3448050"/>
    <xdr:graphicFrame macro=""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152400</xdr:colOff>
      <xdr:row>23</xdr:row>
      <xdr:rowOff>0</xdr:rowOff>
    </xdr:from>
    <xdr:to>
      <xdr:col>8</xdr:col>
      <xdr:colOff>658869</xdr:colOff>
      <xdr:row>24</xdr:row>
      <xdr:rowOff>152400</xdr:rowOff>
    </xdr:to>
    <xdr:sp macro="" textlink="">
      <xdr:nvSpPr>
        <xdr:cNvPr id="5" name="TextBox 1"/>
        <xdr:cNvSpPr txBox="1"/>
      </xdr:nvSpPr>
      <xdr:spPr>
        <a:xfrm>
          <a:off x="752475" y="5391150"/>
          <a:ext cx="6973944" cy="219075"/>
        </a:xfrm>
        <a:prstGeom prst="rect">
          <a:avLst/>
        </a:prstGeom>
      </xdr:spPr>
      <xdr:txBody>
        <a:bodyPr wrap="square" rtlCol="0" anchor="ctr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18.9: Percentage share of beneficiaries of senior citizen allowance by </a:t>
          </a:r>
          <a:r>
            <a:rPr lang="en-US" sz="1100" b="1" i="0">
              <a:effectLst/>
              <a:latin typeface="+mn-lt"/>
              <a:ea typeface="+mn-ea"/>
              <a:cs typeface="+mn-cs"/>
            </a:rPr>
            <a:t>age group</a:t>
          </a: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, </a:t>
          </a:r>
          <a:r>
            <a:rPr lang="en-US" sz="1100" b="1" i="0" baseline="0">
              <a:effectLst/>
              <a:latin typeface="+mn-lt"/>
              <a:ea typeface="+mn-ea"/>
              <a:cs typeface="+mn-cs"/>
            </a:rPr>
            <a:t>2018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40"/>
  <sheetViews>
    <sheetView tabSelected="1" zoomScaleNormal="100" zoomScaleSheetLayoutView="80" workbookViewId="0">
      <selection activeCell="T11" sqref="T11:U11"/>
    </sheetView>
  </sheetViews>
  <sheetFormatPr defaultColWidth="14.42578125" defaultRowHeight="15" customHeight="1" x14ac:dyDescent="0.25"/>
  <cols>
    <col min="1" max="1" width="9" style="2" customWidth="1"/>
    <col min="2" max="9" width="13.85546875" style="2" customWidth="1"/>
    <col min="10" max="10" width="13.7109375" style="2" customWidth="1"/>
    <col min="11" max="11" width="1.140625" style="2" customWidth="1"/>
    <col min="12" max="12" width="7.42578125" style="2" customWidth="1"/>
    <col min="13" max="13" width="9" style="2" customWidth="1"/>
    <col min="14" max="14" width="8.42578125" style="2" customWidth="1"/>
    <col min="15" max="15" width="8.140625" style="2" customWidth="1"/>
    <col min="16" max="16" width="9" style="2" customWidth="1"/>
    <col min="17" max="17" width="9.28515625" style="2" customWidth="1"/>
    <col min="18" max="18" width="7.42578125" style="2" customWidth="1"/>
    <col min="19" max="19" width="9" style="2" customWidth="1"/>
    <col min="20" max="20" width="8.42578125" style="2" customWidth="1"/>
    <col min="21" max="21" width="8.140625" style="2" customWidth="1"/>
    <col min="22" max="22" width="9" style="2" customWidth="1"/>
    <col min="23" max="23" width="12.7109375" style="2" customWidth="1"/>
    <col min="24" max="24" width="1.7109375" style="2" customWidth="1"/>
    <col min="25" max="16384" width="14.42578125" style="2"/>
  </cols>
  <sheetData>
    <row r="1" spans="1:24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1" customHeight="1" x14ac:dyDescent="0.55000000000000004">
      <c r="A2" s="35" t="s">
        <v>36</v>
      </c>
      <c r="B2" s="27"/>
      <c r="C2" s="27"/>
      <c r="D2" s="27"/>
      <c r="E2" s="27"/>
      <c r="F2" s="27"/>
      <c r="G2" s="27"/>
      <c r="H2" s="27"/>
      <c r="I2" s="27"/>
      <c r="J2" s="28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x14ac:dyDescent="0.25">
      <c r="A3" s="39" t="s">
        <v>35</v>
      </c>
      <c r="B3" s="27"/>
      <c r="C3" s="27"/>
      <c r="D3" s="27"/>
      <c r="E3" s="27"/>
      <c r="F3" s="27"/>
      <c r="G3" s="27"/>
      <c r="H3" s="27"/>
      <c r="I3" s="27"/>
      <c r="J3" s="2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1"/>
      <c r="B4" s="18"/>
      <c r="C4" s="18"/>
      <c r="D4" s="18"/>
      <c r="E4" s="18"/>
      <c r="F4" s="18"/>
      <c r="G4" s="18"/>
      <c r="H4" s="18"/>
      <c r="I4" s="18"/>
      <c r="J4" s="18"/>
      <c r="K4" s="1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"/>
    </row>
    <row r="5" spans="1:24" x14ac:dyDescent="0.25">
      <c r="A5" s="38" t="s">
        <v>0</v>
      </c>
      <c r="B5" s="42">
        <v>2017</v>
      </c>
      <c r="C5" s="36"/>
      <c r="D5" s="36"/>
      <c r="E5" s="37"/>
      <c r="F5" s="42">
        <v>2018</v>
      </c>
      <c r="G5" s="36"/>
      <c r="H5" s="36"/>
      <c r="I5" s="37"/>
      <c r="J5" s="19"/>
      <c r="K5" s="1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"/>
    </row>
    <row r="6" spans="1:24" ht="21" customHeight="1" x14ac:dyDescent="0.55000000000000004">
      <c r="A6" s="32"/>
      <c r="B6" s="40" t="s">
        <v>33</v>
      </c>
      <c r="C6" s="29"/>
      <c r="D6" s="29"/>
      <c r="E6" s="30"/>
      <c r="F6" s="41" t="s">
        <v>34</v>
      </c>
      <c r="G6" s="31"/>
      <c r="H6" s="31"/>
      <c r="I6" s="34"/>
      <c r="J6" s="43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" customHeight="1" x14ac:dyDescent="0.25">
      <c r="A7" s="33"/>
      <c r="B7" s="15" t="s">
        <v>1</v>
      </c>
      <c r="C7" s="15" t="s">
        <v>30</v>
      </c>
      <c r="D7" s="15" t="s">
        <v>31</v>
      </c>
      <c r="E7" s="6" t="s">
        <v>32</v>
      </c>
      <c r="F7" s="5" t="s">
        <v>1</v>
      </c>
      <c r="G7" s="15" t="s">
        <v>30</v>
      </c>
      <c r="H7" s="15" t="s">
        <v>31</v>
      </c>
      <c r="I7" s="15" t="s">
        <v>32</v>
      </c>
      <c r="J7" s="3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customHeight="1" x14ac:dyDescent="0.25">
      <c r="A8" s="1" t="s">
        <v>2</v>
      </c>
      <c r="B8" s="23">
        <f t="shared" ref="B8:B19" si="0">SUM(C8:E8)</f>
        <v>16855</v>
      </c>
      <c r="C8" s="23">
        <v>4554</v>
      </c>
      <c r="D8" s="23">
        <v>4388</v>
      </c>
      <c r="E8" s="25">
        <v>7913</v>
      </c>
      <c r="F8" s="16">
        <f t="shared" ref="F8:F19" si="1">SUM(G8:I8)</f>
        <v>17250</v>
      </c>
      <c r="G8" s="20">
        <v>4826</v>
      </c>
      <c r="H8" s="20">
        <v>4264</v>
      </c>
      <c r="I8" s="20">
        <v>8160</v>
      </c>
      <c r="J8" s="9" t="s">
        <v>3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1" customHeight="1" x14ac:dyDescent="0.25">
      <c r="A9" s="1" t="s">
        <v>4</v>
      </c>
      <c r="B9" s="23">
        <f t="shared" si="0"/>
        <v>16905</v>
      </c>
      <c r="C9" s="23">
        <v>4600</v>
      </c>
      <c r="D9" s="23">
        <v>4381</v>
      </c>
      <c r="E9" s="25">
        <v>7924</v>
      </c>
      <c r="F9" s="16">
        <f t="shared" si="1"/>
        <v>17336</v>
      </c>
      <c r="G9" s="20">
        <v>4935</v>
      </c>
      <c r="H9" s="20">
        <v>4268</v>
      </c>
      <c r="I9" s="20">
        <v>8133</v>
      </c>
      <c r="J9" s="9" t="s">
        <v>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25">
      <c r="A10" s="1" t="s">
        <v>6</v>
      </c>
      <c r="B10" s="23">
        <f t="shared" si="0"/>
        <v>16877</v>
      </c>
      <c r="C10" s="23">
        <v>4681</v>
      </c>
      <c r="D10" s="23">
        <v>4348</v>
      </c>
      <c r="E10" s="25">
        <v>7848</v>
      </c>
      <c r="F10" s="16">
        <f t="shared" si="1"/>
        <v>17347</v>
      </c>
      <c r="G10" s="20">
        <v>5019</v>
      </c>
      <c r="H10" s="20">
        <v>4254</v>
      </c>
      <c r="I10" s="20">
        <v>8074</v>
      </c>
      <c r="J10" s="9" t="s">
        <v>7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1" customHeight="1" x14ac:dyDescent="0.25">
      <c r="A11" s="1" t="s">
        <v>8</v>
      </c>
      <c r="B11" s="23">
        <f t="shared" si="0"/>
        <v>16957</v>
      </c>
      <c r="C11" s="23">
        <v>4751</v>
      </c>
      <c r="D11" s="23">
        <v>4339</v>
      </c>
      <c r="E11" s="25">
        <v>7867</v>
      </c>
      <c r="F11" s="16">
        <f t="shared" si="1"/>
        <v>17367</v>
      </c>
      <c r="G11" s="20">
        <v>5031</v>
      </c>
      <c r="H11" s="20">
        <v>4238</v>
      </c>
      <c r="I11" s="20">
        <v>8098</v>
      </c>
      <c r="J11" s="9" t="s">
        <v>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1" customHeight="1" x14ac:dyDescent="0.25">
      <c r="A12" s="1" t="s">
        <v>10</v>
      </c>
      <c r="B12" s="23">
        <f t="shared" si="0"/>
        <v>16998</v>
      </c>
      <c r="C12" s="23">
        <v>4814</v>
      </c>
      <c r="D12" s="23">
        <v>4378</v>
      </c>
      <c r="E12" s="25">
        <v>7806</v>
      </c>
      <c r="F12" s="16">
        <f t="shared" si="1"/>
        <v>17336</v>
      </c>
      <c r="G12" s="20">
        <v>5095</v>
      </c>
      <c r="H12" s="20">
        <v>4229</v>
      </c>
      <c r="I12" s="20">
        <v>8012</v>
      </c>
      <c r="J12" s="9" t="s">
        <v>11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1" customHeight="1" x14ac:dyDescent="0.25">
      <c r="A13" s="1" t="s">
        <v>12</v>
      </c>
      <c r="B13" s="23">
        <f t="shared" si="0"/>
        <v>17024</v>
      </c>
      <c r="C13" s="23">
        <v>4860</v>
      </c>
      <c r="D13" s="23">
        <v>4338</v>
      </c>
      <c r="E13" s="25">
        <v>7826</v>
      </c>
      <c r="F13" s="16">
        <f t="shared" si="1"/>
        <v>17330</v>
      </c>
      <c r="G13" s="20">
        <v>5097</v>
      </c>
      <c r="H13" s="20">
        <v>4246</v>
      </c>
      <c r="I13" s="20">
        <v>7987</v>
      </c>
      <c r="J13" s="9" t="s">
        <v>13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1" customHeight="1" x14ac:dyDescent="0.25">
      <c r="A14" s="1" t="s">
        <v>14</v>
      </c>
      <c r="B14" s="23">
        <f t="shared" si="0"/>
        <v>17019</v>
      </c>
      <c r="C14" s="23">
        <v>4918</v>
      </c>
      <c r="D14" s="23">
        <v>4349</v>
      </c>
      <c r="E14" s="25">
        <v>7752</v>
      </c>
      <c r="F14" s="16">
        <f t="shared" si="1"/>
        <v>17352</v>
      </c>
      <c r="G14" s="20">
        <v>5188</v>
      </c>
      <c r="H14" s="20">
        <v>4236</v>
      </c>
      <c r="I14" s="20">
        <v>7928</v>
      </c>
      <c r="J14" s="9" t="s">
        <v>15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1" customHeight="1" x14ac:dyDescent="0.25">
      <c r="A15" s="1" t="s">
        <v>16</v>
      </c>
      <c r="B15" s="23">
        <f t="shared" si="0"/>
        <v>17044</v>
      </c>
      <c r="C15" s="23">
        <v>4565</v>
      </c>
      <c r="D15" s="23">
        <v>4727</v>
      </c>
      <c r="E15" s="25">
        <v>7752</v>
      </c>
      <c r="F15" s="16">
        <f t="shared" si="1"/>
        <v>17371</v>
      </c>
      <c r="G15" s="20">
        <v>5220</v>
      </c>
      <c r="H15" s="20">
        <v>4245</v>
      </c>
      <c r="I15" s="20">
        <v>7906</v>
      </c>
      <c r="J15" s="9" t="s">
        <v>17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1" customHeight="1" x14ac:dyDescent="0.25">
      <c r="A16" s="1" t="s">
        <v>18</v>
      </c>
      <c r="B16" s="23">
        <f t="shared" si="0"/>
        <v>17073</v>
      </c>
      <c r="C16" s="23">
        <v>4602</v>
      </c>
      <c r="D16" s="23">
        <v>4250</v>
      </c>
      <c r="E16" s="25">
        <v>8221</v>
      </c>
      <c r="F16" s="16">
        <f t="shared" si="1"/>
        <v>17364</v>
      </c>
      <c r="G16" s="20">
        <v>4797</v>
      </c>
      <c r="H16" s="20">
        <v>4290</v>
      </c>
      <c r="I16" s="20">
        <v>8277</v>
      </c>
      <c r="J16" s="9" t="s">
        <v>19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1" customHeight="1" x14ac:dyDescent="0.25">
      <c r="A17" s="1" t="s">
        <v>20</v>
      </c>
      <c r="B17" s="23">
        <f t="shared" si="0"/>
        <v>17035</v>
      </c>
      <c r="C17" s="23">
        <v>4587</v>
      </c>
      <c r="D17" s="23">
        <v>4260</v>
      </c>
      <c r="E17" s="25">
        <v>8188</v>
      </c>
      <c r="F17" s="16">
        <f t="shared" si="1"/>
        <v>17337</v>
      </c>
      <c r="G17" s="20">
        <v>4793</v>
      </c>
      <c r="H17" s="20">
        <v>4297</v>
      </c>
      <c r="I17" s="20">
        <v>8247</v>
      </c>
      <c r="J17" s="9" t="s">
        <v>21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1" customHeight="1" x14ac:dyDescent="0.25">
      <c r="A18" s="1" t="s">
        <v>22</v>
      </c>
      <c r="B18" s="23">
        <f t="shared" si="0"/>
        <v>17034</v>
      </c>
      <c r="C18" s="23">
        <v>4601</v>
      </c>
      <c r="D18" s="23">
        <v>4251</v>
      </c>
      <c r="E18" s="25">
        <v>8182</v>
      </c>
      <c r="F18" s="16">
        <f t="shared" si="1"/>
        <v>17315</v>
      </c>
      <c r="G18" s="20">
        <v>4788</v>
      </c>
      <c r="H18" s="20">
        <v>4302</v>
      </c>
      <c r="I18" s="20">
        <v>8225</v>
      </c>
      <c r="J18" s="9" t="s">
        <v>23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1" customHeight="1" x14ac:dyDescent="0.25">
      <c r="A19" s="8" t="s">
        <v>24</v>
      </c>
      <c r="B19" s="24">
        <f t="shared" si="0"/>
        <v>17007</v>
      </c>
      <c r="C19" s="24">
        <v>4584</v>
      </c>
      <c r="D19" s="24">
        <v>4255</v>
      </c>
      <c r="E19" s="26">
        <v>8168</v>
      </c>
      <c r="F19" s="17">
        <f t="shared" si="1"/>
        <v>17310</v>
      </c>
      <c r="G19" s="21">
        <v>4797</v>
      </c>
      <c r="H19" s="21">
        <v>4298</v>
      </c>
      <c r="I19" s="21">
        <v>8215</v>
      </c>
      <c r="J19" s="10" t="s">
        <v>25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6.5" customHeight="1" x14ac:dyDescent="0.25">
      <c r="A20" s="11" t="s">
        <v>26</v>
      </c>
      <c r="B20" s="4"/>
      <c r="C20" s="4"/>
      <c r="D20" s="4"/>
      <c r="E20" s="4"/>
      <c r="F20" s="4"/>
      <c r="G20" s="4"/>
      <c r="H20" s="4"/>
      <c r="I20" s="4"/>
      <c r="J20" s="22" t="s">
        <v>27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7.25" customHeight="1" x14ac:dyDescent="0.45">
      <c r="A21" s="13" t="s">
        <v>28</v>
      </c>
      <c r="B21" s="12"/>
      <c r="C21" s="12"/>
      <c r="D21" s="12"/>
      <c r="E21" s="12"/>
      <c r="F21" s="12"/>
      <c r="G21" s="12"/>
      <c r="H21" s="12"/>
      <c r="I21" s="12"/>
      <c r="J21" s="14" t="s">
        <v>29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5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</sheetData>
  <mergeCells count="8">
    <mergeCell ref="B5:E5"/>
    <mergeCell ref="A2:J2"/>
    <mergeCell ref="A3:J3"/>
    <mergeCell ref="F5:I5"/>
    <mergeCell ref="J6:J7"/>
    <mergeCell ref="F6:I6"/>
    <mergeCell ref="A5:A7"/>
    <mergeCell ref="B6:E6"/>
  </mergeCells>
  <pageMargins left="0.7" right="0.7" top="0.75" bottom="0.75" header="0" footer="0"/>
  <pageSetup paperSize="9" scale="73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18.7</vt:lpstr>
      <vt:lpstr>'18.7'!Print_Area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2019-02-21T06:53:34Z</cp:lastPrinted>
  <dcterms:created xsi:type="dcterms:W3CDTF">2019-02-21T04:10:17Z</dcterms:created>
  <dcterms:modified xsi:type="dcterms:W3CDTF">2019-05-12T04:23:26Z</dcterms:modified>
</cp:coreProperties>
</file>