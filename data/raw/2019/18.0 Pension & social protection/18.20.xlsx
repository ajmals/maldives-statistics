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20" sheetId="21" r:id="rId1"/>
  </sheets>
  <definedNames>
    <definedName name="_xlnm.Print_Area" localSheetId="0">'18.20'!$A$1:$J$49</definedName>
  </definedNames>
  <calcPr calcId="162913"/>
</workbook>
</file>

<file path=xl/calcChain.xml><?xml version="1.0" encoding="utf-8"?>
<calcChain xmlns="http://schemas.openxmlformats.org/spreadsheetml/2006/main">
  <c r="B29" i="21" l="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H8" i="21"/>
  <c r="H6" i="21" s="1"/>
  <c r="AD39" i="21" s="1"/>
  <c r="G8" i="21"/>
  <c r="G6" i="21" s="1"/>
  <c r="AC39" i="21" s="1"/>
  <c r="F8" i="21"/>
  <c r="F6" i="21" s="1"/>
  <c r="AB39" i="21" s="1"/>
  <c r="E8" i="21"/>
  <c r="E6" i="21" s="1"/>
  <c r="AA39" i="21" s="1"/>
  <c r="D8" i="21"/>
  <c r="D6" i="21" s="1"/>
  <c r="Z39" i="21" s="1"/>
  <c r="C8" i="21"/>
  <c r="C6" i="21" s="1"/>
  <c r="Y39" i="21" s="1"/>
  <c r="B7" i="21"/>
  <c r="B8" i="21" l="1"/>
  <c r="B6" i="21" s="1"/>
</calcChain>
</file>

<file path=xl/sharedStrings.xml><?xml version="1.0" encoding="utf-8"?>
<sst xmlns="http://schemas.openxmlformats.org/spreadsheetml/2006/main" count="74" uniqueCount="70">
  <si>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</si>
  <si>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</si>
  <si>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</si>
  <si>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</si>
  <si>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</si>
  <si>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</si>
  <si>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</si>
  <si>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</si>
  <si>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</si>
  <si>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</si>
  <si>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</si>
  <si>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</si>
  <si>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</si>
  <si>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Maalhosmadulu (B)</t>
  </si>
  <si>
    <t>Faadhippolhu (Lh)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</si>
  <si>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</si>
  <si>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</si>
  <si>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</si>
  <si>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</si>
  <si>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</si>
  <si>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</si>
  <si>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</si>
  <si>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</si>
  <si>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</si>
  <si>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</si>
  <si>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</si>
  <si>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</si>
  <si>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N</t>
  </si>
  <si>
    <t>L</t>
  </si>
  <si>
    <t>S</t>
  </si>
  <si>
    <t>Total Expenditure (MVR)</t>
  </si>
  <si>
    <t>Hospitals</t>
  </si>
  <si>
    <t>Opticals</t>
  </si>
  <si>
    <t>Clinics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</si>
  <si>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</si>
  <si>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</si>
  <si>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</si>
  <si>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</si>
  <si>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</si>
  <si>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</si>
  <si>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</si>
  <si>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</si>
  <si>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</si>
  <si>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ތާވަލް 18.20: އިޖްތިމާއީ ރައްކާތެރިކަމުގެ ދަށުން އަތޮޅުތަކުން ދެވޭ ޙިދުމަތްތައް ފޯރުކޮށްދޭ ތަންތަނަށް ކުރެވިފައިވާ ޚަރަދު، 2018</t>
  </si>
  <si>
    <t>Table 18.20 :  EXPENDITURE ON AASANDHA SERVICES BY TYPE OF INSTITUTION AND ATOLL ,  2018</t>
  </si>
  <si>
    <t>Emergency Evacuation - Sea2_/</t>
  </si>
  <si>
    <t xml:space="preserve">      ah </t>
  </si>
  <si>
    <t>dh</t>
  </si>
  <si>
    <t>n</t>
  </si>
  <si>
    <t>r</t>
  </si>
  <si>
    <t>b</t>
  </si>
  <si>
    <t>Male Atoll (K)</t>
  </si>
  <si>
    <t>k</t>
  </si>
  <si>
    <t>އa</t>
  </si>
  <si>
    <t>da</t>
  </si>
  <si>
    <t>v</t>
  </si>
  <si>
    <t>m</t>
  </si>
  <si>
    <t>f</t>
  </si>
  <si>
    <t>d</t>
  </si>
  <si>
    <t>t</t>
  </si>
  <si>
    <t>l</t>
  </si>
  <si>
    <t>ag</t>
  </si>
  <si>
    <t xml:space="preserve"> dg</t>
  </si>
  <si>
    <t>s</t>
  </si>
  <si>
    <t>Overseas hospitals</t>
  </si>
  <si>
    <t>ރާއްޖޭން ބޭރު ހޮސްޕިޓަލުތައް</t>
  </si>
  <si>
    <r>
      <rPr>
        <i/>
        <vertAlign val="superscript"/>
        <sz val="9"/>
        <color theme="1"/>
        <rFont val="Calibri"/>
        <family val="2"/>
        <scheme val="minor"/>
      </rPr>
      <t>1.</t>
    </r>
    <r>
      <rPr>
        <i/>
        <sz val="9"/>
        <color theme="1"/>
        <rFont val="Calibri"/>
        <family val="2"/>
        <scheme val="minor"/>
      </rPr>
      <t xml:space="preserve"> Type 'Airfare Tickets' is designated for the ticket expenditure on cases referred abroad</t>
    </r>
  </si>
  <si>
    <r>
      <rPr>
        <i/>
        <vertAlign val="superscript"/>
        <sz val="10"/>
        <color theme="1"/>
        <rFont val="Calibri"/>
        <family val="2"/>
        <scheme val="minor"/>
      </rPr>
      <t>2.</t>
    </r>
    <r>
      <rPr>
        <i/>
        <sz val="10"/>
        <color theme="1"/>
        <rFont val="Calibri"/>
        <family val="2"/>
        <scheme val="minor"/>
      </rPr>
      <t>Expenditure aggregated based on Service Provider's geograpical location as specified above</t>
    </r>
  </si>
  <si>
    <r>
      <t>Airfare Tickets</t>
    </r>
    <r>
      <rPr>
        <b/>
        <vertAlign val="superscript"/>
        <sz val="11"/>
        <color theme="1"/>
        <rFont val="Calibri"/>
        <family val="2"/>
        <scheme val="minor"/>
      </rPr>
      <t/>
    </r>
  </si>
  <si>
    <r>
      <t xml:space="preserve">Airfare Tickets </t>
    </r>
    <r>
      <rPr>
        <b/>
        <vertAlign val="superscript"/>
        <sz val="9"/>
        <color theme="1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</si>
</sst>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General_)"/>
    <numFmt numFmtId="166" formatCode="_-* #,##0.00_-;\-* #,##0.00_-;_-* &quot;-&quot;??_-;_-@_-"/>
    <numFmt numFmtId="167" formatCode="_-* #,##0_-;\-* #,##0_-;_-* &quot;-&quot;??_-;_-@_-"/>
  </numFmts>
  <fonts count="3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8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0"/>
      <color theme="1" tint="0.14999847407452621"/>
      <name val="Faruma"/>
    </font>
    <font>
      <b/>
      <sz val="10"/>
      <name val="A_Randhoo"/>
    </font>
    <font>
      <b/>
      <vertAlign val="superscript"/>
      <sz val="11"/>
      <color theme="1"/>
      <name val="Calibri"/>
      <family val="2"/>
      <scheme val="minor"/>
    </font>
    <font>
      <sz val="10"/>
      <color theme="1" tint="0.14999847407452621"/>
      <name val="A_Funa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0" fontId="4" fillId="0" borderId="1"/>
    <xf numFmtId="164" fontId="9" fillId="0" borderId="1"/>
    <xf numFmtId="0" fontId="1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</cellStyleXfs>
  <cellXfs count="58">
    <xf numFmtId="0" fontId="0" fillId="0" borderId="0" xfId="0" applyFont="1" applyAlignment="1"/>
    <xf numFmtId="0" fontId="0" fillId="2" borderId="0" xfId="0" applyFill="1"/>
    <xf numFmtId="0" fontId="0" fillId="2" borderId="1" xfId="0" applyFill="1" applyBorder="1"/>
    <xf numFmtId="0" fontId="12" fillId="2" borderId="0" xfId="0" applyFont="1" applyFill="1"/>
    <xf numFmtId="166" fontId="3" fillId="2" borderId="4" xfId="5" applyNumberFormat="1" applyFont="1" applyFill="1" applyBorder="1" applyAlignment="1">
      <alignment horizontal="right" vertical="center" wrapText="1"/>
    </xf>
    <xf numFmtId="165" fontId="17" fillId="2" borderId="4" xfId="2" applyNumberFormat="1" applyFont="1" applyFill="1" applyBorder="1" applyAlignment="1">
      <alignment horizontal="right" vertical="center" wrapText="1"/>
    </xf>
    <xf numFmtId="166" fontId="3" fillId="2" borderId="4" xfId="5" applyNumberFormat="1" applyFont="1" applyFill="1" applyBorder="1" applyAlignment="1">
      <alignment horizontal="right" vertical="center"/>
    </xf>
    <xf numFmtId="166" fontId="13" fillId="2" borderId="4" xfId="5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5" fontId="11" fillId="2" borderId="2" xfId="2" applyNumberFormat="1" applyFont="1" applyFill="1" applyBorder="1" applyAlignment="1">
      <alignment horizontal="right" vertical="center" wrapText="1"/>
    </xf>
    <xf numFmtId="165" fontId="24" fillId="2" borderId="2" xfId="2" applyNumberFormat="1" applyFont="1" applyFill="1" applyBorder="1" applyAlignment="1">
      <alignment horizontal="right" vertical="center" wrapText="1"/>
    </xf>
    <xf numFmtId="167" fontId="20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19" fillId="2" borderId="1" xfId="5" applyNumberFormat="1" applyFont="1" applyFill="1" applyAlignment="1">
      <alignment horizontal="right" vertical="center"/>
    </xf>
    <xf numFmtId="164" fontId="19" fillId="2" borderId="2" xfId="5" applyNumberFormat="1" applyFont="1" applyFill="1" applyBorder="1" applyAlignment="1">
      <alignment horizontal="right" vertical="center"/>
    </xf>
    <xf numFmtId="167" fontId="13" fillId="2" borderId="1" xfId="5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 indent="3"/>
    </xf>
    <xf numFmtId="167" fontId="12" fillId="2" borderId="0" xfId="0" applyNumberFormat="1" applyFont="1" applyFill="1" applyAlignment="1">
      <alignment horizontal="center" vertical="center"/>
    </xf>
    <xf numFmtId="167" fontId="14" fillId="2" borderId="1" xfId="5" applyNumberFormat="1" applyFont="1" applyFill="1" applyBorder="1" applyAlignment="1"/>
    <xf numFmtId="167" fontId="20" fillId="2" borderId="1" xfId="5" applyNumberFormat="1" applyFont="1" applyFill="1"/>
    <xf numFmtId="167" fontId="16" fillId="2" borderId="1" xfId="5" applyNumberFormat="1" applyFont="1" applyFill="1" applyBorder="1" applyAlignment="1"/>
    <xf numFmtId="167" fontId="15" fillId="2" borderId="1" xfId="5" applyNumberFormat="1" applyFont="1" applyFill="1"/>
    <xf numFmtId="3" fontId="26" fillId="2" borderId="1" xfId="1" applyNumberFormat="1" applyFont="1" applyFill="1" applyBorder="1" applyAlignment="1" applyProtection="1">
      <alignment horizontal="right" vertical="center" indent="3"/>
    </xf>
    <xf numFmtId="166" fontId="3" fillId="2" borderId="1" xfId="0" applyNumberFormat="1" applyFont="1" applyFill="1" applyBorder="1" applyAlignment="1">
      <alignment horizontal="right"/>
    </xf>
    <xf numFmtId="0" fontId="27" fillId="2" borderId="1" xfId="0" applyFont="1" applyFill="1" applyBorder="1"/>
    <xf numFmtId="167" fontId="19" fillId="2" borderId="1" xfId="5" applyNumberFormat="1" applyFont="1" applyFill="1" applyBorder="1" applyAlignment="1"/>
    <xf numFmtId="166" fontId="28" fillId="2" borderId="1" xfId="5" applyNumberFormat="1" applyFont="1" applyFill="1" applyBorder="1" applyAlignment="1">
      <alignment horizontal="right" vertical="center" wrapText="1"/>
    </xf>
    <xf numFmtId="166" fontId="28" fillId="2" borderId="1" xfId="5" applyNumberFormat="1" applyFont="1" applyFill="1" applyBorder="1" applyAlignment="1">
      <alignment horizontal="right" vertical="center"/>
    </xf>
    <xf numFmtId="167" fontId="28" fillId="2" borderId="1" xfId="5" applyNumberFormat="1" applyFont="1" applyFill="1" applyBorder="1" applyAlignment="1">
      <alignment horizontal="center" vertical="center"/>
    </xf>
    <xf numFmtId="167" fontId="28" fillId="2" borderId="1" xfId="5" applyNumberFormat="1" applyFont="1" applyFill="1" applyBorder="1" applyAlignment="1">
      <alignment horizontal="right" vertical="center"/>
    </xf>
    <xf numFmtId="167" fontId="27" fillId="2" borderId="1" xfId="5" applyNumberFormat="1" applyFont="1" applyFill="1" applyBorder="1"/>
    <xf numFmtId="167" fontId="0" fillId="2" borderId="1" xfId="0" applyNumberFormat="1" applyFill="1" applyBorder="1"/>
    <xf numFmtId="167" fontId="16" fillId="2" borderId="2" xfId="5" applyNumberFormat="1" applyFont="1" applyFill="1" applyBorder="1" applyAlignment="1">
      <alignment vertical="center"/>
    </xf>
    <xf numFmtId="3" fontId="23" fillId="2" borderId="2" xfId="1" applyNumberFormat="1" applyFont="1" applyFill="1" applyBorder="1" applyAlignment="1" applyProtection="1">
      <alignment horizontal="right" vertical="center"/>
    </xf>
    <xf numFmtId="0" fontId="18" fillId="2" borderId="0" xfId="0" applyNumberFormat="1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1" fillId="2" borderId="1" xfId="0" applyFont="1" applyFill="1" applyBorder="1" applyAlignment="1">
      <alignment vertical="center"/>
    </xf>
    <xf numFmtId="0" fontId="30" fillId="2" borderId="0" xfId="0" applyNumberFormat="1" applyFont="1" applyFill="1" applyAlignment="1">
      <alignment vertical="center"/>
    </xf>
    <xf numFmtId="166" fontId="0" fillId="2" borderId="1" xfId="5" applyNumberFormat="1" applyFont="1" applyFill="1"/>
    <xf numFmtId="166" fontId="0" fillId="2" borderId="1" xfId="5" applyNumberFormat="1" applyFont="1" applyFill="1" applyAlignment="1">
      <alignment horizontal="right"/>
    </xf>
    <xf numFmtId="166" fontId="3" fillId="2" borderId="1" xfId="5" applyNumberFormat="1" applyFont="1" applyFill="1"/>
    <xf numFmtId="167" fontId="19" fillId="2" borderId="1" xfId="5" applyNumberFormat="1" applyFont="1" applyFill="1"/>
    <xf numFmtId="167" fontId="19" fillId="2" borderId="1" xfId="5" applyNumberFormat="1" applyFont="1" applyFill="1" applyAlignment="1">
      <alignment horizontal="right"/>
    </xf>
    <xf numFmtId="167" fontId="15" fillId="2" borderId="2" xfId="5" applyNumberFormat="1" applyFont="1" applyFill="1" applyBorder="1" applyAlignment="1">
      <alignment vertical="center"/>
    </xf>
    <xf numFmtId="164" fontId="15" fillId="2" borderId="1" xfId="5" applyNumberFormat="1" applyFont="1" applyFill="1" applyAlignment="1">
      <alignment horizontal="right" vertical="center"/>
    </xf>
    <xf numFmtId="165" fontId="10" fillId="2" borderId="1" xfId="2" applyNumberFormat="1" applyFont="1" applyFill="1" applyBorder="1" applyAlignment="1">
      <alignment horizontal="right" vertical="center" wrapText="1"/>
    </xf>
    <xf numFmtId="3" fontId="6" fillId="2" borderId="1" xfId="1" applyNumberFormat="1" applyFont="1" applyFill="1" applyBorder="1" applyAlignment="1" applyProtection="1">
      <alignment horizontal="center" vertical="top" wrapText="1"/>
    </xf>
    <xf numFmtId="164" fontId="15" fillId="2" borderId="2" xfId="5" applyNumberFormat="1" applyFont="1" applyFill="1" applyBorder="1" applyAlignment="1">
      <alignment horizontal="right" vertical="center"/>
    </xf>
    <xf numFmtId="167" fontId="15" fillId="2" borderId="2" xfId="5" applyNumberFormat="1" applyFont="1" applyFill="1" applyBorder="1"/>
    <xf numFmtId="167" fontId="0" fillId="2" borderId="0" xfId="0" applyNumberFormat="1" applyFill="1"/>
    <xf numFmtId="165" fontId="17" fillId="2" borderId="3" xfId="2" applyNumberFormat="1" applyFont="1" applyFill="1" applyBorder="1" applyAlignment="1">
      <alignment horizontal="left" vertical="center" wrapText="1"/>
    </xf>
    <xf numFmtId="165" fontId="17" fillId="2" borderId="2" xfId="2" applyNumberFormat="1" applyFont="1" applyFill="1" applyBorder="1" applyAlignment="1">
      <alignment horizontal="left" vertical="center" wrapText="1"/>
    </xf>
    <xf numFmtId="3" fontId="5" fillId="2" borderId="1" xfId="1" applyNumberFormat="1" applyFont="1" applyFill="1" applyAlignment="1">
      <alignment horizontal="center" wrapText="1" readingOrder="2"/>
    </xf>
    <xf numFmtId="3" fontId="6" fillId="2" borderId="1" xfId="1" applyNumberFormat="1" applyFont="1" applyFill="1" applyBorder="1" applyAlignment="1" applyProtection="1">
      <alignment horizontal="center" vertical="top" wrapText="1"/>
    </xf>
    <xf numFmtId="0" fontId="22" fillId="2" borderId="3" xfId="0" applyFont="1" applyFill="1" applyBorder="1" applyAlignment="1">
      <alignment horizontal="right" vertical="center" indent="2"/>
    </xf>
    <xf numFmtId="0" fontId="22" fillId="2" borderId="2" xfId="0" applyFont="1" applyFill="1" applyBorder="1" applyAlignment="1">
      <alignment horizontal="right" vertical="center" indent="2"/>
    </xf>
  </cellXfs>
  <cellStyles count="7">
    <cellStyle name="Comma 23" xfId="6"/>
    <cellStyle name="Comma 3" xfId="5"/>
    <cellStyle name="Normal" xfId="0" builtinId="0"/>
    <cellStyle name="Normal 12" xfId="4"/>
    <cellStyle name="Normal 2" xfId="2"/>
    <cellStyle name="Normal 3 2" xfId="3"/>
    <cellStyle name="Normal_II-15(Population) 2" xfId="1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18.24: Percentage share of expenditure on Aasandha by Institution, 2018</a:t>
            </a:r>
          </a:p>
        </c:rich>
      </c:tx>
      <c:layout>
        <c:manualLayout>
          <c:xMode val="edge"/>
          <c:yMode val="edge"/>
          <c:x val="0.14542869524459898"/>
          <c:y val="4.49368628231495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9020019671666"/>
          <c:y val="0.21420093676913035"/>
          <c:w val="0.32249083637528503"/>
          <c:h val="0.81840157908845013"/>
        </c:manualLayout>
      </c:layout>
      <c:doughnutChart>
        <c:varyColors val="1"/>
        <c:ser>
          <c:idx val="0"/>
          <c:order val="0"/>
          <c:spPr>
            <a:effectLst/>
          </c:spPr>
          <c:explosion val="1"/>
          <c:dPt>
            <c:idx val="0"/>
            <c:bubble3D val="0"/>
            <c:explosion val="3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44-4271-9521-E0F555BDF7E2}"/>
              </c:ext>
            </c:extLst>
          </c:dPt>
          <c:dPt>
            <c:idx val="1"/>
            <c:bubble3D val="0"/>
            <c:explosion val="3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44-4271-9521-E0F555BDF7E2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44-4271-9521-E0F555BDF7E2}"/>
              </c:ext>
            </c:extLst>
          </c:dPt>
          <c:dPt>
            <c:idx val="3"/>
            <c:bubble3D val="0"/>
            <c:explosion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44-4271-9521-E0F555BDF7E2}"/>
              </c:ext>
            </c:extLst>
          </c:dPt>
          <c:dPt>
            <c:idx val="4"/>
            <c:bubble3D val="0"/>
            <c:explosion val="5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A44-4271-9521-E0F555BDF7E2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A44-4271-9521-E0F555BDF7E2}"/>
              </c:ext>
            </c:extLst>
          </c:dPt>
          <c:dLbls>
            <c:dLbl>
              <c:idx val="0"/>
              <c:layout>
                <c:manualLayout>
                  <c:x val="-6.431013058586268E-3"/>
                  <c:y val="-1.9801913384824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A44-4271-9521-E0F555BDF7E2}"/>
                </c:ext>
              </c:extLst>
            </c:dLbl>
            <c:dLbl>
              <c:idx val="1"/>
              <c:layout>
                <c:manualLayout>
                  <c:x val="-1.4961257450445476E-2"/>
                  <c:y val="-2.94829130853362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A44-4271-9521-E0F555BDF7E2}"/>
                </c:ext>
              </c:extLst>
            </c:dLbl>
            <c:dLbl>
              <c:idx val="2"/>
              <c:layout>
                <c:manualLayout>
                  <c:x val="7.1261441286276914E-2"/>
                  <c:y val="-4.94659314892707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A44-4271-9521-E0F555BDF7E2}"/>
                </c:ext>
              </c:extLst>
            </c:dLbl>
            <c:dLbl>
              <c:idx val="3"/>
              <c:layout>
                <c:manualLayout>
                  <c:x val="7.2692058466852907E-2"/>
                  <c:y val="-4.3003228669295931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A44-4271-9521-E0F555BDF7E2}"/>
                </c:ext>
              </c:extLst>
            </c:dLbl>
            <c:dLbl>
              <c:idx val="4"/>
              <c:layout>
                <c:manualLayout>
                  <c:x val="8.7825187727669521E-2"/>
                  <c:y val="4.55697138065099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9A44-4271-9521-E0F555BDF7E2}"/>
                </c:ext>
              </c:extLst>
            </c:dLbl>
            <c:dLbl>
              <c:idx val="5"/>
              <c:layout>
                <c:manualLayout>
                  <c:x val="0.12646885416539969"/>
                  <c:y val="7.86690825137062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A44-4271-9521-E0F555BDF7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'18.20'!$Y$38:$AD$38</c:f>
              <c:strCache>
                <c:ptCount val="6"/>
                <c:pt idx="0">
                  <c:v>Hospitals</c:v>
                </c:pt>
                <c:pt idx="1">
                  <c:v>Pharmacies</c:v>
                </c:pt>
                <c:pt idx="2">
                  <c:v>Opticals</c:v>
                </c:pt>
                <c:pt idx="3">
                  <c:v>Clinics</c:v>
                </c:pt>
                <c:pt idx="4">
                  <c:v>Airfare Tickets</c:v>
                </c:pt>
                <c:pt idx="5">
                  <c:v>Emergency Evacuation - Sea</c:v>
                </c:pt>
              </c:strCache>
            </c:strRef>
          </c:cat>
          <c:val>
            <c:numRef>
              <c:f>'18.20'!$Y$39:$AD$39</c:f>
              <c:numCache>
                <c:formatCode>_-* #,##0_-;\-* #,##0_-;_-* "-"??_-;_-@_-</c:formatCode>
                <c:ptCount val="6"/>
                <c:pt idx="0">
                  <c:v>1320874859.6515</c:v>
                </c:pt>
                <c:pt idx="1">
                  <c:v>658680682.47990012</c:v>
                </c:pt>
                <c:pt idx="2">
                  <c:v>35443183.07</c:v>
                </c:pt>
                <c:pt idx="3">
                  <c:v>68544780.200000003</c:v>
                </c:pt>
                <c:pt idx="4">
                  <c:v>40462865.200000003</c:v>
                </c:pt>
                <c:pt idx="5">
                  <c:v>40666070.460000001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44-4271-9521-E0F555BDF7E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115"/>
        <c:holeSize val="50"/>
      </c:doughnut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1712613</xdr:colOff>
      <xdr:row>31</xdr:row>
      <xdr:rowOff>173883</xdr:rowOff>
    </xdr:from>
    <xdr:to>
      <xdr:col>7</xdr:col>
      <xdr:colOff>912608</xdr:colOff>
      <xdr:row>47</xdr:row>
      <xdr:rowOff>118165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52"/>
  <sheetViews>
    <sheetView tabSelected="1" zoomScale="89" zoomScaleNormal="89" workbookViewId="0">
      <selection activeCell="O27" sqref="O27"/>
    </sheetView>
  </sheetViews>
  <sheetFormatPr defaultColWidth="9.140625" defaultRowHeight="15" x14ac:dyDescent="0.25"/>
  <cols>
    <col min="1" max="1" width="28.7109375" style="1" customWidth="1"/>
    <col min="2" max="2" width="18.28515625" style="1" customWidth="1"/>
    <col min="3" max="3" width="16.85546875" style="1" bestFit="1" customWidth="1"/>
    <col min="4" max="6" width="15.7109375" style="1" customWidth="1"/>
    <col min="7" max="8" width="18.28515625" style="1" customWidth="1"/>
    <col min="9" max="9" width="22" style="1" bestFit="1" customWidth="1"/>
    <col min="10" max="10" width="3.7109375" style="1" customWidth="1"/>
    <col min="11" max="11" width="14.28515625" style="1" bestFit="1" customWidth="1"/>
    <col min="12" max="21" width="14.28515625" style="1" customWidth="1"/>
    <col min="22" max="22" width="9.140625" style="1"/>
    <col min="23" max="23" width="10.7109375" style="1" customWidth="1"/>
    <col min="24" max="24" width="9.85546875" style="1" customWidth="1"/>
    <col min="25" max="25" width="15.28515625" style="1" customWidth="1"/>
    <col min="26" max="27" width="9.7109375" style="1" customWidth="1"/>
    <col min="28" max="28" width="8.85546875" style="1" customWidth="1"/>
    <col min="29" max="30" width="12.28515625" style="1" bestFit="1" customWidth="1"/>
    <col min="31" max="16384" width="9.140625" style="1"/>
  </cols>
  <sheetData>
    <row r="1" spans="1:29" ht="21" x14ac:dyDescent="0.55000000000000004">
      <c r="A1" s="54" t="s">
        <v>43</v>
      </c>
      <c r="B1" s="54"/>
      <c r="C1" s="54"/>
      <c r="D1" s="54"/>
      <c r="E1" s="54"/>
      <c r="F1" s="54"/>
      <c r="G1" s="54"/>
      <c r="H1" s="54"/>
      <c r="I1" s="54"/>
    </row>
    <row r="2" spans="1:29" s="13" customFormat="1" x14ac:dyDescent="0.25">
      <c r="A2" s="55" t="s">
        <v>44</v>
      </c>
      <c r="B2" s="55"/>
      <c r="C2" s="55"/>
      <c r="D2" s="55"/>
      <c r="E2" s="55"/>
      <c r="F2" s="55"/>
      <c r="G2" s="55"/>
      <c r="H2" s="55"/>
      <c r="I2" s="55"/>
    </row>
    <row r="3" spans="1:29" s="8" customFormat="1" x14ac:dyDescent="0.25">
      <c r="A3" s="48"/>
      <c r="B3" s="48"/>
      <c r="C3" s="48"/>
      <c r="D3" s="48"/>
      <c r="E3" s="48"/>
      <c r="F3" s="48"/>
      <c r="G3" s="48"/>
      <c r="H3" s="48"/>
      <c r="I3" s="48"/>
    </row>
    <row r="4" spans="1:29" s="8" customFormat="1" ht="30" x14ac:dyDescent="0.25">
      <c r="A4" s="52" t="s">
        <v>2</v>
      </c>
      <c r="B4" s="4" t="s">
        <v>30</v>
      </c>
      <c r="C4" s="5" t="s">
        <v>31</v>
      </c>
      <c r="D4" s="5" t="s">
        <v>0</v>
      </c>
      <c r="E4" s="5" t="s">
        <v>32</v>
      </c>
      <c r="F4" s="5" t="s">
        <v>33</v>
      </c>
      <c r="G4" s="6" t="s">
        <v>69</v>
      </c>
      <c r="H4" s="7" t="s">
        <v>45</v>
      </c>
      <c r="I4" s="56" t="s">
        <v>1</v>
      </c>
    </row>
    <row r="5" spans="1:29" s="8" customFormat="1" ht="18.75" x14ac:dyDescent="0.25">
      <c r="A5" s="53"/>
      <c r="B5" s="9" t="s">
        <v>35</v>
      </c>
      <c r="C5" s="10" t="s">
        <v>36</v>
      </c>
      <c r="D5" s="10" t="s">
        <v>37</v>
      </c>
      <c r="E5" s="10" t="s">
        <v>38</v>
      </c>
      <c r="F5" s="10" t="s">
        <v>39</v>
      </c>
      <c r="G5" s="9" t="s">
        <v>40</v>
      </c>
      <c r="H5" s="9" t="s">
        <v>41</v>
      </c>
      <c r="I5" s="57"/>
    </row>
    <row r="6" spans="1:29" s="12" customFormat="1" ht="18.75" x14ac:dyDescent="0.25">
      <c r="A6" s="11" t="s">
        <v>3</v>
      </c>
      <c r="B6" s="16">
        <f>B7+B8+B29</f>
        <v>2164672441.0613999</v>
      </c>
      <c r="C6" s="16">
        <f>SUM(C7:C8)+C29</f>
        <v>1320874859.6515</v>
      </c>
      <c r="D6" s="16">
        <f>SUM(D7:D8)+D29</f>
        <v>658680682.47990012</v>
      </c>
      <c r="E6" s="16">
        <f>SUM(E7:E8)</f>
        <v>35443183.07</v>
      </c>
      <c r="F6" s="16">
        <f>SUM(F7:F8)</f>
        <v>68544780.200000003</v>
      </c>
      <c r="G6" s="16">
        <f>SUM(G7:G8)</f>
        <v>40462865.200000003</v>
      </c>
      <c r="H6" s="16">
        <f>SUM(H7:H8)</f>
        <v>40666070.460000001</v>
      </c>
      <c r="I6" s="17" t="s">
        <v>42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9" s="3" customFormat="1" ht="18.75" x14ac:dyDescent="0.25">
      <c r="A7" s="19" t="s">
        <v>4</v>
      </c>
      <c r="B7" s="20">
        <f>SUM(C7:H7)</f>
        <v>1255240833.9584999</v>
      </c>
      <c r="C7" s="20">
        <v>748699468.29859996</v>
      </c>
      <c r="D7" s="20">
        <v>348300594.94990003</v>
      </c>
      <c r="E7" s="20">
        <v>33804943.020000003</v>
      </c>
      <c r="F7" s="20">
        <v>49027610.200000003</v>
      </c>
      <c r="G7" s="20">
        <v>40462865.200000003</v>
      </c>
      <c r="H7" s="20">
        <v>34945352.289999999</v>
      </c>
      <c r="I7" s="17" t="s">
        <v>5</v>
      </c>
    </row>
    <row r="8" spans="1:29" s="3" customFormat="1" ht="18.75" x14ac:dyDescent="0.25">
      <c r="A8" s="19" t="s">
        <v>6</v>
      </c>
      <c r="B8" s="20">
        <f>SUM(C8:H8)</f>
        <v>642497891.10289991</v>
      </c>
      <c r="C8" s="20">
        <f>SUM(C9:C28)</f>
        <v>305241675.35290003</v>
      </c>
      <c r="D8" s="20">
        <f t="shared" ref="D8:H8" si="0">SUM(D9:D28)</f>
        <v>310380087.53000003</v>
      </c>
      <c r="E8" s="20">
        <f t="shared" si="0"/>
        <v>1638240.0499999998</v>
      </c>
      <c r="F8" s="20">
        <f t="shared" si="0"/>
        <v>19517170</v>
      </c>
      <c r="G8" s="20">
        <f t="shared" si="0"/>
        <v>0</v>
      </c>
      <c r="H8" s="20">
        <f t="shared" si="0"/>
        <v>5720718.1699999999</v>
      </c>
      <c r="I8" s="17" t="s">
        <v>7</v>
      </c>
    </row>
    <row r="9" spans="1:29" ht="16.5" x14ac:dyDescent="0.25">
      <c r="A9" s="21" t="s">
        <v>8</v>
      </c>
      <c r="B9" s="22">
        <f t="shared" ref="B9:B28" si="1">SUM(C9:H9)</f>
        <v>37849375.519999996</v>
      </c>
      <c r="C9" s="14">
        <v>17075193.219999999</v>
      </c>
      <c r="D9" s="43">
        <v>20515842.050000001</v>
      </c>
      <c r="E9" s="46">
        <v>0</v>
      </c>
      <c r="F9" s="46">
        <v>0</v>
      </c>
      <c r="G9" s="46">
        <v>0</v>
      </c>
      <c r="H9" s="14">
        <v>258340.25000000003</v>
      </c>
      <c r="I9" s="23" t="s">
        <v>46</v>
      </c>
    </row>
    <row r="10" spans="1:29" ht="16.5" x14ac:dyDescent="0.25">
      <c r="A10" s="21" t="s">
        <v>9</v>
      </c>
      <c r="B10" s="22">
        <f t="shared" si="1"/>
        <v>73741273.560000002</v>
      </c>
      <c r="C10" s="14">
        <v>44243449.519999996</v>
      </c>
      <c r="D10" s="43">
        <v>28849717.729999997</v>
      </c>
      <c r="E10" s="43">
        <v>133585.10999999999</v>
      </c>
      <c r="F10" s="46">
        <v>0</v>
      </c>
      <c r="G10" s="46">
        <v>0</v>
      </c>
      <c r="H10" s="14">
        <v>514521.2</v>
      </c>
      <c r="I10" s="23" t="s">
        <v>47</v>
      </c>
    </row>
    <row r="11" spans="1:29" ht="16.5" x14ac:dyDescent="0.25">
      <c r="A11" s="21" t="s">
        <v>10</v>
      </c>
      <c r="B11" s="22">
        <f t="shared" si="1"/>
        <v>24133600.373999998</v>
      </c>
      <c r="C11" s="14">
        <v>11518823.794</v>
      </c>
      <c r="D11" s="43">
        <v>11748876.579999998</v>
      </c>
      <c r="E11" s="46">
        <v>0</v>
      </c>
      <c r="F11" s="46">
        <v>0</v>
      </c>
      <c r="G11" s="46">
        <v>0</v>
      </c>
      <c r="H11" s="14">
        <v>865900</v>
      </c>
      <c r="I11" s="23" t="s">
        <v>29</v>
      </c>
      <c r="J11" s="24"/>
    </row>
    <row r="12" spans="1:29" ht="16.5" x14ac:dyDescent="0.25">
      <c r="A12" s="21" t="s">
        <v>11</v>
      </c>
      <c r="B12" s="22">
        <f t="shared" si="1"/>
        <v>18665154.07</v>
      </c>
      <c r="C12" s="14">
        <v>8910182.0099999979</v>
      </c>
      <c r="D12" s="43">
        <v>9009372.0600000005</v>
      </c>
      <c r="E12" s="46">
        <v>0</v>
      </c>
      <c r="F12" s="46">
        <v>0</v>
      </c>
      <c r="G12" s="46">
        <v>0</v>
      </c>
      <c r="H12" s="14">
        <v>745600</v>
      </c>
      <c r="I12" s="23" t="s">
        <v>48</v>
      </c>
    </row>
    <row r="13" spans="1:29" ht="16.5" x14ac:dyDescent="0.25">
      <c r="A13" s="21" t="s">
        <v>12</v>
      </c>
      <c r="B13" s="22">
        <f t="shared" si="1"/>
        <v>49456949.840000004</v>
      </c>
      <c r="C13" s="14">
        <v>26353714.620000001</v>
      </c>
      <c r="D13" s="43">
        <v>22417920.220000003</v>
      </c>
      <c r="E13" s="46">
        <v>0</v>
      </c>
      <c r="F13" s="46">
        <v>0</v>
      </c>
      <c r="G13" s="46">
        <v>0</v>
      </c>
      <c r="H13" s="14">
        <v>685315</v>
      </c>
      <c r="I13" s="23" t="s">
        <v>49</v>
      </c>
    </row>
    <row r="14" spans="1:29" ht="16.5" x14ac:dyDescent="0.25">
      <c r="A14" s="21" t="s">
        <v>13</v>
      </c>
      <c r="B14" s="22">
        <f t="shared" si="1"/>
        <v>33634879.120000005</v>
      </c>
      <c r="C14" s="14">
        <v>12423530.75</v>
      </c>
      <c r="D14" s="43">
        <v>20509797.370000001</v>
      </c>
      <c r="E14" s="46">
        <v>0</v>
      </c>
      <c r="F14" s="46">
        <v>0</v>
      </c>
      <c r="G14" s="46">
        <v>0</v>
      </c>
      <c r="H14" s="14">
        <v>701551</v>
      </c>
      <c r="I14" s="23" t="s">
        <v>50</v>
      </c>
      <c r="V14" s="2"/>
      <c r="W14" s="2"/>
      <c r="X14" s="2"/>
      <c r="Y14" s="2"/>
      <c r="Z14" s="2"/>
      <c r="AA14" s="2"/>
      <c r="AB14" s="2"/>
      <c r="AC14" s="2"/>
    </row>
    <row r="15" spans="1:29" ht="16.5" x14ac:dyDescent="0.25">
      <c r="A15" s="21" t="s">
        <v>14</v>
      </c>
      <c r="B15" s="22">
        <f t="shared" si="1"/>
        <v>35692529.050000004</v>
      </c>
      <c r="C15" s="14">
        <v>11800623.790000001</v>
      </c>
      <c r="D15" s="43">
        <v>23806405.260000002</v>
      </c>
      <c r="E15" s="46">
        <v>0</v>
      </c>
      <c r="F15" s="46">
        <v>0</v>
      </c>
      <c r="G15" s="46">
        <v>0</v>
      </c>
      <c r="H15" s="14">
        <v>85500</v>
      </c>
      <c r="I15" s="23" t="s">
        <v>28</v>
      </c>
      <c r="V15" s="2"/>
      <c r="W15" s="2"/>
      <c r="X15" s="2"/>
      <c r="Y15" s="2"/>
      <c r="Z15" s="2"/>
      <c r="AA15" s="2"/>
      <c r="AB15" s="2"/>
      <c r="AC15" s="2"/>
    </row>
    <row r="16" spans="1:29" ht="16.5" x14ac:dyDescent="0.25">
      <c r="A16" s="21" t="s">
        <v>51</v>
      </c>
      <c r="B16" s="22">
        <f t="shared" si="1"/>
        <v>15019880.84</v>
      </c>
      <c r="C16" s="14">
        <v>7546711.7300000004</v>
      </c>
      <c r="D16" s="43">
        <v>7379769.1100000003</v>
      </c>
      <c r="E16" s="46">
        <v>0</v>
      </c>
      <c r="F16" s="46">
        <v>0</v>
      </c>
      <c r="G16" s="46">
        <v>0</v>
      </c>
      <c r="H16" s="14">
        <v>93400</v>
      </c>
      <c r="I16" s="23" t="s">
        <v>52</v>
      </c>
      <c r="V16" s="2"/>
      <c r="W16" s="25"/>
      <c r="X16" s="25"/>
      <c r="Y16" s="25"/>
      <c r="Z16" s="25"/>
      <c r="AA16" s="25"/>
      <c r="AB16" s="25"/>
      <c r="AC16" s="2"/>
    </row>
    <row r="17" spans="1:29" ht="16.5" x14ac:dyDescent="0.25">
      <c r="A17" s="26" t="s">
        <v>15</v>
      </c>
      <c r="B17" s="22">
        <f t="shared" si="1"/>
        <v>10990868.449999999</v>
      </c>
      <c r="C17" s="14">
        <v>6099505</v>
      </c>
      <c r="D17" s="43">
        <v>4766863.4499999993</v>
      </c>
      <c r="E17" s="46">
        <v>0</v>
      </c>
      <c r="F17" s="46">
        <v>0</v>
      </c>
      <c r="G17" s="46">
        <v>0</v>
      </c>
      <c r="H17" s="14">
        <v>124500</v>
      </c>
      <c r="I17" s="23" t="s">
        <v>53</v>
      </c>
      <c r="V17" s="2"/>
      <c r="W17" s="27"/>
      <c r="X17" s="47"/>
      <c r="Y17" s="47"/>
      <c r="Z17" s="47"/>
      <c r="AA17" s="47"/>
      <c r="AB17" s="28"/>
      <c r="AC17" s="28"/>
    </row>
    <row r="18" spans="1:29" ht="16.5" x14ac:dyDescent="0.25">
      <c r="A18" s="21" t="s">
        <v>16</v>
      </c>
      <c r="B18" s="22">
        <f t="shared" si="1"/>
        <v>25909086.93</v>
      </c>
      <c r="C18" s="14">
        <v>11079055</v>
      </c>
      <c r="D18" s="43">
        <v>13602641.930000002</v>
      </c>
      <c r="E18" s="46">
        <v>0</v>
      </c>
      <c r="F18" s="44">
        <v>823990</v>
      </c>
      <c r="G18" s="46">
        <v>0</v>
      </c>
      <c r="H18" s="14">
        <v>403400</v>
      </c>
      <c r="I18" s="23" t="s">
        <v>54</v>
      </c>
      <c r="V18" s="2"/>
      <c r="W18" s="29"/>
      <c r="X18" s="29"/>
      <c r="Y18" s="29"/>
      <c r="Z18" s="29"/>
      <c r="AA18" s="30"/>
      <c r="AB18" s="31"/>
      <c r="AC18" s="32"/>
    </row>
    <row r="19" spans="1:29" ht="16.5" x14ac:dyDescent="0.25">
      <c r="A19" s="21" t="s">
        <v>17</v>
      </c>
      <c r="B19" s="22">
        <f t="shared" si="1"/>
        <v>2433263.37</v>
      </c>
      <c r="C19" s="14">
        <v>1104706.75</v>
      </c>
      <c r="D19" s="44">
        <v>1312056.6199999999</v>
      </c>
      <c r="E19" s="46">
        <v>0</v>
      </c>
      <c r="F19" s="46">
        <v>0</v>
      </c>
      <c r="G19" s="46">
        <v>0</v>
      </c>
      <c r="H19" s="14">
        <v>16500</v>
      </c>
      <c r="I19" s="23" t="s">
        <v>55</v>
      </c>
      <c r="V19" s="2"/>
      <c r="W19" s="25"/>
      <c r="X19" s="25"/>
      <c r="Y19" s="25"/>
      <c r="Z19" s="25"/>
      <c r="AA19" s="25"/>
      <c r="AB19" s="25"/>
      <c r="AC19" s="2"/>
    </row>
    <row r="20" spans="1:29" ht="16.5" x14ac:dyDescent="0.25">
      <c r="A20" s="21" t="s">
        <v>18</v>
      </c>
      <c r="B20" s="22">
        <f t="shared" si="1"/>
        <v>11312990.07</v>
      </c>
      <c r="C20" s="14">
        <v>5212737</v>
      </c>
      <c r="D20" s="43">
        <v>6071753.0700000003</v>
      </c>
      <c r="E20" s="46">
        <v>0</v>
      </c>
      <c r="F20" s="46">
        <v>0</v>
      </c>
      <c r="G20" s="46">
        <v>0</v>
      </c>
      <c r="H20" s="14">
        <v>28500</v>
      </c>
      <c r="I20" s="23" t="s">
        <v>56</v>
      </c>
      <c r="V20" s="2"/>
      <c r="W20" s="2"/>
      <c r="X20" s="2"/>
      <c r="Y20" s="2"/>
      <c r="Z20" s="2"/>
      <c r="AA20" s="2"/>
      <c r="AB20" s="2"/>
      <c r="AC20" s="2"/>
    </row>
    <row r="21" spans="1:29" ht="16.5" x14ac:dyDescent="0.25">
      <c r="A21" s="21" t="s">
        <v>19</v>
      </c>
      <c r="B21" s="22">
        <f t="shared" si="1"/>
        <v>13465688.68</v>
      </c>
      <c r="C21" s="14">
        <v>5509695</v>
      </c>
      <c r="D21" s="43">
        <v>7907993.6799999997</v>
      </c>
      <c r="E21" s="46">
        <v>0</v>
      </c>
      <c r="F21" s="46">
        <v>0</v>
      </c>
      <c r="G21" s="46">
        <v>0</v>
      </c>
      <c r="H21" s="14">
        <v>48000</v>
      </c>
      <c r="I21" s="23" t="s">
        <v>57</v>
      </c>
      <c r="V21" s="2"/>
      <c r="W21" s="2"/>
      <c r="X21" s="2"/>
      <c r="Y21" s="2"/>
      <c r="Z21" s="2"/>
      <c r="AA21" s="2"/>
      <c r="AB21" s="2"/>
      <c r="AC21" s="2"/>
    </row>
    <row r="22" spans="1:29" ht="16.5" x14ac:dyDescent="0.25">
      <c r="A22" s="21" t="s">
        <v>20</v>
      </c>
      <c r="B22" s="22">
        <f t="shared" si="1"/>
        <v>15100490.25</v>
      </c>
      <c r="C22" s="14">
        <v>8248997.5000000009</v>
      </c>
      <c r="D22" s="43">
        <v>6851492.75</v>
      </c>
      <c r="E22" s="46">
        <v>0</v>
      </c>
      <c r="F22" s="46">
        <v>0</v>
      </c>
      <c r="G22" s="46">
        <v>0</v>
      </c>
      <c r="H22" s="14">
        <v>0</v>
      </c>
      <c r="I22" s="23" t="s">
        <v>58</v>
      </c>
      <c r="V22" s="2"/>
      <c r="W22" s="2"/>
      <c r="X22" s="2"/>
      <c r="Y22" s="2"/>
      <c r="Z22" s="2"/>
      <c r="AA22" s="2"/>
      <c r="AB22" s="2"/>
      <c r="AC22" s="2"/>
    </row>
    <row r="23" spans="1:29" ht="16.5" x14ac:dyDescent="0.25">
      <c r="A23" s="21" t="s">
        <v>21</v>
      </c>
      <c r="B23" s="22">
        <f t="shared" si="1"/>
        <v>21574058.689999998</v>
      </c>
      <c r="C23" s="14">
        <v>12683692.93</v>
      </c>
      <c r="D23" s="43">
        <v>8262050.7599999979</v>
      </c>
      <c r="E23" s="46">
        <v>0</v>
      </c>
      <c r="F23" s="46">
        <v>0</v>
      </c>
      <c r="G23" s="46">
        <v>0</v>
      </c>
      <c r="H23" s="14">
        <v>628315</v>
      </c>
      <c r="I23" s="23" t="s">
        <v>59</v>
      </c>
      <c r="V23" s="2"/>
      <c r="W23" s="2"/>
      <c r="X23" s="2"/>
      <c r="Y23" s="2"/>
      <c r="Z23" s="2"/>
      <c r="AA23" s="2"/>
      <c r="AB23" s="2"/>
      <c r="AC23" s="2"/>
    </row>
    <row r="24" spans="1:29" ht="16.5" x14ac:dyDescent="0.25">
      <c r="A24" s="21" t="s">
        <v>22</v>
      </c>
      <c r="B24" s="22">
        <f t="shared" si="1"/>
        <v>34810489.399999999</v>
      </c>
      <c r="C24" s="14">
        <v>20665546.879999999</v>
      </c>
      <c r="D24" s="43">
        <v>14125942.520000001</v>
      </c>
      <c r="E24" s="46">
        <v>0</v>
      </c>
      <c r="F24" s="46">
        <v>0</v>
      </c>
      <c r="G24" s="46">
        <v>0</v>
      </c>
      <c r="H24" s="14">
        <v>19000</v>
      </c>
      <c r="I24" s="23" t="s">
        <v>60</v>
      </c>
      <c r="V24" s="2"/>
      <c r="W24" s="2"/>
      <c r="X24" s="2"/>
      <c r="Y24" s="2"/>
      <c r="Z24" s="2"/>
      <c r="AA24" s="2"/>
      <c r="AB24" s="2"/>
      <c r="AC24" s="2"/>
    </row>
    <row r="25" spans="1:29" ht="16.5" x14ac:dyDescent="0.25">
      <c r="A25" s="21" t="s">
        <v>23</v>
      </c>
      <c r="B25" s="22">
        <f t="shared" si="1"/>
        <v>27993704.789999999</v>
      </c>
      <c r="C25" s="14">
        <v>12742660.959999999</v>
      </c>
      <c r="D25" s="43">
        <v>15001925.779999999</v>
      </c>
      <c r="E25" s="46">
        <v>0</v>
      </c>
      <c r="F25" s="46">
        <v>0</v>
      </c>
      <c r="G25" s="46">
        <v>0</v>
      </c>
      <c r="H25" s="14">
        <v>249118.04999999996</v>
      </c>
      <c r="I25" s="23" t="s">
        <v>61</v>
      </c>
      <c r="V25" s="2"/>
      <c r="W25" s="2"/>
      <c r="X25" s="2"/>
      <c r="Y25" s="2"/>
      <c r="Z25" s="2"/>
      <c r="AA25" s="2"/>
      <c r="AB25" s="2"/>
      <c r="AC25" s="2"/>
    </row>
    <row r="26" spans="1:29" ht="16.5" x14ac:dyDescent="0.25">
      <c r="A26" s="21" t="s">
        <v>24</v>
      </c>
      <c r="B26" s="22">
        <f t="shared" si="1"/>
        <v>46107004.269999996</v>
      </c>
      <c r="C26" s="14">
        <v>25841171.419999998</v>
      </c>
      <c r="D26" s="43">
        <v>19965580.179999996</v>
      </c>
      <c r="E26" s="14">
        <v>55995</v>
      </c>
      <c r="F26" s="46">
        <v>0</v>
      </c>
      <c r="G26" s="46">
        <v>0</v>
      </c>
      <c r="H26" s="14">
        <v>244257.67</v>
      </c>
      <c r="I26" s="23" t="s">
        <v>62</v>
      </c>
      <c r="V26" s="2"/>
      <c r="W26" s="2"/>
      <c r="X26" s="2"/>
      <c r="Y26" s="2"/>
      <c r="Z26" s="2"/>
      <c r="AA26" s="2"/>
      <c r="AB26" s="2"/>
      <c r="AC26" s="2"/>
    </row>
    <row r="27" spans="1:29" ht="16.5" x14ac:dyDescent="0.25">
      <c r="A27" s="21" t="s">
        <v>25</v>
      </c>
      <c r="B27" s="22">
        <f t="shared" si="1"/>
        <v>23428238.91</v>
      </c>
      <c r="C27" s="14">
        <v>11208108</v>
      </c>
      <c r="D27" s="43">
        <v>11008842.91</v>
      </c>
      <c r="E27" s="44">
        <v>295513</v>
      </c>
      <c r="F27" s="44">
        <v>915775</v>
      </c>
      <c r="G27" s="46">
        <v>0</v>
      </c>
      <c r="H27" s="14">
        <v>0</v>
      </c>
      <c r="I27" s="23" t="s">
        <v>27</v>
      </c>
      <c r="V27" s="2"/>
      <c r="W27" s="2"/>
      <c r="X27" s="2"/>
      <c r="Y27" s="2"/>
      <c r="Z27" s="2"/>
      <c r="AA27" s="2"/>
      <c r="AB27" s="2"/>
      <c r="AC27" s="2"/>
    </row>
    <row r="28" spans="1:29" ht="16.5" x14ac:dyDescent="0.25">
      <c r="A28" s="21" t="s">
        <v>26</v>
      </c>
      <c r="B28" s="22">
        <f t="shared" si="1"/>
        <v>121178364.9189</v>
      </c>
      <c r="C28" s="14">
        <v>44973569.4789</v>
      </c>
      <c r="D28" s="43">
        <v>57265243.5</v>
      </c>
      <c r="E28" s="43">
        <v>1153146.94</v>
      </c>
      <c r="F28" s="44">
        <v>17777405</v>
      </c>
      <c r="G28" s="46">
        <v>0</v>
      </c>
      <c r="H28" s="14">
        <v>9000</v>
      </c>
      <c r="I28" s="23" t="s">
        <v>63</v>
      </c>
      <c r="V28" s="2"/>
      <c r="W28" s="2"/>
      <c r="X28" s="2"/>
      <c r="Y28" s="2"/>
      <c r="Z28" s="2"/>
      <c r="AA28" s="2"/>
      <c r="AB28" s="2"/>
      <c r="AC28" s="2"/>
    </row>
    <row r="29" spans="1:29" ht="18.75" x14ac:dyDescent="0.25">
      <c r="A29" s="33" t="s">
        <v>64</v>
      </c>
      <c r="B29" s="50">
        <f>SUM(C29:H29)</f>
        <v>266933716</v>
      </c>
      <c r="C29" s="45">
        <v>266933716</v>
      </c>
      <c r="D29" s="49">
        <v>0</v>
      </c>
      <c r="E29" s="49">
        <v>0</v>
      </c>
      <c r="F29" s="49">
        <v>0</v>
      </c>
      <c r="G29" s="49">
        <v>0</v>
      </c>
      <c r="H29" s="15"/>
      <c r="I29" s="34" t="s">
        <v>65</v>
      </c>
      <c r="V29" s="2"/>
      <c r="W29" s="2"/>
      <c r="X29" s="2"/>
      <c r="Y29" s="2"/>
      <c r="Z29" s="2"/>
      <c r="AA29" s="2"/>
      <c r="AB29" s="2"/>
      <c r="AC29" s="2"/>
    </row>
    <row r="30" spans="1:29" s="36" customFormat="1" ht="17.25" x14ac:dyDescent="0.25">
      <c r="A30" s="35" t="s">
        <v>66</v>
      </c>
      <c r="I30" s="37"/>
      <c r="V30" s="38"/>
      <c r="W30" s="38"/>
      <c r="X30" s="38"/>
      <c r="Y30" s="38"/>
      <c r="Z30" s="38"/>
      <c r="AA30" s="38"/>
      <c r="AB30" s="38"/>
      <c r="AC30" s="38"/>
    </row>
    <row r="31" spans="1:29" s="36" customFormat="1" ht="17.25" x14ac:dyDescent="0.25">
      <c r="A31" s="39" t="s">
        <v>67</v>
      </c>
      <c r="I31" s="37"/>
      <c r="V31" s="38"/>
      <c r="W31" s="38"/>
      <c r="X31" s="38"/>
      <c r="Y31" s="38"/>
      <c r="Z31" s="38"/>
      <c r="AA31" s="38"/>
      <c r="AB31" s="38"/>
      <c r="AC31" s="38"/>
    </row>
    <row r="32" spans="1:29" s="36" customFormat="1" ht="17.25" x14ac:dyDescent="0.25">
      <c r="A32" s="35"/>
      <c r="I32" s="37"/>
      <c r="V32" s="38"/>
      <c r="W32" s="38"/>
      <c r="X32" s="38"/>
      <c r="Y32" s="38"/>
      <c r="Z32" s="38"/>
      <c r="AA32" s="38"/>
      <c r="AB32" s="38"/>
      <c r="AC32" s="38"/>
    </row>
    <row r="33" spans="1:30" s="36" customFormat="1" ht="17.25" x14ac:dyDescent="0.25">
      <c r="A33" s="35"/>
      <c r="I33" s="37"/>
      <c r="V33" s="38"/>
      <c r="W33" s="38"/>
      <c r="X33" s="38"/>
      <c r="Y33" s="38"/>
      <c r="Z33" s="38"/>
      <c r="AA33" s="38"/>
      <c r="AB33" s="38"/>
      <c r="AC33" s="38"/>
    </row>
    <row r="34" spans="1:30" ht="17.25" x14ac:dyDescent="0.25">
      <c r="A34" s="35"/>
      <c r="B34" s="36"/>
      <c r="C34" s="36"/>
      <c r="D34" s="36"/>
      <c r="E34" s="36"/>
      <c r="F34" s="36"/>
      <c r="G34" s="36"/>
      <c r="H34" s="36"/>
      <c r="I34" s="37"/>
    </row>
    <row r="38" spans="1:30" ht="38.25" x14ac:dyDescent="0.25">
      <c r="Y38" s="5" t="s">
        <v>31</v>
      </c>
      <c r="Z38" s="5" t="s">
        <v>0</v>
      </c>
      <c r="AA38" s="5" t="s">
        <v>32</v>
      </c>
      <c r="AB38" s="5" t="s">
        <v>33</v>
      </c>
      <c r="AC38" s="6" t="s">
        <v>68</v>
      </c>
      <c r="AD38" s="7" t="s">
        <v>34</v>
      </c>
    </row>
    <row r="39" spans="1:30" x14ac:dyDescent="0.25">
      <c r="Y39" s="51">
        <f>C6</f>
        <v>1320874859.6515</v>
      </c>
      <c r="Z39" s="51">
        <f t="shared" ref="Z39:AD39" si="2">D6</f>
        <v>658680682.47990012</v>
      </c>
      <c r="AA39" s="51">
        <f t="shared" si="2"/>
        <v>35443183.07</v>
      </c>
      <c r="AB39" s="51">
        <f t="shared" si="2"/>
        <v>68544780.200000003</v>
      </c>
      <c r="AC39" s="51">
        <f t="shared" si="2"/>
        <v>40462865.200000003</v>
      </c>
      <c r="AD39" s="51">
        <f t="shared" si="2"/>
        <v>40666070.460000001</v>
      </c>
    </row>
    <row r="42" spans="1:30" x14ac:dyDescent="0.25">
      <c r="A42" s="40"/>
      <c r="C42" s="41"/>
      <c r="D42" s="41"/>
      <c r="E42" s="41"/>
      <c r="F42" s="41"/>
      <c r="G42" s="41"/>
      <c r="H42" s="41"/>
    </row>
    <row r="43" spans="1:30" x14ac:dyDescent="0.25">
      <c r="A43" s="40"/>
      <c r="B43" s="42"/>
      <c r="C43" s="41"/>
      <c r="D43" s="41"/>
      <c r="E43" s="41"/>
      <c r="F43" s="41"/>
      <c r="G43" s="41"/>
      <c r="H43" s="41"/>
    </row>
    <row r="45" spans="1:30" x14ac:dyDescent="0.25">
      <c r="A45" s="40"/>
      <c r="B45" s="42"/>
      <c r="C45" s="41"/>
      <c r="D45" s="41"/>
      <c r="E45" s="41"/>
      <c r="F45" s="41"/>
      <c r="G45" s="41"/>
      <c r="H45" s="41"/>
    </row>
    <row r="46" spans="1:30" x14ac:dyDescent="0.25">
      <c r="G46" s="41"/>
      <c r="H46" s="41"/>
    </row>
    <row r="47" spans="1:30" x14ac:dyDescent="0.25">
      <c r="G47" s="41"/>
      <c r="H47" s="41"/>
    </row>
    <row r="48" spans="1:30" x14ac:dyDescent="0.25">
      <c r="G48" s="41"/>
      <c r="H48" s="41"/>
    </row>
    <row r="49" spans="7:8" x14ac:dyDescent="0.25">
      <c r="G49" s="41"/>
      <c r="H49" s="41"/>
    </row>
    <row r="50" spans="7:8" x14ac:dyDescent="0.25">
      <c r="G50" s="41"/>
      <c r="H50" s="41"/>
    </row>
    <row r="51" spans="7:8" x14ac:dyDescent="0.25">
      <c r="G51" s="41"/>
      <c r="H51" s="41"/>
    </row>
    <row r="52" spans="7:8" x14ac:dyDescent="0.25">
      <c r="G52" s="41"/>
      <c r="H52" s="41"/>
    </row>
  </sheetData>
  <mergeCells count="4">
    <mergeCell ref="A1:I1"/>
    <mergeCell ref="A2:I2"/>
    <mergeCell ref="A4:A5"/>
    <mergeCell ref="I4:I5"/>
  </mergeCells>
  <pageMargins left="0.7" right="0.7" top="0.75" bottom="0.75" header="0.3" footer="0.3"/>
  <pageSetup paperSize="9" scale="48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18.20</vt:lpstr>
      <vt:lpstr>'18.20'!Print_Area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2019-09-04T03:08:38Z</cp:lastPrinted>
  <dcterms:created xsi:type="dcterms:W3CDTF">2019-02-21T04:10:17Z</dcterms:created>
  <dcterms:modified xsi:type="dcterms:W3CDTF">2019-09-04T03:08:46Z</dcterms:modified>
</cp:coreProperties>
</file>