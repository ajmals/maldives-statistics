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1" sheetId="11" r:id="rId1"/>
  </sheets>
  <definedNames>
    <definedName name="_xlnm.Print_Area" localSheetId="0">'18.11'!$A$1:$N$63</definedName>
  </definedNames>
  <calcPr calcId="162913"/>
</workbook>
</file>

<file path=xl/calcChain.xml><?xml version="1.0" encoding="utf-8"?>
<calcChain xmlns="http://schemas.openxmlformats.org/spreadsheetml/2006/main">
  <c r="AP22" i="11" l="1"/>
  <c r="AN22" i="11"/>
  <c r="AP21" i="11"/>
  <c r="AO21" i="11"/>
  <c r="AN21" i="11"/>
  <c r="AN23" i="11" s="1"/>
  <c r="AN25" i="11" s="1"/>
  <c r="AM21" i="11"/>
  <c r="AP23" i="11" l="1"/>
  <c r="AN26" i="11" s="1"/>
  <c r="J15" i="11"/>
  <c r="AR21" i="11" s="1"/>
  <c r="I15" i="11"/>
  <c r="AQ21" i="11" s="1"/>
  <c r="E15" i="11"/>
  <c r="B15" i="11"/>
  <c r="H15" i="11" s="1"/>
  <c r="J14" i="11"/>
  <c r="I14" i="11"/>
  <c r="E14" i="11"/>
  <c r="B14" i="11"/>
  <c r="H14" i="11" s="1"/>
  <c r="J13" i="11"/>
  <c r="I13" i="11"/>
  <c r="E13" i="11"/>
  <c r="B13" i="11"/>
  <c r="H13" i="11" s="1"/>
  <c r="J12" i="11"/>
  <c r="I12" i="11"/>
  <c r="E12" i="11"/>
  <c r="B12" i="11"/>
  <c r="H12" i="11" s="1"/>
  <c r="J11" i="11"/>
  <c r="I11" i="11"/>
  <c r="E11" i="11"/>
  <c r="B11" i="11"/>
  <c r="H11" i="11" s="1"/>
  <c r="J10" i="11"/>
  <c r="I10" i="11"/>
  <c r="H10" i="11"/>
  <c r="E10" i="11"/>
  <c r="B10" i="11"/>
  <c r="J9" i="11"/>
  <c r="I9" i="11"/>
  <c r="E9" i="11"/>
  <c r="B9" i="11"/>
  <c r="H9" i="11" s="1"/>
  <c r="J8" i="11"/>
  <c r="I8" i="11"/>
  <c r="E8" i="11"/>
  <c r="B8" i="11"/>
  <c r="H8" i="11" s="1"/>
  <c r="J7" i="11"/>
  <c r="I7" i="11"/>
  <c r="E7" i="11"/>
  <c r="B7" i="11"/>
  <c r="H7" i="11" s="1"/>
  <c r="AR22" i="11" l="1"/>
  <c r="AX21" i="11" s="1"/>
  <c r="AW21" i="11"/>
  <c r="AR23" i="11" l="1"/>
  <c r="AN27" i="11" s="1"/>
</calcChain>
</file>

<file path=xl/sharedStrings.xml><?xml version="1.0" encoding="utf-8"?>
<sst xmlns="http://schemas.openxmlformats.org/spreadsheetml/2006/main" count="43" uniqueCount="19">
  <si>
    <t>ޖުމްލަ</t>
  </si>
  <si>
    <t>ފިރިހެން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</si>
  <si>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</si>
  <si>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</si>
  <si>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</si>
  <si>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</si>
  <si>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</si>
  <si>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 xml:space="preserve">Total </t>
  </si>
  <si>
    <t>Year</t>
  </si>
  <si>
    <t>Public sector</t>
  </si>
  <si>
    <t>ތާވަލު  18.11 :ރިޓާޔަމަންޓް ޕެންޝަން ސްކީމްއަށް ޕަބްލިކް އަދި ޕްރައިވެޓް ސެކްޓަރއިން ފައިސާދެއްކި މީހުންގެ ޢަދަދު ، 2010 - 2018</t>
  </si>
  <si>
    <t>TABLE   18.11:  NUMBER OF MEMBERS CONTRIBUTING TO RETIREMENT PENSION SCHEME BY SECTOR AND SEX, 2010 - 2018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</si>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</sst>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_);_(* \(#,##0\);_(* &quot;-&quot;??_);_(@_)"/>
    <numFmt numFmtId="165" formatCode="0.0"/>
    <numFmt numFmtId="166" formatCode="_(* #,##0.0_);_(* \(#,##0.0\);_(* &quot;-&quot;??_);_(@_)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164" fontId="8" fillId="0" borderId="19"/>
    <xf numFmtId="0" fontId="1" fillId="0" borderId="19"/>
    <xf numFmtId="0" fontId="1" fillId="0" borderId="19"/>
  </cellStyleXfs>
  <cellXfs count="48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14" xfId="0" applyFont="1" applyFill="1" applyBorder="1" applyAlignment="1">
      <alignment horizontal="right" vertical="center"/>
    </xf>
    <xf numFmtId="0" fontId="2" fillId="2" borderId="2" xfId="0" applyFont="1" applyFill="1" applyBorder="1"/>
    <xf numFmtId="164" fontId="0" fillId="2" borderId="2" xfId="0" applyNumberFormat="1" applyFont="1" applyFill="1" applyBorder="1" applyAlignment="1">
      <alignment horizontal="center" vertical="center"/>
    </xf>
    <xf numFmtId="164" fontId="0" fillId="2" borderId="14" xfId="0" applyNumberFormat="1" applyFont="1" applyFill="1" applyBorder="1" applyAlignment="1">
      <alignment horizontal="center" vertical="center"/>
    </xf>
    <xf numFmtId="164" fontId="0" fillId="4" borderId="14" xfId="0" applyNumberFormat="1" applyFont="1" applyFill="1" applyBorder="1" applyAlignment="1">
      <alignment horizontal="center" vertical="center"/>
    </xf>
    <xf numFmtId="164" fontId="0" fillId="2" borderId="2" xfId="0" applyNumberFormat="1" applyFont="1" applyFill="1" applyBorder="1"/>
    <xf numFmtId="0" fontId="0" fillId="2" borderId="19" xfId="0" applyFont="1" applyFill="1" applyBorder="1"/>
    <xf numFmtId="0" fontId="5" fillId="2" borderId="2" xfId="0" applyFont="1" applyFill="1" applyBorder="1"/>
    <xf numFmtId="0" fontId="6" fillId="2" borderId="2" xfId="0" applyFont="1" applyFill="1" applyBorder="1" applyAlignment="1"/>
    <xf numFmtId="1" fontId="0" fillId="2" borderId="2" xfId="0" applyNumberFormat="1" applyFont="1" applyFill="1" applyBorder="1"/>
    <xf numFmtId="165" fontId="0" fillId="2" borderId="2" xfId="0" applyNumberFormat="1" applyFont="1" applyFill="1" applyBorder="1"/>
    <xf numFmtId="0" fontId="4" fillId="2" borderId="6" xfId="0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164" fontId="0" fillId="4" borderId="15" xfId="0" applyNumberFormat="1" applyFont="1" applyFill="1" applyBorder="1" applyAlignment="1">
      <alignment horizontal="center" vertical="center"/>
    </xf>
    <xf numFmtId="164" fontId="0" fillId="2" borderId="13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10" xfId="0" applyFont="1" applyFill="1" applyBorder="1"/>
    <xf numFmtId="0" fontId="3" fillId="3" borderId="12" xfId="0" applyFont="1" applyFill="1" applyBorder="1"/>
    <xf numFmtId="0" fontId="3" fillId="3" borderId="8" xfId="0" applyFont="1" applyFill="1" applyBorder="1"/>
    <xf numFmtId="0" fontId="3" fillId="3" borderId="17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center"/>
    </xf>
    <xf numFmtId="0" fontId="3" fillId="3" borderId="22" xfId="0" applyFont="1" applyFill="1" applyBorder="1"/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/>
    <xf numFmtId="0" fontId="4" fillId="2" borderId="23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4" fontId="0" fillId="2" borderId="16" xfId="0" applyNumberFormat="1" applyFont="1" applyFill="1" applyBorder="1" applyAlignment="1">
      <alignment horizontal="center" vertical="center"/>
    </xf>
    <xf numFmtId="164" fontId="0" fillId="2" borderId="24" xfId="0" applyNumberFormat="1" applyFont="1" applyFill="1" applyBorder="1" applyAlignment="1">
      <alignment horizontal="center" vertical="center"/>
    </xf>
    <xf numFmtId="164" fontId="0" fillId="2" borderId="9" xfId="0" applyNumberFormat="1" applyFont="1" applyFill="1" applyBorder="1" applyAlignment="1">
      <alignment horizontal="center" vertical="center"/>
    </xf>
    <xf numFmtId="164" fontId="0" fillId="2" borderId="11" xfId="0" applyNumberFormat="1" applyFont="1" applyFill="1" applyBorder="1" applyAlignment="1">
      <alignment horizontal="center" vertical="center"/>
    </xf>
    <xf numFmtId="0" fontId="7" fillId="2" borderId="2" xfId="0" applyFont="1" applyFill="1" applyBorder="1"/>
    <xf numFmtId="0" fontId="4" fillId="2" borderId="23" xfId="0" applyFont="1" applyFill="1" applyBorder="1" applyAlignment="1">
      <alignment horizontal="right"/>
    </xf>
    <xf numFmtId="0" fontId="4" fillId="2" borderId="18" xfId="0" applyFont="1" applyFill="1" applyBorder="1" applyAlignment="1">
      <alignment horizontal="right"/>
    </xf>
    <xf numFmtId="166" fontId="0" fillId="2" borderId="2" xfId="0" applyNumberFormat="1" applyFont="1" applyFill="1" applyBorder="1"/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3391590093696766"/>
          <c:y val="0.24586898665638823"/>
          <c:w val="0.35073036820066789"/>
          <c:h val="0.68886294807554649"/>
        </c:manualLayout>
      </c:layout>
      <c:doughnutChart>
        <c:varyColors val="1"/>
        <c:ser>
          <c:idx val="0"/>
          <c:order val="0"/>
          <c:tx>
            <c:strRef>
              <c:f>'18.11'!$AN$24</c:f>
              <c:strCache>
                <c:ptCount val="1"/>
                <c:pt idx="0">
                  <c:v>% share of females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A64-4900-A67D-F934B295FBE8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A64-4900-A67D-F934B295FBE8}"/>
              </c:ext>
            </c:extLst>
          </c:dPt>
          <c:dLbls>
            <c:dLbl>
              <c:idx val="0"/>
              <c:layout>
                <c:manualLayout>
                  <c:x val="0.10736944851146901"/>
                  <c:y val="-0.142222222222222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A64-4900-A67D-F934B295FBE8}"/>
                </c:ext>
              </c:extLst>
            </c:dLbl>
            <c:dLbl>
              <c:idx val="1"/>
              <c:layout>
                <c:manualLayout>
                  <c:x val="-8.7847730600292828E-2"/>
                  <c:y val="-0.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A64-4900-A67D-F934B295FB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'18.11'!$AM$25:$AM$26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'18.11'!$AN$25:$AN$26</c:f>
              <c:numCache>
                <c:formatCode>0.0</c:formatCode>
                <c:ptCount val="2"/>
                <c:pt idx="0">
                  <c:v>47.8884840013977</c:v>
                </c:pt>
                <c:pt idx="1">
                  <c:v>22.802202795296342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4-4900-A67D-F934B295F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3836408278877156"/>
          <c:y val="0.18631313942899996"/>
          <c:w val="0.34981858206140648"/>
          <c:h val="0.81148392165265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C33-40FD-9986-41E8551054B3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7B8-45F1-82F6-908975E01683}"/>
              </c:ext>
            </c:extLst>
          </c:dPt>
          <c:dLbls>
            <c:dLbl>
              <c:idx val="0"/>
              <c:layout>
                <c:manualLayout>
                  <c:x val="-4.8875855327468305E-2"/>
                  <c:y val="9.924487594390507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C33-40FD-9986-41E855105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'18.11'!$AW$20:$AX$20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'18.11'!$AW$21:$AX$21</c:f>
              <c:numCache>
                <c:formatCode>0</c:formatCode>
                <c:ptCount val="2"/>
                <c:pt idx="0">
                  <c:v>66.627404377044186</c:v>
                </c:pt>
                <c:pt idx="1">
                  <c:v>33.372595622955821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33-40FD-9986-41E855105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72564823202409"/>
          <c:y val="0.21323495402235559"/>
          <c:w val="0.85137992706663879"/>
          <c:h val="0.58833948204026953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376092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D0D5-4BDB-8661-3B4F1A4CF09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D0D5-4BDB-8661-3B4F1A4CF09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0D5-4BDB-8661-3B4F1A4CF09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0D5-4BDB-8661-3B4F1A4CF09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D0D5-4BDB-8661-3B4F1A4CF09E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D0D5-4BDB-8661-3B4F1A4CF09E}"/>
              </c:ext>
            </c:extLst>
          </c:dPt>
          <c:cat>
            <c:multiLvlStrRef>
              <c:f>'18.11'!$AM$19:$AR$20</c:f>
              <c:multiLvlStrCache>
                <c:ptCount val="6"/>
                <c:lvl>
                  <c:pt idx="0">
                    <c:v>Male     </c:v>
                  </c:pt>
                  <c:pt idx="1">
                    <c:v>Female        </c:v>
                  </c:pt>
                  <c:pt idx="2">
                    <c:v>Male     </c:v>
                  </c:pt>
                  <c:pt idx="3">
                    <c:v>Female        </c:v>
                  </c:pt>
                  <c:pt idx="4">
                    <c:v>Male     </c:v>
                  </c:pt>
                  <c:pt idx="5">
                    <c:v>Female        </c:v>
                  </c:pt>
                </c:lvl>
                <c:lvl>
                  <c:pt idx="0">
                    <c:v>Public sector</c:v>
                  </c:pt>
                  <c:pt idx="2">
                    <c:v>Private sector</c:v>
                  </c:pt>
                  <c:pt idx="4">
                    <c:v>Total</c:v>
                  </c:pt>
                </c:lvl>
              </c:multiLvlStrCache>
            </c:multiLvlStrRef>
          </c:cat>
          <c:val>
            <c:numRef>
              <c:f>'18.11'!$AM$21:$AR$21</c:f>
              <c:numCache>
                <c:formatCode>_(* #,##0_);_(* \(#,##0\);_(* "-"??_);_(@_)</c:formatCode>
                <c:ptCount val="6"/>
                <c:pt idx="0">
                  <c:v>20879</c:v>
                </c:pt>
                <c:pt idx="1">
                  <c:v>19187</c:v>
                </c:pt>
                <c:pt idx="2">
                  <c:v>42475</c:v>
                </c:pt>
                <c:pt idx="3">
                  <c:v>12546</c:v>
                </c:pt>
                <c:pt idx="4">
                  <c:v>63354</c:v>
                </c:pt>
                <c:pt idx="5">
                  <c:v>31733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D0D5-4BDB-8661-3B4F1A4C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100"/>
        <c:axId val="-1672300816"/>
        <c:axId val="-1672299184"/>
      </c:barChart>
      <c:catAx>
        <c:axId val="-1672300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anchor="ctr" anchorCtr="0"/>
          <a:lstStyle/>
          <a:p>
            <a:pPr lvl="0">
              <a:defRPr b="0" i="0"/>
            </a:pPr>
            <a:endParaRPr lang="en-US"/>
          </a:p>
        </c:txPr>
        <c:crossAx val="-1672299184"/>
        <c:crosses val="autoZero"/>
        <c:auto val="1"/>
        <c:lblAlgn val="ctr"/>
        <c:lblOffset val="100"/>
        <c:tickLblSkip val="1"/>
        <c:noMultiLvlLbl val="0"/>
      </c:catAx>
      <c:valAx>
        <c:axId val="-1672299184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3879595854052188E-2"/>
              <c:y val="0.39425853400409472"/>
            </c:manualLayout>
          </c:layout>
          <c:overlay val="0"/>
        </c:title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2300816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32</xdr:row>
      <xdr:rowOff>95250</xdr:rowOff>
    </xdr:from>
    <xdr:ext cx="6505575" cy="2857500"/>
    <xdr:graphicFrame macro=""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504825</xdr:colOff>
      <xdr:row>47</xdr:row>
      <xdr:rowOff>152400</xdr:rowOff>
    </xdr:from>
    <xdr:ext cx="6496050" cy="2943225"/>
    <xdr:graphicFrame macro=""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685800</xdr:colOff>
      <xdr:row>33</xdr:row>
      <xdr:rowOff>152400</xdr:rowOff>
    </xdr:from>
    <xdr:ext cx="6229350" cy="266700"/>
    <xdr:sp macro="" textlink="">
      <xdr:nvSpPr>
        <xdr:cNvPr id="18" name="Shape 18"/>
        <xdr:cNvSpPr txBox="1"/>
      </xdr:nvSpPr>
      <xdr:spPr>
        <a:xfrm>
          <a:off x="685800" y="8039100"/>
          <a:ext cx="62293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18.13: Percentage share of females contributing to retirement pension scheme by sector, 2018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647700</xdr:colOff>
      <xdr:row>48</xdr:row>
      <xdr:rowOff>76200</xdr:rowOff>
    </xdr:from>
    <xdr:ext cx="6362700" cy="285750"/>
    <xdr:sp macro="" textlink="">
      <xdr:nvSpPr>
        <xdr:cNvPr id="19" name="Shape 19"/>
        <xdr:cNvSpPr txBox="1"/>
      </xdr:nvSpPr>
      <xdr:spPr>
        <a:xfrm>
          <a:off x="2169413" y="3641888"/>
          <a:ext cx="6353175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 i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Figure 18.14: Percentage share of  employees  contributing to the retirement pension scheme by sex, 2018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0</xdr:col>
      <xdr:colOff>371475</xdr:colOff>
      <xdr:row>16</xdr:row>
      <xdr:rowOff>142875</xdr:rowOff>
    </xdr:from>
    <xdr:to>
      <xdr:col>9</xdr:col>
      <xdr:colOff>266700</xdr:colOff>
      <xdr:row>30</xdr:row>
      <xdr:rowOff>104775</xdr:rowOff>
    </xdr:to>
    <xdr:graphicFrame macro="">
      <xdr:nvGraphicFramePr>
        <xdr:cNvPr id="16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0.10472</cdr:x>
      <cdr:y>0.01494</cdr:y>
    </cdr:from>
    <cdr:to>
      <cdr:x>0.97788</cdr:x>
      <cdr:y>0.185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76275" y="40699"/>
          <a:ext cx="5638800" cy="4632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18.12: Number of persons contributing to retirement pension scheme by sex and sector, 2018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63"/>
  <sheetViews>
    <sheetView tabSelected="1" zoomScaleNormal="100" workbookViewId="0">
      <selection activeCell="W11" sqref="W11"/>
    </sheetView>
  </sheetViews>
  <sheetFormatPr defaultColWidth="14.42578125" defaultRowHeight="15" customHeight="1" x14ac:dyDescent="0.25"/>
  <cols>
    <col min="1" max="1" width="10.42578125" style="2" customWidth="1"/>
    <col min="2" max="10" width="11" style="2" customWidth="1"/>
    <col min="11" max="11" width="6.7109375" style="2" hidden="1" customWidth="1"/>
    <col min="12" max="13" width="8" style="2" hidden="1" customWidth="1"/>
    <col min="14" max="14" width="1.140625" style="2" customWidth="1"/>
    <col min="15" max="50" width="8" style="2" customWidth="1"/>
    <col min="51" max="16384" width="14.42578125" style="2"/>
  </cols>
  <sheetData>
    <row r="1" spans="1:50" ht="21" customHeight="1" x14ac:dyDescent="0.55000000000000004">
      <c r="A1" s="26" t="s">
        <v>10</v>
      </c>
      <c r="B1" s="20"/>
      <c r="C1" s="20"/>
      <c r="D1" s="20"/>
      <c r="E1" s="20"/>
      <c r="F1" s="20"/>
      <c r="G1" s="20"/>
      <c r="H1" s="20"/>
      <c r="I1" s="20"/>
      <c r="J1" s="21"/>
      <c r="K1" s="1"/>
      <c r="L1" s="1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9"/>
      <c r="Z1" s="9"/>
      <c r="AA1" s="9"/>
      <c r="AB1" s="9"/>
      <c r="AC1" s="9"/>
      <c r="AD1" s="9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27" t="s">
        <v>11</v>
      </c>
      <c r="B2" s="20"/>
      <c r="C2" s="20"/>
      <c r="D2" s="20"/>
      <c r="E2" s="20"/>
      <c r="F2" s="20"/>
      <c r="G2" s="20"/>
      <c r="H2" s="20"/>
      <c r="I2" s="20"/>
      <c r="J2" s="2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9"/>
      <c r="Z2" s="9"/>
      <c r="AA2" s="9"/>
      <c r="AB2" s="9"/>
      <c r="AC2" s="9"/>
      <c r="AD2" s="9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9"/>
      <c r="Z3" s="9"/>
      <c r="AA3" s="9"/>
      <c r="AB3" s="9"/>
      <c r="AC3" s="9"/>
      <c r="AD3" s="9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28" t="s">
        <v>8</v>
      </c>
      <c r="B4" s="31"/>
      <c r="C4" s="14" t="s">
        <v>9</v>
      </c>
      <c r="D4" s="32"/>
      <c r="E4" s="33" t="s">
        <v>12</v>
      </c>
      <c r="F4" s="24"/>
      <c r="G4" s="34"/>
      <c r="H4" s="35"/>
      <c r="I4" s="36" t="s">
        <v>2</v>
      </c>
      <c r="J4" s="3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9"/>
      <c r="Z4" s="9"/>
      <c r="AA4" s="9"/>
      <c r="AB4" s="9"/>
      <c r="AC4" s="9"/>
      <c r="AD4" s="9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22"/>
      <c r="B5" s="19" t="s">
        <v>7</v>
      </c>
      <c r="C5" s="19" t="s">
        <v>3</v>
      </c>
      <c r="D5" s="37" t="s">
        <v>4</v>
      </c>
      <c r="E5" s="19" t="s">
        <v>7</v>
      </c>
      <c r="F5" s="19" t="s">
        <v>3</v>
      </c>
      <c r="G5" s="37" t="s">
        <v>4</v>
      </c>
      <c r="H5" s="19" t="s">
        <v>7</v>
      </c>
      <c r="I5" s="19" t="s">
        <v>3</v>
      </c>
      <c r="J5" s="19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9"/>
      <c r="Z5" s="9"/>
      <c r="AA5" s="9"/>
      <c r="AB5" s="9"/>
      <c r="AC5" s="9"/>
      <c r="AD5" s="9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1" customHeight="1" x14ac:dyDescent="0.55000000000000004">
      <c r="A6" s="23"/>
      <c r="B6" s="3" t="s">
        <v>0</v>
      </c>
      <c r="C6" s="3" t="s">
        <v>1</v>
      </c>
      <c r="D6" s="38" t="s">
        <v>13</v>
      </c>
      <c r="E6" s="3" t="s">
        <v>0</v>
      </c>
      <c r="F6" s="3" t="s">
        <v>1</v>
      </c>
      <c r="G6" s="38" t="s">
        <v>13</v>
      </c>
      <c r="H6" s="3" t="s">
        <v>0</v>
      </c>
      <c r="I6" s="3" t="s">
        <v>1</v>
      </c>
      <c r="J6" s="39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9"/>
      <c r="Z6" s="9"/>
      <c r="AA6" s="9"/>
      <c r="AB6" s="9"/>
      <c r="AC6" s="9"/>
      <c r="AD6" s="9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6.25" customHeight="1" x14ac:dyDescent="0.25">
      <c r="A7" s="15">
        <v>2010</v>
      </c>
      <c r="B7" s="5">
        <f t="shared" ref="B7:B15" si="0">SUM(C7:D7)</f>
        <v>30269</v>
      </c>
      <c r="C7" s="5">
        <v>19298</v>
      </c>
      <c r="D7" s="40">
        <v>10971</v>
      </c>
      <c r="E7" s="41">
        <f t="shared" ref="E7:E15" si="1">SUM(F7:G7)</f>
        <v>252</v>
      </c>
      <c r="F7" s="5">
        <v>119</v>
      </c>
      <c r="G7" s="40">
        <v>133</v>
      </c>
      <c r="H7" s="41">
        <f t="shared" ref="H7:J7" si="2">B7+E7</f>
        <v>30521</v>
      </c>
      <c r="I7" s="5">
        <f t="shared" si="2"/>
        <v>19417</v>
      </c>
      <c r="J7" s="42">
        <f t="shared" si="2"/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9"/>
      <c r="Z7" s="9"/>
      <c r="AA7" s="9"/>
      <c r="AB7" s="9"/>
      <c r="AC7" s="9"/>
      <c r="AD7" s="9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6.25" customHeight="1" x14ac:dyDescent="0.25">
      <c r="A8" s="15">
        <v>2011</v>
      </c>
      <c r="B8" s="5">
        <f t="shared" si="0"/>
        <v>21053</v>
      </c>
      <c r="C8" s="5">
        <v>13667</v>
      </c>
      <c r="D8" s="40">
        <v>7386</v>
      </c>
      <c r="E8" s="43">
        <f t="shared" si="1"/>
        <v>37950</v>
      </c>
      <c r="F8" s="5">
        <v>29781</v>
      </c>
      <c r="G8" s="40">
        <v>8169</v>
      </c>
      <c r="H8" s="43">
        <f t="shared" ref="H8:J8" si="3">B8+E8</f>
        <v>59003</v>
      </c>
      <c r="I8" s="5">
        <f t="shared" si="3"/>
        <v>43448</v>
      </c>
      <c r="J8" s="5">
        <f t="shared" si="3"/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9"/>
      <c r="Z8" s="9"/>
      <c r="AA8" s="9"/>
      <c r="AB8" s="9"/>
      <c r="AC8" s="9"/>
      <c r="AD8" s="9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6.25" customHeight="1" x14ac:dyDescent="0.25">
      <c r="A9" s="15">
        <v>2012</v>
      </c>
      <c r="B9" s="5">
        <f t="shared" si="0"/>
        <v>31653</v>
      </c>
      <c r="C9" s="5">
        <v>18242</v>
      </c>
      <c r="D9" s="40">
        <v>13411</v>
      </c>
      <c r="E9" s="43">
        <f t="shared" si="1"/>
        <v>37152</v>
      </c>
      <c r="F9" s="5">
        <v>30036</v>
      </c>
      <c r="G9" s="40">
        <v>7116</v>
      </c>
      <c r="H9" s="43">
        <f t="shared" ref="H9:J9" si="4">B9+E9</f>
        <v>68805</v>
      </c>
      <c r="I9" s="5">
        <f t="shared" si="4"/>
        <v>48278</v>
      </c>
      <c r="J9" s="5">
        <f t="shared" si="4"/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9"/>
      <c r="Z9" s="9"/>
      <c r="AA9" s="9"/>
      <c r="AB9" s="9"/>
      <c r="AC9" s="9"/>
      <c r="AD9" s="9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6.25" customHeight="1" x14ac:dyDescent="0.25">
      <c r="A10" s="15">
        <v>2013</v>
      </c>
      <c r="B10" s="5">
        <f t="shared" si="0"/>
        <v>30162</v>
      </c>
      <c r="C10" s="5">
        <v>17816</v>
      </c>
      <c r="D10" s="40">
        <v>12346</v>
      </c>
      <c r="E10" s="43">
        <f t="shared" si="1"/>
        <v>39299</v>
      </c>
      <c r="F10" s="5">
        <v>31644</v>
      </c>
      <c r="G10" s="40">
        <v>7655</v>
      </c>
      <c r="H10" s="43">
        <f t="shared" ref="H10:J10" si="5">B10+E10</f>
        <v>69461</v>
      </c>
      <c r="I10" s="5">
        <f t="shared" si="5"/>
        <v>49460</v>
      </c>
      <c r="J10" s="5">
        <f t="shared" si="5"/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9"/>
      <c r="Z10" s="9"/>
      <c r="AA10" s="9"/>
      <c r="AB10" s="9"/>
      <c r="AC10" s="9"/>
      <c r="AD10" s="9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6.25" customHeight="1" x14ac:dyDescent="0.25">
      <c r="A11" s="15">
        <v>2014</v>
      </c>
      <c r="B11" s="5">
        <f t="shared" si="0"/>
        <v>32279</v>
      </c>
      <c r="C11" s="5">
        <v>18475</v>
      </c>
      <c r="D11" s="40">
        <v>13804</v>
      </c>
      <c r="E11" s="43">
        <f t="shared" si="1"/>
        <v>42570</v>
      </c>
      <c r="F11" s="5">
        <v>34087</v>
      </c>
      <c r="G11" s="40">
        <v>8483</v>
      </c>
      <c r="H11" s="43">
        <f t="shared" ref="H11:J11" si="6">B11+E11</f>
        <v>74849</v>
      </c>
      <c r="I11" s="5">
        <f t="shared" si="6"/>
        <v>52562</v>
      </c>
      <c r="J11" s="5">
        <f t="shared" si="6"/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9"/>
      <c r="Z11" s="9"/>
      <c r="AA11" s="9"/>
      <c r="AB11" s="9"/>
      <c r="AC11" s="9"/>
      <c r="AD11" s="9"/>
      <c r="AE11" s="1"/>
      <c r="AF11" s="1"/>
      <c r="AG11" s="1"/>
      <c r="AH11" s="1"/>
      <c r="AI11" s="1"/>
      <c r="AJ11" s="1"/>
      <c r="AK11" s="1"/>
      <c r="AL11" s="1">
        <v>18475</v>
      </c>
      <c r="AM11" s="1">
        <v>13804</v>
      </c>
      <c r="AN11" s="1">
        <v>34087</v>
      </c>
      <c r="AO11" s="1">
        <v>8483</v>
      </c>
      <c r="AP11" s="1">
        <v>52562</v>
      </c>
      <c r="AQ11" s="1">
        <v>22287</v>
      </c>
      <c r="AR11" s="1"/>
      <c r="AS11" s="1"/>
      <c r="AT11" s="1"/>
      <c r="AU11" s="1"/>
      <c r="AV11" s="1"/>
      <c r="AW11" s="1"/>
      <c r="AX11" s="1"/>
    </row>
    <row r="12" spans="1:50" ht="26.25" customHeight="1" x14ac:dyDescent="0.25">
      <c r="A12" s="15">
        <v>2015</v>
      </c>
      <c r="B12" s="5">
        <f t="shared" si="0"/>
        <v>35813</v>
      </c>
      <c r="C12" s="5">
        <v>19810</v>
      </c>
      <c r="D12" s="40">
        <v>16003</v>
      </c>
      <c r="E12" s="43">
        <f t="shared" si="1"/>
        <v>46109</v>
      </c>
      <c r="F12" s="5">
        <v>36441</v>
      </c>
      <c r="G12" s="40">
        <v>9668</v>
      </c>
      <c r="H12" s="43">
        <f t="shared" ref="H12:J12" si="7">B12+E12</f>
        <v>81922</v>
      </c>
      <c r="I12" s="5">
        <f t="shared" si="7"/>
        <v>56251</v>
      </c>
      <c r="J12" s="5">
        <f t="shared" si="7"/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9"/>
      <c r="Z12" s="9"/>
      <c r="AA12" s="9"/>
      <c r="AB12" s="9"/>
      <c r="AC12" s="9"/>
      <c r="AD12" s="9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6.25" customHeight="1" x14ac:dyDescent="0.25">
      <c r="A13" s="15">
        <v>2016</v>
      </c>
      <c r="B13" s="5">
        <f t="shared" si="0"/>
        <v>31447</v>
      </c>
      <c r="C13" s="5">
        <v>16984</v>
      </c>
      <c r="D13" s="40">
        <v>14463</v>
      </c>
      <c r="E13" s="43">
        <f t="shared" si="1"/>
        <v>48282</v>
      </c>
      <c r="F13" s="5">
        <v>37995</v>
      </c>
      <c r="G13" s="40">
        <v>10287</v>
      </c>
      <c r="H13" s="43">
        <f t="shared" ref="H13:J13" si="8">B13+E13</f>
        <v>79729</v>
      </c>
      <c r="I13" s="5">
        <f t="shared" si="8"/>
        <v>54979</v>
      </c>
      <c r="J13" s="5">
        <f t="shared" si="8"/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9"/>
      <c r="Z13" s="9"/>
      <c r="AA13" s="9"/>
      <c r="AB13" s="9"/>
      <c r="AC13" s="9"/>
      <c r="AD13" s="9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6.25" customHeight="1" x14ac:dyDescent="0.25">
      <c r="A14" s="15">
        <v>2017</v>
      </c>
      <c r="B14" s="5">
        <f t="shared" si="0"/>
        <v>36625</v>
      </c>
      <c r="C14" s="5">
        <v>19661</v>
      </c>
      <c r="D14" s="40">
        <v>16964</v>
      </c>
      <c r="E14" s="43">
        <f t="shared" si="1"/>
        <v>52091</v>
      </c>
      <c r="F14" s="5">
        <v>40679</v>
      </c>
      <c r="G14" s="40">
        <v>11412</v>
      </c>
      <c r="H14" s="43">
        <f t="shared" ref="H14:J14" si="9">B14+E14</f>
        <v>88716</v>
      </c>
      <c r="I14" s="5">
        <f t="shared" si="9"/>
        <v>60340</v>
      </c>
      <c r="J14" s="5">
        <f t="shared" si="9"/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9"/>
      <c r="Z14" s="9"/>
      <c r="AA14" s="9"/>
      <c r="AB14" s="9"/>
      <c r="AC14" s="9"/>
      <c r="AD14" s="9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6.25" customHeight="1" x14ac:dyDescent="0.25">
      <c r="A15" s="16">
        <v>2018</v>
      </c>
      <c r="B15" s="6">
        <f t="shared" si="0"/>
        <v>40066</v>
      </c>
      <c r="C15" s="7">
        <v>20879</v>
      </c>
      <c r="D15" s="17">
        <v>19187</v>
      </c>
      <c r="E15" s="18">
        <f t="shared" si="1"/>
        <v>55021</v>
      </c>
      <c r="F15" s="7">
        <v>42475</v>
      </c>
      <c r="G15" s="17">
        <v>12546</v>
      </c>
      <c r="H15" s="18">
        <f t="shared" ref="H15:J15" si="10">B15+E15</f>
        <v>95087</v>
      </c>
      <c r="I15" s="6">
        <f t="shared" si="10"/>
        <v>63354</v>
      </c>
      <c r="J15" s="6">
        <f t="shared" si="10"/>
        <v>31733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9"/>
      <c r="Z15" s="9"/>
      <c r="AA15" s="9"/>
      <c r="AB15" s="9"/>
      <c r="AC15" s="9"/>
      <c r="AD15" s="9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18" customHeight="1" x14ac:dyDescent="0.45">
      <c r="A16" s="10" t="s">
        <v>5</v>
      </c>
      <c r="B16" s="10"/>
      <c r="C16" s="1"/>
      <c r="D16" s="1"/>
      <c r="E16" s="1"/>
      <c r="F16" s="1"/>
      <c r="G16" s="1"/>
      <c r="H16" s="1"/>
      <c r="I16" s="1"/>
      <c r="J16" s="11" t="s">
        <v>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9"/>
      <c r="Z16" s="9"/>
      <c r="AA16" s="9"/>
      <c r="AB16" s="9"/>
      <c r="AC16" s="9"/>
      <c r="AD16" s="9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8"/>
      <c r="E17" s="8"/>
      <c r="F17" s="1"/>
      <c r="G17" s="8"/>
      <c r="H17" s="8"/>
      <c r="I17" s="1"/>
      <c r="J17" s="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9"/>
      <c r="Z17" s="9"/>
      <c r="AA17" s="9"/>
      <c r="AB17" s="9"/>
      <c r="AC17" s="9"/>
      <c r="AD17" s="9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3"/>
      <c r="E18" s="13"/>
      <c r="F18" s="1"/>
      <c r="G18" s="13"/>
      <c r="H18" s="13"/>
      <c r="I18" s="1"/>
      <c r="J18" s="13"/>
      <c r="K18" s="1"/>
      <c r="L18" s="1"/>
      <c r="M18" s="1"/>
      <c r="N18" s="1"/>
      <c r="O18" s="1"/>
      <c r="P18" s="1"/>
      <c r="Q18" s="1"/>
      <c r="R18" s="1"/>
      <c r="S18" s="44"/>
      <c r="T18" s="1"/>
      <c r="U18" s="1"/>
      <c r="V18" s="1"/>
      <c r="W18" s="1"/>
      <c r="X18" s="1"/>
      <c r="Y18" s="9"/>
      <c r="Z18" s="9"/>
      <c r="AA18" s="9"/>
      <c r="AB18" s="9"/>
      <c r="AC18" s="9"/>
      <c r="AD18" s="9"/>
      <c r="AE18" s="1"/>
      <c r="AF18" s="1"/>
      <c r="AG18" s="1"/>
      <c r="AH18" s="1"/>
      <c r="AI18" s="1"/>
      <c r="AJ18" s="1"/>
      <c r="AK18" s="1"/>
      <c r="AL18" s="1"/>
      <c r="AM18" s="1">
        <v>2018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9"/>
      <c r="Z19" s="9"/>
      <c r="AA19" s="9"/>
      <c r="AB19" s="9"/>
      <c r="AC19" s="9"/>
      <c r="AD19" s="9"/>
      <c r="AE19" s="1"/>
      <c r="AF19" s="1"/>
      <c r="AG19" s="1"/>
      <c r="AH19" s="1"/>
      <c r="AI19" s="1"/>
      <c r="AJ19" s="1"/>
      <c r="AK19" s="1"/>
      <c r="AL19" s="1"/>
      <c r="AM19" s="30" t="s">
        <v>9</v>
      </c>
      <c r="AN19" s="34"/>
      <c r="AO19" s="33" t="s">
        <v>12</v>
      </c>
      <c r="AP19" s="34"/>
      <c r="AQ19" s="29" t="s">
        <v>2</v>
      </c>
      <c r="AR19" s="25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9"/>
      <c r="Z20" s="9"/>
      <c r="AA20" s="9"/>
      <c r="AB20" s="9"/>
      <c r="AC20" s="9"/>
      <c r="AD20" s="9"/>
      <c r="AE20" s="1"/>
      <c r="AF20" s="1"/>
      <c r="AG20" s="1"/>
      <c r="AH20" s="1"/>
      <c r="AI20" s="1"/>
      <c r="AJ20" s="1"/>
      <c r="AK20" s="1"/>
      <c r="AL20" s="1"/>
      <c r="AM20" s="19" t="s">
        <v>14</v>
      </c>
      <c r="AN20" s="45" t="s">
        <v>15</v>
      </c>
      <c r="AO20" s="19" t="s">
        <v>14</v>
      </c>
      <c r="AP20" s="45" t="s">
        <v>15</v>
      </c>
      <c r="AQ20" s="19" t="s">
        <v>14</v>
      </c>
      <c r="AR20" s="46" t="s">
        <v>15</v>
      </c>
      <c r="AS20" s="1"/>
      <c r="AT20" s="1"/>
      <c r="AU20" s="1"/>
      <c r="AV20" s="1"/>
      <c r="AW20" s="1" t="s">
        <v>3</v>
      </c>
      <c r="AX20" s="1" t="s">
        <v>4</v>
      </c>
    </row>
    <row r="21" spans="1:50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9"/>
      <c r="Z21" s="9"/>
      <c r="AA21" s="9"/>
      <c r="AB21" s="9"/>
      <c r="AC21" s="9"/>
      <c r="AD21" s="9"/>
      <c r="AE21" s="1"/>
      <c r="AF21" s="1"/>
      <c r="AG21" s="1"/>
      <c r="AH21" s="1"/>
      <c r="AI21" s="1"/>
      <c r="AJ21" s="1"/>
      <c r="AK21" s="1"/>
      <c r="AL21" s="1"/>
      <c r="AM21" s="8">
        <f>C15</f>
        <v>20879</v>
      </c>
      <c r="AN21" s="8">
        <f>D15</f>
        <v>19187</v>
      </c>
      <c r="AO21" s="8">
        <f>F15</f>
        <v>42475</v>
      </c>
      <c r="AP21" s="8">
        <f>G15</f>
        <v>12546</v>
      </c>
      <c r="AQ21" s="8">
        <f>I15</f>
        <v>63354</v>
      </c>
      <c r="AR21" s="8">
        <f>J15</f>
        <v>31733</v>
      </c>
      <c r="AS21" s="1"/>
      <c r="AT21" s="1"/>
      <c r="AU21" s="1"/>
      <c r="AV21" s="1"/>
      <c r="AW21" s="12">
        <f>AQ21/AR22*100</f>
        <v>66.627404377044186</v>
      </c>
      <c r="AX21" s="12">
        <f>AR21/AR22*100</f>
        <v>33.372595622955821</v>
      </c>
    </row>
    <row r="22" spans="1:50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9"/>
      <c r="Z22" s="9"/>
      <c r="AA22" s="9"/>
      <c r="AB22" s="9"/>
      <c r="AC22" s="9"/>
      <c r="AD22" s="9"/>
      <c r="AE22" s="1"/>
      <c r="AF22" s="1"/>
      <c r="AG22" s="1"/>
      <c r="AH22" s="1"/>
      <c r="AI22" s="1"/>
      <c r="AJ22" s="1"/>
      <c r="AK22" s="1"/>
      <c r="AL22" s="1"/>
      <c r="AM22" s="1" t="s">
        <v>16</v>
      </c>
      <c r="AN22" s="8">
        <f>SUM(AM21:AN21)</f>
        <v>40066</v>
      </c>
      <c r="AO22" s="1"/>
      <c r="AP22" s="8">
        <f>SUM(AO21:AP21)</f>
        <v>55021</v>
      </c>
      <c r="AQ22" s="1"/>
      <c r="AR22" s="8">
        <f>SUM(AQ21:AR21)</f>
        <v>95087</v>
      </c>
      <c r="AS22" s="1"/>
      <c r="AT22" s="1"/>
      <c r="AU22" s="1"/>
      <c r="AV22" s="1"/>
      <c r="AW22" s="1"/>
      <c r="AX22" s="1"/>
    </row>
    <row r="23" spans="1:50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9"/>
      <c r="Z23" s="9"/>
      <c r="AA23" s="9"/>
      <c r="AB23" s="9"/>
      <c r="AC23" s="9"/>
      <c r="AD23" s="9"/>
      <c r="AE23" s="1"/>
      <c r="AF23" s="1"/>
      <c r="AG23" s="1"/>
      <c r="AH23" s="1"/>
      <c r="AI23" s="1"/>
      <c r="AJ23" s="1"/>
      <c r="AK23" s="1"/>
      <c r="AL23" s="1"/>
      <c r="AM23" s="1" t="s">
        <v>17</v>
      </c>
      <c r="AN23" s="47">
        <f>AN21/AN22*100</f>
        <v>47.8884840013977</v>
      </c>
      <c r="AO23" s="47"/>
      <c r="AP23" s="47">
        <f>AP21/AP22*100</f>
        <v>22.802202795296342</v>
      </c>
      <c r="AQ23" s="47"/>
      <c r="AR23" s="47">
        <f>AR21/AR22*100</f>
        <v>33.372595622955821</v>
      </c>
      <c r="AS23" s="1"/>
      <c r="AT23" s="1"/>
      <c r="AU23" s="1"/>
      <c r="AV23" s="1"/>
      <c r="AW23" s="1"/>
      <c r="AX23" s="1"/>
    </row>
    <row r="24" spans="1:50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9"/>
      <c r="Z24" s="9"/>
      <c r="AA24" s="9"/>
      <c r="AB24" s="9"/>
      <c r="AC24" s="9"/>
      <c r="AD24" s="9"/>
      <c r="AE24" s="1"/>
      <c r="AF24" s="1"/>
      <c r="AG24" s="1"/>
      <c r="AH24" s="1"/>
      <c r="AI24" s="1"/>
      <c r="AJ24" s="1"/>
      <c r="AK24" s="1"/>
      <c r="AL24" s="1"/>
      <c r="AM24" s="1"/>
      <c r="AN24" s="1" t="s">
        <v>18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9"/>
      <c r="Z25" s="9"/>
      <c r="AA25" s="9"/>
      <c r="AB25" s="9"/>
      <c r="AC25" s="9"/>
      <c r="AD25" s="9"/>
      <c r="AE25" s="1"/>
      <c r="AF25" s="1"/>
      <c r="AG25" s="1"/>
      <c r="AH25" s="1"/>
      <c r="AI25" s="1"/>
      <c r="AJ25" s="1"/>
      <c r="AK25" s="1"/>
      <c r="AL25" s="1"/>
      <c r="AM25" s="1" t="s">
        <v>9</v>
      </c>
      <c r="AN25" s="13">
        <f>AN23</f>
        <v>47.8884840013977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9"/>
      <c r="Z26" s="9"/>
      <c r="AA26" s="9"/>
      <c r="AB26" s="9"/>
      <c r="AC26" s="9"/>
      <c r="AD26" s="9"/>
      <c r="AE26" s="1"/>
      <c r="AF26" s="1"/>
      <c r="AG26" s="1"/>
      <c r="AH26" s="1"/>
      <c r="AI26" s="1"/>
      <c r="AJ26" s="1"/>
      <c r="AK26" s="1"/>
      <c r="AL26" s="1"/>
      <c r="AM26" s="1" t="s">
        <v>12</v>
      </c>
      <c r="AN26" s="13">
        <f>AP23</f>
        <v>22.802202795296342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9"/>
      <c r="Z27" s="9"/>
      <c r="AA27" s="9"/>
      <c r="AB27" s="9"/>
      <c r="AC27" s="9"/>
      <c r="AD27" s="9"/>
      <c r="AE27" s="1"/>
      <c r="AF27" s="1"/>
      <c r="AG27" s="1"/>
      <c r="AH27" s="1"/>
      <c r="AI27" s="1"/>
      <c r="AJ27" s="1"/>
      <c r="AK27" s="1"/>
      <c r="AL27" s="1"/>
      <c r="AM27" s="1" t="s">
        <v>2</v>
      </c>
      <c r="AN27" s="47">
        <f>AR23</f>
        <v>33.372595622955821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9"/>
      <c r="Z28" s="9"/>
      <c r="AA28" s="9"/>
      <c r="AB28" s="9"/>
      <c r="AC28" s="9"/>
      <c r="AD28" s="9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9"/>
      <c r="Z29" s="9"/>
      <c r="AA29" s="9"/>
      <c r="AB29" s="9"/>
      <c r="AC29" s="9"/>
      <c r="AD29" s="9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9"/>
      <c r="Z30" s="9"/>
      <c r="AA30" s="9"/>
      <c r="AB30" s="9"/>
      <c r="AC30" s="9"/>
      <c r="AD30" s="9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9"/>
      <c r="Z31" s="9"/>
      <c r="AA31" s="9"/>
      <c r="AB31" s="9"/>
      <c r="AC31" s="9"/>
      <c r="AD31" s="9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9"/>
      <c r="Z32" s="9"/>
      <c r="AA32" s="9"/>
      <c r="AB32" s="9"/>
      <c r="AC32" s="9"/>
      <c r="AD32" s="9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9"/>
      <c r="Z33" s="9"/>
      <c r="AA33" s="9"/>
      <c r="AB33" s="9"/>
      <c r="AC33" s="9"/>
      <c r="AD33" s="9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9"/>
      <c r="Z34" s="9"/>
      <c r="AA34" s="9"/>
      <c r="AB34" s="9"/>
      <c r="AC34" s="9"/>
      <c r="AD34" s="9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9"/>
      <c r="Z35" s="9"/>
      <c r="AA35" s="9"/>
      <c r="AB35" s="9"/>
      <c r="AC35" s="9"/>
      <c r="AD35" s="9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9"/>
      <c r="Z36" s="9"/>
      <c r="AA36" s="9"/>
      <c r="AB36" s="9"/>
      <c r="AC36" s="9"/>
      <c r="AD36" s="9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9"/>
      <c r="Z37" s="9"/>
      <c r="AA37" s="9"/>
      <c r="AB37" s="9"/>
      <c r="AC37" s="9"/>
      <c r="AD37" s="9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9"/>
      <c r="Z38" s="9"/>
      <c r="AA38" s="9"/>
      <c r="AB38" s="9"/>
      <c r="AC38" s="9"/>
      <c r="AD38" s="9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9"/>
      <c r="Z39" s="9"/>
      <c r="AA39" s="9"/>
      <c r="AB39" s="9"/>
      <c r="AC39" s="9"/>
      <c r="AD39" s="9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9"/>
      <c r="Z40" s="9"/>
      <c r="AA40" s="9"/>
      <c r="AB40" s="9"/>
      <c r="AC40" s="9"/>
      <c r="AD40" s="9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9"/>
      <c r="Z41" s="9"/>
      <c r="AA41" s="9"/>
      <c r="AB41" s="9"/>
      <c r="AC41" s="9"/>
      <c r="AD41" s="9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9"/>
      <c r="Z42" s="9"/>
      <c r="AA42" s="9"/>
      <c r="AB42" s="9"/>
      <c r="AC42" s="9"/>
      <c r="AD42" s="9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9"/>
      <c r="Z43" s="9"/>
      <c r="AA43" s="9"/>
      <c r="AB43" s="9"/>
      <c r="AC43" s="9"/>
      <c r="AD43" s="9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9"/>
      <c r="Z44" s="9"/>
      <c r="AA44" s="9"/>
      <c r="AB44" s="9"/>
      <c r="AC44" s="9"/>
      <c r="AD44" s="9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9"/>
      <c r="Z45" s="9"/>
      <c r="AA45" s="9"/>
      <c r="AB45" s="9"/>
      <c r="AC45" s="9"/>
      <c r="AD45" s="9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9"/>
      <c r="Z46" s="9"/>
      <c r="AA46" s="9"/>
      <c r="AB46" s="9"/>
      <c r="AC46" s="9"/>
      <c r="AD46" s="9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9"/>
      <c r="Z47" s="9"/>
      <c r="AA47" s="9"/>
      <c r="AB47" s="9"/>
      <c r="AC47" s="9"/>
      <c r="AD47" s="9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9"/>
      <c r="Z48" s="9"/>
      <c r="AA48" s="9"/>
      <c r="AB48" s="9"/>
      <c r="AC48" s="9"/>
      <c r="AD48" s="9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9"/>
      <c r="Z49" s="9"/>
      <c r="AA49" s="9"/>
      <c r="AB49" s="9"/>
      <c r="AC49" s="9"/>
      <c r="AD49" s="9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9"/>
      <c r="Z50" s="9"/>
      <c r="AA50" s="9"/>
      <c r="AB50" s="9"/>
      <c r="AC50" s="9"/>
      <c r="AD50" s="9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9"/>
      <c r="Z51" s="9"/>
      <c r="AA51" s="9"/>
      <c r="AB51" s="9"/>
      <c r="AC51" s="9"/>
      <c r="AD51" s="9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9"/>
      <c r="Z52" s="9"/>
      <c r="AA52" s="9"/>
      <c r="AB52" s="9"/>
      <c r="AC52" s="9"/>
      <c r="AD52" s="9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9"/>
      <c r="Z53" s="9"/>
      <c r="AA53" s="9"/>
      <c r="AB53" s="9"/>
      <c r="AC53" s="9"/>
      <c r="AD53" s="9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9"/>
      <c r="Z54" s="9"/>
      <c r="AA54" s="9"/>
      <c r="AB54" s="9"/>
      <c r="AC54" s="9"/>
      <c r="AD54" s="9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9"/>
      <c r="Z55" s="9"/>
      <c r="AA55" s="9"/>
      <c r="AB55" s="9"/>
      <c r="AC55" s="9"/>
      <c r="AD55" s="9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9"/>
      <c r="Z56" s="9"/>
      <c r="AA56" s="9"/>
      <c r="AB56" s="9"/>
      <c r="AC56" s="9"/>
      <c r="AD56" s="9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9"/>
      <c r="Z57" s="9"/>
      <c r="AA57" s="9"/>
      <c r="AB57" s="9"/>
      <c r="AC57" s="9"/>
      <c r="AD57" s="9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9"/>
      <c r="Z58" s="9"/>
      <c r="AA58" s="9"/>
      <c r="AB58" s="9"/>
      <c r="AC58" s="9"/>
      <c r="AD58" s="9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9"/>
      <c r="Z59" s="9"/>
      <c r="AA59" s="9"/>
      <c r="AB59" s="9"/>
      <c r="AC59" s="9"/>
      <c r="AD59" s="9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9"/>
      <c r="Z60" s="9"/>
      <c r="AA60" s="9"/>
      <c r="AB60" s="9"/>
      <c r="AC60" s="9"/>
      <c r="AD60" s="9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9"/>
      <c r="Z61" s="9"/>
      <c r="AA61" s="9"/>
      <c r="AB61" s="9"/>
      <c r="AC61" s="9"/>
      <c r="AD61" s="9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9"/>
      <c r="Z62" s="9"/>
      <c r="AA62" s="9"/>
      <c r="AB62" s="9"/>
      <c r="AC62" s="9"/>
      <c r="AD62" s="9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9"/>
      <c r="Z63" s="9"/>
      <c r="AA63" s="9"/>
      <c r="AB63" s="9"/>
      <c r="AC63" s="9"/>
      <c r="AD63" s="9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</sheetData>
  <mergeCells count="7">
    <mergeCell ref="A1:J1"/>
    <mergeCell ref="AM19:AN19"/>
    <mergeCell ref="AO19:AP19"/>
    <mergeCell ref="AQ19:AR19"/>
    <mergeCell ref="A2:J2"/>
    <mergeCell ref="A4:A6"/>
    <mergeCell ref="E4:G4"/>
  </mergeCells>
  <pageMargins left="0.7" right="0.7" top="0.75" bottom="0.75" header="0" footer="0"/>
  <pageSetup paperSize="9" scale="83" orientation="landscape" horizontalDpi="4294967295" verticalDpi="4294967295" r:id="rId1"/>
  <rowBreaks count="1" manualBreakCount="1">
    <brk id="32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18.11</vt:lpstr>
      <vt:lpstr>'18.11'!Print_Area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2019-05-12T04:31:37Z</cp:lastPrinted>
  <dcterms:created xsi:type="dcterms:W3CDTF">2019-02-21T04:10:17Z</dcterms:created>
  <dcterms:modified xsi:type="dcterms:W3CDTF">2019-05-12T04:32:20Z</dcterms:modified>
</cp:coreProperties>
</file>