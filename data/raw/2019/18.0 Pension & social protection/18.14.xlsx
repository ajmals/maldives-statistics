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841"/>
  </bookViews>
  <sheets>
    <sheet name="18.14" sheetId="14" r:id="rId1"/>
  </sheets>
  <definedNames>
    <definedName name="_xlnm.Print_Area" localSheetId="0">'18.14'!$A$1:$F$55</definedName>
  </definedNames>
  <calcPr calcId="162913"/>
</workbook>
</file>

<file path=xl/calcChain.xml><?xml version="1.0" encoding="utf-8"?>
<calcChain xmlns="http://schemas.openxmlformats.org/spreadsheetml/2006/main">
  <c r="V38" i="14" l="1"/>
  <c r="E13" i="14" l="1"/>
  <c r="D7" i="14"/>
  <c r="E29" i="14" s="1"/>
  <c r="B7" i="14"/>
  <c r="E21" i="14" l="1"/>
  <c r="E30" i="14"/>
  <c r="E7" i="14"/>
  <c r="E15" i="14"/>
  <c r="E23" i="14"/>
  <c r="E31" i="14"/>
  <c r="E14" i="14"/>
  <c r="E8" i="14"/>
  <c r="E16" i="14"/>
  <c r="E24" i="14"/>
  <c r="E32" i="14"/>
  <c r="E22" i="14"/>
  <c r="E9" i="14"/>
  <c r="E17" i="14"/>
  <c r="E25" i="14"/>
  <c r="E10" i="14"/>
  <c r="E18" i="14"/>
  <c r="E26" i="14"/>
  <c r="E11" i="14"/>
  <c r="E19" i="14"/>
  <c r="E27" i="14"/>
  <c r="E12" i="14"/>
  <c r="E20" i="14"/>
  <c r="E28" i="14"/>
</calcChain>
</file>

<file path=xl/sharedStrings.xml><?xml version="1.0" encoding="utf-8"?>
<sst xmlns="http://schemas.openxmlformats.org/spreadsheetml/2006/main" count="93" uniqueCount="67">
  <si>
    <t>އިންސައްތަ</t>
  </si>
  <si>
    <t>ޖުމްލަ</t>
  </si>
  <si>
    <t>% share</t>
  </si>
  <si>
    <t>Total</t>
  </si>
  <si>
    <t>Source: Maldives Pension Administration</t>
  </si>
  <si>
    <t>މަޢުލޫމާތު ދެއްވި ފަރާތް: މޯލްޑިވްސް ޕެންޝަން އެޑްމިނިސްޓްރޭޝަން</t>
  </si>
  <si>
    <t>މުވައްޒަފުންގެ އަދަދު</t>
  </si>
  <si>
    <t xml:space="preserve">މަސައްކަތްކުރާ ތަނުގެ ދާއިރާ 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</si>
  <si>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</si>
  <si>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</si>
  <si>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</si>
  <si>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</si>
  <si>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</si>
  <si>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</si>
  <si>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</si>
  <si>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</si>
  <si>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</si>
  <si>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</si>
  <si>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</si>
  <si>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</si>
  <si>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</si>
  <si>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</si>
  <si>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</si>
  <si>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</si>
  <si>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</si>
  <si>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</si>
  <si>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</si>
  <si>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</si>
  <si>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</si>
  <si>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 xml:space="preserve">Housing Development 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</si>
  <si>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</si>
  <si>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</si>
  <si>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</si>
  <si>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</si>
  <si>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</si>
  <si>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</si>
  <si>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</si>
  <si>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</si>
  <si>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</si>
  <si>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</si>
  <si>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</si>
  <si>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</si>
  <si>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</si>
  <si>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</si>
  <si>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</si>
  <si>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</si>
  <si>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</si>
  <si>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</si>
  <si>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</si>
  <si>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</si>
  <si>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</si>
  <si>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</si>
  <si>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</si>
  <si>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Others</t>
  </si>
  <si>
    <t>އެހެނިހެން</t>
  </si>
  <si>
    <t xml:space="preserve">Note: The Difference between values in this table  is due to  some members vahing multiple contracts with more than one employer </t>
  </si>
  <si>
    <t xml:space="preserve">ތާވަލު  18.14 : އެކި ދާއިރާތަކުން ރިޓާޔަމަންޓް ޕެންޝަން ސްކީމްގައި ރެޖިސްޓްރީކޮށްފައިވާ ތަންތަނުގެ ޢަދަދާއި މުވައްޒަފުންގެ އަދަދު، 2018 </t>
  </si>
  <si>
    <t>TABLE   18.14: EMPLOYEES AND ESTABLISHMENTS REGISTERED IN THE RETIREMENT PENSION SCHEME, END OF 2018</t>
  </si>
  <si>
    <t>Industry</t>
  </si>
  <si>
    <t>Establishments</t>
  </si>
  <si>
    <t>Employment</t>
  </si>
  <si>
    <t xml:space="preserve">މަސައްކަތްކުރާ ތަންތަނުގެ </t>
  </si>
  <si>
    <t xml:space="preserve">މުވައްޒަފުންގެ </t>
  </si>
  <si>
    <t>ޢަދަދު</t>
  </si>
  <si>
    <t xml:space="preserve">Financial sector, Banks, Investment Funds, Insurance </t>
  </si>
  <si>
    <t xml:space="preserve">ފައިސާގެ ޚިދުމަތް، ބެންކް، އިންވެސްޓްމަންޓް ފަންޑް، އިންޝުއަރެންސް </t>
  </si>
  <si>
    <t>Govt. agencies, public institutions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</si>
</sst>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_);_(* \(#,##0\);_(* &quot;-&quot;??_);_(@_)"/>
    <numFmt numFmtId="165" formatCode="0.0"/>
    <numFmt numFmtId="167" formatCode="#,##0.0"/>
  </numFmts>
  <fonts count="11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11"/>
      <color rgb="FF000000"/>
      <name val="Calibri"/>
      <family val="2"/>
    </font>
    <font>
      <i/>
      <sz val="10"/>
      <color rgb="FF000000"/>
      <name val="Calibri"/>
      <family val="2"/>
    </font>
    <font>
      <sz val="10"/>
      <color rgb="FF000000"/>
      <name val="Faruma"/>
    </font>
    <font>
      <sz val="12"/>
      <color rgb="FF000000"/>
      <name val="Calibri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 style="hair">
        <color rgb="FF000000"/>
      </top>
      <bottom/>
      <diagonal/>
    </border>
  </borders>
  <cellStyleXfs count="4">
    <xf numFmtId="0" fontId="0" fillId="0" borderId="0"/>
    <xf numFmtId="164" fontId="10" fillId="0" borderId="11"/>
    <xf numFmtId="0" fontId="1" fillId="0" borderId="11"/>
    <xf numFmtId="0" fontId="1" fillId="0" borderId="11"/>
  </cellStyleXfs>
  <cellXfs count="44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vertical="center"/>
    </xf>
    <xf numFmtId="0" fontId="5" fillId="2" borderId="2" xfId="0" applyFont="1" applyFill="1" applyBorder="1" applyAlignment="1"/>
    <xf numFmtId="0" fontId="5" fillId="2" borderId="9" xfId="0" applyFont="1" applyFill="1" applyBorder="1" applyAlignment="1"/>
    <xf numFmtId="0" fontId="0" fillId="2" borderId="11" xfId="0" applyFont="1" applyFill="1" applyBorder="1"/>
    <xf numFmtId="0" fontId="4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0" fillId="2" borderId="2" xfId="0" applyFont="1" applyFill="1" applyBorder="1" applyAlignment="1">
      <alignment horizontal="left" vertical="center"/>
    </xf>
    <xf numFmtId="3" fontId="0" fillId="4" borderId="2" xfId="0" applyNumberFormat="1" applyFont="1" applyFill="1" applyBorder="1" applyAlignment="1">
      <alignment horizontal="right" vertical="center"/>
    </xf>
    <xf numFmtId="0" fontId="0" fillId="2" borderId="9" xfId="0" applyFont="1" applyFill="1" applyBorder="1" applyAlignment="1">
      <alignment horizontal="left" vertical="center"/>
    </xf>
    <xf numFmtId="3" fontId="0" fillId="4" borderId="9" xfId="0" applyNumberFormat="1" applyFont="1" applyFill="1" applyBorder="1" applyAlignment="1">
      <alignment horizontal="right" vertical="center"/>
    </xf>
    <xf numFmtId="0" fontId="7" fillId="2" borderId="2" xfId="0" applyFont="1" applyFill="1" applyBorder="1"/>
    <xf numFmtId="165" fontId="0" fillId="2" borderId="2" xfId="0" applyNumberFormat="1" applyFont="1" applyFill="1" applyBorder="1"/>
    <xf numFmtId="0" fontId="6" fillId="2" borderId="2" xfId="0" applyFont="1" applyFill="1" applyBorder="1" applyAlignment="1">
      <alignment horizontal="left" vertical="center"/>
    </xf>
    <xf numFmtId="165" fontId="0" fillId="2" borderId="2" xfId="0" applyNumberFormat="1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8" fillId="2" borderId="2" xfId="0" applyFont="1" applyFill="1" applyBorder="1" applyAlignment="1"/>
    <xf numFmtId="0" fontId="7" fillId="2" borderId="2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vertical="center"/>
    </xf>
    <xf numFmtId="3" fontId="4" fillId="2" borderId="2" xfId="0" applyNumberFormat="1" applyFont="1" applyFill="1" applyBorder="1" applyAlignment="1">
      <alignment horizontal="right" vertical="center" wrapText="1"/>
    </xf>
    <xf numFmtId="167" fontId="0" fillId="2" borderId="2" xfId="0" applyNumberFormat="1" applyFont="1" applyFill="1" applyBorder="1" applyAlignment="1">
      <alignment horizontal="right" vertical="center" wrapText="1"/>
    </xf>
    <xf numFmtId="0" fontId="9" fillId="2" borderId="2" xfId="0" applyFont="1" applyFill="1" applyBorder="1" applyAlignment="1">
      <alignment horizontal="left" vertical="center" wrapText="1"/>
    </xf>
    <xf numFmtId="167" fontId="0" fillId="2" borderId="9" xfId="0" applyNumberFormat="1" applyFont="1" applyFill="1" applyBorder="1" applyAlignment="1">
      <alignment horizontal="right" vertical="center" wrapText="1"/>
    </xf>
    <xf numFmtId="165" fontId="0" fillId="2" borderId="2" xfId="0" applyNumberFormat="1" applyFont="1" applyFill="1" applyBorder="1" applyAlignment="1">
      <alignment vertical="center"/>
    </xf>
    <xf numFmtId="165" fontId="0" fillId="3" borderId="0" xfId="0" applyNumberFormat="1" applyFont="1" applyFill="1" applyAlignment="1"/>
    <xf numFmtId="0" fontId="3" fillId="3" borderId="3" xfId="0" applyFont="1" applyFill="1" applyBorder="1"/>
    <xf numFmtId="0" fontId="3" fillId="3" borderId="4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3" fillId="3" borderId="6" xfId="0" applyFont="1" applyFill="1" applyBorder="1"/>
    <xf numFmtId="0" fontId="3" fillId="3" borderId="8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right" vertical="center" wrapText="1"/>
    </xf>
    <xf numFmtId="165" fontId="0" fillId="2" borderId="11" xfId="0" applyNumberFormat="1" applyFont="1" applyFill="1" applyBorder="1" applyAlignment="1">
      <alignment horizontal="right" vertical="center"/>
    </xf>
  </cellXfs>
  <cellStyles count="4">
    <cellStyle name="Normal" xfId="0" builtinId="0"/>
    <cellStyle name="Normal 12" xfId="3"/>
    <cellStyle name="Normal 2" xfId="1"/>
    <cellStyle name="Normal 3 2" xfId="2"/>
  </cellStyles>
  <dxfs count="0"/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1001448559937202"/>
          <c:y val="0.15187238419521884"/>
          <c:w val="0.88624202550220788"/>
          <c:h val="0.3747397659208682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7F6000"/>
            </a:solidFill>
          </c:spPr>
          <c:invertIfNegative val="1"/>
          <c:dLbls>
            <c:dLbl>
              <c:idx val="0"/>
              <c:layout>
                <c:manualLayout>
                  <c:x val="0"/>
                  <c:y val="1.86480186480186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5FB-4A80-B0C1-F5258775D6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'18.14'!$U$23:$U$36</c:f>
              <c:strCache>
                <c:ptCount val="14"/>
                <c:pt idx="0">
                  <c:v>Govt. agencies, public institutions</c:v>
                </c:pt>
                <c:pt idx="1">
                  <c:v>Hotels, Tourist resorts, travel agencies</c:v>
                </c:pt>
                <c:pt idx="2">
                  <c:v>Others</c:v>
                </c:pt>
                <c:pt idx="3">
                  <c:v>Financial sector, Banks, Investment Funds, Insurance </c:v>
                </c:pt>
                <c:pt idx="4">
                  <c:v>Air Transportation</c:v>
                </c:pt>
                <c:pt idx="5">
                  <c:v>Shops, small and medium commercial retail</c:v>
                </c:pt>
                <c:pt idx="6">
                  <c:v>Wholesale retailers</c:v>
                </c:pt>
                <c:pt idx="7">
                  <c:v>Sea Transportation, shipping</c:v>
                </c:pt>
                <c:pt idx="8">
                  <c:v>Construction</c:v>
                </c:pt>
                <c:pt idx="9">
                  <c:v>Telecommunications</c:v>
                </c:pt>
                <c:pt idx="10">
                  <c:v>Schools and educational centers</c:v>
                </c:pt>
                <c:pt idx="11">
                  <c:v>Fishing Industry</c:v>
                </c:pt>
                <c:pt idx="12">
                  <c:v>Health Sector, hospitals, clinics</c:v>
                </c:pt>
                <c:pt idx="13">
                  <c:v>Land Transportation, taxis, buses etc</c:v>
                </c:pt>
              </c:strCache>
            </c:strRef>
          </c:cat>
          <c:val>
            <c:numRef>
              <c:f>'18.14'!$V$23:$V$36</c:f>
              <c:numCache>
                <c:formatCode>0.0</c:formatCode>
                <c:ptCount val="14"/>
                <c:pt idx="0">
                  <c:v>41.997778170001141</c:v>
                </c:pt>
                <c:pt idx="1">
                  <c:v>20.008928849528122</c:v>
                </c:pt>
                <c:pt idx="2">
                  <c:v>8.1335589771276116</c:v>
                </c:pt>
                <c:pt idx="3">
                  <c:v>5.0385705534848464</c:v>
                </c:pt>
                <c:pt idx="4">
                  <c:v>4.4706541939636821</c:v>
                </c:pt>
                <c:pt idx="5">
                  <c:v>3.6192987738405473</c:v>
                </c:pt>
                <c:pt idx="6">
                  <c:v>3.5798457177860605</c:v>
                </c:pt>
                <c:pt idx="7">
                  <c:v>3.5424691383660201</c:v>
                </c:pt>
                <c:pt idx="8">
                  <c:v>2.6589283304089619</c:v>
                </c:pt>
                <c:pt idx="9">
                  <c:v>1.9747292793587841</c:v>
                </c:pt>
                <c:pt idx="10">
                  <c:v>1.8885554990292472</c:v>
                </c:pt>
                <c:pt idx="11">
                  <c:v>1.3777422469553662</c:v>
                </c:pt>
                <c:pt idx="12">
                  <c:v>1.1607504386556891</c:v>
                </c:pt>
                <c:pt idx="13">
                  <c:v>0.54818983149392109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61E-4F27-8A37-028B08B39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010021"/>
        <c:axId val="880296926"/>
      </c:barChart>
      <c:catAx>
        <c:axId val="4801002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5400000"/>
          <a:lstStyle/>
          <a:p>
            <a:pPr lvl="0">
              <a:defRPr sz="1200" b="0" i="0"/>
            </a:pPr>
            <a:endParaRPr lang="en-US"/>
          </a:p>
        </c:txPr>
        <c:crossAx val="880296926"/>
        <c:crosses val="autoZero"/>
        <c:auto val="1"/>
        <c:lblAlgn val="ctr"/>
        <c:lblOffset val="100"/>
        <c:noMultiLvlLbl val="1"/>
      </c:catAx>
      <c:valAx>
        <c:axId val="88029692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0.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48010021"/>
        <c:crosses val="autoZero"/>
        <c:crossBetween val="between"/>
      </c:valAx>
      <c:spPr>
        <a:solidFill>
          <a:srgbClr val="FFFFF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34</xdr:row>
      <xdr:rowOff>200024</xdr:rowOff>
    </xdr:from>
    <xdr:ext cx="9267825" cy="4086225"/>
    <xdr:graphicFrame macro=""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1914526</xdr:colOff>
      <xdr:row>35</xdr:row>
      <xdr:rowOff>180975</xdr:rowOff>
    </xdr:from>
    <xdr:ext cx="6705600" cy="390525"/>
    <xdr:sp macro="" textlink="">
      <xdr:nvSpPr>
        <xdr:cNvPr id="29" name="Shape 29"/>
        <xdr:cNvSpPr txBox="1"/>
      </xdr:nvSpPr>
      <xdr:spPr>
        <a:xfrm>
          <a:off x="1914526" y="9153525"/>
          <a:ext cx="6705600" cy="3905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18.18: Percentage distribution of employees registered  in the retirement pension scheme by sector, 2018</a:t>
          </a: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104775</xdr:colOff>
      <xdr:row>38</xdr:row>
      <xdr:rowOff>133350</xdr:rowOff>
    </xdr:from>
    <xdr:ext cx="209550" cy="942975"/>
    <xdr:sp macro="" textlink="">
      <xdr:nvSpPr>
        <xdr:cNvPr id="30" name="Shape 30"/>
        <xdr:cNvSpPr txBox="1"/>
      </xdr:nvSpPr>
      <xdr:spPr>
        <a:xfrm rot="-5400000">
          <a:off x="4879275" y="3679988"/>
          <a:ext cx="933450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Percentage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61"/>
  <sheetViews>
    <sheetView tabSelected="1" zoomScaleNormal="100" workbookViewId="0">
      <selection activeCell="J17" sqref="J17"/>
    </sheetView>
  </sheetViews>
  <sheetFormatPr defaultColWidth="14.42578125" defaultRowHeight="15" customHeight="1" x14ac:dyDescent="0.25"/>
  <cols>
    <col min="1" max="1" width="50.140625" style="2" customWidth="1"/>
    <col min="2" max="2" width="16" style="2" customWidth="1"/>
    <col min="3" max="3" width="1.85546875" style="2" customWidth="1"/>
    <col min="4" max="5" width="16" style="2" customWidth="1"/>
    <col min="6" max="6" width="52.85546875" style="2" customWidth="1"/>
    <col min="7" max="9" width="8" style="2" customWidth="1"/>
    <col min="10" max="10" width="36.28515625" style="2" customWidth="1"/>
    <col min="11" max="17" width="12.85546875" style="2" customWidth="1"/>
    <col min="18" max="18" width="23.42578125" style="2" customWidth="1"/>
    <col min="19" max="20" width="8" style="2" customWidth="1"/>
    <col min="21" max="21" width="35.42578125" style="2" customWidth="1"/>
    <col min="22" max="32" width="8" style="2" customWidth="1"/>
    <col min="33" max="16384" width="14.42578125" style="2"/>
  </cols>
  <sheetData>
    <row r="1" spans="1:32" ht="21" customHeight="1" x14ac:dyDescent="0.25">
      <c r="A1" s="40" t="s">
        <v>56</v>
      </c>
      <c r="B1" s="34"/>
      <c r="C1" s="34"/>
      <c r="D1" s="34"/>
      <c r="E1" s="34"/>
      <c r="F1" s="35"/>
      <c r="G1" s="10"/>
      <c r="H1" s="10"/>
      <c r="I1" s="10"/>
      <c r="J1" s="11"/>
      <c r="K1" s="1"/>
      <c r="L1" s="8"/>
      <c r="M1" s="8"/>
      <c r="N1" s="8"/>
      <c r="O1" s="8"/>
      <c r="P1" s="8"/>
      <c r="Q1" s="8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41" t="s">
        <v>57</v>
      </c>
      <c r="B2" s="34"/>
      <c r="C2" s="34"/>
      <c r="D2" s="34"/>
      <c r="E2" s="34"/>
      <c r="F2" s="35"/>
      <c r="G2" s="1"/>
      <c r="H2" s="1"/>
      <c r="I2" s="1"/>
      <c r="J2" s="11"/>
      <c r="K2" s="1"/>
      <c r="L2" s="8"/>
      <c r="M2" s="8"/>
      <c r="N2" s="8"/>
      <c r="O2" s="8"/>
      <c r="P2" s="8"/>
      <c r="Q2" s="8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5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1"/>
      <c r="K3" s="1"/>
      <c r="L3" s="8"/>
      <c r="M3" s="8"/>
      <c r="N3" s="8"/>
      <c r="O3" s="8"/>
      <c r="P3" s="8"/>
      <c r="Q3" s="8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.75" customHeight="1" x14ac:dyDescent="0.25">
      <c r="A4" s="39" t="s">
        <v>58</v>
      </c>
      <c r="B4" s="23" t="s">
        <v>59</v>
      </c>
      <c r="C4" s="23"/>
      <c r="D4" s="23" t="s">
        <v>60</v>
      </c>
      <c r="E4" s="23" t="s">
        <v>2</v>
      </c>
      <c r="F4" s="36" t="s">
        <v>7</v>
      </c>
      <c r="G4" s="1"/>
      <c r="H4" s="1"/>
      <c r="I4" s="1"/>
      <c r="J4" s="19"/>
      <c r="K4" s="18"/>
      <c r="L4" s="43"/>
      <c r="M4" s="43"/>
      <c r="N4" s="43"/>
      <c r="O4" s="43"/>
      <c r="P4" s="43"/>
      <c r="Q4" s="4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7.25" customHeight="1" x14ac:dyDescent="0.25">
      <c r="A5" s="37"/>
      <c r="B5" s="24" t="s">
        <v>61</v>
      </c>
      <c r="C5" s="24"/>
      <c r="D5" s="42" t="s">
        <v>6</v>
      </c>
      <c r="E5" s="25" t="s">
        <v>62</v>
      </c>
      <c r="F5" s="37"/>
      <c r="G5" s="3"/>
      <c r="H5" s="3"/>
      <c r="I5" s="3"/>
      <c r="J5" s="11"/>
      <c r="K5" s="18"/>
      <c r="L5" s="43"/>
      <c r="M5" s="43"/>
      <c r="N5" s="43"/>
      <c r="O5" s="43"/>
      <c r="P5" s="43"/>
      <c r="Q5" s="4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7.25" customHeight="1" x14ac:dyDescent="0.25">
      <c r="A6" s="38"/>
      <c r="B6" s="26" t="s">
        <v>63</v>
      </c>
      <c r="C6" s="26"/>
      <c r="D6" s="38"/>
      <c r="E6" s="27" t="s">
        <v>0</v>
      </c>
      <c r="F6" s="38"/>
      <c r="G6" s="3"/>
      <c r="H6" s="3"/>
      <c r="I6" s="3"/>
      <c r="J6" s="11"/>
      <c r="K6" s="18"/>
      <c r="L6" s="43"/>
      <c r="M6" s="43"/>
      <c r="N6" s="43"/>
      <c r="O6" s="43"/>
      <c r="P6" s="43"/>
      <c r="Q6" s="4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21" customHeight="1" x14ac:dyDescent="0.25">
      <c r="A7" s="9" t="s">
        <v>3</v>
      </c>
      <c r="B7" s="28">
        <f>SUM(B8:B32)</f>
        <v>2055</v>
      </c>
      <c r="C7" s="28"/>
      <c r="D7" s="28">
        <f>SUM(D8:D32)</f>
        <v>96317</v>
      </c>
      <c r="E7" s="28">
        <f>D7/D7*100</f>
        <v>100</v>
      </c>
      <c r="F7" s="4" t="s">
        <v>1</v>
      </c>
      <c r="G7" s="3"/>
      <c r="H7" s="3"/>
      <c r="I7" s="3"/>
      <c r="J7" s="11"/>
      <c r="K7" s="18"/>
      <c r="L7" s="43"/>
      <c r="M7" s="43"/>
      <c r="N7" s="43"/>
      <c r="O7" s="43"/>
      <c r="P7" s="43"/>
      <c r="Q7" s="43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21" customHeight="1" x14ac:dyDescent="0.55000000000000004">
      <c r="A8" s="11" t="s">
        <v>8</v>
      </c>
      <c r="B8" s="12">
        <v>12</v>
      </c>
      <c r="C8" s="12"/>
      <c r="D8" s="12">
        <v>192</v>
      </c>
      <c r="E8" s="29">
        <f t="shared" ref="E8:E32" si="0">D8/$D$7*100</f>
        <v>0.19934175690688041</v>
      </c>
      <c r="F8" s="6" t="s">
        <v>9</v>
      </c>
      <c r="G8" s="5"/>
      <c r="H8" s="5"/>
      <c r="I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25.5" customHeight="1" x14ac:dyDescent="0.55000000000000004">
      <c r="A9" s="11" t="s">
        <v>10</v>
      </c>
      <c r="B9" s="12">
        <v>17</v>
      </c>
      <c r="C9" s="12"/>
      <c r="D9" s="12">
        <v>4306</v>
      </c>
      <c r="E9" s="29">
        <f t="shared" si="0"/>
        <v>4.4706541939636821</v>
      </c>
      <c r="F9" s="6" t="s">
        <v>11</v>
      </c>
      <c r="G9" s="5"/>
      <c r="H9" s="5"/>
      <c r="I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27.75" customHeight="1" x14ac:dyDescent="0.55000000000000004">
      <c r="A10" s="11" t="s">
        <v>12</v>
      </c>
      <c r="B10" s="12">
        <v>3</v>
      </c>
      <c r="C10" s="12"/>
      <c r="D10" s="12">
        <v>22</v>
      </c>
      <c r="E10" s="29">
        <f t="shared" si="0"/>
        <v>2.2841242978913379E-2</v>
      </c>
      <c r="F10" s="6" t="s">
        <v>13</v>
      </c>
      <c r="G10" s="5"/>
      <c r="H10" s="5"/>
      <c r="I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18.75" customHeight="1" x14ac:dyDescent="0.55000000000000004">
      <c r="A11" s="11" t="s">
        <v>14</v>
      </c>
      <c r="B11" s="12">
        <v>14</v>
      </c>
      <c r="C11" s="12"/>
      <c r="D11" s="12">
        <v>39</v>
      </c>
      <c r="E11" s="29">
        <f t="shared" si="0"/>
        <v>4.0491294371710083E-2</v>
      </c>
      <c r="F11" s="6" t="s">
        <v>15</v>
      </c>
      <c r="G11" s="5"/>
      <c r="H11" s="5"/>
      <c r="I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21" customHeight="1" x14ac:dyDescent="0.55000000000000004">
      <c r="A12" s="11" t="s">
        <v>16</v>
      </c>
      <c r="B12" s="12">
        <v>148</v>
      </c>
      <c r="C12" s="12"/>
      <c r="D12" s="12">
        <v>2561</v>
      </c>
      <c r="E12" s="29">
        <f t="shared" si="0"/>
        <v>2.6589283304089619</v>
      </c>
      <c r="F12" s="6" t="s">
        <v>17</v>
      </c>
      <c r="G12" s="5"/>
      <c r="H12" s="5"/>
      <c r="I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ht="21" customHeight="1" x14ac:dyDescent="0.55000000000000004">
      <c r="A13" s="11" t="s">
        <v>18</v>
      </c>
      <c r="B13" s="12">
        <v>16</v>
      </c>
      <c r="C13" s="12"/>
      <c r="D13" s="12">
        <v>222</v>
      </c>
      <c r="E13" s="29">
        <f t="shared" si="0"/>
        <v>0.23048890642358047</v>
      </c>
      <c r="F13" s="6" t="s">
        <v>19</v>
      </c>
      <c r="G13" s="5"/>
      <c r="H13" s="5"/>
      <c r="I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18.75" customHeight="1" x14ac:dyDescent="0.25">
      <c r="A14" s="30" t="s">
        <v>64</v>
      </c>
      <c r="B14" s="12">
        <v>74</v>
      </c>
      <c r="C14" s="12"/>
      <c r="D14" s="12">
        <v>4853</v>
      </c>
      <c r="E14" s="29">
        <f t="shared" si="0"/>
        <v>5.0385705534848464</v>
      </c>
      <c r="F14" s="20" t="s">
        <v>65</v>
      </c>
      <c r="G14" s="5"/>
      <c r="H14" s="5"/>
      <c r="I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21" customHeight="1" x14ac:dyDescent="0.55000000000000004">
      <c r="A15" s="11" t="s">
        <v>20</v>
      </c>
      <c r="B15" s="12">
        <v>16</v>
      </c>
      <c r="C15" s="12"/>
      <c r="D15" s="12">
        <v>1327</v>
      </c>
      <c r="E15" s="29">
        <f t="shared" si="0"/>
        <v>1.3777422469553662</v>
      </c>
      <c r="F15" s="6" t="s">
        <v>21</v>
      </c>
      <c r="G15" s="5"/>
      <c r="H15" s="5"/>
      <c r="I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21" customHeight="1" x14ac:dyDescent="0.55000000000000004">
      <c r="A16" s="11" t="s">
        <v>22</v>
      </c>
      <c r="B16" s="12">
        <v>4</v>
      </c>
      <c r="C16" s="12"/>
      <c r="D16" s="12">
        <v>121</v>
      </c>
      <c r="E16" s="29">
        <f t="shared" si="0"/>
        <v>0.12562683638402361</v>
      </c>
      <c r="F16" s="6" t="s">
        <v>23</v>
      </c>
      <c r="G16" s="5"/>
      <c r="H16" s="5"/>
      <c r="I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21" customHeight="1" x14ac:dyDescent="0.55000000000000004">
      <c r="A17" s="11" t="s">
        <v>66</v>
      </c>
      <c r="B17" s="12">
        <v>418</v>
      </c>
      <c r="C17" s="12"/>
      <c r="D17" s="12">
        <v>40451</v>
      </c>
      <c r="E17" s="29">
        <f t="shared" si="0"/>
        <v>41.997778170001141</v>
      </c>
      <c r="F17" s="6" t="s">
        <v>24</v>
      </c>
      <c r="G17" s="5"/>
      <c r="H17" s="5"/>
      <c r="I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ht="21" customHeight="1" x14ac:dyDescent="0.55000000000000004">
      <c r="A18" s="11" t="s">
        <v>25</v>
      </c>
      <c r="B18" s="12">
        <v>46</v>
      </c>
      <c r="C18" s="12"/>
      <c r="D18" s="12">
        <v>1118</v>
      </c>
      <c r="E18" s="29">
        <f t="shared" si="0"/>
        <v>1.1607504386556891</v>
      </c>
      <c r="F18" s="6" t="s">
        <v>26</v>
      </c>
      <c r="G18" s="5"/>
      <c r="H18" s="5"/>
      <c r="I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21" customHeight="1" x14ac:dyDescent="0.55000000000000004">
      <c r="A19" s="11" t="s">
        <v>27</v>
      </c>
      <c r="B19" s="12">
        <v>359</v>
      </c>
      <c r="C19" s="12"/>
      <c r="D19" s="12">
        <v>19272</v>
      </c>
      <c r="E19" s="29">
        <f t="shared" si="0"/>
        <v>20.008928849528122</v>
      </c>
      <c r="F19" s="6" t="s">
        <v>28</v>
      </c>
      <c r="G19" s="5"/>
      <c r="H19" s="5"/>
      <c r="I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21" customHeight="1" x14ac:dyDescent="0.55000000000000004">
      <c r="A20" s="11" t="s">
        <v>29</v>
      </c>
      <c r="B20" s="12">
        <v>2</v>
      </c>
      <c r="C20" s="12"/>
      <c r="D20" s="12">
        <v>39</v>
      </c>
      <c r="E20" s="29">
        <f t="shared" si="0"/>
        <v>4.0491294371710083E-2</v>
      </c>
      <c r="F20" s="6" t="s">
        <v>30</v>
      </c>
      <c r="G20" s="5"/>
      <c r="H20" s="5"/>
      <c r="I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21" customHeight="1" x14ac:dyDescent="0.55000000000000004">
      <c r="A21" s="11" t="s">
        <v>31</v>
      </c>
      <c r="B21" s="12">
        <v>6</v>
      </c>
      <c r="C21" s="12"/>
      <c r="D21" s="12">
        <v>528</v>
      </c>
      <c r="E21" s="29">
        <f t="shared" si="0"/>
        <v>0.54818983149392109</v>
      </c>
      <c r="F21" s="6" t="s">
        <v>32</v>
      </c>
      <c r="G21" s="5"/>
      <c r="H21" s="5"/>
      <c r="I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21" customHeight="1" x14ac:dyDescent="0.55000000000000004">
      <c r="A22" s="11" t="s">
        <v>33</v>
      </c>
      <c r="B22" s="12">
        <v>1</v>
      </c>
      <c r="C22" s="12"/>
      <c r="D22" s="12">
        <v>1</v>
      </c>
      <c r="E22" s="29">
        <f t="shared" si="0"/>
        <v>1.0382383172233354E-3</v>
      </c>
      <c r="F22" s="6" t="s">
        <v>34</v>
      </c>
      <c r="G22" s="5"/>
      <c r="H22" s="5"/>
      <c r="I22" s="5"/>
      <c r="R22" s="5"/>
      <c r="S22" s="5"/>
      <c r="T22" s="5"/>
      <c r="U22" s="11"/>
      <c r="V22" s="29"/>
      <c r="W22" s="1"/>
      <c r="X22" s="5"/>
      <c r="Y22" s="5"/>
      <c r="Z22" s="5"/>
      <c r="AA22" s="5"/>
      <c r="AB22" s="5"/>
      <c r="AC22" s="5"/>
      <c r="AD22" s="5"/>
      <c r="AE22" s="5"/>
      <c r="AF22" s="5"/>
    </row>
    <row r="23" spans="1:32" ht="21" customHeight="1" x14ac:dyDescent="0.55000000000000004">
      <c r="A23" s="11" t="s">
        <v>53</v>
      </c>
      <c r="B23" s="12">
        <v>312</v>
      </c>
      <c r="C23" s="12"/>
      <c r="D23" s="12">
        <v>6833</v>
      </c>
      <c r="E23" s="29">
        <f t="shared" si="0"/>
        <v>7.0942824215870521</v>
      </c>
      <c r="F23" s="6" t="s">
        <v>54</v>
      </c>
      <c r="G23" s="5"/>
      <c r="H23" s="5"/>
      <c r="I23" s="5"/>
      <c r="R23" s="5"/>
      <c r="S23" s="5"/>
      <c r="T23" s="5"/>
      <c r="U23" s="5" t="s">
        <v>66</v>
      </c>
      <c r="V23" s="32">
        <v>41.997778170001141</v>
      </c>
      <c r="W23" s="1"/>
      <c r="X23" s="5"/>
      <c r="Y23" s="5"/>
      <c r="Z23" s="5"/>
      <c r="AA23" s="5"/>
      <c r="AB23" s="5"/>
      <c r="AC23" s="5"/>
      <c r="AD23" s="5"/>
      <c r="AE23" s="5"/>
      <c r="AF23" s="5"/>
    </row>
    <row r="24" spans="1:32" ht="21" customHeight="1" x14ac:dyDescent="0.55000000000000004">
      <c r="A24" s="11" t="s">
        <v>35</v>
      </c>
      <c r="B24" s="12">
        <v>6</v>
      </c>
      <c r="C24" s="12"/>
      <c r="D24" s="12">
        <v>43</v>
      </c>
      <c r="E24" s="29">
        <f t="shared" si="0"/>
        <v>4.4644247640603422E-2</v>
      </c>
      <c r="F24" s="6" t="s">
        <v>36</v>
      </c>
      <c r="G24" s="5"/>
      <c r="H24" s="5"/>
      <c r="I24" s="5"/>
      <c r="R24" s="5"/>
      <c r="S24" s="5"/>
      <c r="T24" s="5"/>
      <c r="U24" s="5" t="s">
        <v>27</v>
      </c>
      <c r="V24" s="32">
        <v>20.008928849528122</v>
      </c>
      <c r="W24" s="1"/>
      <c r="X24" s="5"/>
      <c r="Y24" s="5"/>
      <c r="Z24" s="5"/>
      <c r="AA24" s="5"/>
      <c r="AB24" s="5"/>
      <c r="AC24" s="5"/>
      <c r="AD24" s="5"/>
      <c r="AE24" s="5"/>
      <c r="AF24" s="5"/>
    </row>
    <row r="25" spans="1:32" ht="21" customHeight="1" x14ac:dyDescent="0.55000000000000004">
      <c r="A25" s="11" t="s">
        <v>37</v>
      </c>
      <c r="B25" s="12">
        <v>26</v>
      </c>
      <c r="C25" s="12"/>
      <c r="D25" s="12">
        <v>200</v>
      </c>
      <c r="E25" s="29">
        <f t="shared" si="0"/>
        <v>0.20764766344466709</v>
      </c>
      <c r="F25" s="6" t="s">
        <v>38</v>
      </c>
      <c r="G25" s="5"/>
      <c r="H25" s="5"/>
      <c r="I25" s="5"/>
      <c r="R25" s="5"/>
      <c r="S25" s="5"/>
      <c r="T25" s="5"/>
      <c r="U25" s="2" t="s">
        <v>53</v>
      </c>
      <c r="V25" s="33">
        <v>8.1335589771276116</v>
      </c>
      <c r="W25" s="1"/>
      <c r="X25" s="5"/>
      <c r="Y25" s="5"/>
      <c r="Z25" s="5"/>
      <c r="AA25" s="5"/>
      <c r="AB25" s="5"/>
      <c r="AC25" s="5"/>
      <c r="AD25" s="5"/>
      <c r="AE25" s="5"/>
      <c r="AF25" s="5"/>
    </row>
    <row r="26" spans="1:32" ht="21" customHeight="1" x14ac:dyDescent="0.55000000000000004">
      <c r="A26" s="11" t="s">
        <v>39</v>
      </c>
      <c r="B26" s="12">
        <v>2</v>
      </c>
      <c r="C26" s="12"/>
      <c r="D26" s="12">
        <v>89</v>
      </c>
      <c r="E26" s="29">
        <f t="shared" si="0"/>
        <v>9.2403210232876856E-2</v>
      </c>
      <c r="F26" s="6" t="s">
        <v>40</v>
      </c>
      <c r="G26" s="5"/>
      <c r="H26" s="5"/>
      <c r="I26" s="5"/>
      <c r="R26" s="5"/>
      <c r="S26" s="5"/>
      <c r="T26" s="5"/>
      <c r="U26" s="5" t="s">
        <v>64</v>
      </c>
      <c r="V26" s="32">
        <v>5.0385705534848464</v>
      </c>
      <c r="W26" s="1"/>
      <c r="X26" s="5"/>
      <c r="Y26" s="5"/>
      <c r="Z26" s="5"/>
      <c r="AA26" s="5"/>
      <c r="AB26" s="5"/>
      <c r="AC26" s="5"/>
      <c r="AD26" s="5"/>
      <c r="AE26" s="5"/>
      <c r="AF26" s="5"/>
    </row>
    <row r="27" spans="1:32" ht="21" customHeight="1" x14ac:dyDescent="0.55000000000000004">
      <c r="A27" s="11" t="s">
        <v>41</v>
      </c>
      <c r="B27" s="12">
        <v>61</v>
      </c>
      <c r="C27" s="12"/>
      <c r="D27" s="12">
        <v>1819</v>
      </c>
      <c r="E27" s="29">
        <f t="shared" si="0"/>
        <v>1.8885554990292472</v>
      </c>
      <c r="F27" s="6" t="s">
        <v>42</v>
      </c>
      <c r="G27" s="5"/>
      <c r="H27" s="5"/>
      <c r="I27" s="5"/>
      <c r="R27" s="5"/>
      <c r="S27" s="5"/>
      <c r="T27" s="5"/>
      <c r="U27" s="5" t="s">
        <v>10</v>
      </c>
      <c r="V27" s="32">
        <v>4.4706541939636821</v>
      </c>
      <c r="W27" s="32"/>
      <c r="X27" s="5"/>
      <c r="Y27" s="5"/>
      <c r="Z27" s="5"/>
      <c r="AA27" s="5"/>
      <c r="AB27" s="5"/>
      <c r="AC27" s="5"/>
      <c r="AD27" s="5"/>
      <c r="AE27" s="5"/>
      <c r="AF27" s="5"/>
    </row>
    <row r="28" spans="1:32" ht="21" customHeight="1" x14ac:dyDescent="0.55000000000000004">
      <c r="A28" s="11" t="s">
        <v>43</v>
      </c>
      <c r="B28" s="12">
        <v>55</v>
      </c>
      <c r="C28" s="12"/>
      <c r="D28" s="12">
        <v>3412</v>
      </c>
      <c r="E28" s="29">
        <f t="shared" si="0"/>
        <v>3.5424691383660201</v>
      </c>
      <c r="F28" s="6" t="s">
        <v>44</v>
      </c>
      <c r="G28" s="5"/>
      <c r="H28" s="5"/>
      <c r="I28" s="5"/>
      <c r="R28" s="5"/>
      <c r="S28" s="5"/>
      <c r="T28" s="5"/>
      <c r="U28" s="5" t="s">
        <v>45</v>
      </c>
      <c r="V28" s="32">
        <v>3.6192987738405473</v>
      </c>
      <c r="W28" s="1"/>
      <c r="X28" s="5"/>
      <c r="Y28" s="5"/>
      <c r="Z28" s="5"/>
      <c r="AA28" s="5"/>
      <c r="AB28" s="5"/>
      <c r="AC28" s="5"/>
      <c r="AD28" s="5"/>
      <c r="AE28" s="5"/>
      <c r="AF28" s="5"/>
    </row>
    <row r="29" spans="1:32" ht="21" customHeight="1" x14ac:dyDescent="0.55000000000000004">
      <c r="A29" s="11" t="s">
        <v>45</v>
      </c>
      <c r="B29" s="12">
        <v>302</v>
      </c>
      <c r="C29" s="12"/>
      <c r="D29" s="12">
        <v>3486</v>
      </c>
      <c r="E29" s="29">
        <f t="shared" si="0"/>
        <v>3.6192987738405473</v>
      </c>
      <c r="F29" s="6" t="s">
        <v>46</v>
      </c>
      <c r="G29" s="5"/>
      <c r="H29" s="5"/>
      <c r="I29" s="5"/>
      <c r="R29" s="5"/>
      <c r="S29" s="5"/>
      <c r="T29" s="5"/>
      <c r="U29" s="1" t="s">
        <v>51</v>
      </c>
      <c r="V29" s="16">
        <v>3.5798457177860605</v>
      </c>
      <c r="W29" s="1"/>
      <c r="X29" s="5"/>
      <c r="Y29" s="5"/>
      <c r="Z29" s="5"/>
      <c r="AA29" s="5"/>
      <c r="AB29" s="5"/>
      <c r="AC29" s="5"/>
      <c r="AD29" s="5"/>
      <c r="AE29" s="5"/>
      <c r="AF29" s="5"/>
    </row>
    <row r="30" spans="1:32" ht="21" customHeight="1" x14ac:dyDescent="0.55000000000000004">
      <c r="A30" s="11" t="s">
        <v>47</v>
      </c>
      <c r="B30" s="12">
        <v>23</v>
      </c>
      <c r="C30" s="12"/>
      <c r="D30" s="12">
        <v>1902</v>
      </c>
      <c r="E30" s="29">
        <f t="shared" si="0"/>
        <v>1.9747292793587841</v>
      </c>
      <c r="F30" s="6" t="s">
        <v>48</v>
      </c>
      <c r="G30" s="5"/>
      <c r="H30" s="5"/>
      <c r="I30" s="5"/>
      <c r="R30" s="5"/>
      <c r="S30" s="5"/>
      <c r="T30" s="5"/>
      <c r="U30" s="5" t="s">
        <v>43</v>
      </c>
      <c r="V30" s="32">
        <v>3.5424691383660201</v>
      </c>
      <c r="W30" s="1"/>
      <c r="X30" s="5"/>
      <c r="Y30" s="5"/>
      <c r="Z30" s="5"/>
      <c r="AA30" s="5"/>
      <c r="AB30" s="5"/>
      <c r="AC30" s="5"/>
      <c r="AD30" s="5"/>
      <c r="AE30" s="5"/>
      <c r="AF30" s="5"/>
    </row>
    <row r="31" spans="1:32" ht="21" customHeight="1" x14ac:dyDescent="0.55000000000000004">
      <c r="A31" s="11" t="s">
        <v>49</v>
      </c>
      <c r="B31" s="12">
        <v>4</v>
      </c>
      <c r="C31" s="12"/>
      <c r="D31" s="12">
        <v>33</v>
      </c>
      <c r="E31" s="29">
        <f t="shared" si="0"/>
        <v>3.4261864468370068E-2</v>
      </c>
      <c r="F31" s="6" t="s">
        <v>50</v>
      </c>
      <c r="G31" s="5"/>
      <c r="H31" s="5"/>
      <c r="I31" s="5"/>
      <c r="R31" s="5"/>
      <c r="S31" s="5"/>
      <c r="T31" s="5"/>
      <c r="U31" s="5" t="s">
        <v>16</v>
      </c>
      <c r="V31" s="32">
        <v>2.6589283304089619</v>
      </c>
      <c r="W31" s="1"/>
      <c r="X31" s="5"/>
      <c r="Y31" s="5"/>
      <c r="Z31" s="5"/>
      <c r="AA31" s="5"/>
      <c r="AB31" s="5"/>
      <c r="AC31" s="5"/>
      <c r="AD31" s="5"/>
      <c r="AE31" s="5"/>
      <c r="AF31" s="5"/>
    </row>
    <row r="32" spans="1:32" ht="21" customHeight="1" x14ac:dyDescent="0.55000000000000004">
      <c r="A32" s="13" t="s">
        <v>51</v>
      </c>
      <c r="B32" s="14">
        <v>128</v>
      </c>
      <c r="C32" s="14"/>
      <c r="D32" s="14">
        <v>3448</v>
      </c>
      <c r="E32" s="31">
        <f t="shared" si="0"/>
        <v>3.5798457177860605</v>
      </c>
      <c r="F32" s="7" t="s">
        <v>52</v>
      </c>
      <c r="G32" s="5"/>
      <c r="H32" s="5"/>
      <c r="I32" s="5"/>
      <c r="R32" s="1"/>
      <c r="S32" s="1"/>
      <c r="T32" s="1"/>
      <c r="U32" s="5" t="s">
        <v>47</v>
      </c>
      <c r="V32" s="32">
        <v>1.9747292793587841</v>
      </c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21" customHeight="1" x14ac:dyDescent="0.25">
      <c r="A33" s="22" t="s">
        <v>55</v>
      </c>
      <c r="B33" s="17"/>
      <c r="C33" s="17"/>
      <c r="D33" s="17"/>
      <c r="E33" s="17"/>
      <c r="F33" s="17"/>
      <c r="G33" s="17"/>
      <c r="H33" s="17"/>
      <c r="I33" s="17"/>
      <c r="R33" s="17"/>
      <c r="S33" s="17"/>
      <c r="T33" s="17"/>
      <c r="U33" s="5" t="s">
        <v>41</v>
      </c>
      <c r="V33" s="32">
        <v>1.8885554990292472</v>
      </c>
      <c r="W33" s="1"/>
      <c r="X33" s="17"/>
      <c r="Y33" s="17"/>
      <c r="Z33" s="17"/>
      <c r="AA33" s="17"/>
      <c r="AB33" s="17"/>
      <c r="AC33" s="17"/>
      <c r="AD33" s="17"/>
      <c r="AE33" s="17"/>
      <c r="AF33" s="17"/>
    </row>
    <row r="34" spans="1:32" ht="18.75" customHeight="1" x14ac:dyDescent="0.5">
      <c r="A34" s="15" t="s">
        <v>4</v>
      </c>
      <c r="B34" s="1"/>
      <c r="C34" s="1"/>
      <c r="D34" s="1"/>
      <c r="E34" s="1"/>
      <c r="F34" s="21" t="s">
        <v>5</v>
      </c>
      <c r="G34" s="1"/>
      <c r="H34" s="1"/>
      <c r="I34" s="1"/>
      <c r="R34" s="1"/>
      <c r="S34" s="1"/>
      <c r="T34" s="1"/>
      <c r="U34" s="5" t="s">
        <v>20</v>
      </c>
      <c r="V34" s="32">
        <v>1.3777422469553662</v>
      </c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R35" s="1"/>
      <c r="S35" s="1"/>
      <c r="T35" s="1"/>
      <c r="U35" s="5" t="s">
        <v>25</v>
      </c>
      <c r="V35" s="32">
        <v>1.1607504386556891</v>
      </c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R36" s="1"/>
      <c r="S36" s="1"/>
      <c r="T36" s="1"/>
      <c r="U36" s="5" t="s">
        <v>31</v>
      </c>
      <c r="V36" s="32">
        <v>0.54818983149392109</v>
      </c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36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R37" s="1"/>
      <c r="S37" s="1"/>
      <c r="T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R38" s="1"/>
      <c r="S38" s="1"/>
      <c r="T38" s="1"/>
      <c r="V38" s="2">
        <f>SUM(V39:V51)</f>
        <v>8.1335589771276116</v>
      </c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R39" s="1"/>
      <c r="S39" s="1"/>
      <c r="T39" s="1"/>
      <c r="U39" s="5" t="s">
        <v>18</v>
      </c>
      <c r="V39" s="5">
        <v>0.23048890642358047</v>
      </c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R40" s="1"/>
      <c r="S40" s="1"/>
      <c r="T40" s="1"/>
      <c r="U40" s="5" t="s">
        <v>37</v>
      </c>
      <c r="V40" s="5">
        <v>0.20764766344466709</v>
      </c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R41" s="1"/>
      <c r="S41" s="1"/>
      <c r="T41" s="1"/>
      <c r="U41" s="5" t="s">
        <v>8</v>
      </c>
      <c r="V41" s="5">
        <v>0.19934175690688041</v>
      </c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R42" s="1"/>
      <c r="S42" s="1"/>
      <c r="T42" s="1"/>
      <c r="U42" s="5" t="s">
        <v>22</v>
      </c>
      <c r="V42" s="5">
        <v>0.12562683638402361</v>
      </c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R43" s="1"/>
      <c r="S43" s="1"/>
      <c r="T43" s="1"/>
      <c r="U43" s="5" t="s">
        <v>39</v>
      </c>
      <c r="V43" s="5">
        <v>9.2403210232876856E-2</v>
      </c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R44" s="1"/>
      <c r="S44" s="1"/>
      <c r="T44" s="1"/>
      <c r="U44" s="5" t="s">
        <v>35</v>
      </c>
      <c r="V44" s="5">
        <v>4.4644247640603422E-2</v>
      </c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R45" s="1"/>
      <c r="S45" s="1"/>
      <c r="T45" s="1"/>
      <c r="U45" s="5" t="s">
        <v>14</v>
      </c>
      <c r="V45" s="5">
        <v>4.0491294371710083E-2</v>
      </c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R46" s="1"/>
      <c r="S46" s="1"/>
      <c r="T46" s="1"/>
      <c r="U46" s="5" t="s">
        <v>29</v>
      </c>
      <c r="V46" s="5">
        <v>4.0491294371710083E-2</v>
      </c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8"/>
      <c r="M47" s="8"/>
      <c r="N47" s="8"/>
      <c r="O47" s="8"/>
      <c r="P47" s="8"/>
      <c r="Q47" s="8"/>
      <c r="R47" s="1"/>
      <c r="S47" s="1"/>
      <c r="T47" s="1"/>
      <c r="U47" s="5" t="s">
        <v>49</v>
      </c>
      <c r="V47" s="5">
        <v>3.4261864468370068E-2</v>
      </c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8"/>
      <c r="M48" s="8"/>
      <c r="N48" s="8"/>
      <c r="O48" s="8"/>
      <c r="P48" s="8"/>
      <c r="Q48" s="8"/>
      <c r="R48" s="1"/>
      <c r="S48" s="1"/>
      <c r="T48" s="1"/>
      <c r="U48" s="5" t="s">
        <v>12</v>
      </c>
      <c r="V48" s="5">
        <v>2.2841242978913379E-2</v>
      </c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8"/>
      <c r="M49" s="8"/>
      <c r="N49" s="8"/>
      <c r="O49" s="8"/>
      <c r="P49" s="8"/>
      <c r="Q49" s="8"/>
      <c r="R49" s="1"/>
      <c r="S49" s="1"/>
      <c r="T49" s="1"/>
      <c r="U49" s="5" t="s">
        <v>33</v>
      </c>
      <c r="V49" s="5">
        <v>1.0382383172233354E-3</v>
      </c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8"/>
      <c r="M50" s="8"/>
      <c r="N50" s="8"/>
      <c r="O50" s="8"/>
      <c r="P50" s="8"/>
      <c r="Q50" s="8"/>
      <c r="R50" s="1"/>
      <c r="S50" s="1"/>
      <c r="T50" s="1"/>
      <c r="U50" s="1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9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8"/>
      <c r="M51" s="8"/>
      <c r="N51" s="8"/>
      <c r="O51" s="8"/>
      <c r="P51" s="8"/>
      <c r="Q51" s="8"/>
      <c r="R51" s="1"/>
      <c r="S51" s="1"/>
      <c r="T51" s="1"/>
      <c r="U51" s="5" t="s">
        <v>53</v>
      </c>
      <c r="V51" s="5">
        <v>7.0942824215870521</v>
      </c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8"/>
      <c r="M52" s="8"/>
      <c r="N52" s="8"/>
      <c r="O52" s="8"/>
      <c r="P52" s="8"/>
      <c r="Q52" s="8"/>
      <c r="R52" s="1"/>
      <c r="S52" s="1"/>
      <c r="T52" s="1"/>
      <c r="U52" s="1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8"/>
      <c r="M53" s="8"/>
      <c r="N53" s="8"/>
      <c r="O53" s="8"/>
      <c r="P53" s="8"/>
      <c r="Q53" s="8"/>
      <c r="R53" s="1"/>
      <c r="S53" s="1"/>
      <c r="T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8"/>
      <c r="M54" s="8"/>
      <c r="N54" s="8"/>
      <c r="O54" s="8"/>
      <c r="P54" s="8"/>
      <c r="Q54" s="8"/>
      <c r="R54" s="1"/>
      <c r="S54" s="1"/>
      <c r="T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8"/>
      <c r="M55" s="8"/>
      <c r="N55" s="8"/>
      <c r="O55" s="8"/>
      <c r="P55" s="8"/>
      <c r="Q55" s="8"/>
      <c r="R55" s="1"/>
      <c r="S55" s="1"/>
      <c r="T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8"/>
      <c r="M56" s="8"/>
      <c r="N56" s="8"/>
      <c r="O56" s="8"/>
      <c r="P56" s="8"/>
      <c r="Q56" s="8"/>
      <c r="R56" s="1"/>
      <c r="S56" s="1"/>
      <c r="T56" s="1"/>
      <c r="X56" s="16"/>
      <c r="Y56" s="1"/>
      <c r="Z56" s="1"/>
      <c r="AA56" s="1"/>
      <c r="AB56" s="1"/>
      <c r="AC56" s="1"/>
      <c r="AD56" s="1"/>
      <c r="AE56" s="1"/>
      <c r="AF56" s="1"/>
    </row>
    <row r="57" spans="1:32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8"/>
      <c r="M57" s="8"/>
      <c r="N57" s="8"/>
      <c r="O57" s="8"/>
      <c r="P57" s="8"/>
      <c r="Q57" s="8"/>
      <c r="R57" s="1"/>
      <c r="S57" s="1"/>
      <c r="T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8"/>
      <c r="M58" s="8"/>
      <c r="N58" s="8"/>
      <c r="O58" s="8"/>
      <c r="P58" s="8"/>
      <c r="Q58" s="8"/>
      <c r="R58" s="1"/>
      <c r="S58" s="1"/>
      <c r="T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8"/>
      <c r="M59" s="8"/>
      <c r="N59" s="8"/>
      <c r="O59" s="8"/>
      <c r="P59" s="8"/>
      <c r="Q59" s="8"/>
      <c r="R59" s="1"/>
      <c r="S59" s="1"/>
      <c r="T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8"/>
      <c r="N60" s="8"/>
      <c r="O60" s="8"/>
      <c r="P60" s="8"/>
      <c r="Q60" s="8"/>
      <c r="R60" s="1"/>
      <c r="S60" s="1"/>
      <c r="T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8"/>
      <c r="M61" s="8"/>
      <c r="N61" s="8"/>
      <c r="O61" s="8"/>
      <c r="P61" s="8"/>
      <c r="Q61" s="8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</sheetData>
  <sortState ref="U23:V47">
    <sortCondition descending="1" ref="V8:V32"/>
  </sortState>
  <mergeCells count="5">
    <mergeCell ref="A1:F1"/>
    <mergeCell ref="A2:F2"/>
    <mergeCell ref="A4:A6"/>
    <mergeCell ref="F4:F6"/>
    <mergeCell ref="D5:D6"/>
  </mergeCells>
  <pageMargins left="0.7" right="0.7" top="0.75" bottom="0.75" header="0" footer="0"/>
  <pageSetup paperSize="9" scale="73" orientation="landscape" horizontalDpi="4294967295" verticalDpi="4294967295" r:id="rId1"/>
  <rowBreaks count="2" manualBreakCount="2">
    <brk id="34" max="5" man="1"/>
    <brk id="55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18.14</vt:lpstr>
      <vt:lpstr>'18.14'!Print_Area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2019-05-12T04:39:22Z</cp:lastPrinted>
  <dcterms:created xsi:type="dcterms:W3CDTF">2019-02-21T04:10:17Z</dcterms:created>
  <dcterms:modified xsi:type="dcterms:W3CDTF">2019-05-12T04:43:46Z</dcterms:modified>
</cp:coreProperties>
</file>