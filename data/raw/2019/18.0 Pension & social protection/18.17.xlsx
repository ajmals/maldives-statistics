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5.xml" ContentType="application/vnd.openxmlformats-officedocument.drawing+xml"/>
  <Override PartName="/xl/charts/chart17.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8.xml" ContentType="application/vnd.openxmlformats-officedocument.drawingml.chart+xml"/>
  <Override PartName="/xl/drawings/drawing18.xml" ContentType="application/vnd.openxmlformats-officedocument.drawing+xml"/>
  <Override PartName="/xl/charts/chart19.xml" ContentType="application/vnd.openxmlformats-officedocument.drawingml.chart+xml"/>
  <Override PartName="/xl/drawings/drawing19.xml" ContentType="application/vnd.openxmlformats-officedocument.drawing+xml"/>
  <Override PartName="/xl/charts/chart20.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21.xml" ContentType="application/vnd.openxmlformats-officedocument.drawingml.chart+xml"/>
  <Override PartName="/xl/drawings/drawing22.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24.xml" ContentType="application/vnd.openxmlformats-officedocument.drawingml.chart+xml"/>
  <Override PartName="/xl/comments2.xml" ContentType="application/vnd.openxmlformats-officedocument.spreadsheetml.comments+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FINAL\"/>
    </mc:Choice>
  </mc:AlternateContent>
  <bookViews>
    <workbookView xWindow="0" yWindow="0" windowWidth="28800" windowHeight="12330" tabRatio="841" firstSheet="3" activeTab="17"/>
  </bookViews>
  <sheets>
    <sheet name="18.1" sheetId="1" r:id="rId1"/>
    <sheet name="18.2" sheetId="2" r:id="rId2"/>
    <sheet name="18.3" sheetId="3" r:id="rId3"/>
    <sheet name="18.4" sheetId="4" r:id="rId4"/>
    <sheet name="18.5" sheetId="5" r:id="rId5"/>
    <sheet name="18.6" sheetId="6" r:id="rId6"/>
    <sheet name="18.7" sheetId="7" r:id="rId7"/>
    <sheet name="18.8" sheetId="8" r:id="rId8"/>
    <sheet name="18.9" sheetId="9" r:id="rId9"/>
    <sheet name="18.10" sheetId="10" r:id="rId10"/>
    <sheet name="18.11" sheetId="11" r:id="rId11"/>
    <sheet name="18.12" sheetId="12" r:id="rId12"/>
    <sheet name="18.13" sheetId="13" r:id="rId13"/>
    <sheet name="18.14" sheetId="14" r:id="rId14"/>
    <sheet name="18.15" sheetId="15" r:id="rId15"/>
    <sheet name="18.16" sheetId="16" r:id="rId16"/>
    <sheet name="18.17" sheetId="17" r:id="rId17"/>
    <sheet name="18.18" sheetId="18" r:id="rId18"/>
    <sheet name="18.19" sheetId="20" r:id="rId19"/>
    <sheet name="18.20" sheetId="21" r:id="rId20"/>
    <sheet name="18.21" sheetId="22" r:id="rId21"/>
    <sheet name="18.22" sheetId="23" r:id="rId22"/>
    <sheet name="18.23" sheetId="24" r:id="rId23"/>
    <sheet name="new tables" sheetId="19" r:id="rId24"/>
  </sheets>
  <externalReferences>
    <externalReference r:id="rId25"/>
  </externalReferences>
  <definedNames>
    <definedName name="_xlnm._FilterDatabase" localSheetId="16" hidden="1">'18.17'!$A$8:$U$28</definedName>
    <definedName name="_xlnm.Print_Area" localSheetId="0">'18.1'!$A$1:$AL$57</definedName>
    <definedName name="_xlnm.Print_Area" localSheetId="10">'18.11'!$A$1:$N$63</definedName>
    <definedName name="_xlnm.Print_Area" localSheetId="11">'18.12'!$A$1:$J$72</definedName>
    <definedName name="_xlnm.Print_Area" localSheetId="12">'18.13'!$A$1:$J$54</definedName>
    <definedName name="_xlnm.Print_Area" localSheetId="13">'18.14'!$A$1:$F$61</definedName>
    <definedName name="_xlnm.Print_Area" localSheetId="14">'18.15'!$A$1:$R$38</definedName>
    <definedName name="_xlnm.Print_Area" localSheetId="1">'18.2'!$A$1:$AB$40</definedName>
    <definedName name="_xlnm.Print_Area" localSheetId="2">'18.3'!$A$1:$Y$36</definedName>
    <definedName name="_xlnm.Print_Area" localSheetId="3">'18.4'!$A$1:$O$38</definedName>
    <definedName name="_xlnm.Print_Area" localSheetId="4">'18.5'!$A$1:$R$39</definedName>
    <definedName name="_xlnm.Print_Area" localSheetId="5">'18.6'!$A$1:$AG$33</definedName>
    <definedName name="_xlnm.Print_Area" localSheetId="6">'18.7'!$A$1:$O$40</definedName>
    <definedName name="_xlnm.Print_Area" localSheetId="7">'18.8'!$A$1:$I$25</definedName>
    <definedName name="_xlnm.Print_Area" localSheetId="8">'18.9'!$A$1:$K$28</definedName>
  </definedNames>
  <calcPr calcId="162913"/>
</workbook>
</file>

<file path=xl/calcChain.xml><?xml version="1.0" encoding="utf-8"?>
<calcChain xmlns="http://schemas.openxmlformats.org/spreadsheetml/2006/main">
  <c r="Q38" i="23" l="1"/>
  <c r="P38" i="23"/>
  <c r="Q39" i="23"/>
  <c r="Q40" i="23"/>
  <c r="Q41" i="23"/>
  <c r="Q42" i="23"/>
  <c r="Q43" i="23"/>
  <c r="Q44" i="23"/>
  <c r="Q45" i="23"/>
  <c r="Q46" i="23"/>
  <c r="Q47" i="23"/>
  <c r="Q48" i="23"/>
  <c r="Q49" i="23"/>
  <c r="Q50" i="23"/>
  <c r="Q51" i="23"/>
  <c r="Q52" i="23"/>
  <c r="Q53" i="23"/>
  <c r="Q54" i="23"/>
  <c r="Q55" i="23"/>
  <c r="Q56" i="23"/>
  <c r="Q57" i="23"/>
  <c r="B6" i="18" l="1"/>
  <c r="B247" i="17"/>
  <c r="B246" i="17"/>
  <c r="B10" i="17"/>
  <c r="G6" i="18"/>
  <c r="I246" i="17"/>
  <c r="I243" i="17"/>
  <c r="I232" i="17"/>
  <c r="I220" i="17"/>
  <c r="I206" i="17"/>
  <c r="I191" i="17"/>
  <c r="I181" i="17"/>
  <c r="I174" i="17"/>
  <c r="I163" i="17"/>
  <c r="I156" i="17"/>
  <c r="I144" i="17"/>
  <c r="I134" i="17"/>
  <c r="I123" i="17"/>
  <c r="I116" i="17"/>
  <c r="I101" i="17"/>
  <c r="I82" i="17"/>
  <c r="I66" i="17"/>
  <c r="I48" i="17"/>
  <c r="I30" i="17"/>
  <c r="I12" i="17"/>
  <c r="I10" i="17"/>
  <c r="H11" i="16"/>
  <c r="H19" i="16"/>
  <c r="I11" i="17" l="1"/>
  <c r="I9" i="17" s="1"/>
  <c r="AA41" i="16"/>
  <c r="AA40" i="16"/>
  <c r="C12" i="17" l="1"/>
  <c r="C48" i="17"/>
  <c r="C66" i="17"/>
  <c r="C82" i="17"/>
  <c r="C101" i="17"/>
  <c r="C116" i="17"/>
  <c r="C123" i="17"/>
  <c r="C134" i="17"/>
  <c r="C144" i="17"/>
  <c r="C156" i="17"/>
  <c r="C163" i="17"/>
  <c r="C174" i="17"/>
  <c r="C181" i="17"/>
  <c r="C191" i="17"/>
  <c r="C206" i="17"/>
  <c r="C220" i="17"/>
  <c r="C232" i="17"/>
  <c r="C243" i="17"/>
  <c r="C246" i="17"/>
  <c r="F252" i="24"/>
  <c r="B252" i="24"/>
  <c r="P251" i="24"/>
  <c r="O251" i="24"/>
  <c r="N251" i="24"/>
  <c r="M251" i="24"/>
  <c r="L251" i="24"/>
  <c r="H251" i="24"/>
  <c r="G251" i="24"/>
  <c r="F251" i="24" s="1"/>
  <c r="B251" i="24"/>
  <c r="F249" i="24"/>
  <c r="B249" i="24"/>
  <c r="F248" i="24"/>
  <c r="B248" i="24"/>
  <c r="F247" i="24"/>
  <c r="B247" i="24"/>
  <c r="F246" i="24"/>
  <c r="B246" i="24"/>
  <c r="F245" i="24"/>
  <c r="B245" i="24"/>
  <c r="F244" i="24"/>
  <c r="B244" i="24"/>
  <c r="P243" i="24"/>
  <c r="O243" i="24"/>
  <c r="N243" i="24"/>
  <c r="M243" i="24"/>
  <c r="L243" i="24"/>
  <c r="K243" i="24"/>
  <c r="J243" i="24"/>
  <c r="H243" i="24"/>
  <c r="G243" i="24"/>
  <c r="F243" i="24" s="1"/>
  <c r="D243" i="24"/>
  <c r="C243" i="24"/>
  <c r="B243" i="24" s="1"/>
  <c r="F241" i="24"/>
  <c r="B241" i="24"/>
  <c r="P240" i="24"/>
  <c r="O240" i="24"/>
  <c r="N240" i="24"/>
  <c r="M240" i="24"/>
  <c r="L240" i="24"/>
  <c r="K240" i="24"/>
  <c r="J240" i="24"/>
  <c r="H240" i="24"/>
  <c r="G240" i="24"/>
  <c r="F240" i="24"/>
  <c r="B240" i="24"/>
  <c r="F238" i="24"/>
  <c r="B238" i="24"/>
  <c r="F237" i="24"/>
  <c r="F236" i="24"/>
  <c r="B236" i="24"/>
  <c r="F235" i="24"/>
  <c r="B235" i="24"/>
  <c r="F234" i="24"/>
  <c r="B234" i="24"/>
  <c r="F233" i="24"/>
  <c r="B233" i="24"/>
  <c r="F232" i="24"/>
  <c r="B232" i="24"/>
  <c r="F231" i="24"/>
  <c r="B231" i="24"/>
  <c r="F230" i="24"/>
  <c r="B230" i="24"/>
  <c r="F229" i="24"/>
  <c r="B229" i="24"/>
  <c r="F228" i="24"/>
  <c r="B228" i="24"/>
  <c r="P227" i="24"/>
  <c r="N227" i="24"/>
  <c r="M227" i="24"/>
  <c r="L227" i="24"/>
  <c r="K227" i="24"/>
  <c r="J227" i="24"/>
  <c r="H227" i="24"/>
  <c r="G227" i="24"/>
  <c r="F227" i="24"/>
  <c r="D227" i="24"/>
  <c r="C227" i="24"/>
  <c r="B227" i="24" s="1"/>
  <c r="F225" i="24"/>
  <c r="B225" i="24"/>
  <c r="F224" i="24"/>
  <c r="B224" i="24"/>
  <c r="F223" i="24"/>
  <c r="B223" i="24"/>
  <c r="F222" i="24"/>
  <c r="B222" i="24"/>
  <c r="F221" i="24"/>
  <c r="B221" i="24"/>
  <c r="F220" i="24"/>
  <c r="B220" i="24"/>
  <c r="F219" i="24"/>
  <c r="B219" i="24"/>
  <c r="F218" i="24"/>
  <c r="B218" i="24"/>
  <c r="F217" i="24"/>
  <c r="B217" i="24"/>
  <c r="F216" i="24"/>
  <c r="B216" i="24"/>
  <c r="P215" i="24"/>
  <c r="N215" i="24"/>
  <c r="M215" i="24"/>
  <c r="L215" i="24"/>
  <c r="K215" i="24"/>
  <c r="J215" i="24"/>
  <c r="H215" i="24"/>
  <c r="G215" i="24"/>
  <c r="F215" i="24"/>
  <c r="D215" i="24"/>
  <c r="B215" i="24" s="1"/>
  <c r="C215" i="24"/>
  <c r="F213" i="24"/>
  <c r="B213" i="24"/>
  <c r="F212" i="24"/>
  <c r="B212" i="24"/>
  <c r="F211" i="24"/>
  <c r="B211" i="24"/>
  <c r="F210" i="24"/>
  <c r="B210" i="24"/>
  <c r="F209" i="24"/>
  <c r="B209" i="24"/>
  <c r="F208" i="24"/>
  <c r="B208" i="24"/>
  <c r="F207" i="24"/>
  <c r="B207" i="24"/>
  <c r="F206" i="24"/>
  <c r="B206" i="24"/>
  <c r="F205" i="24"/>
  <c r="B205" i="24"/>
  <c r="F204" i="24"/>
  <c r="B204" i="24"/>
  <c r="F203" i="24"/>
  <c r="B203" i="24"/>
  <c r="F202" i="24"/>
  <c r="B202" i="24"/>
  <c r="P201" i="24"/>
  <c r="N201" i="24"/>
  <c r="M201" i="24"/>
  <c r="L201" i="24"/>
  <c r="K201" i="24"/>
  <c r="J201" i="24"/>
  <c r="H201" i="24"/>
  <c r="F201" i="24" s="1"/>
  <c r="G201" i="24"/>
  <c r="D201" i="24"/>
  <c r="C201" i="24"/>
  <c r="B201" i="24" s="1"/>
  <c r="F199" i="24"/>
  <c r="B199" i="24"/>
  <c r="F198" i="24"/>
  <c r="B198" i="24"/>
  <c r="F197" i="24"/>
  <c r="B197" i="24"/>
  <c r="F196" i="24"/>
  <c r="B196" i="24"/>
  <c r="F195" i="24"/>
  <c r="B195" i="24"/>
  <c r="F194" i="24"/>
  <c r="B194" i="24"/>
  <c r="F193" i="24"/>
  <c r="B193" i="24"/>
  <c r="F192" i="24"/>
  <c r="B192" i="24"/>
  <c r="F191" i="24"/>
  <c r="B191" i="24"/>
  <c r="F190" i="24"/>
  <c r="B190" i="24"/>
  <c r="F189" i="24"/>
  <c r="B189" i="24"/>
  <c r="F188" i="24"/>
  <c r="B188" i="24"/>
  <c r="F187" i="24"/>
  <c r="B187" i="24"/>
  <c r="P186" i="24"/>
  <c r="O186" i="24"/>
  <c r="N186" i="24"/>
  <c r="M186" i="24"/>
  <c r="L186" i="24"/>
  <c r="K186" i="24"/>
  <c r="J186" i="24"/>
  <c r="H186" i="24"/>
  <c r="G186" i="24"/>
  <c r="F186" i="24" s="1"/>
  <c r="D186" i="24"/>
  <c r="C186" i="24"/>
  <c r="B186" i="24"/>
  <c r="F184" i="24"/>
  <c r="B184" i="24"/>
  <c r="F183" i="24"/>
  <c r="B183" i="24"/>
  <c r="F182" i="24"/>
  <c r="B182" i="24"/>
  <c r="F181" i="24"/>
  <c r="B181" i="24"/>
  <c r="F180" i="24"/>
  <c r="B180" i="24"/>
  <c r="F179" i="24"/>
  <c r="B179" i="24"/>
  <c r="F178" i="24"/>
  <c r="B178" i="24"/>
  <c r="F177" i="24"/>
  <c r="B177" i="24"/>
  <c r="P176" i="24"/>
  <c r="O176" i="24"/>
  <c r="N176" i="24"/>
  <c r="M176" i="24"/>
  <c r="L176" i="24"/>
  <c r="K176" i="24"/>
  <c r="J176" i="24"/>
  <c r="H176" i="24"/>
  <c r="G176" i="24"/>
  <c r="F176" i="24"/>
  <c r="D176" i="24"/>
  <c r="B176" i="24" s="1"/>
  <c r="C176" i="24"/>
  <c r="F174" i="24"/>
  <c r="B174" i="24"/>
  <c r="F173" i="24"/>
  <c r="B173" i="24"/>
  <c r="F172" i="24"/>
  <c r="B172" i="24"/>
  <c r="F171" i="24"/>
  <c r="B171" i="24"/>
  <c r="F170" i="24"/>
  <c r="B170" i="24"/>
  <c r="P169" i="24"/>
  <c r="O169" i="24"/>
  <c r="N169" i="24"/>
  <c r="M169" i="24"/>
  <c r="L169" i="24"/>
  <c r="K169" i="24"/>
  <c r="J169" i="24"/>
  <c r="H169" i="24"/>
  <c r="G169" i="24"/>
  <c r="F169" i="24" s="1"/>
  <c r="D169" i="24"/>
  <c r="C169" i="24"/>
  <c r="B169" i="24" s="1"/>
  <c r="F167" i="24"/>
  <c r="B167" i="24"/>
  <c r="F166" i="24"/>
  <c r="B166" i="24"/>
  <c r="F165" i="24"/>
  <c r="B165" i="24"/>
  <c r="F164" i="24"/>
  <c r="B164" i="24"/>
  <c r="F163" i="24"/>
  <c r="B163" i="24"/>
  <c r="F162" i="24"/>
  <c r="B162" i="24"/>
  <c r="F161" i="24"/>
  <c r="B161" i="24"/>
  <c r="F160" i="24"/>
  <c r="B160" i="24"/>
  <c r="F159" i="24"/>
  <c r="B159" i="24"/>
  <c r="P158" i="24"/>
  <c r="O158" i="24"/>
  <c r="N158" i="24"/>
  <c r="M158" i="24"/>
  <c r="L158" i="24"/>
  <c r="K158" i="24"/>
  <c r="J158" i="24"/>
  <c r="H158" i="24"/>
  <c r="G158" i="24"/>
  <c r="F158" i="24"/>
  <c r="D158" i="24"/>
  <c r="C158" i="24"/>
  <c r="B158" i="24"/>
  <c r="F156" i="24"/>
  <c r="B156" i="24"/>
  <c r="F155" i="24"/>
  <c r="B155" i="24"/>
  <c r="F154" i="24"/>
  <c r="B154" i="24"/>
  <c r="F153" i="24"/>
  <c r="B153" i="24"/>
  <c r="F152" i="24"/>
  <c r="B152" i="24"/>
  <c r="P151" i="24"/>
  <c r="O151" i="24"/>
  <c r="N151" i="24"/>
  <c r="M151" i="24"/>
  <c r="L151" i="24"/>
  <c r="K151" i="24"/>
  <c r="J151" i="24"/>
  <c r="H151" i="24"/>
  <c r="G151" i="24"/>
  <c r="F151" i="24"/>
  <c r="C151" i="24"/>
  <c r="B151" i="24" s="1"/>
  <c r="F149" i="24"/>
  <c r="B149" i="24"/>
  <c r="F148" i="24"/>
  <c r="B148" i="24"/>
  <c r="F147" i="24"/>
  <c r="B147" i="24"/>
  <c r="F146" i="24"/>
  <c r="B146" i="24"/>
  <c r="F145" i="24"/>
  <c r="B145" i="24"/>
  <c r="F144" i="24"/>
  <c r="B144" i="24"/>
  <c r="F143" i="24"/>
  <c r="B143" i="24"/>
  <c r="F142" i="24"/>
  <c r="B142" i="24"/>
  <c r="F141" i="24"/>
  <c r="B141" i="24"/>
  <c r="F140" i="24"/>
  <c r="B140" i="24"/>
  <c r="P139" i="24"/>
  <c r="O139" i="24"/>
  <c r="N139" i="24"/>
  <c r="M139" i="24"/>
  <c r="L139" i="24"/>
  <c r="K139" i="24"/>
  <c r="J139" i="24"/>
  <c r="H139" i="24"/>
  <c r="G139" i="24"/>
  <c r="F139" i="24"/>
  <c r="D139" i="24"/>
  <c r="C139" i="24"/>
  <c r="B139" i="24"/>
  <c r="F137" i="24"/>
  <c r="B137" i="24"/>
  <c r="F136" i="24"/>
  <c r="B136" i="24"/>
  <c r="F135" i="24"/>
  <c r="B135" i="24"/>
  <c r="F134" i="24"/>
  <c r="B134" i="24"/>
  <c r="F133" i="24"/>
  <c r="B133" i="24"/>
  <c r="F132" i="24"/>
  <c r="B132" i="24"/>
  <c r="F131" i="24"/>
  <c r="B131" i="24"/>
  <c r="F130" i="24"/>
  <c r="B130" i="24"/>
  <c r="P129" i="24"/>
  <c r="O129" i="24"/>
  <c r="N129" i="24"/>
  <c r="M129" i="24"/>
  <c r="L129" i="24"/>
  <c r="K129" i="24"/>
  <c r="J129" i="24"/>
  <c r="H129" i="24"/>
  <c r="G129" i="24"/>
  <c r="F129" i="24" s="1"/>
  <c r="D129" i="24"/>
  <c r="C129" i="24"/>
  <c r="B129" i="24"/>
  <c r="F127" i="24"/>
  <c r="B127" i="24"/>
  <c r="F126" i="24"/>
  <c r="B126" i="24"/>
  <c r="F125" i="24"/>
  <c r="B125" i="24"/>
  <c r="F124" i="24"/>
  <c r="B124" i="24"/>
  <c r="F123" i="24"/>
  <c r="B123" i="24"/>
  <c r="F122" i="24"/>
  <c r="B122" i="24"/>
  <c r="F121" i="24"/>
  <c r="B121" i="24"/>
  <c r="F120" i="24"/>
  <c r="B120" i="24"/>
  <c r="F119" i="24"/>
  <c r="B119" i="24"/>
  <c r="P118" i="24"/>
  <c r="O118" i="24"/>
  <c r="N118" i="24"/>
  <c r="M118" i="24"/>
  <c r="L118" i="24"/>
  <c r="K118" i="24"/>
  <c r="J118" i="24"/>
  <c r="H118" i="24"/>
  <c r="G118" i="24"/>
  <c r="F118" i="24"/>
  <c r="D118" i="24"/>
  <c r="C118" i="24"/>
  <c r="B118" i="24" s="1"/>
  <c r="F116" i="24"/>
  <c r="F115" i="24"/>
  <c r="B115" i="24"/>
  <c r="F114" i="24"/>
  <c r="B114" i="24"/>
  <c r="F113" i="24"/>
  <c r="B113" i="24"/>
  <c r="F112" i="24"/>
  <c r="B112" i="24"/>
  <c r="P111" i="24"/>
  <c r="O111" i="24"/>
  <c r="N111" i="24"/>
  <c r="M111" i="24"/>
  <c r="L111" i="24"/>
  <c r="K111" i="24"/>
  <c r="J111" i="24"/>
  <c r="H111" i="24"/>
  <c r="G111" i="24"/>
  <c r="F111" i="24" s="1"/>
  <c r="D111" i="24"/>
  <c r="C111" i="24"/>
  <c r="B111" i="24" s="1"/>
  <c r="F109" i="24"/>
  <c r="B109" i="24"/>
  <c r="F108" i="24"/>
  <c r="B108" i="24"/>
  <c r="F107" i="24"/>
  <c r="B107" i="24"/>
  <c r="F106" i="24"/>
  <c r="B106" i="24"/>
  <c r="F105" i="24"/>
  <c r="B105" i="24"/>
  <c r="F104" i="24"/>
  <c r="B104" i="24"/>
  <c r="F103" i="24"/>
  <c r="B103" i="24"/>
  <c r="F102" i="24"/>
  <c r="B102" i="24"/>
  <c r="F101" i="24"/>
  <c r="B101" i="24"/>
  <c r="F100" i="24"/>
  <c r="B100" i="24"/>
  <c r="F99" i="24"/>
  <c r="B99" i="24"/>
  <c r="F98" i="24"/>
  <c r="B98" i="24"/>
  <c r="F97" i="24"/>
  <c r="B97" i="24"/>
  <c r="P96" i="24"/>
  <c r="O96" i="24"/>
  <c r="N96" i="24"/>
  <c r="M96" i="24"/>
  <c r="L96" i="24"/>
  <c r="K96" i="24"/>
  <c r="J96" i="24"/>
  <c r="H96" i="24"/>
  <c r="G96" i="24"/>
  <c r="F96" i="24"/>
  <c r="D96" i="24"/>
  <c r="C96" i="24"/>
  <c r="C7" i="24" s="1"/>
  <c r="B96" i="24"/>
  <c r="F94" i="24"/>
  <c r="B94" i="24"/>
  <c r="F93" i="24"/>
  <c r="B93" i="24"/>
  <c r="F92" i="24"/>
  <c r="B92" i="24"/>
  <c r="F91" i="24"/>
  <c r="B91" i="24"/>
  <c r="F90" i="24"/>
  <c r="B90" i="24"/>
  <c r="F89" i="24"/>
  <c r="B89" i="24"/>
  <c r="F88" i="24"/>
  <c r="B88" i="24"/>
  <c r="F87" i="24"/>
  <c r="B87" i="24"/>
  <c r="F86" i="24"/>
  <c r="B86" i="24"/>
  <c r="F85" i="24"/>
  <c r="B85" i="24"/>
  <c r="F84" i="24"/>
  <c r="F83" i="24"/>
  <c r="B83" i="24"/>
  <c r="F82" i="24"/>
  <c r="B82" i="24"/>
  <c r="F81" i="24"/>
  <c r="B81" i="24"/>
  <c r="F80" i="24"/>
  <c r="B80" i="24"/>
  <c r="F79" i="24"/>
  <c r="B79" i="24"/>
  <c r="F78" i="24"/>
  <c r="B78" i="24"/>
  <c r="P77" i="24"/>
  <c r="O77" i="24"/>
  <c r="N77" i="24"/>
  <c r="M77" i="24"/>
  <c r="L77" i="24"/>
  <c r="K77" i="24"/>
  <c r="J77" i="24"/>
  <c r="H77" i="24"/>
  <c r="G77" i="24"/>
  <c r="F77" i="24" s="1"/>
  <c r="D77" i="24"/>
  <c r="C77" i="24"/>
  <c r="B77" i="24" s="1"/>
  <c r="F75" i="24"/>
  <c r="B75" i="24"/>
  <c r="F74" i="24"/>
  <c r="B74" i="24"/>
  <c r="F73" i="24"/>
  <c r="B73" i="24"/>
  <c r="F72" i="24"/>
  <c r="B72" i="24"/>
  <c r="F71" i="24"/>
  <c r="B71" i="24"/>
  <c r="F70" i="24"/>
  <c r="B70" i="24"/>
  <c r="F69" i="24"/>
  <c r="B69" i="24"/>
  <c r="F68" i="24"/>
  <c r="B68" i="24"/>
  <c r="F67" i="24"/>
  <c r="B67" i="24"/>
  <c r="F66" i="24"/>
  <c r="B66" i="24"/>
  <c r="F65" i="24"/>
  <c r="B65" i="24"/>
  <c r="F64" i="24"/>
  <c r="B64" i="24"/>
  <c r="F63" i="24"/>
  <c r="B63" i="24"/>
  <c r="P62" i="24"/>
  <c r="O62" i="24"/>
  <c r="N62" i="24"/>
  <c r="M62" i="24"/>
  <c r="L62" i="24"/>
  <c r="K62" i="24"/>
  <c r="J62" i="24"/>
  <c r="J7" i="24" s="1"/>
  <c r="J5" i="24" s="1"/>
  <c r="H62" i="24"/>
  <c r="G62" i="24"/>
  <c r="F62" i="24" s="1"/>
  <c r="D62" i="24"/>
  <c r="C62" i="24"/>
  <c r="B62" i="24"/>
  <c r="F60" i="24"/>
  <c r="B60" i="24"/>
  <c r="F59" i="24"/>
  <c r="B59" i="24"/>
  <c r="F58" i="24"/>
  <c r="B58" i="24"/>
  <c r="F57" i="24"/>
  <c r="B57" i="24"/>
  <c r="F56" i="24"/>
  <c r="B56" i="24"/>
  <c r="F55" i="24"/>
  <c r="B55" i="24"/>
  <c r="F54" i="24"/>
  <c r="B54" i="24"/>
  <c r="F53" i="24"/>
  <c r="B53" i="24"/>
  <c r="F52" i="24"/>
  <c r="B52" i="24"/>
  <c r="F51" i="24"/>
  <c r="B51" i="24"/>
  <c r="F50" i="24"/>
  <c r="B50" i="24"/>
  <c r="F49" i="24"/>
  <c r="B49" i="24"/>
  <c r="F48" i="24"/>
  <c r="B48" i="24"/>
  <c r="F47" i="24"/>
  <c r="B47" i="24"/>
  <c r="F46" i="24"/>
  <c r="B46" i="24"/>
  <c r="F45" i="24"/>
  <c r="B45" i="24"/>
  <c r="P44" i="24"/>
  <c r="O44" i="24"/>
  <c r="O7" i="24" s="1"/>
  <c r="O5" i="24" s="1"/>
  <c r="N44" i="24"/>
  <c r="N7" i="24" s="1"/>
  <c r="N5" i="24" s="1"/>
  <c r="M44" i="24"/>
  <c r="L44" i="24"/>
  <c r="K44" i="24"/>
  <c r="J44" i="24"/>
  <c r="H44" i="24"/>
  <c r="G44" i="24"/>
  <c r="F44" i="24"/>
  <c r="D44" i="24"/>
  <c r="C44" i="24"/>
  <c r="B44" i="24" s="1"/>
  <c r="F42" i="24"/>
  <c r="B42" i="24"/>
  <c r="F41" i="24"/>
  <c r="B41" i="24"/>
  <c r="F40" i="24"/>
  <c r="B40" i="24"/>
  <c r="F39" i="24"/>
  <c r="B39" i="24"/>
  <c r="F38" i="24"/>
  <c r="B38" i="24"/>
  <c r="F37" i="24"/>
  <c r="B37" i="24"/>
  <c r="F36" i="24"/>
  <c r="B36" i="24"/>
  <c r="F35" i="24"/>
  <c r="B35" i="24"/>
  <c r="F34" i="24"/>
  <c r="B34" i="24"/>
  <c r="F33" i="24"/>
  <c r="B33" i="24"/>
  <c r="F32" i="24"/>
  <c r="B32" i="24"/>
  <c r="F31" i="24"/>
  <c r="B31" i="24"/>
  <c r="F30" i="24"/>
  <c r="B30" i="24"/>
  <c r="F29" i="24"/>
  <c r="B29" i="24"/>
  <c r="F28" i="24"/>
  <c r="B28" i="24"/>
  <c r="F27" i="24"/>
  <c r="B27" i="24"/>
  <c r="P26" i="24"/>
  <c r="O26" i="24"/>
  <c r="N26" i="24"/>
  <c r="M26" i="24"/>
  <c r="L26" i="24"/>
  <c r="L7" i="24" s="1"/>
  <c r="K26" i="24"/>
  <c r="J26" i="24"/>
  <c r="H26" i="24"/>
  <c r="G26" i="24"/>
  <c r="F26" i="24"/>
  <c r="D26" i="24"/>
  <c r="C26" i="24"/>
  <c r="B26" i="24"/>
  <c r="F24" i="24"/>
  <c r="B24" i="24"/>
  <c r="F23" i="24"/>
  <c r="B23" i="24"/>
  <c r="F22" i="24"/>
  <c r="B22" i="24"/>
  <c r="F21" i="24"/>
  <c r="B21" i="24"/>
  <c r="F20" i="24"/>
  <c r="B20" i="24"/>
  <c r="F19" i="24"/>
  <c r="B19" i="24"/>
  <c r="F18" i="24"/>
  <c r="B18" i="24"/>
  <c r="F17" i="24"/>
  <c r="B17" i="24"/>
  <c r="F16" i="24"/>
  <c r="B16" i="24"/>
  <c r="F15" i="24"/>
  <c r="B15" i="24"/>
  <c r="F14" i="24"/>
  <c r="B14" i="24"/>
  <c r="F13" i="24"/>
  <c r="B13" i="24"/>
  <c r="F12" i="24"/>
  <c r="B12" i="24"/>
  <c r="F11" i="24"/>
  <c r="B11" i="24"/>
  <c r="F10" i="24"/>
  <c r="B10" i="24"/>
  <c r="F9" i="24"/>
  <c r="B9" i="24"/>
  <c r="P8" i="24"/>
  <c r="P7" i="24" s="1"/>
  <c r="P5" i="24" s="1"/>
  <c r="O8" i="24"/>
  <c r="N8" i="24"/>
  <c r="M8" i="24"/>
  <c r="L8" i="24"/>
  <c r="K8" i="24"/>
  <c r="K7" i="24" s="1"/>
  <c r="K5" i="24" s="1"/>
  <c r="J8" i="24"/>
  <c r="H8" i="24"/>
  <c r="H7" i="24" s="1"/>
  <c r="H5" i="24" s="1"/>
  <c r="G8" i="24"/>
  <c r="F8" i="24" s="1"/>
  <c r="D8" i="24"/>
  <c r="C8" i="24"/>
  <c r="B8" i="24" s="1"/>
  <c r="M7" i="24"/>
  <c r="M5" i="24" s="1"/>
  <c r="I7" i="24"/>
  <c r="D7" i="24"/>
  <c r="D5" i="24" s="1"/>
  <c r="F6" i="24"/>
  <c r="B6" i="24"/>
  <c r="P57" i="23"/>
  <c r="O57" i="23"/>
  <c r="P56" i="23"/>
  <c r="O56" i="23"/>
  <c r="P55" i="23"/>
  <c r="O55" i="23"/>
  <c r="P54" i="23"/>
  <c r="O54" i="23"/>
  <c r="P53" i="23"/>
  <c r="O53" i="23"/>
  <c r="P52" i="23"/>
  <c r="O52" i="23"/>
  <c r="P51" i="23"/>
  <c r="O51" i="23"/>
  <c r="P50" i="23"/>
  <c r="O50" i="23"/>
  <c r="P49" i="23"/>
  <c r="O49" i="23"/>
  <c r="P48" i="23"/>
  <c r="O48" i="23"/>
  <c r="P47" i="23"/>
  <c r="O47" i="23"/>
  <c r="P46" i="23"/>
  <c r="O46" i="23"/>
  <c r="P45" i="23"/>
  <c r="O45" i="23"/>
  <c r="P44" i="23"/>
  <c r="O44" i="23"/>
  <c r="P43" i="23"/>
  <c r="O43" i="23"/>
  <c r="P42" i="23"/>
  <c r="O42" i="23"/>
  <c r="P41" i="23"/>
  <c r="O41" i="23"/>
  <c r="P40" i="23"/>
  <c r="O40" i="23"/>
  <c r="P39" i="23"/>
  <c r="O39" i="23"/>
  <c r="O38" i="23"/>
  <c r="H8" i="23"/>
  <c r="H6" i="23" s="1"/>
  <c r="G8" i="23"/>
  <c r="G6" i="23" s="1"/>
  <c r="F8" i="23"/>
  <c r="E8" i="23"/>
  <c r="E6" i="23" s="1"/>
  <c r="D8" i="23"/>
  <c r="D6" i="23" s="1"/>
  <c r="C8" i="23"/>
  <c r="B8" i="23"/>
  <c r="B6" i="23" s="1"/>
  <c r="F6" i="23"/>
  <c r="C6" i="23"/>
  <c r="B8" i="22"/>
  <c r="I5" i="22"/>
  <c r="H5" i="22"/>
  <c r="G5" i="22"/>
  <c r="F5" i="22"/>
  <c r="E5" i="22"/>
  <c r="D5" i="22"/>
  <c r="C5" i="22"/>
  <c r="B5" i="22"/>
  <c r="B7" i="24" l="1"/>
  <c r="C5" i="24"/>
  <c r="B5" i="24" s="1"/>
  <c r="L5" i="24"/>
  <c r="G7" i="24"/>
  <c r="B29" i="21"/>
  <c r="B28" i="21"/>
  <c r="B27" i="21"/>
  <c r="B26" i="21"/>
  <c r="B25" i="21"/>
  <c r="B24" i="21"/>
  <c r="B23" i="21"/>
  <c r="B22" i="21"/>
  <c r="B21" i="21"/>
  <c r="B20" i="21"/>
  <c r="B19" i="21"/>
  <c r="B18" i="21"/>
  <c r="B17" i="21"/>
  <c r="B16" i="21"/>
  <c r="B15" i="21"/>
  <c r="B14" i="21"/>
  <c r="B13" i="21"/>
  <c r="B12" i="21"/>
  <c r="B11" i="21"/>
  <c r="B10" i="21"/>
  <c r="B9" i="21"/>
  <c r="H8" i="21"/>
  <c r="H6" i="21" s="1"/>
  <c r="T39" i="21" s="1"/>
  <c r="G8" i="21"/>
  <c r="G6" i="21" s="1"/>
  <c r="S39" i="21" s="1"/>
  <c r="F8" i="21"/>
  <c r="F6" i="21" s="1"/>
  <c r="R39" i="21" s="1"/>
  <c r="E8" i="21"/>
  <c r="E6" i="21" s="1"/>
  <c r="Q39" i="21" s="1"/>
  <c r="D8" i="21"/>
  <c r="D6" i="21" s="1"/>
  <c r="P39" i="21" s="1"/>
  <c r="C8" i="21"/>
  <c r="C6" i="21" s="1"/>
  <c r="O39" i="21" s="1"/>
  <c r="B7" i="21"/>
  <c r="B9" i="20"/>
  <c r="S15" i="20" s="1"/>
  <c r="B8" i="20"/>
  <c r="S14" i="20" s="1"/>
  <c r="B7" i="20"/>
  <c r="S13" i="20" s="1"/>
  <c r="H6" i="20"/>
  <c r="G6" i="20"/>
  <c r="F6" i="20"/>
  <c r="E6" i="20"/>
  <c r="D6" i="20"/>
  <c r="C6" i="20"/>
  <c r="B11" i="16"/>
  <c r="B9" i="16"/>
  <c r="B6" i="20" l="1"/>
  <c r="S12" i="20" s="1"/>
  <c r="G5" i="24"/>
  <c r="F5" i="24" s="1"/>
  <c r="F7" i="24"/>
  <c r="B8" i="21"/>
  <c r="B6" i="21" s="1"/>
  <c r="AA42" i="16"/>
  <c r="AA43" i="16"/>
  <c r="AA44" i="16"/>
  <c r="AA45" i="16"/>
  <c r="AA46" i="16"/>
  <c r="AA47" i="16"/>
  <c r="AA48" i="16"/>
  <c r="AA49" i="16"/>
  <c r="AA50" i="16"/>
  <c r="AA51" i="16"/>
  <c r="AA52" i="16"/>
  <c r="AA53" i="16"/>
  <c r="AA54" i="16"/>
  <c r="AA55" i="16"/>
  <c r="AA56" i="16"/>
  <c r="AA57" i="16"/>
  <c r="AA58" i="16"/>
  <c r="AA59" i="16"/>
  <c r="AA60" i="16"/>
  <c r="R35" i="18" l="1"/>
  <c r="R36" i="18"/>
  <c r="I11" i="16" l="1"/>
  <c r="I9" i="16" s="1"/>
  <c r="H9" i="16"/>
  <c r="G11" i="16"/>
  <c r="G9" i="16" s="1"/>
  <c r="F11" i="16"/>
  <c r="F9" i="16" s="1"/>
  <c r="E11" i="16"/>
  <c r="E9" i="16" s="1"/>
  <c r="D11" i="16"/>
  <c r="D9" i="16" s="1"/>
  <c r="C11" i="16"/>
  <c r="C9" i="16" s="1"/>
  <c r="W36" i="18"/>
  <c r="V36" i="18"/>
  <c r="U36" i="18"/>
  <c r="T36" i="18"/>
  <c r="S36" i="18"/>
  <c r="W35" i="18"/>
  <c r="V35" i="18"/>
  <c r="U35" i="18"/>
  <c r="T35" i="18"/>
  <c r="S35" i="18"/>
  <c r="V34" i="18"/>
  <c r="U34" i="18"/>
  <c r="T34" i="18"/>
  <c r="S34" i="18"/>
  <c r="R34" i="18"/>
  <c r="V33" i="18"/>
  <c r="U33" i="18"/>
  <c r="T33" i="18"/>
  <c r="S33" i="18"/>
  <c r="R33" i="18"/>
  <c r="B18" i="18"/>
  <c r="B17" i="18"/>
  <c r="B16" i="18"/>
  <c r="B15" i="18"/>
  <c r="B14" i="18"/>
  <c r="B13" i="18"/>
  <c r="B12" i="18"/>
  <c r="B11" i="18"/>
  <c r="B10" i="18"/>
  <c r="B9" i="18"/>
  <c r="B8" i="18"/>
  <c r="B7" i="18"/>
  <c r="H6" i="18"/>
  <c r="W30" i="18" s="1"/>
  <c r="W37" i="18" s="1"/>
  <c r="V30" i="18"/>
  <c r="V37" i="18" s="1"/>
  <c r="F6" i="18"/>
  <c r="U30" i="18" s="1"/>
  <c r="U37" i="18" s="1"/>
  <c r="E6" i="18"/>
  <c r="T30" i="18" s="1"/>
  <c r="T37" i="18" s="1"/>
  <c r="D6" i="18"/>
  <c r="S30" i="18" s="1"/>
  <c r="S37" i="18" s="1"/>
  <c r="C6" i="18"/>
  <c r="R30" i="18" s="1"/>
  <c r="R37" i="18" s="1"/>
  <c r="B252" i="17"/>
  <c r="B251" i="17"/>
  <c r="B250" i="17"/>
  <c r="B249" i="17"/>
  <c r="B248" i="17"/>
  <c r="J246" i="17"/>
  <c r="H246" i="17"/>
  <c r="G246" i="17"/>
  <c r="F246" i="17"/>
  <c r="E246" i="17"/>
  <c r="D246" i="17"/>
  <c r="B244" i="17"/>
  <c r="J243" i="17"/>
  <c r="H243" i="17"/>
  <c r="G243" i="17"/>
  <c r="F243" i="17"/>
  <c r="E243" i="17"/>
  <c r="D243" i="17"/>
  <c r="B241" i="17"/>
  <c r="B240" i="17"/>
  <c r="B239" i="17"/>
  <c r="B238" i="17"/>
  <c r="B237" i="17"/>
  <c r="B236" i="17"/>
  <c r="B235" i="17"/>
  <c r="B234" i="17"/>
  <c r="B233" i="17"/>
  <c r="J232" i="17"/>
  <c r="H232" i="17"/>
  <c r="G232" i="17"/>
  <c r="F232" i="17"/>
  <c r="E232" i="17"/>
  <c r="D232" i="17"/>
  <c r="B230" i="17"/>
  <c r="B229" i="17"/>
  <c r="B228" i="17"/>
  <c r="B227" i="17"/>
  <c r="B226" i="17"/>
  <c r="B225" i="17"/>
  <c r="B224" i="17"/>
  <c r="B223" i="17"/>
  <c r="B222" i="17"/>
  <c r="B221" i="17"/>
  <c r="J220" i="17"/>
  <c r="H220" i="17"/>
  <c r="G220" i="17"/>
  <c r="F220" i="17"/>
  <c r="E220" i="17"/>
  <c r="D220" i="17"/>
  <c r="B218" i="17"/>
  <c r="B217" i="17"/>
  <c r="B216" i="17"/>
  <c r="B215" i="17"/>
  <c r="B214" i="17"/>
  <c r="B213" i="17"/>
  <c r="B212" i="17"/>
  <c r="B211" i="17"/>
  <c r="B210" i="17"/>
  <c r="B209" i="17"/>
  <c r="B208" i="17"/>
  <c r="B207" i="17"/>
  <c r="J206" i="17"/>
  <c r="H206" i="17"/>
  <c r="G206" i="17"/>
  <c r="F206" i="17"/>
  <c r="E206" i="17"/>
  <c r="D206" i="17"/>
  <c r="B204" i="17"/>
  <c r="B203" i="17"/>
  <c r="B202" i="17"/>
  <c r="B201" i="17"/>
  <c r="B200" i="17"/>
  <c r="B199" i="17"/>
  <c r="B198" i="17"/>
  <c r="B197" i="17"/>
  <c r="B196" i="17"/>
  <c r="B195" i="17"/>
  <c r="B194" i="17"/>
  <c r="B193" i="17"/>
  <c r="B192" i="17"/>
  <c r="J191" i="17"/>
  <c r="H191" i="17"/>
  <c r="G191" i="17"/>
  <c r="F191" i="17"/>
  <c r="E191" i="17"/>
  <c r="D191" i="17"/>
  <c r="B189" i="17"/>
  <c r="B188" i="17"/>
  <c r="B187" i="17"/>
  <c r="B186" i="17"/>
  <c r="B185" i="17"/>
  <c r="B184" i="17"/>
  <c r="B183" i="17"/>
  <c r="B182" i="17"/>
  <c r="J181" i="17"/>
  <c r="H181" i="17"/>
  <c r="G181" i="17"/>
  <c r="F181" i="17"/>
  <c r="E181" i="17"/>
  <c r="D181" i="17"/>
  <c r="B179" i="17"/>
  <c r="B178" i="17"/>
  <c r="B177" i="17"/>
  <c r="B176" i="17"/>
  <c r="B175" i="17"/>
  <c r="J174" i="17"/>
  <c r="H174" i="17"/>
  <c r="G174" i="17"/>
  <c r="F174" i="17"/>
  <c r="E174" i="17"/>
  <c r="D174" i="17"/>
  <c r="B172" i="17"/>
  <c r="B171" i="17"/>
  <c r="B170" i="17"/>
  <c r="B169" i="17"/>
  <c r="B168" i="17"/>
  <c r="B167" i="17"/>
  <c r="B166" i="17"/>
  <c r="B165" i="17"/>
  <c r="B164" i="17"/>
  <c r="J163" i="17"/>
  <c r="H163" i="17"/>
  <c r="G163" i="17"/>
  <c r="F163" i="17"/>
  <c r="E163" i="17"/>
  <c r="D163" i="17"/>
  <c r="B161" i="17"/>
  <c r="B160" i="17"/>
  <c r="B159" i="17"/>
  <c r="B158" i="17"/>
  <c r="B157" i="17"/>
  <c r="J156" i="17"/>
  <c r="H156" i="17"/>
  <c r="G156" i="17"/>
  <c r="F156" i="17"/>
  <c r="E156" i="17"/>
  <c r="D156" i="17"/>
  <c r="B154" i="17"/>
  <c r="B153" i="17"/>
  <c r="B152" i="17"/>
  <c r="B151" i="17"/>
  <c r="B150" i="17"/>
  <c r="B149" i="17"/>
  <c r="B148" i="17"/>
  <c r="B147" i="17"/>
  <c r="B146" i="17"/>
  <c r="B145" i="17"/>
  <c r="J144" i="17"/>
  <c r="H144" i="17"/>
  <c r="G144" i="17"/>
  <c r="F144" i="17"/>
  <c r="E144" i="17"/>
  <c r="D144" i="17"/>
  <c r="B142" i="17"/>
  <c r="B141" i="17"/>
  <c r="B140" i="17"/>
  <c r="B139" i="17"/>
  <c r="B138" i="17"/>
  <c r="B137" i="17"/>
  <c r="B136" i="17"/>
  <c r="B135" i="17"/>
  <c r="J134" i="17"/>
  <c r="H134" i="17"/>
  <c r="G134" i="17"/>
  <c r="F134" i="17"/>
  <c r="E134" i="17"/>
  <c r="D134" i="17"/>
  <c r="B132" i="17"/>
  <c r="B131" i="17"/>
  <c r="B130" i="17"/>
  <c r="B129" i="17"/>
  <c r="B128" i="17"/>
  <c r="B127" i="17"/>
  <c r="B126" i="17"/>
  <c r="B125" i="17"/>
  <c r="B124" i="17"/>
  <c r="J123" i="17"/>
  <c r="H123" i="17"/>
  <c r="G123" i="17"/>
  <c r="F123" i="17"/>
  <c r="E123" i="17"/>
  <c r="D123" i="17"/>
  <c r="B121" i="17"/>
  <c r="B120" i="17"/>
  <c r="B119" i="17"/>
  <c r="B118" i="17"/>
  <c r="B117" i="17"/>
  <c r="J116" i="17"/>
  <c r="H116" i="17"/>
  <c r="G116" i="17"/>
  <c r="F116" i="17"/>
  <c r="E116" i="17"/>
  <c r="D116" i="17"/>
  <c r="B114" i="17"/>
  <c r="B113" i="17"/>
  <c r="B112" i="17"/>
  <c r="B111" i="17"/>
  <c r="B110" i="17"/>
  <c r="B109" i="17"/>
  <c r="B108" i="17"/>
  <c r="B107" i="17"/>
  <c r="B106" i="17"/>
  <c r="B105" i="17"/>
  <c r="B104" i="17"/>
  <c r="B103" i="17"/>
  <c r="B102" i="17"/>
  <c r="J101" i="17"/>
  <c r="H101" i="17"/>
  <c r="G101" i="17"/>
  <c r="F101" i="17"/>
  <c r="E101" i="17"/>
  <c r="D101" i="17"/>
  <c r="B98" i="17"/>
  <c r="B97" i="17"/>
  <c r="B96" i="17"/>
  <c r="B95" i="17"/>
  <c r="B94" i="17"/>
  <c r="B93" i="17"/>
  <c r="B92" i="17"/>
  <c r="B91" i="17"/>
  <c r="B90" i="17"/>
  <c r="B89" i="17"/>
  <c r="B88" i="17"/>
  <c r="B87" i="17"/>
  <c r="B86" i="17"/>
  <c r="B85" i="17"/>
  <c r="B84" i="17"/>
  <c r="B83" i="17"/>
  <c r="J82" i="17"/>
  <c r="H82" i="17"/>
  <c r="G82" i="17"/>
  <c r="F82" i="17"/>
  <c r="E82" i="17"/>
  <c r="D82" i="17"/>
  <c r="B80" i="17"/>
  <c r="B79" i="17"/>
  <c r="B78" i="17"/>
  <c r="B77" i="17"/>
  <c r="B76" i="17"/>
  <c r="B75" i="17"/>
  <c r="B74" i="17"/>
  <c r="B73" i="17"/>
  <c r="B72" i="17"/>
  <c r="B71" i="17"/>
  <c r="B70" i="17"/>
  <c r="B69" i="17"/>
  <c r="B68" i="17"/>
  <c r="B67" i="17"/>
  <c r="J66" i="17"/>
  <c r="H66" i="17"/>
  <c r="G66" i="17"/>
  <c r="F66" i="17"/>
  <c r="E66" i="17"/>
  <c r="D66" i="17"/>
  <c r="B64" i="17"/>
  <c r="B63" i="17"/>
  <c r="B62" i="17"/>
  <c r="B61" i="17"/>
  <c r="B60" i="17"/>
  <c r="B59" i="17"/>
  <c r="B58" i="17"/>
  <c r="B57" i="17"/>
  <c r="B56" i="17"/>
  <c r="B55" i="17"/>
  <c r="B54" i="17"/>
  <c r="B53" i="17"/>
  <c r="B52" i="17"/>
  <c r="B51" i="17"/>
  <c r="B50" i="17"/>
  <c r="B49" i="17"/>
  <c r="J48" i="17"/>
  <c r="H48" i="17"/>
  <c r="G48" i="17"/>
  <c r="F48" i="17"/>
  <c r="E48" i="17"/>
  <c r="D48" i="17"/>
  <c r="B46" i="17"/>
  <c r="B45" i="17"/>
  <c r="B44" i="17"/>
  <c r="B43" i="17"/>
  <c r="B42" i="17"/>
  <c r="B41" i="17"/>
  <c r="B40" i="17"/>
  <c r="B39" i="17"/>
  <c r="B38" i="17"/>
  <c r="B37" i="17"/>
  <c r="B36" i="17"/>
  <c r="B35" i="17"/>
  <c r="B34" i="17"/>
  <c r="B33" i="17"/>
  <c r="B32" i="17"/>
  <c r="B31" i="17"/>
  <c r="J30" i="17"/>
  <c r="H30" i="17"/>
  <c r="G30" i="17"/>
  <c r="F30" i="17"/>
  <c r="E30" i="17"/>
  <c r="D30" i="17"/>
  <c r="C30" i="17"/>
  <c r="B28" i="17"/>
  <c r="B27" i="17"/>
  <c r="B26" i="17"/>
  <c r="B25" i="17"/>
  <c r="B24" i="17"/>
  <c r="B23" i="17"/>
  <c r="B22" i="17"/>
  <c r="B21" i="17"/>
  <c r="B20" i="17"/>
  <c r="B19" i="17"/>
  <c r="B18" i="17"/>
  <c r="B17" i="17"/>
  <c r="B16" i="17"/>
  <c r="B15" i="17"/>
  <c r="B14" i="17"/>
  <c r="B13" i="17"/>
  <c r="J12" i="17"/>
  <c r="H12" i="17"/>
  <c r="G12" i="17"/>
  <c r="F12" i="17"/>
  <c r="E12" i="17"/>
  <c r="D12" i="17"/>
  <c r="H11" i="17" l="1"/>
  <c r="H9" i="17" s="1"/>
  <c r="B144" i="17"/>
  <c r="B66" i="17"/>
  <c r="B174" i="17"/>
  <c r="B30" i="17"/>
  <c r="E11" i="17"/>
  <c r="E9" i="17" s="1"/>
  <c r="B134" i="17"/>
  <c r="B163" i="17"/>
  <c r="J11" i="17"/>
  <c r="J9" i="17" s="1"/>
  <c r="F11" i="17"/>
  <c r="F9" i="17" s="1"/>
  <c r="B116" i="17"/>
  <c r="B123" i="17"/>
  <c r="B156" i="17"/>
  <c r="B243" i="17"/>
  <c r="G11" i="17"/>
  <c r="G9" i="17" s="1"/>
  <c r="B232" i="17"/>
  <c r="B82" i="17"/>
  <c r="B101" i="17"/>
  <c r="B206" i="17"/>
  <c r="B191" i="17"/>
  <c r="B12" i="17"/>
  <c r="B48" i="17"/>
  <c r="B181" i="17"/>
  <c r="B220" i="17"/>
  <c r="C11" i="17"/>
  <c r="D11" i="17"/>
  <c r="D9" i="17" s="1"/>
  <c r="C9" i="17" l="1"/>
  <c r="B9" i="17" s="1"/>
  <c r="B11" i="17"/>
  <c r="AB27" i="5"/>
  <c r="P38" i="14"/>
  <c r="AJ22" i="11"/>
  <c r="AH22" i="11"/>
  <c r="AJ21" i="11"/>
  <c r="AI21" i="11"/>
  <c r="AH21" i="11"/>
  <c r="AH23" i="11" s="1"/>
  <c r="AH25" i="11" s="1"/>
  <c r="AG21" i="11"/>
  <c r="D15" i="10"/>
  <c r="F15" i="10" s="1"/>
  <c r="G15" i="10"/>
  <c r="AD27" i="5"/>
  <c r="AC27" i="5"/>
  <c r="AP19" i="4" l="1"/>
  <c r="AQ19" i="4"/>
  <c r="AO19" i="4"/>
  <c r="O9" i="3"/>
  <c r="N10" i="3"/>
  <c r="AG26" i="3"/>
  <c r="AG27" i="3"/>
  <c r="AG28" i="3"/>
  <c r="AG29" i="3"/>
  <c r="AF27" i="3"/>
  <c r="AF28" i="3"/>
  <c r="AF29" i="3"/>
  <c r="AF26" i="3"/>
  <c r="AX27" i="2"/>
  <c r="AY24" i="2"/>
  <c r="AY25" i="1"/>
  <c r="AY26" i="1"/>
  <c r="AY27" i="1"/>
  <c r="AY24" i="1"/>
  <c r="AV25" i="1"/>
  <c r="AW25" i="1"/>
  <c r="AU25" i="1" s="1"/>
  <c r="AV26" i="1"/>
  <c r="AW26" i="1"/>
  <c r="AU26" i="1" s="1"/>
  <c r="AV27" i="1"/>
  <c r="AW27" i="1"/>
  <c r="AW24" i="1"/>
  <c r="AU24" i="1" s="1"/>
  <c r="AV24" i="1"/>
  <c r="AT24" i="1" s="1"/>
  <c r="L19" i="15"/>
  <c r="I19" i="15"/>
  <c r="P19" i="15" s="1"/>
  <c r="H19" i="15"/>
  <c r="E19" i="15"/>
  <c r="O19" i="15" s="1"/>
  <c r="B19" i="15"/>
  <c r="L18" i="15"/>
  <c r="I18" i="15"/>
  <c r="P18" i="15" s="1"/>
  <c r="H18" i="15"/>
  <c r="E18" i="15"/>
  <c r="O18" i="15" s="1"/>
  <c r="B18" i="15"/>
  <c r="L17" i="15"/>
  <c r="I17" i="15"/>
  <c r="P17" i="15" s="1"/>
  <c r="H17" i="15"/>
  <c r="E17" i="15"/>
  <c r="O17" i="15" s="1"/>
  <c r="B17" i="15"/>
  <c r="L16" i="15"/>
  <c r="I16" i="15"/>
  <c r="P16" i="15" s="1"/>
  <c r="H16" i="15"/>
  <c r="E16" i="15"/>
  <c r="O16" i="15" s="1"/>
  <c r="B16" i="15"/>
  <c r="L15" i="15"/>
  <c r="I15" i="15"/>
  <c r="P15" i="15" s="1"/>
  <c r="H15" i="15"/>
  <c r="E15" i="15"/>
  <c r="O15" i="15" s="1"/>
  <c r="B15" i="15"/>
  <c r="L14" i="15"/>
  <c r="I14" i="15"/>
  <c r="P14" i="15" s="1"/>
  <c r="H14" i="15"/>
  <c r="E14" i="15"/>
  <c r="B14" i="15"/>
  <c r="L13" i="15"/>
  <c r="I13" i="15"/>
  <c r="P13" i="15" s="1"/>
  <c r="H13" i="15"/>
  <c r="E13" i="15"/>
  <c r="O13" i="15" s="1"/>
  <c r="B13" i="15"/>
  <c r="L12" i="15"/>
  <c r="I12" i="15"/>
  <c r="P12" i="15" s="1"/>
  <c r="H12" i="15"/>
  <c r="E12" i="15"/>
  <c r="O12" i="15" s="1"/>
  <c r="B12" i="15"/>
  <c r="I11" i="15"/>
  <c r="P11" i="15" s="1"/>
  <c r="E11" i="15"/>
  <c r="O11" i="15" s="1"/>
  <c r="B11" i="15"/>
  <c r="I10" i="15"/>
  <c r="P10" i="15" s="1"/>
  <c r="E10" i="15"/>
  <c r="O10" i="15" s="1"/>
  <c r="B10" i="15"/>
  <c r="L9" i="15"/>
  <c r="I9" i="15"/>
  <c r="H9" i="15"/>
  <c r="E9" i="15"/>
  <c r="O9" i="15" s="1"/>
  <c r="B9" i="15"/>
  <c r="L8" i="15"/>
  <c r="I8" i="15"/>
  <c r="H8" i="15"/>
  <c r="E8" i="15"/>
  <c r="O8" i="15" s="1"/>
  <c r="B8" i="15"/>
  <c r="L7" i="15"/>
  <c r="K7" i="15"/>
  <c r="J7" i="15"/>
  <c r="H7" i="15"/>
  <c r="G7" i="15"/>
  <c r="F7" i="15"/>
  <c r="D7" i="15"/>
  <c r="C7" i="15"/>
  <c r="E13" i="14"/>
  <c r="D7" i="14"/>
  <c r="E29" i="14" s="1"/>
  <c r="B7" i="14"/>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s="1"/>
  <c r="F6" i="13"/>
  <c r="E6" i="13"/>
  <c r="D6" i="13"/>
  <c r="C6" i="13"/>
  <c r="B6" i="13"/>
  <c r="G31" i="12"/>
  <c r="G30" i="12"/>
  <c r="G29" i="12"/>
  <c r="G28" i="12"/>
  <c r="G27" i="12"/>
  <c r="G26" i="12"/>
  <c r="G25" i="12"/>
  <c r="G24" i="12"/>
  <c r="G23" i="12"/>
  <c r="G22" i="12"/>
  <c r="G21" i="12"/>
  <c r="G20" i="12"/>
  <c r="G19" i="12"/>
  <c r="G18" i="12"/>
  <c r="G17" i="12"/>
  <c r="G16" i="12"/>
  <c r="G15" i="12"/>
  <c r="G14" i="12"/>
  <c r="G13" i="12"/>
  <c r="G12" i="12"/>
  <c r="G11" i="12"/>
  <c r="G10" i="12"/>
  <c r="G9" i="12"/>
  <c r="G8" i="12"/>
  <c r="G7" i="12"/>
  <c r="F6" i="12"/>
  <c r="AF37" i="12" s="1"/>
  <c r="E6" i="12"/>
  <c r="AE37" i="12" s="1"/>
  <c r="D6" i="12"/>
  <c r="AD37" i="12" s="1"/>
  <c r="C6" i="12"/>
  <c r="AC37" i="12" s="1"/>
  <c r="B6" i="12"/>
  <c r="AB37" i="12" s="1"/>
  <c r="AJ23" i="11"/>
  <c r="AH26" i="11" s="1"/>
  <c r="J15" i="11"/>
  <c r="AL21" i="11" s="1"/>
  <c r="I15" i="11"/>
  <c r="AK21" i="11" s="1"/>
  <c r="E15" i="11"/>
  <c r="B15" i="11"/>
  <c r="H15" i="11" s="1"/>
  <c r="J14" i="11"/>
  <c r="I14" i="11"/>
  <c r="E14" i="11"/>
  <c r="B14" i="11"/>
  <c r="H14" i="11" s="1"/>
  <c r="J13" i="11"/>
  <c r="I13" i="11"/>
  <c r="E13" i="11"/>
  <c r="B13" i="11"/>
  <c r="H13" i="11" s="1"/>
  <c r="J12" i="11"/>
  <c r="I12" i="11"/>
  <c r="E12" i="11"/>
  <c r="B12" i="11"/>
  <c r="H12" i="11" s="1"/>
  <c r="J11" i="11"/>
  <c r="I11" i="11"/>
  <c r="E11" i="11"/>
  <c r="B11" i="11"/>
  <c r="H11" i="11" s="1"/>
  <c r="J10" i="11"/>
  <c r="I10" i="11"/>
  <c r="H10" i="11"/>
  <c r="E10" i="11"/>
  <c r="B10" i="11"/>
  <c r="J9" i="11"/>
  <c r="I9" i="11"/>
  <c r="E9" i="11"/>
  <c r="B9" i="11"/>
  <c r="H9" i="11" s="1"/>
  <c r="J8" i="11"/>
  <c r="I8" i="11"/>
  <c r="E8" i="11"/>
  <c r="B8" i="11"/>
  <c r="H8" i="11" s="1"/>
  <c r="J7" i="11"/>
  <c r="I7" i="11"/>
  <c r="E7" i="11"/>
  <c r="B7" i="11"/>
  <c r="H7" i="11" s="1"/>
  <c r="G14" i="10"/>
  <c r="D14" i="10"/>
  <c r="F14" i="10" s="1"/>
  <c r="G13" i="10"/>
  <c r="F13" i="10"/>
  <c r="D13" i="10"/>
  <c r="G12" i="10"/>
  <c r="D12" i="10"/>
  <c r="F12" i="10" s="1"/>
  <c r="G11" i="10"/>
  <c r="D11" i="10"/>
  <c r="F11" i="10" s="1"/>
  <c r="G10" i="10"/>
  <c r="F10" i="10"/>
  <c r="D10" i="10"/>
  <c r="G9" i="10"/>
  <c r="D9" i="10"/>
  <c r="F9" i="10" s="1"/>
  <c r="G8" i="10"/>
  <c r="F8" i="10"/>
  <c r="D8" i="10"/>
  <c r="F7" i="10"/>
  <c r="D7" i="10"/>
  <c r="AN15" i="8"/>
  <c r="AN14" i="8"/>
  <c r="AN13" i="8"/>
  <c r="AM12" i="8"/>
  <c r="AL12" i="8"/>
  <c r="AK12" i="8"/>
  <c r="AI12" i="8"/>
  <c r="B11" i="8"/>
  <c r="B10" i="8"/>
  <c r="B9" i="8"/>
  <c r="B8" i="8"/>
  <c r="G7" i="8"/>
  <c r="F7" i="8"/>
  <c r="E7" i="8"/>
  <c r="D7" i="8"/>
  <c r="C7" i="8"/>
  <c r="J19" i="7"/>
  <c r="F19" i="7"/>
  <c r="B19" i="7"/>
  <c r="J18" i="7"/>
  <c r="F18" i="7"/>
  <c r="B18" i="7"/>
  <c r="J17" i="7"/>
  <c r="F17" i="7"/>
  <c r="B17" i="7"/>
  <c r="J16" i="7"/>
  <c r="F16" i="7"/>
  <c r="B16" i="7"/>
  <c r="J15" i="7"/>
  <c r="F15" i="7"/>
  <c r="B15" i="7"/>
  <c r="J14" i="7"/>
  <c r="F14" i="7"/>
  <c r="B14" i="7"/>
  <c r="J13" i="7"/>
  <c r="F13" i="7"/>
  <c r="B13" i="7"/>
  <c r="J12" i="7"/>
  <c r="F12" i="7"/>
  <c r="B12" i="7"/>
  <c r="J11" i="7"/>
  <c r="F11" i="7"/>
  <c r="B11" i="7"/>
  <c r="J10" i="7"/>
  <c r="F10" i="7"/>
  <c r="B10" i="7"/>
  <c r="J9" i="7"/>
  <c r="F9" i="7"/>
  <c r="B9" i="7"/>
  <c r="J8" i="7"/>
  <c r="F8" i="7"/>
  <c r="B8" i="7"/>
  <c r="Z18" i="6"/>
  <c r="T18" i="6"/>
  <c r="N18" i="6"/>
  <c r="H18" i="6"/>
  <c r="B18" i="6"/>
  <c r="Z17" i="6"/>
  <c r="T17" i="6"/>
  <c r="N17" i="6"/>
  <c r="H17" i="6"/>
  <c r="B17" i="6"/>
  <c r="Z16" i="6"/>
  <c r="T16" i="6"/>
  <c r="N16" i="6"/>
  <c r="H16" i="6"/>
  <c r="B16" i="6"/>
  <c r="Z15" i="6"/>
  <c r="T15" i="6"/>
  <c r="N15" i="6"/>
  <c r="H15" i="6"/>
  <c r="B15" i="6"/>
  <c r="Z14" i="6"/>
  <c r="T14" i="6"/>
  <c r="N14" i="6"/>
  <c r="H14" i="6"/>
  <c r="B14" i="6"/>
  <c r="Z13" i="6"/>
  <c r="T13" i="6"/>
  <c r="N13" i="6"/>
  <c r="H13" i="6"/>
  <c r="B13" i="6"/>
  <c r="Z12" i="6"/>
  <c r="T12" i="6"/>
  <c r="N12" i="6"/>
  <c r="H12" i="6"/>
  <c r="B12" i="6"/>
  <c r="Z11" i="6"/>
  <c r="T11" i="6"/>
  <c r="N11" i="6"/>
  <c r="H11" i="6"/>
  <c r="B11" i="6"/>
  <c r="Z10" i="6"/>
  <c r="T10" i="6"/>
  <c r="N10" i="6"/>
  <c r="H10" i="6"/>
  <c r="B10" i="6"/>
  <c r="Z9" i="6"/>
  <c r="T9" i="6"/>
  <c r="N9" i="6"/>
  <c r="H9" i="6"/>
  <c r="B9" i="6"/>
  <c r="Z8" i="6"/>
  <c r="T8" i="6"/>
  <c r="N8" i="6"/>
  <c r="H8" i="6"/>
  <c r="B8" i="6"/>
  <c r="Z7" i="6"/>
  <c r="T7" i="6"/>
  <c r="N7" i="6"/>
  <c r="H7" i="6"/>
  <c r="B7" i="6"/>
  <c r="AA27" i="5"/>
  <c r="AD28" i="5" s="1"/>
  <c r="L19" i="5"/>
  <c r="G19" i="5"/>
  <c r="B19" i="5"/>
  <c r="L18" i="5"/>
  <c r="G18" i="5"/>
  <c r="B18" i="5"/>
  <c r="L17" i="5"/>
  <c r="G17" i="5"/>
  <c r="B17" i="5"/>
  <c r="L16" i="5"/>
  <c r="G16" i="5"/>
  <c r="B16" i="5"/>
  <c r="L15" i="5"/>
  <c r="G15" i="5"/>
  <c r="B15" i="5"/>
  <c r="L14" i="5"/>
  <c r="G14" i="5"/>
  <c r="B14" i="5"/>
  <c r="L13" i="5"/>
  <c r="G13" i="5"/>
  <c r="B13" i="5"/>
  <c r="L12" i="5"/>
  <c r="G12" i="5"/>
  <c r="B12" i="5"/>
  <c r="L11" i="5"/>
  <c r="G11" i="5"/>
  <c r="B11" i="5"/>
  <c r="L10" i="5"/>
  <c r="G10" i="5"/>
  <c r="B10" i="5"/>
  <c r="L9" i="5"/>
  <c r="G9" i="5"/>
  <c r="B9" i="5"/>
  <c r="L8" i="5"/>
  <c r="G8" i="5"/>
  <c r="B8" i="5"/>
  <c r="J19" i="4"/>
  <c r="F19" i="4"/>
  <c r="B19" i="4"/>
  <c r="J18" i="4"/>
  <c r="F18" i="4"/>
  <c r="B18" i="4"/>
  <c r="J17" i="4"/>
  <c r="F17" i="4"/>
  <c r="B17" i="4"/>
  <c r="J16" i="4"/>
  <c r="F16" i="4"/>
  <c r="B16" i="4"/>
  <c r="J15" i="4"/>
  <c r="F15" i="4"/>
  <c r="B15" i="4"/>
  <c r="J14" i="4"/>
  <c r="F14" i="4"/>
  <c r="B14" i="4"/>
  <c r="J13" i="4"/>
  <c r="F13" i="4"/>
  <c r="B13" i="4"/>
  <c r="J12" i="4"/>
  <c r="F12" i="4"/>
  <c r="B12" i="4"/>
  <c r="J11" i="4"/>
  <c r="F11" i="4"/>
  <c r="B11" i="4"/>
  <c r="J10" i="4"/>
  <c r="F10" i="4"/>
  <c r="B10" i="4"/>
  <c r="J9" i="4"/>
  <c r="F9" i="4"/>
  <c r="B9" i="4"/>
  <c r="J8" i="4"/>
  <c r="F8" i="4"/>
  <c r="B8" i="4"/>
  <c r="AG25" i="3"/>
  <c r="AF25" i="3"/>
  <c r="N13" i="3"/>
  <c r="V13" i="3" s="1"/>
  <c r="K13" i="3"/>
  <c r="T13" i="3" s="1"/>
  <c r="H13" i="3"/>
  <c r="E13" i="3"/>
  <c r="N12" i="3"/>
  <c r="K12" i="3"/>
  <c r="H12" i="3"/>
  <c r="E12" i="3"/>
  <c r="N11" i="3"/>
  <c r="K11" i="3"/>
  <c r="T11" i="3" s="1"/>
  <c r="H11" i="3"/>
  <c r="E11" i="3"/>
  <c r="U10" i="3"/>
  <c r="K10" i="3"/>
  <c r="H10" i="3"/>
  <c r="E10" i="3"/>
  <c r="P9" i="3"/>
  <c r="M9" i="3"/>
  <c r="L9" i="3"/>
  <c r="J9" i="3"/>
  <c r="I9" i="3"/>
  <c r="G9" i="3"/>
  <c r="F9" i="3"/>
  <c r="E9" i="3" s="1"/>
  <c r="D9" i="3"/>
  <c r="C9" i="3"/>
  <c r="B9" i="3" s="1"/>
  <c r="AL27" i="2"/>
  <c r="AK27" i="2"/>
  <c r="AJ27" i="2"/>
  <c r="AJ26" i="2"/>
  <c r="AJ25" i="2"/>
  <c r="AJ24" i="2"/>
  <c r="AA8" i="2"/>
  <c r="AY27" i="2" s="1"/>
  <c r="AQ27" i="2" s="1"/>
  <c r="Z8" i="2"/>
  <c r="Y8" i="2"/>
  <c r="AW27" i="2" s="1"/>
  <c r="AO27" i="2" s="1"/>
  <c r="X8" i="2"/>
  <c r="AV27" i="2" s="1"/>
  <c r="AN27" i="2" s="1"/>
  <c r="W8" i="2"/>
  <c r="AU27" i="2" s="1"/>
  <c r="AM27" i="2" s="1"/>
  <c r="V8" i="2"/>
  <c r="AY25" i="2" s="1"/>
  <c r="AQ25" i="2" s="1"/>
  <c r="U8" i="2"/>
  <c r="AX25" i="2" s="1"/>
  <c r="T8" i="2"/>
  <c r="AW25" i="2" s="1"/>
  <c r="AO25" i="2" s="1"/>
  <c r="S8" i="2"/>
  <c r="AV25" i="2" s="1"/>
  <c r="AN25" i="2" s="1"/>
  <c r="R8" i="2"/>
  <c r="AU25" i="2" s="1"/>
  <c r="AM25" i="2" s="1"/>
  <c r="Q8" i="2"/>
  <c r="AT25" i="2" s="1"/>
  <c r="AL25" i="2" s="1"/>
  <c r="P8" i="2"/>
  <c r="AS25" i="2" s="1"/>
  <c r="AK25" i="2" s="1"/>
  <c r="O8" i="2"/>
  <c r="AY26" i="2" s="1"/>
  <c r="AQ26" i="2" s="1"/>
  <c r="N8" i="2"/>
  <c r="AX26" i="2" s="1"/>
  <c r="M8" i="2"/>
  <c r="AW26" i="2" s="1"/>
  <c r="AO26" i="2" s="1"/>
  <c r="L8" i="2"/>
  <c r="AV26" i="2" s="1"/>
  <c r="AN26" i="2" s="1"/>
  <c r="K8" i="2"/>
  <c r="AU26" i="2" s="1"/>
  <c r="AM26" i="2" s="1"/>
  <c r="J8" i="2"/>
  <c r="AT26" i="2" s="1"/>
  <c r="AL26" i="2" s="1"/>
  <c r="I8" i="2"/>
  <c r="AS26" i="2" s="1"/>
  <c r="AK26" i="2" s="1"/>
  <c r="H8" i="2"/>
  <c r="G8" i="2"/>
  <c r="AX24" i="2" s="1"/>
  <c r="AP24" i="2" s="1"/>
  <c r="F8" i="2"/>
  <c r="AW24" i="2" s="1"/>
  <c r="AO24" i="2" s="1"/>
  <c r="E8" i="2"/>
  <c r="AV24" i="2" s="1"/>
  <c r="AN24" i="2" s="1"/>
  <c r="D8" i="2"/>
  <c r="AU24" i="2" s="1"/>
  <c r="AM24" i="2" s="1"/>
  <c r="C8" i="2"/>
  <c r="AT24" i="2" s="1"/>
  <c r="AL24" i="2" s="1"/>
  <c r="B8" i="2"/>
  <c r="AS24" i="2" s="1"/>
  <c r="AK24" i="2" s="1"/>
  <c r="AU27" i="1"/>
  <c r="AT27" i="1"/>
  <c r="AT26" i="1"/>
  <c r="AT25" i="1"/>
  <c r="T12" i="1"/>
  <c r="Q12" i="1"/>
  <c r="Y12" i="1" s="1"/>
  <c r="M12" i="1"/>
  <c r="I12" i="1"/>
  <c r="T11" i="1"/>
  <c r="Q11" i="1"/>
  <c r="M11" i="1"/>
  <c r="I11" i="1"/>
  <c r="B11" i="1"/>
  <c r="T10" i="1"/>
  <c r="Q10" i="1"/>
  <c r="Y10" i="1" s="1"/>
  <c r="M10" i="1"/>
  <c r="I10" i="1"/>
  <c r="T9" i="1"/>
  <c r="Q9" i="1"/>
  <c r="M9" i="1"/>
  <c r="I9" i="1"/>
  <c r="V8" i="1"/>
  <c r="U8" i="1"/>
  <c r="S8" i="1"/>
  <c r="R8" i="1"/>
  <c r="O8" i="1"/>
  <c r="N8" i="1"/>
  <c r="K8" i="1"/>
  <c r="J8" i="1"/>
  <c r="G8" i="1"/>
  <c r="F8" i="1"/>
  <c r="E8" i="1"/>
  <c r="D8" i="1"/>
  <c r="C8" i="1"/>
  <c r="B8" i="1"/>
  <c r="O7" i="15" l="1"/>
  <c r="P7" i="15"/>
  <c r="P9" i="15"/>
  <c r="N9" i="15"/>
  <c r="E21" i="14"/>
  <c r="H9" i="13"/>
  <c r="H17" i="13"/>
  <c r="H25" i="13"/>
  <c r="H13" i="13"/>
  <c r="H21" i="13"/>
  <c r="H29" i="13"/>
  <c r="AG37" i="12"/>
  <c r="AL22" i="11"/>
  <c r="AR21" i="11" s="1"/>
  <c r="AQ21" i="11"/>
  <c r="B7" i="8"/>
  <c r="AN12" i="8"/>
  <c r="AV27" i="6"/>
  <c r="AU27" i="6"/>
  <c r="AT27" i="6"/>
  <c r="AS27" i="6"/>
  <c r="AR27" i="6"/>
  <c r="N9" i="3"/>
  <c r="S13" i="3" s="1"/>
  <c r="H9" i="3"/>
  <c r="Q13" i="3" s="1"/>
  <c r="AY28" i="2"/>
  <c r="AP27" i="2"/>
  <c r="AQ24" i="2"/>
  <c r="AP26" i="2"/>
  <c r="AP25" i="2"/>
  <c r="P8" i="15"/>
  <c r="G6" i="12"/>
  <c r="H10" i="12" s="1"/>
  <c r="AB28" i="5"/>
  <c r="V11" i="3"/>
  <c r="K9" i="3"/>
  <c r="R10" i="3" s="1"/>
  <c r="T10" i="3"/>
  <c r="U13" i="3"/>
  <c r="V12" i="3"/>
  <c r="AA12" i="1"/>
  <c r="I8" i="1"/>
  <c r="AA10" i="1"/>
  <c r="Z10" i="1"/>
  <c r="Z9" i="1"/>
  <c r="Z11" i="1"/>
  <c r="Z12" i="1"/>
  <c r="H15" i="12"/>
  <c r="H25" i="12"/>
  <c r="Q11" i="3"/>
  <c r="Q9" i="3"/>
  <c r="R11" i="3"/>
  <c r="Q12" i="3"/>
  <c r="H22" i="12"/>
  <c r="H31" i="13"/>
  <c r="H27" i="13"/>
  <c r="H23" i="13"/>
  <c r="H19" i="13"/>
  <c r="H15" i="13"/>
  <c r="H11" i="13"/>
  <c r="H7" i="13"/>
  <c r="H24" i="13"/>
  <c r="H16" i="13"/>
  <c r="H30" i="13"/>
  <c r="H26" i="13"/>
  <c r="H22" i="13"/>
  <c r="H18" i="13"/>
  <c r="H14" i="13"/>
  <c r="H10" i="13"/>
  <c r="H6" i="13"/>
  <c r="H28" i="13"/>
  <c r="H8" i="13"/>
  <c r="H20" i="13"/>
  <c r="H12" i="13"/>
  <c r="AA9" i="1"/>
  <c r="T8" i="1"/>
  <c r="E30" i="14"/>
  <c r="B7" i="15"/>
  <c r="U11" i="3"/>
  <c r="E7" i="14"/>
  <c r="E15" i="14"/>
  <c r="E23" i="14"/>
  <c r="E31" i="14"/>
  <c r="E14" i="14"/>
  <c r="M8" i="1"/>
  <c r="Q10" i="3"/>
  <c r="S12" i="3"/>
  <c r="E8" i="14"/>
  <c r="E16" i="14"/>
  <c r="E24" i="14"/>
  <c r="E32" i="14"/>
  <c r="AA11" i="1"/>
  <c r="I7" i="15"/>
  <c r="N7" i="15" s="1"/>
  <c r="V10" i="3"/>
  <c r="E22" i="14"/>
  <c r="Y9" i="1"/>
  <c r="T12" i="3"/>
  <c r="E9" i="14"/>
  <c r="E17" i="14"/>
  <c r="E25" i="14"/>
  <c r="E7" i="15"/>
  <c r="M7" i="15" s="1"/>
  <c r="O14" i="15"/>
  <c r="Y11" i="1"/>
  <c r="U12" i="3"/>
  <c r="AC28" i="5"/>
  <c r="E10" i="14"/>
  <c r="E18" i="14"/>
  <c r="E26" i="14"/>
  <c r="Q8" i="1"/>
  <c r="W9" i="1" s="1"/>
  <c r="E11" i="14"/>
  <c r="E19" i="14"/>
  <c r="E27" i="14"/>
  <c r="E12" i="14"/>
  <c r="E20" i="14"/>
  <c r="E28" i="14"/>
  <c r="N8" i="15" l="1"/>
  <c r="H27" i="12"/>
  <c r="H29" i="12"/>
  <c r="H12" i="12"/>
  <c r="H31" i="12"/>
  <c r="H21" i="12"/>
  <c r="H16" i="12"/>
  <c r="H14" i="12"/>
  <c r="H20" i="12"/>
  <c r="H7" i="12"/>
  <c r="H24" i="12"/>
  <c r="H17" i="12"/>
  <c r="H18" i="12"/>
  <c r="H11" i="12"/>
  <c r="H13" i="12"/>
  <c r="H19" i="12"/>
  <c r="H28" i="12"/>
  <c r="H30" i="12"/>
  <c r="H23" i="12"/>
  <c r="AL23" i="11"/>
  <c r="AH27" i="11" s="1"/>
  <c r="R12" i="3"/>
  <c r="S11" i="3"/>
  <c r="R9" i="3"/>
  <c r="V9" i="3"/>
  <c r="S10" i="3"/>
  <c r="S9" i="3"/>
  <c r="R13" i="3"/>
  <c r="T9" i="3"/>
  <c r="U9" i="3"/>
  <c r="H9" i="12"/>
  <c r="H8" i="12"/>
  <c r="H26" i="12"/>
  <c r="N18" i="15"/>
  <c r="X10" i="1"/>
  <c r="AX25" i="1" s="1"/>
  <c r="AA8" i="1"/>
  <c r="X12" i="1"/>
  <c r="AX27" i="1" s="1"/>
  <c r="X9" i="1"/>
  <c r="AX24" i="1" s="1"/>
  <c r="Z8" i="1"/>
  <c r="X11" i="1"/>
  <c r="AX26" i="1" s="1"/>
  <c r="W11" i="1"/>
  <c r="N14" i="15"/>
  <c r="N19" i="15"/>
  <c r="N11" i="15"/>
  <c r="N10" i="15"/>
  <c r="N12" i="15"/>
  <c r="N17" i="15"/>
  <c r="M17" i="15"/>
  <c r="M11" i="15"/>
  <c r="M15" i="15"/>
  <c r="M8" i="15"/>
  <c r="M12" i="15"/>
  <c r="W12" i="1"/>
  <c r="W8" i="1"/>
  <c r="X8" i="1"/>
  <c r="N16" i="15"/>
  <c r="M19" i="15"/>
  <c r="M16" i="15"/>
  <c r="M13" i="15"/>
  <c r="N13" i="15"/>
  <c r="M18" i="15"/>
  <c r="M14" i="15"/>
  <c r="M9" i="15"/>
  <c r="N15" i="15"/>
  <c r="Y8" i="1"/>
  <c r="M10" i="15"/>
  <c r="W10" i="1"/>
  <c r="H6" i="12" l="1"/>
</calcChain>
</file>

<file path=xl/comments1.xml><?xml version="1.0" encoding="utf-8"?>
<comments xmlns="http://schemas.openxmlformats.org/spreadsheetml/2006/main">
  <authors>
    <author>Fathimath Shifaza</author>
  </authors>
  <commentList>
    <comment ref="B6" authorId="0" shapeId="0">
      <text>
        <r>
          <rPr>
            <b/>
            <sz val="9"/>
            <color indexed="81"/>
            <rFont val="Tahoma"/>
            <family val="2"/>
          </rPr>
          <t>Fathimath Shifaza:</t>
        </r>
        <r>
          <rPr>
            <sz val="9"/>
            <color indexed="81"/>
            <rFont val="Tahoma"/>
            <family val="2"/>
          </rPr>
          <t xml:space="preserve">
Note:  Payment for some MRPS pensioners was processed for two months in November which accounts for the decrease in MRPS pensioners processed in    December 2016.  </t>
        </r>
      </text>
    </comment>
  </commentList>
</comments>
</file>

<file path=xl/comments2.xml><?xml version="1.0" encoding="utf-8"?>
<comments xmlns="http://schemas.openxmlformats.org/spreadsheetml/2006/main">
  <authors>
    <author>Fathimath Shifaza</author>
  </authors>
  <commentList>
    <comment ref="C5" authorId="0" shapeId="0">
      <text>
        <r>
          <rPr>
            <b/>
            <sz val="9"/>
            <color indexed="81"/>
            <rFont val="Tahoma"/>
            <family val="2"/>
          </rPr>
          <t>Fathimath Shifaza:</t>
        </r>
        <r>
          <rPr>
            <sz val="9"/>
            <color indexed="81"/>
            <rFont val="Tahoma"/>
            <family val="2"/>
          </rPr>
          <t xml:space="preserve">
Pls recheck with table 18.22. </t>
        </r>
      </text>
    </comment>
  </commentList>
</comments>
</file>

<file path=xl/sharedStrings.xml><?xml version="1.0" encoding="utf-8"?>
<sst xmlns="http://schemas.openxmlformats.org/spreadsheetml/2006/main" count="2334" uniqueCount="894">
  <si>
    <t>Type of pension</t>
  </si>
  <si>
    <t>(In MVR)</t>
  </si>
  <si>
    <t>އިންސައްތަ</t>
  </si>
  <si>
    <t>އަންހެނުންގެ އިން ސައްތަ</t>
  </si>
  <si>
    <t>އިތުރުވި މިންވަރު</t>
  </si>
  <si>
    <t>ޕެންޝަންގެ ބާވަތް</t>
  </si>
  <si>
    <t>Month</t>
  </si>
  <si>
    <t>އަސާސީ ޕެންޝަން</t>
  </si>
  <si>
    <t>ރިޓަޔަރމަންޓް ޕެންޝަން</t>
  </si>
  <si>
    <r>
      <t>2016</t>
    </r>
    <r>
      <rPr>
        <b/>
        <vertAlign val="superscript"/>
        <sz val="11"/>
        <color rgb="FF000000"/>
        <rFont val="Calibri"/>
        <family val="2"/>
      </rPr>
      <t>2_/</t>
    </r>
  </si>
  <si>
    <t>އެހެނިހެން ޕެންޝަން</t>
  </si>
  <si>
    <t>ސީނިއަ ސިޓިޒަން އެލަވަންސް</t>
  </si>
  <si>
    <t>މަސް</t>
  </si>
  <si>
    <t>ޖުމްލަ</t>
  </si>
  <si>
    <t>Basic pension</t>
  </si>
  <si>
    <t>ފިރިހެން</t>
  </si>
  <si>
    <t>އަންހެން</t>
  </si>
  <si>
    <t>Retirement  pension</t>
  </si>
  <si>
    <t>% share</t>
  </si>
  <si>
    <t>Other  pension</t>
  </si>
  <si>
    <t>% share of females</t>
  </si>
  <si>
    <t xml:space="preserve"> Senior Citizen Allowance</t>
  </si>
  <si>
    <t>% change</t>
  </si>
  <si>
    <t>Total</t>
  </si>
  <si>
    <t>Male</t>
  </si>
  <si>
    <t>Female</t>
  </si>
  <si>
    <t>2017-2018</t>
  </si>
  <si>
    <t>Jan</t>
  </si>
  <si>
    <t>ޖެނުއަރީ</t>
  </si>
  <si>
    <t>Feb</t>
  </si>
  <si>
    <t>Basic Pension</t>
  </si>
  <si>
    <t>ފެބްރުއަރީ</t>
  </si>
  <si>
    <t>Mar</t>
  </si>
  <si>
    <t>މާޗް</t>
  </si>
  <si>
    <t>Apr</t>
  </si>
  <si>
    <t>އޭޕްރީލް</t>
  </si>
  <si>
    <t>May</t>
  </si>
  <si>
    <t>މެއި</t>
  </si>
  <si>
    <t>Jun</t>
  </si>
  <si>
    <t>ޖޫން</t>
  </si>
  <si>
    <t>Jul</t>
  </si>
  <si>
    <t>Retirement Pension</t>
  </si>
  <si>
    <t>ޖުލައި</t>
  </si>
  <si>
    <t>Aug</t>
  </si>
  <si>
    <t>އޮގަސްޓް</t>
  </si>
  <si>
    <t>Sep</t>
  </si>
  <si>
    <t>Other Pension</t>
  </si>
  <si>
    <t>ސެޕްޓެމްބަރ</t>
  </si>
  <si>
    <t>Oct</t>
  </si>
  <si>
    <r>
      <t>Senior Citizen Allowance</t>
    </r>
    <r>
      <rPr>
        <vertAlign val="superscript"/>
        <sz val="11"/>
        <color rgb="FF000000"/>
        <rFont val="Calibri"/>
        <family val="2"/>
      </rPr>
      <t>1_/</t>
    </r>
  </si>
  <si>
    <t>އޮކްޓޫބަރ</t>
  </si>
  <si>
    <t>Nov</t>
  </si>
  <si>
    <t>ނޮވެމްބަރ</t>
  </si>
  <si>
    <t>Dec</t>
  </si>
  <si>
    <t>ޑިސެމްބަރ</t>
  </si>
  <si>
    <t>Senior Citizen Allowance was introduced in February 2014.</t>
  </si>
  <si>
    <t xml:space="preserve">ސީނިއަރ ސިޓިޒަން އެލަވަންސް ސްކީމް ތަޢާރަފުކުރެވިފައިވާ ފެބްރުއަރީ 2014 ގައެވެ. </t>
  </si>
  <si>
    <t>Source: Maldives Pension Administration</t>
  </si>
  <si>
    <t>މަޢުލޫމާތު ދެއްވި ފަރާތް: މޯލްޑިވްސް ޕެންޝަން އެޑްމިނިސްޓްރޭޝަން</t>
  </si>
  <si>
    <t>In million Rf</t>
  </si>
  <si>
    <r>
      <rPr>
        <vertAlign val="superscript"/>
        <sz val="11"/>
        <color rgb="FF000000"/>
        <rFont val="Faruma"/>
      </rPr>
      <t>1_/</t>
    </r>
    <r>
      <rPr>
        <sz val="11"/>
        <color rgb="FF000000"/>
        <rFont val="Faruma"/>
      </rPr>
      <t>ސީނިއަރ ސިޓިޒަން އެލަވަންސް</t>
    </r>
  </si>
  <si>
    <t xml:space="preserve">Note: </t>
  </si>
  <si>
    <t>In Rf</t>
  </si>
  <si>
    <r>
      <t>1_/</t>
    </r>
    <r>
      <rPr>
        <i/>
        <sz val="10"/>
        <color rgb="FF000000"/>
        <rFont val="Calibri"/>
        <family val="2"/>
      </rPr>
      <t xml:space="preserve"> Those pensioners receiving less than 5,000 mvr is given the balance amount to reach 5,000 mvr under this scheme. Senior Citizen Allowance was introduced in February 2014.</t>
    </r>
  </si>
  <si>
    <t>2_/ Payment for some MRPS pensioners was processed for two months in November which accounts for the decrease in MRPS pensioners processed in December 2016.  </t>
  </si>
  <si>
    <r>
      <t xml:space="preserve">  </t>
    </r>
    <r>
      <rPr>
        <b/>
        <sz val="11"/>
        <color rgb="FF000000"/>
        <rFont val="Calibri"/>
        <family val="2"/>
      </rPr>
      <t>Amount Paid (in MVR)</t>
    </r>
    <r>
      <rPr>
        <b/>
        <sz val="11"/>
        <color rgb="FF000000"/>
        <rFont val="Faruma"/>
      </rPr>
      <t xml:space="preserve">  </t>
    </r>
  </si>
  <si>
    <t xml:space="preserve">ދައުލަތުން ޕެންޝަންލިބޭ ފަރާޓްތަކުގެ ތެރެއިން މަހަކު 000،5ރ އަށްވުރެ މަދުން ޕެންޝަން ފައިސާ ލިބޭ ފަރާޓްތަކަށް 000،5ރ ހަމަކޮށްދިނުމަށްޓަކާ ހެދި ސްކީމެއް.  ސީނިއަރ ސިޓިޒަން އެލަވަންސް ސްކީމް ތަޢާރަފުކުރެވިފައިވާ ފެބްރުއަރީ 2014 ގައެވެ. </t>
  </si>
  <si>
    <t>1_/</t>
  </si>
  <si>
    <r>
      <t xml:space="preserve">  </t>
    </r>
    <r>
      <rPr>
        <b/>
        <sz val="11"/>
        <color rgb="FF000000"/>
        <rFont val="Calibri"/>
        <family val="2"/>
      </rPr>
      <t>Amount Paid (in MVR)</t>
    </r>
    <r>
      <rPr>
        <b/>
        <sz val="11"/>
        <color rgb="FF000000"/>
        <rFont val="Faruma"/>
      </rPr>
      <t xml:space="preserve">  </t>
    </r>
  </si>
  <si>
    <r>
      <t xml:space="preserve">  </t>
    </r>
    <r>
      <rPr>
        <b/>
        <sz val="11"/>
        <color rgb="FF000000"/>
        <rFont val="Calibri"/>
        <family val="2"/>
      </rPr>
      <t>Amount Paid (in MVR)</t>
    </r>
    <r>
      <rPr>
        <b/>
        <sz val="11"/>
        <color rgb="FF000000"/>
        <rFont val="Faruma"/>
      </rPr>
      <t xml:space="preserve">  </t>
    </r>
  </si>
  <si>
    <t xml:space="preserve">  Amount Paid (in MVR)   </t>
  </si>
  <si>
    <t xml:space="preserve">ދެވުނު މިންވަރު (ރުފިޔާއިން)  </t>
  </si>
  <si>
    <t>beneficiaries</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</si>
  <si>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</si>
  <si>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</si>
  <si>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</si>
  <si>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</si>
  <si>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r>
      <rPr>
        <i/>
        <sz val="10"/>
        <color rgb="FF000000"/>
        <rFont val="Calibri"/>
        <family val="2"/>
      </rPr>
      <t>1_/</t>
    </r>
    <r>
      <rPr>
        <i/>
        <sz val="10"/>
        <color rgb="FF000000"/>
        <rFont val="Calibri"/>
        <family val="2"/>
      </rPr>
      <t xml:space="preserve"> Those pensioners receiving less than 5,000 mvr is given the balance amount to reach 5,000 mvr under this scheme. Senior Citizen Allowance was introduced in February 2014.</t>
    </r>
  </si>
  <si>
    <t xml:space="preserve">ނޯޓް: އެހެނިހެން ޕެންޝަންގެ ގޮތުގައި ހިމެނެނީ ދަޢުލަތަށް ގިނަ ދުވަހު، 20 ނުވަތަ 40 އަހަރަށް ޚިދުމަތްކުރެވި ބޭފުޅުންނަށް ދެވޭ ޕެންޝަނެވެ.  އަދި މިނޫނަސް ދެވޭ އެކިއެކި މަހުންމަހުން ދެވޭ އެކއެކި އިނާޔަތްތަކެވެ. </t>
  </si>
  <si>
    <t>Payout Rf (million Rf)</t>
  </si>
  <si>
    <t xml:space="preserve">Payout Rf </t>
  </si>
  <si>
    <r>
      <t xml:space="preserve">Age Groups </t>
    </r>
    <r>
      <rPr>
        <b/>
        <sz val="11"/>
        <color rgb="FF000000"/>
        <rFont val="Faruma"/>
      </rPr>
      <t xml:space="preserve">  ޢުމުރުފުރާ   </t>
    </r>
  </si>
  <si>
    <t>65-69</t>
  </si>
  <si>
    <t>70-74</t>
  </si>
  <si>
    <t>75 &amp; over</t>
  </si>
  <si>
    <t>65-69 yrs</t>
  </si>
  <si>
    <t xml:space="preserve">70-74 yrs </t>
  </si>
  <si>
    <t>75  yrs &amp; over</t>
  </si>
  <si>
    <r>
      <t xml:space="preserve">Age Groups </t>
    </r>
    <r>
      <rPr>
        <b/>
        <sz val="11"/>
        <color rgb="FF000000"/>
        <rFont val="Faruma"/>
      </rPr>
      <t xml:space="preserve">  ޢުމުރުފުރާ   </t>
    </r>
  </si>
  <si>
    <t>&lt; 65</t>
  </si>
  <si>
    <t>75+</t>
  </si>
  <si>
    <t>&lt; 65  yrs</t>
  </si>
  <si>
    <t>70-74 yrs</t>
  </si>
  <si>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</si>
  <si>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</si>
  <si>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</si>
  <si>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</si>
  <si>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</si>
  <si>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t>&lt; 55</t>
  </si>
  <si>
    <t>55-64</t>
  </si>
  <si>
    <t>75 +</t>
  </si>
  <si>
    <t>&lt; 55 yrs</t>
  </si>
  <si>
    <t>55-64 yrs</t>
  </si>
  <si>
    <t>75 yrs and over</t>
  </si>
  <si>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</si>
  <si>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</si>
  <si>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</si>
  <si>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t xml:space="preserve">75 + yrs </t>
  </si>
  <si>
    <t>ތާވަލު 18.8:  އެކި ޕެންޝަން ސްކީމްތަކުން ޕެންޝަން ލިބޭ މީހުންގެ އަދަދު އަދި އުމުރުފުރާ، 2018</t>
  </si>
  <si>
    <t>TABLE 18.8: NUMBER OF BEFEFICIARIES BY AGE GROUP FOR  DIFFERENT  PENSION SCHEMES, 2018</t>
  </si>
  <si>
    <t>All ages</t>
  </si>
  <si>
    <t xml:space="preserve">Total </t>
  </si>
  <si>
    <t>age-group</t>
  </si>
  <si>
    <t>2015 end</t>
  </si>
  <si>
    <t>under 55</t>
  </si>
  <si>
    <t>Other pension</t>
  </si>
  <si>
    <t>Retirement pension</t>
  </si>
  <si>
    <t>-</t>
  </si>
  <si>
    <t>ތާވަލު 18.10 :ރިޓާޔަމަންޓް ޕެންޝަން ސްކީމްއަށް ޕަބްލިކް އަދި ޕްރައިވެޓް ސެކްޓަރއިން ފައިސާދެއްކި މިންވަރު، 2010 - 2018</t>
  </si>
  <si>
    <t>TABLE   18.10:  AMOUNT OF CONTRIBUTION TO RETIREMENT PENSION SCHEME BY SECTOR, 2010 - 2018</t>
  </si>
  <si>
    <t>Year</t>
  </si>
  <si>
    <t>Public sector</t>
  </si>
  <si>
    <t>Private Sector</t>
  </si>
  <si>
    <t>Public</t>
  </si>
  <si>
    <t>އަހަރު</t>
  </si>
  <si>
    <t>ޕަބްލިކް ސެކްޓަރ</t>
  </si>
  <si>
    <t>ޕްރައިވެޓް ސެކްޓަރ</t>
  </si>
  <si>
    <t>އިން ސައްތަ</t>
  </si>
  <si>
    <t>Detail</t>
  </si>
  <si>
    <t>ތަފްސީލު</t>
  </si>
  <si>
    <t>_</t>
  </si>
  <si>
    <t>ކޮންޓްރިބިއުޝަންސް (ރުފިޔާ)</t>
  </si>
  <si>
    <t>Employers (end year)</t>
  </si>
  <si>
    <t>ވަޒީފާ ދޭ ފަރާތް</t>
  </si>
  <si>
    <t>Employees (end year)</t>
  </si>
  <si>
    <t>މުވައްޒަފުންގެ އަދަދު</t>
  </si>
  <si>
    <t>ތާވަލު  18.11 :ރިޓާޔަމަންޓް ޕެންޝަން ސްކީމްއަށް ޕަބްލިކް އަދި ޕްރައިވެޓް ސެކްޓަރއިން ފައިސާދެއްކި މީހުންގެ ޢަދަދު ، 2010 - 2018</t>
  </si>
  <si>
    <t>TABLE   18.11:  NUMBER OF MEMBERS CONTRIBUTING TO RETIREMENT PENSION SCHEME BY SECTOR AND SEX, 2010 - 2018</t>
  </si>
  <si>
    <t>Private sector</t>
  </si>
  <si>
    <t xml:space="preserve">އަންހެން  </t>
  </si>
  <si>
    <t xml:space="preserve">Male     </t>
  </si>
  <si>
    <t xml:space="preserve">Female        </t>
  </si>
  <si>
    <t>total</t>
  </si>
  <si>
    <t>% sahre of females</t>
  </si>
  <si>
    <t xml:space="preserve">% share of females </t>
  </si>
  <si>
    <t>ތާވަލު  18.12 : އެކި ދާއިރާތަކުން ރިޓާޔަމަންޓް ޕެންޝަން ސްކީމްގައި ރެޖިސްޓްރީކޮށްފައިވާ ތަންތަނުގެ ޢަދަދު، ތަނުގެމުވައްޒަފުންގެ ގިންތިން ، 2018</t>
  </si>
  <si>
    <t>TABLE   18.12:   ESTABLISHMENTS REGISTERED IN THE RETIREMENT PENSION SCHEME, BY EMPLOYMENT SIZE, END 2018</t>
  </si>
  <si>
    <t>Sector</t>
  </si>
  <si>
    <t xml:space="preserve">Establishments by Employment size </t>
  </si>
  <si>
    <t xml:space="preserve">މަސައްކަތްކުރާ ތަނުގެ ދާއިރާ </t>
  </si>
  <si>
    <t>0-9</t>
  </si>
  <si>
    <t>10-49</t>
  </si>
  <si>
    <t>50-99</t>
  </si>
  <si>
    <t>100-299</t>
  </si>
  <si>
    <t>&gt;300</t>
  </si>
  <si>
    <t>Agriculture</t>
  </si>
  <si>
    <t>ދަނޑުވެރިކަން</t>
  </si>
  <si>
    <t>Air Transportation</t>
  </si>
  <si>
    <t>ވައިގެ ދަތުރުފަތުރު</t>
  </si>
  <si>
    <t>Clothing industry</t>
  </si>
  <si>
    <t xml:space="preserve">އަންނައުނު </t>
  </si>
  <si>
    <t>Coffee, tea shops</t>
  </si>
  <si>
    <t>ކޮފީ ޝޮޕް، ސައި ހޮޓާ</t>
  </si>
  <si>
    <t>Construction</t>
  </si>
  <si>
    <t>އިމާރާތްކުރުން</t>
  </si>
  <si>
    <t>Electricity</t>
  </si>
  <si>
    <t>ކަރަންޓް</t>
  </si>
  <si>
    <t>Financial sector, Banks, Investment Funds, Insurance companies Investment</t>
  </si>
  <si>
    <t>ފައިސާގެ ޚިދުމަތް، ބެންކް، އިންވެސްޓްމަންޓް ފަންޑް، އިންޝުއަރެންސް ކުންފުނިތަކުގެ އިންވެސްޓްމަންޓް</t>
  </si>
  <si>
    <t>Fishing Industry</t>
  </si>
  <si>
    <t>މަސްވެރިކަމުގެ ދާއިރާ</t>
  </si>
  <si>
    <t>Garbage, and Recycling industry</t>
  </si>
  <si>
    <t>ކުނި އަދި ރީސައިކަލްކުރުން</t>
  </si>
  <si>
    <t>Government agencies, public institutions</t>
  </si>
  <si>
    <t xml:space="preserve">ސަރުކާރުގެ އޮފީސްތަކާއި ކުންފުނިތައް </t>
  </si>
  <si>
    <t>Health Sector, hospitals, clinics</t>
  </si>
  <si>
    <t>ޞިއްޚީ ޙިދުމަތް، ހޮސްޕިޓަލް އަދި ކްލިނިކްތައް</t>
  </si>
  <si>
    <t>Hotels, Tourist resorts, travel agencies</t>
  </si>
  <si>
    <t>ހޮޓާ، ރިސޯޓް، ޓްރެވަލް އޭޖެންސީ</t>
  </si>
  <si>
    <t xml:space="preserve">Housing Development </t>
  </si>
  <si>
    <t>ހައުސިންގ ޑިވެލޮޕްމަންޓް</t>
  </si>
  <si>
    <t>Land Transportation, taxis, buses etc</t>
  </si>
  <si>
    <t>އެއްގަމު ދަތުރުފަތުރު، ޓެކްސީ، ބަސް ފަދަ</t>
  </si>
  <si>
    <t>Mining Industry</t>
  </si>
  <si>
    <t>ގަލާއި ވެލިނެގުން</t>
  </si>
  <si>
    <t>Pharmacies</t>
  </si>
  <si>
    <t>ބޭސް ފިހާރަތައް</t>
  </si>
  <si>
    <t>Restaurants</t>
  </si>
  <si>
    <t>ރެސްޓޯރަންޓްތައް</t>
  </si>
  <si>
    <t>Sales of Motor Vehicles</t>
  </si>
  <si>
    <t>ސްޕެއަރޕާޓް ވިއްކުން</t>
  </si>
  <si>
    <t>Schools and educational centers</t>
  </si>
  <si>
    <t>ސްކޫލްތަކާއި ތަޢުލީމްދޭ މަރުކަޒުތައް</t>
  </si>
  <si>
    <t>Sea Transportation, shipping</t>
  </si>
  <si>
    <t xml:space="preserve">ކަނޑުދަތުރުފަތުރު، ޝިޕިންގ </t>
  </si>
  <si>
    <t>Shops, small and medium commercial retail</t>
  </si>
  <si>
    <t>ކުދި އަދި މެދުފަންތީގެ ވިޔަފާރި</t>
  </si>
  <si>
    <t>Telecommunications</t>
  </si>
  <si>
    <t>މުވާސަލާތީ ޚިދުމަތް</t>
  </si>
  <si>
    <t>Water processing</t>
  </si>
  <si>
    <t>ފެން އުފެއްދުން</t>
  </si>
  <si>
    <t>Wholesale retailers</t>
  </si>
  <si>
    <t>ހޯލްސޭލް ރީޓެއިލާރސް</t>
  </si>
  <si>
    <t>Others</t>
  </si>
  <si>
    <t>އެހެނިހެން</t>
  </si>
  <si>
    <t>establishments</t>
  </si>
  <si>
    <t>ތާވަލު  18.13 : އެކި ދާއިރާތަކުން ރިޓާޔަމަންޓް ޕެންޝަން ސްކީމްގައި ރެޖިސްޓަރކޮށްފައިވާ މުވައްޒަފުންގެ ޢަދަދު، ތަނުގެމުވައްޒަފުންގެ ގިންތިން، 2018</t>
  </si>
  <si>
    <t>TABLE   18.13: EMPLOYEES  REGISTERED IN THE RETIREMENT PENSION SCHEME, BY EMPLOYMENT SIZE, END  2018</t>
  </si>
  <si>
    <t>Employment size</t>
  </si>
  <si>
    <t xml:space="preserve">Note: The Difference between values in this table  is due to  some members having multiple contracts with more than one employer </t>
  </si>
  <si>
    <t xml:space="preserve">Note: The Difference between values in this table  is due to  some members vahing multiple contracts with more than one employer </t>
  </si>
  <si>
    <t xml:space="preserve">ތާވަލު  18.14 : އެކި ދާއިރާތަކުން ރިޓާޔަމަންޓް ޕެންޝަން ސްކީމްގައި ރެޖިސްޓްރީކޮށްފައިވާ ތަންތަނުގެ ޢަދަދާއި މުވައްޒަފުންގެ އަދަދު، 2018 </t>
  </si>
  <si>
    <t>TABLE   18.14: EMPLOYEES AND ESTABLISHMENTS REGISTERED IN THE RETIREMENT PENSION SCHEME, END OF 2018</t>
  </si>
  <si>
    <t>Industry</t>
  </si>
  <si>
    <t>Establishments</t>
  </si>
  <si>
    <t>Employment</t>
  </si>
  <si>
    <t xml:space="preserve">މަސައްކަތްކުރާ ތަންތަނުގެ </t>
  </si>
  <si>
    <t xml:space="preserve">މުވައްޒަފުންގެ </t>
  </si>
  <si>
    <t>ޢަދަދު</t>
  </si>
  <si>
    <t>Place</t>
  </si>
  <si>
    <t>%  share</t>
  </si>
  <si>
    <t>ތަން</t>
  </si>
  <si>
    <t xml:space="preserve">Financial sector, Banks, Investment Funds, Insurance </t>
  </si>
  <si>
    <t xml:space="preserve">ފައިސާގެ ޚިދުމަތް، ބެންކް، އިންވެސްޓްމަންޓް ފަންޑް، އިންޝުއަރެންސް </t>
  </si>
  <si>
    <t>Govt. agencies, public institutions</t>
  </si>
  <si>
    <t>Government Offices</t>
  </si>
  <si>
    <t>ސަރުކާރު އޮފީސްތައް</t>
  </si>
  <si>
    <t>Independent Agencies</t>
  </si>
  <si>
    <t>މިނިވަން މުޢައްސަސާތައް</t>
  </si>
  <si>
    <t>Judiciary</t>
  </si>
  <si>
    <t xml:space="preserve">ޖުޑީޝަރީ </t>
  </si>
  <si>
    <t>City councils</t>
  </si>
  <si>
    <t xml:space="preserve">ސިޓީ ކައުންސިލްތައް </t>
  </si>
  <si>
    <t>Atoll councils</t>
  </si>
  <si>
    <t>އަތޮޅު ކައުންސިލްތައް</t>
  </si>
  <si>
    <t>Island councils</t>
  </si>
  <si>
    <t>ރަށު ކައުންސިލްތައް</t>
  </si>
  <si>
    <t>Hospitals/health Care facilities</t>
  </si>
  <si>
    <t>ހޮސްޕިޓަލް / ސިއްޙި ޚިދުމަތްދޭ ފަރާތްތައް</t>
  </si>
  <si>
    <t>Schools/universitiy</t>
  </si>
  <si>
    <t>ސްކޫލް / ޔުނިވަރސިޓީ</t>
  </si>
  <si>
    <t>Police/ NSS</t>
  </si>
  <si>
    <t>ފުލުހުން /  ސިފައިން</t>
  </si>
  <si>
    <t>State owned enterprises</t>
  </si>
  <si>
    <t>ސްޓޭޓް އޯންޑް އެންޓަރޕްރައިސަސް</t>
  </si>
  <si>
    <t>Other Private Sector</t>
  </si>
  <si>
    <t>އެހެނިހެން ޕްރައިވެޓް ސެކްޓަރ</t>
  </si>
  <si>
    <t>TABLE:    18.1   AMOUNT OF PENSION PAID OUT UNDER DIFFERENT SCHEMES, 2017- 2018</t>
  </si>
  <si>
    <t>ތާވަލު 18.1:  ޕެންޝަންގެ ގޮތުގައި އެކި ސްކީމްތަކުން ދެވުނު މިންވަރު، 2017 - 2018</t>
  </si>
  <si>
    <t xml:space="preserve">% share </t>
  </si>
  <si>
    <t>ތާވަލު 18.2: އެކި މަސްމަހު ޕެންޝަންގެ ގޮތުގައި ސްކީމްތަކުން ދެވުނު މިންވަރު، 2016 - 2018</t>
  </si>
  <si>
    <t>TABLE   18.2: MONTHLY PENSION PAYOUTS BY SCHEME, 2016 - 2018</t>
  </si>
  <si>
    <r>
      <t xml:space="preserve">Benficiaries (end year)     </t>
    </r>
    <r>
      <rPr>
        <b/>
        <sz val="9"/>
        <color rgb="FF000000"/>
        <rFont val="Faruma"/>
      </rPr>
      <t>ޕެންޝަން ލިބޭ މީހުންގެ އަދަދު</t>
    </r>
  </si>
  <si>
    <t>TABLE   18.3:  NUMBER OF BENFICIARIES BY PENSION SCHEME AND SEX, 2017 - 2018</t>
  </si>
  <si>
    <t>ތާވަލު 18.3: އެކި ޕެންޝަން ސްކީމްތަކުން ޕެންޝަން ލިބޭ މީހުންގެ އަދަދު، 2017 - 2018</t>
  </si>
  <si>
    <t>ތާވަލު  18.4 : އަސާސީ ޕެންޝަން ލިބޭ މީހުންގެ އަދަދު އަދި ޢުމުރުފުރާތައް، 2017 - 2018</t>
  </si>
  <si>
    <t>TABLE   18.4: NUMBER OF BENEFICIARIES OF BASIC PENSION SCHEME BY AGE, 2017 - 2018</t>
  </si>
  <si>
    <t>TABLE   18.5: NUMBER OF BENEFICIARIES OF RETIREMENT PENSION SCHEME BY AGE, 2017 - 2018</t>
  </si>
  <si>
    <t>ތާވަލު  18.5 :ރިޓާޔަމަންޓް ޕެންޝަން ލިބޭ މީހުންގެ އަދަދު އަދި ޢުމުރުފުރާތައް، 2017 - 2018</t>
  </si>
  <si>
    <t>ތާވަލު  18.6 :އެހެނިހެން ޕެންޝަން ލިބޭ މީހުންގެ އަދަދު އަދި ޢުމުރުފުރާތައް، 2017 - 2018</t>
  </si>
  <si>
    <t>TABLE   18.6: NUMBER OF BENEFICIARIES OF OTHER PENSION SCHEMES BY AGE, 2017 - 2018</t>
  </si>
  <si>
    <t>TABLE 18.7: NUMBER OF BENEFICIARIES OF SENIOR CITIZEN ALLOWANCE BY AGE, 2017 - 2018</t>
  </si>
  <si>
    <t>ތާވަލު  18.7: ސީނިއަރ ސިޓިޒަން އެލަވަންސް ލިބޭ މީހުންގެ އަދަދު އަދި ޢުމުރުފުރާތައް، 2017 - 2018</t>
  </si>
  <si>
    <t>Age groups, 2018 ( as of end year)</t>
  </si>
  <si>
    <t>TABLE   18.9:  PERSONS CONTRIBUTING  TO THE RETIREMENT PENSION SCHEME AND CONTRIBUTIONS , 2014 - 2018</t>
  </si>
  <si>
    <t xml:space="preserve">ތާވަލު  18.9 : ރިޓަރޔަމަންޓް ޕެންޝަން ސްކީމްއަށް ފައިސާ ދައްކާ މީހުންގެ އަދަދު އަދި ދެއްކި ފައިސާގެ ޖުމްލަ، 2014 - 2018 </t>
  </si>
  <si>
    <t>TABLE   18.15: EMPLOYEES REGISTERED IN THE RETIREMENT PENSION SCHEME, BY TYPE OF EMPLOYER, 2017 - 2018</t>
  </si>
  <si>
    <t>ތާވަލު  18.15 : ތަނުގެ ބާވަތުން، ރިޓާޔަމަންޓް ޕެންޝަން ސްކީމްގައި ރެޖިސްޓަރކޮށްފައިވާ މުވައްޒަފުންގެ ޢަދަދު ، 2017 - 2018</t>
  </si>
  <si>
    <t>ތާވަލް 18.16: އިޖްތިމާއީ ރައްކާތެރިކަމުގެ ދަށުން އަތޮޅުތަކުން ޚިދުމަތްދެވިފައިވާ މީހުންގެ އަދަދު، 2018</t>
  </si>
  <si>
    <t>Locality</t>
  </si>
  <si>
    <t>ހެލްތް އިންޝުއަރަންސް</t>
  </si>
  <si>
    <t xml:space="preserve">އެކަނިވެރި މައިންނާއި ކުދިންނަށް ދެވޭ އެހީ </t>
  </si>
  <si>
    <t xml:space="preserve">އަޅާލާނެ މީހަކުނެތިފައިވާ ކުދިން ބަލަމުންދާ މީހުންނަށް ދެވޭ އެހީ </t>
  </si>
  <si>
    <t>ވެލްފެއާ އެހީ</t>
  </si>
  <si>
    <t xml:space="preserve">ނުކުޅެދުންތެރިކަން ހުންނަ ފަރާތްތަކަށް ދެވޭ އެހީ </t>
  </si>
  <si>
    <t>ފަޤީރު ހާލަތުގައި ދިރިއުޅޭ ފަރާތްތަކުން ކާބޯތަކެތި ގަތުމަށް ދެވޭ މާލީ އެހީ</t>
  </si>
  <si>
    <t>cnwt</t>
  </si>
  <si>
    <t>HEALTH INSURANCE SCHEMES</t>
  </si>
  <si>
    <t>SINGLE PARENT ALLOWANCE</t>
  </si>
  <si>
    <t>EMERGENCY MEDICAL WELFARE</t>
  </si>
  <si>
    <t>Aasandha</t>
  </si>
  <si>
    <t xml:space="preserve">Parent </t>
  </si>
  <si>
    <t>Children</t>
  </si>
  <si>
    <t xml:space="preserve">Children </t>
  </si>
  <si>
    <t xml:space="preserve">އާސަންދަ </t>
  </si>
  <si>
    <t>މައިން</t>
  </si>
  <si>
    <t xml:space="preserve">ކުދިން </t>
  </si>
  <si>
    <t>ބެލެނިވެރިން</t>
  </si>
  <si>
    <t>Republic</t>
  </si>
  <si>
    <t>މުޅި ރާއްޖެ</t>
  </si>
  <si>
    <t xml:space="preserve">Male' </t>
  </si>
  <si>
    <t>މާލެ</t>
  </si>
  <si>
    <t>Atolls</t>
  </si>
  <si>
    <t>އަތޮޅުތައް</t>
  </si>
  <si>
    <t>North Thiladhunmathi (HA)</t>
  </si>
  <si>
    <t xml:space="preserve">       (ah)  iruburutua Itwmcnudwlit</t>
  </si>
  <si>
    <t>South Thiladhunmathi (HDh)</t>
  </si>
  <si>
    <t>(dh) irubunuked Itwmcnudwlit</t>
  </si>
  <si>
    <t>North Miladhunmadulu (Sh)</t>
  </si>
  <si>
    <t>(S) iruburutua uluDwmcnudwlim</t>
  </si>
  <si>
    <t>South Miladhunmadulu (N)</t>
  </si>
  <si>
    <t>(n) irubunuked uluDwmcnudwlim</t>
  </si>
  <si>
    <t>North Maalhosmadulu (R)</t>
  </si>
  <si>
    <t>(r) iruburutuauluDwmcsoLWm</t>
  </si>
  <si>
    <t>South Maalhosmadulu (B)</t>
  </si>
  <si>
    <t>(b) irubunukeduluDwcsoLWm</t>
  </si>
  <si>
    <t>Faadhippolhu (Lh)</t>
  </si>
  <si>
    <t>(L) uLopcaidWf</t>
  </si>
  <si>
    <t>Male' Atoll (K)</t>
  </si>
  <si>
    <t>(k) uLotwa elWm</t>
  </si>
  <si>
    <t>North Ari Atoll (AA)</t>
  </si>
  <si>
    <t>(aa) iruburutuauLotwairwa</t>
  </si>
  <si>
    <t>South Ari Atoll (ADh)</t>
  </si>
  <si>
    <t>(da) iruburutuauLotwairwa</t>
  </si>
  <si>
    <t>Felidhu Atoll (V)</t>
  </si>
  <si>
    <t>(v) uLotwa udilef</t>
  </si>
  <si>
    <t>Mulakatholhu (M)</t>
  </si>
  <si>
    <t>(m) uLotwkwlum</t>
  </si>
  <si>
    <t>North Nilandhe Atoll (F)</t>
  </si>
  <si>
    <t>(f) iruburutua uLotwaedcnwlin</t>
  </si>
  <si>
    <t>South Nilandhe Atoll (Dh)</t>
  </si>
  <si>
    <t>(d) irubunuked uLotwaedcnwlin</t>
  </si>
  <si>
    <t>Kolhumadulu (Th)</t>
  </si>
  <si>
    <t>(t) uluDwmuLok</t>
  </si>
  <si>
    <t>Hadhdhunmathi (L)</t>
  </si>
  <si>
    <t>(l) itwmcnudcawh</t>
  </si>
  <si>
    <t>North Huvadhu Atoll (GA)</t>
  </si>
  <si>
    <t>(ag) iruburutua uLotwaudwvuh</t>
  </si>
  <si>
    <t>South Huvadhu Atoll (GDh)</t>
  </si>
  <si>
    <t xml:space="preserve"> (dg) irubunuked uLotwaudwvuh</t>
  </si>
  <si>
    <t>Fuvahmulah (Gn)</t>
  </si>
  <si>
    <t>(N)cawlumcawvuf</t>
  </si>
  <si>
    <t>Addu Atoll (S)</t>
  </si>
  <si>
    <t>(s) uLotwauDcawa</t>
  </si>
  <si>
    <t>Note: Universal Health Insuarance Scheme named "Aasandha" was introduced in January 2012 and replaced the existing schemes "Madhana" and "Madhana Plus".</t>
  </si>
  <si>
    <t>Source: National Social Protection Agency</t>
  </si>
  <si>
    <t xml:space="preserve"> </t>
  </si>
  <si>
    <t xml:space="preserve">މަޢުލޫމާތު ދެއްވީ: ނެޝަނަލް ސޯޝަލް ޕްރޮޓެކްޝަން އޭޖެންސީ </t>
  </si>
  <si>
    <t>ތާވަލް 18.17: އިޖްތިމާއީ ރައްކާތެރިކަމުގެ ދަށުން ރަށްރަށުން ޙިދުމަތްދެވިފައިވާ މީހުންގެ އަދަދު، 2018</t>
  </si>
  <si>
    <t>Table 18.17 :  NUMBER OF PERSONS COVERED UNDER DIFFERENT SOCIAL PROTECTION SCHEMES BY ISLAND,  2018</t>
  </si>
  <si>
    <t>DISABILITY ALLOWANCE</t>
  </si>
  <si>
    <t>އާސަންދަ</t>
  </si>
  <si>
    <t>Thuraakunu</t>
  </si>
  <si>
    <t>unukWrut</t>
  </si>
  <si>
    <t>Uligamu</t>
  </si>
  <si>
    <t>umwgilua</t>
  </si>
  <si>
    <t xml:space="preserve">Hathifushi </t>
  </si>
  <si>
    <t>Mulhadhoo</t>
  </si>
  <si>
    <t>UdwLum</t>
  </si>
  <si>
    <t>Hoarafushi</t>
  </si>
  <si>
    <t>iSufwrOh</t>
  </si>
  <si>
    <t>Ihavandhoo</t>
  </si>
  <si>
    <t>eUdcnwvwhia</t>
  </si>
  <si>
    <t>Kelaa</t>
  </si>
  <si>
    <t>Wlek</t>
  </si>
  <si>
    <t>Vashafaru</t>
  </si>
  <si>
    <t>urwfwSwv</t>
  </si>
  <si>
    <t>Dhidhdhoo</t>
  </si>
  <si>
    <t>Udcaid</t>
  </si>
  <si>
    <t>Filladhoo</t>
  </si>
  <si>
    <t>Udwlcaif</t>
  </si>
  <si>
    <t>Maarandhoo</t>
  </si>
  <si>
    <t>UdcnwrWm</t>
  </si>
  <si>
    <t>Thakandhoo</t>
  </si>
  <si>
    <t>Udcnwkwt</t>
  </si>
  <si>
    <t>Utheemu</t>
  </si>
  <si>
    <t>umItua</t>
  </si>
  <si>
    <t>Muraidhoo</t>
  </si>
  <si>
    <t>Udiawrum</t>
  </si>
  <si>
    <t>Baarah</t>
  </si>
  <si>
    <t>cSwrWb</t>
  </si>
  <si>
    <t>Hanimaadhoo</t>
  </si>
  <si>
    <t>UdWminwh</t>
  </si>
  <si>
    <t>Finey</t>
  </si>
  <si>
    <t>Enif</t>
  </si>
  <si>
    <t>Naivaadhoo</t>
  </si>
  <si>
    <t>UdiawvWn</t>
  </si>
  <si>
    <t>Hirimaradhoo</t>
  </si>
  <si>
    <t>Udwrwmirih</t>
  </si>
  <si>
    <t>Nolhivaranfaru</t>
  </si>
  <si>
    <t>urwfcnwrwviLon</t>
  </si>
  <si>
    <t>Nellaidhoo</t>
  </si>
  <si>
    <t>Udiawlcaen</t>
  </si>
  <si>
    <t>Nolhivaramu</t>
  </si>
  <si>
    <t>umwrwviLon</t>
  </si>
  <si>
    <t>Kurnibi</t>
  </si>
  <si>
    <t>ibniruk</t>
  </si>
  <si>
    <t>Kunburudhoo</t>
  </si>
  <si>
    <t>Udurubnuk</t>
  </si>
  <si>
    <t>Kulhudhuffushi</t>
  </si>
  <si>
    <t>iSufcauduLuk</t>
  </si>
  <si>
    <t>Kumundhoo</t>
  </si>
  <si>
    <t>Udcnumuk</t>
  </si>
  <si>
    <t>Neykurendhoo</t>
  </si>
  <si>
    <t>UdcnerukEn</t>
  </si>
  <si>
    <t>Vaikaradhoo</t>
  </si>
  <si>
    <t>Udwrwkiiawv</t>
  </si>
  <si>
    <t>Maavaidhoo</t>
  </si>
  <si>
    <t>UdiawvWm</t>
  </si>
  <si>
    <t>Makunudhoo</t>
  </si>
  <si>
    <t>Faridhoo</t>
  </si>
  <si>
    <t>Udunukwm</t>
  </si>
  <si>
    <t>Kanditheemu</t>
  </si>
  <si>
    <t>umItiDnwk</t>
  </si>
  <si>
    <t>Noomaraa</t>
  </si>
  <si>
    <t>WrwmUn</t>
  </si>
  <si>
    <t>Goidhoo</t>
  </si>
  <si>
    <t>Udiaog</t>
  </si>
  <si>
    <t>Feydhoo</t>
  </si>
  <si>
    <t>UdEf</t>
  </si>
  <si>
    <t>Feevah</t>
  </si>
  <si>
    <t>cawvIf</t>
  </si>
  <si>
    <t>Billeffahi</t>
  </si>
  <si>
    <t>ihwfcaelib</t>
  </si>
  <si>
    <t>Foakaidhoo</t>
  </si>
  <si>
    <t>UdiawkOf</t>
  </si>
  <si>
    <t>Narudhoo</t>
  </si>
  <si>
    <t>Udurwn</t>
  </si>
  <si>
    <t>Maakandoodhoo</t>
  </si>
  <si>
    <t>Maroshi</t>
  </si>
  <si>
    <t>iSorwm</t>
  </si>
  <si>
    <t>Lhaimagu</t>
  </si>
  <si>
    <t>ugwmiawL</t>
  </si>
  <si>
    <t xml:space="preserve">Firunbaidhoo </t>
  </si>
  <si>
    <t>Komandhoo</t>
  </si>
  <si>
    <t>UDcnwmok</t>
  </si>
  <si>
    <t>Maaun'goodhoo</t>
  </si>
  <si>
    <t>UdUgnuaWm</t>
  </si>
  <si>
    <t>Funadhoo</t>
  </si>
  <si>
    <t>Udwnuf</t>
  </si>
  <si>
    <t>Hen'badhoo</t>
  </si>
  <si>
    <t>Udwbneh</t>
  </si>
  <si>
    <t>Ken'dhikulhudhoo</t>
  </si>
  <si>
    <t>UduLukidnek</t>
  </si>
  <si>
    <t>Maalhendhoo</t>
  </si>
  <si>
    <t>UdcneLWm</t>
  </si>
  <si>
    <t>Kudafari</t>
  </si>
  <si>
    <t>irwfwDuk</t>
  </si>
  <si>
    <t>Landhoo</t>
  </si>
  <si>
    <t>Udcnwl</t>
  </si>
  <si>
    <t>Maafaru</t>
  </si>
  <si>
    <t>urwfWm</t>
  </si>
  <si>
    <t>Lhohi</t>
  </si>
  <si>
    <t>ihoL</t>
  </si>
  <si>
    <t>Miladhoo</t>
  </si>
  <si>
    <t>Udwlim</t>
  </si>
  <si>
    <t>Magoodhoo</t>
  </si>
  <si>
    <t>UdUgwm</t>
  </si>
  <si>
    <t>Manadhoo</t>
  </si>
  <si>
    <t>Udwnwm</t>
  </si>
  <si>
    <t>Holhudhoo</t>
  </si>
  <si>
    <t>UduLoh</t>
  </si>
  <si>
    <t>Fodhdhoo</t>
  </si>
  <si>
    <t>Udcaof</t>
  </si>
  <si>
    <t>Velidhoo</t>
  </si>
  <si>
    <t>Udilev</t>
  </si>
  <si>
    <t>Tholhendhoo</t>
  </si>
  <si>
    <t>Alifushi</t>
  </si>
  <si>
    <t>iSufilwa</t>
  </si>
  <si>
    <t>Vaadhoo</t>
  </si>
  <si>
    <t>UdWv</t>
  </si>
  <si>
    <t>Rasgetheemu</t>
  </si>
  <si>
    <t>umItegcswr</t>
  </si>
  <si>
    <t>An'golhitheemu</t>
  </si>
  <si>
    <t>umItiLognwa</t>
  </si>
  <si>
    <t>Un'goofaaru</t>
  </si>
  <si>
    <t>urWfUgnua</t>
  </si>
  <si>
    <t>3_/ urwfWvud</t>
  </si>
  <si>
    <t>Maakurathu</t>
  </si>
  <si>
    <t>utwrukWm</t>
  </si>
  <si>
    <t>Rasmaadhoo</t>
  </si>
  <si>
    <t>UdWmcswr</t>
  </si>
  <si>
    <t>Innamaadhoo</t>
  </si>
  <si>
    <t>UdWmwncnia</t>
  </si>
  <si>
    <t>Maduvvari</t>
  </si>
  <si>
    <t>irwvcauDwm</t>
  </si>
  <si>
    <t>In'guraidhoo</t>
  </si>
  <si>
    <t>Udiawrugnia</t>
  </si>
  <si>
    <t>Fainu</t>
  </si>
  <si>
    <t>uniawf</t>
  </si>
  <si>
    <t>Meedhoo</t>
  </si>
  <si>
    <t>UdIm</t>
  </si>
  <si>
    <t>Kinolhas</t>
  </si>
  <si>
    <t>cswLonik</t>
  </si>
  <si>
    <t>Hulhudhuffaaru</t>
  </si>
  <si>
    <t>urWfcauduLuh</t>
  </si>
  <si>
    <t xml:space="preserve">Ungulhu </t>
  </si>
  <si>
    <t>Kudarikilu</t>
  </si>
  <si>
    <t>ulikirwDuk</t>
  </si>
  <si>
    <t>Kamadhoo</t>
  </si>
  <si>
    <t>Udwmwk</t>
  </si>
  <si>
    <t>Kendhoo</t>
  </si>
  <si>
    <t>Udcnek</t>
  </si>
  <si>
    <t>Kihaadhoo</t>
  </si>
  <si>
    <t>UdWhik</t>
  </si>
  <si>
    <t>Dhonfanu</t>
  </si>
  <si>
    <t>unwfcnod</t>
  </si>
  <si>
    <t>Daravandhoo</t>
  </si>
  <si>
    <t>Udcnwvwrwd</t>
  </si>
  <si>
    <t>Maalhos</t>
  </si>
  <si>
    <t>csoLWm</t>
  </si>
  <si>
    <t>Eydhafushi</t>
  </si>
  <si>
    <t>iSufwdEa</t>
  </si>
  <si>
    <t>Thulhaadhoo</t>
  </si>
  <si>
    <t>UdWLut</t>
  </si>
  <si>
    <t>Hithaadhoo</t>
  </si>
  <si>
    <t>UdWtih</t>
  </si>
  <si>
    <t>Fulhadhoo</t>
  </si>
  <si>
    <t>UdwLuf</t>
  </si>
  <si>
    <t>Fehendhoo</t>
  </si>
  <si>
    <t>Udcnehef</t>
  </si>
  <si>
    <t>Hinnavaru</t>
  </si>
  <si>
    <t>urwvwncnih</t>
  </si>
  <si>
    <t>Naifaru</t>
  </si>
  <si>
    <t>urwfiawn</t>
  </si>
  <si>
    <t>Kurendhoo</t>
  </si>
  <si>
    <t>Udcneruk</t>
  </si>
  <si>
    <t>Olhuvelifushi</t>
  </si>
  <si>
    <t>iSufilevuLoa</t>
  </si>
  <si>
    <t>Maafilaafushi</t>
  </si>
  <si>
    <t>iSufWlifWm</t>
  </si>
  <si>
    <t>Kaashidhoo</t>
  </si>
  <si>
    <t>UdiSWk</t>
  </si>
  <si>
    <t>Gaafaru</t>
  </si>
  <si>
    <t>urwfWg</t>
  </si>
  <si>
    <t>Dhiffushi</t>
  </si>
  <si>
    <t>iSufcaid</t>
  </si>
  <si>
    <t>Thulusdhoo</t>
  </si>
  <si>
    <t>Udcsulut</t>
  </si>
  <si>
    <t>Huraa</t>
  </si>
  <si>
    <t>Wruh</t>
  </si>
  <si>
    <t>Himmafushi</t>
  </si>
  <si>
    <t>iSufwmcnih</t>
  </si>
  <si>
    <t>Gulhi</t>
  </si>
  <si>
    <t>iLug</t>
  </si>
  <si>
    <t>Maafushi</t>
  </si>
  <si>
    <t>iSufWm</t>
  </si>
  <si>
    <t>Guraidhoo</t>
  </si>
  <si>
    <t>Udiawrug</t>
  </si>
  <si>
    <t>Thoddoo</t>
  </si>
  <si>
    <t>UDcaot</t>
  </si>
  <si>
    <t>Rasdhoo</t>
  </si>
  <si>
    <t>Udcswr</t>
  </si>
  <si>
    <t>Ukulhas</t>
  </si>
  <si>
    <t>cswLukua</t>
  </si>
  <si>
    <t>Mathiveri</t>
  </si>
  <si>
    <t>irevitwm</t>
  </si>
  <si>
    <t>Bodufolhudhoo</t>
  </si>
  <si>
    <t>UduLofuDob</t>
  </si>
  <si>
    <t>Feridhoo</t>
  </si>
  <si>
    <t>Udiref</t>
  </si>
  <si>
    <t>Himandhoo</t>
  </si>
  <si>
    <t xml:space="preserve"> Udcnwmih</t>
  </si>
  <si>
    <t>Hangn'aameedhoo</t>
  </si>
  <si>
    <t>UdImWNcnwh</t>
  </si>
  <si>
    <t>Omadhoo</t>
  </si>
  <si>
    <t>Udwmoa</t>
  </si>
  <si>
    <t>Kun'burudhoo</t>
  </si>
  <si>
    <t>Mahibadhoo</t>
  </si>
  <si>
    <t>Udwbihwm</t>
  </si>
  <si>
    <t>Mandhoo</t>
  </si>
  <si>
    <t>Dhn'agethi</t>
  </si>
  <si>
    <t>itegnwd</t>
  </si>
  <si>
    <t>Dhigurah</t>
  </si>
  <si>
    <t>cSwrugid</t>
  </si>
  <si>
    <t>Fenfushi</t>
  </si>
  <si>
    <t>iSufcnef</t>
  </si>
  <si>
    <t>Maamigili</t>
  </si>
  <si>
    <t>iligimWm</t>
  </si>
  <si>
    <t>Fulidhoo</t>
  </si>
  <si>
    <t>Udiluf</t>
  </si>
  <si>
    <t>Thinadhoo</t>
  </si>
  <si>
    <t>Udwnit</t>
  </si>
  <si>
    <t>Felidhoo</t>
  </si>
  <si>
    <t>Udilef</t>
  </si>
  <si>
    <t>Keyodhoo</t>
  </si>
  <si>
    <t>Udoyek</t>
  </si>
  <si>
    <t>Rakeedhoo</t>
  </si>
  <si>
    <t>UdIkwr</t>
  </si>
  <si>
    <t>Raiymandhoo</t>
  </si>
  <si>
    <t>Udcnwmctwr</t>
  </si>
  <si>
    <t>Madifushi</t>
  </si>
  <si>
    <t>Veyvah</t>
  </si>
  <si>
    <t>cawvEv</t>
  </si>
  <si>
    <t>Mulah</t>
  </si>
  <si>
    <t>cawlum</t>
  </si>
  <si>
    <t>Muli</t>
  </si>
  <si>
    <t>ilum</t>
  </si>
  <si>
    <t>Naalaafushi</t>
  </si>
  <si>
    <t>iSufWlWn</t>
  </si>
  <si>
    <t>Kolhufushi</t>
  </si>
  <si>
    <t>iSufuLok</t>
  </si>
  <si>
    <t>Dhiggaru</t>
  </si>
  <si>
    <t>urwgcaid</t>
  </si>
  <si>
    <t>Feeali</t>
  </si>
  <si>
    <t>ilwaIf</t>
  </si>
  <si>
    <t>Biledhhdhoo</t>
  </si>
  <si>
    <t>Udcaelib</t>
  </si>
  <si>
    <t>Dharan'boodhoo</t>
  </si>
  <si>
    <t>UdUbwrwd</t>
  </si>
  <si>
    <t>Nilandhoo</t>
  </si>
  <si>
    <t>Udcnwlin</t>
  </si>
  <si>
    <t>Ban'didhoo</t>
  </si>
  <si>
    <t>UdiDnwb</t>
  </si>
  <si>
    <t>Rin'budhoo</t>
  </si>
  <si>
    <t>Udubnir</t>
  </si>
  <si>
    <t>Hulhudeli</t>
  </si>
  <si>
    <t>ileduLuh</t>
  </si>
  <si>
    <t>Vaani</t>
  </si>
  <si>
    <t>inWv</t>
  </si>
  <si>
    <t>Maaen'boodhoo</t>
  </si>
  <si>
    <t>UdUbneaWm</t>
  </si>
  <si>
    <t>Kudahuvadhoo</t>
  </si>
  <si>
    <t>UdwvuhwDuk</t>
  </si>
  <si>
    <t>Buruni</t>
  </si>
  <si>
    <t>inurub</t>
  </si>
  <si>
    <t>iSufiDwm</t>
  </si>
  <si>
    <t>Dhiyamigili</t>
  </si>
  <si>
    <t>iligimwyid</t>
  </si>
  <si>
    <t>Kan'doodhoo</t>
  </si>
  <si>
    <t>UdUDnwk</t>
  </si>
  <si>
    <t>Vandhoo</t>
  </si>
  <si>
    <t>Udcnwv</t>
  </si>
  <si>
    <t>Hirilandhoo</t>
  </si>
  <si>
    <t>Udcnwlirih</t>
  </si>
  <si>
    <t>Gaadhiffushi</t>
  </si>
  <si>
    <t>iSufcaidWg</t>
  </si>
  <si>
    <t>Thimarafushi</t>
  </si>
  <si>
    <t>iSufwrwmit</t>
  </si>
  <si>
    <t>Veymandoo</t>
  </si>
  <si>
    <t>UDcnwmEv</t>
  </si>
  <si>
    <t>Kinbidhoo</t>
  </si>
  <si>
    <t>Udibnik</t>
  </si>
  <si>
    <t>Ishdhoo</t>
  </si>
  <si>
    <t>Udcsia</t>
  </si>
  <si>
    <t>Dhan'bidhoo</t>
  </si>
  <si>
    <t>Udibnwd</t>
  </si>
  <si>
    <t>Maabaidhoo</t>
  </si>
  <si>
    <t>UdiawbWm</t>
  </si>
  <si>
    <t>Mundoo</t>
  </si>
  <si>
    <t>UDcnum</t>
  </si>
  <si>
    <t>Kalhaidhoo</t>
  </si>
  <si>
    <t>UdiawLwk</t>
  </si>
  <si>
    <t>Gamu</t>
  </si>
  <si>
    <t>umwg</t>
  </si>
  <si>
    <t>Maavah</t>
  </si>
  <si>
    <t>cawvWm</t>
  </si>
  <si>
    <t>Fonadhoo</t>
  </si>
  <si>
    <t>Udwnof</t>
  </si>
  <si>
    <t>Gaadhoo</t>
  </si>
  <si>
    <t>UdWg</t>
  </si>
  <si>
    <t>Maamendhoo</t>
  </si>
  <si>
    <t>UdcnemWm</t>
  </si>
  <si>
    <t>Hithadhoo</t>
  </si>
  <si>
    <t>Udwtih</t>
  </si>
  <si>
    <t>Kunahandhoo</t>
  </si>
  <si>
    <t>Udcnwhwnuk</t>
  </si>
  <si>
    <t>Kolamaafushi</t>
  </si>
  <si>
    <t>iSufWmwlok</t>
  </si>
  <si>
    <t>Viligili</t>
  </si>
  <si>
    <t>iligiliv</t>
  </si>
  <si>
    <t>Dhaandhoo</t>
  </si>
  <si>
    <t>UdcnWd</t>
  </si>
  <si>
    <t>Devvadhoo</t>
  </si>
  <si>
    <t>Udwvcaed</t>
  </si>
  <si>
    <t>Kodey</t>
  </si>
  <si>
    <t>EDnok</t>
  </si>
  <si>
    <t xml:space="preserve">Dhiyadhoo 2_/  </t>
  </si>
  <si>
    <t xml:space="preserve"> 1_/ Udwyid</t>
  </si>
  <si>
    <t>Gemanafushi</t>
  </si>
  <si>
    <t>iSufwnwmeg</t>
  </si>
  <si>
    <t>Kandhuhulhudhoo</t>
  </si>
  <si>
    <t>UduLuhuDnwk</t>
  </si>
  <si>
    <t>Madaveli</t>
  </si>
  <si>
    <t>ilevwDwm</t>
  </si>
  <si>
    <t>Hoadhedhdhoo</t>
  </si>
  <si>
    <t>UdcaeDOh</t>
  </si>
  <si>
    <t>Nadallaa</t>
  </si>
  <si>
    <t>WlcawDwn</t>
  </si>
  <si>
    <t>Gadhdhoo</t>
  </si>
  <si>
    <t>Udcawg</t>
  </si>
  <si>
    <t>Rathafandhoo</t>
  </si>
  <si>
    <t>Udcnwfwtwr</t>
  </si>
  <si>
    <t>Fiyoari</t>
  </si>
  <si>
    <t>IrOyif</t>
  </si>
  <si>
    <t>Faresmaathoda</t>
  </si>
  <si>
    <t>WDotWmcserwf</t>
  </si>
  <si>
    <t>Fuvahmulah</t>
  </si>
  <si>
    <t>cawlumcawvuf</t>
  </si>
  <si>
    <t>Maradhoo</t>
  </si>
  <si>
    <t>Udwrwm</t>
  </si>
  <si>
    <t>Maradhoofeydhoo</t>
  </si>
  <si>
    <t>UdEfUdwrwm</t>
  </si>
  <si>
    <t>Hulhudhoo</t>
  </si>
  <si>
    <t>UduLuh</t>
  </si>
  <si>
    <t>Overseas</t>
  </si>
  <si>
    <t>ތާވަލް 18.18: އިޖްތިމާއީ ރައްކާތެރިކަމުގެ ދަށުންދެވޭ ޚިދުމަތްތަކަށް ދައުލަތުންކުރެވުނު ޚަރަދު (ރުފިޔާއިން)، 2018</t>
  </si>
  <si>
    <t>Table 18.18 :  GOVERNMENT EXPENDITURE ON  DIFFERENT SOCIAL PROTECTION SCHEMES BY TYPE (in MVR),  2018</t>
  </si>
  <si>
    <t>TOTAL</t>
  </si>
  <si>
    <t>AASANDHA</t>
  </si>
  <si>
    <t xml:space="preserve"> SINGLE PARENT ALLOWANCE</t>
  </si>
  <si>
    <t>FOSTER PARENT ALLOWANCE</t>
  </si>
  <si>
    <t xml:space="preserve">EMERGENCY MEDICAL WELFARE </t>
  </si>
  <si>
    <t>FOOD SUBSIDY</t>
  </si>
  <si>
    <t>އެކަނިވެރި މައިނަށް ދެވޭ އެހީ</t>
  </si>
  <si>
    <t>January</t>
  </si>
  <si>
    <t>February</t>
  </si>
  <si>
    <t>March</t>
  </si>
  <si>
    <t>މާރޗް</t>
  </si>
  <si>
    <t>April</t>
  </si>
  <si>
    <t>އޭޕްރިލް</t>
  </si>
  <si>
    <t>June</t>
  </si>
  <si>
    <t>July</t>
  </si>
  <si>
    <t>August</t>
  </si>
  <si>
    <t>September</t>
  </si>
  <si>
    <t>October</t>
  </si>
  <si>
    <t>November</t>
  </si>
  <si>
    <t>December</t>
  </si>
  <si>
    <t>Table 18.16 :  NUMBER OF PERSONS COVERED UNDER DIFFERENT SOCIAL PROTECTION SCHEMES BY LOCALITY,  2018</t>
  </si>
  <si>
    <t xml:space="preserve">FOSTER PARENT ALLOWANCE </t>
  </si>
  <si>
    <t>ބެރިންމަދޫ</t>
  </si>
  <si>
    <t>ހަތިފުށި</t>
  </si>
  <si>
    <t>ފަރިދޫ</t>
  </si>
  <si>
    <t>މާކަނޑޫދޫ</t>
  </si>
  <si>
    <t>ފިރުބައިދޫ</t>
  </si>
  <si>
    <t>(b) irubunukeduluDwމcsoLWm</t>
  </si>
  <si>
    <t xml:space="preserve"> HA</t>
  </si>
  <si>
    <t>HDh</t>
  </si>
  <si>
    <t>Sh</t>
  </si>
  <si>
    <t>N</t>
  </si>
  <si>
    <t>R</t>
  </si>
  <si>
    <t>B</t>
  </si>
  <si>
    <t xml:space="preserve"> Lh</t>
  </si>
  <si>
    <t>K</t>
  </si>
  <si>
    <t>AA</t>
  </si>
  <si>
    <t>ADh</t>
  </si>
  <si>
    <t>V</t>
  </si>
  <si>
    <t>M</t>
  </si>
  <si>
    <t>F</t>
  </si>
  <si>
    <t>Dh</t>
  </si>
  <si>
    <t>Th</t>
  </si>
  <si>
    <t>L</t>
  </si>
  <si>
    <t>GA</t>
  </si>
  <si>
    <t>GDh</t>
  </si>
  <si>
    <t>Gn</t>
  </si>
  <si>
    <t>S</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</si>
  <si>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</si>
  <si>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</si>
  <si>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</si>
  <si>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</si>
  <si>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</si>
  <si>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</si>
  <si>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</si>
  <si>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</si>
  <si>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Abroad</t>
  </si>
  <si>
    <r>
      <t>Contributions (MVR)</t>
    </r>
    <r>
      <rPr>
        <vertAlign val="superscript"/>
        <sz val="11"/>
        <color rgb="FF000000"/>
        <rFont val="Calibri"/>
        <family val="2"/>
      </rPr>
      <t>1_/</t>
    </r>
  </si>
  <si>
    <t>Note: 1_/ -  2017 Data revised</t>
  </si>
  <si>
    <t>Note:  2017 Data revised</t>
  </si>
  <si>
    <t>ތާވަލް 18.19: އިޖްތިމާއީ ރައްކާތެރިކަމުގެ ދަށުން ދެވޭ ޙިދުމަތްތައް ފޯރުކޮށްދޭ ތަންތަނަށް ކުރެވިފައިވާ ޚަރަދު، 2018</t>
  </si>
  <si>
    <t>Table 18.19 :  EXPENDITURE ON AASANDHA SERVICES BY TYPE OF INSTITUTION ,  2018</t>
  </si>
  <si>
    <t>Total Expenditure (MVR)</t>
  </si>
  <si>
    <t>Hospitals</t>
  </si>
  <si>
    <t>Opticals</t>
  </si>
  <si>
    <t>Clinics</t>
  </si>
  <si>
    <t>Airfare Tickets</t>
  </si>
  <si>
    <t>Emergency Evacuation - Sea</t>
  </si>
  <si>
    <t>ޖުމްލަ ޚަރަދު</t>
  </si>
  <si>
    <t>clwTiPcsoh</t>
  </si>
  <si>
    <t>IswmWf</t>
  </si>
  <si>
    <t>ctwmcdiKegulol</t>
  </si>
  <si>
    <t>ckiniluk</t>
  </si>
  <si>
    <t>ޓިކެޓް ޚަރަދު</t>
  </si>
  <si>
    <t>އިމަޖެންސީ އިވަކުއޭޝަން</t>
  </si>
  <si>
    <t>ރާއްޖެ</t>
  </si>
  <si>
    <t>ރާއްޖެއިން ބޭރު</t>
  </si>
  <si>
    <t>Source: Aasandha Pvt Ltd</t>
  </si>
  <si>
    <t>މަޢުލޫމާތު ދެއްވީ: އާސަންދަ ޕްރައިވެޓް ލިމިޓެޑް</t>
  </si>
  <si>
    <t xml:space="preserve">Note: These expenditures are based on the blocked amount </t>
  </si>
  <si>
    <t xml:space="preserve">ޚަރަދު ބަޔާންކުރެވިފައިވަނީ ބްލޮކްކުރެވިފައިވާ ޖުމްލަ ޚަރަދުގެ މަށްޗަށެވެ.  </t>
  </si>
  <si>
    <t>ތާވަލް 18.20: އިޖްތިމާއީ ރައްކާތެރިކަމުގެ ދަށުން އަތޮޅުތަކުން ދެވޭ ޙިދުމަތްތައް ފޯރުކޮށްދޭ ތަންތަނަށް ކުރެވިފައިވާ ޚަރަދު، 2018</t>
  </si>
  <si>
    <t>Table 18.20 :  EXPENDITURE ON AASANDHA SERVICES BY TYPE OF INSTITUTION AND ATOLL ,  2018</t>
  </si>
  <si>
    <t>Emergency Evacuation - Sea2_/</t>
  </si>
  <si>
    <t xml:space="preserve">      ah </t>
  </si>
  <si>
    <t>dh</t>
  </si>
  <si>
    <t>n</t>
  </si>
  <si>
    <t>r</t>
  </si>
  <si>
    <t>b</t>
  </si>
  <si>
    <t>Male Atoll (K)</t>
  </si>
  <si>
    <t>k</t>
  </si>
  <si>
    <t>އa</t>
  </si>
  <si>
    <t>da</t>
  </si>
  <si>
    <t>v</t>
  </si>
  <si>
    <t>m</t>
  </si>
  <si>
    <t>f</t>
  </si>
  <si>
    <t>d</t>
  </si>
  <si>
    <t>t</t>
  </si>
  <si>
    <t>l</t>
  </si>
  <si>
    <t>ag</t>
  </si>
  <si>
    <t xml:space="preserve"> dg</t>
  </si>
  <si>
    <t>s</t>
  </si>
  <si>
    <t>Overseas hospitals</t>
  </si>
  <si>
    <t>ރާއްޖޭން ބޭރު ހޮސްޕިޓަލުތައް</t>
  </si>
  <si>
    <r>
      <rPr>
        <i/>
        <vertAlign val="superscript"/>
        <sz val="9"/>
        <color theme="1"/>
        <rFont val="Calibri"/>
        <family val="2"/>
        <scheme val="minor"/>
      </rPr>
      <t>1.</t>
    </r>
    <r>
      <rPr>
        <i/>
        <sz val="9"/>
        <color theme="1"/>
        <rFont val="Calibri"/>
        <family val="2"/>
        <scheme val="minor"/>
      </rPr>
      <t xml:space="preserve"> Type 'Airfare Tickets' is designated for the ticket expenditure on cases referred abroad</t>
    </r>
  </si>
  <si>
    <r>
      <rPr>
        <i/>
        <vertAlign val="superscript"/>
        <sz val="10"/>
        <color theme="1"/>
        <rFont val="Calibri"/>
        <family val="2"/>
        <scheme val="minor"/>
      </rPr>
      <t>2.</t>
    </r>
    <r>
      <rPr>
        <i/>
        <sz val="10"/>
        <color theme="1"/>
        <rFont val="Calibri"/>
        <family val="2"/>
        <scheme val="minor"/>
      </rPr>
      <t>Expenditure aggregated based on Service Provider's geograpical location as specified above</t>
    </r>
  </si>
  <si>
    <r>
      <t>Airfare Tickets</t>
    </r>
    <r>
      <rPr>
        <b/>
        <vertAlign val="superscript"/>
        <sz val="11"/>
        <color theme="1"/>
        <rFont val="Calibri"/>
        <family val="2"/>
        <scheme val="minor"/>
      </rPr>
      <t/>
    </r>
  </si>
  <si>
    <t>ތާވަލް 18.21: ޚިދުމަތުގެ ބާވަތުން އާސަންދައިގެ ދަށުން ކުރެވިފައިވާ ޚަރަދު 2014 - 2018</t>
  </si>
  <si>
    <t>Table 18.21 :  EXPENDITURE ON PERSONS COVERED UNDER AASANDHA POLICIES BY TYPE OF SERVICE, 2014 -   2018</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</si>
  <si>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</si>
  <si>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</si>
  <si>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</si>
  <si>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</si>
  <si>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</si>
  <si>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</si>
  <si>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</si>
  <si>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</si>
  <si>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</si>
  <si>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</si>
  <si>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</si>
  <si>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</si>
  <si>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</si>
  <si>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Dialysis</t>
  </si>
  <si>
    <t>ޑައިލިސިސް</t>
  </si>
  <si>
    <t>Glasses/lense</t>
  </si>
  <si>
    <t>އައިނު/ލެންސް</t>
  </si>
  <si>
    <t>Accidental Dental Treatment</t>
  </si>
  <si>
    <t>އެކްސިޑެންޓަލް ޑެންޓަލް ޓްރީޓްމެންޓް</t>
  </si>
  <si>
    <t>Overseas Airfare</t>
  </si>
  <si>
    <t>ރާއްޖެއިން ބޭރަށް ދަތުރު ކުރުމުގެ ޚަރަދު (އޯވަސީސް އެއަފެއަރ)</t>
  </si>
  <si>
    <t xml:space="preserve">ނޯޓް: ޚަރަދު ބަޔާންކުރެވިފައިވަނީ ބްލޮކްކުރެވިފައިވާ ޖުމްލަ ޚަރަދުގެ މަށްޗަށެވެ.  </t>
  </si>
  <si>
    <t>Source:  Aasandha Pvt Ltd</t>
  </si>
  <si>
    <t xml:space="preserve">މަޢުލޫމާތު ދެއްވީ:  އާސަންދަ ޕްރައިވެޓް ލިމިޓެޑް </t>
  </si>
  <si>
    <t xml:space="preserve">ތާވަލް 18.22: އާސަންދައިގެ ދަށުން އަތޮޅުތަކުން ހިނގި ޚަރަދު، 2014 - 2018  </t>
  </si>
  <si>
    <t>Table 18.22 :  EXPENDITURE UNDER HEALTH INSURANCE SCHEMES BY ATOLLS,  2014  - 2018</t>
  </si>
  <si>
    <t xml:space="preserve">އާސަންދަ  Aasandha   </t>
  </si>
  <si>
    <t>Male'</t>
  </si>
  <si>
    <t>Overseas expenditure</t>
  </si>
  <si>
    <t xml:space="preserve">ރާއްޖެއިން ބޭރު ހޮސްޕިޓަލް </t>
  </si>
  <si>
    <t>ތާވަލް 18.23: އިޖްތިމާއީ ރައްކާތެރިކަމުގެ ދަށުން ހިނގިޚަރަދު 2014 - 2018</t>
  </si>
  <si>
    <t>Table 18.23 :  EXPENDITURE UNDER HEALTH INSURANCE SCHEMES BY ISLAND,  2014 - 2018</t>
  </si>
  <si>
    <t>މަދަނަ</t>
  </si>
  <si>
    <t>މަދަނަ ޕްލަސް</t>
  </si>
  <si>
    <t xml:space="preserve">އާސަންދަ  AASANDHA </t>
  </si>
  <si>
    <r>
      <t xml:space="preserve">Berinmadhoo </t>
    </r>
    <r>
      <rPr>
        <vertAlign val="superscript"/>
        <sz val="10"/>
        <color theme="1"/>
        <rFont val="Arial"/>
        <family val="2"/>
      </rPr>
      <t>1_/</t>
    </r>
  </si>
  <si>
    <r>
      <t>1_/</t>
    </r>
    <r>
      <rPr>
        <sz val="9"/>
        <color theme="1"/>
        <rFont val="A_Randhoo"/>
      </rPr>
      <t xml:space="preserve"> Udwmcnireb</t>
    </r>
  </si>
  <si>
    <t>Hathifushi</t>
  </si>
  <si>
    <t>iSufitwh</t>
  </si>
  <si>
    <t>Udirwf</t>
  </si>
  <si>
    <t>Maakan'doodhoo</t>
  </si>
  <si>
    <t>1_/ UdUDnwkWm</t>
  </si>
  <si>
    <r>
      <t xml:space="preserve">Firun'baidhoo </t>
    </r>
    <r>
      <rPr>
        <vertAlign val="superscript"/>
        <sz val="10"/>
        <color theme="1"/>
        <rFont val="Arial"/>
        <family val="2"/>
      </rPr>
      <t>1_/</t>
    </r>
  </si>
  <si>
    <t>1_/  Udiawburif</t>
  </si>
  <si>
    <r>
      <t xml:space="preserve">Milandhoo </t>
    </r>
    <r>
      <rPr>
        <vertAlign val="superscript"/>
        <sz val="10"/>
        <color theme="1"/>
        <rFont val="Arial"/>
        <family val="2"/>
      </rPr>
      <t>3_/</t>
    </r>
  </si>
  <si>
    <r>
      <t>3_/</t>
    </r>
    <r>
      <rPr>
        <sz val="9"/>
        <color theme="1"/>
        <rFont val="A_Randhoo"/>
      </rPr>
      <t xml:space="preserve"> Udcnwlim</t>
    </r>
  </si>
  <si>
    <r>
      <t xml:space="preserve">Kandolhudhoo </t>
    </r>
    <r>
      <rPr>
        <vertAlign val="superscript"/>
        <sz val="10"/>
        <color theme="1"/>
        <rFont val="Arial"/>
        <family val="2"/>
      </rPr>
      <t xml:space="preserve"> 2_/</t>
    </r>
  </si>
  <si>
    <r>
      <t>2_/</t>
    </r>
    <r>
      <rPr>
        <sz val="9"/>
        <color theme="1"/>
        <rFont val="A_Randhoo"/>
      </rPr>
      <t xml:space="preserve"> UduLodnwk</t>
    </r>
  </si>
  <si>
    <r>
      <t xml:space="preserve">Dhuvaafaru  </t>
    </r>
    <r>
      <rPr>
        <vertAlign val="superscript"/>
        <sz val="10"/>
        <color theme="1"/>
        <rFont val="Arial"/>
        <family val="2"/>
      </rPr>
      <t>3_/</t>
    </r>
  </si>
  <si>
    <t xml:space="preserve">Ungulu </t>
  </si>
  <si>
    <t>އުނގުލު</t>
  </si>
  <si>
    <t>Udcnwm</t>
  </si>
  <si>
    <r>
      <t xml:space="preserve">Madifushi </t>
    </r>
    <r>
      <rPr>
        <vertAlign val="superscript"/>
        <sz val="10"/>
        <color theme="1"/>
        <rFont val="Arial"/>
        <family val="2"/>
      </rPr>
      <t>2_/</t>
    </r>
  </si>
  <si>
    <t xml:space="preserve"> 2_/ iSufiDwm</t>
  </si>
  <si>
    <r>
      <t>Gemendhoo</t>
    </r>
    <r>
      <rPr>
        <vertAlign val="superscript"/>
        <sz val="10"/>
        <color theme="1"/>
        <rFont val="Arial"/>
        <family val="2"/>
      </rPr>
      <t xml:space="preserve"> 2_/</t>
    </r>
  </si>
  <si>
    <r>
      <t>2_/</t>
    </r>
    <r>
      <rPr>
        <sz val="9"/>
        <color theme="1"/>
        <rFont val="A_Randhoo"/>
      </rPr>
      <t xml:space="preserve"> Udcnemeg</t>
    </r>
  </si>
  <si>
    <r>
      <t xml:space="preserve">Vilufushi </t>
    </r>
    <r>
      <rPr>
        <vertAlign val="superscript"/>
        <sz val="10"/>
        <color theme="1"/>
        <rFont val="Arial"/>
        <family val="2"/>
      </rPr>
      <t>2_/</t>
    </r>
  </si>
  <si>
    <r>
      <t>2_/</t>
    </r>
    <r>
      <rPr>
        <sz val="9"/>
        <color theme="1"/>
        <rFont val="A_Randhoo"/>
      </rPr>
      <t xml:space="preserve"> iSufuliv</t>
    </r>
  </si>
  <si>
    <r>
      <t>Dhiyadhoo</t>
    </r>
    <r>
      <rPr>
        <vertAlign val="superscript"/>
        <sz val="10"/>
        <color theme="1"/>
        <rFont val="Calibri"/>
        <family val="2"/>
        <scheme val="minor"/>
      </rPr>
      <t xml:space="preserve"> 2_/  </t>
    </r>
  </si>
  <si>
    <t>Maathodaa</t>
  </si>
  <si>
    <t>WDotWm</t>
  </si>
  <si>
    <t>Fares</t>
  </si>
  <si>
    <t>cserwf</t>
  </si>
  <si>
    <t>Overseas Hospital</t>
  </si>
  <si>
    <t>1_/ Population relocated to other islands under population consolidation programme</t>
  </si>
  <si>
    <t>iawfevulwdwb cSwSwrcSwrcnehea cnuhIm cnuSwd egcmWrcgorcp egumurukcswfcaea IdWbWa 1_/</t>
  </si>
  <si>
    <t xml:space="preserve">2_/ Population displaced to other islands due to tsunami </t>
  </si>
  <si>
    <t>iawfevulwdwb cSwSwrcSwrcnehea cnuhIm cnegiLugiaWaImWnus 2_/</t>
  </si>
  <si>
    <t>3_/ Newly inhabited under population consolidation programme</t>
  </si>
  <si>
    <t>iawfiverukudWbWa cSwlwa cnuSwd egcmWrcgorcp egumurukcswfcaea IdWbWa 3_/</t>
  </si>
  <si>
    <t>Dhuvaafaru  3_/</t>
  </si>
  <si>
    <r>
      <t>Berinmadhoo</t>
    </r>
    <r>
      <rPr>
        <b/>
        <sz val="15"/>
        <rFont val="Calibri"/>
        <family val="2"/>
        <scheme val="minor"/>
      </rPr>
      <t xml:space="preserve"> </t>
    </r>
  </si>
  <si>
    <r>
      <t xml:space="preserve">Milandhoo </t>
    </r>
    <r>
      <rPr>
        <vertAlign val="superscript"/>
        <sz val="10"/>
        <rFont val="Calibri"/>
        <family val="2"/>
        <scheme val="minor"/>
      </rPr>
      <t>3_/</t>
    </r>
  </si>
  <si>
    <r>
      <t>3_/</t>
    </r>
    <r>
      <rPr>
        <sz val="10"/>
        <rFont val="A_Randhoo"/>
      </rPr>
      <t xml:space="preserve"> Udcnwlim</t>
    </r>
  </si>
  <si>
    <r>
      <t xml:space="preserve">Kandolhudhoo </t>
    </r>
    <r>
      <rPr>
        <vertAlign val="superscript"/>
        <sz val="10"/>
        <rFont val="Calibri"/>
        <family val="2"/>
        <scheme val="minor"/>
      </rPr>
      <t xml:space="preserve"> 2_/</t>
    </r>
  </si>
  <si>
    <r>
      <t>2_/</t>
    </r>
    <r>
      <rPr>
        <sz val="10"/>
        <rFont val="A_Randhoo"/>
      </rPr>
      <t xml:space="preserve"> UduLodnwk</t>
    </r>
  </si>
  <si>
    <r>
      <t>Gemendhoo</t>
    </r>
    <r>
      <rPr>
        <vertAlign val="superscript"/>
        <sz val="10"/>
        <rFont val="Calibri"/>
        <family val="2"/>
        <scheme val="minor"/>
      </rPr>
      <t xml:space="preserve"> 2_/</t>
    </r>
  </si>
  <si>
    <r>
      <t>2_/</t>
    </r>
    <r>
      <rPr>
        <sz val="10"/>
        <rFont val="A_Randhoo"/>
      </rPr>
      <t xml:space="preserve"> Udcnemeg</t>
    </r>
  </si>
  <si>
    <r>
      <t xml:space="preserve">Vilufushi </t>
    </r>
    <r>
      <rPr>
        <vertAlign val="superscript"/>
        <sz val="10"/>
        <rFont val="Calibri"/>
        <family val="2"/>
        <scheme val="minor"/>
      </rPr>
      <t>2_/</t>
    </r>
  </si>
  <si>
    <r>
      <t>2_/</t>
    </r>
    <r>
      <rPr>
        <sz val="10"/>
        <rFont val="A_Randhoo"/>
      </rPr>
      <t xml:space="preserve"> iSufuliv</t>
    </r>
  </si>
  <si>
    <r>
      <rPr>
        <i/>
        <vertAlign val="superscript"/>
        <sz val="9"/>
        <rFont val="Calibri"/>
        <family val="2"/>
        <scheme val="minor"/>
      </rPr>
      <t>1_/</t>
    </r>
    <r>
      <rPr>
        <i/>
        <sz val="9"/>
        <rFont val="Calibri"/>
        <family val="2"/>
        <scheme val="minor"/>
      </rPr>
      <t xml:space="preserve"> Population relocated to other islands under population consolidation programme</t>
    </r>
  </si>
  <si>
    <r>
      <t xml:space="preserve">iawfevulwdwb cSwSwrcSwrcnehea cnuhIm cnuSwd egcmWrcgorcp egumurukcswfcaea IdWbWa </t>
    </r>
    <r>
      <rPr>
        <vertAlign val="superscript"/>
        <sz val="9"/>
        <rFont val="A_Randhoo"/>
      </rPr>
      <t>1_/</t>
    </r>
  </si>
  <si>
    <r>
      <rPr>
        <i/>
        <vertAlign val="superscript"/>
        <sz val="9"/>
        <rFont val="Calibri"/>
        <family val="2"/>
        <scheme val="minor"/>
      </rPr>
      <t>2_/</t>
    </r>
    <r>
      <rPr>
        <i/>
        <sz val="9"/>
        <rFont val="Calibri"/>
        <family val="2"/>
        <scheme val="minor"/>
      </rPr>
      <t xml:space="preserve"> Population displaced to other islands due to tsunami </t>
    </r>
  </si>
  <si>
    <r>
      <t xml:space="preserve">iawfevulwdwb cSwSwrcSwrcnehea cnuhIm cnegiLugiaWaImWnus </t>
    </r>
    <r>
      <rPr>
        <vertAlign val="superscript"/>
        <sz val="9"/>
        <rFont val="A_Randhoo"/>
      </rPr>
      <t>2_/</t>
    </r>
  </si>
  <si>
    <r>
      <rPr>
        <i/>
        <vertAlign val="superscript"/>
        <sz val="9"/>
        <rFont val="Calibri"/>
        <family val="2"/>
        <scheme val="minor"/>
      </rPr>
      <t>3_/</t>
    </r>
    <r>
      <rPr>
        <i/>
        <sz val="9"/>
        <rFont val="Calibri"/>
        <family val="2"/>
        <scheme val="minor"/>
      </rPr>
      <t xml:space="preserve"> Newly inhabited under population consolidation programme</t>
    </r>
  </si>
  <si>
    <r>
      <t xml:space="preserve">iawfiverukudWbWa cSwlwa cnuSwd egcmWrcgorcp egumurukcswfcaea IdWbWa </t>
    </r>
    <r>
      <rPr>
        <vertAlign val="superscript"/>
        <sz val="9"/>
        <rFont val="A_Randhoo"/>
      </rPr>
      <t>3_/</t>
    </r>
  </si>
  <si>
    <r>
      <t xml:space="preserve">Airfare Tickets </t>
    </r>
    <r>
      <rPr>
        <b/>
        <vertAlign val="superscript"/>
        <sz val="9"/>
        <color theme="1"/>
        <rFont val="Calibri"/>
        <family val="2"/>
        <scheme val="minor"/>
      </rPr>
      <t>1_/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</si>
</sst>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_(* #,##0_);_(* \(#,##0\);_(* &quot;-&quot;??_);_(@_)"/>
    <numFmt numFmtId="165" formatCode="0.0"/>
    <numFmt numFmtId="166" formatCode="_(* #,##0.0_);_(* \(#,##0.0\);_(* &quot;-&quot;??_);_(@_)"/>
    <numFmt numFmtId="167" formatCode="#,##0.0"/>
    <numFmt numFmtId="168" formatCode="General_)"/>
    <numFmt numFmtId="169" formatCode="_-* #,##0.00_-;\-* #,##0.00_-;_-* &quot;-&quot;??_-;_-@_-"/>
    <numFmt numFmtId="170" formatCode="_-* #,##0_-;\-* #,##0_-;_-* &quot;-&quot;??_-;_-@_-"/>
    <numFmt numFmtId="171" formatCode="0_);\(0\)"/>
  </numFmts>
  <fonts count="144" x14ac:knownFonts="1">
    <font>
      <sz val="11"/>
      <color rgb="FF000000"/>
      <name val="Calibri"/>
    </font>
    <font>
      <sz val="11"/>
      <color theme="1"/>
      <name val="Calibri"/>
      <family val="2"/>
      <scheme val="minor"/>
    </font>
    <font>
      <sz val="11"/>
      <color theme="1"/>
      <name val="Calibri"/>
      <family val="2"/>
      <scheme val="minor"/>
    </font>
    <font>
      <b/>
      <sz val="11"/>
      <color rgb="FF000000"/>
      <name val="Faruma"/>
    </font>
    <font>
      <sz val="11"/>
      <name val="Calibri"/>
      <family val="2"/>
    </font>
    <font>
      <b/>
      <sz val="12"/>
      <color rgb="FF000000"/>
      <name val="Calibri"/>
      <family val="2"/>
    </font>
    <font>
      <b/>
      <sz val="11"/>
      <color rgb="FF000000"/>
      <name val="Calibri"/>
      <family val="2"/>
    </font>
    <font>
      <b/>
      <sz val="9"/>
      <color rgb="FF262626"/>
      <name val="Faruma"/>
    </font>
    <font>
      <sz val="11"/>
      <name val="Calibri"/>
      <family val="2"/>
    </font>
    <font>
      <sz val="9"/>
      <color rgb="FF000000"/>
      <name val="Calibri"/>
      <family val="2"/>
    </font>
    <font>
      <sz val="8"/>
      <color rgb="FF000000"/>
      <name val="Calibri"/>
      <family val="2"/>
    </font>
    <font>
      <b/>
      <sz val="9"/>
      <color rgb="FF262626"/>
      <name val="Calibri"/>
      <family val="2"/>
    </font>
    <font>
      <b/>
      <sz val="10"/>
      <color rgb="FF000000"/>
      <name val="Faruma"/>
    </font>
    <font>
      <b/>
      <sz val="9"/>
      <color rgb="FF000000"/>
      <name val="Calibri"/>
      <family val="2"/>
    </font>
    <font>
      <sz val="11"/>
      <color rgb="FF000000"/>
      <name val="Faruma"/>
    </font>
    <font>
      <i/>
      <sz val="9"/>
      <color rgb="FF000000"/>
      <name val="Calibri"/>
      <family val="2"/>
    </font>
    <font>
      <sz val="9"/>
      <color rgb="FF000000"/>
      <name val="Faruma"/>
    </font>
    <font>
      <b/>
      <sz val="9"/>
      <color rgb="FFFF0000"/>
      <name val="Calibri"/>
      <family val="2"/>
    </font>
    <font>
      <i/>
      <sz val="11"/>
      <color rgb="FF000000"/>
      <name val="Calibri"/>
      <family val="2"/>
    </font>
    <font>
      <i/>
      <sz val="10"/>
      <color rgb="FF000000"/>
      <name val="Calibri"/>
      <family val="2"/>
    </font>
    <font>
      <sz val="10"/>
      <color rgb="FF000000"/>
      <name val="Faruma"/>
    </font>
    <font>
      <vertAlign val="superscript"/>
      <sz val="10"/>
      <color rgb="FF000000"/>
      <name val="Faruma"/>
    </font>
    <font>
      <b/>
      <i/>
      <sz val="12"/>
      <color rgb="FFFF0000"/>
      <name val="Calibri"/>
      <family val="2"/>
    </font>
    <font>
      <u/>
      <sz val="9"/>
      <color rgb="FF0000FF"/>
      <name val="Calibri"/>
      <family val="2"/>
    </font>
    <font>
      <sz val="8"/>
      <color rgb="FF000000"/>
      <name val="Faruma"/>
    </font>
    <font>
      <b/>
      <sz val="12"/>
      <color rgb="FF000000"/>
      <name val="Faruma"/>
    </font>
    <font>
      <b/>
      <sz val="12"/>
      <color rgb="FF000000"/>
      <name val="Consolas"/>
      <family val="3"/>
    </font>
    <font>
      <sz val="12"/>
      <color rgb="FF000000"/>
      <name val="Calibri"/>
      <family val="2"/>
    </font>
    <font>
      <b/>
      <vertAlign val="superscript"/>
      <sz val="11"/>
      <color rgb="FF000000"/>
      <name val="Calibri"/>
      <family val="2"/>
    </font>
    <font>
      <vertAlign val="superscript"/>
      <sz val="11"/>
      <color rgb="FF000000"/>
      <name val="Calibri"/>
      <family val="2"/>
    </font>
    <font>
      <vertAlign val="superscript"/>
      <sz val="11"/>
      <color rgb="FF000000"/>
      <name val="Faruma"/>
    </font>
    <font>
      <b/>
      <sz val="11"/>
      <color rgb="FF000000"/>
      <name val="Calibri"/>
      <family val="2"/>
    </font>
    <font>
      <b/>
      <sz val="9"/>
      <color rgb="FF000000"/>
      <name val="Calibri"/>
      <family val="2"/>
    </font>
    <font>
      <b/>
      <sz val="9"/>
      <color rgb="FF000000"/>
      <name val="Faruma"/>
    </font>
    <font>
      <b/>
      <sz val="12"/>
      <color rgb="FF000000"/>
      <name val="Calibri"/>
      <family val="2"/>
    </font>
    <font>
      <sz val="9"/>
      <color indexed="81"/>
      <name val="Tahoma"/>
      <family val="2"/>
    </font>
    <font>
      <b/>
      <sz val="9"/>
      <color indexed="81"/>
      <name val="Tahoma"/>
      <family val="2"/>
    </font>
    <font>
      <sz val="11"/>
      <color rgb="FF000000"/>
      <name val="Calibri"/>
      <family val="2"/>
    </font>
    <font>
      <sz val="11"/>
      <color rgb="FF000000"/>
      <name val="Calibri"/>
      <family val="2"/>
    </font>
    <font>
      <b/>
      <sz val="11"/>
      <color theme="1"/>
      <name val="Calibri"/>
      <family val="2"/>
      <scheme val="minor"/>
    </font>
    <font>
      <sz val="11"/>
      <color theme="1"/>
      <name val="Calibri"/>
      <family val="2"/>
    </font>
    <font>
      <sz val="10"/>
      <name val="Arial"/>
      <family val="2"/>
    </font>
    <font>
      <b/>
      <sz val="11"/>
      <color theme="1" tint="0.14999847407452621"/>
      <name val="Faruma"/>
    </font>
    <font>
      <sz val="10"/>
      <color theme="1" tint="0.14999847407452621"/>
      <name val="Arial"/>
      <family val="2"/>
    </font>
    <font>
      <b/>
      <sz val="11"/>
      <color theme="1" tint="0.14999847407452621"/>
      <name val="Calibri"/>
      <family val="2"/>
      <scheme val="minor"/>
    </font>
    <font>
      <b/>
      <sz val="9"/>
      <color theme="1" tint="0.14999847407452621"/>
      <name val="Arial"/>
      <family val="2"/>
    </font>
    <font>
      <b/>
      <sz val="10"/>
      <color theme="1"/>
      <name val="Faruma"/>
    </font>
    <font>
      <b/>
      <sz val="9"/>
      <color theme="1"/>
      <name val="Faruma"/>
    </font>
    <font>
      <b/>
      <sz val="9"/>
      <color theme="1" tint="0.14999847407452621"/>
      <name val="A_Randhoo"/>
    </font>
    <font>
      <sz val="9"/>
      <color theme="1"/>
      <name val="Faruma"/>
    </font>
    <font>
      <sz val="10"/>
      <name val="Courier"/>
      <family val="3"/>
    </font>
    <font>
      <b/>
      <sz val="9"/>
      <name val="Calibri"/>
      <family val="2"/>
      <scheme val="minor"/>
    </font>
    <font>
      <b/>
      <sz val="8"/>
      <name val="Calibri"/>
      <family val="2"/>
      <scheme val="minor"/>
    </font>
    <font>
      <sz val="9"/>
      <name val="Courier"/>
      <family val="3"/>
    </font>
    <font>
      <b/>
      <sz val="10"/>
      <name val="Calibri"/>
      <family val="2"/>
      <scheme val="minor"/>
    </font>
    <font>
      <b/>
      <sz val="10"/>
      <name val="Faruma"/>
    </font>
    <font>
      <b/>
      <sz val="11"/>
      <color theme="1"/>
      <name val="Calibri"/>
      <family val="2"/>
      <charset val="1"/>
      <scheme val="minor"/>
    </font>
    <font>
      <b/>
      <sz val="10"/>
      <color theme="1"/>
      <name val="Calibri"/>
      <family val="2"/>
      <scheme val="minor"/>
    </font>
    <font>
      <b/>
      <sz val="10"/>
      <color theme="1" tint="0.14999847407452621"/>
      <name val="Faruma"/>
    </font>
    <font>
      <sz val="11"/>
      <color theme="1"/>
      <name val="Calibri"/>
      <family val="2"/>
      <charset val="1"/>
      <scheme val="minor"/>
    </font>
    <font>
      <b/>
      <sz val="10"/>
      <color theme="1" tint="0.14999847407452621"/>
      <name val="Calibri"/>
      <family val="2"/>
      <scheme val="minor"/>
    </font>
    <font>
      <sz val="10"/>
      <color theme="1"/>
      <name val="Calibri"/>
      <family val="2"/>
      <scheme val="minor"/>
    </font>
    <font>
      <sz val="10"/>
      <color theme="1" tint="0.14999847407452621"/>
      <name val="Calibri"/>
      <family val="2"/>
      <scheme val="minor"/>
    </font>
    <font>
      <sz val="10"/>
      <name val="Calibri"/>
      <family val="2"/>
      <scheme val="minor"/>
    </font>
    <font>
      <sz val="10"/>
      <color theme="1" tint="0.14999847407452621"/>
      <name val="A_Randhoo"/>
    </font>
    <font>
      <b/>
      <sz val="11"/>
      <name val="Calibri"/>
      <family val="2"/>
      <scheme val="minor"/>
    </font>
    <font>
      <i/>
      <sz val="9"/>
      <color theme="1"/>
      <name val="Calibri"/>
      <family val="2"/>
      <scheme val="minor"/>
    </font>
    <font>
      <i/>
      <sz val="9"/>
      <name val="Calibri"/>
      <family val="2"/>
      <scheme val="minor"/>
    </font>
    <font>
      <sz val="9"/>
      <color theme="1" tint="0.14999847407452621"/>
      <name val="Faruma"/>
    </font>
    <font>
      <sz val="12"/>
      <color theme="1" tint="0.14999847407452621"/>
      <name val="Arial"/>
      <family val="2"/>
    </font>
    <font>
      <sz val="10"/>
      <color theme="1"/>
      <name val="Calibri"/>
      <family val="2"/>
      <charset val="1"/>
      <scheme val="minor"/>
    </font>
    <font>
      <b/>
      <sz val="10"/>
      <color theme="1"/>
      <name val="Calibri"/>
      <family val="2"/>
      <charset val="1"/>
      <scheme val="minor"/>
    </font>
    <font>
      <sz val="8"/>
      <name val="Calibri"/>
      <family val="2"/>
      <scheme val="minor"/>
    </font>
    <font>
      <b/>
      <sz val="10"/>
      <name val="Arial"/>
      <family val="2"/>
    </font>
    <font>
      <i/>
      <sz val="9"/>
      <color theme="1" tint="0.14999847407452621"/>
      <name val="Calibri"/>
      <family val="2"/>
      <scheme val="minor"/>
    </font>
    <font>
      <sz val="9"/>
      <color theme="1"/>
      <name val="Calibri"/>
      <family val="2"/>
      <scheme val="minor"/>
    </font>
    <font>
      <sz val="9"/>
      <color theme="1"/>
      <name val="Calibri"/>
      <family val="2"/>
      <charset val="1"/>
      <scheme val="minor"/>
    </font>
    <font>
      <b/>
      <sz val="11"/>
      <color theme="1"/>
      <name val="Faruma"/>
    </font>
    <font>
      <b/>
      <sz val="11"/>
      <color theme="1"/>
      <name val="Calibri"/>
      <family val="2"/>
    </font>
    <font>
      <sz val="10"/>
      <name val="Calibri"/>
      <family val="2"/>
    </font>
    <font>
      <b/>
      <sz val="10"/>
      <name val="Calibri"/>
      <family val="2"/>
    </font>
    <font>
      <b/>
      <sz val="10"/>
      <color theme="1" tint="0.14999847407452621"/>
      <name val="Calibri"/>
      <family val="2"/>
    </font>
    <font>
      <sz val="10"/>
      <color theme="1"/>
      <name val="Faruma"/>
    </font>
    <font>
      <sz val="10"/>
      <color theme="1"/>
      <name val="Calibri"/>
      <family val="2"/>
    </font>
    <font>
      <sz val="9"/>
      <name val="Calibri"/>
      <family val="2"/>
    </font>
    <font>
      <b/>
      <sz val="9"/>
      <name val="Calibri"/>
      <family val="2"/>
    </font>
    <font>
      <sz val="10"/>
      <color theme="1" tint="0.14999847407452621"/>
      <name val="Faruma"/>
    </font>
    <font>
      <b/>
      <sz val="10"/>
      <name val="A_Randhoo"/>
    </font>
    <font>
      <b/>
      <vertAlign val="superscript"/>
      <sz val="11"/>
      <color theme="1"/>
      <name val="Calibri"/>
      <family val="2"/>
      <scheme val="minor"/>
    </font>
    <font>
      <sz val="10"/>
      <color theme="1" tint="0.14999847407452621"/>
      <name val="A_Funa"/>
    </font>
    <font>
      <sz val="8"/>
      <color theme="1"/>
      <name val="Calibri"/>
      <family val="2"/>
      <scheme val="minor"/>
    </font>
    <font>
      <b/>
      <sz val="8"/>
      <color theme="1"/>
      <name val="Calibri"/>
      <family val="2"/>
      <scheme val="minor"/>
    </font>
    <font>
      <i/>
      <vertAlign val="superscript"/>
      <sz val="9"/>
      <color theme="1"/>
      <name val="Calibri"/>
      <family val="2"/>
      <scheme val="minor"/>
    </font>
    <font>
      <i/>
      <sz val="10"/>
      <color theme="1"/>
      <name val="Calibri"/>
      <family val="2"/>
      <scheme val="minor"/>
    </font>
    <font>
      <i/>
      <vertAlign val="superscript"/>
      <sz val="10"/>
      <color theme="1"/>
      <name val="Calibri"/>
      <family val="2"/>
      <scheme val="minor"/>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b/>
      <sz val="10.5"/>
      <color rgb="FFFF0000"/>
      <name val="Calibri"/>
      <family val="2"/>
      <charset val="1"/>
      <scheme val="minor"/>
    </font>
    <font>
      <sz val="10.5"/>
      <color theme="1"/>
      <name val="Faruma"/>
    </font>
    <font>
      <sz val="9"/>
      <color theme="1"/>
      <name val="Calibri"/>
      <family val="2"/>
    </font>
    <font>
      <sz val="11"/>
      <color theme="1"/>
      <name val="Faruma"/>
    </font>
    <font>
      <b/>
      <sz val="10.5"/>
      <name val="Calibri"/>
      <family val="2"/>
      <scheme val="minor"/>
    </font>
    <font>
      <b/>
      <sz val="10.5"/>
      <color theme="1" tint="0.14999847407452621"/>
      <name val="Faruma"/>
    </font>
    <font>
      <b/>
      <sz val="10.5"/>
      <color theme="1"/>
      <name val="Calibri"/>
      <family val="2"/>
      <charset val="1"/>
      <scheme val="minor"/>
    </font>
    <font>
      <sz val="10.5"/>
      <color theme="1" tint="0.14999847407452621"/>
      <name val="Calibri"/>
      <family val="2"/>
      <scheme val="minor"/>
    </font>
    <font>
      <sz val="10.5"/>
      <color theme="1"/>
      <name val="Calibri"/>
      <family val="2"/>
      <scheme val="minor"/>
    </font>
    <font>
      <sz val="10"/>
      <color theme="1"/>
      <name val="Calibri Light"/>
      <family val="1"/>
      <scheme val="major"/>
    </font>
    <font>
      <sz val="10.5"/>
      <color theme="1" tint="0.14999847407452621"/>
      <name val="A_Randhoo"/>
    </font>
    <font>
      <sz val="10.5"/>
      <color theme="1"/>
      <name val="Calibri"/>
      <family val="2"/>
      <charset val="1"/>
      <scheme val="minor"/>
    </font>
    <font>
      <sz val="10.5"/>
      <color theme="1" tint="0.14999847407452621"/>
      <name val="Faruma"/>
    </font>
    <font>
      <sz val="10"/>
      <color theme="1"/>
      <name val="Arial"/>
      <family val="2"/>
    </font>
    <font>
      <b/>
      <sz val="9"/>
      <color theme="1"/>
      <name val="Arial"/>
      <family val="2"/>
    </font>
    <font>
      <b/>
      <sz val="9"/>
      <color theme="1"/>
      <name val="A_Randhoo"/>
    </font>
    <font>
      <sz val="9"/>
      <color theme="1"/>
      <name val="Courier"/>
      <family val="3"/>
    </font>
    <font>
      <sz val="9"/>
      <color theme="1"/>
      <name val="A_Randhoo"/>
    </font>
    <font>
      <vertAlign val="superscript"/>
      <sz val="10"/>
      <color theme="1"/>
      <name val="Arial"/>
      <family val="2"/>
    </font>
    <font>
      <vertAlign val="superscript"/>
      <sz val="9"/>
      <color theme="1"/>
      <name val="Arial"/>
      <family val="2"/>
    </font>
    <font>
      <sz val="9"/>
      <color theme="1"/>
      <name val="A_Reethi"/>
    </font>
    <font>
      <vertAlign val="superscript"/>
      <sz val="10"/>
      <color theme="1"/>
      <name val="Calibri"/>
      <family val="2"/>
      <scheme val="minor"/>
    </font>
    <font>
      <i/>
      <sz val="8"/>
      <color theme="1"/>
      <name val="Arial"/>
      <family val="2"/>
    </font>
    <font>
      <sz val="10"/>
      <name val="Calibri"/>
      <family val="2"/>
      <charset val="1"/>
      <scheme val="minor"/>
    </font>
    <font>
      <b/>
      <sz val="10"/>
      <name val="Calibri"/>
      <family val="2"/>
      <charset val="1"/>
      <scheme val="minor"/>
    </font>
    <font>
      <b/>
      <sz val="11"/>
      <name val="Faruma"/>
    </font>
    <font>
      <b/>
      <sz val="9"/>
      <name val="Faruma"/>
    </font>
    <font>
      <b/>
      <sz val="9"/>
      <name val="A_Randhoo"/>
    </font>
    <font>
      <sz val="9"/>
      <name val="Faruma"/>
    </font>
    <font>
      <sz val="10"/>
      <name val="A_Randhoo"/>
    </font>
    <font>
      <b/>
      <sz val="15"/>
      <name val="Calibri"/>
      <family val="2"/>
      <scheme val="minor"/>
    </font>
    <font>
      <sz val="10"/>
      <name val="Faruma"/>
    </font>
    <font>
      <sz val="11"/>
      <name val="Calibri"/>
      <family val="2"/>
      <scheme val="minor"/>
    </font>
    <font>
      <vertAlign val="superscript"/>
      <sz val="10"/>
      <name val="Calibri"/>
      <family val="2"/>
      <scheme val="minor"/>
    </font>
    <font>
      <vertAlign val="superscript"/>
      <sz val="10"/>
      <name val="Arial"/>
      <family val="2"/>
    </font>
    <font>
      <i/>
      <sz val="10"/>
      <name val="Calibri"/>
      <family val="2"/>
      <scheme val="minor"/>
    </font>
    <font>
      <b/>
      <i/>
      <sz val="10"/>
      <name val="Calibri"/>
      <family val="2"/>
      <scheme val="minor"/>
    </font>
    <font>
      <i/>
      <vertAlign val="superscript"/>
      <sz val="9"/>
      <name val="Calibri"/>
      <family val="2"/>
      <scheme val="minor"/>
    </font>
    <font>
      <sz val="9"/>
      <name val="Calibri"/>
      <family val="2"/>
      <scheme val="minor"/>
    </font>
    <font>
      <sz val="9"/>
      <name val="A_Randhoo"/>
    </font>
    <font>
      <vertAlign val="superscript"/>
      <sz val="9"/>
      <name val="A_Randhoo"/>
    </font>
    <font>
      <sz val="9"/>
      <name val="Calibri"/>
      <family val="2"/>
      <charset val="1"/>
      <scheme val="minor"/>
    </font>
    <font>
      <b/>
      <sz val="11"/>
      <name val="Calibri"/>
      <family val="2"/>
      <charset val="1"/>
      <scheme val="minor"/>
    </font>
    <font>
      <b/>
      <vertAlign val="superscript"/>
      <sz val="9"/>
      <color theme="1"/>
      <name val="Calibri"/>
      <family val="2"/>
      <scheme val="minor"/>
    </font>
  </fonts>
  <fills count="7">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9" tint="0.79998168889431442"/>
        <bgColor indexed="64"/>
      </patternFill>
    </fill>
  </fills>
  <borders count="102">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right/>
      <top/>
      <bottom/>
      <diagonal/>
    </border>
    <border>
      <left style="thin">
        <color rgb="FF000000"/>
      </left>
      <right/>
      <top/>
      <bottom style="hair">
        <color rgb="FF000000"/>
      </bottom>
      <diagonal/>
    </border>
    <border>
      <left/>
      <right/>
      <top/>
      <bottom style="hair">
        <color rgb="FF000000"/>
      </bottom>
      <diagonal/>
    </border>
    <border>
      <left/>
      <right/>
      <top/>
      <bottom style="hair">
        <color rgb="FF000000"/>
      </bottom>
      <diagonal/>
    </border>
    <border>
      <left/>
      <right/>
      <top style="thin">
        <color rgb="FF000000"/>
      </top>
      <bottom/>
      <diagonal/>
    </border>
    <border>
      <left/>
      <right/>
      <top style="thin">
        <color rgb="FF000000"/>
      </top>
      <bottom style="hair">
        <color rgb="FF000000"/>
      </bottom>
      <diagonal/>
    </border>
    <border>
      <left/>
      <right/>
      <top style="thin">
        <color rgb="FF000000"/>
      </top>
      <bottom/>
      <diagonal/>
    </border>
    <border>
      <left/>
      <right/>
      <top style="thin">
        <color rgb="FF000000"/>
      </top>
      <bottom style="hair">
        <color rgb="FF000000"/>
      </bottom>
      <diagonal/>
    </border>
    <border>
      <left/>
      <right style="hair">
        <color rgb="FF000000"/>
      </right>
      <top style="thin">
        <color rgb="FF000000"/>
      </top>
      <bottom/>
      <diagonal/>
    </border>
    <border>
      <left/>
      <right/>
      <top style="thin">
        <color rgb="FF000000"/>
      </top>
      <bottom style="hair">
        <color rgb="FF000000"/>
      </bottom>
      <diagonal/>
    </border>
    <border>
      <left style="hair">
        <color rgb="FF000000"/>
      </left>
      <right/>
      <top style="thin">
        <color rgb="FF000000"/>
      </top>
      <bottom/>
      <diagonal/>
    </border>
    <border>
      <left/>
      <right/>
      <top/>
      <bottom style="hair">
        <color rgb="FF000000"/>
      </bottom>
      <diagonal/>
    </border>
    <border>
      <left/>
      <right style="thin">
        <color rgb="FF000000"/>
      </right>
      <top/>
      <bottom style="hair">
        <color rgb="FF000000"/>
      </bottom>
      <diagonal/>
    </border>
    <border>
      <left/>
      <right/>
      <top style="thin">
        <color rgb="FF000000"/>
      </top>
      <bottom/>
      <diagonal/>
    </border>
    <border>
      <left/>
      <right style="hair">
        <color rgb="FF000000"/>
      </right>
      <top style="thin">
        <color rgb="FF000000"/>
      </top>
      <bottom/>
      <diagonal/>
    </border>
    <border>
      <left style="hair">
        <color rgb="FF000000"/>
      </left>
      <right/>
      <top/>
      <bottom/>
      <diagonal/>
    </border>
    <border>
      <left/>
      <right style="hair">
        <color rgb="FF000000"/>
      </right>
      <top/>
      <bottom/>
      <diagonal/>
    </border>
    <border>
      <left style="hair">
        <color rgb="FF000000"/>
      </left>
      <right/>
      <top/>
      <bottom/>
      <diagonal/>
    </border>
    <border>
      <left/>
      <right/>
      <top/>
      <bottom style="hair">
        <color rgb="FF000000"/>
      </bottom>
      <diagonal/>
    </border>
    <border>
      <left style="thin">
        <color rgb="FF000000"/>
      </left>
      <right/>
      <top/>
      <bottom/>
      <diagonal/>
    </border>
    <border>
      <left/>
      <right style="hair">
        <color rgb="FF000000"/>
      </right>
      <top/>
      <bottom style="hair">
        <color rgb="FF000000"/>
      </bottom>
      <diagonal/>
    </border>
    <border>
      <left/>
      <right/>
      <top style="hair">
        <color rgb="FF000000"/>
      </top>
      <bottom/>
      <diagonal/>
    </border>
    <border>
      <left/>
      <right style="thin">
        <color rgb="FF000000"/>
      </right>
      <top style="hair">
        <color rgb="FF000000"/>
      </top>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thin">
        <color rgb="FF000000"/>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bottom/>
      <diagonal/>
    </border>
    <border>
      <left/>
      <right style="hair">
        <color rgb="FF000000"/>
      </right>
      <top/>
      <bottom/>
      <diagonal/>
    </border>
    <border>
      <left/>
      <right style="thin">
        <color rgb="FF000000"/>
      </right>
      <top/>
      <bottom/>
      <diagonal/>
    </border>
    <border>
      <left style="hair">
        <color rgb="FF000000"/>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thin">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hair">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hair">
        <color rgb="FF000000"/>
      </bottom>
      <diagonal/>
    </border>
    <border>
      <left style="thin">
        <color rgb="FF000000"/>
      </left>
      <right/>
      <top style="thin">
        <color rgb="FF000000"/>
      </top>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
      <left/>
      <right style="hair">
        <color rgb="FF000000"/>
      </right>
      <top style="thin">
        <color rgb="FF000000"/>
      </top>
      <bottom style="thin">
        <color indexed="64"/>
      </bottom>
      <diagonal/>
    </border>
    <border>
      <left/>
      <right/>
      <top style="thin">
        <color rgb="FF000000"/>
      </top>
      <bottom style="thin">
        <color indexed="64"/>
      </bottom>
      <diagonal/>
    </border>
    <border>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right/>
      <top/>
      <bottom style="dotted">
        <color indexed="64"/>
      </bottom>
      <diagonal/>
    </border>
    <border>
      <left style="hair">
        <color indexed="64"/>
      </left>
      <right/>
      <top/>
      <bottom style="dotted">
        <color indexed="64"/>
      </bottom>
      <diagonal/>
    </border>
    <border>
      <left/>
      <right style="hair">
        <color indexed="64"/>
      </right>
      <top/>
      <bottom style="dotted">
        <color indexed="64"/>
      </bottom>
      <diagonal/>
    </border>
    <border>
      <left style="hair">
        <color indexed="64"/>
      </left>
      <right style="hair">
        <color indexed="64"/>
      </right>
      <top/>
      <bottom style="dotted">
        <color indexed="64"/>
      </bottom>
      <diagonal/>
    </border>
    <border>
      <left style="hair">
        <color auto="1"/>
      </left>
      <right/>
      <top/>
      <bottom style="thin">
        <color indexed="64"/>
      </bottom>
      <diagonal/>
    </border>
    <border>
      <left/>
      <right style="hair">
        <color auto="1"/>
      </right>
      <top/>
      <bottom style="thin">
        <color indexed="64"/>
      </bottom>
      <diagonal/>
    </border>
    <border>
      <left style="hair">
        <color indexed="64"/>
      </left>
      <right style="hair">
        <color indexed="64"/>
      </right>
      <top/>
      <bottom/>
      <diagonal/>
    </border>
    <border>
      <left style="hair">
        <color indexed="64"/>
      </left>
      <right/>
      <top/>
      <bottom/>
      <diagonal/>
    </border>
    <border>
      <left/>
      <right style="hair">
        <color auto="1"/>
      </right>
      <top/>
      <bottom/>
      <diagonal/>
    </border>
    <border>
      <left style="hair">
        <color indexed="64"/>
      </left>
      <right style="hair">
        <color indexed="64"/>
      </right>
      <top/>
      <bottom style="thin">
        <color indexed="64"/>
      </bottom>
      <diagonal/>
    </border>
    <border>
      <left style="hair">
        <color indexed="64"/>
      </left>
      <right/>
      <top style="dotted">
        <color indexed="64"/>
      </top>
      <bottom style="thin">
        <color indexed="64"/>
      </bottom>
      <diagonal/>
    </border>
    <border>
      <left/>
      <right style="hair">
        <color indexed="64"/>
      </right>
      <top style="dotted">
        <color indexed="64"/>
      </top>
      <bottom style="thin">
        <color indexed="64"/>
      </bottom>
      <diagonal/>
    </border>
    <border>
      <left style="hair">
        <color indexed="64"/>
      </left>
      <right style="hair">
        <color indexed="64"/>
      </right>
      <top style="dotted">
        <color indexed="64"/>
      </top>
      <bottom/>
      <diagonal/>
    </border>
    <border>
      <left/>
      <right/>
      <top style="dotted">
        <color indexed="64"/>
      </top>
      <bottom style="thin">
        <color indexed="64"/>
      </bottom>
      <diagonal/>
    </border>
    <border>
      <left/>
      <right/>
      <top style="thin">
        <color indexed="64"/>
      </top>
      <bottom style="thin">
        <color indexed="64"/>
      </bottom>
      <diagonal/>
    </border>
    <border>
      <left/>
      <right/>
      <top style="thin">
        <color indexed="64"/>
      </top>
      <bottom style="dotted">
        <color indexed="64"/>
      </bottom>
      <diagonal/>
    </border>
    <border>
      <left/>
      <right/>
      <top style="thin">
        <color indexed="64"/>
      </top>
      <bottom style="hair">
        <color indexed="64"/>
      </bottom>
      <diagonal/>
    </border>
  </borders>
  <cellStyleXfs count="9">
    <xf numFmtId="0" fontId="0" fillId="0" borderId="0"/>
    <xf numFmtId="43" fontId="38" fillId="0" borderId="0" applyFont="0" applyFill="0" applyBorder="0" applyAlignment="0" applyProtection="0"/>
    <xf numFmtId="0" fontId="41" fillId="0" borderId="66"/>
    <xf numFmtId="164" fontId="50" fillId="0" borderId="66"/>
    <xf numFmtId="0" fontId="2" fillId="0" borderId="66"/>
    <xf numFmtId="0" fontId="50" fillId="0" borderId="66"/>
    <xf numFmtId="0" fontId="2" fillId="0" borderId="66"/>
    <xf numFmtId="43" fontId="37" fillId="0" borderId="66" applyFont="0" applyFill="0" applyBorder="0" applyAlignment="0" applyProtection="0"/>
    <xf numFmtId="43" fontId="37" fillId="0" borderId="66" applyFont="0" applyFill="0" applyBorder="0" applyAlignment="0" applyProtection="0"/>
  </cellStyleXfs>
  <cellXfs count="986">
    <xf numFmtId="0" fontId="0" fillId="0" borderId="0" xfId="0" applyFont="1" applyAlignment="1"/>
    <xf numFmtId="0" fontId="0" fillId="2" borderId="2" xfId="0" applyFont="1" applyFill="1" applyBorder="1"/>
    <xf numFmtId="164" fontId="0" fillId="2" borderId="2" xfId="0" applyNumberFormat="1" applyFont="1" applyFill="1" applyBorder="1" applyAlignment="1">
      <alignment horizontal="center" vertical="center"/>
    </xf>
    <xf numFmtId="0" fontId="6" fillId="2" borderId="10" xfId="0" applyFont="1" applyFill="1" applyBorder="1" applyAlignment="1">
      <alignment horizontal="center" vertical="center"/>
    </xf>
    <xf numFmtId="164" fontId="0" fillId="2" borderId="42" xfId="0" applyNumberFormat="1" applyFont="1" applyFill="1" applyBorder="1" applyAlignment="1">
      <alignment horizontal="center" vertical="center"/>
    </xf>
    <xf numFmtId="0" fontId="15" fillId="2" borderId="2" xfId="0" applyFont="1" applyFill="1" applyBorder="1"/>
    <xf numFmtId="0" fontId="16" fillId="2" borderId="2" xfId="0" applyFont="1" applyFill="1" applyBorder="1" applyAlignment="1"/>
    <xf numFmtId="164" fontId="0" fillId="2" borderId="2" xfId="0" applyNumberFormat="1" applyFont="1" applyFill="1" applyBorder="1"/>
    <xf numFmtId="0" fontId="3" fillId="2" borderId="2" xfId="0" applyFont="1" applyFill="1" applyBorder="1"/>
    <xf numFmtId="1" fontId="0" fillId="2" borderId="2" xfId="0" applyNumberFormat="1" applyFont="1" applyFill="1" applyBorder="1"/>
    <xf numFmtId="165" fontId="0" fillId="2" borderId="2" xfId="0" applyNumberFormat="1" applyFont="1" applyFill="1" applyBorder="1"/>
    <xf numFmtId="0" fontId="0" fillId="2" borderId="2" xfId="0" applyFont="1" applyFill="1" applyBorder="1" applyAlignment="1">
      <alignment horizontal="center" vertical="center"/>
    </xf>
    <xf numFmtId="0" fontId="6" fillId="2" borderId="6" xfId="0" applyFont="1" applyFill="1" applyBorder="1" applyAlignment="1">
      <alignment vertical="center"/>
    </xf>
    <xf numFmtId="0" fontId="0" fillId="2" borderId="42" xfId="0" applyFont="1" applyFill="1" applyBorder="1" applyAlignment="1">
      <alignment horizontal="center" vertical="center"/>
    </xf>
    <xf numFmtId="0" fontId="6" fillId="2" borderId="71" xfId="0" applyFont="1" applyFill="1" applyBorder="1" applyAlignment="1">
      <alignment vertical="center"/>
    </xf>
    <xf numFmtId="0" fontId="6" fillId="2" borderId="6" xfId="0" applyFont="1" applyFill="1" applyBorder="1" applyAlignment="1">
      <alignment horizontal="center"/>
    </xf>
    <xf numFmtId="0" fontId="6" fillId="2" borderId="6" xfId="0" applyFont="1" applyFill="1" applyBorder="1"/>
    <xf numFmtId="0" fontId="6" fillId="2" borderId="55" xfId="0" applyFont="1" applyFill="1" applyBorder="1" applyAlignment="1">
      <alignment horizontal="right" vertical="center"/>
    </xf>
    <xf numFmtId="0" fontId="6" fillId="2" borderId="74" xfId="0" applyFont="1" applyFill="1" applyBorder="1" applyAlignment="1">
      <alignment horizontal="right" vertical="center"/>
    </xf>
    <xf numFmtId="0" fontId="3" fillId="2" borderId="42" xfId="0" applyFont="1" applyFill="1" applyBorder="1" applyAlignment="1">
      <alignment horizontal="right" vertical="center"/>
    </xf>
    <xf numFmtId="0" fontId="3" fillId="2" borderId="44" xfId="0" applyFont="1" applyFill="1" applyBorder="1" applyAlignment="1">
      <alignment horizontal="right"/>
    </xf>
    <xf numFmtId="0" fontId="3" fillId="2" borderId="42" xfId="0" applyFont="1" applyFill="1" applyBorder="1" applyAlignment="1">
      <alignment horizontal="right"/>
    </xf>
    <xf numFmtId="164" fontId="0" fillId="2" borderId="51" xfId="0" applyNumberFormat="1" applyFont="1" applyFill="1" applyBorder="1" applyAlignment="1">
      <alignment horizontal="center" vertical="center"/>
    </xf>
    <xf numFmtId="164" fontId="0" fillId="2" borderId="75" xfId="0" applyNumberFormat="1" applyFont="1" applyFill="1" applyBorder="1" applyAlignment="1">
      <alignment horizontal="center" vertical="center"/>
    </xf>
    <xf numFmtId="164" fontId="0" fillId="2" borderId="10" xfId="0" applyNumberFormat="1" applyFont="1" applyFill="1" applyBorder="1" applyAlignment="1">
      <alignment horizontal="center" vertical="center"/>
    </xf>
    <xf numFmtId="164" fontId="0" fillId="2" borderId="33" xfId="0" applyNumberFormat="1" applyFont="1" applyFill="1" applyBorder="1" applyAlignment="1">
      <alignment horizontal="center" vertical="center"/>
    </xf>
    <xf numFmtId="0" fontId="6" fillId="2" borderId="74" xfId="0" applyFont="1" applyFill="1" applyBorder="1" applyAlignment="1">
      <alignment horizontal="right"/>
    </xf>
    <xf numFmtId="0" fontId="6" fillId="2" borderId="55" xfId="0" applyFont="1" applyFill="1" applyBorder="1" applyAlignment="1">
      <alignment horizontal="right"/>
    </xf>
    <xf numFmtId="166" fontId="0" fillId="2" borderId="2" xfId="0" applyNumberFormat="1" applyFont="1" applyFill="1" applyBorder="1"/>
    <xf numFmtId="0" fontId="3" fillId="3" borderId="2" xfId="0" applyFont="1" applyFill="1" applyBorder="1" applyAlignment="1">
      <alignment horizontal="center"/>
    </xf>
    <xf numFmtId="0" fontId="0" fillId="3" borderId="2" xfId="0" applyFont="1" applyFill="1" applyBorder="1"/>
    <xf numFmtId="0" fontId="0" fillId="4" borderId="0" xfId="0" applyFont="1" applyFill="1" applyAlignment="1"/>
    <xf numFmtId="0" fontId="6" fillId="3" borderId="2" xfId="0" applyFont="1" applyFill="1" applyBorder="1" applyAlignment="1">
      <alignment horizontal="center"/>
    </xf>
    <xf numFmtId="0" fontId="3" fillId="3" borderId="10" xfId="0" applyFont="1" applyFill="1" applyBorder="1" applyAlignment="1">
      <alignment horizontal="center" vertical="center"/>
    </xf>
    <xf numFmtId="0" fontId="8" fillId="3" borderId="6" xfId="0" applyFont="1" applyFill="1" applyBorder="1"/>
    <xf numFmtId="0" fontId="3" fillId="3" borderId="27" xfId="0" applyFont="1" applyFill="1" applyBorder="1" applyAlignment="1">
      <alignment horizontal="center" vertical="center"/>
    </xf>
    <xf numFmtId="0" fontId="3" fillId="3" borderId="10" xfId="0" applyFont="1" applyFill="1" applyBorder="1" applyAlignment="1">
      <alignment horizontal="right" vertical="center"/>
    </xf>
    <xf numFmtId="0" fontId="6" fillId="3" borderId="2" xfId="0" applyFont="1" applyFill="1" applyBorder="1"/>
    <xf numFmtId="0" fontId="6" fillId="3" borderId="2" xfId="0" applyFont="1" applyFill="1" applyBorder="1" applyAlignment="1">
      <alignment horizontal="center" vertical="center"/>
    </xf>
    <xf numFmtId="0" fontId="8" fillId="3" borderId="55" xfId="0" applyFont="1" applyFill="1" applyBorder="1"/>
    <xf numFmtId="0" fontId="6" fillId="3" borderId="66" xfId="0" applyFont="1" applyFill="1" applyBorder="1" applyAlignment="1">
      <alignment horizontal="center" vertical="center"/>
    </xf>
    <xf numFmtId="0" fontId="3" fillId="3" borderId="2" xfId="0" applyFont="1" applyFill="1" applyBorder="1" applyAlignment="1">
      <alignment horizontal="right" vertical="center"/>
    </xf>
    <xf numFmtId="0" fontId="0" fillId="3" borderId="2" xfId="0" applyFont="1" applyFill="1" applyBorder="1" applyAlignment="1">
      <alignment vertical="center"/>
    </xf>
    <xf numFmtId="0" fontId="12" fillId="3" borderId="35"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right" vertical="center"/>
    </xf>
    <xf numFmtId="0" fontId="12" fillId="3" borderId="2" xfId="0" applyFont="1" applyFill="1" applyBorder="1" applyAlignment="1">
      <alignment horizontal="right" vertical="center"/>
    </xf>
    <xf numFmtId="0" fontId="12" fillId="3" borderId="59" xfId="0" applyFont="1" applyFill="1" applyBorder="1" applyAlignment="1">
      <alignment horizontal="right" vertical="center"/>
    </xf>
    <xf numFmtId="0" fontId="12" fillId="3" borderId="76" xfId="0" applyFont="1" applyFill="1" applyBorder="1" applyAlignment="1">
      <alignment horizontal="right" vertical="center"/>
    </xf>
    <xf numFmtId="0" fontId="12" fillId="3" borderId="66" xfId="0" applyFont="1" applyFill="1" applyBorder="1" applyAlignment="1">
      <alignment horizontal="right" vertical="center"/>
    </xf>
    <xf numFmtId="0" fontId="12" fillId="3" borderId="60" xfId="0" applyFont="1" applyFill="1" applyBorder="1" applyAlignment="1">
      <alignment horizontal="right" vertical="center"/>
    </xf>
    <xf numFmtId="0" fontId="6" fillId="3" borderId="32" xfId="0" applyFont="1" applyFill="1" applyBorder="1" applyAlignment="1">
      <alignment vertical="center"/>
    </xf>
    <xf numFmtId="0" fontId="6" fillId="3" borderId="67" xfId="0" applyFont="1" applyFill="1" applyBorder="1" applyAlignment="1">
      <alignment vertical="center"/>
    </xf>
    <xf numFmtId="0" fontId="6" fillId="3" borderId="67" xfId="0" applyFont="1" applyFill="1" applyBorder="1" applyAlignment="1">
      <alignment horizontal="center" vertical="center"/>
    </xf>
    <xf numFmtId="0" fontId="6" fillId="3" borderId="42" xfId="0" applyFont="1" applyFill="1" applyBorder="1" applyAlignment="1">
      <alignment horizontal="center"/>
    </xf>
    <xf numFmtId="0" fontId="6" fillId="3" borderId="42" xfId="0" applyFont="1" applyFill="1" applyBorder="1" applyAlignment="1">
      <alignment horizontal="right" vertical="center"/>
    </xf>
    <xf numFmtId="0" fontId="6" fillId="3" borderId="47" xfId="0" applyFont="1" applyFill="1" applyBorder="1" applyAlignment="1">
      <alignment horizontal="right" vertical="center"/>
    </xf>
    <xf numFmtId="0" fontId="6" fillId="3" borderId="70" xfId="0" applyFont="1" applyFill="1" applyBorder="1" applyAlignment="1">
      <alignment horizontal="right" vertical="center"/>
    </xf>
    <xf numFmtId="0" fontId="6" fillId="3" borderId="43" xfId="0" applyFont="1" applyFill="1" applyBorder="1" applyAlignment="1">
      <alignment horizontal="right" vertical="center"/>
    </xf>
    <xf numFmtId="0" fontId="6" fillId="3" borderId="46" xfId="0" applyFont="1" applyFill="1" applyBorder="1" applyAlignment="1">
      <alignment horizontal="right" vertical="center"/>
    </xf>
    <xf numFmtId="0" fontId="6" fillId="3" borderId="45" xfId="0" applyFont="1" applyFill="1" applyBorder="1" applyAlignment="1">
      <alignment horizontal="right" vertical="center"/>
    </xf>
    <xf numFmtId="0" fontId="6" fillId="3" borderId="70" xfId="0" applyFont="1" applyFill="1" applyBorder="1" applyAlignment="1">
      <alignment horizontal="center" vertical="center"/>
    </xf>
    <xf numFmtId="0" fontId="6" fillId="3" borderId="42" xfId="0" applyFont="1" applyFill="1" applyBorder="1" applyAlignment="1">
      <alignment horizontal="center" vertical="center"/>
    </xf>
    <xf numFmtId="0" fontId="3" fillId="3" borderId="42" xfId="0" applyFont="1" applyFill="1" applyBorder="1" applyAlignment="1">
      <alignment horizontal="right" vertical="center"/>
    </xf>
    <xf numFmtId="164" fontId="6" fillId="3" borderId="2" xfId="0" applyNumberFormat="1" applyFont="1" applyFill="1" applyBorder="1" applyAlignment="1">
      <alignment horizontal="center" vertical="center"/>
    </xf>
    <xf numFmtId="164" fontId="6" fillId="3" borderId="50" xfId="0" applyNumberFormat="1" applyFont="1" applyFill="1" applyBorder="1" applyAlignment="1">
      <alignment horizontal="center" vertical="center"/>
    </xf>
    <xf numFmtId="164" fontId="6" fillId="3" borderId="66" xfId="0" applyNumberFormat="1" applyFont="1" applyFill="1" applyBorder="1" applyAlignment="1">
      <alignment horizontal="center" vertical="center"/>
    </xf>
    <xf numFmtId="164" fontId="6" fillId="3" borderId="57" xfId="0" applyNumberFormat="1" applyFont="1" applyFill="1" applyBorder="1" applyAlignment="1">
      <alignment horizontal="center" vertical="center"/>
    </xf>
    <xf numFmtId="164" fontId="6" fillId="3" borderId="49" xfId="0" applyNumberFormat="1" applyFont="1" applyFill="1" applyBorder="1" applyAlignment="1">
      <alignment horizontal="center" vertical="center"/>
    </xf>
    <xf numFmtId="164" fontId="6" fillId="5" borderId="66" xfId="0" applyNumberFormat="1" applyFont="1" applyFill="1" applyBorder="1" applyAlignment="1">
      <alignment horizontal="center" vertical="center"/>
    </xf>
    <xf numFmtId="164" fontId="6" fillId="3" borderId="52" xfId="0" applyNumberFormat="1" applyFont="1" applyFill="1" applyBorder="1" applyAlignment="1">
      <alignment horizontal="center" vertical="center"/>
    </xf>
    <xf numFmtId="164" fontId="6" fillId="5" borderId="57" xfId="0" applyNumberFormat="1" applyFont="1" applyFill="1" applyBorder="1" applyAlignment="1">
      <alignment horizontal="center" vertical="center"/>
    </xf>
    <xf numFmtId="1" fontId="0" fillId="5" borderId="27" xfId="0" applyNumberFormat="1" applyFont="1" applyFill="1" applyBorder="1" applyAlignment="1">
      <alignment horizontal="center" vertical="center"/>
    </xf>
    <xf numFmtId="1" fontId="6" fillId="3" borderId="2" xfId="0" applyNumberFormat="1" applyFont="1" applyFill="1" applyBorder="1" applyAlignment="1">
      <alignment horizontal="center" vertical="center"/>
    </xf>
    <xf numFmtId="0" fontId="3" fillId="3" borderId="2" xfId="0" applyFont="1" applyFill="1" applyBorder="1" applyAlignment="1"/>
    <xf numFmtId="0" fontId="3" fillId="3" borderId="2" xfId="0" applyFont="1" applyFill="1" applyBorder="1"/>
    <xf numFmtId="164" fontId="0" fillId="3" borderId="2" xfId="0" applyNumberFormat="1" applyFont="1" applyFill="1" applyBorder="1" applyAlignment="1">
      <alignment horizontal="center" vertical="center"/>
    </xf>
    <xf numFmtId="164" fontId="0" fillId="3" borderId="50" xfId="0" applyNumberFormat="1" applyFont="1" applyFill="1" applyBorder="1" applyAlignment="1">
      <alignment horizontal="center" vertical="center"/>
    </xf>
    <xf numFmtId="164" fontId="0" fillId="3" borderId="66" xfId="0" applyNumberFormat="1" applyFont="1" applyFill="1" applyBorder="1" applyAlignment="1">
      <alignment horizontal="center" vertical="center"/>
    </xf>
    <xf numFmtId="164" fontId="0" fillId="3" borderId="57" xfId="0" applyNumberFormat="1" applyFont="1" applyFill="1" applyBorder="1" applyAlignment="1">
      <alignment horizontal="center" vertical="center"/>
    </xf>
    <xf numFmtId="164" fontId="0" fillId="3" borderId="49" xfId="0" applyNumberFormat="1" applyFont="1" applyFill="1" applyBorder="1" applyAlignment="1">
      <alignment horizontal="center" vertical="center"/>
    </xf>
    <xf numFmtId="164" fontId="0" fillId="5" borderId="2" xfId="0" applyNumberFormat="1" applyFont="1" applyFill="1" applyBorder="1" applyAlignment="1">
      <alignment horizontal="center" vertical="center"/>
    </xf>
    <xf numFmtId="164" fontId="0" fillId="5" borderId="50" xfId="0" applyNumberFormat="1" applyFont="1" applyFill="1" applyBorder="1" applyAlignment="1">
      <alignment horizontal="center" vertical="center"/>
    </xf>
    <xf numFmtId="164" fontId="0" fillId="3" borderId="58" xfId="0" applyNumberFormat="1" applyFont="1" applyFill="1" applyBorder="1" applyAlignment="1">
      <alignment horizontal="center" vertical="center"/>
    </xf>
    <xf numFmtId="1" fontId="0" fillId="5" borderId="66" xfId="0" applyNumberFormat="1" applyFont="1" applyFill="1" applyBorder="1" applyAlignment="1">
      <alignment horizontal="center" vertical="center"/>
    </xf>
    <xf numFmtId="1" fontId="0" fillId="3" borderId="2" xfId="0" applyNumberFormat="1" applyFont="1" applyFill="1" applyBorder="1" applyAlignment="1">
      <alignment horizontal="center" vertical="center"/>
    </xf>
    <xf numFmtId="0" fontId="14" fillId="3" borderId="2" xfId="0" applyFont="1" applyFill="1" applyBorder="1" applyAlignment="1"/>
    <xf numFmtId="0" fontId="14" fillId="3" borderId="2" xfId="0" applyFont="1" applyFill="1" applyBorder="1"/>
    <xf numFmtId="0" fontId="0" fillId="3" borderId="42" xfId="0" applyFont="1" applyFill="1" applyBorder="1"/>
    <xf numFmtId="164" fontId="0" fillId="3" borderId="42" xfId="0" applyNumberFormat="1" applyFont="1" applyFill="1" applyBorder="1" applyAlignment="1">
      <alignment horizontal="center" vertical="center"/>
    </xf>
    <xf numFmtId="164" fontId="0" fillId="3" borderId="47" xfId="0" applyNumberFormat="1" applyFont="1" applyFill="1" applyBorder="1" applyAlignment="1">
      <alignment horizontal="center" vertical="center"/>
    </xf>
    <xf numFmtId="164" fontId="0" fillId="3" borderId="70" xfId="0" applyNumberFormat="1" applyFont="1" applyFill="1" applyBorder="1" applyAlignment="1">
      <alignment horizontal="center" vertical="center"/>
    </xf>
    <xf numFmtId="164" fontId="0" fillId="3" borderId="43" xfId="0" applyNumberFormat="1" applyFont="1" applyFill="1" applyBorder="1" applyAlignment="1">
      <alignment horizontal="center" vertical="center"/>
    </xf>
    <xf numFmtId="164" fontId="0" fillId="5" borderId="42" xfId="0" applyNumberFormat="1" applyFont="1" applyFill="1" applyBorder="1" applyAlignment="1">
      <alignment horizontal="center" vertical="center"/>
    </xf>
    <xf numFmtId="164" fontId="0" fillId="5" borderId="47" xfId="0" applyNumberFormat="1" applyFont="1" applyFill="1" applyBorder="1" applyAlignment="1">
      <alignment horizontal="center" vertical="center"/>
    </xf>
    <xf numFmtId="164" fontId="6" fillId="5" borderId="78" xfId="0" applyNumberFormat="1" applyFont="1" applyFill="1" applyBorder="1" applyAlignment="1">
      <alignment horizontal="center" vertical="center"/>
    </xf>
    <xf numFmtId="164" fontId="6" fillId="5" borderId="47" xfId="0" applyNumberFormat="1" applyFont="1" applyFill="1" applyBorder="1" applyAlignment="1">
      <alignment horizontal="center" vertical="center"/>
    </xf>
    <xf numFmtId="1" fontId="0" fillId="5" borderId="70" xfId="0" applyNumberFormat="1" applyFont="1" applyFill="1" applyBorder="1" applyAlignment="1">
      <alignment horizontal="center" vertical="center"/>
    </xf>
    <xf numFmtId="1" fontId="0" fillId="3" borderId="42" xfId="0" applyNumberFormat="1" applyFont="1" applyFill="1" applyBorder="1" applyAlignment="1">
      <alignment horizontal="center" vertical="center"/>
    </xf>
    <xf numFmtId="0" fontId="14" fillId="3" borderId="42" xfId="0" applyFont="1" applyFill="1" applyBorder="1" applyAlignment="1"/>
    <xf numFmtId="0" fontId="14" fillId="3" borderId="42" xfId="0" applyFont="1" applyFill="1" applyBorder="1"/>
    <xf numFmtId="0" fontId="19" fillId="3" borderId="2" xfId="0" applyFont="1" applyFill="1" applyBorder="1" applyAlignment="1">
      <alignment vertical="center"/>
    </xf>
    <xf numFmtId="164" fontId="19" fillId="3" borderId="2" xfId="0" applyNumberFormat="1" applyFont="1" applyFill="1" applyBorder="1" applyAlignment="1">
      <alignment horizontal="right" vertical="center"/>
    </xf>
    <xf numFmtId="164" fontId="19" fillId="3" borderId="2" xfId="0" applyNumberFormat="1" applyFont="1" applyFill="1" applyBorder="1" applyAlignment="1">
      <alignment vertical="center"/>
    </xf>
    <xf numFmtId="0" fontId="22" fillId="3" borderId="2" xfId="0" applyFont="1" applyFill="1" applyBorder="1" applyAlignment="1">
      <alignment vertical="center"/>
    </xf>
    <xf numFmtId="0" fontId="20" fillId="3" borderId="2" xfId="0" applyFont="1" applyFill="1" applyBorder="1" applyAlignment="1">
      <alignment vertical="center"/>
    </xf>
    <xf numFmtId="0" fontId="21" fillId="3" borderId="2" xfId="0" applyFont="1" applyFill="1" applyBorder="1" applyAlignment="1">
      <alignment horizontal="left" vertical="center"/>
    </xf>
    <xf numFmtId="0" fontId="31" fillId="3" borderId="10" xfId="0" applyFont="1" applyFill="1" applyBorder="1" applyAlignment="1">
      <alignment wrapText="1"/>
    </xf>
    <xf numFmtId="0" fontId="6" fillId="3" borderId="10" xfId="0" applyFont="1" applyFill="1" applyBorder="1" applyAlignment="1">
      <alignment wrapText="1"/>
    </xf>
    <xf numFmtId="0" fontId="23" fillId="3" borderId="2" xfId="0" applyFont="1" applyFill="1" applyBorder="1" applyAlignment="1">
      <alignment vertical="top"/>
    </xf>
    <xf numFmtId="43" fontId="0" fillId="3" borderId="2" xfId="0" applyNumberFormat="1" applyFont="1" applyFill="1" applyBorder="1"/>
    <xf numFmtId="164" fontId="0" fillId="3" borderId="2" xfId="0" applyNumberFormat="1" applyFont="1" applyFill="1" applyBorder="1"/>
    <xf numFmtId="164" fontId="0" fillId="4" borderId="0" xfId="0" applyNumberFormat="1" applyFont="1" applyFill="1" applyAlignment="1"/>
    <xf numFmtId="0" fontId="3" fillId="3" borderId="2" xfId="0" applyFont="1" applyFill="1" applyBorder="1" applyAlignment="1">
      <alignment horizontal="center" vertical="center"/>
    </xf>
    <xf numFmtId="0" fontId="0" fillId="3" borderId="66" xfId="0" applyFont="1" applyFill="1" applyBorder="1"/>
    <xf numFmtId="0" fontId="9" fillId="3" borderId="2" xfId="0" applyFont="1" applyFill="1" applyBorder="1" applyAlignment="1">
      <alignment horizontal="center"/>
    </xf>
    <xf numFmtId="0" fontId="10" fillId="3" borderId="2" xfId="0" applyFont="1" applyFill="1" applyBorder="1" applyAlignment="1">
      <alignment horizontal="center"/>
    </xf>
    <xf numFmtId="0" fontId="10" fillId="3" borderId="66" xfId="0" applyFont="1" applyFill="1" applyBorder="1" applyAlignment="1">
      <alignment horizontal="center"/>
    </xf>
    <xf numFmtId="0" fontId="10"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66" xfId="0" applyFont="1" applyFill="1" applyBorder="1" applyAlignment="1">
      <alignment horizontal="center" vertical="center"/>
    </xf>
    <xf numFmtId="0" fontId="10" fillId="3" borderId="2" xfId="0" applyFont="1" applyFill="1" applyBorder="1" applyAlignment="1">
      <alignment vertical="center"/>
    </xf>
    <xf numFmtId="0" fontId="8" fillId="3" borderId="10" xfId="0" applyFont="1" applyFill="1" applyBorder="1"/>
    <xf numFmtId="0" fontId="8" fillId="3" borderId="32" xfId="0" applyFont="1" applyFill="1" applyBorder="1"/>
    <xf numFmtId="0" fontId="0" fillId="3" borderId="32" xfId="0" applyFont="1" applyFill="1" applyBorder="1"/>
    <xf numFmtId="0" fontId="6" fillId="3" borderId="2" xfId="0" applyFont="1" applyFill="1" applyBorder="1" applyAlignment="1">
      <alignment horizontal="left" vertical="center"/>
    </xf>
    <xf numFmtId="3" fontId="6" fillId="3" borderId="2" xfId="0" applyNumberFormat="1" applyFont="1" applyFill="1" applyBorder="1" applyAlignment="1">
      <alignment horizontal="right" vertical="center"/>
    </xf>
    <xf numFmtId="3" fontId="6" fillId="3" borderId="2" xfId="0" applyNumberFormat="1" applyFont="1" applyFill="1" applyBorder="1" applyAlignment="1">
      <alignment vertical="center"/>
    </xf>
    <xf numFmtId="3" fontId="6" fillId="3" borderId="49" xfId="0" applyNumberFormat="1" applyFont="1" applyFill="1" applyBorder="1" applyAlignment="1">
      <alignment horizontal="right" vertical="center"/>
    </xf>
    <xf numFmtId="3" fontId="6" fillId="3" borderId="49" xfId="0" applyNumberFormat="1" applyFont="1" applyFill="1" applyBorder="1" applyAlignment="1">
      <alignment vertical="center"/>
    </xf>
    <xf numFmtId="3" fontId="6" fillId="3" borderId="50" xfId="0" applyNumberFormat="1" applyFont="1" applyFill="1" applyBorder="1" applyAlignment="1">
      <alignment vertical="center"/>
    </xf>
    <xf numFmtId="0" fontId="3" fillId="3" borderId="2" xfId="0" applyFont="1" applyFill="1" applyBorder="1" applyAlignment="1">
      <alignment vertical="center"/>
    </xf>
    <xf numFmtId="0" fontId="0" fillId="3" borderId="2" xfId="0" applyFont="1" applyFill="1" applyBorder="1" applyAlignment="1">
      <alignment horizontal="left" vertical="center"/>
    </xf>
    <xf numFmtId="3" fontId="0" fillId="3" borderId="2" xfId="0" applyNumberFormat="1" applyFont="1" applyFill="1" applyBorder="1" applyAlignment="1">
      <alignment vertical="center"/>
    </xf>
    <xf numFmtId="3" fontId="0" fillId="5" borderId="2" xfId="0" applyNumberFormat="1" applyFont="1" applyFill="1" applyBorder="1" applyAlignment="1">
      <alignment vertical="center"/>
    </xf>
    <xf numFmtId="3" fontId="0" fillId="3" borderId="49" xfId="0" applyNumberFormat="1" applyFont="1" applyFill="1" applyBorder="1" applyAlignment="1">
      <alignment vertical="center"/>
    </xf>
    <xf numFmtId="3" fontId="0" fillId="5" borderId="50" xfId="0" applyNumberFormat="1" applyFont="1" applyFill="1" applyBorder="1" applyAlignment="1">
      <alignment vertical="center"/>
    </xf>
    <xf numFmtId="43" fontId="0" fillId="3" borderId="49" xfId="0" applyNumberFormat="1" applyFont="1" applyFill="1" applyBorder="1" applyAlignment="1">
      <alignment horizontal="right" vertical="center"/>
    </xf>
    <xf numFmtId="3" fontId="0" fillId="3" borderId="2" xfId="0" applyNumberFormat="1" applyFont="1" applyFill="1" applyBorder="1" applyAlignment="1">
      <alignment horizontal="right" vertical="center"/>
    </xf>
    <xf numFmtId="3" fontId="0" fillId="5" borderId="2" xfId="0" applyNumberFormat="1" applyFont="1" applyFill="1" applyBorder="1" applyAlignment="1">
      <alignment horizontal="right" vertical="center"/>
    </xf>
    <xf numFmtId="0" fontId="14" fillId="3" borderId="2" xfId="0" applyFont="1" applyFill="1" applyBorder="1" applyAlignment="1">
      <alignment horizontal="right" vertical="center"/>
    </xf>
    <xf numFmtId="3" fontId="14" fillId="3" borderId="2" xfId="0" applyNumberFormat="1" applyFont="1" applyFill="1" applyBorder="1" applyAlignment="1">
      <alignment horizontal="right" vertical="center"/>
    </xf>
    <xf numFmtId="3" fontId="0" fillId="3" borderId="2" xfId="0" applyNumberFormat="1" applyFont="1" applyFill="1" applyBorder="1"/>
    <xf numFmtId="3" fontId="9" fillId="3" borderId="2" xfId="0" applyNumberFormat="1" applyFont="1" applyFill="1" applyBorder="1" applyAlignment="1">
      <alignment horizontal="center"/>
    </xf>
    <xf numFmtId="3" fontId="0" fillId="3" borderId="49" xfId="0" applyNumberFormat="1" applyFont="1" applyFill="1" applyBorder="1" applyAlignment="1">
      <alignment horizontal="right" vertical="center"/>
    </xf>
    <xf numFmtId="0" fontId="14" fillId="3" borderId="2" xfId="0" applyFont="1" applyFill="1" applyBorder="1" applyAlignment="1">
      <alignment horizontal="right"/>
    </xf>
    <xf numFmtId="0" fontId="0" fillId="3" borderId="42" xfId="0" applyFont="1" applyFill="1" applyBorder="1" applyAlignment="1">
      <alignment horizontal="left" vertical="center"/>
    </xf>
    <xf numFmtId="3" fontId="0" fillId="3" borderId="42" xfId="0" applyNumberFormat="1" applyFont="1" applyFill="1" applyBorder="1" applyAlignment="1">
      <alignment vertical="center"/>
    </xf>
    <xf numFmtId="3" fontId="0" fillId="5" borderId="42" xfId="0" applyNumberFormat="1" applyFont="1" applyFill="1" applyBorder="1" applyAlignment="1">
      <alignment vertical="center"/>
    </xf>
    <xf numFmtId="3" fontId="0" fillId="3" borderId="43" xfId="0" applyNumberFormat="1" applyFont="1" applyFill="1" applyBorder="1" applyAlignment="1">
      <alignment vertical="center"/>
    </xf>
    <xf numFmtId="3" fontId="0" fillId="5" borderId="47" xfId="0" applyNumberFormat="1" applyFont="1" applyFill="1" applyBorder="1" applyAlignment="1">
      <alignment vertical="center"/>
    </xf>
    <xf numFmtId="3" fontId="0" fillId="3" borderId="43" xfId="0" applyNumberFormat="1" applyFont="1" applyFill="1" applyBorder="1" applyAlignment="1">
      <alignment horizontal="right" vertical="center"/>
    </xf>
    <xf numFmtId="3" fontId="0" fillId="3" borderId="42" xfId="0" applyNumberFormat="1" applyFont="1" applyFill="1" applyBorder="1" applyAlignment="1">
      <alignment horizontal="right" vertical="center"/>
    </xf>
    <xf numFmtId="3" fontId="0" fillId="5" borderId="42" xfId="0" applyNumberFormat="1" applyFont="1" applyFill="1" applyBorder="1" applyAlignment="1">
      <alignment horizontal="right" vertical="center"/>
    </xf>
    <xf numFmtId="0" fontId="14" fillId="3" borderId="42" xfId="0" applyFont="1" applyFill="1" applyBorder="1" applyAlignment="1">
      <alignment horizontal="right" vertical="center"/>
    </xf>
    <xf numFmtId="0" fontId="15" fillId="3" borderId="2" xfId="0" applyFont="1" applyFill="1" applyBorder="1" applyAlignment="1">
      <alignment vertical="center"/>
    </xf>
    <xf numFmtId="0" fontId="9" fillId="3" borderId="2" xfId="0" applyFont="1" applyFill="1" applyBorder="1"/>
    <xf numFmtId="0" fontId="16" fillId="3" borderId="2" xfId="0" applyFont="1" applyFill="1" applyBorder="1" applyAlignment="1">
      <alignment vertical="center"/>
    </xf>
    <xf numFmtId="0" fontId="9" fillId="3" borderId="66" xfId="0" applyFont="1" applyFill="1" applyBorder="1" applyAlignment="1">
      <alignment horizontal="center"/>
    </xf>
    <xf numFmtId="0" fontId="15" fillId="3" borderId="2" xfId="0" applyFont="1" applyFill="1" applyBorder="1"/>
    <xf numFmtId="3" fontId="9" fillId="3" borderId="2" xfId="0" applyNumberFormat="1" applyFont="1" applyFill="1" applyBorder="1"/>
    <xf numFmtId="0" fontId="16" fillId="3" borderId="2" xfId="0" applyFont="1" applyFill="1" applyBorder="1" applyAlignment="1"/>
    <xf numFmtId="0" fontId="16" fillId="3" borderId="2" xfId="0" applyFont="1" applyFill="1" applyBorder="1"/>
    <xf numFmtId="0" fontId="9" fillId="3" borderId="66" xfId="0" applyFont="1" applyFill="1" applyBorder="1"/>
    <xf numFmtId="0" fontId="13" fillId="3" borderId="2" xfId="0" applyFont="1" applyFill="1" applyBorder="1" applyAlignment="1">
      <alignment horizontal="right" vertical="center"/>
    </xf>
    <xf numFmtId="0" fontId="0" fillId="3" borderId="2" xfId="0" applyFont="1" applyFill="1" applyBorder="1" applyAlignment="1">
      <alignment horizontal="right" vertical="center"/>
    </xf>
    <xf numFmtId="0" fontId="10" fillId="3" borderId="2" xfId="0" applyFont="1" applyFill="1" applyBorder="1" applyAlignment="1">
      <alignment horizontal="right" vertical="center"/>
    </xf>
    <xf numFmtId="3" fontId="0" fillId="4" borderId="0" xfId="0" applyNumberFormat="1" applyFont="1" applyFill="1" applyAlignment="1"/>
    <xf numFmtId="0" fontId="10" fillId="3" borderId="66" xfId="0" applyFont="1" applyFill="1" applyBorder="1"/>
    <xf numFmtId="3" fontId="7" fillId="3" borderId="2" xfId="0" applyNumberFormat="1" applyFont="1" applyFill="1" applyBorder="1" applyAlignment="1">
      <alignment horizontal="right"/>
    </xf>
    <xf numFmtId="0" fontId="12" fillId="3" borderId="33" xfId="0" applyFont="1" applyFill="1" applyBorder="1" applyAlignment="1">
      <alignment horizontal="right" vertical="center"/>
    </xf>
    <xf numFmtId="0" fontId="12" fillId="3" borderId="36" xfId="0" applyFont="1" applyFill="1" applyBorder="1" applyAlignment="1">
      <alignment horizontal="right" vertical="center"/>
    </xf>
    <xf numFmtId="0" fontId="6" fillId="3" borderId="39" xfId="0" applyFont="1" applyFill="1" applyBorder="1" applyAlignment="1">
      <alignment horizontal="center" vertical="center"/>
    </xf>
    <xf numFmtId="0" fontId="6" fillId="3" borderId="41" xfId="0" applyFont="1" applyFill="1" applyBorder="1" applyAlignment="1">
      <alignment horizontal="right"/>
    </xf>
    <xf numFmtId="0" fontId="6" fillId="3" borderId="42" xfId="0" applyFont="1" applyFill="1" applyBorder="1" applyAlignment="1">
      <alignment horizontal="right"/>
    </xf>
    <xf numFmtId="0" fontId="6" fillId="3" borderId="70" xfId="0" applyFont="1" applyFill="1" applyBorder="1" applyAlignment="1">
      <alignment horizontal="right"/>
    </xf>
    <xf numFmtId="0" fontId="6" fillId="3" borderId="44" xfId="0" applyFont="1" applyFill="1" applyBorder="1" applyAlignment="1">
      <alignment horizontal="right"/>
    </xf>
    <xf numFmtId="1" fontId="6" fillId="3" borderId="46" xfId="0" applyNumberFormat="1" applyFont="1" applyFill="1" applyBorder="1" applyAlignment="1">
      <alignment horizontal="center" vertical="center"/>
    </xf>
    <xf numFmtId="1" fontId="6" fillId="3" borderId="76" xfId="0" applyNumberFormat="1" applyFont="1" applyFill="1" applyBorder="1" applyAlignment="1">
      <alignment vertical="center"/>
    </xf>
    <xf numFmtId="1" fontId="6" fillId="3" borderId="48" xfId="0" applyNumberFormat="1" applyFont="1" applyFill="1" applyBorder="1" applyAlignment="1">
      <alignment horizontal="center" vertical="center"/>
    </xf>
    <xf numFmtId="1" fontId="6" fillId="3" borderId="45" xfId="0" applyNumberFormat="1" applyFont="1" applyFill="1" applyBorder="1" applyAlignment="1">
      <alignment horizontal="center" vertical="center"/>
    </xf>
    <xf numFmtId="0" fontId="6" fillId="3" borderId="46" xfId="0" applyFont="1" applyFill="1" applyBorder="1" applyAlignment="1">
      <alignment horizontal="center"/>
    </xf>
    <xf numFmtId="164" fontId="6" fillId="3" borderId="33" xfId="0" applyNumberFormat="1" applyFont="1" applyFill="1" applyBorder="1" applyAlignment="1">
      <alignment horizontal="right" vertical="center"/>
    </xf>
    <xf numFmtId="164" fontId="6" fillId="3" borderId="2" xfId="0" applyNumberFormat="1" applyFont="1" applyFill="1" applyBorder="1" applyAlignment="1">
      <alignment horizontal="right" vertical="center"/>
    </xf>
    <xf numFmtId="164" fontId="6" fillId="3" borderId="10" xfId="0" applyNumberFormat="1" applyFont="1" applyFill="1" applyBorder="1" applyAlignment="1">
      <alignment horizontal="right" vertical="center"/>
    </xf>
    <xf numFmtId="3" fontId="6" fillId="3" borderId="2" xfId="0" applyNumberFormat="1" applyFont="1" applyFill="1" applyBorder="1" applyAlignment="1">
      <alignment horizontal="right"/>
    </xf>
    <xf numFmtId="3" fontId="6" fillId="3" borderId="66" xfId="0" applyNumberFormat="1" applyFont="1" applyFill="1" applyBorder="1" applyAlignment="1">
      <alignment horizontal="right"/>
    </xf>
    <xf numFmtId="3" fontId="6" fillId="3" borderId="66" xfId="0" applyNumberFormat="1" applyFont="1" applyFill="1" applyBorder="1" applyAlignment="1">
      <alignment horizontal="right" vertical="center"/>
    </xf>
    <xf numFmtId="3" fontId="6" fillId="3" borderId="61" xfId="0" applyNumberFormat="1" applyFont="1" applyFill="1" applyBorder="1" applyAlignment="1">
      <alignment horizontal="right"/>
    </xf>
    <xf numFmtId="3" fontId="6" fillId="3" borderId="33" xfId="0" applyNumberFormat="1" applyFont="1" applyFill="1" applyBorder="1" applyAlignment="1">
      <alignment horizontal="right" vertical="center"/>
    </xf>
    <xf numFmtId="37" fontId="6" fillId="3" borderId="52" xfId="0" applyNumberFormat="1" applyFont="1" applyFill="1" applyBorder="1" applyAlignment="1">
      <alignment horizontal="right" vertical="center"/>
    </xf>
    <xf numFmtId="37" fontId="6" fillId="3" borderId="27" xfId="0" applyNumberFormat="1" applyFont="1" applyFill="1" applyBorder="1" applyAlignment="1">
      <alignment horizontal="right" vertical="center"/>
    </xf>
    <xf numFmtId="1" fontId="0" fillId="5" borderId="57" xfId="0" applyNumberFormat="1" applyFont="1" applyFill="1" applyBorder="1" applyAlignment="1">
      <alignment horizontal="center" vertical="center"/>
    </xf>
    <xf numFmtId="164" fontId="0" fillId="3" borderId="33" xfId="0" applyNumberFormat="1" applyFont="1" applyFill="1" applyBorder="1" applyAlignment="1">
      <alignment horizontal="right" vertical="center"/>
    </xf>
    <xf numFmtId="164" fontId="0" fillId="3" borderId="2" xfId="0" applyNumberFormat="1" applyFont="1" applyFill="1" applyBorder="1" applyAlignment="1">
      <alignment horizontal="right" vertical="center"/>
    </xf>
    <xf numFmtId="3" fontId="0" fillId="3" borderId="2" xfId="0" applyNumberFormat="1" applyFont="1" applyFill="1" applyBorder="1" applyAlignment="1">
      <alignment horizontal="right"/>
    </xf>
    <xf numFmtId="3" fontId="0" fillId="3" borderId="66" xfId="0" applyNumberFormat="1" applyFont="1" applyFill="1" applyBorder="1" applyAlignment="1">
      <alignment horizontal="right"/>
    </xf>
    <xf numFmtId="3" fontId="0" fillId="3" borderId="66" xfId="0" applyNumberFormat="1" applyFont="1" applyFill="1" applyBorder="1" applyAlignment="1">
      <alignment horizontal="right" vertical="center"/>
    </xf>
    <xf numFmtId="3" fontId="0" fillId="3" borderId="61" xfId="0" applyNumberFormat="1" applyFont="1" applyFill="1" applyBorder="1" applyAlignment="1">
      <alignment horizontal="right"/>
    </xf>
    <xf numFmtId="3" fontId="0" fillId="3" borderId="33" xfId="0" applyNumberFormat="1" applyFont="1" applyFill="1" applyBorder="1" applyAlignment="1">
      <alignment horizontal="right" vertical="center"/>
    </xf>
    <xf numFmtId="3" fontId="0" fillId="5" borderId="2" xfId="0" applyNumberFormat="1" applyFont="1" applyFill="1" applyBorder="1" applyAlignment="1">
      <alignment horizontal="right"/>
    </xf>
    <xf numFmtId="37" fontId="0" fillId="3" borderId="58" xfId="0" applyNumberFormat="1" applyFont="1" applyFill="1" applyBorder="1" applyAlignment="1">
      <alignment horizontal="right" vertical="center"/>
    </xf>
    <xf numFmtId="37" fontId="0" fillId="3" borderId="66" xfId="0" applyNumberFormat="1" applyFont="1" applyFill="1" applyBorder="1" applyAlignment="1">
      <alignment horizontal="right" vertical="center"/>
    </xf>
    <xf numFmtId="37" fontId="0" fillId="5" borderId="57" xfId="0" applyNumberFormat="1" applyFont="1" applyFill="1" applyBorder="1" applyAlignment="1">
      <alignment horizontal="right" vertical="center"/>
    </xf>
    <xf numFmtId="3" fontId="0" fillId="5" borderId="49" xfId="0" applyNumberFormat="1" applyFont="1" applyFill="1" applyBorder="1" applyAlignment="1">
      <alignment horizontal="right" vertical="center" indent="4"/>
    </xf>
    <xf numFmtId="0" fontId="0" fillId="3" borderId="42" xfId="0" applyFont="1" applyFill="1" applyBorder="1" applyAlignment="1">
      <alignment vertical="center"/>
    </xf>
    <xf numFmtId="164" fontId="0" fillId="3" borderId="41" xfId="0" applyNumberFormat="1" applyFont="1" applyFill="1" applyBorder="1" applyAlignment="1">
      <alignment horizontal="right" vertical="center"/>
    </xf>
    <xf numFmtId="164" fontId="0" fillId="3" borderId="42" xfId="0" applyNumberFormat="1" applyFont="1" applyFill="1" applyBorder="1" applyAlignment="1">
      <alignment horizontal="right" vertical="center"/>
    </xf>
    <xf numFmtId="3" fontId="0" fillId="3" borderId="42" xfId="0" applyNumberFormat="1" applyFont="1" applyFill="1" applyBorder="1"/>
    <xf numFmtId="3" fontId="0" fillId="3" borderId="42" xfId="0" applyNumberFormat="1" applyFont="1" applyFill="1" applyBorder="1" applyAlignment="1">
      <alignment horizontal="right"/>
    </xf>
    <xf numFmtId="3" fontId="0" fillId="3" borderId="70" xfId="0" applyNumberFormat="1" applyFont="1" applyFill="1" applyBorder="1" applyAlignment="1">
      <alignment horizontal="right"/>
    </xf>
    <xf numFmtId="3" fontId="0" fillId="3" borderId="70" xfId="0" applyNumberFormat="1" applyFont="1" applyFill="1" applyBorder="1" applyAlignment="1">
      <alignment horizontal="right" vertical="center"/>
    </xf>
    <xf numFmtId="3" fontId="0" fillId="3" borderId="44" xfId="0" applyNumberFormat="1" applyFont="1" applyFill="1" applyBorder="1" applyAlignment="1">
      <alignment horizontal="right"/>
    </xf>
    <xf numFmtId="3" fontId="0" fillId="3" borderId="41" xfId="0" applyNumberFormat="1" applyFont="1" applyFill="1" applyBorder="1" applyAlignment="1">
      <alignment horizontal="right" vertical="center"/>
    </xf>
    <xf numFmtId="3" fontId="0" fillId="5" borderId="42" xfId="0" applyNumberFormat="1" applyFont="1" applyFill="1" applyBorder="1" applyAlignment="1">
      <alignment horizontal="right"/>
    </xf>
    <xf numFmtId="37" fontId="0" fillId="3" borderId="43" xfId="0" applyNumberFormat="1" applyFont="1" applyFill="1" applyBorder="1" applyAlignment="1">
      <alignment horizontal="right" vertical="center"/>
    </xf>
    <xf numFmtId="37" fontId="0" fillId="3" borderId="70" xfId="0" applyNumberFormat="1" applyFont="1" applyFill="1" applyBorder="1" applyAlignment="1">
      <alignment horizontal="right" vertical="center"/>
    </xf>
    <xf numFmtId="37" fontId="0" fillId="5" borderId="47" xfId="0" applyNumberFormat="1" applyFont="1" applyFill="1" applyBorder="1" applyAlignment="1">
      <alignment horizontal="right" vertical="center"/>
    </xf>
    <xf numFmtId="1" fontId="0" fillId="5" borderId="77" xfId="0" applyNumberFormat="1" applyFont="1" applyFill="1" applyBorder="1" applyAlignment="1">
      <alignment horizontal="center" vertical="center"/>
    </xf>
    <xf numFmtId="3" fontId="0" fillId="5" borderId="43" xfId="0" applyNumberFormat="1" applyFont="1" applyFill="1" applyBorder="1" applyAlignment="1">
      <alignment horizontal="right" vertical="center" indent="4"/>
    </xf>
    <xf numFmtId="0" fontId="18" fillId="3" borderId="2" xfId="0" applyFont="1" applyFill="1" applyBorder="1"/>
    <xf numFmtId="0" fontId="0" fillId="3" borderId="10" xfId="0" applyFont="1" applyFill="1" applyBorder="1"/>
    <xf numFmtId="1" fontId="6" fillId="5" borderId="45" xfId="0" applyNumberFormat="1" applyFont="1" applyFill="1" applyBorder="1" applyAlignment="1">
      <alignment vertical="center"/>
    </xf>
    <xf numFmtId="37" fontId="31" fillId="5" borderId="28" xfId="0" applyNumberFormat="1" applyFont="1" applyFill="1" applyBorder="1" applyAlignment="1">
      <alignment horizontal="right" vertical="center"/>
    </xf>
    <xf numFmtId="1" fontId="31" fillId="3" borderId="2" xfId="0" applyNumberFormat="1" applyFont="1" applyFill="1" applyBorder="1" applyAlignment="1">
      <alignment horizontal="center" vertical="center"/>
    </xf>
    <xf numFmtId="1" fontId="31" fillId="5" borderId="57" xfId="0" applyNumberFormat="1" applyFont="1" applyFill="1" applyBorder="1" applyAlignment="1">
      <alignment horizontal="center" vertical="center"/>
    </xf>
    <xf numFmtId="3" fontId="31" fillId="5" borderId="52" xfId="0" applyNumberFormat="1" applyFont="1" applyFill="1" applyBorder="1" applyAlignment="1">
      <alignment horizontal="right" vertical="center" indent="4"/>
    </xf>
    <xf numFmtId="14" fontId="0" fillId="3" borderId="2" xfId="0" applyNumberFormat="1" applyFont="1" applyFill="1" applyBorder="1"/>
    <xf numFmtId="0" fontId="6" fillId="3" borderId="48" xfId="0" applyFont="1" applyFill="1" applyBorder="1" applyAlignment="1">
      <alignment horizontal="right" vertical="center"/>
    </xf>
    <xf numFmtId="3" fontId="0" fillId="3" borderId="47" xfId="0" applyNumberFormat="1" applyFont="1" applyFill="1" applyBorder="1" applyAlignment="1">
      <alignment vertical="center"/>
    </xf>
    <xf numFmtId="0" fontId="19" fillId="3" borderId="2" xfId="0" applyFont="1" applyFill="1" applyBorder="1"/>
    <xf numFmtId="0" fontId="20" fillId="3" borderId="2" xfId="0" applyFont="1" applyFill="1" applyBorder="1"/>
    <xf numFmtId="0" fontId="6" fillId="3" borderId="2" xfId="0" applyFont="1" applyFill="1" applyBorder="1" applyAlignment="1">
      <alignment horizontal="right" vertical="center"/>
    </xf>
    <xf numFmtId="1" fontId="0" fillId="3" borderId="2" xfId="0" applyNumberFormat="1" applyFont="1" applyFill="1" applyBorder="1"/>
    <xf numFmtId="165" fontId="0" fillId="3" borderId="2" xfId="0" applyNumberFormat="1" applyFont="1" applyFill="1" applyBorder="1"/>
    <xf numFmtId="3" fontId="0" fillId="3" borderId="66" xfId="0" applyNumberFormat="1" applyFont="1" applyFill="1" applyBorder="1" applyAlignment="1">
      <alignment vertical="center"/>
    </xf>
    <xf numFmtId="3" fontId="0" fillId="3" borderId="70" xfId="0" applyNumberFormat="1" applyFont="1" applyFill="1" applyBorder="1" applyAlignment="1">
      <alignment vertical="center"/>
    </xf>
    <xf numFmtId="3" fontId="0" fillId="3" borderId="57" xfId="0" applyNumberFormat="1" applyFont="1" applyFill="1" applyBorder="1" applyAlignment="1">
      <alignment vertical="center"/>
    </xf>
    <xf numFmtId="0" fontId="6" fillId="3" borderId="42" xfId="0" applyFont="1" applyFill="1" applyBorder="1" applyAlignment="1">
      <alignment horizontal="right" vertical="center" wrapText="1"/>
    </xf>
    <xf numFmtId="164" fontId="0" fillId="3" borderId="42" xfId="0" applyNumberFormat="1" applyFont="1" applyFill="1" applyBorder="1" applyAlignment="1">
      <alignment vertical="center" wrapText="1"/>
    </xf>
    <xf numFmtId="0" fontId="0" fillId="3" borderId="2" xfId="0" applyFont="1" applyFill="1" applyBorder="1" applyAlignment="1">
      <alignment wrapText="1"/>
    </xf>
    <xf numFmtId="0" fontId="0" fillId="3" borderId="2" xfId="0" applyFont="1" applyFill="1" applyBorder="1" applyAlignment="1">
      <alignment horizontal="center"/>
    </xf>
    <xf numFmtId="0" fontId="6" fillId="3" borderId="55" xfId="0" applyFont="1" applyFill="1" applyBorder="1" applyAlignment="1">
      <alignment horizontal="center" wrapText="1"/>
    </xf>
    <xf numFmtId="0" fontId="6" fillId="3" borderId="43" xfId="0" applyFont="1" applyFill="1" applyBorder="1" applyAlignment="1">
      <alignment horizontal="right" vertical="center" wrapText="1"/>
    </xf>
    <xf numFmtId="3" fontId="0" fillId="3" borderId="2" xfId="0" applyNumberFormat="1" applyFont="1" applyFill="1" applyBorder="1" applyAlignment="1">
      <alignment vertical="center" wrapText="1"/>
    </xf>
    <xf numFmtId="164" fontId="0" fillId="3" borderId="2" xfId="0" applyNumberFormat="1" applyFont="1" applyFill="1" applyBorder="1" applyAlignment="1">
      <alignment vertical="center" wrapText="1"/>
    </xf>
    <xf numFmtId="3" fontId="0" fillId="3" borderId="49" xfId="0" applyNumberFormat="1" applyFont="1" applyFill="1" applyBorder="1" applyAlignment="1">
      <alignment vertical="center" wrapText="1"/>
    </xf>
    <xf numFmtId="164" fontId="0" fillId="5" borderId="2" xfId="0" applyNumberFormat="1" applyFont="1" applyFill="1" applyBorder="1" applyAlignment="1">
      <alignment vertical="center" wrapText="1"/>
    </xf>
    <xf numFmtId="3" fontId="0" fillId="3" borderId="42" xfId="0" applyNumberFormat="1" applyFont="1" applyFill="1" applyBorder="1" applyAlignment="1">
      <alignment vertical="center" wrapText="1"/>
    </xf>
    <xf numFmtId="3" fontId="0" fillId="3" borderId="43" xfId="0" applyNumberFormat="1" applyFont="1" applyFill="1" applyBorder="1" applyAlignment="1">
      <alignment vertical="center" wrapText="1"/>
    </xf>
    <xf numFmtId="164" fontId="0" fillId="5" borderId="42" xfId="0" applyNumberFormat="1" applyFont="1" applyFill="1" applyBorder="1" applyAlignment="1">
      <alignment vertical="center" wrapText="1"/>
    </xf>
    <xf numFmtId="164" fontId="9" fillId="3" borderId="2" xfId="0" applyNumberFormat="1" applyFont="1" applyFill="1" applyBorder="1"/>
    <xf numFmtId="0" fontId="9" fillId="3" borderId="2" xfId="0" applyFont="1" applyFill="1" applyBorder="1" applyAlignment="1">
      <alignment wrapText="1"/>
    </xf>
    <xf numFmtId="2" fontId="0" fillId="3" borderId="2" xfId="0" applyNumberFormat="1" applyFont="1" applyFill="1" applyBorder="1" applyAlignment="1">
      <alignment wrapText="1"/>
    </xf>
    <xf numFmtId="0" fontId="6" fillId="3" borderId="70" xfId="0" applyFont="1" applyFill="1" applyBorder="1" applyAlignment="1">
      <alignment horizontal="right" vertical="center" wrapText="1"/>
    </xf>
    <xf numFmtId="164" fontId="0" fillId="3" borderId="66" xfId="0" applyNumberFormat="1" applyFont="1" applyFill="1" applyBorder="1" applyAlignment="1">
      <alignment vertical="center" wrapText="1"/>
    </xf>
    <xf numFmtId="164" fontId="0" fillId="3" borderId="70" xfId="0" applyNumberFormat="1" applyFont="1" applyFill="1" applyBorder="1" applyAlignment="1">
      <alignment vertical="center" wrapText="1"/>
    </xf>
    <xf numFmtId="3" fontId="0" fillId="3" borderId="66" xfId="0" applyNumberFormat="1" applyFont="1" applyFill="1" applyBorder="1" applyAlignment="1">
      <alignment vertical="center" wrapText="1"/>
    </xf>
    <xf numFmtId="3" fontId="0" fillId="3" borderId="70" xfId="0" applyNumberFormat="1" applyFont="1" applyFill="1" applyBorder="1" applyAlignment="1">
      <alignment vertical="center" wrapText="1"/>
    </xf>
    <xf numFmtId="164" fontId="0" fillId="3" borderId="50" xfId="0" applyNumberFormat="1" applyFont="1" applyFill="1" applyBorder="1"/>
    <xf numFmtId="164" fontId="0" fillId="3" borderId="49" xfId="0" applyNumberFormat="1" applyFont="1" applyFill="1" applyBorder="1"/>
    <xf numFmtId="164" fontId="0" fillId="3" borderId="49" xfId="0" applyNumberFormat="1" applyFont="1" applyFill="1" applyBorder="1" applyAlignment="1">
      <alignment horizontal="right" vertical="center"/>
    </xf>
    <xf numFmtId="164" fontId="0" fillId="5" borderId="2" xfId="0" applyNumberFormat="1" applyFont="1" applyFill="1" applyBorder="1" applyAlignment="1">
      <alignment horizontal="right" vertical="center" wrapText="1"/>
    </xf>
    <xf numFmtId="164" fontId="0" fillId="3" borderId="42" xfId="0" applyNumberFormat="1" applyFont="1" applyFill="1" applyBorder="1"/>
    <xf numFmtId="164" fontId="0" fillId="3" borderId="47" xfId="0" applyNumberFormat="1" applyFont="1" applyFill="1" applyBorder="1"/>
    <xf numFmtId="164" fontId="0" fillId="3" borderId="43" xfId="0" applyNumberFormat="1" applyFont="1" applyFill="1" applyBorder="1"/>
    <xf numFmtId="164" fontId="0" fillId="3" borderId="43" xfId="0" applyNumberFormat="1" applyFont="1" applyFill="1" applyBorder="1" applyAlignment="1">
      <alignment horizontal="right" vertical="center"/>
    </xf>
    <xf numFmtId="164" fontId="0" fillId="5" borderId="42" xfId="0" applyNumberFormat="1" applyFont="1" applyFill="1" applyBorder="1" applyAlignment="1">
      <alignment horizontal="right" vertical="center" wrapText="1"/>
    </xf>
    <xf numFmtId="164" fontId="6" fillId="3" borderId="2" xfId="0" applyNumberFormat="1" applyFont="1" applyFill="1" applyBorder="1" applyAlignment="1">
      <alignment horizontal="right"/>
    </xf>
    <xf numFmtId="0" fontId="6" fillId="3" borderId="42" xfId="0" applyFont="1" applyFill="1" applyBorder="1" applyAlignment="1">
      <alignment vertical="center"/>
    </xf>
    <xf numFmtId="0" fontId="6" fillId="3" borderId="2" xfId="0" applyFont="1" applyFill="1" applyBorder="1" applyAlignment="1">
      <alignment vertical="center"/>
    </xf>
    <xf numFmtId="164" fontId="0" fillId="5" borderId="2" xfId="0" applyNumberFormat="1" applyFont="1" applyFill="1" applyBorder="1" applyAlignment="1">
      <alignment horizontal="right" vertical="center"/>
    </xf>
    <xf numFmtId="164" fontId="0" fillId="5" borderId="42" xfId="0" applyNumberFormat="1" applyFont="1" applyFill="1" applyBorder="1" applyAlignment="1">
      <alignment horizontal="right" vertical="center"/>
    </xf>
    <xf numFmtId="0" fontId="24" fillId="3" borderId="2" xfId="0" applyFont="1" applyFill="1" applyBorder="1" applyAlignment="1">
      <alignment vertical="center"/>
    </xf>
    <xf numFmtId="0" fontId="0" fillId="3" borderId="2" xfId="0" applyFont="1" applyFill="1" applyBorder="1" applyAlignment="1">
      <alignment horizontal="left" vertical="center" indent="1"/>
    </xf>
    <xf numFmtId="0" fontId="0" fillId="3" borderId="42" xfId="0" applyFont="1" applyFill="1" applyBorder="1" applyAlignment="1">
      <alignment horizontal="left" vertical="center" indent="1"/>
    </xf>
    <xf numFmtId="164" fontId="0" fillId="3" borderId="66" xfId="0" applyNumberFormat="1" applyFont="1" applyFill="1" applyBorder="1" applyAlignment="1">
      <alignment horizontal="right" vertical="center"/>
    </xf>
    <xf numFmtId="164" fontId="0" fillId="3" borderId="66" xfId="0" applyNumberFormat="1" applyFont="1" applyFill="1" applyBorder="1" applyAlignment="1">
      <alignment horizontal="right" vertical="center" wrapText="1"/>
    </xf>
    <xf numFmtId="164" fontId="0" fillId="3" borderId="57" xfId="0" applyNumberFormat="1" applyFont="1" applyFill="1" applyBorder="1" applyAlignment="1">
      <alignment horizontal="right" vertical="center" wrapText="1"/>
    </xf>
    <xf numFmtId="164" fontId="0" fillId="3" borderId="70" xfId="0" applyNumberFormat="1" applyFont="1" applyFill="1" applyBorder="1" applyAlignment="1">
      <alignment horizontal="right" vertical="center"/>
    </xf>
    <xf numFmtId="164" fontId="0" fillId="3" borderId="70" xfId="0" applyNumberFormat="1" applyFont="1" applyFill="1" applyBorder="1" applyAlignment="1">
      <alignment horizontal="right" vertical="center" wrapText="1"/>
    </xf>
    <xf numFmtId="164" fontId="0" fillId="3" borderId="47" xfId="0" applyNumberFormat="1" applyFont="1" applyFill="1" applyBorder="1" applyAlignment="1">
      <alignment horizontal="right" vertical="center" wrapText="1"/>
    </xf>
    <xf numFmtId="164" fontId="0" fillId="3" borderId="66" xfId="0" applyNumberFormat="1" applyFont="1" applyFill="1" applyBorder="1"/>
    <xf numFmtId="164" fontId="0" fillId="3" borderId="70" xfId="0" applyNumberFormat="1" applyFont="1" applyFill="1" applyBorder="1"/>
    <xf numFmtId="164" fontId="0" fillId="3" borderId="57" xfId="0" applyNumberFormat="1" applyFont="1" applyFill="1" applyBorder="1" applyAlignment="1">
      <alignment horizontal="right" vertical="center"/>
    </xf>
    <xf numFmtId="164" fontId="0" fillId="3" borderId="47" xfId="0" applyNumberFormat="1" applyFont="1" applyFill="1" applyBorder="1" applyAlignment="1">
      <alignment horizontal="right" vertical="center"/>
    </xf>
    <xf numFmtId="0" fontId="6" fillId="3" borderId="6" xfId="0" applyFont="1" applyFill="1" applyBorder="1" applyAlignment="1">
      <alignment vertical="center"/>
    </xf>
    <xf numFmtId="0" fontId="6" fillId="3" borderId="6" xfId="0" applyFont="1" applyFill="1" applyBorder="1" applyAlignment="1">
      <alignment horizontal="right" vertical="center"/>
    </xf>
    <xf numFmtId="0" fontId="3" fillId="3" borderId="6" xfId="0" applyFont="1" applyFill="1" applyBorder="1" applyAlignment="1">
      <alignment horizontal="right" vertical="center"/>
    </xf>
    <xf numFmtId="0" fontId="14" fillId="3" borderId="2" xfId="0" applyFont="1" applyFill="1" applyBorder="1" applyAlignment="1">
      <alignment vertical="center"/>
    </xf>
    <xf numFmtId="0" fontId="18" fillId="3" borderId="2" xfId="0" applyFont="1" applyFill="1" applyBorder="1" applyAlignment="1">
      <alignment horizontal="left" vertical="center"/>
    </xf>
    <xf numFmtId="0" fontId="18" fillId="3" borderId="2" xfId="0" applyFont="1" applyFill="1" applyBorder="1" applyAlignment="1">
      <alignment horizontal="left" vertical="center" indent="1"/>
    </xf>
    <xf numFmtId="0" fontId="18" fillId="3" borderId="42" xfId="0" applyFont="1" applyFill="1" applyBorder="1" applyAlignment="1">
      <alignment horizontal="left" vertical="center" indent="1"/>
    </xf>
    <xf numFmtId="0" fontId="14" fillId="3" borderId="2" xfId="0" applyFont="1" applyFill="1" applyBorder="1" applyAlignment="1">
      <alignment horizontal="right" vertical="center" indent="1"/>
    </xf>
    <xf numFmtId="0" fontId="14" fillId="3" borderId="42" xfId="0" applyFont="1" applyFill="1" applyBorder="1" applyAlignment="1">
      <alignment horizontal="right" vertical="center" indent="1"/>
    </xf>
    <xf numFmtId="0" fontId="6" fillId="3" borderId="28" xfId="0" applyFont="1" applyFill="1" applyBorder="1" applyAlignment="1">
      <alignment horizontal="right" vertical="center"/>
    </xf>
    <xf numFmtId="0" fontId="6" fillId="3" borderId="38" xfId="0" applyFont="1" applyFill="1" applyBorder="1" applyAlignment="1">
      <alignment horizontal="right" vertical="center"/>
    </xf>
    <xf numFmtId="0" fontId="6" fillId="3" borderId="32" xfId="0" applyFont="1" applyFill="1" applyBorder="1" applyAlignment="1">
      <alignment horizontal="right" vertical="center"/>
    </xf>
    <xf numFmtId="0" fontId="12" fillId="3" borderId="42" xfId="0" applyFont="1" applyFill="1" applyBorder="1" applyAlignment="1">
      <alignment horizontal="center" vertical="center"/>
    </xf>
    <xf numFmtId="0" fontId="12" fillId="3" borderId="42" xfId="0" applyFont="1" applyFill="1" applyBorder="1" applyAlignment="1">
      <alignment horizontal="right" vertical="center"/>
    </xf>
    <xf numFmtId="0" fontId="12" fillId="3" borderId="47" xfId="0" applyFont="1" applyFill="1" applyBorder="1" applyAlignment="1">
      <alignment horizontal="right" vertical="center"/>
    </xf>
    <xf numFmtId="0" fontId="12" fillId="3" borderId="42" xfId="0" applyFont="1" applyFill="1" applyBorder="1" applyAlignment="1">
      <alignment horizontal="right"/>
    </xf>
    <xf numFmtId="0" fontId="12" fillId="3" borderId="2" xfId="0" applyFont="1" applyFill="1" applyBorder="1" applyAlignment="1">
      <alignment horizontal="center"/>
    </xf>
    <xf numFmtId="0" fontId="0" fillId="3" borderId="2" xfId="0" applyFont="1" applyFill="1" applyBorder="1" applyAlignment="1">
      <alignment horizontal="center" vertical="center"/>
    </xf>
    <xf numFmtId="1" fontId="0" fillId="3" borderId="52" xfId="0" applyNumberFormat="1" applyFont="1" applyFill="1" applyBorder="1" applyAlignment="1">
      <alignment horizontal="right" vertical="center"/>
    </xf>
    <xf numFmtId="1" fontId="0" fillId="3" borderId="2" xfId="0" applyNumberFormat="1" applyFont="1" applyFill="1" applyBorder="1" applyAlignment="1">
      <alignment horizontal="right" vertical="center"/>
    </xf>
    <xf numFmtId="1" fontId="0" fillId="3" borderId="49" xfId="0" applyNumberFormat="1" applyFont="1" applyFill="1" applyBorder="1" applyAlignment="1">
      <alignment horizontal="right" vertical="center"/>
    </xf>
    <xf numFmtId="0" fontId="0" fillId="3" borderId="42" xfId="0" applyFont="1" applyFill="1" applyBorder="1" applyAlignment="1">
      <alignment horizontal="center" vertical="center"/>
    </xf>
    <xf numFmtId="3" fontId="6" fillId="3" borderId="42" xfId="0" applyNumberFormat="1" applyFont="1" applyFill="1" applyBorder="1" applyAlignment="1">
      <alignment horizontal="right" vertical="center"/>
    </xf>
    <xf numFmtId="1" fontId="0" fillId="3" borderId="43" xfId="0" applyNumberFormat="1" applyFont="1" applyFill="1" applyBorder="1" applyAlignment="1">
      <alignment horizontal="right" vertical="center"/>
    </xf>
    <xf numFmtId="1" fontId="0" fillId="3" borderId="42" xfId="0" applyNumberFormat="1" applyFont="1" applyFill="1" applyBorder="1" applyAlignment="1">
      <alignment horizontal="right" vertical="center"/>
    </xf>
    <xf numFmtId="164" fontId="0" fillId="5" borderId="44" xfId="0" applyNumberFormat="1" applyFont="1" applyFill="1" applyBorder="1" applyAlignment="1">
      <alignment horizontal="center" vertical="center"/>
    </xf>
    <xf numFmtId="164" fontId="0" fillId="3" borderId="41" xfId="0" applyNumberFormat="1" applyFont="1" applyFill="1" applyBorder="1" applyAlignment="1">
      <alignment horizontal="center" vertical="center"/>
    </xf>
    <xf numFmtId="0" fontId="37" fillId="2" borderId="2" xfId="0" applyFont="1" applyFill="1" applyBorder="1"/>
    <xf numFmtId="49" fontId="6" fillId="3" borderId="42" xfId="0" applyNumberFormat="1" applyFont="1" applyFill="1" applyBorder="1" applyAlignment="1">
      <alignment horizontal="right" vertical="center"/>
    </xf>
    <xf numFmtId="49" fontId="6" fillId="3" borderId="48" xfId="0" applyNumberFormat="1" applyFont="1" applyFill="1" applyBorder="1" applyAlignment="1">
      <alignment horizontal="right" vertical="center"/>
    </xf>
    <xf numFmtId="0" fontId="6" fillId="3" borderId="10" xfId="0" applyFont="1" applyFill="1" applyBorder="1" applyAlignment="1">
      <alignment horizontal="left" vertical="center"/>
    </xf>
    <xf numFmtId="3" fontId="6" fillId="3" borderId="10" xfId="0" applyNumberFormat="1" applyFont="1" applyFill="1" applyBorder="1" applyAlignment="1">
      <alignment horizontal="right" vertical="center"/>
    </xf>
    <xf numFmtId="165" fontId="0" fillId="3" borderId="2" xfId="0" applyNumberFormat="1" applyFont="1" applyFill="1" applyBorder="1" applyAlignment="1">
      <alignment horizontal="right" vertical="center"/>
    </xf>
    <xf numFmtId="0" fontId="0" fillId="3" borderId="2" xfId="0" applyFont="1" applyFill="1" applyBorder="1" applyAlignment="1">
      <alignment horizontal="left" vertical="center" wrapText="1"/>
    </xf>
    <xf numFmtId="3" fontId="0" fillId="5" borderId="2" xfId="0" applyNumberFormat="1" applyFont="1" applyFill="1" applyBorder="1" applyAlignment="1">
      <alignment horizontal="right" vertical="center" wrapText="1"/>
    </xf>
    <xf numFmtId="3" fontId="0" fillId="3" borderId="2" xfId="0" applyNumberFormat="1" applyFont="1" applyFill="1" applyBorder="1" applyAlignment="1">
      <alignment horizontal="right" vertical="center" wrapText="1"/>
    </xf>
    <xf numFmtId="0" fontId="14" fillId="3" borderId="2" xfId="0" applyFont="1" applyFill="1" applyBorder="1" applyAlignment="1">
      <alignment horizontal="right" vertical="center" wrapText="1"/>
    </xf>
    <xf numFmtId="0" fontId="0" fillId="3" borderId="2" xfId="0" applyFont="1" applyFill="1" applyBorder="1" applyAlignment="1">
      <alignment horizontal="right" vertical="center" wrapText="1"/>
    </xf>
    <xf numFmtId="165" fontId="0" fillId="3" borderId="42" xfId="0" applyNumberFormat="1" applyFont="1" applyFill="1" applyBorder="1" applyAlignment="1">
      <alignment horizontal="right" vertical="center"/>
    </xf>
    <xf numFmtId="49" fontId="0" fillId="3" borderId="2" xfId="0" applyNumberFormat="1" applyFont="1" applyFill="1" applyBorder="1"/>
    <xf numFmtId="0" fontId="0" fillId="3" borderId="50" xfId="0" applyFont="1" applyFill="1" applyBorder="1"/>
    <xf numFmtId="0" fontId="6" fillId="3" borderId="35" xfId="0" applyFont="1" applyFill="1" applyBorder="1" applyAlignment="1">
      <alignment horizontal="right" vertical="center"/>
    </xf>
    <xf numFmtId="0" fontId="6" fillId="3" borderId="59" xfId="0" applyFont="1" applyFill="1" applyBorder="1" applyAlignment="1">
      <alignment horizontal="right" vertical="center"/>
    </xf>
    <xf numFmtId="0" fontId="8" fillId="3" borderId="39" xfId="0" applyFont="1" applyFill="1" applyBorder="1"/>
    <xf numFmtId="0" fontId="3" fillId="3" borderId="42" xfId="0" applyFont="1" applyFill="1" applyBorder="1" applyAlignment="1"/>
    <xf numFmtId="0" fontId="3" fillId="3" borderId="47" xfId="0" applyFont="1" applyFill="1" applyBorder="1" applyAlignment="1"/>
    <xf numFmtId="0" fontId="6" fillId="3" borderId="46" xfId="0" applyFont="1" applyFill="1" applyBorder="1"/>
    <xf numFmtId="0" fontId="6" fillId="3" borderId="48" xfId="0" applyFont="1" applyFill="1" applyBorder="1"/>
    <xf numFmtId="3" fontId="6" fillId="3" borderId="52" xfId="0" applyNumberFormat="1" applyFont="1" applyFill="1" applyBorder="1" applyAlignment="1">
      <alignment horizontal="right" vertical="center"/>
    </xf>
    <xf numFmtId="3" fontId="0" fillId="3" borderId="50" xfId="0" applyNumberFormat="1" applyFont="1" applyFill="1" applyBorder="1" applyAlignment="1">
      <alignment vertical="center"/>
    </xf>
    <xf numFmtId="3" fontId="0" fillId="5" borderId="47" xfId="0" applyNumberFormat="1" applyFont="1" applyFill="1" applyBorder="1" applyAlignment="1">
      <alignment horizontal="right" vertical="center"/>
    </xf>
    <xf numFmtId="0" fontId="20" fillId="3" borderId="2" xfId="0" applyFont="1" applyFill="1" applyBorder="1" applyAlignment="1"/>
    <xf numFmtId="3" fontId="0" fillId="5" borderId="57" xfId="0" applyNumberFormat="1" applyFont="1" applyFill="1" applyBorder="1" applyAlignment="1">
      <alignment horizontal="right" vertical="center"/>
    </xf>
    <xf numFmtId="3" fontId="0" fillId="5" borderId="78" xfId="0" applyNumberFormat="1" applyFont="1" applyFill="1" applyBorder="1" applyAlignment="1">
      <alignment horizontal="right" vertical="center"/>
    </xf>
    <xf numFmtId="165" fontId="6" fillId="3" borderId="10" xfId="0" applyNumberFormat="1" applyFont="1" applyFill="1" applyBorder="1" applyAlignment="1">
      <alignment horizontal="right" vertical="center"/>
    </xf>
    <xf numFmtId="0" fontId="19" fillId="3" borderId="2" xfId="0" applyFont="1" applyFill="1" applyBorder="1" applyAlignment="1">
      <alignment horizontal="left" vertical="center"/>
    </xf>
    <xf numFmtId="0" fontId="26" fillId="3" borderId="2" xfId="0" applyFont="1" applyFill="1" applyBorder="1" applyAlignment="1">
      <alignment horizontal="center" vertical="center" readingOrder="1"/>
    </xf>
    <xf numFmtId="0" fontId="6" fillId="3" borderId="55" xfId="0" applyFont="1" applyFill="1" applyBorder="1" applyAlignment="1">
      <alignment horizontal="right" vertical="center"/>
    </xf>
    <xf numFmtId="0" fontId="3" fillId="3" borderId="35" xfId="0" applyFont="1" applyFill="1" applyBorder="1" applyAlignment="1">
      <alignment horizontal="right" vertical="center" wrapText="1"/>
    </xf>
    <xf numFmtId="0" fontId="3" fillId="3" borderId="35" xfId="0" applyFont="1" applyFill="1" applyBorder="1" applyAlignment="1">
      <alignment horizontal="right" vertical="center"/>
    </xf>
    <xf numFmtId="0" fontId="3" fillId="3" borderId="42" xfId="0" applyFont="1" applyFill="1" applyBorder="1" applyAlignment="1">
      <alignment horizontal="right" vertical="center" wrapText="1"/>
    </xf>
    <xf numFmtId="0" fontId="3" fillId="3" borderId="42" xfId="0" applyFont="1" applyFill="1" applyBorder="1" applyAlignment="1">
      <alignment vertical="center"/>
    </xf>
    <xf numFmtId="3" fontId="6" fillId="3" borderId="2" xfId="0" applyNumberFormat="1" applyFont="1" applyFill="1" applyBorder="1" applyAlignment="1">
      <alignment horizontal="right" vertical="center" wrapText="1"/>
    </xf>
    <xf numFmtId="167" fontId="0" fillId="3" borderId="2" xfId="0" applyNumberFormat="1" applyFont="1" applyFill="1" applyBorder="1" applyAlignment="1">
      <alignment horizontal="right" vertical="center" wrapText="1"/>
    </xf>
    <xf numFmtId="0" fontId="27" fillId="3" borderId="2" xfId="0" applyFont="1" applyFill="1" applyBorder="1" applyAlignment="1">
      <alignment horizontal="left" vertical="center" wrapText="1"/>
    </xf>
    <xf numFmtId="167" fontId="0" fillId="3" borderId="42" xfId="0" applyNumberFormat="1" applyFont="1" applyFill="1" applyBorder="1" applyAlignment="1">
      <alignment horizontal="right" vertical="center" wrapText="1"/>
    </xf>
    <xf numFmtId="165" fontId="0" fillId="3" borderId="2" xfId="0" applyNumberFormat="1" applyFont="1" applyFill="1" applyBorder="1" applyAlignment="1">
      <alignment vertical="center"/>
    </xf>
    <xf numFmtId="3" fontId="6" fillId="3" borderId="27" xfId="0" applyNumberFormat="1" applyFont="1" applyFill="1" applyBorder="1" applyAlignment="1">
      <alignment horizontal="right" vertical="center"/>
    </xf>
    <xf numFmtId="3" fontId="6" fillId="5" borderId="28" xfId="0" applyNumberFormat="1" applyFont="1" applyFill="1" applyBorder="1" applyAlignment="1">
      <alignment horizontal="right" vertical="center"/>
    </xf>
    <xf numFmtId="3" fontId="6" fillId="5" borderId="2" xfId="0" applyNumberFormat="1" applyFont="1" applyFill="1" applyBorder="1" applyAlignment="1">
      <alignment horizontal="right" vertical="center"/>
    </xf>
    <xf numFmtId="37" fontId="0" fillId="3" borderId="2" xfId="1" applyNumberFormat="1" applyFont="1" applyFill="1" applyBorder="1"/>
    <xf numFmtId="165" fontId="0" fillId="4" borderId="0" xfId="0" applyNumberFormat="1" applyFont="1" applyFill="1" applyAlignment="1"/>
    <xf numFmtId="164" fontId="6" fillId="3" borderId="42" xfId="0" applyNumberFormat="1" applyFont="1" applyFill="1" applyBorder="1" applyAlignment="1">
      <alignment horizontal="right" vertical="center"/>
    </xf>
    <xf numFmtId="0" fontId="6" fillId="3" borderId="65" xfId="0" applyFont="1" applyFill="1" applyBorder="1" applyAlignment="1">
      <alignment horizontal="center" vertical="center"/>
    </xf>
    <xf numFmtId="0" fontId="6" fillId="3" borderId="65" xfId="0" applyFont="1" applyFill="1" applyBorder="1" applyAlignment="1">
      <alignment horizontal="center"/>
    </xf>
    <xf numFmtId="37" fontId="6" fillId="3" borderId="2" xfId="0" applyNumberFormat="1" applyFont="1" applyFill="1" applyBorder="1" applyAlignment="1">
      <alignment horizontal="right" vertical="center"/>
    </xf>
    <xf numFmtId="37" fontId="0" fillId="3" borderId="2" xfId="0" applyNumberFormat="1" applyFont="1" applyFill="1" applyBorder="1" applyAlignment="1">
      <alignment horizontal="right" vertical="center"/>
    </xf>
    <xf numFmtId="3" fontId="43" fillId="4" borderId="66" xfId="2" applyNumberFormat="1" applyFont="1" applyFill="1"/>
    <xf numFmtId="3" fontId="43" fillId="4" borderId="66" xfId="2" applyNumberFormat="1" applyFont="1" applyFill="1" applyBorder="1"/>
    <xf numFmtId="0" fontId="49" fillId="4" borderId="0" xfId="0" applyFont="1" applyFill="1"/>
    <xf numFmtId="168" fontId="53" fillId="4" borderId="0" xfId="0" applyNumberFormat="1" applyFont="1" applyFill="1" applyAlignment="1">
      <alignment vertical="center"/>
    </xf>
    <xf numFmtId="168" fontId="54" fillId="4" borderId="92" xfId="3" applyNumberFormat="1" applyFont="1" applyFill="1" applyBorder="1" applyAlignment="1">
      <alignment horizontal="right" vertical="center" wrapText="1"/>
    </xf>
    <xf numFmtId="168" fontId="54" fillId="4" borderId="93" xfId="3" applyNumberFormat="1" applyFont="1" applyFill="1" applyBorder="1" applyAlignment="1">
      <alignment horizontal="right" vertical="center" wrapText="1"/>
    </xf>
    <xf numFmtId="168" fontId="53" fillId="4" borderId="66" xfId="0" applyNumberFormat="1" applyFont="1" applyFill="1" applyBorder="1"/>
    <xf numFmtId="168" fontId="55" fillId="4" borderId="89" xfId="3" applyNumberFormat="1" applyFont="1" applyFill="1" applyBorder="1" applyAlignment="1">
      <alignment horizontal="right" vertical="center" wrapText="1"/>
    </xf>
    <xf numFmtId="168" fontId="55" fillId="4" borderId="90" xfId="3" applyNumberFormat="1" applyFont="1" applyFill="1" applyBorder="1" applyAlignment="1">
      <alignment horizontal="right" vertical="center" wrapText="1"/>
    </xf>
    <xf numFmtId="168" fontId="39" fillId="4" borderId="94" xfId="0" applyNumberFormat="1" applyFont="1" applyFill="1" applyBorder="1" applyAlignment="1">
      <alignment horizontal="center" vertical="center"/>
    </xf>
    <xf numFmtId="168" fontId="39" fillId="4" borderId="78" xfId="0" applyNumberFormat="1" applyFont="1" applyFill="1" applyBorder="1" applyAlignment="1">
      <alignment horizontal="center" vertical="center"/>
    </xf>
    <xf numFmtId="168" fontId="0" fillId="4" borderId="0" xfId="0" applyNumberFormat="1" applyFill="1"/>
    <xf numFmtId="168" fontId="54" fillId="4" borderId="66" xfId="3" applyNumberFormat="1" applyFont="1" applyFill="1" applyBorder="1" applyAlignment="1" applyProtection="1">
      <alignment horizontal="left" vertical="center"/>
    </xf>
    <xf numFmtId="37" fontId="54" fillId="4" borderId="66" xfId="1" applyNumberFormat="1" applyFont="1" applyFill="1" applyBorder="1" applyAlignment="1" applyProtection="1">
      <alignment vertical="center"/>
    </xf>
    <xf numFmtId="37" fontId="54" fillId="4" borderId="92" xfId="1" applyNumberFormat="1" applyFont="1" applyFill="1" applyBorder="1" applyAlignment="1" applyProtection="1">
      <alignment horizontal="right" vertical="center"/>
    </xf>
    <xf numFmtId="37" fontId="54" fillId="4" borderId="66" xfId="1" applyNumberFormat="1" applyFont="1" applyFill="1" applyBorder="1" applyAlignment="1" applyProtection="1">
      <alignment horizontal="right" vertical="center"/>
    </xf>
    <xf numFmtId="3" fontId="58" fillId="4" borderId="66" xfId="2" applyNumberFormat="1" applyFont="1" applyFill="1" applyBorder="1" applyAlignment="1" applyProtection="1">
      <alignment horizontal="right" vertical="center"/>
    </xf>
    <xf numFmtId="168" fontId="59" fillId="4" borderId="0" xfId="0" applyNumberFormat="1" applyFont="1" applyFill="1"/>
    <xf numFmtId="3" fontId="60" fillId="4" borderId="66" xfId="2" applyNumberFormat="1" applyFont="1" applyFill="1"/>
    <xf numFmtId="168" fontId="56" fillId="4" borderId="0" xfId="0" applyNumberFormat="1" applyFont="1" applyFill="1"/>
    <xf numFmtId="37" fontId="57" fillId="4" borderId="92" xfId="1" applyNumberFormat="1" applyFont="1" applyFill="1" applyBorder="1" applyAlignment="1">
      <alignment vertical="center"/>
    </xf>
    <xf numFmtId="37" fontId="57" fillId="4" borderId="93" xfId="1" applyNumberFormat="1" applyFont="1" applyFill="1" applyBorder="1" applyAlignment="1">
      <alignment vertical="center"/>
    </xf>
    <xf numFmtId="3" fontId="62" fillId="4" borderId="66" xfId="2" applyNumberFormat="1" applyFont="1" applyFill="1"/>
    <xf numFmtId="3" fontId="64" fillId="4" borderId="66" xfId="2" applyNumberFormat="1" applyFont="1" applyFill="1" applyBorder="1" applyAlignment="1" applyProtection="1">
      <alignment horizontal="right" vertical="center"/>
    </xf>
    <xf numFmtId="0" fontId="0" fillId="4" borderId="0" xfId="0" applyFill="1"/>
    <xf numFmtId="3" fontId="65" fillId="4" borderId="66" xfId="1" applyNumberFormat="1" applyFont="1" applyFill="1" applyBorder="1" applyAlignment="1" applyProtection="1">
      <alignment horizontal="right" vertical="center"/>
    </xf>
    <xf numFmtId="3" fontId="44" fillId="4" borderId="66" xfId="2" applyNumberFormat="1" applyFont="1" applyFill="1"/>
    <xf numFmtId="37" fontId="63" fillId="4" borderId="66" xfId="1" applyNumberFormat="1" applyFont="1" applyFill="1" applyBorder="1" applyAlignment="1" applyProtection="1">
      <alignment vertical="center"/>
    </xf>
    <xf numFmtId="3" fontId="62" fillId="4" borderId="66" xfId="2" applyNumberFormat="1" applyFont="1" applyFill="1" applyBorder="1"/>
    <xf numFmtId="168" fontId="59" fillId="4" borderId="66" xfId="0" applyNumberFormat="1" applyFont="1" applyFill="1" applyBorder="1"/>
    <xf numFmtId="0" fontId="59" fillId="4" borderId="0" xfId="0" applyFont="1" applyFill="1"/>
    <xf numFmtId="0" fontId="59" fillId="4" borderId="66" xfId="0" applyFont="1" applyFill="1" applyBorder="1"/>
    <xf numFmtId="3" fontId="62" fillId="4" borderId="78" xfId="2" applyNumberFormat="1" applyFont="1" applyFill="1" applyBorder="1"/>
    <xf numFmtId="0" fontId="66" fillId="4" borderId="0" xfId="0" applyFont="1" applyFill="1"/>
    <xf numFmtId="0" fontId="61" fillId="4" borderId="0" xfId="0" applyFont="1" applyFill="1"/>
    <xf numFmtId="0" fontId="57" fillId="4" borderId="0" xfId="0" applyFont="1" applyFill="1" applyAlignment="1">
      <alignment horizontal="center" vertical="center"/>
    </xf>
    <xf numFmtId="168" fontId="67" fillId="4" borderId="66" xfId="3" applyNumberFormat="1" applyFont="1" applyFill="1" applyBorder="1" applyAlignment="1" applyProtection="1">
      <alignment horizontal="left" vertical="center"/>
    </xf>
    <xf numFmtId="168" fontId="68" fillId="4" borderId="66" xfId="5" applyNumberFormat="1" applyFont="1" applyFill="1" applyAlignment="1">
      <alignment horizontal="right" vertical="center"/>
    </xf>
    <xf numFmtId="0" fontId="39" fillId="4" borderId="0" xfId="0" applyFont="1" applyFill="1" applyAlignment="1">
      <alignment horizontal="center" vertical="center"/>
    </xf>
    <xf numFmtId="0" fontId="0" fillId="4" borderId="66" xfId="0" applyFill="1" applyBorder="1"/>
    <xf numFmtId="0" fontId="39" fillId="4" borderId="66" xfId="0" applyFont="1" applyFill="1" applyBorder="1" applyAlignment="1">
      <alignment horizontal="center" vertical="center"/>
    </xf>
    <xf numFmtId="168" fontId="68" fillId="4" borderId="66" xfId="5" applyNumberFormat="1" applyFont="1" applyFill="1" applyBorder="1" applyAlignment="1">
      <alignment horizontal="right" vertical="center"/>
    </xf>
    <xf numFmtId="3" fontId="69" fillId="4" borderId="66" xfId="2" applyNumberFormat="1" applyFont="1" applyFill="1"/>
    <xf numFmtId="3" fontId="69" fillId="4" borderId="66" xfId="2" applyNumberFormat="1" applyFont="1" applyFill="1" applyBorder="1"/>
    <xf numFmtId="168" fontId="55" fillId="4" borderId="66" xfId="3" applyNumberFormat="1" applyFont="1" applyFill="1" applyBorder="1" applyAlignment="1">
      <alignment horizontal="right" vertical="center" wrapText="1"/>
    </xf>
    <xf numFmtId="168" fontId="56" fillId="4" borderId="66" xfId="0" applyNumberFormat="1" applyFont="1" applyFill="1" applyBorder="1"/>
    <xf numFmtId="168" fontId="39" fillId="4" borderId="66" xfId="0" applyNumberFormat="1" applyFont="1" applyFill="1" applyBorder="1" applyAlignment="1">
      <alignment horizontal="center" vertical="center"/>
    </xf>
    <xf numFmtId="37" fontId="57" fillId="4" borderId="66" xfId="1" applyNumberFormat="1" applyFont="1" applyFill="1" applyBorder="1" applyAlignment="1">
      <alignment horizontal="right" vertical="center" indent="3"/>
    </xf>
    <xf numFmtId="3" fontId="60" fillId="4" borderId="66" xfId="2" applyNumberFormat="1" applyFont="1" applyFill="1" applyBorder="1"/>
    <xf numFmtId="37" fontId="57" fillId="4" borderId="66" xfId="1" applyNumberFormat="1" applyFont="1" applyFill="1" applyBorder="1" applyAlignment="1">
      <alignment horizontal="right" vertical="center"/>
    </xf>
    <xf numFmtId="37" fontId="63" fillId="4" borderId="66" xfId="1" applyNumberFormat="1" applyFont="1" applyFill="1" applyBorder="1" applyAlignment="1" applyProtection="1">
      <alignment horizontal="right" vertical="center"/>
    </xf>
    <xf numFmtId="37" fontId="61" fillId="4" borderId="66" xfId="1" applyNumberFormat="1" applyFont="1" applyFill="1" applyBorder="1" applyAlignment="1">
      <alignment horizontal="right" vertical="center"/>
    </xf>
    <xf numFmtId="37" fontId="61" fillId="4" borderId="66" xfId="1" applyNumberFormat="1" applyFont="1" applyFill="1" applyBorder="1" applyAlignment="1">
      <alignment horizontal="right" vertical="center" indent="3"/>
    </xf>
    <xf numFmtId="37" fontId="63" fillId="4" borderId="93" xfId="1" applyNumberFormat="1" applyFont="1" applyFill="1" applyBorder="1" applyAlignment="1" applyProtection="1">
      <alignment vertical="center"/>
    </xf>
    <xf numFmtId="37" fontId="61" fillId="4" borderId="0" xfId="1" applyNumberFormat="1" applyFont="1" applyFill="1" applyAlignment="1">
      <alignment horizontal="right" vertical="center" indent="5"/>
    </xf>
    <xf numFmtId="37" fontId="61" fillId="4" borderId="92" xfId="1" applyNumberFormat="1" applyFont="1" applyFill="1" applyBorder="1" applyAlignment="1">
      <alignment vertical="center"/>
    </xf>
    <xf numFmtId="37" fontId="61" fillId="4" borderId="89" xfId="1" applyNumberFormat="1" applyFont="1" applyFill="1" applyBorder="1" applyAlignment="1">
      <alignment vertical="center"/>
    </xf>
    <xf numFmtId="37" fontId="61" fillId="4" borderId="66" xfId="1" applyNumberFormat="1" applyFont="1" applyFill="1" applyBorder="1" applyAlignment="1">
      <alignment vertical="center"/>
    </xf>
    <xf numFmtId="37" fontId="61" fillId="4" borderId="66" xfId="1" applyNumberFormat="1" applyFont="1" applyFill="1" applyBorder="1" applyAlignment="1">
      <alignment horizontal="right" vertical="center" indent="5"/>
    </xf>
    <xf numFmtId="168" fontId="52" fillId="4" borderId="66" xfId="0" applyNumberFormat="1" applyFont="1" applyFill="1" applyBorder="1"/>
    <xf numFmtId="168" fontId="72" fillId="4" borderId="0" xfId="0" applyNumberFormat="1" applyFont="1" applyFill="1"/>
    <xf numFmtId="168" fontId="72" fillId="4" borderId="66" xfId="0" applyNumberFormat="1" applyFont="1" applyFill="1" applyBorder="1"/>
    <xf numFmtId="168" fontId="73" fillId="4" borderId="78" xfId="3" applyNumberFormat="1" applyFont="1" applyFill="1" applyBorder="1" applyAlignment="1" applyProtection="1">
      <alignment horizontal="left" vertical="center"/>
    </xf>
    <xf numFmtId="168" fontId="55" fillId="4" borderId="78" xfId="3" applyNumberFormat="1" applyFont="1" applyFill="1" applyBorder="1" applyAlignment="1">
      <alignment horizontal="right" vertical="top" wrapText="1"/>
    </xf>
    <xf numFmtId="168" fontId="55" fillId="4" borderId="89" xfId="3" applyNumberFormat="1" applyFont="1" applyFill="1" applyBorder="1" applyAlignment="1">
      <alignment horizontal="right" vertical="top" wrapText="1"/>
    </xf>
    <xf numFmtId="168" fontId="55" fillId="4" borderId="90" xfId="3" applyNumberFormat="1" applyFont="1" applyFill="1" applyBorder="1" applyAlignment="1">
      <alignment horizontal="right" vertical="top" wrapText="1"/>
    </xf>
    <xf numFmtId="37" fontId="54" fillId="4" borderId="91" xfId="1" applyNumberFormat="1" applyFont="1" applyFill="1" applyBorder="1" applyAlignment="1" applyProtection="1">
      <alignment horizontal="right" vertical="center"/>
    </xf>
    <xf numFmtId="37" fontId="54" fillId="4" borderId="84" xfId="1" applyNumberFormat="1" applyFont="1" applyFill="1" applyBorder="1" applyAlignment="1" applyProtection="1">
      <alignment horizontal="right" vertical="center"/>
    </xf>
    <xf numFmtId="37" fontId="63" fillId="4" borderId="91" xfId="1" applyNumberFormat="1" applyFont="1" applyFill="1" applyBorder="1" applyAlignment="1">
      <alignment horizontal="right" vertical="center"/>
    </xf>
    <xf numFmtId="3" fontId="54" fillId="4" borderId="66" xfId="2" applyNumberFormat="1" applyFont="1" applyFill="1"/>
    <xf numFmtId="37" fontId="54" fillId="4" borderId="78" xfId="1" applyNumberFormat="1" applyFont="1" applyFill="1" applyBorder="1" applyAlignment="1" applyProtection="1">
      <alignment horizontal="right" vertical="center"/>
    </xf>
    <xf numFmtId="37" fontId="63" fillId="4" borderId="94" xfId="1" applyNumberFormat="1" applyFont="1" applyFill="1" applyBorder="1" applyAlignment="1">
      <alignment horizontal="right" vertical="center"/>
    </xf>
    <xf numFmtId="0" fontId="56" fillId="4" borderId="0" xfId="0" applyFont="1" applyFill="1"/>
    <xf numFmtId="168" fontId="40" fillId="4" borderId="0" xfId="0" applyNumberFormat="1" applyFont="1" applyFill="1"/>
    <xf numFmtId="168" fontId="79" fillId="4" borderId="66" xfId="0" applyNumberFormat="1" applyFont="1" applyFill="1" applyBorder="1"/>
    <xf numFmtId="3" fontId="81" fillId="4" borderId="66" xfId="2" applyNumberFormat="1" applyFont="1" applyFill="1" applyBorder="1"/>
    <xf numFmtId="3" fontId="58" fillId="4" borderId="66" xfId="2" applyNumberFormat="1" applyFont="1" applyFill="1" applyBorder="1" applyAlignment="1">
      <alignment horizontal="right" vertical="center" wrapText="1"/>
    </xf>
    <xf numFmtId="168" fontId="80" fillId="4" borderId="66" xfId="3" applyNumberFormat="1" applyFont="1" applyFill="1" applyBorder="1" applyAlignment="1" applyProtection="1">
      <alignment horizontal="left" vertical="center"/>
    </xf>
    <xf numFmtId="0" fontId="46" fillId="4" borderId="78" xfId="0" applyFont="1" applyFill="1" applyBorder="1" applyAlignment="1">
      <alignment horizontal="right" vertical="center" wrapText="1"/>
    </xf>
    <xf numFmtId="168" fontId="46" fillId="4" borderId="78" xfId="0" applyNumberFormat="1" applyFont="1" applyFill="1" applyBorder="1" applyAlignment="1">
      <alignment horizontal="right" vertical="center" wrapText="1"/>
    </xf>
    <xf numFmtId="0" fontId="47" fillId="4" borderId="98" xfId="0" applyFont="1" applyFill="1" applyBorder="1" applyAlignment="1">
      <alignment vertical="center" wrapText="1"/>
    </xf>
    <xf numFmtId="3" fontId="81" fillId="4" borderId="66" xfId="2" applyNumberFormat="1" applyFont="1" applyFill="1" applyBorder="1" applyAlignment="1">
      <alignment horizontal="right" vertical="center" wrapText="1"/>
    </xf>
    <xf numFmtId="168" fontId="80" fillId="4" borderId="81" xfId="3" applyNumberFormat="1" applyFont="1" applyFill="1" applyBorder="1" applyAlignment="1" applyProtection="1">
      <alignment horizontal="left" vertical="center"/>
    </xf>
    <xf numFmtId="164" fontId="80" fillId="4" borderId="81" xfId="1" applyNumberFormat="1" applyFont="1" applyFill="1" applyBorder="1" applyAlignment="1">
      <alignment horizontal="right" vertical="center" wrapText="1"/>
    </xf>
    <xf numFmtId="164" fontId="57" fillId="4" borderId="66" xfId="1" applyNumberFormat="1" applyFont="1" applyFill="1" applyBorder="1" applyAlignment="1">
      <alignment horizontal="right" vertical="center"/>
    </xf>
    <xf numFmtId="164" fontId="57" fillId="4" borderId="66" xfId="0" applyNumberFormat="1" applyFont="1" applyFill="1" applyBorder="1" applyAlignment="1">
      <alignment horizontal="right" vertical="center"/>
    </xf>
    <xf numFmtId="164" fontId="54" fillId="4" borderId="66" xfId="1" applyNumberFormat="1" applyFont="1" applyFill="1" applyBorder="1" applyAlignment="1" applyProtection="1">
      <alignment horizontal="right" vertical="center"/>
    </xf>
    <xf numFmtId="168" fontId="82" fillId="4" borderId="81" xfId="0" applyNumberFormat="1" applyFont="1" applyFill="1" applyBorder="1" applyAlignment="1">
      <alignment horizontal="right" vertical="center" wrapText="1"/>
    </xf>
    <xf numFmtId="168" fontId="79" fillId="4" borderId="66" xfId="3" applyNumberFormat="1" applyFont="1" applyFill="1" applyBorder="1" applyAlignment="1" applyProtection="1">
      <alignment horizontal="left" vertical="center"/>
    </xf>
    <xf numFmtId="164" fontId="79" fillId="4" borderId="66" xfId="1" applyNumberFormat="1" applyFont="1" applyFill="1" applyBorder="1" applyAlignment="1">
      <alignment horizontal="right"/>
    </xf>
    <xf numFmtId="168" fontId="82" fillId="4" borderId="66" xfId="0" applyNumberFormat="1" applyFont="1" applyFill="1" applyBorder="1" applyAlignment="1">
      <alignment horizontal="right" vertical="center" wrapText="1"/>
    </xf>
    <xf numFmtId="168" fontId="79" fillId="4" borderId="78" xfId="3" applyNumberFormat="1" applyFont="1" applyFill="1" applyBorder="1" applyAlignment="1" applyProtection="1">
      <alignment horizontal="left" vertical="center"/>
    </xf>
    <xf numFmtId="164" fontId="79" fillId="4" borderId="78" xfId="1" applyNumberFormat="1" applyFont="1" applyFill="1" applyBorder="1" applyAlignment="1">
      <alignment horizontal="right"/>
    </xf>
    <xf numFmtId="168" fontId="82" fillId="4" borderId="78" xfId="0" applyNumberFormat="1" applyFont="1" applyFill="1" applyBorder="1" applyAlignment="1">
      <alignment horizontal="right" vertical="center" wrapText="1"/>
    </xf>
    <xf numFmtId="168" fontId="40" fillId="4" borderId="0" xfId="0" applyNumberFormat="1" applyFont="1" applyFill="1" applyAlignment="1">
      <alignment horizontal="center" vertical="center"/>
    </xf>
    <xf numFmtId="168" fontId="83" fillId="4" borderId="0" xfId="0" applyNumberFormat="1" applyFont="1" applyFill="1"/>
    <xf numFmtId="168" fontId="40" fillId="4" borderId="66" xfId="0" applyNumberFormat="1" applyFont="1" applyFill="1" applyBorder="1"/>
    <xf numFmtId="168" fontId="40" fillId="4" borderId="66" xfId="0" applyNumberFormat="1" applyFont="1" applyFill="1" applyBorder="1" applyAlignment="1">
      <alignment horizontal="center" vertical="center"/>
    </xf>
    <xf numFmtId="3" fontId="83" fillId="4" borderId="66" xfId="2" applyNumberFormat="1" applyFont="1" applyFill="1" applyBorder="1"/>
    <xf numFmtId="3" fontId="83" fillId="4" borderId="66" xfId="2" applyNumberFormat="1" applyFont="1" applyFill="1"/>
    <xf numFmtId="168" fontId="80" fillId="4" borderId="81" xfId="3" applyNumberFormat="1" applyFont="1" applyFill="1" applyBorder="1" applyAlignment="1">
      <alignment vertical="center"/>
    </xf>
    <xf numFmtId="168" fontId="80" fillId="4" borderId="81" xfId="3" applyNumberFormat="1" applyFont="1" applyFill="1" applyBorder="1" applyAlignment="1">
      <alignment vertical="center" wrapText="1"/>
    </xf>
    <xf numFmtId="168" fontId="84" fillId="4" borderId="66" xfId="0" applyNumberFormat="1" applyFont="1" applyFill="1" applyBorder="1"/>
    <xf numFmtId="168" fontId="84" fillId="4" borderId="0" xfId="0" applyNumberFormat="1" applyFont="1" applyFill="1"/>
    <xf numFmtId="0" fontId="70" fillId="4" borderId="85" xfId="0" applyFont="1" applyFill="1" applyBorder="1" applyAlignment="1">
      <alignment wrapText="1"/>
    </xf>
    <xf numFmtId="0" fontId="46" fillId="4" borderId="66" xfId="0" applyFont="1" applyFill="1" applyBorder="1" applyAlignment="1">
      <alignment horizontal="right" vertical="center" wrapText="1"/>
    </xf>
    <xf numFmtId="168" fontId="46" fillId="4" borderId="66" xfId="0" applyNumberFormat="1" applyFont="1" applyFill="1" applyBorder="1" applyAlignment="1">
      <alignment horizontal="right" vertical="center" wrapText="1"/>
    </xf>
    <xf numFmtId="43" fontId="80" fillId="4" borderId="66" xfId="1" applyFont="1" applyFill="1" applyBorder="1" applyAlignment="1">
      <alignment horizontal="center" vertical="center" wrapText="1"/>
    </xf>
    <xf numFmtId="168" fontId="83" fillId="4" borderId="66" xfId="0" applyNumberFormat="1" applyFont="1" applyFill="1" applyBorder="1"/>
    <xf numFmtId="43" fontId="79" fillId="4" borderId="66" xfId="1" applyFont="1" applyFill="1" applyBorder="1"/>
    <xf numFmtId="164" fontId="61" fillId="4" borderId="66" xfId="1" applyNumberFormat="1" applyFont="1" applyFill="1" applyBorder="1" applyAlignment="1">
      <alignment horizontal="right" vertical="center"/>
    </xf>
    <xf numFmtId="164" fontId="61" fillId="4" borderId="66" xfId="0" applyNumberFormat="1" applyFont="1" applyFill="1" applyBorder="1" applyAlignment="1">
      <alignment horizontal="right" vertical="center"/>
    </xf>
    <xf numFmtId="164" fontId="63" fillId="4" borderId="66" xfId="1" applyNumberFormat="1" applyFont="1" applyFill="1" applyBorder="1" applyAlignment="1" applyProtection="1">
      <alignment horizontal="right" vertical="center"/>
    </xf>
    <xf numFmtId="168" fontId="80" fillId="4" borderId="66" xfId="3" applyNumberFormat="1" applyFont="1" applyFill="1" applyBorder="1" applyAlignment="1">
      <alignment vertical="center" wrapText="1"/>
    </xf>
    <xf numFmtId="167" fontId="83" fillId="4" borderId="0" xfId="0" applyNumberFormat="1" applyFont="1" applyFill="1"/>
    <xf numFmtId="164" fontId="63" fillId="4" borderId="66" xfId="1" applyNumberFormat="1" applyFont="1" applyFill="1" applyBorder="1" applyAlignment="1">
      <alignment horizontal="right" vertical="center"/>
    </xf>
    <xf numFmtId="164" fontId="61" fillId="4" borderId="66" xfId="1" applyNumberFormat="1" applyFont="1" applyFill="1" applyBorder="1" applyAlignment="1">
      <alignment vertical="center"/>
    </xf>
    <xf numFmtId="164" fontId="61" fillId="4" borderId="0" xfId="1" applyNumberFormat="1" applyFont="1" applyFill="1" applyAlignment="1">
      <alignment horizontal="right" vertical="center"/>
    </xf>
    <xf numFmtId="164" fontId="61" fillId="4" borderId="78" xfId="1" applyNumberFormat="1" applyFont="1" applyFill="1" applyBorder="1" applyAlignment="1">
      <alignment horizontal="right" vertical="center"/>
    </xf>
    <xf numFmtId="164" fontId="63" fillId="4" borderId="78" xfId="1" applyNumberFormat="1" applyFont="1" applyFill="1" applyBorder="1" applyAlignment="1">
      <alignment horizontal="right" vertical="center"/>
    </xf>
    <xf numFmtId="164" fontId="61" fillId="4" borderId="78" xfId="0" applyNumberFormat="1" applyFont="1" applyFill="1" applyBorder="1" applyAlignment="1">
      <alignment horizontal="right" vertical="center"/>
    </xf>
    <xf numFmtId="168" fontId="40" fillId="4" borderId="0" xfId="0" applyNumberFormat="1" applyFont="1" applyFill="1" applyAlignment="1">
      <alignment horizontal="right"/>
    </xf>
    <xf numFmtId="168" fontId="85" fillId="4" borderId="66" xfId="3" applyNumberFormat="1" applyFont="1" applyFill="1" applyBorder="1" applyAlignment="1">
      <alignment vertical="center"/>
    </xf>
    <xf numFmtId="164" fontId="0" fillId="4" borderId="0" xfId="0" applyNumberFormat="1" applyFill="1"/>
    <xf numFmtId="168" fontId="40" fillId="4" borderId="0" xfId="0" applyNumberFormat="1" applyFont="1" applyFill="1" applyAlignment="1">
      <alignment vertical="top"/>
    </xf>
    <xf numFmtId="37" fontId="63" fillId="4" borderId="93" xfId="1" applyNumberFormat="1" applyFont="1" applyFill="1" applyBorder="1" applyAlignment="1" applyProtection="1">
      <alignment horizontal="right" vertical="center" indent="4"/>
    </xf>
    <xf numFmtId="37" fontId="63" fillId="4" borderId="66" xfId="1" applyNumberFormat="1" applyFont="1" applyFill="1" applyBorder="1" applyAlignment="1" applyProtection="1">
      <alignment horizontal="right" vertical="center" indent="5"/>
    </xf>
    <xf numFmtId="37" fontId="61" fillId="4" borderId="92" xfId="1" applyNumberFormat="1" applyFont="1" applyFill="1" applyBorder="1" applyAlignment="1">
      <alignment horizontal="right" vertical="center" indent="5"/>
    </xf>
    <xf numFmtId="37" fontId="63" fillId="4" borderId="91" xfId="1" applyNumberFormat="1" applyFont="1" applyFill="1" applyBorder="1" applyAlignment="1" applyProtection="1">
      <alignment vertical="center"/>
    </xf>
    <xf numFmtId="37" fontId="61" fillId="4" borderId="91" xfId="1" applyNumberFormat="1" applyFont="1" applyFill="1" applyBorder="1" applyAlignment="1">
      <alignment vertical="center"/>
    </xf>
    <xf numFmtId="37" fontId="61" fillId="4" borderId="94" xfId="1" applyNumberFormat="1" applyFont="1" applyFill="1" applyBorder="1" applyAlignment="1">
      <alignment vertical="center"/>
    </xf>
    <xf numFmtId="37" fontId="57" fillId="4" borderId="66" xfId="1" applyNumberFormat="1" applyFont="1" applyFill="1" applyBorder="1" applyAlignment="1">
      <alignment horizontal="right" vertical="center" indent="5"/>
    </xf>
    <xf numFmtId="37" fontId="57" fillId="4" borderId="91" xfId="1" applyNumberFormat="1" applyFont="1" applyFill="1" applyBorder="1" applyAlignment="1">
      <alignment horizontal="right" vertical="center" indent="4"/>
    </xf>
    <xf numFmtId="37" fontId="63" fillId="4" borderId="91" xfId="1" applyNumberFormat="1" applyFont="1" applyFill="1" applyBorder="1" applyAlignment="1" applyProtection="1">
      <alignment horizontal="right" vertical="center" indent="4"/>
    </xf>
    <xf numFmtId="37" fontId="61" fillId="4" borderId="89" xfId="1" applyNumberFormat="1" applyFont="1" applyFill="1" applyBorder="1" applyAlignment="1">
      <alignment horizontal="right" vertical="center" indent="5"/>
    </xf>
    <xf numFmtId="37" fontId="54" fillId="4" borderId="82" xfId="1" applyNumberFormat="1" applyFont="1" applyFill="1" applyBorder="1" applyAlignment="1" applyProtection="1">
      <alignment horizontal="right" vertical="center"/>
    </xf>
    <xf numFmtId="168" fontId="51" fillId="4" borderId="78" xfId="3" applyNumberFormat="1" applyFont="1" applyFill="1" applyBorder="1" applyAlignment="1">
      <alignment horizontal="right" vertical="center" wrapText="1" indent="1"/>
    </xf>
    <xf numFmtId="168" fontId="54" fillId="4" borderId="66" xfId="3" applyNumberFormat="1" applyFont="1" applyFill="1" applyBorder="1" applyAlignment="1">
      <alignment horizontal="right" vertical="center" wrapText="1" indent="1"/>
    </xf>
    <xf numFmtId="168" fontId="55" fillId="4" borderId="78" xfId="3" applyNumberFormat="1" applyFont="1" applyFill="1" applyBorder="1" applyAlignment="1">
      <alignment horizontal="right" vertical="center" wrapText="1" indent="1"/>
    </xf>
    <xf numFmtId="168" fontId="54" fillId="4" borderId="89" xfId="3" applyNumberFormat="1" applyFont="1" applyFill="1" applyBorder="1" applyAlignment="1">
      <alignment horizontal="right" vertical="center" wrapText="1"/>
    </xf>
    <xf numFmtId="37" fontId="63" fillId="4" borderId="92" xfId="1" applyNumberFormat="1" applyFont="1" applyFill="1" applyBorder="1" applyAlignment="1">
      <alignment horizontal="right" vertical="center"/>
    </xf>
    <xf numFmtId="1" fontId="65" fillId="4" borderId="66" xfId="1" applyNumberFormat="1" applyFont="1" applyFill="1" applyBorder="1" applyAlignment="1" applyProtection="1">
      <alignment horizontal="right" vertical="center"/>
    </xf>
    <xf numFmtId="37" fontId="49" fillId="4" borderId="0" xfId="0" applyNumberFormat="1" applyFont="1" applyFill="1"/>
    <xf numFmtId="0" fontId="0" fillId="4" borderId="0" xfId="0" applyFont="1" applyFill="1" applyAlignment="1">
      <alignment vertical="center"/>
    </xf>
    <xf numFmtId="0" fontId="14" fillId="4" borderId="0" xfId="0" applyFont="1" applyFill="1" applyAlignment="1"/>
    <xf numFmtId="0" fontId="14" fillId="4" borderId="0" xfId="0" applyFont="1" applyFill="1"/>
    <xf numFmtId="0" fontId="0" fillId="4" borderId="78" xfId="0" applyFont="1" applyFill="1" applyBorder="1" applyAlignment="1"/>
    <xf numFmtId="0" fontId="14" fillId="4" borderId="78" xfId="0" applyFont="1" applyFill="1" applyBorder="1" applyAlignment="1"/>
    <xf numFmtId="3" fontId="0" fillId="4" borderId="0" xfId="1" applyNumberFormat="1" applyFont="1" applyFill="1" applyAlignment="1"/>
    <xf numFmtId="3" fontId="0" fillId="4" borderId="78" xfId="1" applyNumberFormat="1" applyFont="1" applyFill="1" applyBorder="1" applyAlignment="1"/>
    <xf numFmtId="3" fontId="0" fillId="6" borderId="0" xfId="1" applyNumberFormat="1" applyFont="1" applyFill="1" applyAlignment="1"/>
    <xf numFmtId="3" fontId="0" fillId="6" borderId="78" xfId="1" applyNumberFormat="1" applyFont="1" applyFill="1" applyBorder="1" applyAlignment="1"/>
    <xf numFmtId="0" fontId="6" fillId="4" borderId="99" xfId="0" applyFont="1" applyFill="1" applyBorder="1"/>
    <xf numFmtId="0" fontId="0" fillId="4" borderId="0" xfId="0" applyFill="1" applyAlignment="1">
      <alignment vertical="center" wrapText="1"/>
    </xf>
    <xf numFmtId="0" fontId="14" fillId="4" borderId="0" xfId="0" applyFont="1" applyFill="1" applyAlignment="1">
      <alignment vertical="center" wrapText="1"/>
    </xf>
    <xf numFmtId="0" fontId="0" fillId="4" borderId="0" xfId="0" applyFont="1" applyFill="1" applyAlignment="1">
      <alignment vertical="center" wrapText="1"/>
    </xf>
    <xf numFmtId="0" fontId="6" fillId="4" borderId="99" xfId="0" applyFont="1" applyFill="1" applyBorder="1" applyAlignment="1">
      <alignment vertical="center"/>
    </xf>
    <xf numFmtId="0" fontId="37" fillId="4" borderId="78" xfId="0" applyFont="1" applyFill="1" applyBorder="1" applyAlignment="1">
      <alignment vertical="center" wrapText="1"/>
    </xf>
    <xf numFmtId="0" fontId="37" fillId="3" borderId="2" xfId="0" applyFont="1" applyFill="1" applyBorder="1" applyAlignment="1">
      <alignment vertical="center"/>
    </xf>
    <xf numFmtId="37" fontId="54" fillId="4" borderId="92" xfId="1" applyNumberFormat="1" applyFont="1" applyFill="1" applyBorder="1" applyAlignment="1" applyProtection="1">
      <alignment horizontal="center" vertical="center"/>
    </xf>
    <xf numFmtId="37" fontId="57" fillId="4" borderId="91" xfId="1" applyNumberFormat="1" applyFont="1" applyFill="1" applyBorder="1" applyAlignment="1">
      <alignment vertical="center"/>
    </xf>
    <xf numFmtId="37" fontId="63" fillId="4" borderId="94" xfId="1" applyNumberFormat="1" applyFont="1" applyFill="1" applyBorder="1" applyAlignment="1" applyProtection="1">
      <alignment vertical="center"/>
    </xf>
    <xf numFmtId="37" fontId="63" fillId="4" borderId="78" xfId="1" applyNumberFormat="1" applyFont="1" applyFill="1" applyBorder="1" applyAlignment="1" applyProtection="1">
      <alignment vertical="center"/>
    </xf>
    <xf numFmtId="3" fontId="64" fillId="4" borderId="78" xfId="2" applyNumberFormat="1" applyFont="1" applyFill="1" applyBorder="1" applyAlignment="1" applyProtection="1">
      <alignment horizontal="right" vertical="center"/>
    </xf>
    <xf numFmtId="37" fontId="57" fillId="4" borderId="93" xfId="7" applyNumberFormat="1" applyFont="1" applyFill="1" applyBorder="1" applyAlignment="1">
      <alignment vertical="center"/>
    </xf>
    <xf numFmtId="37" fontId="63" fillId="4" borderId="93" xfId="7" applyNumberFormat="1" applyFont="1" applyFill="1" applyBorder="1" applyAlignment="1">
      <alignment vertical="center"/>
    </xf>
    <xf numFmtId="37" fontId="61" fillId="4" borderId="90" xfId="7" applyNumberFormat="1" applyFont="1" applyFill="1" applyBorder="1" applyAlignment="1">
      <alignment vertical="center"/>
    </xf>
    <xf numFmtId="169" fontId="39" fillId="4" borderId="100" xfId="7" applyNumberFormat="1" applyFont="1" applyFill="1" applyBorder="1" applyAlignment="1">
      <alignment horizontal="right" vertical="center" wrapText="1"/>
    </xf>
    <xf numFmtId="168" fontId="65" fillId="4" borderId="100" xfId="3" applyNumberFormat="1" applyFont="1" applyFill="1" applyBorder="1" applyAlignment="1">
      <alignment horizontal="right" vertical="center" wrapText="1"/>
    </xf>
    <xf numFmtId="169" fontId="39" fillId="4" borderId="100" xfId="7" applyNumberFormat="1" applyFont="1" applyFill="1" applyBorder="1" applyAlignment="1">
      <alignment horizontal="right" vertical="center"/>
    </xf>
    <xf numFmtId="169" fontId="57" fillId="4" borderId="100" xfId="7" applyNumberFormat="1" applyFont="1" applyFill="1" applyBorder="1" applyAlignment="1">
      <alignment horizontal="right" vertical="center" wrapText="1"/>
    </xf>
    <xf numFmtId="0" fontId="0" fillId="4" borderId="0" xfId="0" applyFill="1" applyAlignment="1">
      <alignment horizontal="center" vertical="center"/>
    </xf>
    <xf numFmtId="168" fontId="55" fillId="4" borderId="78" xfId="3" applyNumberFormat="1" applyFont="1" applyFill="1" applyBorder="1" applyAlignment="1">
      <alignment horizontal="right" vertical="center" wrapText="1"/>
    </xf>
    <xf numFmtId="168" fontId="87" fillId="4" borderId="78" xfId="3" applyNumberFormat="1" applyFont="1" applyFill="1" applyBorder="1" applyAlignment="1">
      <alignment horizontal="right" vertical="center" wrapText="1"/>
    </xf>
    <xf numFmtId="170" fontId="71" fillId="4" borderId="0" xfId="0" applyNumberFormat="1" applyFont="1" applyFill="1" applyAlignment="1">
      <alignment horizontal="left" vertical="center"/>
    </xf>
    <xf numFmtId="164" fontId="57" fillId="4" borderId="66" xfId="7" applyNumberFormat="1" applyFont="1" applyFill="1" applyAlignment="1">
      <alignment horizontal="right" vertical="center"/>
    </xf>
    <xf numFmtId="0" fontId="46" fillId="4" borderId="0" xfId="0" applyFont="1" applyFill="1" applyAlignment="1">
      <alignment horizontal="right" vertical="center"/>
    </xf>
    <xf numFmtId="0" fontId="56" fillId="4" borderId="0" xfId="0" applyFont="1" applyFill="1" applyAlignment="1">
      <alignment horizontal="center" vertical="center"/>
    </xf>
    <xf numFmtId="1" fontId="56" fillId="4" borderId="0" xfId="0" applyNumberFormat="1" applyFont="1" applyFill="1" applyAlignment="1">
      <alignment horizontal="center" vertical="center"/>
    </xf>
    <xf numFmtId="170" fontId="60" fillId="4" borderId="66" xfId="7" applyNumberFormat="1" applyFont="1" applyFill="1" applyBorder="1" applyAlignment="1">
      <alignment vertical="center"/>
    </xf>
    <xf numFmtId="0" fontId="46" fillId="4" borderId="0" xfId="0" applyFont="1" applyFill="1" applyAlignment="1">
      <alignment vertical="center"/>
    </xf>
    <xf numFmtId="0" fontId="56" fillId="4" borderId="0" xfId="0" applyFont="1" applyFill="1" applyAlignment="1">
      <alignment vertical="center"/>
    </xf>
    <xf numFmtId="164" fontId="57" fillId="4" borderId="66" xfId="7" applyNumberFormat="1" applyFont="1" applyFill="1" applyBorder="1" applyAlignment="1">
      <alignment horizontal="right" vertical="center"/>
    </xf>
    <xf numFmtId="0" fontId="46" fillId="4" borderId="66" xfId="0" applyFont="1" applyFill="1" applyBorder="1" applyAlignment="1">
      <alignment vertical="center"/>
    </xf>
    <xf numFmtId="170" fontId="60" fillId="4" borderId="78" xfId="7" applyNumberFormat="1" applyFont="1" applyFill="1" applyBorder="1" applyAlignment="1">
      <alignment vertical="center"/>
    </xf>
    <xf numFmtId="164" fontId="57" fillId="4" borderId="78" xfId="7" applyNumberFormat="1" applyFont="1" applyFill="1" applyBorder="1" applyAlignment="1">
      <alignment horizontal="right" vertical="center"/>
    </xf>
    <xf numFmtId="0" fontId="46" fillId="4" borderId="78" xfId="0" applyFont="1" applyFill="1" applyBorder="1" applyAlignment="1">
      <alignment vertical="center"/>
    </xf>
    <xf numFmtId="0" fontId="66" fillId="4" borderId="0" xfId="0" applyNumberFormat="1" applyFont="1" applyFill="1"/>
    <xf numFmtId="3" fontId="74" fillId="4" borderId="66" xfId="2" applyNumberFormat="1" applyFont="1" applyFill="1" applyBorder="1" applyAlignment="1">
      <alignment vertical="center"/>
    </xf>
    <xf numFmtId="164" fontId="75" fillId="4" borderId="66" xfId="7" applyNumberFormat="1" applyFont="1" applyFill="1" applyBorder="1" applyAlignment="1">
      <alignment horizontal="center" vertical="center"/>
    </xf>
    <xf numFmtId="4" fontId="75" fillId="4" borderId="66" xfId="7" applyNumberFormat="1" applyFont="1" applyFill="1" applyBorder="1" applyAlignment="1">
      <alignment horizontal="center" vertical="center"/>
    </xf>
    <xf numFmtId="164" fontId="75" fillId="4" borderId="66" xfId="7" applyNumberFormat="1" applyFont="1" applyFill="1" applyBorder="1" applyAlignment="1">
      <alignment horizontal="right" vertical="center"/>
    </xf>
    <xf numFmtId="164" fontId="0" fillId="4" borderId="0" xfId="0" applyNumberFormat="1" applyFont="1" applyFill="1" applyAlignment="1">
      <alignment vertical="center"/>
    </xf>
    <xf numFmtId="169" fontId="39" fillId="4" borderId="66" xfId="7" applyNumberFormat="1" applyFont="1" applyFill="1" applyBorder="1" applyAlignment="1">
      <alignment horizontal="right" vertical="center" wrapText="1"/>
    </xf>
    <xf numFmtId="168" fontId="65" fillId="4" borderId="66" xfId="3" applyNumberFormat="1" applyFont="1" applyFill="1" applyBorder="1" applyAlignment="1">
      <alignment horizontal="right" vertical="center" wrapText="1"/>
    </xf>
    <xf numFmtId="169" fontId="39" fillId="4" borderId="66" xfId="7" applyNumberFormat="1" applyFont="1" applyFill="1" applyBorder="1" applyAlignment="1">
      <alignment horizontal="right" vertical="center"/>
    </xf>
    <xf numFmtId="169" fontId="57" fillId="4" borderId="66" xfId="7" applyNumberFormat="1" applyFont="1" applyFill="1" applyBorder="1" applyAlignment="1">
      <alignment horizontal="right" vertical="center" wrapText="1"/>
    </xf>
    <xf numFmtId="168" fontId="87" fillId="4" borderId="66" xfId="3" applyNumberFormat="1" applyFont="1" applyFill="1" applyBorder="1" applyAlignment="1">
      <alignment horizontal="right" vertical="center" wrapText="1"/>
    </xf>
    <xf numFmtId="170" fontId="71" fillId="4" borderId="66" xfId="0" applyNumberFormat="1" applyFont="1" applyFill="1" applyBorder="1" applyAlignment="1">
      <alignment horizontal="left" vertical="center"/>
    </xf>
    <xf numFmtId="0" fontId="46" fillId="4" borderId="66" xfId="0" applyFont="1" applyFill="1" applyBorder="1" applyAlignment="1">
      <alignment horizontal="right" vertical="center"/>
    </xf>
    <xf numFmtId="164" fontId="70" fillId="4" borderId="66" xfId="7" applyNumberFormat="1" applyFont="1" applyFill="1" applyBorder="1" applyAlignment="1">
      <alignment horizontal="right" vertical="center"/>
    </xf>
    <xf numFmtId="0" fontId="66" fillId="4" borderId="66" xfId="0" applyNumberFormat="1" applyFont="1" applyFill="1" applyBorder="1"/>
    <xf numFmtId="3" fontId="42" fillId="4" borderId="66" xfId="2" applyNumberFormat="1" applyFont="1" applyFill="1" applyBorder="1" applyAlignment="1">
      <alignment vertical="center" readingOrder="2"/>
    </xf>
    <xf numFmtId="3" fontId="44" fillId="4" borderId="66" xfId="2" applyNumberFormat="1" applyFont="1" applyFill="1" applyBorder="1" applyAlignment="1" applyProtection="1">
      <alignment vertical="center"/>
    </xf>
    <xf numFmtId="0" fontId="0" fillId="4" borderId="66" xfId="0" applyFill="1" applyBorder="1" applyAlignment="1">
      <alignment horizontal="center" vertical="center"/>
    </xf>
    <xf numFmtId="0" fontId="56" fillId="4" borderId="66" xfId="0" applyFont="1" applyFill="1" applyBorder="1" applyAlignment="1">
      <alignment horizontal="center" vertical="center"/>
    </xf>
    <xf numFmtId="0" fontId="56" fillId="4" borderId="66" xfId="0" applyFont="1" applyFill="1" applyBorder="1" applyAlignment="1">
      <alignment vertical="center"/>
    </xf>
    <xf numFmtId="0" fontId="0" fillId="4" borderId="66" xfId="0" applyFont="1" applyFill="1" applyBorder="1" applyAlignment="1">
      <alignment vertical="center"/>
    </xf>
    <xf numFmtId="164" fontId="70" fillId="4" borderId="66" xfId="7" applyNumberFormat="1" applyFont="1" applyFill="1" applyAlignment="1">
      <alignment horizontal="right" vertical="center"/>
    </xf>
    <xf numFmtId="164" fontId="70" fillId="4" borderId="78" xfId="7" applyNumberFormat="1" applyFont="1" applyFill="1" applyBorder="1" applyAlignment="1">
      <alignment horizontal="right" vertical="center"/>
    </xf>
    <xf numFmtId="170" fontId="57" fillId="4" borderId="66" xfId="7" applyNumberFormat="1" applyFont="1" applyFill="1" applyAlignment="1">
      <alignment horizontal="center" vertical="center"/>
    </xf>
    <xf numFmtId="0" fontId="46" fillId="4" borderId="0" xfId="0" applyFont="1" applyFill="1" applyAlignment="1">
      <alignment horizontal="right" vertical="center" indent="3"/>
    </xf>
    <xf numFmtId="170" fontId="56" fillId="4" borderId="0" xfId="0" applyNumberFormat="1" applyFont="1" applyFill="1" applyAlignment="1">
      <alignment horizontal="center" vertical="center"/>
    </xf>
    <xf numFmtId="170" fontId="60" fillId="4" borderId="66" xfId="7" applyNumberFormat="1" applyFont="1" applyFill="1" applyBorder="1" applyAlignment="1"/>
    <xf numFmtId="170" fontId="71" fillId="4" borderId="66" xfId="7" applyNumberFormat="1" applyFont="1" applyFill="1"/>
    <xf numFmtId="170" fontId="62" fillId="4" borderId="66" xfId="7" applyNumberFormat="1" applyFont="1" applyFill="1" applyBorder="1" applyAlignment="1"/>
    <xf numFmtId="170" fontId="61" fillId="4" borderId="66" xfId="7" applyNumberFormat="1" applyFont="1" applyFill="1"/>
    <xf numFmtId="3" fontId="89" fillId="4" borderId="66" xfId="2" applyNumberFormat="1" applyFont="1" applyFill="1" applyBorder="1" applyAlignment="1" applyProtection="1">
      <alignment horizontal="right" vertical="center" indent="3"/>
    </xf>
    <xf numFmtId="169" fontId="39" fillId="4" borderId="66" xfId="0" applyNumberFormat="1" applyFont="1" applyFill="1" applyBorder="1" applyAlignment="1">
      <alignment horizontal="right"/>
    </xf>
    <xf numFmtId="0" fontId="90" fillId="4" borderId="66" xfId="0" applyFont="1" applyFill="1" applyBorder="1"/>
    <xf numFmtId="170" fontId="70" fillId="4" borderId="66" xfId="7" applyNumberFormat="1" applyFont="1" applyFill="1" applyBorder="1" applyAlignment="1"/>
    <xf numFmtId="169" fontId="91" fillId="4" borderId="66" xfId="7" applyNumberFormat="1" applyFont="1" applyFill="1" applyBorder="1" applyAlignment="1">
      <alignment horizontal="right" vertical="center" wrapText="1"/>
    </xf>
    <xf numFmtId="169" fontId="91" fillId="4" borderId="66" xfId="7" applyNumberFormat="1" applyFont="1" applyFill="1" applyBorder="1" applyAlignment="1">
      <alignment horizontal="right" vertical="center"/>
    </xf>
    <xf numFmtId="170" fontId="91" fillId="4" borderId="66" xfId="7" applyNumberFormat="1" applyFont="1" applyFill="1" applyBorder="1" applyAlignment="1">
      <alignment horizontal="center" vertical="center"/>
    </xf>
    <xf numFmtId="170" fontId="91" fillId="4" borderId="66" xfId="7" applyNumberFormat="1" applyFont="1" applyFill="1" applyBorder="1" applyAlignment="1">
      <alignment horizontal="right" vertical="center"/>
    </xf>
    <xf numFmtId="170" fontId="90" fillId="4" borderId="66" xfId="7" applyNumberFormat="1" applyFont="1" applyFill="1" applyBorder="1"/>
    <xf numFmtId="170" fontId="0" fillId="4" borderId="66" xfId="0" applyNumberFormat="1" applyFill="1" applyBorder="1"/>
    <xf numFmtId="170" fontId="62" fillId="4" borderId="78" xfId="7" applyNumberFormat="1" applyFont="1" applyFill="1" applyBorder="1" applyAlignment="1">
      <alignment vertical="center"/>
    </xf>
    <xf numFmtId="3" fontId="86" fillId="4" borderId="78" xfId="2" applyNumberFormat="1" applyFont="1" applyFill="1" applyBorder="1" applyAlignment="1" applyProtection="1">
      <alignment horizontal="right" vertical="center"/>
    </xf>
    <xf numFmtId="0" fontId="66" fillId="4" borderId="0" xfId="0" applyNumberFormat="1" applyFont="1" applyFill="1" applyAlignment="1">
      <alignment vertical="center"/>
    </xf>
    <xf numFmtId="0" fontId="76" fillId="4" borderId="0" xfId="0" applyFont="1" applyFill="1" applyAlignment="1">
      <alignment vertical="center"/>
    </xf>
    <xf numFmtId="0" fontId="49" fillId="4" borderId="0" xfId="0" applyFont="1" applyFill="1" applyAlignment="1">
      <alignment vertical="center"/>
    </xf>
    <xf numFmtId="0" fontId="76" fillId="4" borderId="66" xfId="0" applyFont="1" applyFill="1" applyBorder="1" applyAlignment="1">
      <alignment vertical="center"/>
    </xf>
    <xf numFmtId="0" fontId="93" fillId="4" borderId="0" xfId="0" applyNumberFormat="1" applyFont="1" applyFill="1" applyAlignment="1">
      <alignment vertical="center"/>
    </xf>
    <xf numFmtId="169" fontId="0" fillId="4" borderId="66" xfId="7" applyNumberFormat="1" applyFont="1" applyFill="1"/>
    <xf numFmtId="169" fontId="0" fillId="4" borderId="66" xfId="7" applyNumberFormat="1" applyFont="1" applyFill="1" applyAlignment="1">
      <alignment horizontal="right"/>
    </xf>
    <xf numFmtId="169" fontId="39" fillId="4" borderId="66" xfId="7" applyNumberFormat="1" applyFont="1" applyFill="1"/>
    <xf numFmtId="170" fontId="70" fillId="4" borderId="66" xfId="7" applyNumberFormat="1" applyFont="1" applyFill="1"/>
    <xf numFmtId="170" fontId="70" fillId="4" borderId="66" xfId="7" applyNumberFormat="1" applyFont="1" applyFill="1" applyAlignment="1">
      <alignment horizontal="right"/>
    </xf>
    <xf numFmtId="170" fontId="61" fillId="4" borderId="78" xfId="7" applyNumberFormat="1" applyFont="1" applyFill="1" applyBorder="1" applyAlignment="1">
      <alignment vertical="center"/>
    </xf>
    <xf numFmtId="0" fontId="1" fillId="4" borderId="0" xfId="0" applyFont="1" applyFill="1"/>
    <xf numFmtId="0" fontId="98" fillId="4" borderId="78" xfId="0" applyFont="1" applyFill="1" applyBorder="1" applyAlignment="1">
      <alignment vertical="center"/>
    </xf>
    <xf numFmtId="0" fontId="57" fillId="4" borderId="66" xfId="0" applyFont="1" applyFill="1" applyBorder="1" applyAlignment="1">
      <alignment vertical="center"/>
    </xf>
    <xf numFmtId="0" fontId="99" fillId="4" borderId="66" xfId="0" applyFont="1" applyFill="1" applyBorder="1" applyAlignment="1">
      <alignment horizontal="right" vertical="center"/>
    </xf>
    <xf numFmtId="168" fontId="100" fillId="4" borderId="0" xfId="0" applyNumberFormat="1" applyFont="1" applyFill="1"/>
    <xf numFmtId="0" fontId="1" fillId="4" borderId="0" xfId="0" applyFont="1" applyFill="1" applyAlignment="1">
      <alignment vertical="center"/>
    </xf>
    <xf numFmtId="164" fontId="61" fillId="4" borderId="66" xfId="7" applyNumberFormat="1" applyFont="1" applyFill="1" applyAlignment="1">
      <alignment horizontal="right" vertical="center"/>
    </xf>
    <xf numFmtId="4" fontId="1" fillId="4" borderId="0" xfId="0" applyNumberFormat="1" applyFont="1" applyFill="1" applyAlignment="1">
      <alignment vertical="center"/>
    </xf>
    <xf numFmtId="3" fontId="66" fillId="4" borderId="66" xfId="2" applyNumberFormat="1" applyFont="1" applyFill="1" applyBorder="1" applyAlignment="1">
      <alignment vertical="center"/>
    </xf>
    <xf numFmtId="168" fontId="49" fillId="4" borderId="66" xfId="5" applyNumberFormat="1" applyFont="1" applyFill="1" applyAlignment="1">
      <alignment horizontal="right" vertical="center"/>
    </xf>
    <xf numFmtId="168" fontId="66" fillId="4" borderId="66" xfId="3" applyNumberFormat="1" applyFont="1" applyFill="1" applyBorder="1" applyAlignment="1" applyProtection="1">
      <alignment horizontal="left" vertical="top"/>
    </xf>
    <xf numFmtId="4" fontId="102" fillId="4" borderId="0" xfId="0" applyNumberFormat="1" applyFont="1" applyFill="1" applyAlignment="1">
      <alignment vertical="top"/>
    </xf>
    <xf numFmtId="0" fontId="102" fillId="4" borderId="0" xfId="0" applyFont="1" applyFill="1"/>
    <xf numFmtId="4" fontId="102" fillId="4" borderId="0" xfId="0" applyNumberFormat="1" applyFont="1" applyFill="1"/>
    <xf numFmtId="0" fontId="0" fillId="4" borderId="0" xfId="0" applyFont="1" applyFill="1"/>
    <xf numFmtId="4" fontId="1" fillId="4" borderId="0" xfId="0" applyNumberFormat="1" applyFont="1" applyFill="1"/>
    <xf numFmtId="0" fontId="103" fillId="4" borderId="0" xfId="0" applyFont="1" applyFill="1"/>
    <xf numFmtId="168" fontId="53" fillId="4" borderId="0" xfId="0" applyNumberFormat="1" applyFont="1" applyFill="1"/>
    <xf numFmtId="168" fontId="104" fillId="4" borderId="66" xfId="3" applyNumberFormat="1" applyFont="1" applyFill="1" applyBorder="1" applyAlignment="1" applyProtection="1">
      <alignment horizontal="left" vertical="center"/>
    </xf>
    <xf numFmtId="164" fontId="104" fillId="4" borderId="66" xfId="7" applyNumberFormat="1" applyFont="1" applyFill="1" applyBorder="1" applyAlignment="1" applyProtection="1">
      <alignment horizontal="right" vertical="center"/>
    </xf>
    <xf numFmtId="3" fontId="105" fillId="4" borderId="66" xfId="2" applyNumberFormat="1" applyFont="1" applyFill="1" applyBorder="1" applyAlignment="1" applyProtection="1">
      <alignment horizontal="right" vertical="center" indent="2"/>
    </xf>
    <xf numFmtId="168" fontId="106" fillId="4" borderId="0" xfId="0" applyNumberFormat="1" applyFont="1" applyFill="1"/>
    <xf numFmtId="0" fontId="106" fillId="4" borderId="66" xfId="0" applyFont="1" applyFill="1" applyBorder="1"/>
    <xf numFmtId="43" fontId="106" fillId="4" borderId="66" xfId="7" applyFont="1" applyFill="1" applyBorder="1"/>
    <xf numFmtId="168" fontId="106" fillId="4" borderId="66" xfId="0" applyNumberFormat="1" applyFont="1" applyFill="1" applyBorder="1"/>
    <xf numFmtId="4" fontId="106" fillId="4" borderId="66" xfId="7" applyNumberFormat="1" applyFont="1" applyFill="1" applyBorder="1" applyAlignment="1">
      <alignment horizontal="center" vertical="center"/>
    </xf>
    <xf numFmtId="3" fontId="107" fillId="4" borderId="66" xfId="2" applyNumberFormat="1" applyFont="1" applyFill="1" applyBorder="1"/>
    <xf numFmtId="164" fontId="108" fillId="4" borderId="66" xfId="7" applyNumberFormat="1" applyFont="1" applyFill="1" applyBorder="1" applyAlignment="1">
      <alignment horizontal="right" vertical="center"/>
    </xf>
    <xf numFmtId="170" fontId="109" fillId="4" borderId="66" xfId="7" applyNumberFormat="1" applyFont="1" applyFill="1"/>
    <xf numFmtId="3" fontId="110" fillId="4" borderId="66" xfId="2" applyNumberFormat="1" applyFont="1" applyFill="1" applyBorder="1" applyAlignment="1" applyProtection="1">
      <alignment horizontal="right" vertical="center" indent="2"/>
    </xf>
    <xf numFmtId="4" fontId="111" fillId="4" borderId="66" xfId="7" applyNumberFormat="1" applyFont="1" applyFill="1" applyBorder="1" applyAlignment="1">
      <alignment horizontal="center" vertical="center"/>
    </xf>
    <xf numFmtId="43" fontId="111" fillId="4" borderId="66" xfId="7" applyFont="1" applyFill="1" applyBorder="1"/>
    <xf numFmtId="168" fontId="111" fillId="4" borderId="66" xfId="0" applyNumberFormat="1" applyFont="1" applyFill="1" applyBorder="1"/>
    <xf numFmtId="0" fontId="111" fillId="4" borderId="66" xfId="0" applyFont="1" applyFill="1" applyBorder="1"/>
    <xf numFmtId="3" fontId="107" fillId="4" borderId="78" xfId="2" applyNumberFormat="1" applyFont="1" applyFill="1" applyBorder="1"/>
    <xf numFmtId="164" fontId="108" fillId="4" borderId="78" xfId="7" applyNumberFormat="1" applyFont="1" applyFill="1" applyBorder="1" applyAlignment="1">
      <alignment horizontal="right" vertical="center"/>
    </xf>
    <xf numFmtId="164" fontId="109" fillId="4" borderId="78" xfId="7" applyNumberFormat="1" applyFont="1" applyFill="1" applyBorder="1" applyAlignment="1">
      <alignment horizontal="right" vertical="center"/>
    </xf>
    <xf numFmtId="3" fontId="112" fillId="4" borderId="78" xfId="2" applyNumberFormat="1" applyFont="1" applyFill="1" applyBorder="1" applyAlignment="1" applyProtection="1">
      <alignment horizontal="right" vertical="center" indent="2"/>
    </xf>
    <xf numFmtId="168" fontId="0" fillId="4" borderId="0" xfId="0" applyNumberFormat="1" applyFill="1" applyAlignment="1">
      <alignment horizontal="right"/>
    </xf>
    <xf numFmtId="43" fontId="0" fillId="4" borderId="66" xfId="7" applyFont="1" applyFill="1"/>
    <xf numFmtId="168" fontId="53" fillId="4" borderId="66" xfId="3" applyNumberFormat="1" applyFont="1" applyFill="1" applyBorder="1"/>
    <xf numFmtId="171" fontId="0" fillId="4" borderId="66" xfId="7" applyNumberFormat="1" applyFont="1" applyFill="1"/>
    <xf numFmtId="3" fontId="113" fillId="4" borderId="66" xfId="2" applyNumberFormat="1" applyFont="1" applyFill="1"/>
    <xf numFmtId="0" fontId="46" fillId="4" borderId="81" xfId="0" applyFont="1" applyFill="1" applyBorder="1" applyAlignment="1">
      <alignment horizontal="right" vertical="center" wrapText="1"/>
    </xf>
    <xf numFmtId="0" fontId="46" fillId="4" borderId="81" xfId="0" applyFont="1" applyFill="1" applyBorder="1" applyAlignment="1">
      <alignment horizontal="right" wrapText="1"/>
    </xf>
    <xf numFmtId="4" fontId="46" fillId="4" borderId="81" xfId="0" applyNumberFormat="1" applyFont="1" applyFill="1" applyBorder="1" applyAlignment="1">
      <alignment horizontal="right" wrapText="1"/>
    </xf>
    <xf numFmtId="3" fontId="114" fillId="4" borderId="78" xfId="2" applyNumberFormat="1" applyFont="1" applyFill="1" applyBorder="1" applyAlignment="1">
      <alignment horizontal="right" vertical="center"/>
    </xf>
    <xf numFmtId="168" fontId="57" fillId="4" borderId="78" xfId="3" applyNumberFormat="1" applyFont="1" applyFill="1" applyBorder="1" applyAlignment="1">
      <alignment horizontal="right" vertical="center" wrapText="1"/>
    </xf>
    <xf numFmtId="4" fontId="57" fillId="4" borderId="78" xfId="3" applyNumberFormat="1" applyFont="1" applyFill="1" applyBorder="1" applyAlignment="1">
      <alignment horizontal="right" vertical="center" wrapText="1"/>
    </xf>
    <xf numFmtId="0" fontId="39" fillId="4" borderId="99" xfId="2" applyNumberFormat="1" applyFont="1" applyFill="1" applyBorder="1" applyAlignment="1" applyProtection="1">
      <alignment horizontal="right" vertical="center"/>
    </xf>
    <xf numFmtId="168" fontId="116" fillId="4" borderId="66" xfId="0" applyNumberFormat="1" applyFont="1" applyFill="1" applyBorder="1"/>
    <xf numFmtId="168" fontId="57" fillId="4" borderId="66" xfId="3" applyNumberFormat="1" applyFont="1" applyFill="1" applyBorder="1" applyAlignment="1" applyProtection="1">
      <alignment horizontal="left" vertical="center"/>
    </xf>
    <xf numFmtId="3" fontId="57" fillId="4" borderId="66" xfId="3" applyNumberFormat="1" applyFont="1" applyFill="1" applyBorder="1" applyAlignment="1" applyProtection="1">
      <alignment horizontal="right" vertical="center"/>
    </xf>
    <xf numFmtId="164" fontId="57" fillId="4" borderId="66" xfId="7" applyNumberFormat="1" applyFont="1" applyFill="1" applyBorder="1" applyAlignment="1" applyProtection="1">
      <alignment horizontal="right" vertical="center"/>
    </xf>
    <xf numFmtId="164" fontId="57" fillId="4" borderId="66" xfId="7" applyNumberFormat="1" applyFont="1" applyFill="1" applyBorder="1" applyAlignment="1" applyProtection="1">
      <alignment horizontal="center" vertical="center"/>
    </xf>
    <xf numFmtId="3" fontId="47" fillId="4" borderId="66" xfId="2" applyNumberFormat="1" applyFont="1" applyFill="1" applyBorder="1" applyAlignment="1" applyProtection="1">
      <alignment horizontal="right" vertical="center" indent="2"/>
    </xf>
    <xf numFmtId="168" fontId="1" fillId="4" borderId="0" xfId="0" applyNumberFormat="1" applyFont="1" applyFill="1"/>
    <xf numFmtId="0" fontId="1" fillId="4" borderId="66" xfId="0" applyFont="1" applyFill="1" applyBorder="1"/>
    <xf numFmtId="43" fontId="1" fillId="4" borderId="66" xfId="7" applyFont="1" applyFill="1" applyBorder="1"/>
    <xf numFmtId="168" fontId="1" fillId="4" borderId="66" xfId="0" applyNumberFormat="1" applyFont="1" applyFill="1" applyBorder="1"/>
    <xf numFmtId="4" fontId="1" fillId="4" borderId="66" xfId="7" applyNumberFormat="1" applyFont="1" applyFill="1" applyBorder="1" applyAlignment="1">
      <alignment horizontal="center" vertical="center"/>
    </xf>
    <xf numFmtId="164" fontId="1" fillId="4" borderId="66" xfId="7" applyNumberFormat="1" applyFont="1" applyFill="1" applyBorder="1"/>
    <xf numFmtId="164" fontId="1" fillId="4" borderId="66" xfId="0" applyNumberFormat="1" applyFont="1" applyFill="1" applyBorder="1"/>
    <xf numFmtId="3" fontId="57" fillId="4" borderId="66" xfId="2" applyNumberFormat="1" applyFont="1" applyFill="1" applyBorder="1"/>
    <xf numFmtId="3" fontId="115" fillId="4" borderId="66" xfId="2" applyNumberFormat="1" applyFont="1" applyFill="1" applyBorder="1" applyAlignment="1" applyProtection="1">
      <alignment horizontal="right" vertical="center" indent="2"/>
    </xf>
    <xf numFmtId="3" fontId="61" fillId="4" borderId="66" xfId="2" applyNumberFormat="1" applyFont="1" applyFill="1" applyBorder="1"/>
    <xf numFmtId="3" fontId="117" fillId="4" borderId="66" xfId="2" applyNumberFormat="1" applyFont="1" applyFill="1" applyBorder="1" applyAlignment="1" applyProtection="1">
      <alignment horizontal="right" vertical="center" indent="2"/>
    </xf>
    <xf numFmtId="3" fontId="119" fillId="4" borderId="66" xfId="2" applyNumberFormat="1" applyFont="1" applyFill="1" applyBorder="1" applyAlignment="1" applyProtection="1">
      <alignment horizontal="right" vertical="center" indent="2"/>
    </xf>
    <xf numFmtId="3" fontId="120" fillId="4" borderId="66" xfId="2" applyNumberFormat="1" applyFont="1" applyFill="1" applyBorder="1" applyAlignment="1" applyProtection="1">
      <alignment horizontal="right" vertical="center" indent="2"/>
    </xf>
    <xf numFmtId="168" fontId="1" fillId="4" borderId="66" xfId="0" applyNumberFormat="1" applyFont="1" applyFill="1" applyBorder="1" applyAlignment="1">
      <alignment horizontal="right" indent="2"/>
    </xf>
    <xf numFmtId="3" fontId="117" fillId="4" borderId="66" xfId="2" applyNumberFormat="1" applyFont="1" applyFill="1" applyBorder="1" applyAlignment="1">
      <alignment horizontal="right" vertical="center" indent="2"/>
    </xf>
    <xf numFmtId="3" fontId="61" fillId="4" borderId="66" xfId="2" applyNumberFormat="1" applyFont="1" applyFill="1"/>
    <xf numFmtId="43" fontId="1" fillId="4" borderId="66" xfId="7" applyFont="1" applyFill="1"/>
    <xf numFmtId="3" fontId="61" fillId="4" borderId="78" xfId="2" applyNumberFormat="1" applyFont="1" applyFill="1" applyBorder="1"/>
    <xf numFmtId="3" fontId="57" fillId="4" borderId="78" xfId="3" applyNumberFormat="1" applyFont="1" applyFill="1" applyBorder="1" applyAlignment="1" applyProtection="1">
      <alignment horizontal="right" vertical="center"/>
    </xf>
    <xf numFmtId="164" fontId="57" fillId="4" borderId="78" xfId="7" applyNumberFormat="1" applyFont="1" applyFill="1" applyBorder="1" applyAlignment="1" applyProtection="1">
      <alignment horizontal="center" vertical="center"/>
    </xf>
    <xf numFmtId="3" fontId="49" fillId="4" borderId="78" xfId="2" applyNumberFormat="1" applyFont="1" applyFill="1" applyBorder="1" applyAlignment="1" applyProtection="1">
      <alignment horizontal="right" vertical="center" indent="2"/>
    </xf>
    <xf numFmtId="3" fontId="122" fillId="4" borderId="66" xfId="2" applyNumberFormat="1" applyFont="1" applyFill="1" applyAlignment="1">
      <alignment vertical="center"/>
    </xf>
    <xf numFmtId="3" fontId="122" fillId="4" borderId="66" xfId="2" applyNumberFormat="1" applyFont="1" applyFill="1" applyAlignment="1">
      <alignment horizontal="right" vertical="center"/>
    </xf>
    <xf numFmtId="168" fontId="1" fillId="4" borderId="0" xfId="0" applyNumberFormat="1" applyFont="1" applyFill="1" applyAlignment="1">
      <alignment horizontal="right"/>
    </xf>
    <xf numFmtId="0" fontId="117" fillId="4" borderId="66" xfId="2" applyFont="1" applyFill="1" applyAlignment="1">
      <alignment horizontal="right" vertical="center"/>
    </xf>
    <xf numFmtId="168" fontId="66" fillId="4" borderId="66" xfId="3" applyNumberFormat="1" applyFont="1" applyFill="1" applyBorder="1" applyAlignment="1" applyProtection="1">
      <alignment horizontal="left" vertical="center"/>
    </xf>
    <xf numFmtId="168" fontId="66" fillId="4" borderId="66" xfId="3" applyNumberFormat="1" applyFont="1" applyFill="1" applyBorder="1" applyAlignment="1" applyProtection="1">
      <alignment horizontal="right" vertical="center"/>
    </xf>
    <xf numFmtId="168" fontId="51" fillId="4" borderId="66" xfId="3" applyNumberFormat="1" applyFont="1" applyFill="1" applyBorder="1" applyAlignment="1">
      <alignment horizontal="center" vertical="center" wrapText="1"/>
    </xf>
    <xf numFmtId="168" fontId="52" fillId="4" borderId="66" xfId="3" applyNumberFormat="1" applyFont="1" applyFill="1" applyBorder="1" applyAlignment="1">
      <alignment horizontal="right" vertical="center" wrapText="1"/>
    </xf>
    <xf numFmtId="3" fontId="44" fillId="4" borderId="66" xfId="2" applyNumberFormat="1" applyFont="1" applyFill="1" applyBorder="1" applyAlignment="1" applyProtection="1">
      <alignment horizontal="center" vertical="center"/>
    </xf>
    <xf numFmtId="0" fontId="46" fillId="4" borderId="66" xfId="0" applyFont="1" applyFill="1" applyBorder="1" applyAlignment="1">
      <alignment horizontal="center" vertical="center" wrapText="1"/>
    </xf>
    <xf numFmtId="0" fontId="47" fillId="4" borderId="66" xfId="0" applyFont="1" applyFill="1" applyBorder="1" applyAlignment="1">
      <alignment horizontal="center" vertical="center" wrapText="1"/>
    </xf>
    <xf numFmtId="168" fontId="80" fillId="4" borderId="66" xfId="3" applyNumberFormat="1" applyFont="1" applyFill="1" applyBorder="1" applyAlignment="1">
      <alignment horizontal="right" vertical="center" wrapText="1"/>
    </xf>
    <xf numFmtId="0" fontId="70" fillId="4" borderId="66" xfId="0" applyFont="1" applyFill="1" applyBorder="1" applyAlignment="1">
      <alignment horizontal="right" wrapText="1"/>
    </xf>
    <xf numFmtId="3" fontId="44" fillId="4" borderId="66" xfId="2" applyNumberFormat="1" applyFont="1" applyFill="1" applyBorder="1" applyAlignment="1" applyProtection="1">
      <alignment horizontal="center" vertical="top" wrapText="1"/>
    </xf>
    <xf numFmtId="168" fontId="54" fillId="4" borderId="66" xfId="3" applyNumberFormat="1" applyFont="1" applyFill="1" applyBorder="1" applyAlignment="1">
      <alignment horizontal="right" vertical="center" wrapText="1"/>
    </xf>
    <xf numFmtId="168" fontId="54" fillId="4" borderId="78" xfId="3" applyNumberFormat="1" applyFont="1" applyFill="1" applyBorder="1" applyAlignment="1">
      <alignment horizontal="right" vertical="center" wrapText="1"/>
    </xf>
    <xf numFmtId="0" fontId="46" fillId="4" borderId="81" xfId="0" applyFont="1" applyFill="1" applyBorder="1" applyAlignment="1">
      <alignment horizontal="center" vertical="center" wrapText="1"/>
    </xf>
    <xf numFmtId="0" fontId="20" fillId="3" borderId="1" xfId="0" applyFont="1" applyFill="1" applyBorder="1" applyAlignment="1">
      <alignment horizontal="right" vertical="center"/>
    </xf>
    <xf numFmtId="0" fontId="4" fillId="4" borderId="3" xfId="0" applyFont="1" applyFill="1" applyBorder="1"/>
    <xf numFmtId="0" fontId="4" fillId="4" borderId="4" xfId="0" applyFont="1" applyFill="1" applyBorder="1"/>
    <xf numFmtId="0" fontId="6" fillId="3" borderId="55" xfId="0" applyFont="1" applyFill="1" applyBorder="1" applyAlignment="1">
      <alignment horizontal="center" vertical="center"/>
    </xf>
    <xf numFmtId="0" fontId="4" fillId="4" borderId="55" xfId="0" applyFont="1" applyFill="1" applyBorder="1"/>
    <xf numFmtId="0" fontId="4" fillId="4" borderId="62" xfId="0" applyFont="1" applyFill="1" applyBorder="1"/>
    <xf numFmtId="0" fontId="6" fillId="3" borderId="19" xfId="0" applyFont="1" applyFill="1" applyBorder="1" applyAlignment="1">
      <alignment horizontal="center" vertical="center"/>
    </xf>
    <xf numFmtId="0" fontId="4" fillId="4" borderId="21" xfId="0" applyFont="1" applyFill="1" applyBorder="1"/>
    <xf numFmtId="0" fontId="4" fillId="4" borderId="54" xfId="0" applyFont="1" applyFill="1" applyBorder="1"/>
    <xf numFmtId="0" fontId="6" fillId="3" borderId="56" xfId="0" applyFont="1" applyFill="1" applyBorder="1" applyAlignment="1">
      <alignment horizontal="center" vertical="center"/>
    </xf>
    <xf numFmtId="0" fontId="6" fillId="3" borderId="58" xfId="0" applyFont="1" applyFill="1" applyBorder="1" applyAlignment="1">
      <alignment horizontal="center" vertical="center"/>
    </xf>
    <xf numFmtId="0" fontId="6" fillId="3" borderId="66" xfId="0" applyFont="1" applyFill="1" applyBorder="1" applyAlignment="1">
      <alignment horizontal="center" vertical="center"/>
    </xf>
    <xf numFmtId="0" fontId="6" fillId="3" borderId="58" xfId="0" applyFont="1" applyFill="1" applyBorder="1" applyAlignment="1">
      <alignment horizontal="center" vertical="center" wrapText="1"/>
    </xf>
    <xf numFmtId="0" fontId="6" fillId="3" borderId="57" xfId="0" applyFont="1" applyFill="1" applyBorder="1" applyAlignment="1">
      <alignment horizontal="center" vertical="center" wrapText="1"/>
    </xf>
    <xf numFmtId="0" fontId="6" fillId="3" borderId="39"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3" fillId="3" borderId="5" xfId="0" applyFont="1" applyFill="1" applyBorder="1" applyAlignment="1">
      <alignment horizontal="right" vertical="center"/>
    </xf>
    <xf numFmtId="0" fontId="4" fillId="4" borderId="14" xfId="0" applyFont="1" applyFill="1" applyBorder="1"/>
    <xf numFmtId="0" fontId="4" fillId="4" borderId="40" xfId="0" applyFont="1" applyFill="1" applyBorder="1"/>
    <xf numFmtId="0" fontId="4" fillId="4" borderId="23" xfId="0" applyFont="1" applyFill="1" applyBorder="1"/>
    <xf numFmtId="0" fontId="6" fillId="3" borderId="5" xfId="0" applyFont="1" applyFill="1" applyBorder="1" applyAlignment="1">
      <alignment horizontal="left" vertical="center"/>
    </xf>
    <xf numFmtId="0" fontId="3" fillId="3" borderId="52"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3" fillId="3" borderId="1" xfId="0" applyFont="1" applyFill="1" applyBorder="1" applyAlignment="1">
      <alignment horizontal="center"/>
    </xf>
    <xf numFmtId="0" fontId="6" fillId="3" borderId="1" xfId="0" applyFont="1" applyFill="1" applyBorder="1" applyAlignment="1">
      <alignment horizontal="center"/>
    </xf>
    <xf numFmtId="0" fontId="3" fillId="3" borderId="7" xfId="0" applyFont="1" applyFill="1" applyBorder="1" applyAlignment="1">
      <alignment horizontal="right" vertical="center"/>
    </xf>
    <xf numFmtId="0" fontId="4" fillId="4" borderId="8" xfId="0" applyFont="1" applyFill="1" applyBorder="1"/>
    <xf numFmtId="0" fontId="4" fillId="4" borderId="9" xfId="0" applyFont="1" applyFill="1" applyBorder="1"/>
    <xf numFmtId="0" fontId="4" fillId="4" borderId="53" xfId="0" applyFont="1" applyFill="1" applyBorder="1"/>
    <xf numFmtId="0" fontId="3" fillId="3" borderId="53"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3" fillId="3" borderId="18" xfId="0" applyFont="1" applyFill="1" applyBorder="1" applyAlignment="1">
      <alignment horizontal="center" vertical="center"/>
    </xf>
    <xf numFmtId="0" fontId="4" fillId="4" borderId="20" xfId="0" applyFont="1" applyFill="1" applyBorder="1"/>
    <xf numFmtId="0" fontId="4" fillId="4" borderId="22" xfId="0" applyFont="1" applyFill="1" applyBorder="1"/>
    <xf numFmtId="0" fontId="6" fillId="3" borderId="25" xfId="0" applyFont="1" applyFill="1" applyBorder="1" applyAlignment="1">
      <alignment horizontal="center"/>
    </xf>
    <xf numFmtId="0" fontId="4" fillId="4" borderId="16" xfId="0" applyFont="1" applyFill="1" applyBorder="1"/>
    <xf numFmtId="0" fontId="4" fillId="4" borderId="34" xfId="0" applyFont="1" applyFill="1" applyBorder="1"/>
    <xf numFmtId="0" fontId="6" fillId="3" borderId="5" xfId="0" applyFont="1" applyFill="1" applyBorder="1" applyAlignment="1">
      <alignment horizontal="center" vertical="center"/>
    </xf>
    <xf numFmtId="0" fontId="31" fillId="3" borderId="1" xfId="0" applyFont="1" applyFill="1" applyBorder="1" applyAlignment="1">
      <alignment horizontal="center" vertical="center"/>
    </xf>
    <xf numFmtId="3" fontId="11" fillId="3" borderId="1" xfId="0" applyNumberFormat="1" applyFont="1" applyFill="1" applyBorder="1" applyAlignment="1">
      <alignment horizontal="center" vertical="center"/>
    </xf>
    <xf numFmtId="0" fontId="17" fillId="3" borderId="1" xfId="0" applyFont="1" applyFill="1" applyBorder="1" applyAlignment="1">
      <alignment horizontal="center"/>
    </xf>
    <xf numFmtId="0" fontId="3" fillId="3" borderId="24" xfId="0" applyFont="1" applyFill="1" applyBorder="1" applyAlignment="1">
      <alignment horizontal="center" vertical="center"/>
    </xf>
    <xf numFmtId="0" fontId="6" fillId="3" borderId="37" xfId="0" applyFont="1" applyFill="1" applyBorder="1" applyAlignment="1">
      <alignment horizontal="center"/>
    </xf>
    <xf numFmtId="0" fontId="3" fillId="3" borderId="52"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6" fillId="3" borderId="39"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8" xfId="0" applyFont="1" applyFill="1" applyBorder="1" applyAlignment="1">
      <alignment horizontal="center" vertical="center"/>
    </xf>
    <xf numFmtId="0" fontId="34" fillId="3" borderId="1" xfId="0" applyFont="1" applyFill="1" applyBorder="1" applyAlignment="1">
      <alignment horizontal="center" vertical="center"/>
    </xf>
    <xf numFmtId="0" fontId="6" fillId="3" borderId="15" xfId="0" applyFont="1" applyFill="1" applyBorder="1" applyAlignment="1">
      <alignment horizontal="center"/>
    </xf>
    <xf numFmtId="0" fontId="4" fillId="4" borderId="17" xfId="0" applyFont="1" applyFill="1" applyBorder="1"/>
    <xf numFmtId="0" fontId="13" fillId="3" borderId="37" xfId="0" applyFont="1" applyFill="1" applyBorder="1" applyAlignment="1">
      <alignment horizontal="center" vertical="center" wrapText="1"/>
    </xf>
    <xf numFmtId="0" fontId="4" fillId="4" borderId="67" xfId="0" applyFont="1" applyFill="1" applyBorder="1"/>
    <xf numFmtId="0" fontId="4" fillId="4" borderId="38" xfId="0" applyFont="1" applyFill="1" applyBorder="1"/>
    <xf numFmtId="0" fontId="6" fillId="3" borderId="67" xfId="0" applyFont="1" applyFill="1" applyBorder="1" applyAlignment="1">
      <alignment horizontal="center"/>
    </xf>
    <xf numFmtId="0" fontId="4" fillId="4" borderId="26" xfId="0" applyFont="1" applyFill="1" applyBorder="1"/>
    <xf numFmtId="0" fontId="6" fillId="3" borderId="19" xfId="0" applyFont="1" applyFill="1" applyBorder="1" applyAlignment="1">
      <alignment horizontal="center"/>
    </xf>
    <xf numFmtId="0" fontId="32" fillId="3" borderId="80" xfId="0" applyFont="1" applyFill="1" applyBorder="1" applyAlignment="1">
      <alignment horizontal="center" vertical="center"/>
    </xf>
    <xf numFmtId="0" fontId="32" fillId="3" borderId="79" xfId="0" applyFont="1" applyFill="1" applyBorder="1" applyAlignment="1">
      <alignment horizontal="center" vertical="center"/>
    </xf>
    <xf numFmtId="0" fontId="12" fillId="3" borderId="52" xfId="0" applyFont="1" applyFill="1" applyBorder="1" applyAlignment="1">
      <alignment horizontal="center" vertical="center" wrapText="1"/>
    </xf>
    <xf numFmtId="0" fontId="4" fillId="4" borderId="27" xfId="0" applyFont="1" applyFill="1" applyBorder="1"/>
    <xf numFmtId="0" fontId="4" fillId="4" borderId="28" xfId="0" applyFont="1" applyFill="1" applyBorder="1"/>
    <xf numFmtId="0" fontId="4" fillId="4" borderId="58" xfId="0" applyFont="1" applyFill="1" applyBorder="1"/>
    <xf numFmtId="0" fontId="4" fillId="4" borderId="66" xfId="0" applyFont="1" applyFill="1" applyBorder="1"/>
    <xf numFmtId="0" fontId="4" fillId="4" borderId="57" xfId="0" applyFont="1" applyFill="1" applyBorder="1"/>
    <xf numFmtId="0" fontId="12" fillId="3" borderId="11" xfId="0" applyFont="1" applyFill="1" applyBorder="1" applyAlignment="1">
      <alignment horizontal="center" vertical="center" wrapText="1"/>
    </xf>
    <xf numFmtId="0" fontId="4" fillId="4" borderId="12" xfId="0" applyFont="1" applyFill="1" applyBorder="1"/>
    <xf numFmtId="0" fontId="4" fillId="4" borderId="29" xfId="0" applyFont="1" applyFill="1" applyBorder="1"/>
    <xf numFmtId="0" fontId="4" fillId="4" borderId="30" xfId="0" applyFont="1" applyFill="1" applyBorder="1"/>
    <xf numFmtId="0" fontId="12" fillId="3" borderId="13" xfId="0" applyFont="1" applyFill="1" applyBorder="1" applyAlignment="1">
      <alignment horizontal="center" vertical="center" wrapText="1"/>
    </xf>
    <xf numFmtId="0" fontId="4" fillId="4" borderId="31" xfId="0" applyFont="1" applyFill="1" applyBorder="1"/>
    <xf numFmtId="0" fontId="6" fillId="3" borderId="5" xfId="0" applyFont="1" applyFill="1" applyBorder="1" applyAlignment="1">
      <alignment horizontal="left" vertical="center" indent="1"/>
    </xf>
    <xf numFmtId="0" fontId="4" fillId="4" borderId="14" xfId="0" applyFont="1" applyFill="1" applyBorder="1" applyAlignment="1">
      <alignment horizontal="left" indent="1"/>
    </xf>
    <xf numFmtId="0" fontId="4" fillId="4" borderId="40" xfId="0" applyFont="1" applyFill="1" applyBorder="1" applyAlignment="1">
      <alignment horizontal="left" indent="1"/>
    </xf>
    <xf numFmtId="0" fontId="6" fillId="3" borderId="55" xfId="0" applyFont="1" applyFill="1" applyBorder="1" applyAlignment="1">
      <alignment horizontal="center"/>
    </xf>
    <xf numFmtId="0" fontId="6" fillId="3" borderId="56" xfId="0" applyFont="1" applyFill="1" applyBorder="1" applyAlignment="1">
      <alignment horizontal="center"/>
    </xf>
    <xf numFmtId="0" fontId="6" fillId="3" borderId="53" xfId="0" applyFont="1" applyFill="1" applyBorder="1" applyAlignment="1">
      <alignment horizontal="center"/>
    </xf>
    <xf numFmtId="0" fontId="6" fillId="3" borderId="19" xfId="0" applyFont="1" applyFill="1" applyBorder="1" applyAlignment="1">
      <alignment horizontal="center" wrapText="1"/>
    </xf>
    <xf numFmtId="0" fontId="6" fillId="3" borderId="55" xfId="0" applyFont="1" applyFill="1" applyBorder="1" applyAlignment="1">
      <alignment horizontal="center" vertical="center" wrapText="1"/>
    </xf>
    <xf numFmtId="0" fontId="6" fillId="3" borderId="62" xfId="0" applyFont="1" applyFill="1" applyBorder="1" applyAlignment="1">
      <alignment horizontal="center" vertical="center" wrapText="1"/>
    </xf>
    <xf numFmtId="0" fontId="6" fillId="3" borderId="56" xfId="0" applyFont="1" applyFill="1" applyBorder="1" applyAlignment="1">
      <alignment horizontal="center" wrapText="1"/>
    </xf>
    <xf numFmtId="0" fontId="6" fillId="3" borderId="55" xfId="0" applyFont="1" applyFill="1" applyBorder="1" applyAlignment="1">
      <alignment horizontal="center" wrapText="1"/>
    </xf>
    <xf numFmtId="0" fontId="6" fillId="3" borderId="63" xfId="0" applyFont="1" applyFill="1" applyBorder="1" applyAlignment="1">
      <alignment horizontal="center"/>
    </xf>
    <xf numFmtId="0" fontId="6" fillId="3" borderId="7" xfId="0" applyFont="1" applyFill="1" applyBorder="1" applyAlignment="1">
      <alignment horizontal="center"/>
    </xf>
    <xf numFmtId="0" fontId="6" fillId="3" borderId="7" xfId="0" applyFont="1" applyFill="1" applyBorder="1" applyAlignment="1">
      <alignment horizontal="center" vertical="center"/>
    </xf>
    <xf numFmtId="0" fontId="3" fillId="3" borderId="64" xfId="0" applyFont="1" applyFill="1" applyBorder="1" applyAlignment="1">
      <alignment horizontal="center" vertical="center"/>
    </xf>
    <xf numFmtId="0" fontId="5" fillId="3" borderId="1" xfId="0" applyFont="1" applyFill="1" applyBorder="1" applyAlignment="1">
      <alignment horizontal="center" vertical="center"/>
    </xf>
    <xf numFmtId="0" fontId="25" fillId="3" borderId="1" xfId="0" applyFont="1" applyFill="1" applyBorder="1" applyAlignment="1">
      <alignment horizontal="center"/>
    </xf>
    <xf numFmtId="0" fontId="3" fillId="3" borderId="64" xfId="0" applyFont="1" applyFill="1" applyBorder="1" applyAlignment="1">
      <alignment horizontal="right" vertical="center"/>
    </xf>
    <xf numFmtId="0" fontId="6" fillId="3" borderId="64" xfId="0" applyFont="1" applyFill="1" applyBorder="1" applyAlignment="1">
      <alignment horizontal="left" vertical="center"/>
    </xf>
    <xf numFmtId="0" fontId="6" fillId="3" borderId="68" xfId="0" applyFont="1" applyFill="1" applyBorder="1" applyAlignment="1">
      <alignment horizontal="center"/>
    </xf>
    <xf numFmtId="0" fontId="4" fillId="4" borderId="69" xfId="0" applyFont="1" applyFill="1" applyBorder="1"/>
    <xf numFmtId="0" fontId="4" fillId="4" borderId="70" xfId="0" applyFont="1" applyFill="1" applyBorder="1"/>
    <xf numFmtId="0" fontId="6" fillId="3" borderId="5" xfId="0" applyFont="1" applyFill="1" applyBorder="1" applyAlignment="1">
      <alignment horizontal="right" vertical="center"/>
    </xf>
    <xf numFmtId="0" fontId="3" fillId="2" borderId="1" xfId="0" applyFont="1" applyFill="1" applyBorder="1" applyAlignment="1">
      <alignment horizontal="center" vertical="center"/>
    </xf>
    <xf numFmtId="0" fontId="4" fillId="0" borderId="3" xfId="0" applyFont="1" applyBorder="1"/>
    <xf numFmtId="0" fontId="4" fillId="0" borderId="4" xfId="0" applyFont="1" applyBorder="1"/>
    <xf numFmtId="0" fontId="6" fillId="2" borderId="7" xfId="0" applyFont="1" applyFill="1" applyBorder="1" applyAlignment="1">
      <alignment horizontal="center" vertical="center"/>
    </xf>
    <xf numFmtId="0" fontId="4" fillId="0" borderId="73" xfId="0" applyFont="1" applyBorder="1"/>
    <xf numFmtId="0" fontId="6" fillId="2" borderId="72" xfId="0" applyFont="1" applyFill="1" applyBorder="1" applyAlignment="1">
      <alignment horizontal="center"/>
    </xf>
    <xf numFmtId="0" fontId="6" fillId="2" borderId="7" xfId="0" applyFont="1" applyFill="1" applyBorder="1" applyAlignment="1">
      <alignment horizontal="center"/>
    </xf>
    <xf numFmtId="0" fontId="4" fillId="0" borderId="53" xfId="0" applyFont="1" applyBorder="1"/>
    <xf numFmtId="0" fontId="6" fillId="2" borderId="1" xfId="0" applyFont="1" applyFill="1" applyBorder="1" applyAlignment="1">
      <alignment horizontal="center" vertical="center"/>
    </xf>
    <xf numFmtId="0" fontId="6" fillId="2" borderId="5" xfId="0" applyFont="1" applyFill="1" applyBorder="1" applyAlignment="1">
      <alignment horizontal="center" vertical="center"/>
    </xf>
    <xf numFmtId="0" fontId="4" fillId="0" borderId="14" xfId="0" applyFont="1" applyBorder="1"/>
    <xf numFmtId="0" fontId="4" fillId="0" borderId="40" xfId="0" applyFont="1" applyBorder="1"/>
    <xf numFmtId="0" fontId="4" fillId="0" borderId="8" xfId="0" applyFont="1" applyBorder="1"/>
    <xf numFmtId="0" fontId="3" fillId="3" borderId="76" xfId="0" applyFont="1" applyFill="1" applyBorder="1" applyAlignment="1">
      <alignment horizontal="right" vertical="center" wrapText="1"/>
    </xf>
    <xf numFmtId="0" fontId="6" fillId="3" borderId="52" xfId="0" applyFont="1" applyFill="1" applyBorder="1" applyAlignment="1">
      <alignment horizontal="center" vertical="center"/>
    </xf>
    <xf numFmtId="0" fontId="6" fillId="3" borderId="28" xfId="0" applyFont="1" applyFill="1" applyBorder="1" applyAlignment="1">
      <alignment horizontal="center" vertical="center"/>
    </xf>
    <xf numFmtId="0" fontId="12" fillId="3" borderId="39"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3" fillId="3" borderId="67" xfId="0" applyFont="1" applyFill="1" applyBorder="1" applyAlignment="1">
      <alignment horizontal="center"/>
    </xf>
    <xf numFmtId="3" fontId="42" fillId="4" borderId="66" xfId="2" applyNumberFormat="1" applyFont="1" applyFill="1" applyAlignment="1">
      <alignment horizontal="center" vertical="center" readingOrder="2"/>
    </xf>
    <xf numFmtId="3" fontId="44" fillId="4" borderId="66" xfId="2" applyNumberFormat="1" applyFont="1" applyFill="1" applyBorder="1" applyAlignment="1" applyProtection="1">
      <alignment horizontal="center" vertical="center"/>
    </xf>
    <xf numFmtId="3" fontId="45" fillId="4" borderId="81" xfId="2" applyNumberFormat="1" applyFont="1" applyFill="1" applyBorder="1" applyAlignment="1">
      <alignment horizontal="left" vertical="center"/>
    </xf>
    <xf numFmtId="3" fontId="45" fillId="4" borderId="66" xfId="2" applyNumberFormat="1" applyFont="1" applyFill="1" applyBorder="1" applyAlignment="1">
      <alignment horizontal="left" vertical="center"/>
    </xf>
    <xf numFmtId="3" fontId="45" fillId="4" borderId="78" xfId="2" applyNumberFormat="1" applyFont="1" applyFill="1" applyBorder="1" applyAlignment="1">
      <alignment horizontal="left" vertical="center"/>
    </xf>
    <xf numFmtId="0" fontId="46" fillId="4" borderId="81" xfId="0" applyFont="1" applyFill="1" applyBorder="1" applyAlignment="1">
      <alignment horizontal="right" vertical="center" wrapText="1" indent="1"/>
    </xf>
    <xf numFmtId="0" fontId="46" fillId="4" borderId="85" xfId="0" applyFont="1" applyFill="1" applyBorder="1" applyAlignment="1">
      <alignment horizontal="right" vertical="center" wrapText="1" indent="1"/>
    </xf>
    <xf numFmtId="0" fontId="46" fillId="4" borderId="82" xfId="0" applyFont="1" applyFill="1" applyBorder="1" applyAlignment="1">
      <alignment horizontal="center" vertical="center" wrapText="1"/>
    </xf>
    <xf numFmtId="0" fontId="46" fillId="4" borderId="83" xfId="0" applyFont="1" applyFill="1" applyBorder="1" applyAlignment="1">
      <alignment horizontal="center" vertical="center" wrapText="1"/>
    </xf>
    <xf numFmtId="0" fontId="46" fillId="4" borderId="86" xfId="0" applyFont="1" applyFill="1" applyBorder="1" applyAlignment="1">
      <alignment horizontal="center" vertical="center" wrapText="1"/>
    </xf>
    <xf numFmtId="0" fontId="46" fillId="4" borderId="87" xfId="0" applyFont="1" applyFill="1" applyBorder="1" applyAlignment="1">
      <alignment horizontal="center" vertical="center" wrapText="1"/>
    </xf>
    <xf numFmtId="0" fontId="46" fillId="4" borderId="82" xfId="0" applyFont="1" applyFill="1" applyBorder="1" applyAlignment="1">
      <alignment horizontal="center" wrapText="1"/>
    </xf>
    <xf numFmtId="0" fontId="46" fillId="4" borderId="83" xfId="0" applyFont="1" applyFill="1" applyBorder="1" applyAlignment="1">
      <alignment horizontal="center" wrapText="1"/>
    </xf>
    <xf numFmtId="0" fontId="46" fillId="4" borderId="86" xfId="0" applyFont="1" applyFill="1" applyBorder="1" applyAlignment="1">
      <alignment horizontal="center" wrapText="1"/>
    </xf>
    <xf numFmtId="0" fontId="46" fillId="4" borderId="87" xfId="0" applyFont="1" applyFill="1" applyBorder="1" applyAlignment="1">
      <alignment horizontal="center" wrapText="1"/>
    </xf>
    <xf numFmtId="0" fontId="47" fillId="4" borderId="82" xfId="0" applyFont="1" applyFill="1" applyBorder="1" applyAlignment="1">
      <alignment horizontal="right" vertical="center" wrapText="1"/>
    </xf>
    <xf numFmtId="0" fontId="47" fillId="4" borderId="86" xfId="0" applyFont="1" applyFill="1" applyBorder="1" applyAlignment="1">
      <alignment horizontal="right" vertical="center" wrapText="1"/>
    </xf>
    <xf numFmtId="0" fontId="47" fillId="4" borderId="84" xfId="0" applyFont="1" applyFill="1" applyBorder="1" applyAlignment="1">
      <alignment horizontal="center" vertical="center" wrapText="1"/>
    </xf>
    <xf numFmtId="0" fontId="47" fillId="4" borderId="88" xfId="0" applyFont="1" applyFill="1" applyBorder="1" applyAlignment="1">
      <alignment horizontal="center" vertical="center" wrapText="1"/>
    </xf>
    <xf numFmtId="0" fontId="47" fillId="4" borderId="81" xfId="0" applyFont="1" applyFill="1" applyBorder="1" applyAlignment="1">
      <alignment horizontal="center" vertical="center" wrapText="1"/>
    </xf>
    <xf numFmtId="0" fontId="47" fillId="4" borderId="85" xfId="0" applyFont="1" applyFill="1" applyBorder="1" applyAlignment="1">
      <alignment horizontal="center" vertical="center" wrapText="1"/>
    </xf>
    <xf numFmtId="3" fontId="48" fillId="4" borderId="81" xfId="2" applyNumberFormat="1" applyFont="1" applyFill="1" applyBorder="1" applyAlignment="1">
      <alignment horizontal="right" vertical="center" wrapText="1"/>
    </xf>
    <xf numFmtId="3" fontId="48" fillId="4" borderId="66" xfId="2" applyNumberFormat="1" applyFont="1" applyFill="1" applyBorder="1" applyAlignment="1">
      <alignment horizontal="right" vertical="center" wrapText="1"/>
    </xf>
    <xf numFmtId="3" fontId="48" fillId="4" borderId="78" xfId="2" applyNumberFormat="1" applyFont="1" applyFill="1" applyBorder="1" applyAlignment="1">
      <alignment horizontal="right" vertical="center" wrapText="1"/>
    </xf>
    <xf numFmtId="168" fontId="51" fillId="4" borderId="89" xfId="3" applyNumberFormat="1" applyFont="1" applyFill="1" applyBorder="1" applyAlignment="1">
      <alignment horizontal="center" vertical="center" wrapText="1"/>
    </xf>
    <xf numFmtId="168" fontId="51" fillId="4" borderId="90" xfId="3" applyNumberFormat="1" applyFont="1" applyFill="1" applyBorder="1" applyAlignment="1">
      <alignment horizontal="center" vertical="center" wrapText="1"/>
    </xf>
    <xf numFmtId="168" fontId="51" fillId="4" borderId="91" xfId="3" applyNumberFormat="1" applyFont="1" applyFill="1" applyBorder="1" applyAlignment="1">
      <alignment horizontal="center" vertical="center" wrapText="1"/>
    </xf>
    <xf numFmtId="168" fontId="51" fillId="4" borderId="66" xfId="3" applyNumberFormat="1" applyFont="1" applyFill="1" applyBorder="1" applyAlignment="1">
      <alignment horizontal="center" vertical="center" wrapText="1"/>
    </xf>
    <xf numFmtId="168" fontId="51" fillId="4" borderId="97" xfId="3" applyNumberFormat="1" applyFont="1" applyFill="1" applyBorder="1" applyAlignment="1">
      <alignment horizontal="right" vertical="center" wrapText="1"/>
    </xf>
    <xf numFmtId="168" fontId="51" fillId="4" borderId="91" xfId="3" applyNumberFormat="1" applyFont="1" applyFill="1" applyBorder="1" applyAlignment="1">
      <alignment horizontal="right" vertical="center" wrapText="1"/>
    </xf>
    <xf numFmtId="168" fontId="51" fillId="4" borderId="94" xfId="3" applyNumberFormat="1" applyFont="1" applyFill="1" applyBorder="1" applyAlignment="1">
      <alignment horizontal="right" vertical="center" wrapText="1"/>
    </xf>
    <xf numFmtId="168" fontId="52" fillId="4" borderId="66" xfId="3" applyNumberFormat="1" applyFont="1" applyFill="1" applyBorder="1" applyAlignment="1">
      <alignment horizontal="right" vertical="center" wrapText="1"/>
    </xf>
    <xf numFmtId="3" fontId="42" fillId="4" borderId="66" xfId="2" applyNumberFormat="1" applyFont="1" applyFill="1" applyBorder="1" applyAlignment="1">
      <alignment horizontal="center" vertical="center" readingOrder="2"/>
    </xf>
    <xf numFmtId="0" fontId="46" fillId="4" borderId="66" xfId="0" applyFont="1" applyFill="1" applyBorder="1" applyAlignment="1">
      <alignment horizontal="center" vertical="center" wrapText="1"/>
    </xf>
    <xf numFmtId="0" fontId="46" fillId="4" borderId="66" xfId="0" applyFont="1" applyFill="1" applyBorder="1" applyAlignment="1">
      <alignment horizontal="center" wrapText="1"/>
    </xf>
    <xf numFmtId="0" fontId="47" fillId="4" borderId="66" xfId="0" applyFont="1" applyFill="1" applyBorder="1" applyAlignment="1">
      <alignment horizontal="right" vertical="center" wrapText="1"/>
    </xf>
    <xf numFmtId="0" fontId="47" fillId="4" borderId="66" xfId="0" applyFont="1" applyFill="1" applyBorder="1" applyAlignment="1">
      <alignment horizontal="center" vertical="center" wrapText="1"/>
    </xf>
    <xf numFmtId="3" fontId="44" fillId="4" borderId="78" xfId="2" applyNumberFormat="1" applyFont="1" applyFill="1" applyBorder="1" applyAlignment="1" applyProtection="1">
      <alignment horizontal="center" vertical="center"/>
    </xf>
    <xf numFmtId="168" fontId="54" fillId="4" borderId="81" xfId="3" applyNumberFormat="1" applyFont="1" applyFill="1" applyBorder="1" applyAlignment="1">
      <alignment horizontal="center" vertical="center" wrapText="1"/>
    </xf>
    <xf numFmtId="168" fontId="54" fillId="4" borderId="66" xfId="3" applyNumberFormat="1" applyFont="1" applyFill="1" applyBorder="1" applyAlignment="1">
      <alignment horizontal="center" vertical="center" wrapText="1"/>
    </xf>
    <xf numFmtId="168" fontId="54" fillId="4" borderId="78" xfId="3" applyNumberFormat="1" applyFont="1" applyFill="1" applyBorder="1" applyAlignment="1">
      <alignment horizontal="center" vertical="center" wrapText="1"/>
    </xf>
    <xf numFmtId="168" fontId="54" fillId="4" borderId="94" xfId="3" applyNumberFormat="1" applyFont="1" applyFill="1" applyBorder="1" applyAlignment="1">
      <alignment horizontal="right" vertical="center" wrapText="1"/>
    </xf>
    <xf numFmtId="168" fontId="54" fillId="4" borderId="95" xfId="3" applyNumberFormat="1" applyFont="1" applyFill="1" applyBorder="1" applyAlignment="1">
      <alignment horizontal="right" vertical="center" wrapText="1"/>
    </xf>
    <xf numFmtId="168" fontId="54" fillId="4" borderId="96" xfId="3" applyNumberFormat="1" applyFont="1" applyFill="1" applyBorder="1" applyAlignment="1">
      <alignment horizontal="right" vertical="center" wrapText="1"/>
    </xf>
    <xf numFmtId="168" fontId="54" fillId="4" borderId="97" xfId="3" applyNumberFormat="1" applyFont="1" applyFill="1" applyBorder="1" applyAlignment="1">
      <alignment horizontal="right" vertical="center" wrapText="1"/>
    </xf>
    <xf numFmtId="168" fontId="54" fillId="4" borderId="91" xfId="3" applyNumberFormat="1" applyFont="1" applyFill="1" applyBorder="1" applyAlignment="1">
      <alignment horizontal="right" vertical="center" wrapText="1"/>
    </xf>
    <xf numFmtId="3" fontId="77" fillId="4" borderId="66" xfId="2" applyNumberFormat="1" applyFont="1" applyFill="1" applyAlignment="1">
      <alignment horizontal="center" vertical="center" readingOrder="2"/>
    </xf>
    <xf numFmtId="3" fontId="78" fillId="4" borderId="78" xfId="2" applyNumberFormat="1" applyFont="1" applyFill="1" applyBorder="1" applyAlignment="1" applyProtection="1">
      <alignment horizontal="center" vertical="center"/>
    </xf>
    <xf numFmtId="168" fontId="80" fillId="4" borderId="66" xfId="3" applyNumberFormat="1" applyFont="1" applyFill="1" applyBorder="1" applyAlignment="1">
      <alignment horizontal="center" vertical="center" wrapText="1"/>
    </xf>
    <xf numFmtId="168" fontId="80" fillId="4" borderId="81" xfId="3" applyNumberFormat="1" applyFont="1" applyFill="1" applyBorder="1" applyAlignment="1">
      <alignment horizontal="right" vertical="center" wrapText="1"/>
    </xf>
    <xf numFmtId="168" fontId="80" fillId="4" borderId="85" xfId="3" applyNumberFormat="1" applyFont="1" applyFill="1" applyBorder="1" applyAlignment="1">
      <alignment horizontal="right" vertical="center" wrapText="1"/>
    </xf>
    <xf numFmtId="0" fontId="70" fillId="4" borderId="85" xfId="0" applyFont="1" applyFill="1" applyBorder="1" applyAlignment="1">
      <alignment horizontal="right"/>
    </xf>
    <xf numFmtId="0" fontId="70" fillId="4" borderId="85" xfId="0" applyFont="1" applyFill="1" applyBorder="1" applyAlignment="1">
      <alignment horizontal="right" wrapText="1"/>
    </xf>
    <xf numFmtId="3" fontId="77" fillId="4" borderId="66" xfId="2" applyNumberFormat="1" applyFont="1" applyFill="1" applyBorder="1" applyAlignment="1">
      <alignment horizontal="center" vertical="center" readingOrder="2"/>
    </xf>
    <xf numFmtId="3" fontId="78" fillId="4" borderId="66" xfId="2" applyNumberFormat="1" applyFont="1" applyFill="1" applyBorder="1" applyAlignment="1" applyProtection="1">
      <alignment horizontal="center" vertical="center"/>
    </xf>
    <xf numFmtId="168" fontId="80" fillId="4" borderId="66" xfId="3" applyNumberFormat="1" applyFont="1" applyFill="1" applyBorder="1" applyAlignment="1">
      <alignment horizontal="right" vertical="center" wrapText="1"/>
    </xf>
    <xf numFmtId="0" fontId="70" fillId="4" borderId="66" xfId="0" applyFont="1" applyFill="1" applyBorder="1" applyAlignment="1">
      <alignment horizontal="right"/>
    </xf>
    <xf numFmtId="0" fontId="70" fillId="4" borderId="66" xfId="0" applyFont="1" applyFill="1" applyBorder="1" applyAlignment="1">
      <alignment horizontal="right" wrapText="1"/>
    </xf>
    <xf numFmtId="168" fontId="65" fillId="4" borderId="81" xfId="3" applyNumberFormat="1" applyFont="1" applyFill="1" applyBorder="1" applyAlignment="1">
      <alignment horizontal="left" vertical="center" wrapText="1"/>
    </xf>
    <xf numFmtId="168" fontId="65" fillId="4" borderId="78" xfId="3" applyNumberFormat="1" applyFont="1" applyFill="1" applyBorder="1" applyAlignment="1">
      <alignment horizontal="left" vertical="center" wrapText="1"/>
    </xf>
    <xf numFmtId="0" fontId="77" fillId="4" borderId="81" xfId="0" applyFont="1" applyFill="1" applyBorder="1" applyAlignment="1">
      <alignment horizontal="right" vertical="center"/>
    </xf>
    <xf numFmtId="0" fontId="77" fillId="4" borderId="78" xfId="0" applyFont="1" applyFill="1" applyBorder="1" applyAlignment="1">
      <alignment horizontal="right" vertical="center"/>
    </xf>
    <xf numFmtId="168" fontId="65" fillId="4" borderId="66" xfId="3" applyNumberFormat="1" applyFont="1" applyFill="1" applyBorder="1" applyAlignment="1">
      <alignment horizontal="left" vertical="center" wrapText="1"/>
    </xf>
    <xf numFmtId="0" fontId="77" fillId="4" borderId="66" xfId="0" applyFont="1" applyFill="1" applyBorder="1" applyAlignment="1">
      <alignment horizontal="right" vertical="center"/>
    </xf>
    <xf numFmtId="0" fontId="77" fillId="4" borderId="81" xfId="0" applyFont="1" applyFill="1" applyBorder="1" applyAlignment="1">
      <alignment horizontal="right" vertical="center" indent="2"/>
    </xf>
    <xf numFmtId="0" fontId="77" fillId="4" borderId="78" xfId="0" applyFont="1" applyFill="1" applyBorder="1" applyAlignment="1">
      <alignment horizontal="right" vertical="center" indent="2"/>
    </xf>
    <xf numFmtId="3" fontId="42" fillId="4" borderId="66" xfId="2" applyNumberFormat="1" applyFont="1" applyFill="1" applyAlignment="1">
      <alignment horizontal="center" wrapText="1" readingOrder="2"/>
    </xf>
    <xf numFmtId="3" fontId="44" fillId="4" borderId="66" xfId="2" applyNumberFormat="1" applyFont="1" applyFill="1" applyBorder="1" applyAlignment="1" applyProtection="1">
      <alignment horizontal="center" vertical="top" wrapText="1"/>
    </xf>
    <xf numFmtId="3" fontId="77" fillId="4" borderId="66" xfId="2" applyNumberFormat="1" applyFont="1" applyFill="1" applyAlignment="1">
      <alignment horizontal="center" vertical="center" wrapText="1" readingOrder="2"/>
    </xf>
    <xf numFmtId="3" fontId="95" fillId="4" borderId="78" xfId="2" applyNumberFormat="1" applyFont="1" applyFill="1" applyBorder="1" applyAlignment="1" applyProtection="1">
      <alignment horizontal="center" vertical="top" wrapText="1"/>
    </xf>
    <xf numFmtId="0" fontId="96" fillId="4" borderId="81" xfId="0" applyFont="1" applyFill="1" applyBorder="1" applyAlignment="1">
      <alignment horizontal="left" vertical="center"/>
    </xf>
    <xf numFmtId="0" fontId="96" fillId="4" borderId="78" xfId="0" applyFont="1" applyFill="1" applyBorder="1" applyAlignment="1">
      <alignment horizontal="left" vertical="center"/>
    </xf>
    <xf numFmtId="0" fontId="77" fillId="4" borderId="81" xfId="0" applyFont="1" applyFill="1" applyBorder="1" applyAlignment="1">
      <alignment horizontal="right" vertical="center" wrapText="1"/>
    </xf>
    <xf numFmtId="0" fontId="77" fillId="4" borderId="78" xfId="0" applyFont="1" applyFill="1" applyBorder="1" applyAlignment="1">
      <alignment horizontal="right" vertical="center" wrapText="1"/>
    </xf>
    <xf numFmtId="168" fontId="54" fillId="4" borderId="66" xfId="3" applyNumberFormat="1" applyFont="1" applyFill="1" applyBorder="1" applyAlignment="1">
      <alignment horizontal="right" vertical="center" wrapText="1"/>
    </xf>
    <xf numFmtId="168" fontId="54" fillId="4" borderId="78" xfId="3" applyNumberFormat="1" applyFont="1" applyFill="1" applyBorder="1" applyAlignment="1">
      <alignment horizontal="right" vertical="center" wrapText="1"/>
    </xf>
    <xf numFmtId="0" fontId="46" fillId="4" borderId="100" xfId="0" applyFont="1" applyFill="1" applyBorder="1" applyAlignment="1">
      <alignment horizontal="center" vertical="center" wrapText="1"/>
    </xf>
    <xf numFmtId="3" fontId="48" fillId="4" borderId="66" xfId="2" applyNumberFormat="1" applyFont="1" applyFill="1" applyBorder="1" applyAlignment="1">
      <alignment horizontal="right" vertical="center" wrapText="1" indent="2"/>
    </xf>
    <xf numFmtId="3" fontId="48" fillId="4" borderId="78" xfId="2" applyNumberFormat="1" applyFont="1" applyFill="1" applyBorder="1" applyAlignment="1">
      <alignment horizontal="right" vertical="center" wrapText="1" indent="2"/>
    </xf>
    <xf numFmtId="3" fontId="39" fillId="4" borderId="78" xfId="2" applyNumberFormat="1" applyFont="1" applyFill="1" applyBorder="1" applyAlignment="1" applyProtection="1">
      <alignment horizontal="center"/>
    </xf>
    <xf numFmtId="3" fontId="114" fillId="4" borderId="81" xfId="2" applyNumberFormat="1" applyFont="1" applyFill="1" applyBorder="1" applyAlignment="1">
      <alignment horizontal="left" vertical="center"/>
    </xf>
    <xf numFmtId="3" fontId="114" fillId="4" borderId="78" xfId="2" applyNumberFormat="1" applyFont="1" applyFill="1" applyBorder="1" applyAlignment="1">
      <alignment horizontal="left" vertical="center"/>
    </xf>
    <xf numFmtId="0" fontId="46" fillId="4" borderId="81" xfId="0" applyFont="1" applyFill="1" applyBorder="1" applyAlignment="1">
      <alignment horizontal="center" vertical="center" wrapText="1"/>
    </xf>
    <xf numFmtId="3" fontId="115" fillId="4" borderId="81" xfId="2" applyNumberFormat="1" applyFont="1" applyFill="1" applyBorder="1" applyAlignment="1">
      <alignment horizontal="center" vertical="center" wrapText="1"/>
    </xf>
    <xf numFmtId="3" fontId="115" fillId="4" borderId="78" xfId="2" applyNumberFormat="1" applyFont="1" applyFill="1" applyBorder="1" applyAlignment="1">
      <alignment horizontal="center" vertical="center" wrapText="1"/>
    </xf>
    <xf numFmtId="0" fontId="0" fillId="4" borderId="0" xfId="0" applyFill="1" applyAlignment="1">
      <alignment horizontal="center"/>
    </xf>
    <xf numFmtId="0" fontId="123" fillId="4" borderId="0" xfId="0" applyFont="1" applyFill="1"/>
    <xf numFmtId="0" fontId="124" fillId="4" borderId="0" xfId="0" applyFont="1" applyFill="1"/>
    <xf numFmtId="0" fontId="123" fillId="4" borderId="0" xfId="0" applyFont="1" applyFill="1" applyAlignment="1">
      <alignment horizontal="right"/>
    </xf>
    <xf numFmtId="0" fontId="54" fillId="4" borderId="0" xfId="0" applyFont="1" applyFill="1" applyAlignment="1">
      <alignment horizontal="right" vertical="center"/>
    </xf>
    <xf numFmtId="3" fontId="125" fillId="4" borderId="66" xfId="2" applyNumberFormat="1" applyFont="1" applyFill="1" applyAlignment="1">
      <alignment horizontal="center" vertical="center" readingOrder="2"/>
    </xf>
    <xf numFmtId="3" fontId="41" fillId="4" borderId="66" xfId="2" applyNumberFormat="1" applyFont="1" applyFill="1"/>
    <xf numFmtId="3" fontId="65" fillId="4" borderId="78" xfId="2" applyNumberFormat="1" applyFont="1" applyFill="1" applyBorder="1" applyAlignment="1" applyProtection="1">
      <alignment horizontal="center" vertical="center"/>
    </xf>
    <xf numFmtId="0" fontId="126" fillId="4" borderId="81" xfId="0" applyFont="1" applyFill="1" applyBorder="1"/>
    <xf numFmtId="0" fontId="55" fillId="4" borderId="81" xfId="0" applyFont="1" applyFill="1" applyBorder="1" applyAlignment="1">
      <alignment horizontal="center" vertical="center" wrapText="1"/>
    </xf>
    <xf numFmtId="0" fontId="55" fillId="4" borderId="84" xfId="0" applyFont="1" applyFill="1" applyBorder="1" applyAlignment="1">
      <alignment horizontal="right" vertical="center" wrapText="1"/>
    </xf>
    <xf numFmtId="0" fontId="55" fillId="4" borderId="84" xfId="0" applyFont="1" applyFill="1" applyBorder="1" applyAlignment="1">
      <alignment horizontal="center" wrapText="1"/>
    </xf>
    <xf numFmtId="0" fontId="126" fillId="4" borderId="82" xfId="0" applyFont="1" applyFill="1" applyBorder="1" applyAlignment="1">
      <alignment horizontal="center" vertical="center" wrapText="1"/>
    </xf>
    <xf numFmtId="3" fontId="127" fillId="4" borderId="81" xfId="2" applyNumberFormat="1" applyFont="1" applyFill="1" applyBorder="1" applyAlignment="1">
      <alignment horizontal="right" vertical="center" wrapText="1"/>
    </xf>
    <xf numFmtId="0" fontId="128" fillId="4" borderId="0" xfId="0" applyFont="1" applyFill="1"/>
    <xf numFmtId="0" fontId="126" fillId="4" borderId="66" xfId="0" applyFont="1" applyFill="1" applyBorder="1"/>
    <xf numFmtId="0" fontId="55" fillId="4" borderId="85" xfId="0" applyFont="1" applyFill="1" applyBorder="1" applyAlignment="1">
      <alignment horizontal="center" vertical="center" wrapText="1"/>
    </xf>
    <xf numFmtId="0" fontId="55" fillId="4" borderId="88" xfId="0" applyFont="1" applyFill="1" applyBorder="1" applyAlignment="1">
      <alignment horizontal="right" vertical="center" wrapText="1"/>
    </xf>
    <xf numFmtId="0" fontId="55" fillId="4" borderId="88" xfId="0" applyFont="1" applyFill="1" applyBorder="1" applyAlignment="1">
      <alignment horizontal="center" wrapText="1"/>
    </xf>
    <xf numFmtId="0" fontId="126" fillId="4" borderId="86" xfId="0" applyFont="1" applyFill="1" applyBorder="1" applyAlignment="1">
      <alignment horizontal="center" vertical="center" wrapText="1"/>
    </xf>
    <xf numFmtId="3" fontId="127" fillId="4" borderId="66" xfId="2" applyNumberFormat="1" applyFont="1" applyFill="1" applyBorder="1" applyAlignment="1">
      <alignment horizontal="right" vertical="center" wrapText="1"/>
    </xf>
    <xf numFmtId="3" fontId="52" fillId="4" borderId="66" xfId="2" applyNumberFormat="1" applyFont="1" applyFill="1" applyBorder="1"/>
    <xf numFmtId="3" fontId="127" fillId="4" borderId="78" xfId="2" applyNumberFormat="1" applyFont="1" applyFill="1" applyBorder="1" applyAlignment="1">
      <alignment horizontal="right" vertical="center" wrapText="1"/>
    </xf>
    <xf numFmtId="168" fontId="4" fillId="4" borderId="0" xfId="0" applyNumberFormat="1" applyFont="1" applyFill="1"/>
    <xf numFmtId="3" fontId="55" fillId="4" borderId="66" xfId="2" applyNumberFormat="1" applyFont="1" applyFill="1" applyBorder="1" applyAlignment="1" applyProtection="1">
      <alignment horizontal="right" vertical="center"/>
    </xf>
    <xf numFmtId="168" fontId="124" fillId="4" borderId="0" xfId="0" applyNumberFormat="1" applyFont="1" applyFill="1"/>
    <xf numFmtId="37" fontId="54" fillId="4" borderId="91" xfId="1" applyNumberFormat="1" applyFont="1" applyFill="1" applyBorder="1" applyAlignment="1">
      <alignment horizontal="right" vertical="center"/>
    </xf>
    <xf numFmtId="0" fontId="65" fillId="4" borderId="91" xfId="6" applyNumberFormat="1" applyFont="1" applyFill="1" applyBorder="1"/>
    <xf numFmtId="37" fontId="124" fillId="4" borderId="91" xfId="0" applyNumberFormat="1" applyFont="1" applyFill="1" applyBorder="1" applyAlignment="1">
      <alignment horizontal="right"/>
    </xf>
    <xf numFmtId="3" fontId="87" fillId="4" borderId="66" xfId="2" applyNumberFormat="1" applyFont="1" applyFill="1" applyBorder="1" applyAlignment="1" applyProtection="1">
      <alignment horizontal="right" vertical="center"/>
    </xf>
    <xf numFmtId="3" fontId="63" fillId="4" borderId="66" xfId="2" applyNumberFormat="1" applyFont="1" applyFill="1"/>
    <xf numFmtId="37" fontId="63" fillId="4" borderId="91" xfId="7" applyNumberFormat="1" applyFont="1" applyFill="1" applyBorder="1" applyAlignment="1">
      <alignment horizontal="right" vertical="center"/>
    </xf>
    <xf numFmtId="3" fontId="129" fillId="4" borderId="66" xfId="2" applyNumberFormat="1" applyFont="1" applyFill="1" applyBorder="1" applyAlignment="1" applyProtection="1">
      <alignment horizontal="right" vertical="center"/>
    </xf>
    <xf numFmtId="168" fontId="123" fillId="4" borderId="0" xfId="0" applyNumberFormat="1" applyFont="1" applyFill="1"/>
    <xf numFmtId="3" fontId="131" fillId="4" borderId="66" xfId="2" applyNumberFormat="1" applyFont="1" applyFill="1" applyBorder="1" applyAlignment="1" applyProtection="1">
      <alignment horizontal="right" vertical="center"/>
    </xf>
    <xf numFmtId="3" fontId="63" fillId="4" borderId="66" xfId="2" applyNumberFormat="1" applyFont="1" applyFill="1" applyBorder="1"/>
    <xf numFmtId="0" fontId="132" fillId="4" borderId="91" xfId="6" applyNumberFormat="1" applyFont="1" applyFill="1" applyBorder="1"/>
    <xf numFmtId="37" fontId="54" fillId="4" borderId="0" xfId="1" applyNumberFormat="1" applyFont="1" applyFill="1" applyAlignment="1">
      <alignment horizontal="right"/>
    </xf>
    <xf numFmtId="168" fontId="123" fillId="4" borderId="91" xfId="0" applyNumberFormat="1" applyFont="1" applyFill="1" applyBorder="1" applyAlignment="1">
      <alignment horizontal="right"/>
    </xf>
    <xf numFmtId="0" fontId="63" fillId="4" borderId="91" xfId="0" applyFont="1" applyFill="1" applyBorder="1" applyAlignment="1">
      <alignment horizontal="right"/>
    </xf>
    <xf numFmtId="0" fontId="63" fillId="4" borderId="92" xfId="0" applyFont="1" applyFill="1" applyBorder="1" applyAlignment="1">
      <alignment horizontal="right"/>
    </xf>
    <xf numFmtId="168" fontId="131" fillId="4" borderId="0" xfId="0" applyNumberFormat="1" applyFont="1" applyFill="1"/>
    <xf numFmtId="37" fontId="54" fillId="4" borderId="66" xfId="1" applyNumberFormat="1" applyFont="1" applyFill="1" applyBorder="1" applyAlignment="1">
      <alignment horizontal="right"/>
    </xf>
    <xf numFmtId="3" fontId="134" fillId="4" borderId="66" xfId="2" applyNumberFormat="1" applyFont="1" applyFill="1" applyBorder="1" applyAlignment="1" applyProtection="1">
      <alignment horizontal="right" vertical="center"/>
    </xf>
    <xf numFmtId="168" fontId="123" fillId="4" borderId="66" xfId="0" applyNumberFormat="1" applyFont="1" applyFill="1" applyBorder="1"/>
    <xf numFmtId="3" fontId="63" fillId="4" borderId="66" xfId="2" applyNumberFormat="1" applyFont="1" applyFill="1" applyAlignment="1">
      <alignment vertical="center"/>
    </xf>
    <xf numFmtId="3" fontId="129" fillId="4" borderId="66" xfId="2" applyNumberFormat="1" applyFont="1" applyFill="1" applyAlignment="1">
      <alignment horizontal="right" vertical="center"/>
    </xf>
    <xf numFmtId="168" fontId="123" fillId="4" borderId="91" xfId="0" applyNumberFormat="1" applyFont="1" applyFill="1" applyBorder="1"/>
    <xf numFmtId="3" fontId="54" fillId="4" borderId="66" xfId="2" applyNumberFormat="1" applyFont="1" applyFill="1" applyBorder="1"/>
    <xf numFmtId="3" fontId="135" fillId="4" borderId="66" xfId="2" applyNumberFormat="1" applyFont="1" applyFill="1" applyAlignment="1">
      <alignment vertical="center"/>
    </xf>
    <xf numFmtId="37" fontId="136" fillId="4" borderId="0" xfId="1" applyNumberFormat="1" applyFont="1" applyFill="1" applyAlignment="1">
      <alignment horizontal="right" vertical="center"/>
    </xf>
    <xf numFmtId="0" fontId="123" fillId="4" borderId="66" xfId="0" applyFont="1" applyFill="1" applyBorder="1"/>
    <xf numFmtId="3" fontId="63" fillId="4" borderId="78" xfId="2" applyNumberFormat="1" applyFont="1" applyFill="1" applyBorder="1"/>
    <xf numFmtId="37" fontId="63" fillId="4" borderId="94" xfId="7" applyNumberFormat="1" applyFont="1" applyFill="1" applyBorder="1" applyAlignment="1">
      <alignment horizontal="right" vertical="center"/>
    </xf>
    <xf numFmtId="3" fontId="129" fillId="4" borderId="78" xfId="2" applyNumberFormat="1" applyFont="1" applyFill="1" applyBorder="1" applyAlignment="1" applyProtection="1">
      <alignment horizontal="right" vertical="center"/>
    </xf>
    <xf numFmtId="3" fontId="67" fillId="4" borderId="66" xfId="2" applyNumberFormat="1" applyFont="1" applyFill="1" applyAlignment="1">
      <alignment vertical="center"/>
    </xf>
    <xf numFmtId="3" fontId="51" fillId="4" borderId="66" xfId="2" applyNumberFormat="1" applyFont="1" applyFill="1"/>
    <xf numFmtId="168" fontId="138" fillId="4" borderId="0" xfId="0" applyNumberFormat="1" applyFont="1" applyFill="1" applyAlignment="1">
      <alignment horizontal="center" vertical="center"/>
    </xf>
    <xf numFmtId="168" fontId="138" fillId="4" borderId="0" xfId="0" applyNumberFormat="1" applyFont="1" applyFill="1" applyAlignment="1">
      <alignment horizontal="right" vertical="center"/>
    </xf>
    <xf numFmtId="168" fontId="51" fillId="4" borderId="66" xfId="0" applyNumberFormat="1" applyFont="1" applyFill="1" applyBorder="1" applyAlignment="1">
      <alignment horizontal="right" vertical="center"/>
    </xf>
    <xf numFmtId="0" fontId="139" fillId="4" borderId="66" xfId="2" applyFont="1" applyFill="1" applyAlignment="1">
      <alignment horizontal="right" vertical="center"/>
    </xf>
    <xf numFmtId="0" fontId="141" fillId="4" borderId="0" xfId="0" applyFont="1" applyFill="1"/>
    <xf numFmtId="0" fontId="141" fillId="4" borderId="0" xfId="0" applyFont="1" applyFill="1" applyAlignment="1">
      <alignment horizontal="right"/>
    </xf>
    <xf numFmtId="0" fontId="51" fillId="4" borderId="66" xfId="0" applyFont="1" applyFill="1" applyBorder="1" applyAlignment="1">
      <alignment horizontal="right" vertical="center"/>
    </xf>
    <xf numFmtId="168" fontId="128" fillId="4" borderId="66" xfId="5" applyNumberFormat="1" applyFont="1" applyFill="1" applyAlignment="1">
      <alignment horizontal="right" vertical="center"/>
    </xf>
    <xf numFmtId="0" fontId="54" fillId="4" borderId="66" xfId="0" applyFont="1" applyFill="1" applyBorder="1" applyAlignment="1">
      <alignment horizontal="right" vertical="center"/>
    </xf>
    <xf numFmtId="0" fontId="4" fillId="4" borderId="0" xfId="0" applyFont="1" applyFill="1"/>
    <xf numFmtId="0" fontId="142" fillId="4" borderId="0" xfId="0" applyFont="1" applyFill="1"/>
    <xf numFmtId="0" fontId="4" fillId="4" borderId="0" xfId="0" applyFont="1" applyFill="1" applyAlignment="1">
      <alignment horizontal="right"/>
    </xf>
    <xf numFmtId="0" fontId="65" fillId="4" borderId="66" xfId="0" applyFont="1" applyFill="1" applyBorder="1" applyAlignment="1">
      <alignment horizontal="right" vertical="center"/>
    </xf>
    <xf numFmtId="0" fontId="65" fillId="4" borderId="0" xfId="0" applyFont="1" applyFill="1" applyAlignment="1">
      <alignment horizontal="right" vertical="center"/>
    </xf>
    <xf numFmtId="37" fontId="54" fillId="4" borderId="91" xfId="7" applyNumberFormat="1" applyFont="1" applyFill="1" applyBorder="1" applyAlignment="1">
      <alignment horizontal="right" vertical="center"/>
    </xf>
    <xf numFmtId="164" fontId="63" fillId="4" borderId="66" xfId="7" applyNumberFormat="1" applyFont="1" applyFill="1" applyAlignment="1">
      <alignment horizontal="right" vertical="center"/>
    </xf>
    <xf numFmtId="164" fontId="61" fillId="4" borderId="78" xfId="7" applyNumberFormat="1" applyFont="1" applyFill="1" applyBorder="1" applyAlignment="1">
      <alignment horizontal="right" vertical="center"/>
    </xf>
    <xf numFmtId="170" fontId="61" fillId="4" borderId="78" xfId="7" applyNumberFormat="1" applyFont="1" applyFill="1" applyBorder="1"/>
    <xf numFmtId="170" fontId="0" fillId="4" borderId="0" xfId="0" applyNumberFormat="1" applyFill="1"/>
    <xf numFmtId="37" fontId="57" fillId="4" borderId="84" xfId="1" applyNumberFormat="1" applyFont="1" applyFill="1" applyBorder="1" applyAlignment="1">
      <alignment horizontal="right" vertical="center" indent="4"/>
    </xf>
    <xf numFmtId="37" fontId="63" fillId="4" borderId="94" xfId="1" applyNumberFormat="1" applyFont="1" applyFill="1" applyBorder="1" applyAlignment="1" applyProtection="1">
      <alignment horizontal="right" vertical="center" indent="4"/>
    </xf>
    <xf numFmtId="4" fontId="97" fillId="4" borderId="101" xfId="0" applyNumberFormat="1" applyFont="1" applyFill="1" applyBorder="1" applyAlignment="1">
      <alignment horizontal="center" vertical="center" wrapText="1"/>
    </xf>
    <xf numFmtId="0" fontId="61" fillId="4" borderId="66" xfId="0" applyFont="1" applyFill="1" applyBorder="1" applyAlignment="1">
      <alignment horizontal="left" vertical="center" indent="1"/>
    </xf>
    <xf numFmtId="0" fontId="61" fillId="4" borderId="0" xfId="0" applyFont="1" applyFill="1" applyAlignment="1">
      <alignment horizontal="left" vertical="center" indent="1"/>
    </xf>
    <xf numFmtId="0" fontId="61" fillId="4" borderId="78" xfId="0" applyFont="1" applyFill="1" applyBorder="1" applyAlignment="1">
      <alignment horizontal="left" vertical="center" indent="1"/>
    </xf>
    <xf numFmtId="0" fontId="101" fillId="4" borderId="66" xfId="0" applyFont="1" applyFill="1" applyBorder="1" applyAlignment="1">
      <alignment horizontal="right" vertical="center" indent="1"/>
    </xf>
    <xf numFmtId="0" fontId="101" fillId="4" borderId="78" xfId="0" applyFont="1" applyFill="1" applyBorder="1" applyAlignment="1">
      <alignment horizontal="right" vertical="center" indent="1"/>
    </xf>
    <xf numFmtId="164" fontId="57" fillId="4" borderId="66" xfId="8" applyNumberFormat="1" applyFont="1" applyFill="1" applyAlignment="1">
      <alignment horizontal="right" vertical="center"/>
    </xf>
  </cellXfs>
  <cellStyles count="9">
    <cellStyle name="Comma" xfId="1" builtinId="3"/>
    <cellStyle name="Comma 23" xfId="8"/>
    <cellStyle name="Comma 3" xfId="7"/>
    <cellStyle name="Normal" xfId="0" builtinId="0"/>
    <cellStyle name="Normal 12" xfId="6"/>
    <cellStyle name="Normal 2" xfId="3"/>
    <cellStyle name="Normal 3 2" xfId="4"/>
    <cellStyle name="Normal_3 Population." xfId="5"/>
    <cellStyle name="Normal_II-15(Population) 2" xfId="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EB"/>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latin typeface="Consolas"/>
              </a:defRPr>
            </a:pPr>
            <a:r>
              <a:rPr lang="en-US" sz="1100"/>
              <a:t>Figure 18.3: Percentage shares of different pension schemes in the payments, 2018</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chemeClr val="accent4">
                  <a:lumMod val="75000"/>
                </a:schemeClr>
              </a:solidFill>
            </c:spPr>
            <c:extLst>
              <c:ext xmlns:c16="http://schemas.microsoft.com/office/drawing/2014/chart" uri="{C3380CC4-5D6E-409C-BE32-E72D297353CC}">
                <c16:uniqueId val="{00000001-ABF5-47FE-BED5-A56071BEB72E}"/>
              </c:ext>
            </c:extLst>
          </c:dPt>
          <c:dPt>
            <c:idx val="1"/>
            <c:bubble3D val="0"/>
            <c:spPr>
              <a:solidFill>
                <a:schemeClr val="accent4">
                  <a:lumMod val="20000"/>
                  <a:lumOff val="80000"/>
                </a:schemeClr>
              </a:solidFill>
            </c:spPr>
            <c:extLst>
              <c:ext xmlns:c16="http://schemas.microsoft.com/office/drawing/2014/chart" uri="{C3380CC4-5D6E-409C-BE32-E72D297353CC}">
                <c16:uniqueId val="{00000003-ABF5-47FE-BED5-A56071BEB72E}"/>
              </c:ext>
            </c:extLst>
          </c:dPt>
          <c:dPt>
            <c:idx val="2"/>
            <c:bubble3D val="0"/>
            <c:extLst>
              <c:ext xmlns:c16="http://schemas.microsoft.com/office/drawing/2014/chart" uri="{C3380CC4-5D6E-409C-BE32-E72D297353CC}">
                <c16:uniqueId val="{00000005-ABF5-47FE-BED5-A56071BEB72E}"/>
              </c:ext>
            </c:extLst>
          </c:dPt>
          <c:dPt>
            <c:idx val="3"/>
            <c:bubble3D val="0"/>
            <c:spPr>
              <a:solidFill>
                <a:schemeClr val="accent4">
                  <a:lumMod val="50000"/>
                </a:schemeClr>
              </a:solidFill>
            </c:spPr>
            <c:extLst>
              <c:ext xmlns:c16="http://schemas.microsoft.com/office/drawing/2014/chart" uri="{C3380CC4-5D6E-409C-BE32-E72D297353CC}">
                <c16:uniqueId val="{00000007-ABF5-47FE-BED5-A56071BEB72E}"/>
              </c:ext>
            </c:extLst>
          </c:dPt>
          <c:dLbls>
            <c:dLbl>
              <c:idx val="0"/>
              <c:layout>
                <c:manualLayout>
                  <c:x val="-1.7293560504449138E-2"/>
                  <c:y val="-1.53277421270319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F5-47FE-BED5-A56071BEB72E}"/>
                </c:ext>
              </c:extLst>
            </c:dLbl>
            <c:dLbl>
              <c:idx val="1"/>
              <c:layout>
                <c:manualLayout>
                  <c:x val="0.11067878722847407"/>
                  <c:y val="7.97042590605663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F5-47FE-BED5-A56071BEB72E}"/>
                </c:ext>
              </c:extLst>
            </c:dLbl>
            <c:dLbl>
              <c:idx val="3"/>
              <c:layout>
                <c:manualLayout>
                  <c:x val="-0.10894943117802917"/>
                  <c:y val="-0.13794967914328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F5-47FE-BED5-A56071BEB72E}"/>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'18.1'!$AS$24:$AS$27</c:f>
              <c:strCache>
                <c:ptCount val="4"/>
                <c:pt idx="0">
                  <c:v>Basic Pension</c:v>
                </c:pt>
                <c:pt idx="1">
                  <c:v>Retirement Pension</c:v>
                </c:pt>
                <c:pt idx="2">
                  <c:v>Other Pension</c:v>
                </c:pt>
                <c:pt idx="3">
                  <c:v>Senior Citizen Allowance</c:v>
                </c:pt>
              </c:strCache>
            </c:strRef>
          </c:cat>
          <c:val>
            <c:numRef>
              <c:f>'18.1'!$AX$24:$AX$27</c:f>
              <c:numCache>
                <c:formatCode>_(* #,##0_);_(* \(#,##0\);_(* "-"??_);_(@_)</c:formatCode>
                <c:ptCount val="4"/>
                <c:pt idx="0">
                  <c:v>33.240844606995005</c:v>
                </c:pt>
                <c:pt idx="1">
                  <c:v>4.3970065590558001</c:v>
                </c:pt>
                <c:pt idx="2">
                  <c:v>21.044852111246044</c:v>
                </c:pt>
                <c:pt idx="3">
                  <c:v>41.317296722703141</c:v>
                </c:pt>
              </c:numCache>
            </c:numRef>
          </c:val>
          <c:extLs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pPr>
            <a:r>
              <a:rPr lang="en-US" sz="1100"/>
              <a:t>Figure 18.2: Percentage share of pension payments going to females, 2018</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FFD966"/>
            </a:solidFill>
          </c:spPr>
          <c:invertIfNegative val="1"/>
          <c:cat>
            <c:strRef>
              <c:f>'18.1'!$AS$24:$AS$27</c:f>
              <c:strCache>
                <c:ptCount val="4"/>
                <c:pt idx="0">
                  <c:v>Basic Pension</c:v>
                </c:pt>
                <c:pt idx="1">
                  <c:v>Retirement Pension</c:v>
                </c:pt>
                <c:pt idx="2">
                  <c:v>Other Pension</c:v>
                </c:pt>
                <c:pt idx="3">
                  <c:v>Senior Citizen Allowance</c:v>
                </c:pt>
              </c:strCache>
            </c:strRef>
          </c:cat>
          <c:val>
            <c:numRef>
              <c:f>'18.1'!$AY$24:$AY$27</c:f>
              <c:numCache>
                <c:formatCode>_(* #,##0_);_(* \(#,##0\);_(* "-"??_);_(@_)</c:formatCode>
                <c:ptCount val="4"/>
                <c:pt idx="0">
                  <c:v>51.172492318768057</c:v>
                </c:pt>
                <c:pt idx="1">
                  <c:v>19.235068988452841</c:v>
                </c:pt>
                <c:pt idx="2">
                  <c:v>21.142387528605902</c:v>
                </c:pt>
                <c:pt idx="3">
                  <c:v>49.791724353466897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AE2-498D-B33F-13D54364987F}"/>
            </c:ext>
          </c:extLst>
        </c:ser>
        <c:dLbls>
          <c:showLegendKey val="0"/>
          <c:showVal val="0"/>
          <c:showCatName val="0"/>
          <c:showSerName val="0"/>
          <c:showPercent val="0"/>
          <c:showBubbleSize val="0"/>
        </c:dLbls>
        <c:gapWidth val="150"/>
        <c:axId val="1418750209"/>
        <c:axId val="958560865"/>
      </c:barChart>
      <c:catAx>
        <c:axId val="1418750209"/>
        <c:scaling>
          <c:orientation val="minMax"/>
        </c:scaling>
        <c:delete val="0"/>
        <c:axPos val="b"/>
        <c:numFmt formatCode="General" sourceLinked="1"/>
        <c:majorTickMark val="cross"/>
        <c:minorTickMark val="cross"/>
        <c:tickLblPos val="nextTo"/>
        <c:txPr>
          <a:bodyPr/>
          <a:lstStyle/>
          <a:p>
            <a:pPr lvl="0">
              <a:defRPr b="1" i="0"/>
            </a:pPr>
            <a:endParaRPr lang="en-US"/>
          </a:p>
        </c:txPr>
        <c:crossAx val="958560865"/>
        <c:crosses val="autoZero"/>
        <c:auto val="1"/>
        <c:lblAlgn val="ctr"/>
        <c:lblOffset val="100"/>
        <c:noMultiLvlLbl val="1"/>
      </c:catAx>
      <c:valAx>
        <c:axId val="958560865"/>
        <c:scaling>
          <c:orientation val="minMax"/>
        </c:scaling>
        <c:delete val="0"/>
        <c:axPos val="l"/>
        <c:majorGridlines>
          <c:spPr>
            <a:ln>
              <a:solidFill>
                <a:schemeClr val="accent4">
                  <a:lumMod val="60000"/>
                  <a:lumOff val="40000"/>
                </a:schemeClr>
              </a:solidFill>
            </a:ln>
          </c:spPr>
        </c:majorGridlines>
        <c:numFmt formatCode="_(* #,##0_);_(* \(#,##0\);_(* &quot;-&quot;??_);_(@_)" sourceLinked="1"/>
        <c:majorTickMark val="cross"/>
        <c:minorTickMark val="cross"/>
        <c:tickLblPos val="nextTo"/>
        <c:spPr>
          <a:ln w="47625">
            <a:noFill/>
          </a:ln>
        </c:spPr>
        <c:txPr>
          <a:bodyPr/>
          <a:lstStyle/>
          <a:p>
            <a:pPr lvl="0">
              <a:defRPr b="1" i="0"/>
            </a:pPr>
            <a:endParaRPr lang="en-US"/>
          </a:p>
        </c:txPr>
        <c:crossAx val="1418750209"/>
        <c:crosses val="autoZero"/>
        <c:crossBetween val="between"/>
      </c:valAx>
      <c:spPr>
        <a:solidFill>
          <a:srgbClr val="FFFFEB"/>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0615321968834027"/>
          <c:y val="0.20914578106758738"/>
          <c:w val="0.85965052587441015"/>
          <c:h val="0.64420046863227265"/>
        </c:manualLayout>
      </c:layout>
      <c:barChart>
        <c:barDir val="col"/>
        <c:grouping val="clustered"/>
        <c:varyColors val="1"/>
        <c:ser>
          <c:idx val="0"/>
          <c:order val="0"/>
          <c:tx>
            <c:strRef>
              <c:f>'18.1'!$AT$23</c:f>
              <c:strCache>
                <c:ptCount val="1"/>
                <c:pt idx="0">
                  <c:v>Male</c:v>
                </c:pt>
              </c:strCache>
            </c:strRef>
          </c:tx>
          <c:spPr>
            <a:solidFill>
              <a:srgbClr val="FFD966"/>
            </a:solidFill>
          </c:spPr>
          <c:invertIfNegative val="1"/>
          <c:cat>
            <c:strRef>
              <c:f>'18.1'!$AS$24:$AS$27</c:f>
              <c:strCache>
                <c:ptCount val="4"/>
                <c:pt idx="0">
                  <c:v>Basic Pension</c:v>
                </c:pt>
                <c:pt idx="1">
                  <c:v>Retirement Pension</c:v>
                </c:pt>
                <c:pt idx="2">
                  <c:v>Other Pension</c:v>
                </c:pt>
                <c:pt idx="3">
                  <c:v>Senior Citizen Allowance</c:v>
                </c:pt>
              </c:strCache>
            </c:strRef>
          </c:cat>
          <c:val>
            <c:numRef>
              <c:f>'18.1'!$AT$24:$AT$27</c:f>
              <c:numCache>
                <c:formatCode>_(* #,##0.00_);_(* \(#,##0.00\);_(* "-"??_);_(@_)</c:formatCode>
                <c:ptCount val="4"/>
                <c:pt idx="0">
                  <c:v>216.38012950000001</c:v>
                </c:pt>
                <c:pt idx="1">
                  <c:v>47.343537929999997</c:v>
                </c:pt>
                <c:pt idx="2" formatCode="_(* #,##0_);_(* \(#,##0\);_(* &quot;-&quot;??_);_(@_)">
                  <c:v>221.24337326</c:v>
                </c:pt>
                <c:pt idx="3" formatCode="_(* #,##0_);_(* \(#,##0\);_(* &quot;-&quot;??_);_(@_)">
                  <c:v>276.55911357999997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2C6-4DD7-91EC-E06480112E91}"/>
            </c:ext>
          </c:extLst>
        </c:ser>
        <c:ser>
          <c:idx val="1"/>
          <c:order val="1"/>
          <c:tx>
            <c:strRef>
              <c:f>'18.1'!$AU$23</c:f>
              <c:strCache>
                <c:ptCount val="1"/>
                <c:pt idx="0">
                  <c:v>Female</c:v>
                </c:pt>
              </c:strCache>
            </c:strRef>
          </c:tx>
          <c:spPr>
            <a:solidFill>
              <a:srgbClr val="7F6000"/>
            </a:solidFill>
          </c:spPr>
          <c:invertIfNegative val="1"/>
          <c:cat>
            <c:strRef>
              <c:f>'18.1'!$AS$24:$AS$27</c:f>
              <c:strCache>
                <c:ptCount val="4"/>
                <c:pt idx="0">
                  <c:v>Basic Pension</c:v>
                </c:pt>
                <c:pt idx="1">
                  <c:v>Retirement Pension</c:v>
                </c:pt>
                <c:pt idx="2">
                  <c:v>Other Pension</c:v>
                </c:pt>
                <c:pt idx="3">
                  <c:v>Senior Citizen Allowance</c:v>
                </c:pt>
              </c:strCache>
            </c:strRef>
          </c:cat>
          <c:val>
            <c:numRef>
              <c:f>'18.1'!$AU$24:$AU$27</c:f>
              <c:numCache>
                <c:formatCode>_(* #,##0_);_(* \(#,##0\);_(* "-"??_);_(@_)</c:formatCode>
                <c:ptCount val="4"/>
                <c:pt idx="0" formatCode="_(* #,##0.00_);_(* \(#,##0.00\);_(* &quot;-&quot;??_);_(@_)">
                  <c:v>226.77197834999998</c:v>
                </c:pt>
                <c:pt idx="1">
                  <c:v>11.275391519999999</c:v>
                </c:pt>
                <c:pt idx="2">
                  <c:v>59.317204630000006</c:v>
                </c:pt>
                <c:pt idx="3">
                  <c:v>274.26465007000002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2C6-4DD7-91EC-E06480112E91}"/>
            </c:ext>
          </c:extLst>
        </c:ser>
        <c:dLbls>
          <c:showLegendKey val="0"/>
          <c:showVal val="0"/>
          <c:showCatName val="0"/>
          <c:showSerName val="0"/>
          <c:showPercent val="0"/>
          <c:showBubbleSize val="0"/>
        </c:dLbls>
        <c:gapWidth val="150"/>
        <c:axId val="1649701799"/>
        <c:axId val="1276232080"/>
      </c:barChart>
      <c:catAx>
        <c:axId val="1649701799"/>
        <c:scaling>
          <c:orientation val="minMax"/>
        </c:scaling>
        <c:delete val="0"/>
        <c:axPos val="b"/>
        <c:numFmt formatCode="General" sourceLinked="1"/>
        <c:majorTickMark val="cross"/>
        <c:minorTickMark val="cross"/>
        <c:tickLblPos val="nextTo"/>
        <c:txPr>
          <a:bodyPr/>
          <a:lstStyle/>
          <a:p>
            <a:pPr lvl="0">
              <a:defRPr b="0" i="0"/>
            </a:pPr>
            <a:endParaRPr lang="en-US"/>
          </a:p>
        </c:txPr>
        <c:crossAx val="1276232080"/>
        <c:crosses val="autoZero"/>
        <c:auto val="1"/>
        <c:lblAlgn val="ctr"/>
        <c:lblOffset val="100"/>
        <c:noMultiLvlLbl val="1"/>
      </c:catAx>
      <c:valAx>
        <c:axId val="1276232080"/>
        <c:scaling>
          <c:orientation val="minMax"/>
        </c:scaling>
        <c:delete val="0"/>
        <c:axPos val="l"/>
        <c:majorGridlines>
          <c:spPr>
            <a:ln>
              <a:solidFill>
                <a:schemeClr val="accent4">
                  <a:lumMod val="60000"/>
                  <a:lumOff val="40000"/>
                </a:schemeClr>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1" i="0"/>
            </a:pPr>
            <a:endParaRPr lang="en-US"/>
          </a:p>
        </c:txPr>
        <c:crossAx val="1649701799"/>
        <c:crosses val="autoZero"/>
        <c:crossBetween val="between"/>
      </c:valAx>
      <c:spPr>
        <a:solidFill>
          <a:srgbClr val="FFFFEB"/>
        </a:solidFill>
        <a:ln>
          <a:solidFill>
            <a:schemeClr val="bg1">
              <a:lumMod val="75000"/>
            </a:schemeClr>
          </a:solidFill>
        </a:ln>
      </c:spPr>
    </c:plotArea>
    <c:legend>
      <c:legendPos val="r"/>
      <c:layout>
        <c:manualLayout>
          <c:xMode val="edge"/>
          <c:yMode val="edge"/>
          <c:x val="0.3553774477957054"/>
          <c:y val="0.33140713877642269"/>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6.89186743866195E-2"/>
          <c:y val="0.15093206372459256"/>
          <c:w val="0.90403112631198579"/>
          <c:h val="0.73580235610083622"/>
        </c:manualLayout>
      </c:layout>
      <c:barChart>
        <c:barDir val="col"/>
        <c:grouping val="clustered"/>
        <c:varyColors val="1"/>
        <c:ser>
          <c:idx val="0"/>
          <c:order val="0"/>
          <c:tx>
            <c:strRef>
              <c:f>'18.2'!$AO$23</c:f>
              <c:strCache>
                <c:ptCount val="1"/>
                <c:pt idx="0">
                  <c:v>2016</c:v>
                </c:pt>
              </c:strCache>
            </c:strRef>
          </c:tx>
          <c:spPr>
            <a:solidFill>
              <a:srgbClr val="BF9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'18.2'!$AJ$24:$AJ$27</c:f>
              <c:strCache>
                <c:ptCount val="4"/>
                <c:pt idx="0">
                  <c:v>Basic pension</c:v>
                </c:pt>
                <c:pt idx="1">
                  <c:v>Other  pension</c:v>
                </c:pt>
                <c:pt idx="2">
                  <c:v>Retirement  pension</c:v>
                </c:pt>
                <c:pt idx="3">
                  <c:v> Senior Citizen Allowance</c:v>
                </c:pt>
              </c:strCache>
            </c:strRef>
          </c:cat>
          <c:val>
            <c:numRef>
              <c:f>'18.2'!$AO$24:$AO$27</c:f>
              <c:numCache>
                <c:formatCode>_(* #,##0_);_(* \(#,##0\);_(* "-"??_);_(@_)</c:formatCode>
                <c:ptCount val="4"/>
                <c:pt idx="0">
                  <c:v>432.11594074999999</c:v>
                </c:pt>
                <c:pt idx="1">
                  <c:v>264.84195393999994</c:v>
                </c:pt>
                <c:pt idx="2">
                  <c:v>49.178627069999997</c:v>
                </c:pt>
                <c:pt idx="3">
                  <c:v>533.48253769000007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4ACB-4276-B2A7-EE61FC27565F}"/>
            </c:ext>
          </c:extLst>
        </c:ser>
        <c:ser>
          <c:idx val="1"/>
          <c:order val="1"/>
          <c:tx>
            <c:strRef>
              <c:f>'18.2'!$AP$23</c:f>
              <c:strCache>
                <c:ptCount val="1"/>
                <c:pt idx="0">
                  <c:v>2017</c:v>
                </c:pt>
              </c:strCache>
            </c:strRef>
          </c:tx>
          <c:spPr>
            <a:solidFill>
              <a:srgbClr val="FFD966"/>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'18.2'!$AJ$24:$AJ$27</c:f>
              <c:strCache>
                <c:ptCount val="4"/>
                <c:pt idx="0">
                  <c:v>Basic pension</c:v>
                </c:pt>
                <c:pt idx="1">
                  <c:v>Other  pension</c:v>
                </c:pt>
                <c:pt idx="2">
                  <c:v>Retirement  pension</c:v>
                </c:pt>
                <c:pt idx="3">
                  <c:v> Senior Citizen Allowance</c:v>
                </c:pt>
              </c:strCache>
            </c:strRef>
          </c:cat>
          <c:val>
            <c:numRef>
              <c:f>'18.2'!$AP$24:$AP$27</c:f>
              <c:numCache>
                <c:formatCode>_(* #,##0_);_(* \(#,##0\);_(* "-"??_);_(@_)</c:formatCode>
                <c:ptCount val="4"/>
                <c:pt idx="0">
                  <c:v>435.25136824000003</c:v>
                </c:pt>
                <c:pt idx="1">
                  <c:v>270.65722773000005</c:v>
                </c:pt>
                <c:pt idx="2">
                  <c:v>54.585241880000005</c:v>
                </c:pt>
                <c:pt idx="3">
                  <c:v>539.03694702999996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4ACB-4276-B2A7-EE61FC27565F}"/>
            </c:ext>
          </c:extLst>
        </c:ser>
        <c:ser>
          <c:idx val="2"/>
          <c:order val="2"/>
          <c:tx>
            <c:strRef>
              <c:f>'18.2'!$AQ$23</c:f>
              <c:strCache>
                <c:ptCount val="1"/>
                <c:pt idx="0">
                  <c:v>2018</c:v>
                </c:pt>
              </c:strCache>
            </c:strRef>
          </c:tx>
          <c:spPr>
            <a:solidFill>
              <a:srgbClr val="FFF2CC"/>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'18.2'!$AJ$24:$AJ$27</c:f>
              <c:strCache>
                <c:ptCount val="4"/>
                <c:pt idx="0">
                  <c:v>Basic pension</c:v>
                </c:pt>
                <c:pt idx="1">
                  <c:v>Other  pension</c:v>
                </c:pt>
                <c:pt idx="2">
                  <c:v>Retirement  pension</c:v>
                </c:pt>
                <c:pt idx="3">
                  <c:v> Senior Citizen Allowance</c:v>
                </c:pt>
              </c:strCache>
            </c:strRef>
          </c:cat>
          <c:val>
            <c:numRef>
              <c:f>'18.2'!$AQ$24:$AQ$27</c:f>
              <c:numCache>
                <c:formatCode>_(* #,##0_);_(* \(#,##0\);_(* "-"??_);_(@_)</c:formatCode>
                <c:ptCount val="4"/>
                <c:pt idx="0">
                  <c:v>443.15210785000011</c:v>
                </c:pt>
                <c:pt idx="1">
                  <c:v>280.56057788999999</c:v>
                </c:pt>
                <c:pt idx="2">
                  <c:v>58.618929450000003</c:v>
                </c:pt>
                <c:pt idx="3">
                  <c:v>550.82376364999993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4ACB-4276-B2A7-EE61FC27565F}"/>
            </c:ext>
          </c:extLst>
        </c:ser>
        <c:dLbls>
          <c:showLegendKey val="0"/>
          <c:showVal val="0"/>
          <c:showCatName val="0"/>
          <c:showSerName val="0"/>
          <c:showPercent val="0"/>
          <c:showBubbleSize val="0"/>
        </c:dLbls>
        <c:gapWidth val="150"/>
        <c:axId val="209487093"/>
        <c:axId val="114171201"/>
      </c:barChart>
      <c:catAx>
        <c:axId val="209487093"/>
        <c:scaling>
          <c:orientation val="minMax"/>
        </c:scaling>
        <c:delete val="0"/>
        <c:axPos val="b"/>
        <c:numFmt formatCode="General" sourceLinked="1"/>
        <c:majorTickMark val="cross"/>
        <c:minorTickMark val="cross"/>
        <c:tickLblPos val="nextTo"/>
        <c:txPr>
          <a:bodyPr/>
          <a:lstStyle/>
          <a:p>
            <a:pPr lvl="0">
              <a:defRPr b="1" i="0"/>
            </a:pPr>
            <a:endParaRPr lang="en-US"/>
          </a:p>
        </c:txPr>
        <c:crossAx val="114171201"/>
        <c:crosses val="autoZero"/>
        <c:auto val="1"/>
        <c:lblAlgn val="ctr"/>
        <c:lblOffset val="100"/>
        <c:noMultiLvlLbl val="1"/>
      </c:catAx>
      <c:valAx>
        <c:axId val="114171201"/>
        <c:scaling>
          <c:orientation val="minMax"/>
        </c:scaling>
        <c:delete val="0"/>
        <c:axPos val="l"/>
        <c:majorGridlines>
          <c:spPr>
            <a:ln>
              <a:solidFill>
                <a:schemeClr val="accent4">
                  <a:lumMod val="60000"/>
                  <a:lumOff val="40000"/>
                </a:schemeClr>
              </a:solidFill>
            </a:ln>
          </c:spPr>
        </c:majorGridlines>
        <c:title>
          <c:tx>
            <c:rich>
              <a:bodyPr/>
              <a:lstStyle/>
              <a:p>
                <a:pPr lvl="0">
                  <a:defRPr sz="800" b="1" i="0"/>
                </a:pPr>
                <a:r>
                  <a:rPr lang="en-US"/>
                  <a:t>In million MVR</a:t>
                </a:r>
              </a:p>
            </c:rich>
          </c:tx>
          <c:layout/>
          <c:overlay val="0"/>
        </c:title>
        <c:numFmt formatCode="_(* #,##0_);_(* \(#,##0\);_(* &quot;-&quot;??_);_(@_)" sourceLinked="1"/>
        <c:majorTickMark val="cross"/>
        <c:minorTickMark val="cross"/>
        <c:tickLblPos val="nextTo"/>
        <c:spPr>
          <a:ln w="47625">
            <a:noFill/>
          </a:ln>
        </c:spPr>
        <c:txPr>
          <a:bodyPr/>
          <a:lstStyle/>
          <a:p>
            <a:pPr lvl="0">
              <a:defRPr b="1" i="0"/>
            </a:pPr>
            <a:endParaRPr lang="en-US"/>
          </a:p>
        </c:txPr>
        <c:crossAx val="209487093"/>
        <c:crosses val="autoZero"/>
        <c:crossBetween val="between"/>
      </c:valAx>
      <c:spPr>
        <a:solidFill>
          <a:srgbClr val="FFFFEB"/>
        </a:solidFill>
        <a:ln>
          <a:solidFill>
            <a:schemeClr val="bg1">
              <a:lumMod val="65000"/>
            </a:schemeClr>
          </a:solidFill>
        </a:ln>
      </c:spPr>
    </c:plotArea>
    <c:legend>
      <c:legendPos val="r"/>
      <c:layout>
        <c:manualLayout>
          <c:xMode val="edge"/>
          <c:yMode val="edge"/>
          <c:x val="0.49019638820494288"/>
          <c:y val="0.19331624244643839"/>
          <c:w val="0.16117323114760065"/>
          <c:h val="5.5227675028993471E-2"/>
        </c:manualLayout>
      </c:layout>
      <c:overlay val="0"/>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latin typeface="Consolas"/>
              </a:defRPr>
            </a:pPr>
            <a:r>
              <a:rPr lang="en-US"/>
              <a:t>Figure 18.5: Number of beneficiaries under different pension schemes by sex, 2018</a:t>
            </a:r>
          </a:p>
        </c:rich>
      </c:tx>
      <c:layout>
        <c:manualLayout>
          <c:xMode val="edge"/>
          <c:yMode val="edge"/>
          <c:x val="0.13616838487972507"/>
          <c:y val="7.7471967380224258E-2"/>
        </c:manualLayout>
      </c:layout>
      <c:overlay val="0"/>
    </c:title>
    <c:autoTitleDeleted val="0"/>
    <c:plotArea>
      <c:layout>
        <c:manualLayout>
          <c:layoutTarget val="inner"/>
          <c:xMode val="edge"/>
          <c:yMode val="edge"/>
          <c:x val="0.10210366101144573"/>
          <c:y val="0.19252634705065536"/>
          <c:w val="0.87677260058987472"/>
          <c:h val="0.69473283729442081"/>
        </c:manualLayout>
      </c:layout>
      <c:barChart>
        <c:barDir val="col"/>
        <c:grouping val="clustered"/>
        <c:varyColors val="1"/>
        <c:ser>
          <c:idx val="0"/>
          <c:order val="0"/>
          <c:tx>
            <c:strRef>
              <c:f>'18.3'!$AF$25</c:f>
              <c:strCache>
                <c:ptCount val="1"/>
                <c:pt idx="0">
                  <c:v>Male</c:v>
                </c:pt>
              </c:strCache>
            </c:strRef>
          </c:tx>
          <c:spPr>
            <a:solidFill>
              <a:srgbClr val="7F6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'18.3'!$AE$26:$AE$29</c:f>
              <c:strCache>
                <c:ptCount val="4"/>
                <c:pt idx="0">
                  <c:v>Basic Pension</c:v>
                </c:pt>
                <c:pt idx="1">
                  <c:v>Retirement Pension</c:v>
                </c:pt>
                <c:pt idx="2">
                  <c:v>Other Pension</c:v>
                </c:pt>
                <c:pt idx="3">
                  <c:v>Senior Citizen Allowance</c:v>
                </c:pt>
              </c:strCache>
            </c:strRef>
          </c:cat>
          <c:val>
            <c:numRef>
              <c:f>'18.3'!$AF$26:$AF$29</c:f>
              <c:numCache>
                <c:formatCode>_(* #,##0_);_(* \(#,##0\);_(* "-"??_);_(@_)</c:formatCode>
                <c:ptCount val="4"/>
                <c:pt idx="0">
                  <c:v>8446</c:v>
                </c:pt>
                <c:pt idx="1">
                  <c:v>992</c:v>
                </c:pt>
                <c:pt idx="2">
                  <c:v>5081</c:v>
                </c:pt>
                <c:pt idx="3">
                  <c:v>8792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F67-48A0-BC4B-D480059D43F2}"/>
            </c:ext>
          </c:extLst>
        </c:ser>
        <c:ser>
          <c:idx val="1"/>
          <c:order val="1"/>
          <c:tx>
            <c:strRef>
              <c:f>'18.3'!$AG$25</c:f>
              <c:strCache>
                <c:ptCount val="1"/>
                <c:pt idx="0">
                  <c:v>Female</c:v>
                </c:pt>
              </c:strCache>
            </c:strRef>
          </c:tx>
          <c:spPr>
            <a:solidFill>
              <a:srgbClr val="FFD966"/>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'18.3'!$AE$26:$AE$29</c:f>
              <c:strCache>
                <c:ptCount val="4"/>
                <c:pt idx="0">
                  <c:v>Basic Pension</c:v>
                </c:pt>
                <c:pt idx="1">
                  <c:v>Retirement Pension</c:v>
                </c:pt>
                <c:pt idx="2">
                  <c:v>Other Pension</c:v>
                </c:pt>
                <c:pt idx="3">
                  <c:v>Senior Citizen Allowance</c:v>
                </c:pt>
              </c:strCache>
            </c:strRef>
          </c:cat>
          <c:val>
            <c:numRef>
              <c:f>'18.3'!$AG$26:$AG$29</c:f>
              <c:numCache>
                <c:formatCode>_(* #,##0_);_(* \(#,##0\);_(* "-"??_);_(@_)</c:formatCode>
                <c:ptCount val="4"/>
                <c:pt idx="0">
                  <c:v>8389</c:v>
                </c:pt>
                <c:pt idx="1">
                  <c:v>267</c:v>
                </c:pt>
                <c:pt idx="2">
                  <c:v>2119</c:v>
                </c:pt>
                <c:pt idx="3">
                  <c:v>8518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F67-48A0-BC4B-D480059D43F2}"/>
            </c:ext>
          </c:extLst>
        </c:ser>
        <c:dLbls>
          <c:showLegendKey val="0"/>
          <c:showVal val="0"/>
          <c:showCatName val="0"/>
          <c:showSerName val="0"/>
          <c:showPercent val="0"/>
          <c:showBubbleSize val="0"/>
        </c:dLbls>
        <c:gapWidth val="150"/>
        <c:axId val="1577112080"/>
        <c:axId val="1508450746"/>
      </c:barChart>
      <c:catAx>
        <c:axId val="1577112080"/>
        <c:scaling>
          <c:orientation val="minMax"/>
        </c:scaling>
        <c:delete val="0"/>
        <c:axPos val="b"/>
        <c:numFmt formatCode="General" sourceLinked="1"/>
        <c:majorTickMark val="cross"/>
        <c:minorTickMark val="cross"/>
        <c:tickLblPos val="nextTo"/>
        <c:txPr>
          <a:bodyPr/>
          <a:lstStyle/>
          <a:p>
            <a:pPr lvl="0">
              <a:defRPr b="0" i="0"/>
            </a:pPr>
            <a:endParaRPr lang="en-US"/>
          </a:p>
        </c:txPr>
        <c:crossAx val="1508450746"/>
        <c:crosses val="autoZero"/>
        <c:auto val="1"/>
        <c:lblAlgn val="ctr"/>
        <c:lblOffset val="100"/>
        <c:noMultiLvlLbl val="1"/>
      </c:catAx>
      <c:valAx>
        <c:axId val="1508450746"/>
        <c:scaling>
          <c:orientation val="minMax"/>
        </c:scaling>
        <c:delete val="0"/>
        <c:axPos val="l"/>
        <c:majorGridlines>
          <c:spPr>
            <a:ln>
              <a:solidFill>
                <a:schemeClr val="accent4">
                  <a:lumMod val="60000"/>
                  <a:lumOff val="40000"/>
                </a:schemeClr>
              </a:solidFill>
            </a:ln>
          </c:spPr>
        </c:majorGridlines>
        <c:title>
          <c:tx>
            <c:rich>
              <a:bodyPr/>
              <a:lstStyle/>
              <a:p>
                <a:pPr lvl="0">
                  <a:defRPr b="1" i="0"/>
                </a:pPr>
                <a:r>
                  <a:rPr lang="en-US"/>
                  <a:t>number of persons</a:t>
                </a:r>
              </a:p>
            </c:rich>
          </c:tx>
          <c:layout>
            <c:manualLayout>
              <c:xMode val="edge"/>
              <c:yMode val="edge"/>
              <c:x val="8.5798360256514345E-3"/>
              <c:y val="0.2818804530167674"/>
            </c:manualLayout>
          </c:layout>
          <c:overlay val="0"/>
        </c:title>
        <c:numFmt formatCode="_(* #,##0_);_(* \(#,##0\);_(* &quot;-&quot;??_);_(@_)" sourceLinked="1"/>
        <c:majorTickMark val="cross"/>
        <c:minorTickMark val="cross"/>
        <c:tickLblPos val="nextTo"/>
        <c:spPr>
          <a:ln w="47625">
            <a:noFill/>
          </a:ln>
        </c:spPr>
        <c:txPr>
          <a:bodyPr/>
          <a:lstStyle/>
          <a:p>
            <a:pPr lvl="0">
              <a:defRPr b="0" i="0"/>
            </a:pPr>
            <a:endParaRPr lang="en-US"/>
          </a:p>
        </c:txPr>
        <c:crossAx val="1577112080"/>
        <c:crosses val="autoZero"/>
        <c:crossBetween val="between"/>
      </c:valAx>
      <c:spPr>
        <a:solidFill>
          <a:srgbClr val="FFFFEB"/>
        </a:solidFill>
        <a:ln>
          <a:solidFill>
            <a:schemeClr val="bg1">
              <a:lumMod val="65000"/>
            </a:schemeClr>
          </a:solidFill>
        </a:ln>
      </c:spPr>
    </c:plotArea>
    <c:legend>
      <c:legendPos val="r"/>
      <c:layout>
        <c:manualLayout>
          <c:xMode val="edge"/>
          <c:yMode val="edge"/>
          <c:x val="0.37353153665070216"/>
          <c:y val="0.23607374766227615"/>
          <c:w val="0.18316949427713289"/>
          <c:h val="0.12300031303426522"/>
        </c:manualLayout>
      </c:layout>
      <c:overlay val="0"/>
      <c:txPr>
        <a:bodyPr/>
        <a:lstStyle/>
        <a:p>
          <a:pPr lvl="0">
            <a:defRPr sz="12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6946031746031746"/>
          <c:y val="0.18825876177242551"/>
          <c:w val="0.42592592592592593"/>
          <c:h val="0.83333333333333348"/>
        </c:manualLayout>
      </c:layout>
      <c:doughnutChart>
        <c:varyColors val="1"/>
        <c:ser>
          <c:idx val="0"/>
          <c:order val="0"/>
          <c:dPt>
            <c:idx val="0"/>
            <c:bubble3D val="0"/>
            <c:spPr>
              <a:solidFill>
                <a:schemeClr val="accent4">
                  <a:lumMod val="75000"/>
                </a:schemeClr>
              </a:solidFill>
            </c:spPr>
            <c:extLst>
              <c:ext xmlns:c16="http://schemas.microsoft.com/office/drawing/2014/chart" uri="{C3380CC4-5D6E-409C-BE32-E72D297353CC}">
                <c16:uniqueId val="{00000001-375B-4B2D-A930-3081B9EDE0A5}"/>
              </c:ext>
            </c:extLst>
          </c:dPt>
          <c:dPt>
            <c:idx val="1"/>
            <c:bubble3D val="0"/>
            <c:spPr>
              <a:solidFill>
                <a:schemeClr val="accent4">
                  <a:lumMod val="60000"/>
                  <a:lumOff val="40000"/>
                </a:schemeClr>
              </a:solidFill>
            </c:spPr>
            <c:extLst>
              <c:ext xmlns:c16="http://schemas.microsoft.com/office/drawing/2014/chart" uri="{C3380CC4-5D6E-409C-BE32-E72D297353CC}">
                <c16:uniqueId val="{00000007-375B-4B2D-A930-3081B9EDE0A5}"/>
              </c:ext>
            </c:extLst>
          </c:dPt>
          <c:dPt>
            <c:idx val="2"/>
            <c:bubble3D val="0"/>
            <c:spPr>
              <a:solidFill>
                <a:schemeClr val="accent4">
                  <a:lumMod val="50000"/>
                </a:schemeClr>
              </a:solidFill>
            </c:spPr>
            <c:extLst>
              <c:ext xmlns:c16="http://schemas.microsoft.com/office/drawing/2014/chart" uri="{C3380CC4-5D6E-409C-BE32-E72D297353CC}">
                <c16:uniqueId val="{00000004-375B-4B2D-A930-3081B9EDE0A5}"/>
              </c:ext>
            </c:extLst>
          </c:dPt>
          <c:dLbls>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'18.4'!$AO$18:$AQ$18</c:f>
              <c:strCache>
                <c:ptCount val="3"/>
                <c:pt idx="0">
                  <c:v>65-69 yrs</c:v>
                </c:pt>
                <c:pt idx="1">
                  <c:v>70-74 yrs </c:v>
                </c:pt>
                <c:pt idx="2">
                  <c:v>75  yrs &amp; over</c:v>
                </c:pt>
              </c:strCache>
            </c:strRef>
          </c:cat>
          <c:val>
            <c:numRef>
              <c:f>'18.4'!$AO$19:$AQ$19</c:f>
              <c:numCache>
                <c:formatCode>#,##0</c:formatCode>
                <c:ptCount val="3"/>
                <c:pt idx="0">
                  <c:v>4597</c:v>
                </c:pt>
                <c:pt idx="1">
                  <c:v>4135</c:v>
                </c:pt>
                <c:pt idx="2">
                  <c:v>8103</c:v>
                </c:pt>
              </c:numCache>
            </c:numRef>
          </c:val>
          <c:extLst>
            <c:ext xmlns:c16="http://schemas.microsoft.com/office/drawing/2014/chart" uri="{C3380CC4-5D6E-409C-BE32-E72D297353CC}">
              <c16:uniqueId val="{00000002-375B-4B2D-A930-3081B9EDE0A5}"/>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8170167886122355"/>
          <c:y val="0.19600135466937602"/>
          <c:w val="0.37867997808685128"/>
          <c:h val="0.78423401913470481"/>
        </c:manualLayout>
      </c:layout>
      <c:doughnutChart>
        <c:varyColors val="1"/>
        <c:ser>
          <c:idx val="0"/>
          <c:order val="0"/>
          <c:explosion val="2"/>
          <c:dPt>
            <c:idx val="0"/>
            <c:bubble3D val="0"/>
            <c:spPr>
              <a:solidFill>
                <a:schemeClr val="bg1">
                  <a:lumMod val="50000"/>
                </a:schemeClr>
              </a:solidFill>
            </c:spPr>
            <c:extLst>
              <c:ext xmlns:c16="http://schemas.microsoft.com/office/drawing/2014/chart" uri="{C3380CC4-5D6E-409C-BE32-E72D297353CC}">
                <c16:uniqueId val="{00000001-A857-41B7-9248-D71814878C62}"/>
              </c:ext>
            </c:extLst>
          </c:dPt>
          <c:dPt>
            <c:idx val="1"/>
            <c:bubble3D val="0"/>
            <c:spPr>
              <a:solidFill>
                <a:schemeClr val="accent4">
                  <a:lumMod val="75000"/>
                </a:schemeClr>
              </a:solidFill>
            </c:spPr>
            <c:extLst>
              <c:ext xmlns:c16="http://schemas.microsoft.com/office/drawing/2014/chart" uri="{C3380CC4-5D6E-409C-BE32-E72D297353CC}">
                <c16:uniqueId val="{00000003-5C4C-4710-82E0-16F7FCB9FCFF}"/>
              </c:ext>
            </c:extLst>
          </c:dPt>
          <c:dPt>
            <c:idx val="2"/>
            <c:bubble3D val="0"/>
            <c:spPr>
              <a:solidFill>
                <a:schemeClr val="accent4">
                  <a:lumMod val="60000"/>
                  <a:lumOff val="40000"/>
                </a:schemeClr>
              </a:solidFill>
            </c:spPr>
            <c:extLst>
              <c:ext xmlns:c16="http://schemas.microsoft.com/office/drawing/2014/chart" uri="{C3380CC4-5D6E-409C-BE32-E72D297353CC}">
                <c16:uniqueId val="{00000002-5C4C-4710-82E0-16F7FCB9FCFF}"/>
              </c:ext>
            </c:extLst>
          </c:dPt>
          <c:dLbls>
            <c:dLbl>
              <c:idx val="0"/>
              <c:layout>
                <c:manualLayout>
                  <c:x val="2.8181417877586965E-2"/>
                  <c:y val="-9.4069529652351755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857-41B7-9248-D71814878C62}"/>
                </c:ext>
              </c:extLst>
            </c:dLbl>
            <c:dLbl>
              <c:idx val="1"/>
              <c:layout>
                <c:manualLayout>
                  <c:x val="-8.1021576398062595E-2"/>
                  <c:y val="6.134969325153374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C4C-4710-82E0-16F7FCB9FCFF}"/>
                </c:ext>
              </c:extLst>
            </c:dLbl>
            <c:dLbl>
              <c:idx val="2"/>
              <c:layout>
                <c:manualLayout>
                  <c:x val="-3.5226772346983706E-3"/>
                  <c:y val="8.1799591002044616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5C4C-4710-82E0-16F7FCB9FCFF}"/>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'18.5'!$AB$26:$AD$26</c:f>
              <c:strCache>
                <c:ptCount val="3"/>
                <c:pt idx="0">
                  <c:v>&lt; 65  yrs</c:v>
                </c:pt>
                <c:pt idx="1">
                  <c:v>65-69 yrs</c:v>
                </c:pt>
                <c:pt idx="2">
                  <c:v>70-74 yrs</c:v>
                </c:pt>
              </c:strCache>
            </c:strRef>
          </c:cat>
          <c:val>
            <c:numRef>
              <c:f>'18.5'!$AB$28:$AD$28</c:f>
              <c:numCache>
                <c:formatCode>0.0</c:formatCode>
                <c:ptCount val="3"/>
                <c:pt idx="0">
                  <c:v>1.4446227929373996</c:v>
                </c:pt>
                <c:pt idx="1">
                  <c:v>72.31139646869984</c:v>
                </c:pt>
                <c:pt idx="2">
                  <c:v>26.243980738362758</c:v>
                </c:pt>
              </c:numCache>
            </c:numRef>
          </c:val>
          <c:extLst>
            <c:ext xmlns:c16="http://schemas.microsoft.com/office/drawing/2014/chart" uri="{C3380CC4-5D6E-409C-BE32-E72D297353CC}">
              <c16:uniqueId val="{00000002-A857-41B7-9248-D71814878C62}"/>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9868772590221998"/>
          <c:y val="0.14821673468164573"/>
          <c:w val="0.44931851478093066"/>
          <c:h val="0.81731864805242904"/>
        </c:manualLayout>
      </c:layout>
      <c:doughnutChart>
        <c:varyColors val="1"/>
        <c:ser>
          <c:idx val="0"/>
          <c:order val="0"/>
          <c:spPr>
            <a:solidFill>
              <a:schemeClr val="accent4">
                <a:lumMod val="50000"/>
              </a:schemeClr>
            </a:solidFill>
          </c:spPr>
          <c:dPt>
            <c:idx val="0"/>
            <c:bubble3D val="0"/>
            <c:extLst>
              <c:ext xmlns:c16="http://schemas.microsoft.com/office/drawing/2014/chart" uri="{C3380CC4-5D6E-409C-BE32-E72D297353CC}">
                <c16:uniqueId val="{00000001-9336-4C5E-8AFF-C8580DABCCD5}"/>
              </c:ext>
            </c:extLst>
          </c:dPt>
          <c:dPt>
            <c:idx val="1"/>
            <c:bubble3D val="0"/>
            <c:spPr>
              <a:solidFill>
                <a:schemeClr val="accent4">
                  <a:lumMod val="75000"/>
                </a:schemeClr>
              </a:solidFill>
            </c:spPr>
            <c:extLst>
              <c:ext xmlns:c16="http://schemas.microsoft.com/office/drawing/2014/chart" uri="{C3380CC4-5D6E-409C-BE32-E72D297353CC}">
                <c16:uniqueId val="{00000004-EB5B-4947-8C67-D4A50D85B2AA}"/>
              </c:ext>
            </c:extLst>
          </c:dPt>
          <c:dPt>
            <c:idx val="2"/>
            <c:bubble3D val="0"/>
            <c:spPr>
              <a:solidFill>
                <a:schemeClr val="bg1">
                  <a:lumMod val="75000"/>
                </a:schemeClr>
              </a:solidFill>
            </c:spPr>
            <c:extLst>
              <c:ext xmlns:c16="http://schemas.microsoft.com/office/drawing/2014/chart" uri="{C3380CC4-5D6E-409C-BE32-E72D297353CC}">
                <c16:uniqueId val="{00000009-EB5B-4947-8C67-D4A50D85B2AA}"/>
              </c:ext>
            </c:extLst>
          </c:dPt>
          <c:dPt>
            <c:idx val="3"/>
            <c:bubble3D val="0"/>
            <c:spPr>
              <a:solidFill>
                <a:schemeClr val="accent4">
                  <a:lumMod val="40000"/>
                  <a:lumOff val="60000"/>
                </a:schemeClr>
              </a:solidFill>
            </c:spPr>
            <c:extLst>
              <c:ext xmlns:c16="http://schemas.microsoft.com/office/drawing/2014/chart" uri="{C3380CC4-5D6E-409C-BE32-E72D297353CC}">
                <c16:uniqueId val="{00000006-EB5B-4947-8C67-D4A50D85B2AA}"/>
              </c:ext>
            </c:extLst>
          </c:dPt>
          <c:dPt>
            <c:idx val="4"/>
            <c:bubble3D val="0"/>
            <c:spPr>
              <a:solidFill>
                <a:schemeClr val="accent4">
                  <a:lumMod val="60000"/>
                  <a:lumOff val="40000"/>
                </a:schemeClr>
              </a:solidFill>
            </c:spPr>
            <c:extLst>
              <c:ext xmlns:c16="http://schemas.microsoft.com/office/drawing/2014/chart" uri="{C3380CC4-5D6E-409C-BE32-E72D297353CC}">
                <c16:uniqueId val="{00000002-EB5B-4947-8C67-D4A50D85B2AA}"/>
              </c:ext>
            </c:extLst>
          </c:dPt>
          <c:dLbls>
            <c:dLbl>
              <c:idx val="4"/>
              <c:layout>
                <c:manualLayout>
                  <c:x val="1.405357732704279E-2"/>
                  <c:y val="1.253918495297801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EB5B-4947-8C67-D4A50D85B2AA}"/>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'18.6'!$AR$26:$AV$26</c:f>
              <c:strCache>
                <c:ptCount val="5"/>
                <c:pt idx="0">
                  <c:v>&lt; 55 yrs</c:v>
                </c:pt>
                <c:pt idx="1">
                  <c:v>55-64 yrs</c:v>
                </c:pt>
                <c:pt idx="2">
                  <c:v>65-69 yrs</c:v>
                </c:pt>
                <c:pt idx="3">
                  <c:v>70-74 yrs</c:v>
                </c:pt>
                <c:pt idx="4">
                  <c:v>75 yrs and over</c:v>
                </c:pt>
              </c:strCache>
            </c:strRef>
          </c:cat>
          <c:val>
            <c:numRef>
              <c:f>'18.6'!$AR$27:$AV$27</c:f>
              <c:numCache>
                <c:formatCode>0</c:formatCode>
                <c:ptCount val="5"/>
                <c:pt idx="0">
                  <c:v>27.194444444444443</c:v>
                </c:pt>
                <c:pt idx="1">
                  <c:v>25.986111111111111</c:v>
                </c:pt>
                <c:pt idx="2">
                  <c:v>13.180555555555557</c:v>
                </c:pt>
                <c:pt idx="3">
                  <c:v>12.541666666666668</c:v>
                </c:pt>
                <c:pt idx="4">
                  <c:v>21.097222222222221</c:v>
                </c:pt>
              </c:numCache>
            </c:numRef>
          </c:val>
          <c:extLst>
            <c:ext xmlns:c16="http://schemas.microsoft.com/office/drawing/2014/chart" uri="{C3380CC4-5D6E-409C-BE32-E72D297353CC}">
              <c16:uniqueId val="{00000002-9336-4C5E-8AFF-C8580DABCCD5}"/>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28416307961504811"/>
          <c:y val="0.15140267687533535"/>
          <c:w val="0.39544804899387576"/>
          <c:h val="0.81929844404808516"/>
        </c:manualLayout>
      </c:layout>
      <c:doughnutChart>
        <c:varyColors val="1"/>
        <c:ser>
          <c:idx val="0"/>
          <c:order val="0"/>
          <c:spPr>
            <a:solidFill>
              <a:schemeClr val="accent4">
                <a:lumMod val="50000"/>
              </a:schemeClr>
            </a:solidFill>
          </c:spPr>
          <c:dPt>
            <c:idx val="0"/>
            <c:bubble3D val="0"/>
            <c:spPr>
              <a:solidFill>
                <a:schemeClr val="accent4">
                  <a:lumMod val="75000"/>
                </a:schemeClr>
              </a:solidFill>
            </c:spPr>
            <c:extLst>
              <c:ext xmlns:c16="http://schemas.microsoft.com/office/drawing/2014/chart" uri="{C3380CC4-5D6E-409C-BE32-E72D297353CC}">
                <c16:uniqueId val="{00000001-B097-48AD-A4A2-4DFB6236CE5C}"/>
              </c:ext>
            </c:extLst>
          </c:dPt>
          <c:dPt>
            <c:idx val="1"/>
            <c:bubble3D val="0"/>
            <c:spPr>
              <a:solidFill>
                <a:schemeClr val="accent4">
                  <a:lumMod val="60000"/>
                  <a:lumOff val="40000"/>
                </a:schemeClr>
              </a:solidFill>
            </c:spPr>
            <c:extLst>
              <c:ext xmlns:c16="http://schemas.microsoft.com/office/drawing/2014/chart" uri="{C3380CC4-5D6E-409C-BE32-E72D297353CC}">
                <c16:uniqueId val="{00000002-8640-4962-ABFF-4EB16F8A53C1}"/>
              </c:ext>
            </c:extLst>
          </c:dPt>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'18.7'!$K$7:$M$7</c:f>
              <c:strCache>
                <c:ptCount val="3"/>
                <c:pt idx="0">
                  <c:v>65-69</c:v>
                </c:pt>
                <c:pt idx="1">
                  <c:v>70-74</c:v>
                </c:pt>
                <c:pt idx="2">
                  <c:v>75 +</c:v>
                </c:pt>
              </c:strCache>
            </c:strRef>
          </c:cat>
          <c:val>
            <c:numRef>
              <c:f>'18.7'!$K$19:$M$19</c:f>
              <c:numCache>
                <c:formatCode>_(* #,##0_);_(* \(#,##0\);_(* "-"??_);_(@_)</c:formatCode>
                <c:ptCount val="3"/>
                <c:pt idx="0">
                  <c:v>4797</c:v>
                </c:pt>
                <c:pt idx="1">
                  <c:v>4298</c:v>
                </c:pt>
                <c:pt idx="2">
                  <c:v>8215</c:v>
                </c:pt>
              </c:numCache>
            </c:numRef>
          </c:val>
          <c:extLst>
            <c:ext xmlns:c16="http://schemas.microsoft.com/office/drawing/2014/chart" uri="{C3380CC4-5D6E-409C-BE32-E72D297353CC}">
              <c16:uniqueId val="{00000002-B097-48AD-A4A2-4DFB6236CE5C}"/>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9592871132155824"/>
          <c:y val="0.18442576755126069"/>
          <c:w val="0.44231922026382564"/>
          <c:h val="0.757261703046613"/>
        </c:manualLayout>
      </c:layout>
      <c:doughnutChart>
        <c:varyColors val="1"/>
        <c:ser>
          <c:idx val="0"/>
          <c:order val="0"/>
          <c:dPt>
            <c:idx val="0"/>
            <c:bubble3D val="0"/>
            <c:spPr>
              <a:solidFill>
                <a:srgbClr val="FFFFCC"/>
              </a:solidFill>
            </c:spPr>
            <c:extLst>
              <c:ext xmlns:c16="http://schemas.microsoft.com/office/drawing/2014/chart" uri="{C3380CC4-5D6E-409C-BE32-E72D297353CC}">
                <c16:uniqueId val="{00000001-2DDF-4BA0-8E02-310526BF9768}"/>
              </c:ext>
            </c:extLst>
          </c:dPt>
          <c:dPt>
            <c:idx val="1"/>
            <c:bubble3D val="0"/>
            <c:spPr>
              <a:solidFill>
                <a:schemeClr val="bg1">
                  <a:lumMod val="75000"/>
                </a:schemeClr>
              </a:solidFill>
            </c:spPr>
            <c:extLst>
              <c:ext xmlns:c16="http://schemas.microsoft.com/office/drawing/2014/chart" uri="{C3380CC4-5D6E-409C-BE32-E72D297353CC}">
                <c16:uniqueId val="{00000007-E8BB-438C-8CB1-604EE65F613E}"/>
              </c:ext>
            </c:extLst>
          </c:dPt>
          <c:dPt>
            <c:idx val="2"/>
            <c:bubble3D val="0"/>
            <c:spPr>
              <a:solidFill>
                <a:schemeClr val="accent4">
                  <a:lumMod val="75000"/>
                </a:schemeClr>
              </a:solidFill>
            </c:spPr>
            <c:extLst>
              <c:ext xmlns:c16="http://schemas.microsoft.com/office/drawing/2014/chart" uri="{C3380CC4-5D6E-409C-BE32-E72D297353CC}">
                <c16:uniqueId val="{00000005-E8BB-438C-8CB1-604EE65F613E}"/>
              </c:ext>
            </c:extLst>
          </c:dPt>
          <c:dPt>
            <c:idx val="4"/>
            <c:bubble3D val="0"/>
            <c:spPr>
              <a:solidFill>
                <a:schemeClr val="accent4">
                  <a:lumMod val="50000"/>
                </a:schemeClr>
              </a:solidFill>
            </c:spPr>
            <c:extLst>
              <c:ext xmlns:c16="http://schemas.microsoft.com/office/drawing/2014/chart" uri="{C3380CC4-5D6E-409C-BE32-E72D297353CC}">
                <c16:uniqueId val="{00000003-E8BB-438C-8CB1-604EE65F613E}"/>
              </c:ext>
            </c:extLst>
          </c:dPt>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'18.8'!$C$6:$G$6</c:f>
              <c:strCache>
                <c:ptCount val="5"/>
                <c:pt idx="0">
                  <c:v>&lt; 55</c:v>
                </c:pt>
                <c:pt idx="1">
                  <c:v>55-64</c:v>
                </c:pt>
                <c:pt idx="2">
                  <c:v>65-69</c:v>
                </c:pt>
                <c:pt idx="3">
                  <c:v>70-74</c:v>
                </c:pt>
                <c:pt idx="4">
                  <c:v>75 +</c:v>
                </c:pt>
              </c:strCache>
            </c:strRef>
          </c:cat>
          <c:val>
            <c:numRef>
              <c:f>'18.8'!$C$7:$G$7</c:f>
              <c:numCache>
                <c:formatCode>#,##0</c:formatCode>
                <c:ptCount val="5"/>
                <c:pt idx="0">
                  <c:v>1976</c:v>
                </c:pt>
                <c:pt idx="1">
                  <c:v>1881</c:v>
                </c:pt>
                <c:pt idx="2">
                  <c:v>11244</c:v>
                </c:pt>
                <c:pt idx="3">
                  <c:v>9663</c:v>
                </c:pt>
                <c:pt idx="4">
                  <c:v>17840</c:v>
                </c:pt>
              </c:numCache>
            </c:numRef>
          </c:val>
          <c:extLst>
            <c:ext xmlns:c16="http://schemas.microsoft.com/office/drawing/2014/chart" uri="{C3380CC4-5D6E-409C-BE32-E72D297353CC}">
              <c16:uniqueId val="{00000002-2DDF-4BA0-8E02-310526BF9768}"/>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8.2786110327062026E-2"/>
          <c:y val="0.20833862433862435"/>
          <c:w val="0.89825494585454047"/>
          <c:h val="0.67287589051368568"/>
        </c:manualLayout>
      </c:layout>
      <c:barChart>
        <c:barDir val="col"/>
        <c:grouping val="clustered"/>
        <c:varyColors val="1"/>
        <c:ser>
          <c:idx val="0"/>
          <c:order val="0"/>
          <c:tx>
            <c:strRef>
              <c:f>'18.9'!$A$9</c:f>
              <c:strCache>
                <c:ptCount val="1"/>
                <c:pt idx="0">
                  <c:v>Male</c:v>
                </c:pt>
              </c:strCache>
            </c:strRef>
          </c:tx>
          <c:spPr>
            <a:solidFill>
              <a:srgbClr val="7F6000"/>
            </a:solidFill>
          </c:spPr>
          <c:invertIfNegative val="1"/>
          <c:cat>
            <c:numRef>
              <c:f>'18.9'!$E$5:$I$5</c:f>
              <c:numCache>
                <c:formatCode>General</c:formatCode>
                <c:ptCount val="5"/>
                <c:pt idx="0">
                  <c:v>2014</c:v>
                </c:pt>
                <c:pt idx="1">
                  <c:v>2015</c:v>
                </c:pt>
                <c:pt idx="2">
                  <c:v>2016</c:v>
                </c:pt>
                <c:pt idx="3">
                  <c:v>2017</c:v>
                </c:pt>
                <c:pt idx="4">
                  <c:v>2018</c:v>
                </c:pt>
              </c:numCache>
            </c:numRef>
          </c:cat>
          <c:val>
            <c:numRef>
              <c:f>'18.9'!$E$9:$I$9</c:f>
              <c:numCache>
                <c:formatCode>_(* #,##0_);_(* \(#,##0\);_(* "-"??_);_(@_)</c:formatCode>
                <c:ptCount val="5"/>
                <c:pt idx="0">
                  <c:v>52562</c:v>
                </c:pt>
                <c:pt idx="1">
                  <c:v>56251</c:v>
                </c:pt>
                <c:pt idx="2">
                  <c:v>54979</c:v>
                </c:pt>
                <c:pt idx="3">
                  <c:v>60340</c:v>
                </c:pt>
                <c:pt idx="4">
                  <c:v>63354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439-4874-89EB-AF841BBF4204}"/>
            </c:ext>
          </c:extLst>
        </c:ser>
        <c:ser>
          <c:idx val="1"/>
          <c:order val="1"/>
          <c:tx>
            <c:strRef>
              <c:f>'18.9'!$A$10</c:f>
              <c:strCache>
                <c:ptCount val="1"/>
                <c:pt idx="0">
                  <c:v>Female</c:v>
                </c:pt>
              </c:strCache>
            </c:strRef>
          </c:tx>
          <c:spPr>
            <a:solidFill>
              <a:srgbClr val="FFD966"/>
            </a:solidFill>
          </c:spPr>
          <c:invertIfNegative val="1"/>
          <c:cat>
            <c:numRef>
              <c:f>'18.9'!$E$5:$I$5</c:f>
              <c:numCache>
                <c:formatCode>General</c:formatCode>
                <c:ptCount val="5"/>
                <c:pt idx="0">
                  <c:v>2014</c:v>
                </c:pt>
                <c:pt idx="1">
                  <c:v>2015</c:v>
                </c:pt>
                <c:pt idx="2">
                  <c:v>2016</c:v>
                </c:pt>
                <c:pt idx="3">
                  <c:v>2017</c:v>
                </c:pt>
                <c:pt idx="4">
                  <c:v>2018</c:v>
                </c:pt>
              </c:numCache>
            </c:numRef>
          </c:cat>
          <c:val>
            <c:numRef>
              <c:f>'18.9'!$E$10:$I$10</c:f>
              <c:numCache>
                <c:formatCode>_(* #,##0_);_(* \(#,##0\);_(* "-"??_);_(@_)</c:formatCode>
                <c:ptCount val="5"/>
                <c:pt idx="0">
                  <c:v>22287</c:v>
                </c:pt>
                <c:pt idx="1">
                  <c:v>25671</c:v>
                </c:pt>
                <c:pt idx="2">
                  <c:v>24750</c:v>
                </c:pt>
                <c:pt idx="3">
                  <c:v>28376</c:v>
                </c:pt>
                <c:pt idx="4">
                  <c:v>31733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6439-4874-89EB-AF841BBF4204}"/>
            </c:ext>
          </c:extLst>
        </c:ser>
        <c:dLbls>
          <c:showLegendKey val="0"/>
          <c:showVal val="0"/>
          <c:showCatName val="0"/>
          <c:showSerName val="0"/>
          <c:showPercent val="0"/>
          <c:showBubbleSize val="0"/>
        </c:dLbls>
        <c:gapWidth val="150"/>
        <c:axId val="1350827005"/>
        <c:axId val="1278415933"/>
      </c:barChart>
      <c:catAx>
        <c:axId val="1350827005"/>
        <c:scaling>
          <c:orientation val="minMax"/>
        </c:scaling>
        <c:delete val="0"/>
        <c:axPos val="b"/>
        <c:numFmt formatCode="General" sourceLinked="1"/>
        <c:majorTickMark val="cross"/>
        <c:minorTickMark val="cross"/>
        <c:tickLblPos val="nextTo"/>
        <c:txPr>
          <a:bodyPr/>
          <a:lstStyle/>
          <a:p>
            <a:pPr lvl="0">
              <a:defRPr b="0" i="0"/>
            </a:pPr>
            <a:endParaRPr lang="en-US"/>
          </a:p>
        </c:txPr>
        <c:crossAx val="1278415933"/>
        <c:crosses val="autoZero"/>
        <c:auto val="1"/>
        <c:lblAlgn val="ctr"/>
        <c:lblOffset val="100"/>
        <c:noMultiLvlLbl val="1"/>
      </c:catAx>
      <c:valAx>
        <c:axId val="1278415933"/>
        <c:scaling>
          <c:orientation val="minMax"/>
        </c:scaling>
        <c:delete val="0"/>
        <c:axPos val="l"/>
        <c:majorGridlines>
          <c:spPr>
            <a:ln>
              <a:solidFill>
                <a:schemeClr val="accent4">
                  <a:lumMod val="60000"/>
                  <a:lumOff val="40000"/>
                </a:schemeClr>
              </a:solidFill>
            </a:ln>
          </c:spPr>
        </c:majorGridlines>
        <c:numFmt formatCode="_(* #,##0_);_(* \(#,##0\);_(* &quot;-&quot;??_);_(@_)" sourceLinked="1"/>
        <c:majorTickMark val="cross"/>
        <c:minorTickMark val="cross"/>
        <c:tickLblPos val="nextTo"/>
        <c:spPr>
          <a:ln w="47625">
            <a:noFill/>
          </a:ln>
        </c:spPr>
        <c:txPr>
          <a:bodyPr/>
          <a:lstStyle/>
          <a:p>
            <a:pPr lvl="0">
              <a:defRPr b="0" i="0"/>
            </a:pPr>
            <a:endParaRPr lang="en-US"/>
          </a:p>
        </c:txPr>
        <c:crossAx val="1350827005"/>
        <c:crosses val="autoZero"/>
        <c:crossBetween val="between"/>
      </c:valAx>
      <c:spPr>
        <a:solidFill>
          <a:srgbClr val="FFFFEB"/>
        </a:solidFill>
        <a:ln>
          <a:solidFill>
            <a:schemeClr val="accent3">
              <a:lumMod val="40000"/>
              <a:lumOff val="60000"/>
            </a:schemeClr>
          </a:solidFill>
        </a:ln>
      </c:spPr>
    </c:plotArea>
    <c:legend>
      <c:legendPos val="r"/>
      <c:layout>
        <c:manualLayout>
          <c:xMode val="edge"/>
          <c:yMode val="edge"/>
          <c:x val="0.35418963718644081"/>
          <c:y val="0.220283797858601"/>
          <c:w val="0.23601183515426907"/>
          <c:h val="7.6892388451443555E-2"/>
        </c:manualLayout>
      </c:layout>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33391590093696766"/>
          <c:y val="0.24586898665638823"/>
          <c:w val="0.35073036820066789"/>
          <c:h val="0.68886294807554649"/>
        </c:manualLayout>
      </c:layout>
      <c:doughnutChart>
        <c:varyColors val="1"/>
        <c:ser>
          <c:idx val="0"/>
          <c:order val="0"/>
          <c:tx>
            <c:strRef>
              <c:f>'18.11'!$AH$24</c:f>
              <c:strCache>
                <c:ptCount val="1"/>
                <c:pt idx="0">
                  <c:v>% share of females </c:v>
                </c:pt>
              </c:strCache>
            </c:strRef>
          </c:tx>
          <c:spPr>
            <a:solidFill>
              <a:schemeClr val="accent4">
                <a:lumMod val="50000"/>
              </a:schemeClr>
            </a:solidFill>
          </c:spPr>
          <c:dPt>
            <c:idx val="0"/>
            <c:bubble3D val="0"/>
            <c:extLst>
              <c:ext xmlns:c16="http://schemas.microsoft.com/office/drawing/2014/chart" uri="{C3380CC4-5D6E-409C-BE32-E72D297353CC}">
                <c16:uniqueId val="{00000001-3A64-4900-A67D-F934B295FBE8}"/>
              </c:ext>
            </c:extLst>
          </c:dPt>
          <c:dPt>
            <c:idx val="1"/>
            <c:bubble3D val="0"/>
            <c:spPr>
              <a:solidFill>
                <a:schemeClr val="accent4">
                  <a:lumMod val="60000"/>
                  <a:lumOff val="40000"/>
                </a:schemeClr>
              </a:solidFill>
            </c:spPr>
            <c:extLst>
              <c:ext xmlns:c16="http://schemas.microsoft.com/office/drawing/2014/chart" uri="{C3380CC4-5D6E-409C-BE32-E72D297353CC}">
                <c16:uniqueId val="{00000003-3A64-4900-A67D-F934B295FBE8}"/>
              </c:ext>
            </c:extLst>
          </c:dPt>
          <c:dLbls>
            <c:dLbl>
              <c:idx val="0"/>
              <c:layout>
                <c:manualLayout>
                  <c:x val="0.10736944851146901"/>
                  <c:y val="-0.1422222222222222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3A64-4900-A67D-F934B295FBE8}"/>
                </c:ext>
              </c:extLst>
            </c:dLbl>
            <c:dLbl>
              <c:idx val="1"/>
              <c:layout>
                <c:manualLayout>
                  <c:x val="-8.7847730600292828E-2"/>
                  <c:y val="-0.08"/>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A64-4900-A67D-F934B295FBE8}"/>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'18.11'!$AG$25:$AG$26</c:f>
              <c:strCache>
                <c:ptCount val="2"/>
                <c:pt idx="0">
                  <c:v>Public sector</c:v>
                </c:pt>
                <c:pt idx="1">
                  <c:v>Private sector</c:v>
                </c:pt>
              </c:strCache>
            </c:strRef>
          </c:cat>
          <c:val>
            <c:numRef>
              <c:f>'18.11'!$AH$25:$AH$26</c:f>
              <c:numCache>
                <c:formatCode>0.0</c:formatCode>
                <c:ptCount val="2"/>
                <c:pt idx="0">
                  <c:v>47.8884840013977</c:v>
                </c:pt>
                <c:pt idx="1">
                  <c:v>22.802202795296342</c:v>
                </c:pt>
              </c:numCache>
            </c:numRef>
          </c:val>
          <c:extLst>
            <c:ext xmlns:c16="http://schemas.microsoft.com/office/drawing/2014/chart" uri="{C3380CC4-5D6E-409C-BE32-E72D297353CC}">
              <c16:uniqueId val="{00000004-3A64-4900-A67D-F934B295FBE8}"/>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33836408278877156"/>
          <c:y val="0.18631313942899996"/>
          <c:w val="0.34981858206140648"/>
          <c:h val="0.8114839216526506"/>
        </c:manualLayout>
      </c:layout>
      <c:doughnutChart>
        <c:varyColors val="1"/>
        <c:ser>
          <c:idx val="0"/>
          <c:order val="0"/>
          <c:dPt>
            <c:idx val="0"/>
            <c:bubble3D val="0"/>
            <c:spPr>
              <a:solidFill>
                <a:schemeClr val="accent4">
                  <a:lumMod val="50000"/>
                </a:schemeClr>
              </a:solidFill>
            </c:spPr>
            <c:extLst>
              <c:ext xmlns:c16="http://schemas.microsoft.com/office/drawing/2014/chart" uri="{C3380CC4-5D6E-409C-BE32-E72D297353CC}">
                <c16:uniqueId val="{00000001-1C33-40FD-9986-41E8551054B3}"/>
              </c:ext>
            </c:extLst>
          </c:dPt>
          <c:dPt>
            <c:idx val="1"/>
            <c:bubble3D val="0"/>
            <c:spPr>
              <a:solidFill>
                <a:schemeClr val="accent4">
                  <a:lumMod val="40000"/>
                  <a:lumOff val="60000"/>
                </a:schemeClr>
              </a:solidFill>
            </c:spPr>
            <c:extLst>
              <c:ext xmlns:c16="http://schemas.microsoft.com/office/drawing/2014/chart" uri="{C3380CC4-5D6E-409C-BE32-E72D297353CC}">
                <c16:uniqueId val="{00000003-87B8-45F1-82F6-908975E01683}"/>
              </c:ext>
            </c:extLst>
          </c:dPt>
          <c:dLbls>
            <c:dLbl>
              <c:idx val="0"/>
              <c:layout>
                <c:manualLayout>
                  <c:x val="-4.8875855327468305E-2"/>
                  <c:y val="9.9244875943905075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1C33-40FD-9986-41E8551054B3}"/>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'18.11'!$AQ$20:$AR$20</c:f>
              <c:strCache>
                <c:ptCount val="2"/>
                <c:pt idx="0">
                  <c:v>Male</c:v>
                </c:pt>
                <c:pt idx="1">
                  <c:v>Female</c:v>
                </c:pt>
              </c:strCache>
            </c:strRef>
          </c:cat>
          <c:val>
            <c:numRef>
              <c:f>'18.11'!$AQ$21:$AR$21</c:f>
              <c:numCache>
                <c:formatCode>0</c:formatCode>
                <c:ptCount val="2"/>
                <c:pt idx="0">
                  <c:v>66.627404377044186</c:v>
                </c:pt>
                <c:pt idx="1">
                  <c:v>33.372595622955821</c:v>
                </c:pt>
              </c:numCache>
            </c:numRef>
          </c:val>
          <c:extLst>
            <c:ext xmlns:c16="http://schemas.microsoft.com/office/drawing/2014/chart" uri="{C3380CC4-5D6E-409C-BE32-E72D297353CC}">
              <c16:uniqueId val="{00000002-1C33-40FD-9986-41E8551054B3}"/>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72564823202409"/>
          <c:y val="0.21323495402235559"/>
          <c:w val="0.85137992706663879"/>
          <c:h val="0.58833948204026953"/>
        </c:manualLayout>
      </c:layout>
      <c:barChart>
        <c:barDir val="col"/>
        <c:grouping val="stacked"/>
        <c:varyColors val="1"/>
        <c:ser>
          <c:idx val="0"/>
          <c:order val="0"/>
          <c:spPr>
            <a:solidFill>
              <a:srgbClr val="376092"/>
            </a:solidFill>
          </c:spPr>
          <c:invertIfNegative val="1"/>
          <c:dPt>
            <c:idx val="0"/>
            <c:invertIfNegative val="1"/>
            <c:bubble3D val="0"/>
            <c:spPr>
              <a:solidFill>
                <a:schemeClr val="accent4">
                  <a:lumMod val="50000"/>
                </a:schemeClr>
              </a:solidFill>
            </c:spPr>
            <c:extLst>
              <c:ext xmlns:c16="http://schemas.microsoft.com/office/drawing/2014/chart" uri="{C3380CC4-5D6E-409C-BE32-E72D297353CC}">
                <c16:uniqueId val="{00000000-D0D5-4BDB-8661-3B4F1A4CF09E}"/>
              </c:ext>
            </c:extLst>
          </c:dPt>
          <c:dPt>
            <c:idx val="1"/>
            <c:invertIfNegative val="1"/>
            <c:bubble3D val="0"/>
            <c:spPr>
              <a:solidFill>
                <a:schemeClr val="accent4">
                  <a:lumMod val="60000"/>
                  <a:lumOff val="40000"/>
                </a:schemeClr>
              </a:solidFill>
            </c:spPr>
            <c:extLst>
              <c:ext xmlns:c16="http://schemas.microsoft.com/office/drawing/2014/chart" uri="{C3380CC4-5D6E-409C-BE32-E72D297353CC}">
                <c16:uniqueId val="{00000002-D0D5-4BDB-8661-3B4F1A4CF09E}"/>
              </c:ext>
            </c:extLst>
          </c:dPt>
          <c:dPt>
            <c:idx val="2"/>
            <c:invertIfNegative val="1"/>
            <c:bubble3D val="0"/>
            <c:spPr>
              <a:solidFill>
                <a:schemeClr val="accent4">
                  <a:lumMod val="50000"/>
                </a:schemeClr>
              </a:solidFill>
            </c:spPr>
            <c:extLst>
              <c:ext xmlns:c16="http://schemas.microsoft.com/office/drawing/2014/chart" uri="{C3380CC4-5D6E-409C-BE32-E72D297353CC}">
                <c16:uniqueId val="{00000003-D0D5-4BDB-8661-3B4F1A4CF09E}"/>
              </c:ext>
            </c:extLst>
          </c:dPt>
          <c:dPt>
            <c:idx val="3"/>
            <c:invertIfNegative val="1"/>
            <c:bubble3D val="0"/>
            <c:spPr>
              <a:solidFill>
                <a:schemeClr val="accent4">
                  <a:lumMod val="60000"/>
                  <a:lumOff val="40000"/>
                </a:schemeClr>
              </a:solidFill>
            </c:spPr>
            <c:extLst>
              <c:ext xmlns:c16="http://schemas.microsoft.com/office/drawing/2014/chart" uri="{C3380CC4-5D6E-409C-BE32-E72D297353CC}">
                <c16:uniqueId val="{00000005-D0D5-4BDB-8661-3B4F1A4CF09E}"/>
              </c:ext>
            </c:extLst>
          </c:dPt>
          <c:dPt>
            <c:idx val="4"/>
            <c:invertIfNegative val="1"/>
            <c:bubble3D val="0"/>
            <c:spPr>
              <a:solidFill>
                <a:schemeClr val="accent4">
                  <a:lumMod val="50000"/>
                </a:schemeClr>
              </a:solidFill>
            </c:spPr>
            <c:extLst>
              <c:ext xmlns:c16="http://schemas.microsoft.com/office/drawing/2014/chart" uri="{C3380CC4-5D6E-409C-BE32-E72D297353CC}">
                <c16:uniqueId val="{00000006-D0D5-4BDB-8661-3B4F1A4CF09E}"/>
              </c:ext>
            </c:extLst>
          </c:dPt>
          <c:dPt>
            <c:idx val="5"/>
            <c:invertIfNegative val="1"/>
            <c:bubble3D val="0"/>
            <c:spPr>
              <a:solidFill>
                <a:schemeClr val="accent4">
                  <a:lumMod val="60000"/>
                  <a:lumOff val="40000"/>
                </a:schemeClr>
              </a:solidFill>
            </c:spPr>
            <c:extLst>
              <c:ext xmlns:c16="http://schemas.microsoft.com/office/drawing/2014/chart" uri="{C3380CC4-5D6E-409C-BE32-E72D297353CC}">
                <c16:uniqueId val="{00000008-D0D5-4BDB-8661-3B4F1A4CF09E}"/>
              </c:ext>
            </c:extLst>
          </c:dPt>
          <c:cat>
            <c:multiLvlStrRef>
              <c:f>'18.11'!$AG$19:$AL$20</c:f>
              <c:multiLvlStrCache>
                <c:ptCount val="6"/>
                <c:lvl>
                  <c:pt idx="0">
                    <c:v>Male     </c:v>
                  </c:pt>
                  <c:pt idx="1">
                    <c:v>Female        </c:v>
                  </c:pt>
                  <c:pt idx="2">
                    <c:v>Male     </c:v>
                  </c:pt>
                  <c:pt idx="3">
                    <c:v>Female        </c:v>
                  </c:pt>
                  <c:pt idx="4">
                    <c:v>Male     </c:v>
                  </c:pt>
                  <c:pt idx="5">
                    <c:v>Female        </c:v>
                  </c:pt>
                </c:lvl>
                <c:lvl>
                  <c:pt idx="0">
                    <c:v>Public sector</c:v>
                  </c:pt>
                  <c:pt idx="2">
                    <c:v>Private sector</c:v>
                  </c:pt>
                  <c:pt idx="4">
                    <c:v>Total</c:v>
                  </c:pt>
                </c:lvl>
              </c:multiLvlStrCache>
            </c:multiLvlStrRef>
          </c:cat>
          <c:val>
            <c:numRef>
              <c:f>'18.11'!$AG$21:$AL$21</c:f>
              <c:numCache>
                <c:formatCode>_(* #,##0_);_(* \(#,##0\);_(* "-"??_);_(@_)</c:formatCode>
                <c:ptCount val="6"/>
                <c:pt idx="0">
                  <c:v>20879</c:v>
                </c:pt>
                <c:pt idx="1">
                  <c:v>19187</c:v>
                </c:pt>
                <c:pt idx="2">
                  <c:v>42475</c:v>
                </c:pt>
                <c:pt idx="3">
                  <c:v>12546</c:v>
                </c:pt>
                <c:pt idx="4">
                  <c:v>63354</c:v>
                </c:pt>
                <c:pt idx="5">
                  <c:v>31733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9-D0D5-4BDB-8661-3B4F1A4CF09E}"/>
            </c:ext>
          </c:extLst>
        </c:ser>
        <c:dLbls>
          <c:showLegendKey val="0"/>
          <c:showVal val="0"/>
          <c:showCatName val="0"/>
          <c:showSerName val="0"/>
          <c:showPercent val="0"/>
          <c:showBubbleSize val="0"/>
        </c:dLbls>
        <c:gapWidth val="62"/>
        <c:overlap val="100"/>
        <c:axId val="-1672300816"/>
        <c:axId val="-1672299184"/>
      </c:barChart>
      <c:catAx>
        <c:axId val="-1672300816"/>
        <c:scaling>
          <c:orientation val="minMax"/>
        </c:scaling>
        <c:delete val="0"/>
        <c:axPos val="b"/>
        <c:numFmt formatCode="General" sourceLinked="0"/>
        <c:majorTickMark val="none"/>
        <c:minorTickMark val="none"/>
        <c:tickLblPos val="nextTo"/>
        <c:spPr>
          <a:ln>
            <a:solidFill>
              <a:schemeClr val="bg1">
                <a:lumMod val="85000"/>
              </a:schemeClr>
            </a:solidFill>
          </a:ln>
        </c:spPr>
        <c:txPr>
          <a:bodyPr anchor="ctr" anchorCtr="0"/>
          <a:lstStyle/>
          <a:p>
            <a:pPr lvl="0">
              <a:defRPr b="0" i="0"/>
            </a:pPr>
            <a:endParaRPr lang="en-US"/>
          </a:p>
        </c:txPr>
        <c:crossAx val="-1672299184"/>
        <c:crosses val="autoZero"/>
        <c:auto val="1"/>
        <c:lblAlgn val="ctr"/>
        <c:lblOffset val="100"/>
        <c:tickLblSkip val="1"/>
        <c:noMultiLvlLbl val="0"/>
      </c:catAx>
      <c:valAx>
        <c:axId val="-1672299184"/>
        <c:scaling>
          <c:orientation val="minMax"/>
        </c:scaling>
        <c:delete val="0"/>
        <c:axPos val="l"/>
        <c:majorGridlines>
          <c:spPr>
            <a:ln>
              <a:solidFill>
                <a:schemeClr val="accent4">
                  <a:lumMod val="60000"/>
                  <a:lumOff val="40000"/>
                </a:schemeClr>
              </a:solidFill>
              <a:prstDash val="sysDot"/>
            </a:ln>
          </c:spPr>
        </c:majorGridlines>
        <c:title>
          <c:tx>
            <c:rich>
              <a:bodyPr/>
              <a:lstStyle/>
              <a:p>
                <a:pPr lvl="0">
                  <a:defRPr sz="900" b="0" i="0"/>
                </a:pPr>
                <a:r>
                  <a:rPr lang="en-US"/>
                  <a:t>In numbers</a:t>
                </a:r>
              </a:p>
            </c:rich>
          </c:tx>
          <c:layout>
            <c:manualLayout>
              <c:xMode val="edge"/>
              <c:yMode val="edge"/>
              <c:x val="1.3879595854052188E-2"/>
              <c:y val="0.39425853400409472"/>
            </c:manualLayout>
          </c:layout>
          <c:overlay val="0"/>
        </c:title>
        <c:numFmt formatCode="_(* #,##0_);_(* \(#,##0\);_(* &quot;-&quot;??_);_(@_)" sourceLinked="1"/>
        <c:majorTickMark val="cross"/>
        <c:minorTickMark val="cross"/>
        <c:tickLblPos val="nextTo"/>
        <c:spPr>
          <a:ln w="47625">
            <a:noFill/>
          </a:ln>
        </c:spPr>
        <c:txPr>
          <a:bodyPr/>
          <a:lstStyle/>
          <a:p>
            <a:pPr lvl="0">
              <a:defRPr/>
            </a:pPr>
            <a:endParaRPr lang="en-US"/>
          </a:p>
        </c:txPr>
        <c:crossAx val="-1672300816"/>
        <c:crosses val="autoZero"/>
        <c:crossBetween val="between"/>
      </c:valAx>
      <c:spPr>
        <a:solidFill>
          <a:srgbClr val="FFFFEB"/>
        </a:solidFill>
        <a:ln>
          <a:solidFill>
            <a:schemeClr val="bg1">
              <a:lumMod val="75000"/>
            </a:schemeClr>
          </a:solidFill>
        </a:ln>
      </c:spPr>
    </c:plotArea>
    <c:plotVisOnly val="1"/>
    <c:dispBlanksAs val="zero"/>
    <c:showDLblsOverMax val="1"/>
  </c:chart>
  <c:spPr>
    <a:solidFill>
      <a:schemeClr val="bg1"/>
    </a:solidFill>
  </c:sp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8.0658299869640127E-2"/>
          <c:y val="0.20986978900364728"/>
          <c:w val="0.8946918719048268"/>
          <c:h val="0.67421345059140336"/>
        </c:manualLayout>
      </c:layout>
      <c:barChart>
        <c:barDir val="col"/>
        <c:grouping val="clustered"/>
        <c:varyColors val="1"/>
        <c:ser>
          <c:idx val="0"/>
          <c:order val="0"/>
          <c:spPr>
            <a:solidFill>
              <a:srgbClr val="7F6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'18.12'!$B$5:$F$5</c:f>
              <c:strCache>
                <c:ptCount val="5"/>
                <c:pt idx="0">
                  <c:v>0-9</c:v>
                </c:pt>
                <c:pt idx="1">
                  <c:v>10-49</c:v>
                </c:pt>
                <c:pt idx="2">
                  <c:v>50-99</c:v>
                </c:pt>
                <c:pt idx="3">
                  <c:v>100-299</c:v>
                </c:pt>
                <c:pt idx="4">
                  <c:v>&gt;300</c:v>
                </c:pt>
              </c:strCache>
            </c:strRef>
          </c:cat>
          <c:val>
            <c:numRef>
              <c:f>'18.12'!$B$6:$F$6</c:f>
              <c:numCache>
                <c:formatCode>#,##0</c:formatCode>
                <c:ptCount val="5"/>
                <c:pt idx="0">
                  <c:v>1109</c:v>
                </c:pt>
                <c:pt idx="1">
                  <c:v>582</c:v>
                </c:pt>
                <c:pt idx="2">
                  <c:v>149</c:v>
                </c:pt>
                <c:pt idx="3">
                  <c:v>160</c:v>
                </c:pt>
                <c:pt idx="4">
                  <c:v>55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039F-463B-98AB-F6A16E878B6F}"/>
            </c:ext>
          </c:extLst>
        </c:ser>
        <c:dLbls>
          <c:showLegendKey val="0"/>
          <c:showVal val="0"/>
          <c:showCatName val="0"/>
          <c:showSerName val="0"/>
          <c:showPercent val="0"/>
          <c:showBubbleSize val="0"/>
        </c:dLbls>
        <c:gapWidth val="150"/>
        <c:axId val="2121246552"/>
        <c:axId val="1271410728"/>
      </c:barChart>
      <c:catAx>
        <c:axId val="2121246552"/>
        <c:scaling>
          <c:orientation val="minMax"/>
        </c:scaling>
        <c:delete val="0"/>
        <c:axPos val="b"/>
        <c:numFmt formatCode="General" sourceLinked="1"/>
        <c:majorTickMark val="cross"/>
        <c:minorTickMark val="cross"/>
        <c:tickLblPos val="nextTo"/>
        <c:txPr>
          <a:bodyPr/>
          <a:lstStyle/>
          <a:p>
            <a:pPr lvl="0">
              <a:defRPr sz="1100" b="0" i="0"/>
            </a:pPr>
            <a:endParaRPr lang="en-US"/>
          </a:p>
        </c:txPr>
        <c:crossAx val="1271410728"/>
        <c:crosses val="autoZero"/>
        <c:auto val="1"/>
        <c:lblAlgn val="ctr"/>
        <c:lblOffset val="100"/>
        <c:noMultiLvlLbl val="1"/>
      </c:catAx>
      <c:valAx>
        <c:axId val="1271410728"/>
        <c:scaling>
          <c:orientation val="minMax"/>
        </c:scaling>
        <c:delete val="0"/>
        <c:axPos val="l"/>
        <c:majorGridlines>
          <c:spPr>
            <a:ln>
              <a:solidFill>
                <a:schemeClr val="accent4">
                  <a:lumMod val="60000"/>
                  <a:lumOff val="40000"/>
                </a:schemeClr>
              </a:solidFill>
            </a:ln>
          </c:spPr>
        </c:majorGridlines>
        <c:title>
          <c:tx>
            <c:rich>
              <a:bodyPr/>
              <a:lstStyle/>
              <a:p>
                <a:pPr lvl="0">
                  <a:defRPr b="0" i="0"/>
                </a:pPr>
                <a:r>
                  <a:rPr lang="en-US"/>
                  <a:t>In Numbers</a:t>
                </a:r>
              </a:p>
            </c:rich>
          </c:tx>
          <c:layout/>
          <c:overlay val="0"/>
        </c:title>
        <c:numFmt formatCode="#,##0" sourceLinked="1"/>
        <c:majorTickMark val="cross"/>
        <c:minorTickMark val="cross"/>
        <c:tickLblPos val="nextTo"/>
        <c:spPr>
          <a:ln w="47625">
            <a:noFill/>
          </a:ln>
        </c:spPr>
        <c:txPr>
          <a:bodyPr/>
          <a:lstStyle/>
          <a:p>
            <a:pPr lvl="0">
              <a:defRPr b="1" i="0"/>
            </a:pPr>
            <a:endParaRPr lang="en-US"/>
          </a:p>
        </c:txPr>
        <c:crossAx val="2121246552"/>
        <c:crosses val="autoZero"/>
        <c:crossBetween val="between"/>
      </c:valAx>
      <c:spPr>
        <a:solidFill>
          <a:srgbClr val="FFFFEB"/>
        </a:solidFill>
        <a:ln>
          <a:solidFill>
            <a:schemeClr val="bg1">
              <a:lumMod val="6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7.7641755685889061E-2"/>
          <c:y val="0.16683763153459027"/>
          <c:w val="0.89597471098005765"/>
          <c:h val="0.33379686484143611"/>
        </c:manualLayout>
      </c:layout>
      <c:barChart>
        <c:barDir val="col"/>
        <c:grouping val="clustered"/>
        <c:varyColors val="1"/>
        <c:ser>
          <c:idx val="0"/>
          <c:order val="0"/>
          <c:spPr>
            <a:solidFill>
              <a:srgbClr val="7F6000"/>
            </a:solidFill>
          </c:spPr>
          <c:invertIfNegative val="1"/>
          <c:cat>
            <c:strRef>
              <c:f>'18.12'!$AL$32:$AL$56</c:f>
              <c:strCache>
                <c:ptCount val="25"/>
                <c:pt idx="0">
                  <c:v>Government agencies, public institutions</c:v>
                </c:pt>
                <c:pt idx="1">
                  <c:v>Hotels, Tourist resorts, travel agencies</c:v>
                </c:pt>
                <c:pt idx="2">
                  <c:v>Others</c:v>
                </c:pt>
                <c:pt idx="3">
                  <c:v>Shops, small and medium commercial retail</c:v>
                </c:pt>
                <c:pt idx="4">
                  <c:v>Construction</c:v>
                </c:pt>
                <c:pt idx="5">
                  <c:v>Wholesale retailers</c:v>
                </c:pt>
                <c:pt idx="6">
                  <c:v>Financial sector, Banks, Investment Funds, Insurance companies Investment</c:v>
                </c:pt>
                <c:pt idx="7">
                  <c:v>Schools and educational centers</c:v>
                </c:pt>
                <c:pt idx="8">
                  <c:v>Sea Transportation, shipping</c:v>
                </c:pt>
                <c:pt idx="9">
                  <c:v>Health Sector, hospitals, clinics</c:v>
                </c:pt>
                <c:pt idx="10">
                  <c:v>Restaurants</c:v>
                </c:pt>
                <c:pt idx="11">
                  <c:v>Telecommunications</c:v>
                </c:pt>
                <c:pt idx="12">
                  <c:v>Air Transportation</c:v>
                </c:pt>
                <c:pt idx="13">
                  <c:v>Electricity</c:v>
                </c:pt>
                <c:pt idx="14">
                  <c:v>Fishing Industry</c:v>
                </c:pt>
                <c:pt idx="15">
                  <c:v>Coffee, tea shops</c:v>
                </c:pt>
                <c:pt idx="16">
                  <c:v>Agriculture</c:v>
                </c:pt>
                <c:pt idx="17">
                  <c:v>Land Transportation, taxis, buses etc</c:v>
                </c:pt>
                <c:pt idx="18">
                  <c:v>Pharmacies</c:v>
                </c:pt>
                <c:pt idx="19">
                  <c:v>Garbage, and Recycling industry</c:v>
                </c:pt>
                <c:pt idx="20">
                  <c:v>Water processing</c:v>
                </c:pt>
                <c:pt idx="21">
                  <c:v>Clothing industry</c:v>
                </c:pt>
                <c:pt idx="22">
                  <c:v>Housing Development </c:v>
                </c:pt>
                <c:pt idx="23">
                  <c:v>Sales of Motor Vehicles</c:v>
                </c:pt>
                <c:pt idx="24">
                  <c:v>Mining Industry</c:v>
                </c:pt>
              </c:strCache>
            </c:strRef>
          </c:cat>
          <c:val>
            <c:numRef>
              <c:f>'18.12'!$AM$32:$AM$56</c:f>
              <c:numCache>
                <c:formatCode>General</c:formatCode>
                <c:ptCount val="25"/>
                <c:pt idx="0">
                  <c:v>418</c:v>
                </c:pt>
                <c:pt idx="1">
                  <c:v>359</c:v>
                </c:pt>
                <c:pt idx="2">
                  <c:v>312</c:v>
                </c:pt>
                <c:pt idx="3">
                  <c:v>302</c:v>
                </c:pt>
                <c:pt idx="4">
                  <c:v>148</c:v>
                </c:pt>
                <c:pt idx="5">
                  <c:v>128</c:v>
                </c:pt>
                <c:pt idx="6">
                  <c:v>74</c:v>
                </c:pt>
                <c:pt idx="7">
                  <c:v>61</c:v>
                </c:pt>
                <c:pt idx="8">
                  <c:v>55</c:v>
                </c:pt>
                <c:pt idx="9">
                  <c:v>46</c:v>
                </c:pt>
                <c:pt idx="10">
                  <c:v>26</c:v>
                </c:pt>
                <c:pt idx="11">
                  <c:v>23</c:v>
                </c:pt>
                <c:pt idx="12">
                  <c:v>17</c:v>
                </c:pt>
                <c:pt idx="13">
                  <c:v>16</c:v>
                </c:pt>
                <c:pt idx="14">
                  <c:v>16</c:v>
                </c:pt>
                <c:pt idx="15">
                  <c:v>14</c:v>
                </c:pt>
                <c:pt idx="16">
                  <c:v>12</c:v>
                </c:pt>
                <c:pt idx="17">
                  <c:v>6</c:v>
                </c:pt>
                <c:pt idx="18">
                  <c:v>6</c:v>
                </c:pt>
                <c:pt idx="19">
                  <c:v>4</c:v>
                </c:pt>
                <c:pt idx="20">
                  <c:v>4</c:v>
                </c:pt>
                <c:pt idx="21">
                  <c:v>3</c:v>
                </c:pt>
                <c:pt idx="22">
                  <c:v>2</c:v>
                </c:pt>
                <c:pt idx="23">
                  <c:v>2</c:v>
                </c:pt>
                <c:pt idx="24">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036-43A9-8FA1-0903EFAFCE1E}"/>
            </c:ext>
          </c:extLst>
        </c:ser>
        <c:dLbls>
          <c:showLegendKey val="0"/>
          <c:showVal val="0"/>
          <c:showCatName val="0"/>
          <c:showSerName val="0"/>
          <c:showPercent val="0"/>
          <c:showBubbleSize val="0"/>
        </c:dLbls>
        <c:gapWidth val="150"/>
        <c:axId val="1360210103"/>
        <c:axId val="1653321816"/>
      </c:barChart>
      <c:catAx>
        <c:axId val="1360210103"/>
        <c:scaling>
          <c:orientation val="minMax"/>
        </c:scaling>
        <c:delete val="0"/>
        <c:axPos val="b"/>
        <c:numFmt formatCode="General" sourceLinked="1"/>
        <c:majorTickMark val="cross"/>
        <c:minorTickMark val="cross"/>
        <c:tickLblPos val="nextTo"/>
        <c:txPr>
          <a:bodyPr rot="-5400000"/>
          <a:lstStyle/>
          <a:p>
            <a:pPr lvl="0">
              <a:defRPr sz="1000" b="0" i="0"/>
            </a:pPr>
            <a:endParaRPr lang="en-US"/>
          </a:p>
        </c:txPr>
        <c:crossAx val="1653321816"/>
        <c:crosses val="autoZero"/>
        <c:auto val="1"/>
        <c:lblAlgn val="ctr"/>
        <c:lblOffset val="100"/>
        <c:noMultiLvlLbl val="1"/>
      </c:catAx>
      <c:valAx>
        <c:axId val="1653321816"/>
        <c:scaling>
          <c:orientation val="minMax"/>
        </c:scaling>
        <c:delete val="0"/>
        <c:axPos val="l"/>
        <c:majorGridlines>
          <c:spPr>
            <a:ln>
              <a:solidFill>
                <a:srgbClr val="FFFFFF"/>
              </a:solidFill>
            </a:ln>
          </c:spPr>
        </c:majorGridlines>
        <c:numFmt formatCode="General" sourceLinked="1"/>
        <c:majorTickMark val="cross"/>
        <c:minorTickMark val="cross"/>
        <c:tickLblPos val="nextTo"/>
        <c:spPr>
          <a:ln w="47625">
            <a:noFill/>
          </a:ln>
        </c:spPr>
        <c:txPr>
          <a:bodyPr/>
          <a:lstStyle/>
          <a:p>
            <a:pPr lvl="0">
              <a:defRPr b="0" i="0"/>
            </a:pPr>
            <a:endParaRPr lang="en-US"/>
          </a:p>
        </c:txPr>
        <c:crossAx val="1360210103"/>
        <c:crosses val="autoZero"/>
        <c:crossBetween val="between"/>
      </c:valAx>
      <c:spPr>
        <a:solidFill>
          <a:srgbClr val="FFFFFF"/>
        </a:solidFill>
        <a:ln>
          <a:solidFill>
            <a:schemeClr val="bg1">
              <a:lumMod val="65000"/>
            </a:schemeClr>
          </a:solidFill>
        </a:ln>
      </c:spPr>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9.8811244979919693E-2"/>
          <c:y val="0.23497104184291018"/>
          <c:w val="0.8790337412642697"/>
          <c:h val="0.62027779585403064"/>
        </c:manualLayout>
      </c:layout>
      <c:barChart>
        <c:barDir val="col"/>
        <c:grouping val="clustered"/>
        <c:varyColors val="1"/>
        <c:ser>
          <c:idx val="0"/>
          <c:order val="0"/>
          <c:spPr>
            <a:solidFill>
              <a:srgbClr val="7F6000"/>
            </a:solidFill>
          </c:spPr>
          <c:invertIfNegative val="1"/>
          <c:cat>
            <c:strRef>
              <c:f>'18.13'!$B$5:$F$5</c:f>
              <c:strCache>
                <c:ptCount val="5"/>
                <c:pt idx="0">
                  <c:v>0-9</c:v>
                </c:pt>
                <c:pt idx="1">
                  <c:v>10-49</c:v>
                </c:pt>
                <c:pt idx="2">
                  <c:v>50-99</c:v>
                </c:pt>
                <c:pt idx="3">
                  <c:v>100-299</c:v>
                </c:pt>
                <c:pt idx="4">
                  <c:v>&gt;300</c:v>
                </c:pt>
              </c:strCache>
            </c:strRef>
          </c:cat>
          <c:val>
            <c:numRef>
              <c:f>'18.13'!$B$6:$F$6</c:f>
              <c:numCache>
                <c:formatCode>#,##0</c:formatCode>
                <c:ptCount val="5"/>
                <c:pt idx="0">
                  <c:v>3975</c:v>
                </c:pt>
                <c:pt idx="1">
                  <c:v>11707</c:v>
                </c:pt>
                <c:pt idx="2">
                  <c:v>10474</c:v>
                </c:pt>
                <c:pt idx="3">
                  <c:v>26826</c:v>
                </c:pt>
                <c:pt idx="4">
                  <c:v>43335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057C-4967-932F-95DBDEC05590}"/>
            </c:ext>
          </c:extLst>
        </c:ser>
        <c:dLbls>
          <c:showLegendKey val="0"/>
          <c:showVal val="0"/>
          <c:showCatName val="0"/>
          <c:showSerName val="0"/>
          <c:showPercent val="0"/>
          <c:showBubbleSize val="0"/>
        </c:dLbls>
        <c:gapWidth val="150"/>
        <c:axId val="1757464893"/>
        <c:axId val="1830564539"/>
      </c:barChart>
      <c:catAx>
        <c:axId val="1757464893"/>
        <c:scaling>
          <c:orientation val="minMax"/>
        </c:scaling>
        <c:delete val="0"/>
        <c:axPos val="b"/>
        <c:title>
          <c:tx>
            <c:rich>
              <a:bodyPr/>
              <a:lstStyle/>
              <a:p>
                <a:pPr lvl="0">
                  <a:defRPr b="1" i="0"/>
                </a:pPr>
                <a:r>
                  <a:rPr lang="en-US"/>
                  <a:t>employment size</a:t>
                </a:r>
              </a:p>
            </c:rich>
          </c:tx>
          <c:layout/>
          <c:overlay val="0"/>
        </c:title>
        <c:numFmt formatCode="General" sourceLinked="1"/>
        <c:majorTickMark val="cross"/>
        <c:minorTickMark val="cross"/>
        <c:tickLblPos val="nextTo"/>
        <c:txPr>
          <a:bodyPr/>
          <a:lstStyle/>
          <a:p>
            <a:pPr lvl="0">
              <a:defRPr b="1" i="0"/>
            </a:pPr>
            <a:endParaRPr lang="en-US"/>
          </a:p>
        </c:txPr>
        <c:crossAx val="1830564539"/>
        <c:crosses val="autoZero"/>
        <c:auto val="1"/>
        <c:lblAlgn val="ctr"/>
        <c:lblOffset val="100"/>
        <c:noMultiLvlLbl val="1"/>
      </c:catAx>
      <c:valAx>
        <c:axId val="1830564539"/>
        <c:scaling>
          <c:orientation val="minMax"/>
        </c:scaling>
        <c:delete val="0"/>
        <c:axPos val="l"/>
        <c:majorGridlines>
          <c:spPr>
            <a:ln>
              <a:solidFill>
                <a:srgbClr val="FFFFFF"/>
              </a:solidFill>
            </a:ln>
          </c:spPr>
        </c:majorGridlines>
        <c:title>
          <c:tx>
            <c:rich>
              <a:bodyPr/>
              <a:lstStyle/>
              <a:p>
                <a:pPr lvl="0">
                  <a:defRPr b="0" i="0"/>
                </a:pPr>
                <a:r>
                  <a:rPr lang="en-US"/>
                  <a:t>In Numbers</a:t>
                </a:r>
              </a:p>
            </c:rich>
          </c:tx>
          <c:layout/>
          <c:overlay val="0"/>
        </c:title>
        <c:numFmt formatCode="#,##0" sourceLinked="1"/>
        <c:majorTickMark val="cross"/>
        <c:minorTickMark val="cross"/>
        <c:tickLblPos val="nextTo"/>
        <c:spPr>
          <a:ln w="47625">
            <a:noFill/>
          </a:ln>
        </c:spPr>
        <c:txPr>
          <a:bodyPr/>
          <a:lstStyle/>
          <a:p>
            <a:pPr lvl="0">
              <a:defRPr b="1" i="0"/>
            </a:pPr>
            <a:endParaRPr lang="en-US"/>
          </a:p>
        </c:txPr>
        <c:crossAx val="1757464893"/>
        <c:crosses val="autoZero"/>
        <c:crossBetween val="between"/>
      </c:valAx>
      <c:spPr>
        <a:solidFill>
          <a:srgbClr val="FFFFFF"/>
        </a:solidFill>
        <a:ln>
          <a:solidFill>
            <a:schemeClr val="bg1">
              <a:lumMod val="65000"/>
            </a:schemeClr>
          </a:solidFill>
        </a:ln>
      </c:spPr>
    </c:plotArea>
    <c:plotVisOnly val="1"/>
    <c:dispBlanksAs val="zero"/>
    <c:showDLblsOverMax val="1"/>
  </c:chart>
  <c:spPr>
    <a:solidFill>
      <a:srgbClr val="FFFFFF"/>
    </a:solidFill>
  </c:sp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1001448559937202"/>
          <c:y val="0.15187238419521884"/>
          <c:w val="0.88624202550220788"/>
          <c:h val="0.37473976592086827"/>
        </c:manualLayout>
      </c:layout>
      <c:barChart>
        <c:barDir val="col"/>
        <c:grouping val="clustered"/>
        <c:varyColors val="1"/>
        <c:ser>
          <c:idx val="0"/>
          <c:order val="0"/>
          <c:spPr>
            <a:solidFill>
              <a:srgbClr val="7F6000"/>
            </a:solidFill>
          </c:spPr>
          <c:invertIfNegative val="1"/>
          <c:dLbls>
            <c:dLbl>
              <c:idx val="0"/>
              <c:layout>
                <c:manualLayout>
                  <c:x val="0"/>
                  <c:y val="1.864801864801864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5FB-4A80-B0C1-F5258775D6B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'18.14'!$O$23:$O$36</c:f>
              <c:strCache>
                <c:ptCount val="14"/>
                <c:pt idx="0">
                  <c:v>Govt. agencies, public institutions</c:v>
                </c:pt>
                <c:pt idx="1">
                  <c:v>Hotels, Tourist resorts, travel agencies</c:v>
                </c:pt>
                <c:pt idx="2">
                  <c:v>Others</c:v>
                </c:pt>
                <c:pt idx="3">
                  <c:v>Financial sector, Banks, Investment Funds, Insurance </c:v>
                </c:pt>
                <c:pt idx="4">
                  <c:v>Air Transportation</c:v>
                </c:pt>
                <c:pt idx="5">
                  <c:v>Shops, small and medium commercial retail</c:v>
                </c:pt>
                <c:pt idx="6">
                  <c:v>Wholesale retailers</c:v>
                </c:pt>
                <c:pt idx="7">
                  <c:v>Sea Transportation, shipping</c:v>
                </c:pt>
                <c:pt idx="8">
                  <c:v>Construction</c:v>
                </c:pt>
                <c:pt idx="9">
                  <c:v>Telecommunications</c:v>
                </c:pt>
                <c:pt idx="10">
                  <c:v>Schools and educational centers</c:v>
                </c:pt>
                <c:pt idx="11">
                  <c:v>Fishing Industry</c:v>
                </c:pt>
                <c:pt idx="12">
                  <c:v>Health Sector, hospitals, clinics</c:v>
                </c:pt>
                <c:pt idx="13">
                  <c:v>Land Transportation, taxis, buses etc</c:v>
                </c:pt>
              </c:strCache>
            </c:strRef>
          </c:cat>
          <c:val>
            <c:numRef>
              <c:f>'18.14'!$P$23:$P$36</c:f>
              <c:numCache>
                <c:formatCode>0.0</c:formatCode>
                <c:ptCount val="14"/>
                <c:pt idx="0">
                  <c:v>41.997778170001141</c:v>
                </c:pt>
                <c:pt idx="1">
                  <c:v>20.008928849528122</c:v>
                </c:pt>
                <c:pt idx="2">
                  <c:v>8.1335589771276116</c:v>
                </c:pt>
                <c:pt idx="3">
                  <c:v>5.0385705534848464</c:v>
                </c:pt>
                <c:pt idx="4">
                  <c:v>4.4706541939636821</c:v>
                </c:pt>
                <c:pt idx="5">
                  <c:v>3.6192987738405473</c:v>
                </c:pt>
                <c:pt idx="6">
                  <c:v>3.5798457177860605</c:v>
                </c:pt>
                <c:pt idx="7">
                  <c:v>3.5424691383660201</c:v>
                </c:pt>
                <c:pt idx="8">
                  <c:v>2.6589283304089619</c:v>
                </c:pt>
                <c:pt idx="9">
                  <c:v>1.9747292793587841</c:v>
                </c:pt>
                <c:pt idx="10">
                  <c:v>1.8885554990292472</c:v>
                </c:pt>
                <c:pt idx="11">
                  <c:v>1.3777422469553662</c:v>
                </c:pt>
                <c:pt idx="12">
                  <c:v>1.1607504386556891</c:v>
                </c:pt>
                <c:pt idx="13">
                  <c:v>0.54818983149392109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61E-4F27-8A37-028B08B39FEE}"/>
            </c:ext>
          </c:extLst>
        </c:ser>
        <c:dLbls>
          <c:showLegendKey val="0"/>
          <c:showVal val="0"/>
          <c:showCatName val="0"/>
          <c:showSerName val="0"/>
          <c:showPercent val="0"/>
          <c:showBubbleSize val="0"/>
        </c:dLbls>
        <c:gapWidth val="150"/>
        <c:axId val="48010021"/>
        <c:axId val="880296926"/>
      </c:barChart>
      <c:catAx>
        <c:axId val="48010021"/>
        <c:scaling>
          <c:orientation val="minMax"/>
        </c:scaling>
        <c:delete val="0"/>
        <c:axPos val="b"/>
        <c:numFmt formatCode="General" sourceLinked="1"/>
        <c:majorTickMark val="cross"/>
        <c:minorTickMark val="cross"/>
        <c:tickLblPos val="nextTo"/>
        <c:txPr>
          <a:bodyPr rot="-5400000"/>
          <a:lstStyle/>
          <a:p>
            <a:pPr lvl="0">
              <a:defRPr sz="1200" b="0" i="0"/>
            </a:pPr>
            <a:endParaRPr lang="en-US"/>
          </a:p>
        </c:txPr>
        <c:crossAx val="880296926"/>
        <c:crosses val="autoZero"/>
        <c:auto val="1"/>
        <c:lblAlgn val="ctr"/>
        <c:lblOffset val="100"/>
        <c:noMultiLvlLbl val="1"/>
      </c:catAx>
      <c:valAx>
        <c:axId val="880296926"/>
        <c:scaling>
          <c:orientation val="minMax"/>
        </c:scaling>
        <c:delete val="0"/>
        <c:axPos val="l"/>
        <c:majorGridlines>
          <c:spPr>
            <a:ln>
              <a:noFill/>
            </a:ln>
          </c:spPr>
        </c:majorGridlines>
        <c:numFmt formatCode="0.0" sourceLinked="1"/>
        <c:majorTickMark val="cross"/>
        <c:minorTickMark val="cross"/>
        <c:tickLblPos val="nextTo"/>
        <c:spPr>
          <a:ln w="47625">
            <a:noFill/>
          </a:ln>
        </c:spPr>
        <c:txPr>
          <a:bodyPr/>
          <a:lstStyle/>
          <a:p>
            <a:pPr lvl="0">
              <a:defRPr b="0"/>
            </a:pPr>
            <a:endParaRPr lang="en-US"/>
          </a:p>
        </c:txPr>
        <c:crossAx val="48010021"/>
        <c:crosses val="autoZero"/>
        <c:crossBetween val="between"/>
      </c:valAx>
      <c:spPr>
        <a:solidFill>
          <a:srgbClr val="FFFFFF"/>
        </a:solidFill>
        <a:ln>
          <a:solidFill>
            <a:schemeClr val="bg1">
              <a:lumMod val="65000"/>
            </a:schemeClr>
          </a:solidFill>
        </a:ln>
      </c:spPr>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pPr>
            <a:r>
              <a:rPr lang="en-US" sz="1100"/>
              <a:t>Figure 18.19: Percentage share of female employees registered in the retirement pension scheme, by type of employer, end of  2018 </a:t>
            </a:r>
          </a:p>
        </c:rich>
      </c:tx>
      <c:layout>
        <c:manualLayout>
          <c:xMode val="edge"/>
          <c:yMode val="edge"/>
          <c:x val="0.21566851684523045"/>
          <c:y val="3.6529680365296802E-2"/>
        </c:manualLayout>
      </c:layout>
      <c:overlay val="0"/>
    </c:title>
    <c:autoTitleDeleted val="0"/>
    <c:plotArea>
      <c:layout>
        <c:manualLayout>
          <c:layoutTarget val="inner"/>
          <c:xMode val="edge"/>
          <c:yMode val="edge"/>
          <c:x val="0.20811841142807966"/>
          <c:y val="0.17189400639988495"/>
          <c:w val="0.73007070837456789"/>
          <c:h val="0.70110034875777516"/>
        </c:manualLayout>
      </c:layout>
      <c:barChart>
        <c:barDir val="bar"/>
        <c:grouping val="clustered"/>
        <c:varyColors val="1"/>
        <c:ser>
          <c:idx val="0"/>
          <c:order val="0"/>
          <c:spPr>
            <a:solidFill>
              <a:srgbClr val="7F6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'18.15'!$AE$24:$AE$35</c:f>
              <c:strCache>
                <c:ptCount val="12"/>
                <c:pt idx="0">
                  <c:v>City councils</c:v>
                </c:pt>
                <c:pt idx="1">
                  <c:v>Others</c:v>
                </c:pt>
                <c:pt idx="2">
                  <c:v>Atoll councils</c:v>
                </c:pt>
                <c:pt idx="3">
                  <c:v>Judiciary</c:v>
                </c:pt>
                <c:pt idx="4">
                  <c:v>Island councils</c:v>
                </c:pt>
                <c:pt idx="5">
                  <c:v>Independent Agencies</c:v>
                </c:pt>
                <c:pt idx="6">
                  <c:v>Hospitals/health Care facilities</c:v>
                </c:pt>
                <c:pt idx="7">
                  <c:v>Schools/universitiy</c:v>
                </c:pt>
                <c:pt idx="8">
                  <c:v>Police/ NSS</c:v>
                </c:pt>
                <c:pt idx="9">
                  <c:v>State owned enterprises</c:v>
                </c:pt>
                <c:pt idx="10">
                  <c:v>Government Offices</c:v>
                </c:pt>
                <c:pt idx="11">
                  <c:v>Other Private Sector</c:v>
                </c:pt>
              </c:strCache>
            </c:strRef>
          </c:cat>
          <c:val>
            <c:numRef>
              <c:f>'18.15'!$AF$24:$AF$35</c:f>
              <c:numCache>
                <c:formatCode>#,##0_);\(#,##0\)</c:formatCode>
                <c:ptCount val="12"/>
                <c:pt idx="0">
                  <c:v>218</c:v>
                </c:pt>
                <c:pt idx="1">
                  <c:v>267</c:v>
                </c:pt>
                <c:pt idx="2">
                  <c:v>483</c:v>
                </c:pt>
                <c:pt idx="3">
                  <c:v>1828</c:v>
                </c:pt>
                <c:pt idx="4">
                  <c:v>2103</c:v>
                </c:pt>
                <c:pt idx="5">
                  <c:v>2235</c:v>
                </c:pt>
                <c:pt idx="6">
                  <c:v>6337</c:v>
                </c:pt>
                <c:pt idx="7">
                  <c:v>7297</c:v>
                </c:pt>
                <c:pt idx="8">
                  <c:v>7663</c:v>
                </c:pt>
                <c:pt idx="9">
                  <c:v>12224</c:v>
                </c:pt>
                <c:pt idx="10">
                  <c:v>14209</c:v>
                </c:pt>
                <c:pt idx="11">
                  <c:v>40611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7F27-47A9-851B-45169DBCA743}"/>
            </c:ext>
          </c:extLst>
        </c:ser>
        <c:dLbls>
          <c:showLegendKey val="0"/>
          <c:showVal val="0"/>
          <c:showCatName val="0"/>
          <c:showSerName val="0"/>
          <c:showPercent val="0"/>
          <c:showBubbleSize val="0"/>
        </c:dLbls>
        <c:gapWidth val="150"/>
        <c:axId val="445821672"/>
        <c:axId val="1818120302"/>
      </c:barChart>
      <c:catAx>
        <c:axId val="445821672"/>
        <c:scaling>
          <c:orientation val="maxMin"/>
        </c:scaling>
        <c:delete val="0"/>
        <c:axPos val="l"/>
        <c:numFmt formatCode="General" sourceLinked="1"/>
        <c:majorTickMark val="cross"/>
        <c:minorTickMark val="cross"/>
        <c:tickLblPos val="nextTo"/>
        <c:txPr>
          <a:bodyPr/>
          <a:lstStyle/>
          <a:p>
            <a:pPr lvl="0">
              <a:defRPr b="1" i="0"/>
            </a:pPr>
            <a:endParaRPr lang="en-US"/>
          </a:p>
        </c:txPr>
        <c:crossAx val="1818120302"/>
        <c:crosses val="autoZero"/>
        <c:auto val="1"/>
        <c:lblAlgn val="ctr"/>
        <c:lblOffset val="100"/>
        <c:noMultiLvlLbl val="1"/>
      </c:catAx>
      <c:valAx>
        <c:axId val="1818120302"/>
        <c:scaling>
          <c:orientation val="minMax"/>
        </c:scaling>
        <c:delete val="0"/>
        <c:axPos val="b"/>
        <c:majorGridlines>
          <c:spPr>
            <a:ln>
              <a:solidFill>
                <a:srgbClr val="FFFFFF"/>
              </a:solidFill>
            </a:ln>
          </c:spPr>
        </c:majorGridlines>
        <c:title>
          <c:tx>
            <c:rich>
              <a:bodyPr/>
              <a:lstStyle/>
              <a:p>
                <a:pPr lvl="0">
                  <a:defRPr b="1" i="0"/>
                </a:pPr>
                <a:r>
                  <a:rPr lang="en-US"/>
                  <a:t>% share of  females</a:t>
                </a:r>
              </a:p>
            </c:rich>
          </c:tx>
          <c:layout/>
          <c:overlay val="0"/>
        </c:title>
        <c:numFmt formatCode="#,##0_);\(#,##0\)" sourceLinked="1"/>
        <c:majorTickMark val="cross"/>
        <c:minorTickMark val="cross"/>
        <c:tickLblPos val="nextTo"/>
        <c:spPr>
          <a:ln w="47625">
            <a:noFill/>
          </a:ln>
        </c:spPr>
        <c:txPr>
          <a:bodyPr/>
          <a:lstStyle/>
          <a:p>
            <a:pPr lvl="0">
              <a:defRPr b="1" i="0"/>
            </a:pPr>
            <a:endParaRPr lang="en-US"/>
          </a:p>
        </c:txPr>
        <c:crossAx val="445821672"/>
        <c:crosses val="max"/>
        <c:crossBetween val="between"/>
      </c:valAx>
      <c:spPr>
        <a:solidFill>
          <a:srgbClr val="FFFFFF"/>
        </a:solidFill>
      </c:spPr>
    </c:plotArea>
    <c:plotVisOnly val="1"/>
    <c:dispBlanksAs val="zero"/>
    <c:showDLblsOverMax val="1"/>
  </c:chart>
  <c:spPr>
    <a:solidFill>
      <a:srgbClr val="FFFFEB"/>
    </a:solidFill>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sz="1200" b="1" i="0" u="none" strike="noStrike" baseline="0">
                <a:effectLst/>
                <a:latin typeface="+mn-lt"/>
              </a:rPr>
              <a:t>Figure 18.20:  NUMBER OF PERSON SERVICED UNDER HEALTH INSURANCE SCHEMES BY ATOLL, 2017 -  2018</a:t>
            </a:r>
            <a:endParaRPr lang="en-US" sz="1200">
              <a:latin typeface="+mn-lt"/>
            </a:endParaRPr>
          </a:p>
        </c:rich>
      </c:tx>
      <c:layout>
        <c:manualLayout>
          <c:xMode val="edge"/>
          <c:yMode val="edge"/>
          <c:x val="0.14425665742323826"/>
          <c:y val="6.0491666122425507E-2"/>
        </c:manualLayout>
      </c:layout>
      <c:overlay val="0"/>
    </c:title>
    <c:autoTitleDeleted val="0"/>
    <c:plotArea>
      <c:layout>
        <c:manualLayout>
          <c:layoutTarget val="inner"/>
          <c:xMode val="edge"/>
          <c:yMode val="edge"/>
          <c:x val="7.7045954897955141E-2"/>
          <c:y val="0.20294790493901321"/>
          <c:w val="0.90863920347488047"/>
          <c:h val="0.69119859411490647"/>
        </c:manualLayout>
      </c:layout>
      <c:barChart>
        <c:barDir val="col"/>
        <c:grouping val="clustered"/>
        <c:varyColors val="0"/>
        <c:ser>
          <c:idx val="2"/>
          <c:order val="0"/>
          <c:tx>
            <c:strRef>
              <c:f>'18.16'!$Z$39</c:f>
              <c:strCache>
                <c:ptCount val="1"/>
                <c:pt idx="0">
                  <c:v>2017 </c:v>
                </c:pt>
              </c:strCache>
            </c:strRef>
          </c:tx>
          <c:spPr>
            <a:solidFill>
              <a:schemeClr val="accent4">
                <a:lumMod val="50000"/>
              </a:schemeClr>
            </a:solidFill>
            <a:ln>
              <a:noFill/>
            </a:ln>
          </c:spPr>
          <c:invertIfNegative val="0"/>
          <c:cat>
            <c:strRef>
              <c:f>'18.16'!$V$40:$V$60</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'18.16'!$Z$40:$Z$60</c:f>
              <c:numCache>
                <c:formatCode>General_)</c:formatCode>
                <c:ptCount val="21"/>
                <c:pt idx="0">
                  <c:v>55899</c:v>
                </c:pt>
                <c:pt idx="1">
                  <c:v>20287</c:v>
                </c:pt>
                <c:pt idx="2">
                  <c:v>24162</c:v>
                </c:pt>
                <c:pt idx="3">
                  <c:v>16192</c:v>
                </c:pt>
                <c:pt idx="4">
                  <c:v>14727</c:v>
                </c:pt>
                <c:pt idx="5">
                  <c:v>21032</c:v>
                </c:pt>
                <c:pt idx="6">
                  <c:v>13091</c:v>
                </c:pt>
                <c:pt idx="7">
                  <c:v>11895</c:v>
                </c:pt>
                <c:pt idx="8">
                  <c:v>12010</c:v>
                </c:pt>
                <c:pt idx="9">
                  <c:v>7248</c:v>
                </c:pt>
                <c:pt idx="10">
                  <c:v>9714</c:v>
                </c:pt>
                <c:pt idx="11">
                  <c:v>2241</c:v>
                </c:pt>
                <c:pt idx="12">
                  <c:v>6504</c:v>
                </c:pt>
                <c:pt idx="13">
                  <c:v>5477</c:v>
                </c:pt>
                <c:pt idx="14">
                  <c:v>7084</c:v>
                </c:pt>
                <c:pt idx="15">
                  <c:v>14715</c:v>
                </c:pt>
                <c:pt idx="16">
                  <c:v>16392</c:v>
                </c:pt>
                <c:pt idx="17">
                  <c:v>13119</c:v>
                </c:pt>
                <c:pt idx="18">
                  <c:v>19003</c:v>
                </c:pt>
                <c:pt idx="19">
                  <c:v>10481</c:v>
                </c:pt>
                <c:pt idx="20">
                  <c:v>29131</c:v>
                </c:pt>
              </c:numCache>
            </c:numRef>
          </c:val>
          <c:extLst>
            <c:ext xmlns:c16="http://schemas.microsoft.com/office/drawing/2014/chart" uri="{C3380CC4-5D6E-409C-BE32-E72D297353CC}">
              <c16:uniqueId val="{00000000-91D7-4050-872F-7D3CC4AC9683}"/>
            </c:ext>
          </c:extLst>
        </c:ser>
        <c:ser>
          <c:idx val="3"/>
          <c:order val="1"/>
          <c:tx>
            <c:strRef>
              <c:f>'18.16'!$AA$39</c:f>
              <c:strCache>
                <c:ptCount val="1"/>
                <c:pt idx="0">
                  <c:v>2018</c:v>
                </c:pt>
              </c:strCache>
            </c:strRef>
          </c:tx>
          <c:spPr>
            <a:solidFill>
              <a:schemeClr val="accent4">
                <a:lumMod val="60000"/>
                <a:lumOff val="40000"/>
              </a:schemeClr>
            </a:solidFill>
          </c:spPr>
          <c:invertIfNegative val="0"/>
          <c:cat>
            <c:strRef>
              <c:f>'18.16'!$V$40:$V$60</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'18.16'!$AA$40:$AA$60</c:f>
              <c:numCache>
                <c:formatCode>#,##0_);\(#,##0\)</c:formatCode>
                <c:ptCount val="21"/>
                <c:pt idx="0">
                  <c:v>57975</c:v>
                </c:pt>
                <c:pt idx="1">
                  <c:v>20756</c:v>
                </c:pt>
                <c:pt idx="2">
                  <c:v>24686</c:v>
                </c:pt>
                <c:pt idx="3">
                  <c:v>16439</c:v>
                </c:pt>
                <c:pt idx="4">
                  <c:v>15103</c:v>
                </c:pt>
                <c:pt idx="5">
                  <c:v>21478</c:v>
                </c:pt>
                <c:pt idx="6">
                  <c:v>13407</c:v>
                </c:pt>
                <c:pt idx="7">
                  <c:v>12008</c:v>
                </c:pt>
                <c:pt idx="8">
                  <c:v>12411</c:v>
                </c:pt>
                <c:pt idx="9">
                  <c:v>7651</c:v>
                </c:pt>
                <c:pt idx="10">
                  <c:v>10660</c:v>
                </c:pt>
                <c:pt idx="11">
                  <c:v>2282</c:v>
                </c:pt>
                <c:pt idx="12">
                  <c:v>6836</c:v>
                </c:pt>
                <c:pt idx="13">
                  <c:v>5776</c:v>
                </c:pt>
                <c:pt idx="14">
                  <c:v>7231</c:v>
                </c:pt>
                <c:pt idx="15">
                  <c:v>14896</c:v>
                </c:pt>
                <c:pt idx="16">
                  <c:v>16872</c:v>
                </c:pt>
                <c:pt idx="17">
                  <c:v>13407</c:v>
                </c:pt>
                <c:pt idx="18">
                  <c:v>19336</c:v>
                </c:pt>
                <c:pt idx="19">
                  <c:v>11150</c:v>
                </c:pt>
                <c:pt idx="20">
                  <c:v>29637</c:v>
                </c:pt>
              </c:numCache>
            </c:numRef>
          </c:val>
          <c:extLst>
            <c:ext xmlns:c16="http://schemas.microsoft.com/office/drawing/2014/chart" uri="{C3380CC4-5D6E-409C-BE32-E72D297353CC}">
              <c16:uniqueId val="{00000001-91D7-4050-872F-7D3CC4AC9683}"/>
            </c:ext>
          </c:extLst>
        </c:ser>
        <c:dLbls>
          <c:showLegendKey val="0"/>
          <c:showVal val="0"/>
          <c:showCatName val="0"/>
          <c:showSerName val="0"/>
          <c:showPercent val="0"/>
          <c:showBubbleSize val="0"/>
        </c:dLbls>
        <c:gapWidth val="0"/>
        <c:axId val="317776888"/>
        <c:axId val="317777280"/>
      </c:barChart>
      <c:catAx>
        <c:axId val="317776888"/>
        <c:scaling>
          <c:orientation val="minMax"/>
        </c:scaling>
        <c:delete val="0"/>
        <c:axPos val="b"/>
        <c:numFmt formatCode="General" sourceLinked="0"/>
        <c:majorTickMark val="none"/>
        <c:minorTickMark val="none"/>
        <c:tickLblPos val="nextTo"/>
        <c:crossAx val="317777280"/>
        <c:crosses val="autoZero"/>
        <c:auto val="1"/>
        <c:lblAlgn val="ctr"/>
        <c:lblOffset val="100"/>
        <c:noMultiLvlLbl val="0"/>
      </c:catAx>
      <c:valAx>
        <c:axId val="317777280"/>
        <c:scaling>
          <c:orientation val="minMax"/>
          <c:max val="60000"/>
        </c:scaling>
        <c:delete val="0"/>
        <c:axPos val="l"/>
        <c:majorGridlines>
          <c:spPr>
            <a:ln>
              <a:solidFill>
                <a:schemeClr val="accent4">
                  <a:lumMod val="40000"/>
                  <a:lumOff val="60000"/>
                </a:schemeClr>
              </a:solidFill>
            </a:ln>
          </c:spPr>
        </c:majorGridlines>
        <c:numFmt formatCode="#,##0" sourceLinked="0"/>
        <c:majorTickMark val="none"/>
        <c:minorTickMark val="none"/>
        <c:tickLblPos val="nextTo"/>
        <c:crossAx val="317776888"/>
        <c:crosses val="autoZero"/>
        <c:crossBetween val="between"/>
      </c:valAx>
      <c:spPr>
        <a:ln>
          <a:solidFill>
            <a:schemeClr val="bg1">
              <a:lumMod val="65000"/>
            </a:schemeClr>
          </a:solidFill>
        </a:ln>
      </c:spPr>
    </c:plotArea>
    <c:legend>
      <c:legendPos val="r"/>
      <c:layout>
        <c:manualLayout>
          <c:xMode val="edge"/>
          <c:yMode val="edge"/>
          <c:x val="0.58369560922212571"/>
          <c:y val="0.33544867771830139"/>
          <c:w val="0.22747394382875633"/>
          <c:h val="7.0243619270913826E-2"/>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244929236964078E-2"/>
          <c:y val="0.1657713576619172"/>
          <c:w val="0.89996923540295171"/>
          <c:h val="0.69750277298831387"/>
        </c:manualLayout>
      </c:layout>
      <c:barChart>
        <c:barDir val="col"/>
        <c:grouping val="clustered"/>
        <c:varyColors val="0"/>
        <c:ser>
          <c:idx val="0"/>
          <c:order val="0"/>
          <c:tx>
            <c:strRef>
              <c:f>'18.18'!$Q$35</c:f>
              <c:strCache>
                <c:ptCount val="1"/>
                <c:pt idx="0">
                  <c:v>2016 </c:v>
                </c:pt>
              </c:strCache>
            </c:strRef>
          </c:tx>
          <c:spPr>
            <a:solidFill>
              <a:schemeClr val="accent4">
                <a:lumMod val="60000"/>
                <a:lumOff val="40000"/>
              </a:schemeClr>
            </a:solidFill>
          </c:spPr>
          <c:invertIfNegative val="0"/>
          <c:cat>
            <c:strRef>
              <c:f>'18.18'!$R$32:$W$32</c:f>
              <c:strCache>
                <c:ptCount val="6"/>
                <c:pt idx="0">
                  <c:v>AASANDHA</c:v>
                </c:pt>
                <c:pt idx="1">
                  <c:v> SINGLE PARENT ALLOWANCE</c:v>
                </c:pt>
                <c:pt idx="2">
                  <c:v>FOSTER PARENT ALLOWANCE</c:v>
                </c:pt>
                <c:pt idx="3">
                  <c:v>EMERGENCY MEDICAL WELFARE </c:v>
                </c:pt>
                <c:pt idx="4">
                  <c:v>DISABILITY ALLOWANCE</c:v>
                </c:pt>
                <c:pt idx="5">
                  <c:v>FOOD SUBSIDY</c:v>
                </c:pt>
              </c:strCache>
            </c:strRef>
          </c:cat>
          <c:val>
            <c:numRef>
              <c:f>'18.18'!$R$35:$V$35</c:f>
              <c:numCache>
                <c:formatCode>#,##0.0</c:formatCode>
                <c:ptCount val="5"/>
                <c:pt idx="0">
                  <c:v>1675.1991867771001</c:v>
                </c:pt>
                <c:pt idx="1">
                  <c:v>58.122</c:v>
                </c:pt>
                <c:pt idx="2">
                  <c:v>2.4159999999999999</c:v>
                </c:pt>
                <c:pt idx="3">
                  <c:v>75.254785549999994</c:v>
                </c:pt>
                <c:pt idx="4">
                  <c:v>155.797</c:v>
                </c:pt>
              </c:numCache>
            </c:numRef>
          </c:val>
          <c:extLst>
            <c:ext xmlns:c16="http://schemas.microsoft.com/office/drawing/2014/chart" uri="{C3380CC4-5D6E-409C-BE32-E72D297353CC}">
              <c16:uniqueId val="{00000000-BF96-4BEC-BEBF-B4EAB5ED1465}"/>
            </c:ext>
          </c:extLst>
        </c:ser>
        <c:ser>
          <c:idx val="1"/>
          <c:order val="1"/>
          <c:tx>
            <c:strRef>
              <c:f>'18.18'!$Q$36</c:f>
              <c:strCache>
                <c:ptCount val="1"/>
                <c:pt idx="0">
                  <c:v>2017 </c:v>
                </c:pt>
              </c:strCache>
            </c:strRef>
          </c:tx>
          <c:spPr>
            <a:solidFill>
              <a:schemeClr val="accent4">
                <a:lumMod val="75000"/>
              </a:schemeClr>
            </a:solidFill>
          </c:spPr>
          <c:invertIfNegative val="0"/>
          <c:cat>
            <c:strRef>
              <c:f>'18.18'!$R$32:$W$32</c:f>
              <c:strCache>
                <c:ptCount val="6"/>
                <c:pt idx="0">
                  <c:v>AASANDHA</c:v>
                </c:pt>
                <c:pt idx="1">
                  <c:v> SINGLE PARENT ALLOWANCE</c:v>
                </c:pt>
                <c:pt idx="2">
                  <c:v>FOSTER PARENT ALLOWANCE</c:v>
                </c:pt>
                <c:pt idx="3">
                  <c:v>EMERGENCY MEDICAL WELFARE </c:v>
                </c:pt>
                <c:pt idx="4">
                  <c:v>DISABILITY ALLOWANCE</c:v>
                </c:pt>
                <c:pt idx="5">
                  <c:v>FOOD SUBSIDY</c:v>
                </c:pt>
              </c:strCache>
            </c:strRef>
          </c:cat>
          <c:val>
            <c:numRef>
              <c:f>'18.18'!$R$36:$V$36</c:f>
              <c:numCache>
                <c:formatCode>#,##0.0</c:formatCode>
                <c:ptCount val="5"/>
                <c:pt idx="0">
                  <c:v>1797.2906854338</c:v>
                </c:pt>
                <c:pt idx="1">
                  <c:v>55.411000000000001</c:v>
                </c:pt>
                <c:pt idx="2">
                  <c:v>2.33</c:v>
                </c:pt>
                <c:pt idx="3">
                  <c:v>55.406665420000003</c:v>
                </c:pt>
                <c:pt idx="4">
                  <c:v>161.68799999999999</c:v>
                </c:pt>
              </c:numCache>
            </c:numRef>
          </c:val>
          <c:extLst>
            <c:ext xmlns:c16="http://schemas.microsoft.com/office/drawing/2014/chart" uri="{C3380CC4-5D6E-409C-BE32-E72D297353CC}">
              <c16:uniqueId val="{00000001-BF96-4BEC-BEBF-B4EAB5ED1465}"/>
            </c:ext>
          </c:extLst>
        </c:ser>
        <c:ser>
          <c:idx val="2"/>
          <c:order val="2"/>
          <c:tx>
            <c:strRef>
              <c:f>'18.18'!$Q$37</c:f>
              <c:strCache>
                <c:ptCount val="1"/>
                <c:pt idx="0">
                  <c:v>2018 </c:v>
                </c:pt>
              </c:strCache>
            </c:strRef>
          </c:tx>
          <c:spPr>
            <a:solidFill>
              <a:schemeClr val="accent4">
                <a:lumMod val="50000"/>
              </a:schemeClr>
            </a:solidFill>
          </c:spPr>
          <c:invertIfNegative val="0"/>
          <c:cat>
            <c:strRef>
              <c:f>'18.18'!$R$32:$W$32</c:f>
              <c:strCache>
                <c:ptCount val="6"/>
                <c:pt idx="0">
                  <c:v>AASANDHA</c:v>
                </c:pt>
                <c:pt idx="1">
                  <c:v> SINGLE PARENT ALLOWANCE</c:v>
                </c:pt>
                <c:pt idx="2">
                  <c:v>FOSTER PARENT ALLOWANCE</c:v>
                </c:pt>
                <c:pt idx="3">
                  <c:v>EMERGENCY MEDICAL WELFARE </c:v>
                </c:pt>
                <c:pt idx="4">
                  <c:v>DISABILITY ALLOWANCE</c:v>
                </c:pt>
                <c:pt idx="5">
                  <c:v>FOOD SUBSIDY</c:v>
                </c:pt>
              </c:strCache>
            </c:strRef>
          </c:cat>
          <c:val>
            <c:numRef>
              <c:f>'18.18'!$R$37:$V$37</c:f>
              <c:numCache>
                <c:formatCode>#,##0.0</c:formatCode>
                <c:ptCount val="5"/>
                <c:pt idx="0">
                  <c:v>2164.6724409019994</c:v>
                </c:pt>
                <c:pt idx="1">
                  <c:v>51.465000000000003</c:v>
                </c:pt>
                <c:pt idx="2">
                  <c:v>2.3860000000000001</c:v>
                </c:pt>
                <c:pt idx="3">
                  <c:v>70.17912204000001</c:v>
                </c:pt>
                <c:pt idx="4">
                  <c:v>176.68799999999999</c:v>
                </c:pt>
              </c:numCache>
            </c:numRef>
          </c:val>
          <c:extLst>
            <c:ext xmlns:c16="http://schemas.microsoft.com/office/drawing/2014/chart" uri="{C3380CC4-5D6E-409C-BE32-E72D297353CC}">
              <c16:uniqueId val="{00000002-BF96-4BEC-BEBF-B4EAB5ED1465}"/>
            </c:ext>
          </c:extLst>
        </c:ser>
        <c:dLbls>
          <c:showLegendKey val="0"/>
          <c:showVal val="0"/>
          <c:showCatName val="0"/>
          <c:showSerName val="0"/>
          <c:showPercent val="0"/>
          <c:showBubbleSize val="0"/>
        </c:dLbls>
        <c:gapWidth val="150"/>
        <c:axId val="317774144"/>
        <c:axId val="317777672"/>
      </c:barChart>
      <c:catAx>
        <c:axId val="317774144"/>
        <c:scaling>
          <c:orientation val="minMax"/>
        </c:scaling>
        <c:delete val="0"/>
        <c:axPos val="b"/>
        <c:numFmt formatCode="General" sourceLinked="0"/>
        <c:majorTickMark val="out"/>
        <c:minorTickMark val="none"/>
        <c:tickLblPos val="nextTo"/>
        <c:crossAx val="317777672"/>
        <c:crosses val="autoZero"/>
        <c:auto val="1"/>
        <c:lblAlgn val="ctr"/>
        <c:lblOffset val="100"/>
        <c:noMultiLvlLbl val="0"/>
      </c:catAx>
      <c:valAx>
        <c:axId val="317777672"/>
        <c:scaling>
          <c:orientation val="minMax"/>
          <c:max val="2200"/>
          <c:min val="0"/>
        </c:scaling>
        <c:delete val="0"/>
        <c:axPos val="l"/>
        <c:majorGridlines>
          <c:spPr>
            <a:ln>
              <a:noFill/>
            </a:ln>
          </c:spPr>
        </c:majorGridlines>
        <c:numFmt formatCode="#,##0" sourceLinked="0"/>
        <c:majorTickMark val="out"/>
        <c:minorTickMark val="none"/>
        <c:tickLblPos val="nextTo"/>
        <c:crossAx val="317774144"/>
        <c:crosses val="autoZero"/>
        <c:crossBetween val="between"/>
      </c:valAx>
      <c:spPr>
        <a:ln>
          <a:solidFill>
            <a:schemeClr val="bg1">
              <a:lumMod val="65000"/>
            </a:schemeClr>
          </a:solidFill>
        </a:ln>
      </c:spPr>
    </c:plotArea>
    <c:legend>
      <c:legendPos val="r"/>
      <c:layout>
        <c:manualLayout>
          <c:xMode val="edge"/>
          <c:yMode val="edge"/>
          <c:x val="0.61020016626035622"/>
          <c:y val="0.2616147908447744"/>
          <c:w val="0.15209554267215158"/>
          <c:h val="0.15572574652605486"/>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manualLayout>
          <c:layoutTarget val="inner"/>
          <c:xMode val="edge"/>
          <c:yMode val="edge"/>
          <c:x val="0.30465607884586349"/>
          <c:y val="0.20083290653201713"/>
          <c:w val="0.47256255468066538"/>
          <c:h val="0.74615140212736564"/>
        </c:manualLayout>
      </c:layout>
      <c:pieChart>
        <c:varyColors val="1"/>
        <c:ser>
          <c:idx val="0"/>
          <c:order val="0"/>
          <c:dPt>
            <c:idx val="0"/>
            <c:bubble3D val="0"/>
            <c:spPr>
              <a:solidFill>
                <a:schemeClr val="accent4">
                  <a:lumMod val="75000"/>
                </a:schemeClr>
              </a:solidFill>
            </c:spPr>
            <c:extLst>
              <c:ext xmlns:c16="http://schemas.microsoft.com/office/drawing/2014/chart" uri="{C3380CC4-5D6E-409C-BE32-E72D297353CC}">
                <c16:uniqueId val="{00000001-39B7-4E85-8E25-F94B51C570B2}"/>
              </c:ext>
            </c:extLst>
          </c:dPt>
          <c:dPt>
            <c:idx val="1"/>
            <c:bubble3D val="0"/>
            <c:spPr>
              <a:solidFill>
                <a:schemeClr val="accent4">
                  <a:lumMod val="60000"/>
                  <a:lumOff val="40000"/>
                </a:schemeClr>
              </a:solidFill>
            </c:spPr>
            <c:extLst>
              <c:ext xmlns:c16="http://schemas.microsoft.com/office/drawing/2014/chart" uri="{C3380CC4-5D6E-409C-BE32-E72D297353CC}">
                <c16:uniqueId val="{00000003-39B7-4E85-8E25-F94B51C570B2}"/>
              </c:ext>
            </c:extLst>
          </c:dPt>
          <c:dPt>
            <c:idx val="2"/>
            <c:bubble3D val="0"/>
            <c:spPr>
              <a:solidFill>
                <a:schemeClr val="accent4">
                  <a:lumMod val="50000"/>
                </a:schemeClr>
              </a:solidFill>
            </c:spPr>
            <c:extLst>
              <c:ext xmlns:c16="http://schemas.microsoft.com/office/drawing/2014/chart" uri="{C3380CC4-5D6E-409C-BE32-E72D297353CC}">
                <c16:uniqueId val="{00000005-39B7-4E85-8E25-F94B51C570B2}"/>
              </c:ext>
            </c:extLst>
          </c:dPt>
          <c:dLbls>
            <c:dLbl>
              <c:idx val="0"/>
              <c:layout>
                <c:manualLayout>
                  <c:x val="-0.1468255132911564"/>
                  <c:y val="-2.6572247943978285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39B7-4E85-8E25-F94B51C570B2}"/>
                </c:ext>
              </c:extLst>
            </c:dLbl>
            <c:dLbl>
              <c:idx val="1"/>
              <c:layout>
                <c:manualLayout>
                  <c:x val="0.109858889899439"/>
                  <c:y val="-4.20098974208597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9B7-4E85-8E25-F94B51C570B2}"/>
                </c:ext>
              </c:extLst>
            </c:dLbl>
            <c:dLbl>
              <c:idx val="2"/>
              <c:layout>
                <c:manualLayout>
                  <c:x val="6.5677855597403106E-2"/>
                  <c:y val="0.16455807302946091"/>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39B7-4E85-8E25-F94B51C570B2}"/>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'18.19'!$A$7:$A$9</c:f>
              <c:strCache>
                <c:ptCount val="3"/>
                <c:pt idx="0">
                  <c:v>Male' </c:v>
                </c:pt>
                <c:pt idx="1">
                  <c:v>Atolls</c:v>
                </c:pt>
                <c:pt idx="2">
                  <c:v>Overseas</c:v>
                </c:pt>
              </c:strCache>
            </c:strRef>
          </c:cat>
          <c:val>
            <c:numRef>
              <c:f>'18.19'!$B$7:$B$9</c:f>
              <c:numCache>
                <c:formatCode>_(* #,##0_);_(* \(#,##0\);_(* "-"??_);_(@_)</c:formatCode>
                <c:ptCount val="3"/>
                <c:pt idx="0">
                  <c:v>1255240833.9584999</c:v>
                </c:pt>
                <c:pt idx="1">
                  <c:v>642497891.10289991</c:v>
                </c:pt>
                <c:pt idx="2">
                  <c:v>266933716</c:v>
                </c:pt>
              </c:numCache>
            </c:numRef>
          </c:val>
          <c:extLst>
            <c:ext xmlns:c16="http://schemas.microsoft.com/office/drawing/2014/chart" uri="{C3380CC4-5D6E-409C-BE32-E72D297353CC}">
              <c16:uniqueId val="{00000006-39B7-4E85-8E25-F94B51C570B2}"/>
            </c:ext>
          </c:extLst>
        </c:ser>
        <c:dLbls>
          <c:showLegendKey val="0"/>
          <c:showVal val="0"/>
          <c:showCatName val="1"/>
          <c:showSerName val="0"/>
          <c:showPercent val="1"/>
          <c:showBubbleSize val="0"/>
          <c:showLeaderLines val="0"/>
        </c:dLbls>
        <c:firstSliceAng val="0"/>
      </c:pie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29347112860893"/>
          <c:y val="0.17177092446777487"/>
          <c:w val="0.857238845144357"/>
          <c:h val="0.71224919801691455"/>
        </c:manualLayout>
      </c:layout>
      <c:barChart>
        <c:barDir val="col"/>
        <c:grouping val="clustered"/>
        <c:varyColors val="0"/>
        <c:ser>
          <c:idx val="0"/>
          <c:order val="0"/>
          <c:tx>
            <c:strRef>
              <c:f>'18.19'!$N$12</c:f>
              <c:strCache>
                <c:ptCount val="1"/>
                <c:pt idx="0">
                  <c:v>Republic</c:v>
                </c:pt>
              </c:strCache>
            </c:strRef>
          </c:tx>
          <c:spPr>
            <a:solidFill>
              <a:schemeClr val="accent4">
                <a:lumMod val="50000"/>
              </a:schemeClr>
            </a:solidFill>
          </c:spPr>
          <c:invertIfNegative val="0"/>
          <c:cat>
            <c:numRef>
              <c:f>'18.19'!$Q$11:$S$11</c:f>
              <c:numCache>
                <c:formatCode>General</c:formatCode>
                <c:ptCount val="3"/>
                <c:pt idx="0">
                  <c:v>2016</c:v>
                </c:pt>
                <c:pt idx="1">
                  <c:v>2017</c:v>
                </c:pt>
                <c:pt idx="2">
                  <c:v>2018</c:v>
                </c:pt>
              </c:numCache>
            </c:numRef>
          </c:cat>
          <c:val>
            <c:numRef>
              <c:f>'18.19'!$Q$12:$S$12</c:f>
              <c:numCache>
                <c:formatCode>_(* #,##0_);_(* \(#,##0\);_(* "-"??_);_(@_)</c:formatCode>
                <c:ptCount val="3"/>
                <c:pt idx="0">
                  <c:v>1675199187.0308001</c:v>
                </c:pt>
                <c:pt idx="1">
                  <c:v>1797290685.4405</c:v>
                </c:pt>
                <c:pt idx="2">
                  <c:v>2164672441.0613999</c:v>
                </c:pt>
              </c:numCache>
            </c:numRef>
          </c:val>
          <c:extLst>
            <c:ext xmlns:c16="http://schemas.microsoft.com/office/drawing/2014/chart" uri="{C3380CC4-5D6E-409C-BE32-E72D297353CC}">
              <c16:uniqueId val="{00000000-6B7D-49CD-9E79-CDF8D6CB2D93}"/>
            </c:ext>
          </c:extLst>
        </c:ser>
        <c:ser>
          <c:idx val="1"/>
          <c:order val="1"/>
          <c:tx>
            <c:strRef>
              <c:f>'18.19'!$N$13</c:f>
              <c:strCache>
                <c:ptCount val="1"/>
                <c:pt idx="0">
                  <c:v>Male' </c:v>
                </c:pt>
              </c:strCache>
            </c:strRef>
          </c:tx>
          <c:spPr>
            <a:solidFill>
              <a:schemeClr val="accent4">
                <a:lumMod val="75000"/>
              </a:schemeClr>
            </a:solidFill>
          </c:spPr>
          <c:invertIfNegative val="0"/>
          <c:cat>
            <c:numRef>
              <c:f>'18.19'!$Q$11:$S$11</c:f>
              <c:numCache>
                <c:formatCode>General</c:formatCode>
                <c:ptCount val="3"/>
                <c:pt idx="0">
                  <c:v>2016</c:v>
                </c:pt>
                <c:pt idx="1">
                  <c:v>2017</c:v>
                </c:pt>
                <c:pt idx="2">
                  <c:v>2018</c:v>
                </c:pt>
              </c:numCache>
            </c:numRef>
          </c:cat>
          <c:val>
            <c:numRef>
              <c:f>'18.19'!$Q$13:$S$13</c:f>
              <c:numCache>
                <c:formatCode>_(* #,##0_);_(* \(#,##0\);_(* "-"??_);_(@_)</c:formatCode>
                <c:ptCount val="3"/>
                <c:pt idx="0">
                  <c:v>899761456.92000008</c:v>
                </c:pt>
                <c:pt idx="1">
                  <c:v>1040187042.5204999</c:v>
                </c:pt>
                <c:pt idx="2">
                  <c:v>1255240833.9584999</c:v>
                </c:pt>
              </c:numCache>
            </c:numRef>
          </c:val>
          <c:extLst>
            <c:ext xmlns:c16="http://schemas.microsoft.com/office/drawing/2014/chart" uri="{C3380CC4-5D6E-409C-BE32-E72D297353CC}">
              <c16:uniqueId val="{00000000-63FA-41C9-9A93-0FB2B571780B}"/>
            </c:ext>
          </c:extLst>
        </c:ser>
        <c:ser>
          <c:idx val="2"/>
          <c:order val="2"/>
          <c:tx>
            <c:strRef>
              <c:f>'18.19'!$N$14</c:f>
              <c:strCache>
                <c:ptCount val="1"/>
                <c:pt idx="0">
                  <c:v>Atolls</c:v>
                </c:pt>
              </c:strCache>
            </c:strRef>
          </c:tx>
          <c:spPr>
            <a:solidFill>
              <a:schemeClr val="accent4">
                <a:lumMod val="60000"/>
                <a:lumOff val="40000"/>
              </a:schemeClr>
            </a:solidFill>
          </c:spPr>
          <c:invertIfNegative val="0"/>
          <c:cat>
            <c:numRef>
              <c:f>'18.19'!$Q$11:$S$11</c:f>
              <c:numCache>
                <c:formatCode>General</c:formatCode>
                <c:ptCount val="3"/>
                <c:pt idx="0">
                  <c:v>2016</c:v>
                </c:pt>
                <c:pt idx="1">
                  <c:v>2017</c:v>
                </c:pt>
                <c:pt idx="2">
                  <c:v>2018</c:v>
                </c:pt>
              </c:numCache>
            </c:numRef>
          </c:cat>
          <c:val>
            <c:numRef>
              <c:f>'18.19'!$Q$14:$S$14</c:f>
              <c:numCache>
                <c:formatCode>_(* #,##0_);_(* \(#,##0\);_(* "-"??_);_(@_)</c:formatCode>
                <c:ptCount val="3"/>
                <c:pt idx="0">
                  <c:v>552084045.86000001</c:v>
                </c:pt>
                <c:pt idx="1">
                  <c:v>582040521.91999996</c:v>
                </c:pt>
                <c:pt idx="2">
                  <c:v>642497891.10289991</c:v>
                </c:pt>
              </c:numCache>
            </c:numRef>
          </c:val>
          <c:extLst>
            <c:ext xmlns:c16="http://schemas.microsoft.com/office/drawing/2014/chart" uri="{C3380CC4-5D6E-409C-BE32-E72D297353CC}">
              <c16:uniqueId val="{00000001-63FA-41C9-9A93-0FB2B571780B}"/>
            </c:ext>
          </c:extLst>
        </c:ser>
        <c:ser>
          <c:idx val="3"/>
          <c:order val="3"/>
          <c:tx>
            <c:strRef>
              <c:f>'18.19'!$N$15</c:f>
              <c:strCache>
                <c:ptCount val="1"/>
                <c:pt idx="0">
                  <c:v>Overseas</c:v>
                </c:pt>
              </c:strCache>
            </c:strRef>
          </c:tx>
          <c:invertIfNegative val="0"/>
          <c:cat>
            <c:numRef>
              <c:f>'18.19'!$Q$11:$S$11</c:f>
              <c:numCache>
                <c:formatCode>General</c:formatCode>
                <c:ptCount val="3"/>
                <c:pt idx="0">
                  <c:v>2016</c:v>
                </c:pt>
                <c:pt idx="1">
                  <c:v>2017</c:v>
                </c:pt>
                <c:pt idx="2">
                  <c:v>2018</c:v>
                </c:pt>
              </c:numCache>
            </c:numRef>
          </c:cat>
          <c:val>
            <c:numRef>
              <c:f>'18.19'!$Q$15:$S$15</c:f>
              <c:numCache>
                <c:formatCode>_(* #,##0_);_(* \(#,##0\);_(* "-"??_);_(@_)</c:formatCode>
                <c:ptCount val="3"/>
                <c:pt idx="0">
                  <c:v>223353684.25080001</c:v>
                </c:pt>
                <c:pt idx="1">
                  <c:v>175063121</c:v>
                </c:pt>
                <c:pt idx="2">
                  <c:v>266933716</c:v>
                </c:pt>
              </c:numCache>
            </c:numRef>
          </c:val>
          <c:extLst>
            <c:ext xmlns:c16="http://schemas.microsoft.com/office/drawing/2014/chart" uri="{C3380CC4-5D6E-409C-BE32-E72D297353CC}">
              <c16:uniqueId val="{00000002-63FA-41C9-9A93-0FB2B571780B}"/>
            </c:ext>
          </c:extLst>
        </c:ser>
        <c:dLbls>
          <c:showLegendKey val="0"/>
          <c:showVal val="0"/>
          <c:showCatName val="0"/>
          <c:showSerName val="0"/>
          <c:showPercent val="0"/>
          <c:showBubbleSize val="0"/>
        </c:dLbls>
        <c:gapWidth val="150"/>
        <c:axId val="209359392"/>
        <c:axId val="209359784"/>
      </c:barChart>
      <c:catAx>
        <c:axId val="209359392"/>
        <c:scaling>
          <c:orientation val="minMax"/>
        </c:scaling>
        <c:delete val="0"/>
        <c:axPos val="b"/>
        <c:numFmt formatCode="General" sourceLinked="0"/>
        <c:majorTickMark val="out"/>
        <c:minorTickMark val="none"/>
        <c:tickLblPos val="nextTo"/>
        <c:crossAx val="209359784"/>
        <c:crosses val="autoZero"/>
        <c:auto val="1"/>
        <c:lblAlgn val="ctr"/>
        <c:lblOffset val="100"/>
        <c:noMultiLvlLbl val="0"/>
      </c:catAx>
      <c:valAx>
        <c:axId val="209359784"/>
        <c:scaling>
          <c:orientation val="minMax"/>
        </c:scaling>
        <c:delete val="0"/>
        <c:axPos val="l"/>
        <c:majorGridlines>
          <c:spPr>
            <a:ln>
              <a:noFill/>
            </a:ln>
          </c:spPr>
        </c:majorGridlines>
        <c:numFmt formatCode="_(* #,##0_);_(* \(#,##0\);_(* &quot;-&quot;??_);_(@_)" sourceLinked="1"/>
        <c:majorTickMark val="out"/>
        <c:minorTickMark val="none"/>
        <c:tickLblPos val="nextTo"/>
        <c:spPr>
          <a:ln>
            <a:solidFill>
              <a:schemeClr val="bg1">
                <a:lumMod val="65000"/>
              </a:schemeClr>
            </a:solidFill>
          </a:ln>
        </c:spPr>
        <c:crossAx val="209359392"/>
        <c:crosses val="autoZero"/>
        <c:crossBetween val="between"/>
        <c:dispUnits>
          <c:builtInUnit val="millions"/>
          <c:dispUnitsLbl>
            <c:layout>
              <c:manualLayout>
                <c:xMode val="edge"/>
                <c:yMode val="edge"/>
                <c:x val="2.2916666666666665E-2"/>
                <c:y val="0.26899314668999708"/>
              </c:manualLayout>
            </c:layout>
            <c:tx>
              <c:rich>
                <a:bodyPr/>
                <a:lstStyle/>
                <a:p>
                  <a:pPr>
                    <a:defRPr b="0"/>
                  </a:pPr>
                  <a:r>
                    <a:rPr lang="en-US" b="0"/>
                    <a:t>Ecpenditure  (in Million </a:t>
                  </a:r>
                  <a:r>
                    <a:rPr lang="en-US" b="0" baseline="0"/>
                    <a:t> MVR)</a:t>
                  </a:r>
                  <a:endParaRPr lang="en-US" b="0"/>
                </a:p>
              </c:rich>
            </c:tx>
          </c:dispUnitsLbl>
        </c:dispUnits>
      </c:valAx>
      <c:spPr>
        <a:ln>
          <a:solidFill>
            <a:schemeClr val="bg1">
              <a:lumMod val="65000"/>
            </a:schemeClr>
          </a:solidFill>
        </a:ln>
      </c:spPr>
    </c:plotArea>
    <c:legend>
      <c:legendPos val="r"/>
      <c:layout>
        <c:manualLayout>
          <c:xMode val="edge"/>
          <c:yMode val="edge"/>
          <c:x val="0.24945669291338582"/>
          <c:y val="0.23142643627879847"/>
          <c:w val="0.39994734251968506"/>
          <c:h val="8.0239136774569841E-2"/>
        </c:manualLayout>
      </c:layout>
      <c:overlay val="0"/>
    </c:legend>
    <c:plotVisOnly val="1"/>
    <c:dispBlanksAs val="gap"/>
    <c:showDLblsOverMax val="0"/>
  </c:chart>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title>
      <c:tx>
        <c:rich>
          <a:bodyPr/>
          <a:lstStyle/>
          <a:p>
            <a:pPr>
              <a:defRPr/>
            </a:pPr>
            <a:r>
              <a:rPr lang="en-US" sz="1100">
                <a:latin typeface="Consolas" pitchFamily="49" charset="0"/>
                <a:cs typeface="Consolas" pitchFamily="49" charset="0"/>
              </a:rPr>
              <a:t>Figure 18.24: Percentage share of expenditure on Aasandha by Institution, 2018</a:t>
            </a:r>
          </a:p>
        </c:rich>
      </c:tx>
      <c:layout>
        <c:manualLayout>
          <c:xMode val="edge"/>
          <c:yMode val="edge"/>
          <c:x val="0.14542869524459898"/>
          <c:y val="4.4936862823149563E-2"/>
        </c:manualLayout>
      </c:layout>
      <c:overlay val="0"/>
    </c:title>
    <c:autoTitleDeleted val="0"/>
    <c:plotArea>
      <c:layout>
        <c:manualLayout>
          <c:layoutTarget val="inner"/>
          <c:xMode val="edge"/>
          <c:yMode val="edge"/>
          <c:x val="0.269020019671666"/>
          <c:y val="0.21420093676913035"/>
          <c:w val="0.32249083637528503"/>
          <c:h val="0.81840157908845013"/>
        </c:manualLayout>
      </c:layout>
      <c:doughnutChart>
        <c:varyColors val="1"/>
        <c:ser>
          <c:idx val="0"/>
          <c:order val="0"/>
          <c:spPr>
            <a:effectLst/>
          </c:spPr>
          <c:explosion val="1"/>
          <c:dPt>
            <c:idx val="0"/>
            <c:bubble3D val="0"/>
            <c:explosion val="3"/>
            <c:spPr>
              <a:solidFill>
                <a:schemeClr val="accent4">
                  <a:lumMod val="50000"/>
                </a:schemeClr>
              </a:solidFill>
              <a:ln>
                <a:noFill/>
              </a:ln>
              <a:effectLst/>
            </c:spPr>
            <c:extLst>
              <c:ext xmlns:c16="http://schemas.microsoft.com/office/drawing/2014/chart" uri="{C3380CC4-5D6E-409C-BE32-E72D297353CC}">
                <c16:uniqueId val="{00000001-9A44-4271-9521-E0F555BDF7E2}"/>
              </c:ext>
            </c:extLst>
          </c:dPt>
          <c:dPt>
            <c:idx val="1"/>
            <c:bubble3D val="0"/>
            <c:explosion val="3"/>
            <c:spPr>
              <a:solidFill>
                <a:schemeClr val="accent4">
                  <a:lumMod val="75000"/>
                </a:schemeClr>
              </a:solidFill>
              <a:ln>
                <a:noFill/>
              </a:ln>
              <a:effectLst/>
            </c:spPr>
            <c:extLst>
              <c:ext xmlns:c16="http://schemas.microsoft.com/office/drawing/2014/chart" uri="{C3380CC4-5D6E-409C-BE32-E72D297353CC}">
                <c16:uniqueId val="{00000003-9A44-4271-9521-E0F555BDF7E2}"/>
              </c:ext>
            </c:extLst>
          </c:dPt>
          <c:dPt>
            <c:idx val="2"/>
            <c:bubble3D val="0"/>
            <c:spPr>
              <a:solidFill>
                <a:schemeClr val="accent4">
                  <a:lumMod val="40000"/>
                  <a:lumOff val="60000"/>
                </a:schemeClr>
              </a:solidFill>
              <a:ln>
                <a:noFill/>
              </a:ln>
              <a:effectLst/>
            </c:spPr>
            <c:extLst>
              <c:ext xmlns:c16="http://schemas.microsoft.com/office/drawing/2014/chart" uri="{C3380CC4-5D6E-409C-BE32-E72D297353CC}">
                <c16:uniqueId val="{00000005-9A44-4271-9521-E0F555BDF7E2}"/>
              </c:ext>
            </c:extLst>
          </c:dPt>
          <c:dPt>
            <c:idx val="3"/>
            <c:bubble3D val="0"/>
            <c:explosion val="3"/>
            <c:spPr>
              <a:solidFill>
                <a:schemeClr val="accent4">
                  <a:lumMod val="60000"/>
                  <a:lumOff val="40000"/>
                </a:schemeClr>
              </a:solidFill>
              <a:ln>
                <a:noFill/>
              </a:ln>
              <a:effectLst/>
            </c:spPr>
            <c:extLst>
              <c:ext xmlns:c16="http://schemas.microsoft.com/office/drawing/2014/chart" uri="{C3380CC4-5D6E-409C-BE32-E72D297353CC}">
                <c16:uniqueId val="{00000007-9A44-4271-9521-E0F555BDF7E2}"/>
              </c:ext>
            </c:extLst>
          </c:dPt>
          <c:dPt>
            <c:idx val="4"/>
            <c:bubble3D val="0"/>
            <c:explosion val="5"/>
            <c:spPr>
              <a:solidFill>
                <a:srgbClr val="FFC000"/>
              </a:solidFill>
              <a:ln>
                <a:noFill/>
              </a:ln>
              <a:effectLst/>
            </c:spPr>
            <c:extLst>
              <c:ext xmlns:c16="http://schemas.microsoft.com/office/drawing/2014/chart" uri="{C3380CC4-5D6E-409C-BE32-E72D297353CC}">
                <c16:uniqueId val="{00000009-9A44-4271-9521-E0F555BDF7E2}"/>
              </c:ext>
            </c:extLst>
          </c:dPt>
          <c:dPt>
            <c:idx val="5"/>
            <c:bubble3D val="0"/>
            <c:spPr>
              <a:solidFill>
                <a:schemeClr val="bg1">
                  <a:lumMod val="65000"/>
                </a:schemeClr>
              </a:solidFill>
              <a:ln>
                <a:noFill/>
              </a:ln>
              <a:effectLst/>
            </c:spPr>
            <c:extLst>
              <c:ext xmlns:c16="http://schemas.microsoft.com/office/drawing/2014/chart" uri="{C3380CC4-5D6E-409C-BE32-E72D297353CC}">
                <c16:uniqueId val="{0000000B-9A44-4271-9521-E0F555BDF7E2}"/>
              </c:ext>
            </c:extLst>
          </c:dPt>
          <c:dLbls>
            <c:dLbl>
              <c:idx val="0"/>
              <c:layout>
                <c:manualLayout>
                  <c:x val="-6.431013058586268E-3"/>
                  <c:y val="-1.980191338482479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9A44-4271-9521-E0F555BDF7E2}"/>
                </c:ext>
              </c:extLst>
            </c:dLbl>
            <c:dLbl>
              <c:idx val="1"/>
              <c:layout>
                <c:manualLayout>
                  <c:x val="-1.4961257450445476E-2"/>
                  <c:y val="-2.9482913085336244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9A44-4271-9521-E0F555BDF7E2}"/>
                </c:ext>
              </c:extLst>
            </c:dLbl>
            <c:dLbl>
              <c:idx val="2"/>
              <c:layout>
                <c:manualLayout>
                  <c:x val="7.1261441286276914E-2"/>
                  <c:y val="-4.9465931489270719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9A44-4271-9521-E0F555BDF7E2}"/>
                </c:ext>
              </c:extLst>
            </c:dLbl>
            <c:dLbl>
              <c:idx val="3"/>
              <c:layout>
                <c:manualLayout>
                  <c:x val="7.2692058466852907E-2"/>
                  <c:y val="-4.3003228669295931E-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9A44-4271-9521-E0F555BDF7E2}"/>
                </c:ext>
              </c:extLst>
            </c:dLbl>
            <c:dLbl>
              <c:idx val="4"/>
              <c:layout>
                <c:manualLayout>
                  <c:x val="8.7825187727669521E-2"/>
                  <c:y val="4.5569713806509905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9A44-4271-9521-E0F555BDF7E2}"/>
                </c:ext>
              </c:extLst>
            </c:dLbl>
            <c:dLbl>
              <c:idx val="5"/>
              <c:layout>
                <c:manualLayout>
                  <c:x val="0.12646885416539969"/>
                  <c:y val="7.866908251370623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9A44-4271-9521-E0F555BDF7E2}"/>
                </c:ext>
              </c:extLst>
            </c:dLbl>
            <c:spPr>
              <a:noFill/>
              <a:ln>
                <a:noFill/>
              </a:ln>
              <a:effectLst/>
            </c:spPr>
            <c:txPr>
              <a:bodyPr/>
              <a:lstStyle/>
              <a:p>
                <a:pPr>
                  <a:defRPr sz="90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'18.20'!$O$38:$T$38</c:f>
              <c:strCache>
                <c:ptCount val="6"/>
                <c:pt idx="0">
                  <c:v>Hospitals</c:v>
                </c:pt>
                <c:pt idx="1">
                  <c:v>Pharmacies</c:v>
                </c:pt>
                <c:pt idx="2">
                  <c:v>Opticals</c:v>
                </c:pt>
                <c:pt idx="3">
                  <c:v>Clinics</c:v>
                </c:pt>
                <c:pt idx="4">
                  <c:v>Airfare Tickets</c:v>
                </c:pt>
                <c:pt idx="5">
                  <c:v>Emergency Evacuation - Sea</c:v>
                </c:pt>
              </c:strCache>
            </c:strRef>
          </c:cat>
          <c:val>
            <c:numRef>
              <c:f>'18.20'!$O$39:$T$39</c:f>
              <c:numCache>
                <c:formatCode>_-* #,##0_-;\-* #,##0_-;_-* "-"??_-;_-@_-</c:formatCode>
                <c:ptCount val="6"/>
                <c:pt idx="0">
                  <c:v>1320874859.6515</c:v>
                </c:pt>
                <c:pt idx="1">
                  <c:v>658680682.47990012</c:v>
                </c:pt>
                <c:pt idx="2">
                  <c:v>35443183.07</c:v>
                </c:pt>
                <c:pt idx="3">
                  <c:v>68544780.200000003</c:v>
                </c:pt>
                <c:pt idx="4">
                  <c:v>40462865.200000003</c:v>
                </c:pt>
                <c:pt idx="5">
                  <c:v>40666070.460000001</c:v>
                </c:pt>
              </c:numCache>
            </c:numRef>
          </c:val>
          <c:extLst>
            <c:ext xmlns:c16="http://schemas.microsoft.com/office/drawing/2014/chart" uri="{C3380CC4-5D6E-409C-BE32-E72D297353CC}">
              <c16:uniqueId val="{0000000C-9A44-4271-9521-E0F555BDF7E2}"/>
            </c:ext>
          </c:extLst>
        </c:ser>
        <c:dLbls>
          <c:showLegendKey val="0"/>
          <c:showVal val="0"/>
          <c:showCatName val="1"/>
          <c:showSerName val="0"/>
          <c:showPercent val="1"/>
          <c:showBubbleSize val="0"/>
          <c:showLeaderLines val="0"/>
        </c:dLbls>
        <c:firstSliceAng val="115"/>
        <c:holeSize val="50"/>
      </c:doughnut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ysClr val="windowText" lastClr="000000"/>
                </a:solidFill>
                <a:latin typeface="+mn-lt"/>
                <a:ea typeface="+mn-ea"/>
                <a:cs typeface="+mn-cs"/>
              </a:defRPr>
            </a:pPr>
            <a:r>
              <a:rPr lang="en-US" sz="1050"/>
              <a:t>Figure 18.25: </a:t>
            </a:r>
            <a:r>
              <a:rPr lang="en-US" sz="1050" b="1" i="0" baseline="0">
                <a:latin typeface="+mn-lt"/>
              </a:rPr>
              <a:t>GOVERNMENT EXPENDITURE ON HEALTH INSURANCE SCHEMES BY ATOLL, 2016 - 2018 </a:t>
            </a:r>
            <a:endParaRPr lang="en-US" sz="1050"/>
          </a:p>
        </c:rich>
      </c:tx>
      <c:layout/>
      <c:overlay val="0"/>
    </c:title>
    <c:autoTitleDeleted val="0"/>
    <c:plotArea>
      <c:layout>
        <c:manualLayout>
          <c:layoutTarget val="inner"/>
          <c:xMode val="edge"/>
          <c:yMode val="edge"/>
          <c:x val="6.6057860284030823E-2"/>
          <c:y val="0.11757119828049435"/>
          <c:w val="0.92359206154616269"/>
          <c:h val="0.79268617752711057"/>
        </c:manualLayout>
      </c:layout>
      <c:barChart>
        <c:barDir val="col"/>
        <c:grouping val="clustered"/>
        <c:varyColors val="0"/>
        <c:ser>
          <c:idx val="1"/>
          <c:order val="0"/>
          <c:tx>
            <c:strRef>
              <c:f>'18.22'!$O$37</c:f>
              <c:strCache>
                <c:ptCount val="1"/>
                <c:pt idx="0">
                  <c:v>2016 </c:v>
                </c:pt>
              </c:strCache>
            </c:strRef>
          </c:tx>
          <c:spPr>
            <a:solidFill>
              <a:schemeClr val="accent4">
                <a:lumMod val="50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'18.22'!$O$38:$O$57</c:f>
              <c:numCache>
                <c:formatCode>General_)</c:formatCode>
                <c:ptCount val="20"/>
                <c:pt idx="0">
                  <c:v>30277717.990000002</c:v>
                </c:pt>
                <c:pt idx="1">
                  <c:v>60034554.979999997</c:v>
                </c:pt>
                <c:pt idx="2">
                  <c:v>21043099.035</c:v>
                </c:pt>
                <c:pt idx="3">
                  <c:v>16255000.77</c:v>
                </c:pt>
                <c:pt idx="4">
                  <c:v>43959957.414999999</c:v>
                </c:pt>
                <c:pt idx="5">
                  <c:v>26651220.369999997</c:v>
                </c:pt>
                <c:pt idx="6">
                  <c:v>31816789.559999999</c:v>
                </c:pt>
                <c:pt idx="7">
                  <c:v>14543865.745000001</c:v>
                </c:pt>
                <c:pt idx="8">
                  <c:v>8698613.1500000004</c:v>
                </c:pt>
                <c:pt idx="9">
                  <c:v>21983644.324999999</c:v>
                </c:pt>
                <c:pt idx="10">
                  <c:v>2451686.34</c:v>
                </c:pt>
                <c:pt idx="11">
                  <c:v>11946502.880000001</c:v>
                </c:pt>
                <c:pt idx="12">
                  <c:v>10153645.829999998</c:v>
                </c:pt>
                <c:pt idx="13">
                  <c:v>11807838.66</c:v>
                </c:pt>
                <c:pt idx="14">
                  <c:v>22462983.789999999</c:v>
                </c:pt>
                <c:pt idx="15">
                  <c:v>30750547.939999998</c:v>
                </c:pt>
                <c:pt idx="16">
                  <c:v>25050862.829999998</c:v>
                </c:pt>
                <c:pt idx="17">
                  <c:v>39536598.640000008</c:v>
                </c:pt>
                <c:pt idx="18">
                  <c:v>20312685.899999999</c:v>
                </c:pt>
                <c:pt idx="19">
                  <c:v>102346229.71000001</c:v>
                </c:pt>
              </c:numCache>
            </c:numRef>
          </c:val>
          <c:extLst>
            <c:ext xmlns:c16="http://schemas.microsoft.com/office/drawing/2014/chart" uri="{C3380CC4-5D6E-409C-BE32-E72D297353CC}">
              <c16:uniqueId val="{00000000-34BD-4D34-9068-A330A3C88CEB}"/>
            </c:ext>
          </c:extLst>
        </c:ser>
        <c:ser>
          <c:idx val="2"/>
          <c:order val="1"/>
          <c:tx>
            <c:strRef>
              <c:f>'18.22'!$P$37</c:f>
              <c:strCache>
                <c:ptCount val="1"/>
                <c:pt idx="0">
                  <c:v>2017 </c:v>
                </c:pt>
              </c:strCache>
            </c:strRef>
          </c:tx>
          <c:spPr>
            <a:solidFill>
              <a:schemeClr val="accent4">
                <a:lumMod val="75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'18.22'!$P$38:$P$57</c:f>
              <c:numCache>
                <c:formatCode>General_)</c:formatCode>
                <c:ptCount val="20"/>
                <c:pt idx="0">
                  <c:v>34032071.780000001</c:v>
                </c:pt>
                <c:pt idx="1">
                  <c:v>69991758.379999995</c:v>
                </c:pt>
                <c:pt idx="2">
                  <c:v>22385644.167000003</c:v>
                </c:pt>
                <c:pt idx="3">
                  <c:v>17119918.760000002</c:v>
                </c:pt>
                <c:pt idx="4">
                  <c:v>47021244.049999997</c:v>
                </c:pt>
                <c:pt idx="5">
                  <c:v>30149104.175999999</c:v>
                </c:pt>
                <c:pt idx="6">
                  <c:v>38642931.219999999</c:v>
                </c:pt>
                <c:pt idx="7">
                  <c:v>15450866.840299999</c:v>
                </c:pt>
                <c:pt idx="8">
                  <c:v>5947100.96</c:v>
                </c:pt>
                <c:pt idx="9">
                  <c:v>9181590.7400000021</c:v>
                </c:pt>
                <c:pt idx="10">
                  <c:v>2580520.0900000003</c:v>
                </c:pt>
                <c:pt idx="11">
                  <c:v>7909169.9100000001</c:v>
                </c:pt>
                <c:pt idx="12">
                  <c:v>6358160.0700000003</c:v>
                </c:pt>
                <c:pt idx="13">
                  <c:v>13061458.859999999</c:v>
                </c:pt>
                <c:pt idx="14">
                  <c:v>23683245.52</c:v>
                </c:pt>
                <c:pt idx="15">
                  <c:v>32945144.069999997</c:v>
                </c:pt>
                <c:pt idx="16">
                  <c:v>28968304</c:v>
                </c:pt>
                <c:pt idx="17">
                  <c:v>44492550.350000001</c:v>
                </c:pt>
                <c:pt idx="18">
                  <c:v>15456736.35</c:v>
                </c:pt>
                <c:pt idx="19">
                  <c:v>116663001.61669999</c:v>
                </c:pt>
              </c:numCache>
            </c:numRef>
          </c:val>
          <c:extLst>
            <c:ext xmlns:c16="http://schemas.microsoft.com/office/drawing/2014/chart" uri="{C3380CC4-5D6E-409C-BE32-E72D297353CC}">
              <c16:uniqueId val="{00000001-34BD-4D34-9068-A330A3C88CEB}"/>
            </c:ext>
          </c:extLst>
        </c:ser>
        <c:ser>
          <c:idx val="3"/>
          <c:order val="2"/>
          <c:tx>
            <c:strRef>
              <c:f>'18.22'!$Q$37</c:f>
              <c:strCache>
                <c:ptCount val="1"/>
                <c:pt idx="0">
                  <c:v>2018 </c:v>
                </c:pt>
              </c:strCache>
            </c:strRef>
          </c:tx>
          <c:spPr>
            <a:solidFill>
              <a:schemeClr val="accent4">
                <a:lumMod val="60000"/>
                <a:lumOff val="40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'18.22'!$Q$38:$Q$57</c:f>
              <c:numCache>
                <c:formatCode>General_)</c:formatCode>
                <c:ptCount val="20"/>
                <c:pt idx="0">
                  <c:v>37849375.519999996</c:v>
                </c:pt>
                <c:pt idx="1">
                  <c:v>73741273.559999987</c:v>
                </c:pt>
                <c:pt idx="2">
                  <c:v>24133600.373999998</c:v>
                </c:pt>
                <c:pt idx="3">
                  <c:v>18665154.07</c:v>
                </c:pt>
                <c:pt idx="4">
                  <c:v>49456949.840000004</c:v>
                </c:pt>
                <c:pt idx="5">
                  <c:v>33634879.120000005</c:v>
                </c:pt>
                <c:pt idx="6">
                  <c:v>35692529.049999997</c:v>
                </c:pt>
                <c:pt idx="7">
                  <c:v>15019880.84</c:v>
                </c:pt>
                <c:pt idx="8">
                  <c:v>10990868.449999999</c:v>
                </c:pt>
                <c:pt idx="9">
                  <c:v>25909086.93</c:v>
                </c:pt>
                <c:pt idx="10">
                  <c:v>2433263.37</c:v>
                </c:pt>
                <c:pt idx="11">
                  <c:v>11312990.07</c:v>
                </c:pt>
                <c:pt idx="12">
                  <c:v>13465688.68</c:v>
                </c:pt>
                <c:pt idx="13">
                  <c:v>15100490.25</c:v>
                </c:pt>
                <c:pt idx="14">
                  <c:v>21574058.689999998</c:v>
                </c:pt>
                <c:pt idx="15">
                  <c:v>34810489.399999999</c:v>
                </c:pt>
                <c:pt idx="16">
                  <c:v>27993704.789999999</c:v>
                </c:pt>
                <c:pt idx="17">
                  <c:v>46107004.269999996</c:v>
                </c:pt>
                <c:pt idx="18">
                  <c:v>23428238.91</c:v>
                </c:pt>
                <c:pt idx="19">
                  <c:v>121178364.9189</c:v>
                </c:pt>
              </c:numCache>
            </c:numRef>
          </c:val>
          <c:extLst>
            <c:ext xmlns:c16="http://schemas.microsoft.com/office/drawing/2014/chart" uri="{C3380CC4-5D6E-409C-BE32-E72D297353CC}">
              <c16:uniqueId val="{00000002-34BD-4D34-9068-A330A3C88CEB}"/>
            </c:ext>
          </c:extLst>
        </c:ser>
        <c:dLbls>
          <c:showLegendKey val="0"/>
          <c:showVal val="0"/>
          <c:showCatName val="0"/>
          <c:showSerName val="0"/>
          <c:showPercent val="0"/>
          <c:showBubbleSize val="0"/>
        </c:dLbls>
        <c:gapWidth val="150"/>
        <c:axId val="209359000"/>
        <c:axId val="209358216"/>
      </c:barChart>
      <c:catAx>
        <c:axId val="209359000"/>
        <c:scaling>
          <c:orientation val="minMax"/>
        </c:scaling>
        <c:delete val="0"/>
        <c:axPos val="b"/>
        <c:numFmt formatCode="General" sourceLinked="0"/>
        <c:majorTickMark val="none"/>
        <c:minorTickMark val="none"/>
        <c:tickLblPos val="nextTo"/>
        <c:txPr>
          <a:bodyPr rot="0" vert="horz"/>
          <a:lstStyle/>
          <a:p>
            <a:pPr>
              <a:defRPr sz="1000"/>
            </a:pPr>
            <a:endParaRPr lang="en-US"/>
          </a:p>
        </c:txPr>
        <c:crossAx val="209358216"/>
        <c:crosses val="autoZero"/>
        <c:auto val="1"/>
        <c:lblAlgn val="ctr"/>
        <c:lblOffset val="100"/>
        <c:tickLblSkip val="1"/>
        <c:noMultiLvlLbl val="0"/>
      </c:catAx>
      <c:valAx>
        <c:axId val="209358216"/>
        <c:scaling>
          <c:orientation val="minMax"/>
          <c:max val="140000000"/>
        </c:scaling>
        <c:delete val="0"/>
        <c:axPos val="l"/>
        <c:majorGridlines>
          <c:spPr>
            <a:ln>
              <a:solidFill>
                <a:schemeClr val="bg1"/>
              </a:solidFill>
            </a:ln>
          </c:spPr>
        </c:majorGridlines>
        <c:numFmt formatCode="#,##0" sourceLinked="0"/>
        <c:majorTickMark val="none"/>
        <c:minorTickMark val="none"/>
        <c:tickLblPos val="nextTo"/>
        <c:txPr>
          <a:bodyPr/>
          <a:lstStyle/>
          <a:p>
            <a:pPr>
              <a:defRPr sz="800"/>
            </a:pPr>
            <a:endParaRPr lang="en-US"/>
          </a:p>
        </c:txPr>
        <c:crossAx val="209359000"/>
        <c:crosses val="autoZero"/>
        <c:crossBetween val="between"/>
      </c:valAx>
      <c:spPr>
        <a:ln>
          <a:solidFill>
            <a:sysClr val="window" lastClr="FFFFFF">
              <a:lumMod val="65000"/>
            </a:sysClr>
          </a:solidFill>
        </a:ln>
      </c:spPr>
    </c:plotArea>
    <c:legend>
      <c:legendPos val="r"/>
      <c:layout>
        <c:manualLayout>
          <c:xMode val="edge"/>
          <c:yMode val="edge"/>
          <c:x val="0.63394103484616104"/>
          <c:y val="0.21996076390504921"/>
          <c:w val="0.18598910718314723"/>
          <c:h val="8.6244660040815713E-2"/>
        </c:manualLayout>
      </c:layout>
      <c:overlay val="0"/>
      <c:txPr>
        <a:bodyPr/>
        <a:lstStyle/>
        <a:p>
          <a:pPr>
            <a:defRPr sz="1050"/>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oneCellAnchor>
    <xdr:from>
      <xdr:col>0</xdr:col>
      <xdr:colOff>1428752</xdr:colOff>
      <xdr:row>35</xdr:row>
      <xdr:rowOff>87405</xdr:rowOff>
    </xdr:from>
    <xdr:ext cx="7343774" cy="4142815"/>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21</xdr:col>
      <xdr:colOff>400049</xdr:colOff>
      <xdr:row>18</xdr:row>
      <xdr:rowOff>38100</xdr:rowOff>
    </xdr:from>
    <xdr:ext cx="6372225" cy="3009899"/>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18</xdr:row>
      <xdr:rowOff>28575</xdr:rowOff>
    </xdr:from>
    <xdr:ext cx="6276974" cy="3019425"/>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19</xdr:row>
      <xdr:rowOff>14338</xdr:rowOff>
    </xdr:from>
    <xdr:ext cx="5219700" cy="266700"/>
    <xdr:sp macro="" textlink="">
      <xdr:nvSpPr>
        <xdr:cNvPr id="6" name="Shape 6"/>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onsolas"/>
              <a:ea typeface="Consolas"/>
              <a:cs typeface="Consolas"/>
              <a:sym typeface="Consolas"/>
            </a:rPr>
            <a:t>Figure 18.1: Pension payments made under different schemes, 2018</a:t>
          </a:r>
          <a:endParaRPr sz="1100" b="1" i="0">
            <a:solidFill>
              <a:schemeClr val="dk1"/>
            </a:solidFill>
            <a:latin typeface="Consolas"/>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179296</xdr:colOff>
      <xdr:row>38</xdr:row>
      <xdr:rowOff>28575</xdr:rowOff>
    </xdr:from>
    <xdr:ext cx="6097680" cy="80122"/>
    <xdr:grpSp>
      <xdr:nvGrpSpPr>
        <xdr:cNvPr id="10" name="Shape 2"/>
        <xdr:cNvGrpSpPr/>
      </xdr:nvGrpSpPr>
      <xdr:grpSpPr>
        <a:xfrm>
          <a:off x="1899628" y="8766305"/>
          <a:ext cx="6097680" cy="80122"/>
          <a:chOff x="1321688" y="3780000"/>
          <a:chExt cx="8048625" cy="0"/>
        </a:xfrm>
      </xdr:grpSpPr>
      <xdr:cxnSp macro="">
        <xdr:nvCxnSpPr>
          <xdr:cNvPr id="11" name="Shape 9"/>
          <xdr:cNvCxnSpPr/>
        </xdr:nvCxnSpPr>
        <xdr:spPr>
          <a:xfrm>
            <a:off x="1321688" y="3780000"/>
            <a:ext cx="8048625" cy="0"/>
          </a:xfrm>
          <a:prstGeom prst="straightConnector1">
            <a:avLst/>
          </a:prstGeom>
          <a:noFill/>
          <a:ln w="38100" cap="flat" cmpd="sng">
            <a:solidFill>
              <a:schemeClr val="accent4">
                <a:lumMod val="50000"/>
              </a:schemeClr>
            </a:solidFill>
            <a:prstDash val="solid"/>
            <a:round/>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381000</xdr:colOff>
      <xdr:row>22</xdr:row>
      <xdr:rowOff>152400</xdr:rowOff>
    </xdr:from>
    <xdr:ext cx="8924925" cy="3276600"/>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381000</xdr:colOff>
      <xdr:row>23</xdr:row>
      <xdr:rowOff>123825</xdr:rowOff>
    </xdr:from>
    <xdr:ext cx="5400675" cy="266700"/>
    <xdr:sp macro="" textlink="">
      <xdr:nvSpPr>
        <xdr:cNvPr id="3" name="Shape 3"/>
        <xdr:cNvSpPr txBox="1"/>
      </xdr:nvSpPr>
      <xdr:spPr>
        <a:xfrm>
          <a:off x="2581275" y="5676900"/>
          <a:ext cx="5400675" cy="266700"/>
        </a:xfrm>
        <a:prstGeom prst="rect">
          <a:avLst/>
        </a:prstGeom>
        <a:solidFill>
          <a:schemeClr val="lt1"/>
        </a:solidFill>
        <a:ln>
          <a:noFill/>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263"/>
            <a:buFont typeface="Consolas"/>
            <a:buNone/>
          </a:pPr>
          <a:r>
            <a:rPr lang="en-US" sz="1050" b="1" i="0">
              <a:solidFill>
                <a:schemeClr val="dk1"/>
              </a:solidFill>
              <a:latin typeface="Consolas"/>
              <a:ea typeface="Consolas"/>
              <a:cs typeface="Consolas"/>
              <a:sym typeface="Consolas"/>
            </a:rPr>
            <a:t>Figure 18.4: Pension payments made under different schemes, 2016 - 2018</a:t>
          </a:r>
          <a:endParaRPr sz="1400"/>
        </a:p>
        <a:p>
          <a:pPr marL="0" lvl="0" indent="0" algn="l" rtl="0">
            <a:spcBef>
              <a:spcPts val="0"/>
            </a:spcBef>
            <a:spcAft>
              <a:spcPts val="0"/>
            </a:spcAft>
            <a:buSzPts val="1200"/>
            <a:buFont typeface="Arial"/>
            <a:buNone/>
          </a:pPr>
          <a:endParaRPr sz="12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847725</xdr:colOff>
      <xdr:row>19</xdr:row>
      <xdr:rowOff>38099</xdr:rowOff>
    </xdr:from>
    <xdr:ext cx="7391400" cy="3114675"/>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400050</xdr:colOff>
      <xdr:row>20</xdr:row>
      <xdr:rowOff>104775</xdr:rowOff>
    </xdr:from>
    <xdr:ext cx="6410325" cy="3381375"/>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600075</xdr:colOff>
      <xdr:row>21</xdr:row>
      <xdr:rowOff>114299</xdr:rowOff>
    </xdr:from>
    <xdr:ext cx="5981700" cy="257175"/>
    <xdr:sp macro="" textlink="">
      <xdr:nvSpPr>
        <xdr:cNvPr id="10" name="Shape 10"/>
        <xdr:cNvSpPr txBox="1"/>
      </xdr:nvSpPr>
      <xdr:spPr>
        <a:xfrm>
          <a:off x="600075" y="5657849"/>
          <a:ext cx="5981700" cy="257175"/>
        </a:xfrm>
        <a:prstGeom prst="rect">
          <a:avLst/>
        </a:prstGeom>
        <a:solidFill>
          <a:schemeClr val="lt1"/>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263"/>
            <a:buFont typeface="Consolas"/>
            <a:buNone/>
          </a:pPr>
          <a:r>
            <a:rPr lang="en-US" sz="1050" b="1" i="0">
              <a:solidFill>
                <a:schemeClr val="dk1"/>
              </a:solidFill>
              <a:latin typeface="Consolas"/>
              <a:ea typeface="Consolas"/>
              <a:cs typeface="Consolas"/>
              <a:sym typeface="Consolas"/>
            </a:rPr>
            <a:t>Figure 18.6: Percentage share of beneficiaries of basic pension scheme by age group, 2018</a:t>
          </a:r>
          <a:endParaRPr sz="1400"/>
        </a:p>
        <a:p>
          <a:pPr marL="0" lvl="0" indent="0" algn="l" rtl="0">
            <a:spcBef>
              <a:spcPts val="0"/>
            </a:spcBef>
            <a:spcAft>
              <a:spcPts val="0"/>
            </a:spcAft>
            <a:buSzPts val="1100"/>
            <a:buFont typeface="Arial"/>
            <a:buNone/>
          </a:pPr>
          <a:endParaRPr sz="1100">
            <a:latin typeface="Consolas"/>
            <a:ea typeface="Consolas"/>
            <a:cs typeface="Consolas"/>
            <a:sym typeface="Consolas"/>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20</xdr:row>
      <xdr:rowOff>85725</xdr:rowOff>
    </xdr:from>
    <xdr:ext cx="7210425" cy="3371849"/>
    <xdr:graphicFrame macro="">
      <xdr:nvGraphicFramePr>
        <xdr:cNvPr id="7"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c:userShapes xmlns:c="http://schemas.openxmlformats.org/drawingml/2006/chart">
  <cdr:relSizeAnchor xmlns:cdr="http://schemas.openxmlformats.org/drawingml/2006/chartDrawing">
    <cdr:from>
      <cdr:x>0.0229</cdr:x>
      <cdr:y>0</cdr:y>
    </cdr:from>
    <cdr:to>
      <cdr:x>1</cdr:x>
      <cdr:y>0.14806</cdr:y>
    </cdr:to>
    <cdr:sp macro="" textlink="">
      <cdr:nvSpPr>
        <cdr:cNvPr id="2" name="TextBox 1"/>
        <cdr:cNvSpPr txBox="1"/>
      </cdr:nvSpPr>
      <cdr:spPr>
        <a:xfrm xmlns:a="http://schemas.openxmlformats.org/drawingml/2006/main">
          <a:off x="165100" y="0"/>
          <a:ext cx="7045325" cy="49923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US" sz="1050" b="1" i="0" baseline="0">
              <a:effectLst/>
              <a:latin typeface="Consolas" pitchFamily="49" charset="0"/>
              <a:ea typeface="+mn-ea"/>
              <a:cs typeface="Consolas" pitchFamily="49" charset="0"/>
            </a:rPr>
            <a:t>Figure 18.7: Percentage share of beneficiaries of retirement pension scheme by </a:t>
          </a:r>
          <a:r>
            <a:rPr lang="en-US" sz="1100" b="1" i="0">
              <a:effectLst/>
              <a:latin typeface="+mn-lt"/>
              <a:ea typeface="+mn-ea"/>
              <a:cs typeface="+mn-cs"/>
            </a:rPr>
            <a:t>age group</a:t>
          </a:r>
          <a:r>
            <a:rPr lang="en-US" sz="1050" b="1" i="0" baseline="0">
              <a:effectLst/>
              <a:latin typeface="Consolas" pitchFamily="49" charset="0"/>
              <a:ea typeface="+mn-ea"/>
              <a:cs typeface="Consolas" pitchFamily="49" charset="0"/>
            </a:rPr>
            <a:t>, 2018</a:t>
          </a:r>
          <a:endParaRPr lang="en-US" sz="1050">
            <a:effectLst/>
            <a:latin typeface="Consolas" pitchFamily="49" charset="0"/>
            <a:cs typeface="Consolas" pitchFamily="49" charset="0"/>
          </a:endParaRPr>
        </a:p>
      </cdr:txBody>
    </cdr:sp>
  </cdr:relSizeAnchor>
</c:userShapes>
</file>

<file path=xl/drawings/drawing7.xml><?xml version="1.0" encoding="utf-8"?>
<xdr:wsDr xmlns:xdr="http://schemas.openxmlformats.org/drawingml/2006/spreadsheetDrawing" xmlns:a="http://schemas.openxmlformats.org/drawingml/2006/main">
  <xdr:oneCellAnchor>
    <xdr:from>
      <xdr:col>19</xdr:col>
      <xdr:colOff>304799</xdr:colOff>
      <xdr:row>19</xdr:row>
      <xdr:rowOff>66675</xdr:rowOff>
    </xdr:from>
    <xdr:ext cx="7229476" cy="3038475"/>
    <xdr:graphicFrame macro="">
      <xdr:nvGraphicFramePr>
        <xdr:cNvPr id="9"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c:userShapes xmlns:c="http://schemas.openxmlformats.org/drawingml/2006/chart">
  <cdr:relSizeAnchor xmlns:cdr="http://schemas.openxmlformats.org/drawingml/2006/chartDrawing">
    <cdr:from>
      <cdr:x>0</cdr:x>
      <cdr:y>0.01939</cdr:y>
    </cdr:from>
    <cdr:to>
      <cdr:x>1</cdr:x>
      <cdr:y>0.17241</cdr:y>
    </cdr:to>
    <cdr:sp macro="" textlink="">
      <cdr:nvSpPr>
        <cdr:cNvPr id="2" name="TextBox 1"/>
        <cdr:cNvSpPr txBox="1"/>
      </cdr:nvSpPr>
      <cdr:spPr>
        <a:xfrm xmlns:a="http://schemas.openxmlformats.org/drawingml/2006/main">
          <a:off x="0" y="58928"/>
          <a:ext cx="7229476" cy="46494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18.8: Percentage share of beneficiaries of other pension scheme by </a:t>
          </a:r>
          <a:r>
            <a:rPr lang="en-US" sz="1100" b="1" i="0">
              <a:effectLst/>
              <a:latin typeface="Consolas" pitchFamily="49" charset="0"/>
              <a:ea typeface="+mn-ea"/>
              <a:cs typeface="Consolas" pitchFamily="49" charset="0"/>
            </a:rPr>
            <a:t>age group</a:t>
          </a:r>
          <a:r>
            <a:rPr lang="en-US" sz="1100" b="1" i="0" baseline="0">
              <a:effectLst/>
              <a:latin typeface="Consolas" pitchFamily="49" charset="0"/>
              <a:ea typeface="+mn-ea"/>
              <a:cs typeface="Consolas" pitchFamily="49" charset="0"/>
            </a:rPr>
            <a:t>, 2018</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oneCellAnchor>
    <xdr:from>
      <xdr:col>5</xdr:col>
      <xdr:colOff>119063</xdr:colOff>
      <xdr:row>21</xdr:row>
      <xdr:rowOff>80962</xdr:rowOff>
    </xdr:from>
    <xdr:ext cx="7493000" cy="3448050"/>
    <xdr:graphicFrame macro="">
      <xdr:nvGraphicFramePr>
        <xdr:cNvPr id="10"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5</xdr:col>
      <xdr:colOff>152400</xdr:colOff>
      <xdr:row>23</xdr:row>
      <xdr:rowOff>0</xdr:rowOff>
    </xdr:from>
    <xdr:to>
      <xdr:col>12</xdr:col>
      <xdr:colOff>658869</xdr:colOff>
      <xdr:row>24</xdr:row>
      <xdr:rowOff>152400</xdr:rowOff>
    </xdr:to>
    <xdr:sp macro="" textlink="">
      <xdr:nvSpPr>
        <xdr:cNvPr id="5" name="TextBox 1"/>
        <xdr:cNvSpPr txBox="1"/>
      </xdr:nvSpPr>
      <xdr:spPr>
        <a:xfrm>
          <a:off x="752475" y="5391150"/>
          <a:ext cx="6973944" cy="219075"/>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effectLst/>
              <a:latin typeface="Consolas" pitchFamily="49" charset="0"/>
              <a:ea typeface="+mn-ea"/>
              <a:cs typeface="Consolas" pitchFamily="49" charset="0"/>
            </a:rPr>
            <a:t>Figure 18.9: Percentage share of beneficiaries of senior citizen allowance by </a:t>
          </a:r>
          <a:r>
            <a:rPr lang="en-US" sz="1100" b="1" i="0">
              <a:effectLst/>
              <a:latin typeface="+mn-lt"/>
              <a:ea typeface="+mn-ea"/>
              <a:cs typeface="+mn-cs"/>
            </a:rPr>
            <a:t>age group</a:t>
          </a:r>
          <a:r>
            <a:rPr lang="en-US" sz="1050" b="1" i="0" baseline="0">
              <a:effectLst/>
              <a:latin typeface="Consolas" pitchFamily="49" charset="0"/>
              <a:ea typeface="+mn-ea"/>
              <a:cs typeface="Consolas" pitchFamily="49" charset="0"/>
            </a:rPr>
            <a:t>, </a:t>
          </a:r>
          <a:r>
            <a:rPr lang="en-US" sz="1100" b="1" i="0" baseline="0">
              <a:effectLst/>
              <a:latin typeface="+mn-lt"/>
              <a:ea typeface="+mn-ea"/>
              <a:cs typeface="+mn-cs"/>
            </a:rPr>
            <a:t>2018</a:t>
          </a:r>
          <a:endParaRPr lang="en-US">
            <a:effectLst/>
          </a:endParaRP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482600</xdr:colOff>
      <xdr:row>12</xdr:row>
      <xdr:rowOff>111125</xdr:rowOff>
    </xdr:from>
    <xdr:ext cx="6124575" cy="3038475"/>
    <xdr:graphicFrame macro="">
      <xdr:nvGraphicFramePr>
        <xdr:cNvPr id="11"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1057275</xdr:colOff>
      <xdr:row>13</xdr:row>
      <xdr:rowOff>104775</xdr:rowOff>
    </xdr:from>
    <xdr:ext cx="4933950" cy="447675"/>
    <xdr:sp macro="" textlink="">
      <xdr:nvSpPr>
        <xdr:cNvPr id="15" name="Shape 15"/>
        <xdr:cNvSpPr txBox="1"/>
      </xdr:nvSpPr>
      <xdr:spPr>
        <a:xfrm>
          <a:off x="1057275" y="3486150"/>
          <a:ext cx="4933950" cy="4476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onsolas"/>
              <a:ea typeface="Consolas"/>
              <a:cs typeface="Consolas"/>
              <a:sym typeface="Consolas"/>
            </a:rPr>
            <a:t>Figure 18.10: Percentage of beneficiaries under different pension schemes by age-groups, end 2018</a:t>
          </a:r>
          <a:endParaRPr sz="1400"/>
        </a:p>
        <a:p>
          <a:pPr marL="0" lvl="0" indent="0" algn="l" rtl="0">
            <a:spcBef>
              <a:spcPts val="0"/>
            </a:spcBef>
            <a:spcAft>
              <a:spcPts val="0"/>
            </a:spcAft>
            <a:buSzPts val="1100"/>
            <a:buFont typeface="Arial"/>
            <a:buNone/>
          </a:pP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38100</xdr:colOff>
      <xdr:row>12</xdr:row>
      <xdr:rowOff>114300</xdr:rowOff>
    </xdr:from>
    <xdr:ext cx="7705725" cy="3000375"/>
    <xdr:graphicFrame macro="">
      <xdr:nvGraphicFramePr>
        <xdr:cNvPr id="12"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0</xdr:col>
      <xdr:colOff>657225</xdr:colOff>
      <xdr:row>13</xdr:row>
      <xdr:rowOff>142875</xdr:rowOff>
    </xdr:from>
    <xdr:to>
      <xdr:col>9</xdr:col>
      <xdr:colOff>1571625</xdr:colOff>
      <xdr:row>15</xdr:row>
      <xdr:rowOff>19050</xdr:rowOff>
    </xdr:to>
    <xdr:sp macro="" textlink="">
      <xdr:nvSpPr>
        <xdr:cNvPr id="5" name="TextBox 1"/>
        <xdr:cNvSpPr txBox="1"/>
      </xdr:nvSpPr>
      <xdr:spPr>
        <a:xfrm>
          <a:off x="657225" y="3152775"/>
          <a:ext cx="7067550" cy="25717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defTabSz="914400" rtl="0" eaLnBrk="1" fontAlgn="auto" latinLnBrk="0" hangingPunct="1">
            <a:lnSpc>
              <a:spcPct val="100000"/>
            </a:lnSpc>
            <a:spcBef>
              <a:spcPts val="0"/>
            </a:spcBef>
            <a:spcAft>
              <a:spcPts val="0"/>
            </a:spcAft>
            <a:buClrTx/>
            <a:buSzTx/>
            <a:buFontTx/>
            <a:buNone/>
            <a:tabLst/>
            <a:defRPr/>
          </a:pPr>
          <a:r>
            <a:rPr lang="en-US" sz="1050" b="1" i="0" baseline="0">
              <a:effectLst/>
              <a:latin typeface="Consolas" pitchFamily="49" charset="0"/>
              <a:ea typeface="+mn-ea"/>
              <a:cs typeface="Consolas" pitchFamily="49" charset="0"/>
            </a:rPr>
            <a:t>Figure: 18.11 Number of persons contributing to retirement pension scheme by sex, 2014 - 2018</a:t>
          </a:r>
          <a:endParaRPr lang="en-US" sz="1050">
            <a:effectLst/>
            <a:latin typeface="Consolas" pitchFamily="49" charset="0"/>
            <a:cs typeface="Consolas" pitchFamily="49" charset="0"/>
          </a:endParaRP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523875</xdr:colOff>
      <xdr:row>32</xdr:row>
      <xdr:rowOff>95250</xdr:rowOff>
    </xdr:from>
    <xdr:ext cx="6505575" cy="2857500"/>
    <xdr:graphicFrame macro="">
      <xdr:nvGraphicFramePr>
        <xdr:cNvPr id="14"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504825</xdr:colOff>
      <xdr:row>47</xdr:row>
      <xdr:rowOff>152400</xdr:rowOff>
    </xdr:from>
    <xdr:ext cx="6496050" cy="2943225"/>
    <xdr:graphicFrame macro="">
      <xdr:nvGraphicFramePr>
        <xdr:cNvPr id="15"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685800</xdr:colOff>
      <xdr:row>33</xdr:row>
      <xdr:rowOff>152400</xdr:rowOff>
    </xdr:from>
    <xdr:ext cx="6229350" cy="266700"/>
    <xdr:sp macro="" textlink="">
      <xdr:nvSpPr>
        <xdr:cNvPr id="18" name="Shape 18"/>
        <xdr:cNvSpPr txBox="1"/>
      </xdr:nvSpPr>
      <xdr:spPr>
        <a:xfrm>
          <a:off x="685800" y="8039100"/>
          <a:ext cx="6229350" cy="2667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Figure 18.13: Percentage share of females contributing to retirement pension scheme by sector, 2018</a:t>
          </a:r>
          <a:endParaRPr sz="1100"/>
        </a:p>
        <a:p>
          <a:pPr marL="0" lvl="0" indent="0" algn="ctr" rtl="0">
            <a:spcBef>
              <a:spcPts val="0"/>
            </a:spcBef>
            <a:spcAft>
              <a:spcPts val="0"/>
            </a:spcAft>
            <a:buNone/>
          </a:pPr>
          <a:endParaRPr sz="1100"/>
        </a:p>
      </xdr:txBody>
    </xdr:sp>
    <xdr:clientData fLocksWithSheet="0"/>
  </xdr:oneCellAnchor>
  <xdr:oneCellAnchor>
    <xdr:from>
      <xdr:col>0</xdr:col>
      <xdr:colOff>647700</xdr:colOff>
      <xdr:row>48</xdr:row>
      <xdr:rowOff>76200</xdr:rowOff>
    </xdr:from>
    <xdr:ext cx="6362700" cy="285750"/>
    <xdr:sp macro="" textlink="">
      <xdr:nvSpPr>
        <xdr:cNvPr id="19" name="Shape 19"/>
        <xdr:cNvSpPr txBox="1"/>
      </xdr:nvSpPr>
      <xdr:spPr>
        <a:xfrm>
          <a:off x="2169413" y="3641888"/>
          <a:ext cx="6353175" cy="2762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Figure 18.14: Percentage share of  employees  contributing to the retirement pension scheme by sex, 2018</a:t>
          </a:r>
          <a:endParaRPr sz="1100"/>
        </a:p>
        <a:p>
          <a:pPr marL="0" lvl="0" indent="0" algn="ctr" rtl="0">
            <a:spcBef>
              <a:spcPts val="0"/>
            </a:spcBef>
            <a:spcAft>
              <a:spcPts val="0"/>
            </a:spcAft>
            <a:buNone/>
          </a:pPr>
          <a:endParaRPr sz="1100"/>
        </a:p>
      </xdr:txBody>
    </xdr:sp>
    <xdr:clientData fLocksWithSheet="0"/>
  </xdr:oneCellAnchor>
  <xdr:twoCellAnchor>
    <xdr:from>
      <xdr:col>0</xdr:col>
      <xdr:colOff>371475</xdr:colOff>
      <xdr:row>16</xdr:row>
      <xdr:rowOff>142875</xdr:rowOff>
    </xdr:from>
    <xdr:to>
      <xdr:col>9</xdr:col>
      <xdr:colOff>266700</xdr:colOff>
      <xdr:row>30</xdr:row>
      <xdr:rowOff>104775</xdr:rowOff>
    </xdr:to>
    <xdr:graphicFrame macro="">
      <xdr:nvGraphicFramePr>
        <xdr:cNvPr id="16"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drawings/drawing13.xml><?xml version="1.0" encoding="utf-8"?>
<c:userShapes xmlns:c="http://schemas.openxmlformats.org/drawingml/2006/chart">
  <cdr:relSizeAnchor xmlns:cdr="http://schemas.openxmlformats.org/drawingml/2006/chartDrawing">
    <cdr:from>
      <cdr:x>0.10472</cdr:x>
      <cdr:y>0.01494</cdr:y>
    </cdr:from>
    <cdr:to>
      <cdr:x>0.97788</cdr:x>
      <cdr:y>0.185</cdr:y>
    </cdr:to>
    <cdr:sp macro="" textlink="">
      <cdr:nvSpPr>
        <cdr:cNvPr id="3" name="TextBox 2"/>
        <cdr:cNvSpPr txBox="1"/>
      </cdr:nvSpPr>
      <cdr:spPr>
        <a:xfrm xmlns:a="http://schemas.openxmlformats.org/drawingml/2006/main">
          <a:off x="676275" y="40699"/>
          <a:ext cx="5638800" cy="4632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Figure 18.12: Number of persons contributing to retirement pension scheme by sex and sector, 2018</a:t>
          </a:r>
          <a:endParaRPr lang="en-US">
            <a:effectLst/>
          </a:endParaRPr>
        </a:p>
        <a:p xmlns:a="http://schemas.openxmlformats.org/drawingml/2006/main">
          <a:pPr algn="ctr"/>
          <a:endParaRPr lang="en-US" sz="1100"/>
        </a:p>
      </cdr:txBody>
    </cdr:sp>
  </cdr:relSizeAnchor>
</c:userShapes>
</file>

<file path=xl/drawings/drawing14.xml><?xml version="1.0" encoding="utf-8"?>
<xdr:wsDr xmlns:xdr="http://schemas.openxmlformats.org/drawingml/2006/spreadsheetDrawing" xmlns:a="http://schemas.openxmlformats.org/drawingml/2006/main">
  <xdr:oneCellAnchor>
    <xdr:from>
      <xdr:col>0</xdr:col>
      <xdr:colOff>1381125</xdr:colOff>
      <xdr:row>33</xdr:row>
      <xdr:rowOff>76200</xdr:rowOff>
    </xdr:from>
    <xdr:ext cx="7153275" cy="2933700"/>
    <xdr:graphicFrame macro="">
      <xdr:nvGraphicFramePr>
        <xdr:cNvPr id="16"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1400175</xdr:colOff>
      <xdr:row>49</xdr:row>
      <xdr:rowOff>19050</xdr:rowOff>
    </xdr:from>
    <xdr:ext cx="6943725" cy="4152900"/>
    <xdr:graphicFrame macro="">
      <xdr:nvGraphicFramePr>
        <xdr:cNvPr id="17"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1364034</xdr:colOff>
      <xdr:row>54</xdr:row>
      <xdr:rowOff>48248</xdr:rowOff>
    </xdr:from>
    <xdr:ext cx="190500" cy="828675"/>
    <xdr:sp macro="" textlink="">
      <xdr:nvSpPr>
        <xdr:cNvPr id="23" name="Shape 23"/>
        <xdr:cNvSpPr txBox="1"/>
      </xdr:nvSpPr>
      <xdr:spPr>
        <a:xfrm rot="-5400000">
          <a:off x="1044946" y="13154871"/>
          <a:ext cx="8286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in numbers</a:t>
          </a:r>
          <a:endParaRPr sz="1400"/>
        </a:p>
      </xdr:txBody>
    </xdr:sp>
    <xdr:clientData fLocksWithSheet="0"/>
  </xdr:oneCellAnchor>
  <xdr:oneCellAnchor>
    <xdr:from>
      <xdr:col>1</xdr:col>
      <xdr:colOff>0</xdr:colOff>
      <xdr:row>34</xdr:row>
      <xdr:rowOff>0</xdr:rowOff>
    </xdr:from>
    <xdr:ext cx="5829300" cy="495300"/>
    <xdr:sp macro="" textlink="">
      <xdr:nvSpPr>
        <xdr:cNvPr id="24" name="Shape 24"/>
        <xdr:cNvSpPr txBox="1"/>
      </xdr:nvSpPr>
      <xdr:spPr>
        <a:xfrm>
          <a:off x="2431350" y="3537113"/>
          <a:ext cx="5829300" cy="4857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onsolas"/>
            <a:buNone/>
          </a:pPr>
          <a:r>
            <a:rPr lang="en-US" sz="1100" b="1" i="0">
              <a:solidFill>
                <a:schemeClr val="dk1"/>
              </a:solidFill>
              <a:latin typeface="Consolas"/>
              <a:ea typeface="Consolas"/>
              <a:cs typeface="Consolas"/>
              <a:sym typeface="Consolas"/>
            </a:rPr>
            <a:t>Figure 18.15: Establishments registered in the retirement pension scheme, by employment size, 2018 </a:t>
          </a:r>
          <a:endParaRPr sz="1100">
            <a:latin typeface="Consolas"/>
            <a:ea typeface="Consolas"/>
            <a:cs typeface="Consolas"/>
            <a:sym typeface="Consolas"/>
          </a:endParaRPr>
        </a:p>
        <a:p>
          <a:pPr marL="0" lvl="0" indent="0" algn="l" rtl="0">
            <a:spcBef>
              <a:spcPts val="0"/>
            </a:spcBef>
            <a:spcAft>
              <a:spcPts val="0"/>
            </a:spcAft>
            <a:buNone/>
          </a:pPr>
          <a:endParaRPr sz="1100"/>
        </a:p>
      </xdr:txBody>
    </xdr:sp>
    <xdr:clientData fLocksWithSheet="0"/>
  </xdr:oneCellAnchor>
  <xdr:oneCellAnchor>
    <xdr:from>
      <xdr:col>0</xdr:col>
      <xdr:colOff>1695450</xdr:colOff>
      <xdr:row>50</xdr:row>
      <xdr:rowOff>66675</xdr:rowOff>
    </xdr:from>
    <xdr:ext cx="6353175" cy="390525"/>
    <xdr:sp macro="" textlink="">
      <xdr:nvSpPr>
        <xdr:cNvPr id="27" name="Shape 27"/>
        <xdr:cNvSpPr txBox="1"/>
      </xdr:nvSpPr>
      <xdr:spPr>
        <a:xfrm>
          <a:off x="1695450" y="12039600"/>
          <a:ext cx="6353175" cy="3905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onsolas"/>
            <a:buNone/>
          </a:pPr>
          <a:r>
            <a:rPr lang="en-US" sz="1100" b="1" i="0">
              <a:solidFill>
                <a:schemeClr val="dk1"/>
              </a:solidFill>
              <a:latin typeface="Consolas"/>
              <a:ea typeface="Consolas"/>
              <a:cs typeface="Consolas"/>
              <a:sym typeface="Consolas"/>
            </a:rPr>
            <a:t>Figure 18.16: Number of registered establishments in the retirement pension scheme  by sector,</a:t>
          </a:r>
          <a:r>
            <a:rPr lang="en-US" sz="1100" b="1" i="0" baseline="0">
              <a:solidFill>
                <a:schemeClr val="dk1"/>
              </a:solidFill>
              <a:latin typeface="Consolas"/>
              <a:ea typeface="Consolas"/>
              <a:cs typeface="Consolas"/>
              <a:sym typeface="Consolas"/>
            </a:rPr>
            <a:t> </a:t>
          </a:r>
          <a:r>
            <a:rPr lang="en-US" sz="1100" b="1" i="0">
              <a:solidFill>
                <a:schemeClr val="dk1"/>
              </a:solidFill>
              <a:latin typeface="Consolas"/>
              <a:ea typeface="Consolas"/>
              <a:cs typeface="Consolas"/>
              <a:sym typeface="Consolas"/>
            </a:rPr>
            <a:t>2018</a:t>
          </a:r>
          <a:endParaRPr sz="1100">
            <a:latin typeface="Consolas"/>
            <a:ea typeface="Consolas"/>
            <a:cs typeface="Consolas"/>
            <a:sym typeface="Consolas"/>
          </a:endParaRPr>
        </a:p>
        <a:p>
          <a:pPr marL="0" lvl="0" indent="0" algn="l" rtl="0">
            <a:spcBef>
              <a:spcPts val="0"/>
            </a:spcBef>
            <a:spcAft>
              <a:spcPts val="0"/>
            </a:spcAft>
            <a:buNone/>
          </a:pPr>
          <a:endParaRPr sz="1100">
            <a:latin typeface="Consolas"/>
            <a:ea typeface="Consolas"/>
            <a:cs typeface="Consolas"/>
            <a:sym typeface="Consolas"/>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1047750</xdr:colOff>
      <xdr:row>33</xdr:row>
      <xdr:rowOff>85725</xdr:rowOff>
    </xdr:from>
    <xdr:ext cx="7905750" cy="3457575"/>
    <xdr:graphicFrame macro="">
      <xdr:nvGraphicFramePr>
        <xdr:cNvPr id="18"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6.xml><?xml version="1.0" encoding="utf-8"?>
<c:userShapes xmlns:c="http://schemas.openxmlformats.org/drawingml/2006/chart">
  <cdr:relSizeAnchor xmlns:cdr="http://schemas.openxmlformats.org/drawingml/2006/chartDrawing">
    <cdr:from>
      <cdr:x>0.0253</cdr:x>
      <cdr:y>0.06703</cdr:y>
    </cdr:from>
    <cdr:to>
      <cdr:x>0.9494</cdr:x>
      <cdr:y>0.23322</cdr:y>
    </cdr:to>
    <cdr:sp macro="" textlink="">
      <cdr:nvSpPr>
        <cdr:cNvPr id="2" name="TextBox 1"/>
        <cdr:cNvSpPr txBox="1"/>
      </cdr:nvSpPr>
      <cdr:spPr>
        <a:xfrm xmlns:a="http://schemas.openxmlformats.org/drawingml/2006/main">
          <a:off x="200025" y="231775"/>
          <a:ext cx="7305675" cy="57460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18.17: Employees registered in the retirement pension scheme, </a:t>
          </a:r>
        </a:p>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by employment size, 2018 </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17.xml><?xml version="1.0" encoding="utf-8"?>
<xdr:wsDr xmlns:xdr="http://schemas.openxmlformats.org/drawingml/2006/spreadsheetDrawing" xmlns:a="http://schemas.openxmlformats.org/drawingml/2006/main">
  <xdr:oneCellAnchor>
    <xdr:from>
      <xdr:col>0</xdr:col>
      <xdr:colOff>66675</xdr:colOff>
      <xdr:row>34</xdr:row>
      <xdr:rowOff>200024</xdr:rowOff>
    </xdr:from>
    <xdr:ext cx="9267825" cy="4086225"/>
    <xdr:graphicFrame macro="">
      <xdr:nvGraphicFramePr>
        <xdr:cNvPr id="19"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1914526</xdr:colOff>
      <xdr:row>35</xdr:row>
      <xdr:rowOff>180975</xdr:rowOff>
    </xdr:from>
    <xdr:ext cx="6705600" cy="390525"/>
    <xdr:sp macro="" textlink="">
      <xdr:nvSpPr>
        <xdr:cNvPr id="29" name="Shape 29"/>
        <xdr:cNvSpPr txBox="1"/>
      </xdr:nvSpPr>
      <xdr:spPr>
        <a:xfrm>
          <a:off x="1914526" y="9153525"/>
          <a:ext cx="6705600" cy="390525"/>
        </a:xfrm>
        <a:prstGeom prst="rect">
          <a:avLst/>
        </a:prstGeom>
        <a:solidFill>
          <a:schemeClr val="lt1"/>
        </a:solid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Figure 18.18: Percentage distribution of employees registered  in the retirement pension scheme by sector, 2018</a:t>
          </a:r>
          <a:endParaRPr sz="11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104775</xdr:colOff>
      <xdr:row>38</xdr:row>
      <xdr:rowOff>133350</xdr:rowOff>
    </xdr:from>
    <xdr:ext cx="209550" cy="942975"/>
    <xdr:sp macro="" textlink="">
      <xdr:nvSpPr>
        <xdr:cNvPr id="30" name="Shape 30"/>
        <xdr:cNvSpPr txBox="1"/>
      </xdr:nvSpPr>
      <xdr:spPr>
        <a:xfrm rot="-5400000">
          <a:off x="4879275" y="3679988"/>
          <a:ext cx="933450" cy="2000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Percentage</a:t>
          </a:r>
          <a:endParaRPr sz="14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400050</xdr:colOff>
      <xdr:row>20</xdr:row>
      <xdr:rowOff>38100</xdr:rowOff>
    </xdr:from>
    <xdr:ext cx="8715375" cy="3476625"/>
    <xdr:graphicFrame macro="">
      <xdr:nvGraphicFramePr>
        <xdr:cNvPr id="20"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dr:twoCellAnchor>
    <xdr:from>
      <xdr:col>1</xdr:col>
      <xdr:colOff>3108</xdr:colOff>
      <xdr:row>33</xdr:row>
      <xdr:rowOff>57149</xdr:rowOff>
    </xdr:from>
    <xdr:to>
      <xdr:col>8</xdr:col>
      <xdr:colOff>826147</xdr:colOff>
      <xdr:row>49</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0.00756</cdr:x>
      <cdr:y>0.11247</cdr:y>
    </cdr:from>
    <cdr:to>
      <cdr:x>0.17128</cdr:x>
      <cdr:y>0.17514</cdr:y>
    </cdr:to>
    <cdr:sp macro="" textlink="">
      <cdr:nvSpPr>
        <cdr:cNvPr id="2" name="TextBox 1"/>
        <cdr:cNvSpPr txBox="1"/>
      </cdr:nvSpPr>
      <cdr:spPr>
        <a:xfrm xmlns:a="http://schemas.openxmlformats.org/drawingml/2006/main">
          <a:off x="57149" y="379220"/>
          <a:ext cx="1238251" cy="2113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Number of persons</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371475</xdr:colOff>
      <xdr:row>20</xdr:row>
      <xdr:rowOff>66674</xdr:rowOff>
    </xdr:from>
    <xdr:to>
      <xdr:col>8</xdr:col>
      <xdr:colOff>419100</xdr:colOff>
      <xdr:row>34</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21</xdr:row>
      <xdr:rowOff>123825</xdr:rowOff>
    </xdr:from>
    <xdr:to>
      <xdr:col>7</xdr:col>
      <xdr:colOff>409576</xdr:colOff>
      <xdr:row>21</xdr:row>
      <xdr:rowOff>123825</xdr:rowOff>
    </xdr:to>
    <xdr:sp macro="" textlink="">
      <xdr:nvSpPr>
        <xdr:cNvPr id="3" name="Line 4"/>
        <xdr:cNvSpPr>
          <a:spLocks noChangeShapeType="1"/>
        </xdr:cNvSpPr>
      </xdr:nvSpPr>
      <xdr:spPr bwMode="auto">
        <a:xfrm>
          <a:off x="3152775" y="5476875"/>
          <a:ext cx="5019676" cy="0"/>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twoCellAnchor>
    <xdr:from>
      <xdr:col>1</xdr:col>
      <xdr:colOff>1000125</xdr:colOff>
      <xdr:row>20</xdr:row>
      <xdr:rowOff>180975</xdr:rowOff>
    </xdr:from>
    <xdr:to>
      <xdr:col>7</xdr:col>
      <xdr:colOff>819150</xdr:colOff>
      <xdr:row>21</xdr:row>
      <xdr:rowOff>200025</xdr:rowOff>
    </xdr:to>
    <xdr:sp macro="" textlink="">
      <xdr:nvSpPr>
        <xdr:cNvPr id="4" name="TextBox 3"/>
        <xdr:cNvSpPr txBox="1"/>
      </xdr:nvSpPr>
      <xdr:spPr>
        <a:xfrm>
          <a:off x="1724025" y="5314950"/>
          <a:ext cx="68580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Figure 18.21:  GOVERNMENT EXPENDITURE ON  DIFFERENT SOCIAL PROTECTION SCHEMES BY TYPE,  2016  -  2018</a:t>
          </a:r>
          <a:endParaRPr lang="en-US">
            <a:effectLst/>
          </a:endParaRP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542925</xdr:colOff>
      <xdr:row>27</xdr:row>
      <xdr:rowOff>80011</xdr:rowOff>
    </xdr:from>
    <xdr:to>
      <xdr:col>7</xdr:col>
      <xdr:colOff>504824</xdr:colOff>
      <xdr:row>40</xdr:row>
      <xdr:rowOff>81915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533400</xdr:colOff>
      <xdr:row>13</xdr:row>
      <xdr:rowOff>123825</xdr:rowOff>
    </xdr:from>
    <xdr:to>
      <xdr:col>7</xdr:col>
      <xdr:colOff>628650</xdr:colOff>
      <xdr:row>25</xdr:row>
      <xdr:rowOff>161925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733426</xdr:colOff>
      <xdr:row>27</xdr:row>
      <xdr:rowOff>180976</xdr:rowOff>
    </xdr:from>
    <xdr:to>
      <xdr:col>7</xdr:col>
      <xdr:colOff>419100</xdr:colOff>
      <xdr:row>28</xdr:row>
      <xdr:rowOff>190501</xdr:rowOff>
    </xdr:to>
    <xdr:sp macro="" textlink="">
      <xdr:nvSpPr>
        <xdr:cNvPr id="4" name="TextBox 3"/>
        <xdr:cNvSpPr txBox="1"/>
      </xdr:nvSpPr>
      <xdr:spPr>
        <a:xfrm>
          <a:off x="1514476" y="6905626"/>
          <a:ext cx="5686424" cy="2476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Candara" pitchFamily="34" charset="0"/>
              <a:ea typeface="+mn-ea"/>
              <a:cs typeface="+mn-cs"/>
            </a:rPr>
            <a:t>Figure 18.23: Percentage share of Aasandha Expenditure for Overseas, Male' &amp; Atolls, 2018</a:t>
          </a:r>
          <a:endParaRPr lang="en-US" sz="1100" b="1">
            <a:latin typeface="Candara" pitchFamily="34" charset="0"/>
          </a:endParaRPr>
        </a:p>
      </xdr:txBody>
    </xdr:sp>
    <xdr:clientData/>
  </xdr:twoCellAnchor>
</xdr:wsDr>
</file>

<file path=xl/drawings/drawing23.xml><?xml version="1.0" encoding="utf-8"?>
<c:userShapes xmlns:c="http://schemas.openxmlformats.org/drawingml/2006/chart">
  <cdr:relSizeAnchor xmlns:cdr="http://schemas.openxmlformats.org/drawingml/2006/chartDrawing">
    <cdr:from>
      <cdr:x>0.20312</cdr:x>
      <cdr:y>0.03125</cdr:y>
    </cdr:from>
    <cdr:to>
      <cdr:x>0.84688</cdr:x>
      <cdr:y>0.13194</cdr:y>
    </cdr:to>
    <cdr:sp macro="" textlink="">
      <cdr:nvSpPr>
        <cdr:cNvPr id="2" name="TextBox 1"/>
        <cdr:cNvSpPr txBox="1"/>
      </cdr:nvSpPr>
      <cdr:spPr>
        <a:xfrm xmlns:a="http://schemas.openxmlformats.org/drawingml/2006/main">
          <a:off x="1238249" y="85725"/>
          <a:ext cx="3924301"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andara" pitchFamily="34" charset="0"/>
              <a:ea typeface="+mn-ea"/>
              <a:cs typeface="+mn-cs"/>
            </a:rPr>
            <a:t>Figure 18.22:  Expenditure on Aasandha by locality, 2016 - 2018</a:t>
          </a:r>
          <a:endParaRPr lang="en-US">
            <a:effectLst/>
            <a:latin typeface="Candara" pitchFamily="34" charset="0"/>
          </a:endParaRPr>
        </a:p>
        <a:p xmlns:a="http://schemas.openxmlformats.org/drawingml/2006/main">
          <a:endParaRPr lang="en-US" sz="1100"/>
        </a:p>
      </cdr:txBody>
    </cdr:sp>
  </cdr:relSizeAnchor>
</c:userShapes>
</file>

<file path=xl/drawings/drawing24.xml><?xml version="1.0" encoding="utf-8"?>
<xdr:wsDr xmlns:xdr="http://schemas.openxmlformats.org/drawingml/2006/spreadsheetDrawing" xmlns:a="http://schemas.openxmlformats.org/drawingml/2006/main">
  <xdr:twoCellAnchor>
    <xdr:from>
      <xdr:col>0</xdr:col>
      <xdr:colOff>1712613</xdr:colOff>
      <xdr:row>31</xdr:row>
      <xdr:rowOff>173883</xdr:rowOff>
    </xdr:from>
    <xdr:to>
      <xdr:col>7</xdr:col>
      <xdr:colOff>912608</xdr:colOff>
      <xdr:row>47</xdr:row>
      <xdr:rowOff>118165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1095375</xdr:colOff>
      <xdr:row>31</xdr:row>
      <xdr:rowOff>71120</xdr:rowOff>
    </xdr:from>
    <xdr:to>
      <xdr:col>8</xdr:col>
      <xdr:colOff>590550</xdr:colOff>
      <xdr:row>49</xdr:row>
      <xdr:rowOff>130175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0.01505</cdr:x>
      <cdr:y>0.03905</cdr:y>
    </cdr:from>
    <cdr:to>
      <cdr:x>0.07558</cdr:x>
      <cdr:y>0.09584</cdr:y>
    </cdr:to>
    <cdr:sp macro="" textlink="">
      <cdr:nvSpPr>
        <cdr:cNvPr id="2" name="TextBox 1"/>
        <cdr:cNvSpPr txBox="1"/>
      </cdr:nvSpPr>
      <cdr:spPr>
        <a:xfrm xmlns:a="http://schemas.openxmlformats.org/drawingml/2006/main">
          <a:off x="157428" y="138431"/>
          <a:ext cx="633147" cy="2013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800" b="1"/>
            <a:t>MVR</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stat%20year%20book%202018%20aasandha%20-%202.7.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6"/>
      <sheetName val="18.17"/>
      <sheetName val="18.18"/>
      <sheetName val="18.19"/>
      <sheetName val="18.20"/>
      <sheetName val="18.21"/>
      <sheetName val="18.22"/>
      <sheetName val="18.23"/>
    </sheetNames>
    <sheetDataSet>
      <sheetData sheetId="0"/>
      <sheetData sheetId="1"/>
      <sheetData sheetId="2"/>
      <sheetData sheetId="3">
        <row r="7">
          <cell r="A7" t="str">
            <v xml:space="preserve">Male' </v>
          </cell>
          <cell r="B7">
            <v>1255240833.9584999</v>
          </cell>
        </row>
        <row r="8">
          <cell r="A8" t="str">
            <v>Atolls</v>
          </cell>
          <cell r="B8">
            <v>642497891.10289991</v>
          </cell>
        </row>
        <row r="9">
          <cell r="A9" t="str">
            <v>Overseas</v>
          </cell>
          <cell r="B9">
            <v>266933716</v>
          </cell>
        </row>
        <row r="11">
          <cell r="O11">
            <v>2014</v>
          </cell>
          <cell r="P11">
            <v>2015</v>
          </cell>
          <cell r="Q11">
            <v>2016</v>
          </cell>
          <cell r="R11">
            <v>2017</v>
          </cell>
        </row>
        <row r="12">
          <cell r="N12" t="str">
            <v>Republic</v>
          </cell>
          <cell r="O12">
            <v>1063054680.1288999</v>
          </cell>
          <cell r="P12">
            <v>1400609841.8314998</v>
          </cell>
          <cell r="Q12">
            <v>1675199187.0308001</v>
          </cell>
          <cell r="R12">
            <v>2164672441.0613999</v>
          </cell>
        </row>
        <row r="13">
          <cell r="N13" t="str">
            <v xml:space="preserve">Male' </v>
          </cell>
          <cell r="O13">
            <v>529844339.34140003</v>
          </cell>
          <cell r="P13">
            <v>694778647.7112</v>
          </cell>
          <cell r="Q13">
            <v>899761456.92000008</v>
          </cell>
          <cell r="R13">
            <v>1255240833.9584999</v>
          </cell>
        </row>
        <row r="14">
          <cell r="N14" t="str">
            <v>Atolls</v>
          </cell>
          <cell r="O14">
            <v>364203693.46629995</v>
          </cell>
          <cell r="P14">
            <v>483525096.47310001</v>
          </cell>
          <cell r="Q14">
            <v>552084045.86000001</v>
          </cell>
          <cell r="R14">
            <v>642497891.10289991</v>
          </cell>
        </row>
        <row r="15">
          <cell r="N15" t="str">
            <v>Overseas</v>
          </cell>
          <cell r="O15">
            <v>169006647.32120001</v>
          </cell>
          <cell r="P15">
            <v>222306097.64719999</v>
          </cell>
          <cell r="Q15">
            <v>223353684.25080001</v>
          </cell>
          <cell r="R15">
            <v>266933716</v>
          </cell>
        </row>
      </sheetData>
      <sheetData sheetId="4">
        <row r="38">
          <cell r="O38" t="str">
            <v>Hospitals</v>
          </cell>
          <cell r="P38" t="str">
            <v>Pharmacies</v>
          </cell>
          <cell r="Q38" t="str">
            <v>Opticals</v>
          </cell>
          <cell r="R38" t="str">
            <v>Clinics</v>
          </cell>
          <cell r="S38" t="str">
            <v>Airfare Tickets</v>
          </cell>
          <cell r="T38" t="str">
            <v>Emergency Evacuation - Sea</v>
          </cell>
        </row>
        <row r="39">
          <cell r="O39">
            <v>1087122618.7505</v>
          </cell>
          <cell r="P39">
            <v>559923085.5999999</v>
          </cell>
          <cell r="Q39">
            <v>26149755.970000003</v>
          </cell>
          <cell r="R39">
            <v>58616893</v>
          </cell>
          <cell r="S39">
            <v>56607846.920000002</v>
          </cell>
          <cell r="T39">
            <v>8870485.1999999993</v>
          </cell>
        </row>
      </sheetData>
      <sheetData sheetId="5"/>
      <sheetData sheetId="6">
        <row r="37">
          <cell r="N37">
            <v>2015</v>
          </cell>
          <cell r="O37">
            <v>2016</v>
          </cell>
          <cell r="P37">
            <v>2017</v>
          </cell>
        </row>
        <row r="38">
          <cell r="L38" t="str">
            <v xml:space="preserve"> HA</v>
          </cell>
          <cell r="N38">
            <v>28247167.650000002</v>
          </cell>
          <cell r="O38">
            <v>30277717.990000002</v>
          </cell>
          <cell r="P38">
            <v>34032071.780000001</v>
          </cell>
        </row>
        <row r="39">
          <cell r="L39" t="str">
            <v>HDh</v>
          </cell>
          <cell r="N39">
            <v>55532820.670000002</v>
          </cell>
          <cell r="O39">
            <v>60034554.979999997</v>
          </cell>
          <cell r="P39">
            <v>69991758.379999995</v>
          </cell>
        </row>
        <row r="40">
          <cell r="L40" t="str">
            <v>Sh</v>
          </cell>
          <cell r="N40">
            <v>22929493.010000002</v>
          </cell>
          <cell r="O40">
            <v>21043099.035</v>
          </cell>
          <cell r="P40">
            <v>22385644.167000003</v>
          </cell>
        </row>
        <row r="41">
          <cell r="L41" t="str">
            <v>N</v>
          </cell>
          <cell r="N41">
            <v>16282824.6</v>
          </cell>
          <cell r="O41">
            <v>16255000.77</v>
          </cell>
          <cell r="P41">
            <v>17119918.760000002</v>
          </cell>
        </row>
        <row r="42">
          <cell r="L42" t="str">
            <v>R</v>
          </cell>
          <cell r="N42">
            <v>40394300.450999998</v>
          </cell>
          <cell r="O42">
            <v>43959957.414999999</v>
          </cell>
          <cell r="P42">
            <v>47021244.049999997</v>
          </cell>
        </row>
        <row r="43">
          <cell r="L43" t="str">
            <v>B</v>
          </cell>
          <cell r="N43">
            <v>21675172.101000004</v>
          </cell>
          <cell r="O43">
            <v>26651220.369999997</v>
          </cell>
          <cell r="P43">
            <v>30149104.175999999</v>
          </cell>
        </row>
        <row r="44">
          <cell r="L44" t="str">
            <v xml:space="preserve"> Lh</v>
          </cell>
          <cell r="N44">
            <v>27147750.810000002</v>
          </cell>
          <cell r="O44">
            <v>31816789.559999999</v>
          </cell>
          <cell r="P44">
            <v>38642931.219999999</v>
          </cell>
        </row>
        <row r="45">
          <cell r="L45" t="str">
            <v>K</v>
          </cell>
          <cell r="N45">
            <v>12281541.290000001</v>
          </cell>
          <cell r="O45">
            <v>14543865.745000001</v>
          </cell>
          <cell r="P45">
            <v>15450866.840299999</v>
          </cell>
        </row>
        <row r="46">
          <cell r="L46" t="str">
            <v>AA</v>
          </cell>
          <cell r="N46">
            <v>7471919.1500000004</v>
          </cell>
          <cell r="O46">
            <v>8698613.1500000004</v>
          </cell>
          <cell r="P46">
            <v>5947100.96</v>
          </cell>
        </row>
        <row r="47">
          <cell r="L47" t="str">
            <v>ADh</v>
          </cell>
          <cell r="N47">
            <v>17498120.029999997</v>
          </cell>
          <cell r="O47">
            <v>21983644.324999999</v>
          </cell>
          <cell r="P47">
            <v>9181590.7400000021</v>
          </cell>
        </row>
        <row r="48">
          <cell r="L48" t="str">
            <v>V</v>
          </cell>
          <cell r="N48">
            <v>1773766.73</v>
          </cell>
          <cell r="O48">
            <v>2451686.34</v>
          </cell>
          <cell r="P48">
            <v>2580520.0900000003</v>
          </cell>
        </row>
        <row r="49">
          <cell r="L49" t="str">
            <v>M</v>
          </cell>
          <cell r="N49">
            <v>12610137.149999999</v>
          </cell>
          <cell r="O49">
            <v>11946502.880000001</v>
          </cell>
          <cell r="P49">
            <v>7909169.9100000001</v>
          </cell>
        </row>
        <row r="50">
          <cell r="L50" t="str">
            <v>F</v>
          </cell>
          <cell r="N50">
            <v>9723321.2799999993</v>
          </cell>
          <cell r="O50">
            <v>10153645.829999998</v>
          </cell>
          <cell r="P50">
            <v>6358160.0700000003</v>
          </cell>
        </row>
        <row r="51">
          <cell r="L51" t="str">
            <v>Dh</v>
          </cell>
          <cell r="N51">
            <v>12434694.649999999</v>
          </cell>
          <cell r="O51">
            <v>11807838.66</v>
          </cell>
          <cell r="P51">
            <v>13061458.859999999</v>
          </cell>
        </row>
        <row r="52">
          <cell r="L52" t="str">
            <v>Th</v>
          </cell>
          <cell r="N52">
            <v>20505081.599999994</v>
          </cell>
          <cell r="O52">
            <v>22462983.789999999</v>
          </cell>
          <cell r="P52">
            <v>23683245.52</v>
          </cell>
        </row>
        <row r="53">
          <cell r="L53" t="str">
            <v>L</v>
          </cell>
          <cell r="N53">
            <v>27347316.960000001</v>
          </cell>
          <cell r="O53">
            <v>30750547.939999998</v>
          </cell>
          <cell r="P53">
            <v>32945144.069999997</v>
          </cell>
        </row>
        <row r="54">
          <cell r="L54" t="str">
            <v>GA</v>
          </cell>
          <cell r="N54">
            <v>21910210.289999999</v>
          </cell>
          <cell r="O54">
            <v>25050862.829999998</v>
          </cell>
          <cell r="P54">
            <v>28968304</v>
          </cell>
        </row>
        <row r="55">
          <cell r="L55" t="str">
            <v>GDh</v>
          </cell>
          <cell r="N55">
            <v>34260241.729999997</v>
          </cell>
          <cell r="O55">
            <v>39536598.640000008</v>
          </cell>
          <cell r="P55">
            <v>44492550.350000001</v>
          </cell>
        </row>
        <row r="56">
          <cell r="L56" t="str">
            <v>Gn</v>
          </cell>
          <cell r="N56">
            <v>19379941.390000001</v>
          </cell>
          <cell r="O56">
            <v>20312685.899999999</v>
          </cell>
          <cell r="P56">
            <v>15456736.35</v>
          </cell>
        </row>
        <row r="57">
          <cell r="L57" t="str">
            <v>S</v>
          </cell>
          <cell r="N57">
            <v>74119274.931099996</v>
          </cell>
          <cell r="O57">
            <v>102346229.71000001</v>
          </cell>
          <cell r="P57">
            <v>116663001.61669999</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Y1000"/>
  <sheetViews>
    <sheetView topLeftCell="A13" zoomScale="98" zoomScaleNormal="98" workbookViewId="0">
      <selection activeCell="AN9" sqref="AN9"/>
    </sheetView>
  </sheetViews>
  <sheetFormatPr defaultColWidth="14.42578125" defaultRowHeight="15" customHeight="1" x14ac:dyDescent="0.25"/>
  <cols>
    <col min="1" max="1" width="25.42578125" style="31" customWidth="1"/>
    <col min="2" max="3" width="13.42578125" style="31" hidden="1" customWidth="1"/>
    <col min="4" max="4" width="14.42578125" style="31" hidden="1" customWidth="1"/>
    <col min="5" max="6" width="13.42578125" style="31" hidden="1" customWidth="1"/>
    <col min="7" max="7" width="14.42578125" style="31" hidden="1" customWidth="1"/>
    <col min="8" max="8" width="0.85546875" style="31" hidden="1" customWidth="1"/>
    <col min="9" max="9" width="14.5703125" style="31" hidden="1" customWidth="1"/>
    <col min="10" max="10" width="13.42578125" style="31" hidden="1" customWidth="1"/>
    <col min="11" max="11" width="14.42578125" style="31" hidden="1" customWidth="1"/>
    <col min="12" max="12" width="0.140625" style="31" customWidth="1"/>
    <col min="13" max="13" width="14.140625" style="31" hidden="1" customWidth="1"/>
    <col min="14" max="14" width="13.42578125" style="31" hidden="1" customWidth="1"/>
    <col min="15" max="15" width="14.42578125" style="31" hidden="1" customWidth="1"/>
    <col min="16" max="16" width="0.28515625" style="31" customWidth="1"/>
    <col min="17" max="17" width="14.140625" style="31" customWidth="1"/>
    <col min="18" max="18" width="13.42578125" style="31" customWidth="1"/>
    <col min="19" max="19" width="14.42578125" style="31" customWidth="1"/>
    <col min="20" max="20" width="14.140625" style="31" customWidth="1"/>
    <col min="21" max="21" width="13.42578125" style="31" customWidth="1"/>
    <col min="22" max="22" width="14.42578125" style="31" customWidth="1"/>
    <col min="23" max="24" width="8.140625" style="31" customWidth="1"/>
    <col min="25" max="26" width="8.42578125" style="31" customWidth="1"/>
    <col min="27" max="28" width="13.140625" style="31" customWidth="1"/>
    <col min="29" max="29" width="14.5703125" style="31" customWidth="1"/>
    <col min="30" max="30" width="1.28515625" style="31" customWidth="1"/>
    <col min="31" max="31" width="3.7109375" style="31" customWidth="1"/>
    <col min="32" max="37" width="11.28515625" style="31" hidden="1" customWidth="1"/>
    <col min="38" max="43" width="11.28515625" style="31" customWidth="1"/>
    <col min="44" max="44" width="36" style="31" customWidth="1"/>
    <col min="45" max="45" width="30.140625" style="31" customWidth="1"/>
    <col min="46" max="47" width="8" style="31" customWidth="1"/>
    <col min="48" max="49" width="15" style="31" customWidth="1"/>
    <col min="50" max="50" width="17.28515625" style="31" customWidth="1"/>
    <col min="51" max="16384" width="14.42578125" style="31"/>
  </cols>
  <sheetData>
    <row r="1" spans="1:50" ht="21.75" customHeight="1" x14ac:dyDescent="0.55000000000000004">
      <c r="A1" s="722" t="s">
        <v>248</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699"/>
      <c r="AC1" s="700"/>
      <c r="AD1" s="29"/>
      <c r="AE1" s="30"/>
      <c r="AF1" s="30"/>
      <c r="AG1" s="30"/>
      <c r="AH1" s="30"/>
      <c r="AI1" s="30"/>
      <c r="AJ1" s="30"/>
      <c r="AK1" s="30"/>
      <c r="AL1" s="30"/>
      <c r="AM1" s="30"/>
      <c r="AN1" s="30"/>
      <c r="AO1" s="30"/>
      <c r="AP1" s="30"/>
      <c r="AQ1" s="30"/>
      <c r="AR1" s="30"/>
      <c r="AS1" s="30"/>
      <c r="AT1" s="30"/>
      <c r="AU1" s="30"/>
      <c r="AV1" s="30"/>
      <c r="AW1" s="30"/>
      <c r="AX1" s="30"/>
    </row>
    <row r="2" spans="1:50" x14ac:dyDescent="0.25">
      <c r="A2" s="723" t="s">
        <v>247</v>
      </c>
      <c r="B2" s="699"/>
      <c r="C2" s="699"/>
      <c r="D2" s="699"/>
      <c r="E2" s="699"/>
      <c r="F2" s="699"/>
      <c r="G2" s="699"/>
      <c r="H2" s="699"/>
      <c r="I2" s="699"/>
      <c r="J2" s="699"/>
      <c r="K2" s="699"/>
      <c r="L2" s="699"/>
      <c r="M2" s="699"/>
      <c r="N2" s="699"/>
      <c r="O2" s="699"/>
      <c r="P2" s="699"/>
      <c r="Q2" s="699"/>
      <c r="R2" s="699"/>
      <c r="S2" s="699"/>
      <c r="T2" s="699"/>
      <c r="U2" s="699"/>
      <c r="V2" s="699"/>
      <c r="W2" s="699"/>
      <c r="X2" s="699"/>
      <c r="Y2" s="699"/>
      <c r="Z2" s="699"/>
      <c r="AA2" s="699"/>
      <c r="AB2" s="699"/>
      <c r="AC2" s="700"/>
      <c r="AD2" s="32"/>
      <c r="AE2" s="30"/>
      <c r="AF2" s="30"/>
      <c r="AG2" s="30"/>
      <c r="AH2" s="30"/>
      <c r="AI2" s="30"/>
      <c r="AJ2" s="30"/>
      <c r="AK2" s="30"/>
      <c r="AL2" s="30"/>
      <c r="AM2" s="30"/>
      <c r="AN2" s="30"/>
      <c r="AO2" s="30"/>
      <c r="AP2" s="30"/>
      <c r="AQ2" s="30"/>
      <c r="AR2" s="30"/>
      <c r="AS2" s="30"/>
      <c r="AT2" s="30"/>
      <c r="AU2" s="30"/>
      <c r="AV2" s="30"/>
      <c r="AW2" s="30"/>
      <c r="AX2" s="30"/>
    </row>
    <row r="3" spans="1:50" ht="8.2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row>
    <row r="4" spans="1:50" ht="36" customHeight="1" x14ac:dyDescent="0.25">
      <c r="A4" s="718" t="s">
        <v>0</v>
      </c>
      <c r="B4" s="724" t="s">
        <v>65</v>
      </c>
      <c r="C4" s="725"/>
      <c r="D4" s="727"/>
      <c r="E4" s="724" t="s">
        <v>68</v>
      </c>
      <c r="F4" s="725"/>
      <c r="G4" s="727"/>
      <c r="H4" s="33"/>
      <c r="I4" s="724" t="s">
        <v>69</v>
      </c>
      <c r="J4" s="725"/>
      <c r="K4" s="727"/>
      <c r="L4" s="33"/>
      <c r="M4" s="724" t="s">
        <v>70</v>
      </c>
      <c r="N4" s="725"/>
      <c r="O4" s="726"/>
      <c r="P4" s="34"/>
      <c r="Q4" s="728" t="s">
        <v>71</v>
      </c>
      <c r="R4" s="728"/>
      <c r="S4" s="728"/>
      <c r="T4" s="728"/>
      <c r="U4" s="728"/>
      <c r="V4" s="729"/>
      <c r="W4" s="719" t="s">
        <v>2</v>
      </c>
      <c r="X4" s="720"/>
      <c r="Y4" s="719" t="s">
        <v>3</v>
      </c>
      <c r="Z4" s="721"/>
      <c r="AA4" s="35" t="s">
        <v>4</v>
      </c>
      <c r="AB4" s="33"/>
      <c r="AC4" s="714" t="s">
        <v>5</v>
      </c>
      <c r="AD4" s="36"/>
      <c r="AE4" s="37"/>
      <c r="AF4" s="30"/>
      <c r="AG4" s="30"/>
      <c r="AH4" s="30"/>
      <c r="AI4" s="30"/>
      <c r="AJ4" s="30"/>
      <c r="AK4" s="30"/>
      <c r="AL4" s="30"/>
      <c r="AM4" s="30"/>
      <c r="AN4" s="30"/>
      <c r="AO4" s="30"/>
      <c r="AP4" s="30"/>
      <c r="AQ4" s="30"/>
      <c r="AR4" s="30"/>
      <c r="AS4" s="30"/>
      <c r="AT4" s="30"/>
      <c r="AU4" s="30"/>
      <c r="AV4" s="30"/>
      <c r="AW4" s="30"/>
      <c r="AX4" s="30"/>
    </row>
    <row r="5" spans="1:50" ht="15" customHeight="1" x14ac:dyDescent="0.25">
      <c r="A5" s="715"/>
      <c r="B5" s="704">
        <v>2013</v>
      </c>
      <c r="C5" s="705"/>
      <c r="D5" s="717"/>
      <c r="E5" s="704">
        <v>2014</v>
      </c>
      <c r="F5" s="705"/>
      <c r="G5" s="706"/>
      <c r="H5" s="38"/>
      <c r="I5" s="704">
        <v>2015</v>
      </c>
      <c r="J5" s="705"/>
      <c r="K5" s="706"/>
      <c r="L5" s="38"/>
      <c r="M5" s="704">
        <v>2016</v>
      </c>
      <c r="N5" s="705"/>
      <c r="O5" s="706"/>
      <c r="P5" s="39"/>
      <c r="Q5" s="701">
        <v>2017</v>
      </c>
      <c r="R5" s="702"/>
      <c r="S5" s="703"/>
      <c r="T5" s="707">
        <v>2018</v>
      </c>
      <c r="U5" s="705"/>
      <c r="V5" s="706"/>
      <c r="W5" s="708" t="s">
        <v>18</v>
      </c>
      <c r="X5" s="709"/>
      <c r="Y5" s="710" t="s">
        <v>20</v>
      </c>
      <c r="Z5" s="711"/>
      <c r="AA5" s="40" t="s">
        <v>22</v>
      </c>
      <c r="AB5" s="38"/>
      <c r="AC5" s="715"/>
      <c r="AD5" s="41"/>
      <c r="AE5" s="42"/>
      <c r="AF5" s="42"/>
      <c r="AG5" s="42"/>
      <c r="AH5" s="42"/>
      <c r="AI5" s="42"/>
      <c r="AJ5" s="42"/>
      <c r="AK5" s="42"/>
      <c r="AL5" s="42"/>
      <c r="AM5" s="42"/>
      <c r="AN5" s="42"/>
      <c r="AO5" s="42"/>
      <c r="AP5" s="42"/>
      <c r="AQ5" s="42"/>
      <c r="AR5" s="42"/>
      <c r="AS5" s="42"/>
      <c r="AT5" s="42"/>
      <c r="AU5" s="42"/>
      <c r="AV5" s="42"/>
      <c r="AW5" s="42"/>
      <c r="AX5" s="42"/>
    </row>
    <row r="6" spans="1:50" ht="16.5" customHeight="1" x14ac:dyDescent="0.25">
      <c r="A6" s="715"/>
      <c r="B6" s="43" t="s">
        <v>13</v>
      </c>
      <c r="C6" s="44" t="s">
        <v>15</v>
      </c>
      <c r="D6" s="43" t="s">
        <v>16</v>
      </c>
      <c r="E6" s="45" t="s">
        <v>13</v>
      </c>
      <c r="F6" s="46" t="s">
        <v>15</v>
      </c>
      <c r="G6" s="47" t="s">
        <v>16</v>
      </c>
      <c r="H6" s="46"/>
      <c r="I6" s="45" t="s">
        <v>13</v>
      </c>
      <c r="J6" s="46" t="s">
        <v>15</v>
      </c>
      <c r="K6" s="47" t="s">
        <v>16</v>
      </c>
      <c r="L6" s="46"/>
      <c r="M6" s="45" t="s">
        <v>13</v>
      </c>
      <c r="N6" s="46" t="s">
        <v>15</v>
      </c>
      <c r="O6" s="47" t="s">
        <v>16</v>
      </c>
      <c r="P6" s="45"/>
      <c r="Q6" s="48" t="s">
        <v>13</v>
      </c>
      <c r="R6" s="49" t="s">
        <v>15</v>
      </c>
      <c r="S6" s="47" t="s">
        <v>16</v>
      </c>
      <c r="T6" s="50" t="s">
        <v>13</v>
      </c>
      <c r="U6" s="46" t="s">
        <v>15</v>
      </c>
      <c r="V6" s="47" t="s">
        <v>16</v>
      </c>
      <c r="W6" s="51"/>
      <c r="X6" s="52"/>
      <c r="Y6" s="712"/>
      <c r="Z6" s="713"/>
      <c r="AA6" s="53"/>
      <c r="AB6" s="38"/>
      <c r="AC6" s="715"/>
      <c r="AD6" s="41"/>
      <c r="AE6" s="42"/>
      <c r="AF6" s="42"/>
      <c r="AG6" s="42"/>
      <c r="AH6" s="42"/>
      <c r="AI6" s="42"/>
      <c r="AJ6" s="42"/>
      <c r="AK6" s="42"/>
      <c r="AL6" s="42"/>
      <c r="AM6" s="42"/>
      <c r="AN6" s="42"/>
      <c r="AO6" s="42"/>
      <c r="AP6" s="42"/>
      <c r="AQ6" s="42"/>
      <c r="AR6" s="42"/>
      <c r="AS6" s="42"/>
      <c r="AT6" s="42"/>
      <c r="AU6" s="42"/>
      <c r="AV6" s="42"/>
      <c r="AW6" s="42"/>
      <c r="AX6" s="42"/>
    </row>
    <row r="7" spans="1:50" ht="21" customHeight="1" x14ac:dyDescent="0.25">
      <c r="A7" s="716"/>
      <c r="B7" s="54" t="s">
        <v>23</v>
      </c>
      <c r="C7" s="54" t="s">
        <v>24</v>
      </c>
      <c r="D7" s="54" t="s">
        <v>25</v>
      </c>
      <c r="E7" s="55" t="s">
        <v>23</v>
      </c>
      <c r="F7" s="55" t="s">
        <v>24</v>
      </c>
      <c r="G7" s="56" t="s">
        <v>25</v>
      </c>
      <c r="H7" s="55"/>
      <c r="I7" s="55" t="s">
        <v>23</v>
      </c>
      <c r="J7" s="55" t="s">
        <v>24</v>
      </c>
      <c r="K7" s="56" t="s">
        <v>25</v>
      </c>
      <c r="L7" s="55"/>
      <c r="M7" s="55" t="s">
        <v>23</v>
      </c>
      <c r="N7" s="55" t="s">
        <v>24</v>
      </c>
      <c r="O7" s="56" t="s">
        <v>25</v>
      </c>
      <c r="P7" s="55"/>
      <c r="Q7" s="57" t="s">
        <v>23</v>
      </c>
      <c r="R7" s="57" t="s">
        <v>24</v>
      </c>
      <c r="S7" s="56" t="s">
        <v>25</v>
      </c>
      <c r="T7" s="58" t="s">
        <v>23</v>
      </c>
      <c r="U7" s="55" t="s">
        <v>24</v>
      </c>
      <c r="V7" s="56" t="s">
        <v>25</v>
      </c>
      <c r="W7" s="55">
        <v>2017</v>
      </c>
      <c r="X7" s="57">
        <v>2018</v>
      </c>
      <c r="Y7" s="59">
        <v>2017</v>
      </c>
      <c r="Z7" s="60">
        <v>2018</v>
      </c>
      <c r="AA7" s="61" t="s">
        <v>26</v>
      </c>
      <c r="AB7" s="62"/>
      <c r="AC7" s="716"/>
      <c r="AD7" s="63"/>
      <c r="AE7" s="30"/>
      <c r="AF7" s="42"/>
      <c r="AG7" s="30"/>
      <c r="AH7" s="30"/>
      <c r="AI7" s="30"/>
      <c r="AJ7" s="30"/>
      <c r="AK7" s="30"/>
      <c r="AL7" s="30"/>
      <c r="AM7" s="30"/>
      <c r="AN7" s="30"/>
      <c r="AO7" s="30"/>
      <c r="AP7" s="30"/>
      <c r="AQ7" s="30"/>
      <c r="AR7" s="30"/>
      <c r="AS7" s="30"/>
      <c r="AT7" s="30"/>
      <c r="AU7" s="30"/>
      <c r="AV7" s="30"/>
      <c r="AW7" s="30"/>
      <c r="AX7" s="30"/>
    </row>
    <row r="8" spans="1:50" ht="26.25" customHeight="1" x14ac:dyDescent="0.55000000000000004">
      <c r="A8" s="37" t="s">
        <v>23</v>
      </c>
      <c r="B8" s="64">
        <f t="shared" ref="B8:D8" si="0">SUM(B9:B11)</f>
        <v>691476496.03999996</v>
      </c>
      <c r="C8" s="64">
        <f t="shared" si="0"/>
        <v>426114222.03999996</v>
      </c>
      <c r="D8" s="64">
        <f t="shared" si="0"/>
        <v>265362274</v>
      </c>
      <c r="E8" s="64">
        <f t="shared" ref="E8:G8" si="1">SUM(E9:E12)</f>
        <v>1198546537.5799999</v>
      </c>
      <c r="F8" s="64">
        <f t="shared" si="1"/>
        <v>694023678.84000003</v>
      </c>
      <c r="G8" s="65">
        <f t="shared" si="1"/>
        <v>504522858.74000001</v>
      </c>
      <c r="H8" s="64"/>
      <c r="I8" s="64">
        <f t="shared" ref="I8:K8" si="2">SUM(I9:I12)</f>
        <v>1260504500.8000002</v>
      </c>
      <c r="J8" s="64">
        <f t="shared" si="2"/>
        <v>725245803.5</v>
      </c>
      <c r="K8" s="65">
        <f t="shared" si="2"/>
        <v>535258697.30000001</v>
      </c>
      <c r="L8" s="64"/>
      <c r="M8" s="64">
        <f t="shared" ref="M8:O8" si="3">SUM(M9:M12)</f>
        <v>1279619059.45</v>
      </c>
      <c r="N8" s="64">
        <f t="shared" si="3"/>
        <v>733314099.45000005</v>
      </c>
      <c r="O8" s="65">
        <f t="shared" si="3"/>
        <v>546304960</v>
      </c>
      <c r="P8" s="64"/>
      <c r="Q8" s="66">
        <f t="shared" ref="Q8:V8" si="4">SUM(Q9:Q12)</f>
        <v>1299530784.8800001</v>
      </c>
      <c r="R8" s="66">
        <f t="shared" si="4"/>
        <v>744441146.23000002</v>
      </c>
      <c r="S8" s="67">
        <f t="shared" si="4"/>
        <v>555089638.64999998</v>
      </c>
      <c r="T8" s="68">
        <f t="shared" si="4"/>
        <v>1333155378.8400002</v>
      </c>
      <c r="U8" s="64">
        <f t="shared" si="4"/>
        <v>761526154.26999998</v>
      </c>
      <c r="V8" s="65">
        <f t="shared" si="4"/>
        <v>571629224.56999993</v>
      </c>
      <c r="W8" s="64">
        <f>Q8/Q8*100</f>
        <v>100</v>
      </c>
      <c r="X8" s="69">
        <f>T8/T8*100</f>
        <v>100</v>
      </c>
      <c r="Y8" s="70">
        <f>S8/Q8*100</f>
        <v>42.714620162019287</v>
      </c>
      <c r="Z8" s="71">
        <f>V8/T8*100</f>
        <v>42.877914580923324</v>
      </c>
      <c r="AA8" s="72">
        <f>((T8-Q8)/Q8)*100</f>
        <v>2.587441124998433</v>
      </c>
      <c r="AB8" s="73"/>
      <c r="AC8" s="74" t="s">
        <v>13</v>
      </c>
      <c r="AD8" s="75"/>
      <c r="AE8" s="37"/>
      <c r="AF8" s="42"/>
      <c r="AG8" s="37"/>
      <c r="AH8" s="37"/>
      <c r="AI8" s="37"/>
      <c r="AJ8" s="37"/>
      <c r="AK8" s="37"/>
      <c r="AL8" s="37"/>
      <c r="AM8" s="37"/>
      <c r="AN8" s="37"/>
      <c r="AO8" s="37"/>
      <c r="AP8" s="37"/>
      <c r="AQ8" s="37"/>
      <c r="AR8" s="37"/>
      <c r="AS8" s="37"/>
      <c r="AT8" s="37"/>
      <c r="AU8" s="37"/>
      <c r="AV8" s="37"/>
      <c r="AW8" s="37"/>
      <c r="AX8" s="37"/>
    </row>
    <row r="9" spans="1:50" ht="26.25" customHeight="1" x14ac:dyDescent="0.55000000000000004">
      <c r="A9" s="30" t="s">
        <v>30</v>
      </c>
      <c r="B9" s="76">
        <v>421204350.24000001</v>
      </c>
      <c r="C9" s="76">
        <v>210436362.22</v>
      </c>
      <c r="D9" s="76">
        <v>210767988.02000001</v>
      </c>
      <c r="E9" s="76">
        <v>431707102.44</v>
      </c>
      <c r="F9" s="76">
        <v>216136958.62</v>
      </c>
      <c r="G9" s="77">
        <v>215570143.81999999</v>
      </c>
      <c r="H9" s="76"/>
      <c r="I9" s="76">
        <f t="shared" ref="I9:I12" si="5">SUM(J9:K9)</f>
        <v>426999240</v>
      </c>
      <c r="J9" s="76">
        <v>211715913.83000001</v>
      </c>
      <c r="K9" s="77">
        <v>215283326.16999999</v>
      </c>
      <c r="L9" s="76"/>
      <c r="M9" s="76">
        <f t="shared" ref="M9:M12" si="6">SUM(N9:O9)</f>
        <v>432115940.75</v>
      </c>
      <c r="N9" s="76">
        <v>214009591.78999999</v>
      </c>
      <c r="O9" s="77">
        <v>218106348.96000001</v>
      </c>
      <c r="P9" s="76"/>
      <c r="Q9" s="78">
        <f t="shared" ref="Q9:Q12" si="7">SUM(R9:S9)</f>
        <v>435251368.24000001</v>
      </c>
      <c r="R9" s="78">
        <v>213622574.86000001</v>
      </c>
      <c r="S9" s="79">
        <v>221628793.38</v>
      </c>
      <c r="T9" s="80">
        <f t="shared" ref="T9:T12" si="8">SUM(U9:V9)</f>
        <v>443152107.85000002</v>
      </c>
      <c r="U9" s="81">
        <v>216380129.5</v>
      </c>
      <c r="V9" s="82">
        <v>226771978.34999999</v>
      </c>
      <c r="W9" s="76">
        <f>Q9/Q8*100</f>
        <v>33.492963252901433</v>
      </c>
      <c r="X9" s="69">
        <f>T9/T8*100</f>
        <v>33.240844606995005</v>
      </c>
      <c r="Y9" s="83">
        <f>S9/Q9*100</f>
        <v>50.919723532676564</v>
      </c>
      <c r="Z9" s="71">
        <f>V9/T9*100</f>
        <v>51.172492318768057</v>
      </c>
      <c r="AA9" s="84">
        <f>((T9-Q9)/Q9)*100</f>
        <v>1.8152130438895031</v>
      </c>
      <c r="AB9" s="85"/>
      <c r="AC9" s="86" t="s">
        <v>7</v>
      </c>
      <c r="AD9" s="87"/>
      <c r="AE9" s="37"/>
      <c r="AF9" s="42"/>
      <c r="AG9" s="30"/>
      <c r="AH9" s="30"/>
      <c r="AI9" s="30"/>
      <c r="AJ9" s="30"/>
      <c r="AK9" s="30"/>
      <c r="AL9" s="30"/>
      <c r="AM9" s="30"/>
      <c r="AN9" s="30"/>
      <c r="AO9" s="30"/>
      <c r="AP9" s="30"/>
      <c r="AQ9" s="30"/>
      <c r="AR9" s="30"/>
      <c r="AS9" s="30"/>
      <c r="AT9" s="30"/>
      <c r="AU9" s="30"/>
      <c r="AV9" s="30"/>
      <c r="AW9" s="30"/>
      <c r="AX9" s="30"/>
    </row>
    <row r="10" spans="1:50" ht="26.25" customHeight="1" x14ac:dyDescent="0.55000000000000004">
      <c r="A10" s="30" t="s">
        <v>41</v>
      </c>
      <c r="B10" s="76">
        <v>25887906.539999999</v>
      </c>
      <c r="C10" s="76">
        <v>21327068.57</v>
      </c>
      <c r="D10" s="76">
        <v>4560837.97</v>
      </c>
      <c r="E10" s="76">
        <v>35973669.200000003</v>
      </c>
      <c r="F10" s="76">
        <v>30648673.489999998</v>
      </c>
      <c r="G10" s="77">
        <v>5324995.71</v>
      </c>
      <c r="H10" s="76"/>
      <c r="I10" s="76">
        <f t="shared" si="5"/>
        <v>48839669.629999995</v>
      </c>
      <c r="J10" s="76">
        <v>40839450.539999999</v>
      </c>
      <c r="K10" s="77">
        <v>8000219.0899999999</v>
      </c>
      <c r="L10" s="76"/>
      <c r="M10" s="76">
        <f t="shared" si="6"/>
        <v>49178627.069999993</v>
      </c>
      <c r="N10" s="76">
        <v>41686392.159999996</v>
      </c>
      <c r="O10" s="77">
        <v>7492234.9100000001</v>
      </c>
      <c r="P10" s="76"/>
      <c r="Q10" s="78">
        <f t="shared" si="7"/>
        <v>54585241.879999995</v>
      </c>
      <c r="R10" s="78">
        <v>45371408.659999996</v>
      </c>
      <c r="S10" s="79">
        <v>9213833.2200000007</v>
      </c>
      <c r="T10" s="80">
        <f t="shared" si="8"/>
        <v>58618929.450000003</v>
      </c>
      <c r="U10" s="81">
        <v>47343537.93</v>
      </c>
      <c r="V10" s="82">
        <v>11275391.52</v>
      </c>
      <c r="W10" s="76">
        <f>Q10/Q8*100</f>
        <v>4.2003808232246262</v>
      </c>
      <c r="X10" s="69">
        <f>T10/T8*100</f>
        <v>4.3970065590558001</v>
      </c>
      <c r="Y10" s="83">
        <f>S10/Q10*100</f>
        <v>16.879714924146821</v>
      </c>
      <c r="Z10" s="71">
        <f>V10/T10*100</f>
        <v>19.235068988452841</v>
      </c>
      <c r="AA10" s="84">
        <f>((T10-Q10)/Q10)*100</f>
        <v>7.3897035738481334</v>
      </c>
      <c r="AB10" s="85"/>
      <c r="AC10" s="86" t="s">
        <v>8</v>
      </c>
      <c r="AD10" s="87"/>
      <c r="AE10" s="37"/>
      <c r="AF10" s="42"/>
      <c r="AG10" s="30"/>
      <c r="AH10" s="30"/>
      <c r="AI10" s="30"/>
      <c r="AJ10" s="30"/>
      <c r="AK10" s="30"/>
      <c r="AL10" s="30"/>
      <c r="AM10" s="30"/>
      <c r="AN10" s="30"/>
      <c r="AO10" s="30"/>
      <c r="AP10" s="30"/>
      <c r="AQ10" s="30"/>
      <c r="AR10" s="30"/>
      <c r="AS10" s="30"/>
      <c r="AT10" s="30"/>
      <c r="AU10" s="30"/>
      <c r="AV10" s="30"/>
      <c r="AW10" s="30"/>
      <c r="AX10" s="30"/>
    </row>
    <row r="11" spans="1:50" ht="26.25" customHeight="1" x14ac:dyDescent="0.55000000000000004">
      <c r="A11" s="30" t="s">
        <v>46</v>
      </c>
      <c r="B11" s="76">
        <f>SUM(C11:D11)</f>
        <v>244384239.25999999</v>
      </c>
      <c r="C11" s="76">
        <v>194350791.25</v>
      </c>
      <c r="D11" s="76">
        <v>50033448.009999998</v>
      </c>
      <c r="E11" s="76">
        <v>259554054.59</v>
      </c>
      <c r="F11" s="76">
        <v>206837888.08000001</v>
      </c>
      <c r="G11" s="77">
        <v>52716166.509999998</v>
      </c>
      <c r="H11" s="76"/>
      <c r="I11" s="76">
        <f t="shared" si="5"/>
        <v>260118262.71000001</v>
      </c>
      <c r="J11" s="76">
        <v>206665528.78</v>
      </c>
      <c r="K11" s="77">
        <v>53452733.93</v>
      </c>
      <c r="L11" s="76"/>
      <c r="M11" s="76">
        <f t="shared" si="6"/>
        <v>264841953.94</v>
      </c>
      <c r="N11" s="76">
        <v>206983228.74000001</v>
      </c>
      <c r="O11" s="77">
        <v>57858725.200000003</v>
      </c>
      <c r="P11" s="76"/>
      <c r="Q11" s="78">
        <f t="shared" si="7"/>
        <v>270657227.73000002</v>
      </c>
      <c r="R11" s="78">
        <v>213882483.61000001</v>
      </c>
      <c r="S11" s="79">
        <v>56774744.119999997</v>
      </c>
      <c r="T11" s="80">
        <f t="shared" si="8"/>
        <v>280560577.88999999</v>
      </c>
      <c r="U11" s="81">
        <v>221243373.25999999</v>
      </c>
      <c r="V11" s="82">
        <v>59317204.630000003</v>
      </c>
      <c r="W11" s="76">
        <f>Q11/Q8*100</f>
        <v>20.827304045359167</v>
      </c>
      <c r="X11" s="69">
        <f>T11/T8*100</f>
        <v>21.044852111246044</v>
      </c>
      <c r="Y11" s="83">
        <f>S11/Q11*100</f>
        <v>20.976622200770073</v>
      </c>
      <c r="Z11" s="71">
        <f>V11/T11*100</f>
        <v>21.142387528605902</v>
      </c>
      <c r="AA11" s="84">
        <f>((T11-Q11)/Q11)*100</f>
        <v>3.6590008118605528</v>
      </c>
      <c r="AB11" s="85"/>
      <c r="AC11" s="86" t="s">
        <v>10</v>
      </c>
      <c r="AD11" s="87"/>
      <c r="AE11" s="37"/>
      <c r="AF11" s="42"/>
      <c r="AG11" s="30"/>
      <c r="AH11" s="30"/>
      <c r="AI11" s="30"/>
      <c r="AJ11" s="30"/>
      <c r="AK11" s="30"/>
      <c r="AL11" s="30"/>
      <c r="AM11" s="30"/>
      <c r="AN11" s="30"/>
      <c r="AO11" s="30"/>
      <c r="AP11" s="30"/>
      <c r="AQ11" s="30"/>
      <c r="AR11" s="30"/>
      <c r="AS11" s="30"/>
      <c r="AT11" s="30"/>
      <c r="AU11" s="30"/>
      <c r="AV11" s="30"/>
      <c r="AW11" s="30"/>
      <c r="AX11" s="30"/>
    </row>
    <row r="12" spans="1:50" ht="26.25" customHeight="1" x14ac:dyDescent="0.55000000000000004">
      <c r="A12" s="88" t="s">
        <v>74</v>
      </c>
      <c r="B12" s="89">
        <v>0</v>
      </c>
      <c r="C12" s="89">
        <v>0</v>
      </c>
      <c r="D12" s="89">
        <v>0</v>
      </c>
      <c r="E12" s="89">
        <v>471311711.35000002</v>
      </c>
      <c r="F12" s="89">
        <v>240400158.65000001</v>
      </c>
      <c r="G12" s="90">
        <v>230911552.69999999</v>
      </c>
      <c r="H12" s="89"/>
      <c r="I12" s="89">
        <f t="shared" si="5"/>
        <v>524547328.46000004</v>
      </c>
      <c r="J12" s="89">
        <v>266024910.34999999</v>
      </c>
      <c r="K12" s="90">
        <v>258522418.11000001</v>
      </c>
      <c r="L12" s="89"/>
      <c r="M12" s="89">
        <f t="shared" si="6"/>
        <v>533482537.69</v>
      </c>
      <c r="N12" s="89">
        <v>270634886.75999999</v>
      </c>
      <c r="O12" s="90">
        <v>262847650.93000001</v>
      </c>
      <c r="P12" s="89"/>
      <c r="Q12" s="91">
        <f t="shared" si="7"/>
        <v>539036947.02999997</v>
      </c>
      <c r="R12" s="91">
        <v>271564679.10000002</v>
      </c>
      <c r="S12" s="90">
        <v>267472267.93000001</v>
      </c>
      <c r="T12" s="92">
        <f t="shared" si="8"/>
        <v>550823763.64999998</v>
      </c>
      <c r="U12" s="93">
        <v>276559113.57999998</v>
      </c>
      <c r="V12" s="94">
        <v>274264650.06999999</v>
      </c>
      <c r="W12" s="89">
        <f>Q12/Q8*100</f>
        <v>41.479351878514763</v>
      </c>
      <c r="X12" s="95">
        <f>T12/T8*100</f>
        <v>41.317296722703141</v>
      </c>
      <c r="Y12" s="92">
        <f>S12/Q12*100</f>
        <v>49.620396042187046</v>
      </c>
      <c r="Z12" s="96">
        <f>V12/T12*100</f>
        <v>49.791724353466897</v>
      </c>
      <c r="AA12" s="97">
        <f>((T12-Q12)/Q12)*100</f>
        <v>2.1866435473381403</v>
      </c>
      <c r="AB12" s="98"/>
      <c r="AC12" s="99" t="s">
        <v>75</v>
      </c>
      <c r="AD12" s="100"/>
      <c r="AE12" s="37"/>
      <c r="AF12" s="42"/>
      <c r="AG12" s="30"/>
      <c r="AH12" s="30"/>
      <c r="AI12" s="30"/>
      <c r="AJ12" s="30"/>
      <c r="AK12" s="30"/>
      <c r="AL12" s="30"/>
      <c r="AM12" s="30"/>
      <c r="AN12" s="30"/>
      <c r="AO12" s="30"/>
      <c r="AP12" s="30"/>
      <c r="AQ12" s="30"/>
      <c r="AR12" s="30"/>
      <c r="AS12" s="30"/>
      <c r="AT12" s="30"/>
      <c r="AU12" s="30"/>
      <c r="AV12" s="30"/>
      <c r="AW12" s="30"/>
      <c r="AX12" s="30"/>
    </row>
    <row r="13" spans="1:50" ht="18.75" customHeight="1" x14ac:dyDescent="0.25">
      <c r="A13" s="101" t="s">
        <v>76</v>
      </c>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2"/>
      <c r="AB13" s="102"/>
      <c r="AC13" s="101"/>
      <c r="AD13" s="101"/>
      <c r="AE13" s="101"/>
      <c r="AF13" s="42"/>
      <c r="AG13" s="101"/>
      <c r="AH13" s="101"/>
      <c r="AI13" s="101"/>
      <c r="AJ13" s="101"/>
      <c r="AK13" s="101"/>
      <c r="AL13" s="101"/>
      <c r="AM13" s="101"/>
      <c r="AN13" s="101"/>
      <c r="AO13" s="101"/>
      <c r="AP13" s="101"/>
      <c r="AQ13" s="101"/>
      <c r="AR13" s="101"/>
      <c r="AS13" s="101"/>
      <c r="AT13" s="101"/>
      <c r="AU13" s="101"/>
      <c r="AV13" s="101"/>
      <c r="AW13" s="101"/>
      <c r="AX13" s="101"/>
    </row>
    <row r="14" spans="1:50" ht="15" customHeight="1" x14ac:dyDescent="0.25">
      <c r="A14" s="101" t="s">
        <v>77</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2"/>
      <c r="AB14" s="102"/>
      <c r="AC14" s="101"/>
      <c r="AD14" s="101"/>
      <c r="AE14" s="101"/>
      <c r="AF14" s="42"/>
      <c r="AG14" s="101"/>
      <c r="AH14" s="101"/>
      <c r="AI14" s="101"/>
      <c r="AJ14" s="101"/>
      <c r="AK14" s="101"/>
      <c r="AL14" s="101"/>
      <c r="AM14" s="101"/>
      <c r="AN14" s="101"/>
      <c r="AO14" s="101"/>
      <c r="AP14" s="101"/>
      <c r="AQ14" s="101"/>
      <c r="AR14" s="101"/>
      <c r="AS14" s="101"/>
      <c r="AT14" s="101"/>
      <c r="AU14" s="101"/>
      <c r="AV14" s="101"/>
      <c r="AW14" s="101"/>
      <c r="AX14" s="101"/>
    </row>
    <row r="15" spans="1:50" ht="15" customHeight="1" x14ac:dyDescent="0.25">
      <c r="A15" s="101" t="s">
        <v>57</v>
      </c>
      <c r="B15" s="103"/>
      <c r="C15" s="101"/>
      <c r="D15" s="101"/>
      <c r="E15" s="103"/>
      <c r="F15" s="101"/>
      <c r="G15" s="101"/>
      <c r="H15" s="101"/>
      <c r="I15" s="103"/>
      <c r="J15" s="101"/>
      <c r="K15" s="101"/>
      <c r="L15" s="101"/>
      <c r="M15" s="103"/>
      <c r="N15" s="101"/>
      <c r="O15" s="101"/>
      <c r="P15" s="101"/>
      <c r="Q15" s="103"/>
      <c r="R15" s="101"/>
      <c r="S15" s="101"/>
      <c r="T15" s="103"/>
      <c r="U15" s="101"/>
      <c r="V15" s="101"/>
      <c r="W15" s="101"/>
      <c r="X15" s="101"/>
      <c r="Y15" s="101"/>
      <c r="Z15" s="101"/>
      <c r="AA15" s="101"/>
      <c r="AB15" s="101"/>
      <c r="AC15" s="101"/>
      <c r="AD15" s="101"/>
      <c r="AE15" s="101"/>
      <c r="AF15" s="42"/>
      <c r="AG15" s="104"/>
      <c r="AH15" s="104"/>
      <c r="AI15" s="104"/>
      <c r="AJ15" s="104"/>
      <c r="AK15" s="104"/>
      <c r="AL15" s="104"/>
      <c r="AM15" s="104"/>
      <c r="AN15" s="104"/>
      <c r="AO15" s="104"/>
      <c r="AP15" s="104"/>
      <c r="AQ15" s="104"/>
      <c r="AR15" s="104"/>
      <c r="AS15" s="101"/>
      <c r="AT15" s="101"/>
      <c r="AU15" s="101"/>
      <c r="AV15" s="101"/>
      <c r="AW15" s="101"/>
      <c r="AX15" s="101"/>
    </row>
    <row r="16" spans="1:50" ht="15" customHeight="1" x14ac:dyDescent="0.25">
      <c r="A16" s="101"/>
      <c r="B16" s="101"/>
      <c r="C16" s="101"/>
      <c r="D16" s="101"/>
      <c r="E16" s="101"/>
      <c r="F16" s="101"/>
      <c r="G16" s="101"/>
      <c r="H16" s="101"/>
      <c r="I16" s="101"/>
      <c r="J16" s="698" t="s">
        <v>78</v>
      </c>
      <c r="K16" s="699"/>
      <c r="L16" s="699"/>
      <c r="M16" s="699"/>
      <c r="N16" s="699"/>
      <c r="O16" s="699"/>
      <c r="P16" s="699"/>
      <c r="Q16" s="699"/>
      <c r="R16" s="699"/>
      <c r="S16" s="699"/>
      <c r="T16" s="699"/>
      <c r="U16" s="699"/>
      <c r="V16" s="699"/>
      <c r="W16" s="699"/>
      <c r="X16" s="699"/>
      <c r="Y16" s="699"/>
      <c r="Z16" s="699"/>
      <c r="AA16" s="699"/>
      <c r="AB16" s="699"/>
      <c r="AC16" s="700"/>
      <c r="AD16" s="105"/>
      <c r="AE16" s="101"/>
      <c r="AF16" s="42"/>
      <c r="AG16" s="101"/>
      <c r="AH16" s="101"/>
      <c r="AI16" s="101"/>
      <c r="AJ16" s="101"/>
      <c r="AK16" s="101"/>
      <c r="AL16" s="101"/>
      <c r="AM16" s="101"/>
      <c r="AN16" s="101"/>
      <c r="AO16" s="101"/>
      <c r="AP16" s="101"/>
      <c r="AQ16" s="101"/>
      <c r="AR16" s="101"/>
      <c r="AS16" s="101"/>
      <c r="AT16" s="101"/>
      <c r="AU16" s="101"/>
      <c r="AV16" s="101"/>
      <c r="AW16" s="101"/>
      <c r="AX16" s="101"/>
    </row>
    <row r="17" spans="1:51" ht="26.25" customHeight="1" x14ac:dyDescent="0.25">
      <c r="A17" s="101"/>
      <c r="B17" s="101"/>
      <c r="C17" s="101"/>
      <c r="D17" s="101"/>
      <c r="E17" s="101"/>
      <c r="F17" s="101"/>
      <c r="G17" s="101"/>
      <c r="H17" s="101"/>
      <c r="I17" s="698" t="s">
        <v>66</v>
      </c>
      <c r="J17" s="699"/>
      <c r="K17" s="699"/>
      <c r="L17" s="699"/>
      <c r="M17" s="699"/>
      <c r="N17" s="699"/>
      <c r="O17" s="699"/>
      <c r="P17" s="699"/>
      <c r="Q17" s="699"/>
      <c r="R17" s="699"/>
      <c r="S17" s="699"/>
      <c r="T17" s="699"/>
      <c r="U17" s="699"/>
      <c r="V17" s="699"/>
      <c r="W17" s="699"/>
      <c r="X17" s="699"/>
      <c r="Y17" s="699"/>
      <c r="Z17" s="699"/>
      <c r="AA17" s="699"/>
      <c r="AB17" s="699"/>
      <c r="AC17" s="700"/>
      <c r="AD17" s="106" t="s">
        <v>67</v>
      </c>
      <c r="AE17" s="101"/>
      <c r="AF17" s="101"/>
      <c r="AG17" s="101"/>
      <c r="AH17" s="101"/>
      <c r="AI17" s="101"/>
      <c r="AJ17" s="101"/>
      <c r="AK17" s="101"/>
      <c r="AL17" s="101"/>
      <c r="AM17" s="101"/>
      <c r="AN17" s="101"/>
      <c r="AO17" s="101"/>
      <c r="AP17" s="101"/>
      <c r="AQ17" s="101"/>
      <c r="AR17" s="101"/>
      <c r="AS17" s="101"/>
      <c r="AT17" s="101"/>
      <c r="AU17" s="101"/>
      <c r="AV17" s="101"/>
      <c r="AW17" s="101"/>
      <c r="AX17" s="101"/>
    </row>
    <row r="18" spans="1:51" ht="15" customHeight="1" x14ac:dyDescent="0.25">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105" t="s">
        <v>58</v>
      </c>
      <c r="AD18" s="105"/>
      <c r="AE18" s="42"/>
      <c r="AF18" s="42"/>
      <c r="AG18" s="42"/>
      <c r="AH18" s="42"/>
      <c r="AI18" s="42"/>
      <c r="AJ18" s="42"/>
      <c r="AK18" s="42"/>
      <c r="AL18" s="42"/>
      <c r="AM18" s="42"/>
      <c r="AN18" s="42"/>
      <c r="AO18" s="42"/>
      <c r="AP18" s="42"/>
      <c r="AQ18" s="42"/>
      <c r="AR18" s="42"/>
      <c r="AS18" s="42"/>
      <c r="AT18" s="42"/>
      <c r="AU18" s="42"/>
      <c r="AV18" s="42"/>
      <c r="AW18" s="42"/>
      <c r="AX18" s="42"/>
    </row>
    <row r="19" spans="1:51" ht="15" customHeight="1" x14ac:dyDescent="0.25">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105"/>
      <c r="AD19" s="105"/>
      <c r="AE19" s="42"/>
      <c r="AF19" s="42"/>
      <c r="AG19" s="42"/>
      <c r="AH19" s="42"/>
      <c r="AI19" s="42"/>
      <c r="AJ19" s="42"/>
      <c r="AK19" s="42"/>
      <c r="AL19" s="42"/>
      <c r="AM19" s="42"/>
      <c r="AN19" s="42"/>
      <c r="AO19" s="42"/>
      <c r="AP19" s="42"/>
      <c r="AQ19" s="42"/>
      <c r="AR19" s="42"/>
      <c r="AS19" s="42"/>
      <c r="AT19" s="42"/>
      <c r="AU19" s="42"/>
      <c r="AV19" s="42"/>
      <c r="AW19" s="42"/>
      <c r="AX19" s="42"/>
    </row>
    <row r="20" spans="1:51" ht="15" customHeight="1" x14ac:dyDescent="0.2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105"/>
      <c r="AD20" s="105"/>
      <c r="AE20" s="42"/>
      <c r="AF20" s="42"/>
      <c r="AG20" s="42"/>
      <c r="AH20" s="42"/>
      <c r="AI20" s="42"/>
      <c r="AJ20" s="42"/>
      <c r="AK20" s="42"/>
      <c r="AL20" s="42"/>
      <c r="AM20" s="42"/>
      <c r="AN20" s="42"/>
      <c r="AO20" s="42"/>
      <c r="AP20" s="42"/>
      <c r="AQ20" s="42"/>
      <c r="AR20" s="42"/>
      <c r="AS20" s="42"/>
      <c r="AT20" s="42"/>
      <c r="AU20" s="42"/>
      <c r="AV20" s="42"/>
      <c r="AW20" s="42"/>
      <c r="AX20" s="42"/>
    </row>
    <row r="21" spans="1:51" ht="15.75" customHeight="1"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101"/>
      <c r="AF21" s="30"/>
      <c r="AG21" s="30"/>
      <c r="AH21" s="30"/>
      <c r="AI21" s="30"/>
      <c r="AJ21" s="30"/>
      <c r="AK21" s="30"/>
      <c r="AL21" s="30"/>
      <c r="AM21" s="30"/>
      <c r="AN21" s="30"/>
      <c r="AO21" s="30"/>
      <c r="AP21" s="30"/>
      <c r="AQ21" s="30"/>
      <c r="AR21" s="30"/>
      <c r="AS21" s="30"/>
      <c r="AT21" s="30"/>
      <c r="AU21" s="30"/>
      <c r="AV21" s="30"/>
      <c r="AW21" s="30"/>
      <c r="AX21" s="30"/>
    </row>
    <row r="22" spans="1:51" ht="21.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42"/>
      <c r="AF22" s="30"/>
      <c r="AG22" s="30"/>
      <c r="AH22" s="30"/>
      <c r="AI22" s="30"/>
      <c r="AJ22" s="30"/>
      <c r="AK22" s="30"/>
      <c r="AL22" s="30"/>
      <c r="AM22" s="30"/>
      <c r="AN22" s="30"/>
      <c r="AO22" s="30"/>
      <c r="AP22" s="30"/>
      <c r="AQ22" s="30"/>
      <c r="AR22" s="30"/>
      <c r="AS22" s="30">
        <v>2018</v>
      </c>
      <c r="AT22" s="30" t="s">
        <v>79</v>
      </c>
      <c r="AU22" s="30"/>
      <c r="AV22" s="30" t="s">
        <v>80</v>
      </c>
      <c r="AW22" s="30"/>
      <c r="AX22" s="107" t="s">
        <v>249</v>
      </c>
      <c r="AY22" s="108" t="s">
        <v>20</v>
      </c>
    </row>
    <row r="23" spans="1:51"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109"/>
      <c r="AF23" s="30"/>
      <c r="AG23" s="30"/>
      <c r="AH23" s="30"/>
      <c r="AI23" s="30"/>
      <c r="AJ23" s="30"/>
      <c r="AK23" s="30"/>
      <c r="AL23" s="30"/>
      <c r="AM23" s="30"/>
      <c r="AN23" s="30"/>
      <c r="AO23" s="30"/>
      <c r="AP23" s="30"/>
      <c r="AQ23" s="30"/>
      <c r="AR23" s="30"/>
      <c r="AS23" s="30"/>
      <c r="AT23" s="30" t="s">
        <v>24</v>
      </c>
      <c r="AU23" s="30" t="s">
        <v>25</v>
      </c>
      <c r="AV23" s="30" t="s">
        <v>24</v>
      </c>
      <c r="AW23" s="30" t="s">
        <v>25</v>
      </c>
      <c r="AX23" s="32">
        <v>2018</v>
      </c>
      <c r="AY23" s="32">
        <v>2018</v>
      </c>
    </row>
    <row r="24" spans="1:51" ht="15.7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t="s">
        <v>30</v>
      </c>
      <c r="AT24" s="110">
        <f>AV24/1000000</f>
        <v>216.38012950000001</v>
      </c>
      <c r="AU24" s="110">
        <f>AW24/1000000</f>
        <v>226.77197834999998</v>
      </c>
      <c r="AV24" s="111">
        <f>U9</f>
        <v>216380129.5</v>
      </c>
      <c r="AW24" s="111">
        <f>V9</f>
        <v>226771978.34999999</v>
      </c>
      <c r="AX24" s="76">
        <f>X9</f>
        <v>33.240844606995005</v>
      </c>
      <c r="AY24" s="112">
        <f>Z9</f>
        <v>51.172492318768057</v>
      </c>
    </row>
    <row r="25" spans="1:51"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t="s">
        <v>41</v>
      </c>
      <c r="AT25" s="110">
        <f t="shared" ref="AT25:AU25" si="9">AV25/1000000</f>
        <v>47.343537929999997</v>
      </c>
      <c r="AU25" s="111">
        <f t="shared" si="9"/>
        <v>11.275391519999999</v>
      </c>
      <c r="AV25" s="111">
        <f t="shared" ref="AV25:AW25" si="10">U10</f>
        <v>47343537.93</v>
      </c>
      <c r="AW25" s="111">
        <f t="shared" si="10"/>
        <v>11275391.52</v>
      </c>
      <c r="AX25" s="76">
        <f>X10</f>
        <v>4.3970065590558001</v>
      </c>
      <c r="AY25" s="112">
        <f t="shared" ref="AY25:AY27" si="11">Z10</f>
        <v>19.235068988452841</v>
      </c>
    </row>
    <row r="26" spans="1:51"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88" t="s">
        <v>46</v>
      </c>
      <c r="AT26" s="111">
        <f t="shared" ref="AT26:AU26" si="12">AV26/1000000</f>
        <v>221.24337326</v>
      </c>
      <c r="AU26" s="111">
        <f t="shared" si="12"/>
        <v>59.317204630000006</v>
      </c>
      <c r="AV26" s="111">
        <f t="shared" ref="AV26:AW26" si="13">U11</f>
        <v>221243373.25999999</v>
      </c>
      <c r="AW26" s="111">
        <f t="shared" si="13"/>
        <v>59317204.630000003</v>
      </c>
      <c r="AX26" s="76">
        <f>X11</f>
        <v>21.044852111246044</v>
      </c>
      <c r="AY26" s="112">
        <f t="shared" si="11"/>
        <v>21.142387528605902</v>
      </c>
    </row>
    <row r="27" spans="1:51"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t="s">
        <v>73</v>
      </c>
      <c r="AT27" s="111">
        <f t="shared" ref="AT27:AU27" si="14">AV27/1000000</f>
        <v>276.55911357999997</v>
      </c>
      <c r="AU27" s="111">
        <f t="shared" si="14"/>
        <v>274.26465007000002</v>
      </c>
      <c r="AV27" s="111">
        <f t="shared" ref="AV27:AW27" si="15">U12</f>
        <v>276559113.57999998</v>
      </c>
      <c r="AW27" s="111">
        <f t="shared" si="15"/>
        <v>274264650.06999999</v>
      </c>
      <c r="AX27" s="76">
        <f>X12</f>
        <v>41.317296722703141</v>
      </c>
      <c r="AY27" s="112">
        <f t="shared" si="11"/>
        <v>49.791724353466897</v>
      </c>
    </row>
    <row r="28" spans="1:51"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row>
    <row r="29" spans="1:51"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row>
    <row r="30" spans="1:51"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row>
    <row r="31" spans="1:51"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row>
    <row r="32" spans="1:51"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row>
    <row r="33" spans="1:50"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row>
    <row r="34" spans="1:50"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row>
    <row r="35" spans="1:50" ht="8.2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row>
    <row r="36" spans="1:50"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row>
    <row r="37" spans="1:50"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row>
    <row r="38" spans="1:50"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row>
    <row r="39" spans="1:50"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row>
    <row r="40" spans="1:50"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row>
    <row r="41" spans="1:50"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row>
    <row r="42" spans="1:50"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row>
    <row r="43" spans="1:50"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row>
    <row r="44" spans="1:50"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row>
    <row r="45" spans="1:50"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row>
    <row r="46" spans="1:50"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row>
    <row r="47" spans="1:50"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row>
    <row r="48" spans="1:50"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row>
    <row r="49" spans="1:50"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row>
    <row r="50" spans="1:50"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row>
    <row r="51" spans="1:50"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row>
    <row r="52" spans="1:50"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row>
    <row r="53" spans="1:50" ht="15.7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row>
    <row r="54" spans="1:50"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row>
    <row r="55" spans="1:50" ht="15.7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row>
    <row r="56" spans="1:50" ht="15.7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row>
    <row r="57" spans="1:50" ht="15.7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row>
    <row r="58" spans="1:50" ht="15.7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row>
    <row r="59" spans="1:50" ht="15.7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row>
    <row r="60" spans="1:50" ht="15.7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row>
    <row r="61" spans="1:50"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row>
    <row r="62" spans="1:50" ht="15.7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row>
    <row r="63" spans="1:50" ht="15.7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row>
    <row r="64" spans="1:50" ht="15.7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row>
    <row r="65" spans="1:50" ht="15.7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row>
    <row r="66" spans="1:50" ht="15.7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row>
    <row r="67" spans="1:50" ht="15.7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row>
    <row r="68" spans="1:50" ht="15.7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row>
    <row r="69" spans="1:50" ht="15.7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row>
    <row r="70" spans="1:50" ht="15.7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row>
    <row r="71" spans="1:50" ht="15.7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row>
    <row r="72" spans="1:50" ht="15.7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row>
    <row r="73" spans="1:50" ht="15.7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row>
    <row r="74" spans="1:50" ht="15.7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row>
    <row r="75" spans="1:50" ht="15.7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row>
    <row r="76" spans="1:50" ht="15.7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row>
    <row r="77" spans="1:50" ht="15.7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row>
    <row r="78" spans="1:50" ht="15.7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row>
    <row r="79" spans="1:50" ht="15.75" customHeight="1"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row>
    <row r="80" spans="1:50" ht="15.75" customHeight="1"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row>
    <row r="81" spans="1:50" ht="15.75" customHeight="1"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row>
    <row r="82" spans="1:50" ht="15.75" customHeight="1"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row>
    <row r="83" spans="1:50" ht="15.75" customHeight="1"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row>
    <row r="84" spans="1:50" ht="15.75" customHeight="1"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row>
    <row r="85" spans="1:50" ht="15.75" customHeight="1"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row>
    <row r="86" spans="1:50" ht="15.75" customHeight="1"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row>
    <row r="87" spans="1:50" ht="15.75" customHeight="1"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row>
    <row r="88" spans="1:50" ht="15.75" customHeight="1"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row>
    <row r="89" spans="1:50" ht="15.75" customHeight="1"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row>
    <row r="90" spans="1:50" ht="15.75" customHeight="1"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row>
    <row r="91" spans="1:50" ht="15.75" customHeight="1"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row>
    <row r="92" spans="1:50" ht="15.75" customHeight="1"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row>
    <row r="93" spans="1:50" ht="15.75" customHeight="1"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row>
    <row r="94" spans="1:50" ht="15.75" customHeight="1"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row>
    <row r="95" spans="1:50" ht="15.75" customHeight="1"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row>
    <row r="96" spans="1:50" ht="15.75" customHeight="1"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row>
    <row r="97" spans="1:50" ht="15.75" customHeight="1"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row>
    <row r="98" spans="1:50" ht="15.75" customHeight="1"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row>
    <row r="99" spans="1:50" ht="15.75" customHeight="1"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row>
    <row r="100" spans="1:50" ht="15.75" customHeight="1"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row>
    <row r="101" spans="1:50" ht="15.75" customHeight="1"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row>
    <row r="102" spans="1:50" ht="15.75" customHeight="1"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row>
    <row r="103" spans="1:50" ht="15.75" customHeight="1"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row>
    <row r="104" spans="1:50" ht="15.75" customHeight="1"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row>
    <row r="105" spans="1:50" ht="15.75" customHeight="1"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row>
    <row r="106" spans="1:50" ht="15.75" customHeight="1"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row>
    <row r="107" spans="1:50" ht="15.75" customHeight="1"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row>
    <row r="108" spans="1:50" ht="15.75" customHeight="1"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row>
    <row r="109" spans="1:50" ht="15.75" customHeight="1"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row>
    <row r="110" spans="1:50" ht="15.75" customHeight="1"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row>
    <row r="111" spans="1:50" ht="15.75" customHeight="1"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row>
    <row r="112" spans="1:50" ht="15.75" customHeight="1"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row>
    <row r="113" spans="1:50" ht="15.75" customHeight="1"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row>
    <row r="114" spans="1:50" ht="15.75" customHeight="1"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row>
    <row r="115" spans="1:50" ht="15.75" customHeight="1"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row>
    <row r="116" spans="1:50" ht="15.75" customHeight="1"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row>
    <row r="117" spans="1:50" ht="15.75" customHeight="1"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row>
    <row r="118" spans="1:50" ht="15.75" customHeight="1"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row>
    <row r="119" spans="1:50" ht="15.75" customHeight="1"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row>
    <row r="120" spans="1:50" ht="15.75" customHeight="1"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row>
    <row r="121" spans="1:50" ht="15.75" customHeight="1"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row>
    <row r="122" spans="1:50" ht="15.75" customHeight="1"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row>
    <row r="123" spans="1:50" ht="15.75" customHeight="1"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row>
    <row r="124" spans="1:50" ht="15.75" customHeight="1"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row>
    <row r="125" spans="1:50" ht="15.75" customHeight="1"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row>
    <row r="126" spans="1:50" ht="15.75" customHeight="1"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row>
    <row r="127" spans="1:50" ht="15.75" customHeight="1"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row>
    <row r="128" spans="1:50" ht="15.75" customHeight="1"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row>
    <row r="129" spans="1:50" ht="15.75" customHeight="1"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row>
    <row r="130" spans="1:50" ht="15.75" customHeigh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row>
    <row r="131" spans="1:50" ht="15.75" customHeight="1"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row>
    <row r="132" spans="1:50" ht="15.75" customHeight="1"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row>
    <row r="133" spans="1:50" ht="15.75" customHeight="1"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row>
    <row r="134" spans="1:50" ht="15.75" customHeight="1"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row>
    <row r="135" spans="1:50" ht="15.75" customHeight="1"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row>
    <row r="136" spans="1:50" ht="15.75" customHeight="1"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row>
    <row r="137" spans="1:50" ht="15.75" customHeight="1"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row>
    <row r="138" spans="1:50" ht="15.75" customHeight="1"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row>
    <row r="139" spans="1:50" ht="15.75" customHeight="1"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row>
    <row r="140" spans="1:50" ht="15.75" customHeight="1"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row>
    <row r="141" spans="1:50" ht="15.75" customHeight="1"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row>
    <row r="142" spans="1:50" ht="15.75" customHeight="1"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row>
    <row r="143" spans="1:50" ht="15.75" customHeight="1"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row>
    <row r="144" spans="1:50" ht="15.75" customHeight="1"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row>
    <row r="145" spans="1:50" ht="15.75" customHeight="1"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row>
    <row r="146" spans="1:50" ht="15.75" customHeight="1"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row>
    <row r="147" spans="1:50" ht="15.75" customHeight="1"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row>
    <row r="148" spans="1:50" ht="15.75" customHeight="1"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row>
    <row r="149" spans="1:50" ht="15.75" customHeight="1"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row>
    <row r="150" spans="1:50" ht="15.75" customHeight="1"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row>
    <row r="151" spans="1:50" ht="15.75" customHeight="1"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row>
    <row r="152" spans="1:50" ht="15.75" customHeight="1"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row>
    <row r="153" spans="1:50" ht="15.75" customHeight="1"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row>
    <row r="154" spans="1:50" ht="15.75" customHeight="1"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row>
    <row r="155" spans="1:50" ht="15.75" customHeight="1"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row>
    <row r="156" spans="1:50" ht="15.75" customHeight="1"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row>
    <row r="157" spans="1:50" ht="15.75" customHeight="1"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row>
    <row r="158" spans="1:50" ht="15.75" customHeight="1"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row>
    <row r="159" spans="1:50" ht="15.75" customHeight="1"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row>
    <row r="160" spans="1:50" ht="15.75" customHeight="1"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row>
    <row r="161" spans="1:50" ht="15.75" customHeight="1"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row>
    <row r="162" spans="1:50" ht="15.75" customHeight="1"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row>
    <row r="163" spans="1:50" ht="15.75" customHeight="1"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row>
    <row r="164" spans="1:50" ht="15.75" customHeight="1"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row>
    <row r="165" spans="1:50" ht="15.75" customHeight="1"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row>
    <row r="166" spans="1:50" ht="15.75" customHeight="1"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row>
    <row r="167" spans="1:50" ht="15.75" customHeight="1"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row>
    <row r="168" spans="1:50" ht="15.75" customHeight="1"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row>
    <row r="169" spans="1:50" ht="15.75" customHeight="1"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row>
    <row r="170" spans="1:50" ht="15.75" customHeight="1"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row>
    <row r="171" spans="1:50" ht="15.75" customHeight="1"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row>
    <row r="172" spans="1:50" ht="15.75" customHeight="1"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row>
    <row r="173" spans="1:50" ht="15.75" customHeight="1"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row>
    <row r="174" spans="1:50" ht="15.75" customHeight="1"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row>
    <row r="175" spans="1:50" ht="15.75" customHeight="1"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row>
    <row r="176" spans="1:50" ht="15.75" customHeight="1"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row>
    <row r="177" spans="1:50" ht="15.75" customHeight="1"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row>
    <row r="178" spans="1:50" ht="15.75" customHeight="1"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row>
    <row r="179" spans="1:50" ht="15.75" customHeight="1"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row>
    <row r="180" spans="1:50" ht="15.75" customHeight="1"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row>
    <row r="181" spans="1:50" ht="15.75" customHeight="1"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row>
    <row r="182" spans="1:50" ht="15.75" customHeight="1"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row>
    <row r="183" spans="1:50" ht="15.75" customHeight="1"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row>
    <row r="184" spans="1:50" ht="15.75" customHeight="1"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row>
    <row r="185" spans="1:50" ht="15.75" customHeight="1"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row>
    <row r="186" spans="1:50" ht="15.75" customHeight="1"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row>
    <row r="187" spans="1:50" ht="15.75" customHeight="1"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row>
    <row r="188" spans="1:50" ht="15.75" customHeight="1"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row>
    <row r="189" spans="1:50" ht="15.75" customHeight="1"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row>
    <row r="190" spans="1:50" ht="15.75" customHeight="1"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row>
    <row r="191" spans="1:50" ht="15.75" customHeight="1"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row>
    <row r="192" spans="1:50" ht="15.75" customHeight="1"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row>
    <row r="193" spans="1:50" ht="15.75" customHeight="1"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row>
    <row r="194" spans="1:50" ht="15.75" customHeight="1"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row>
    <row r="195" spans="1:50" ht="15.75" customHeight="1"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row>
    <row r="196" spans="1:50" ht="15.75" customHeight="1"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row>
    <row r="197" spans="1:50" ht="15.75" customHeight="1"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row>
    <row r="198" spans="1:50" ht="15.75" customHeight="1"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row>
    <row r="199" spans="1:50" ht="15.75" customHeight="1"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row>
    <row r="200" spans="1:50" ht="15.75" customHeight="1"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row>
    <row r="201" spans="1:50" ht="15.75" customHeight="1"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row>
    <row r="202" spans="1:50" ht="15.75" customHeight="1"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row>
    <row r="203" spans="1:50" ht="15.75" customHeight="1"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row>
    <row r="204" spans="1:50" ht="15.75" customHeight="1"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row>
    <row r="205" spans="1:50" ht="15.75" customHeight="1"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row>
    <row r="206" spans="1:50" ht="15.75" customHeight="1"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row>
    <row r="207" spans="1:50" ht="15.75" customHeight="1"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row>
    <row r="208" spans="1:50" ht="15.75" customHeight="1"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row>
    <row r="209" spans="1:50" ht="15.75" customHeight="1"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row>
    <row r="210" spans="1:50" ht="15.75" customHeight="1"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row>
    <row r="211" spans="1:50" ht="15.75" customHeight="1"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row>
    <row r="212" spans="1:50" ht="15.75" customHeight="1"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row>
    <row r="213" spans="1:50" ht="15.75" customHeight="1"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row>
    <row r="214" spans="1:50" ht="15.75" customHeight="1"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row>
    <row r="215" spans="1:50" ht="15.75" customHeight="1"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row>
    <row r="216" spans="1:50" ht="15.75" customHeight="1"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row>
    <row r="217" spans="1:50" ht="15.75" customHeight="1"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row>
    <row r="218" spans="1:50" ht="15.75" customHeight="1"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row>
    <row r="219" spans="1:50" ht="15.75" customHeight="1"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row>
    <row r="220" spans="1:50" ht="15.75" customHeight="1"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row>
    <row r="221" spans="1:50" ht="15.75" customHeight="1"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row>
    <row r="222" spans="1:50" ht="15.75" customHeight="1"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row>
    <row r="223" spans="1:50" ht="15.75" customHeight="1"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row>
    <row r="224" spans="1:50" ht="15.75" customHeight="1"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row>
    <row r="225" spans="1:50" ht="15.75" customHeight="1"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row>
    <row r="226" spans="1:50" ht="15.75" customHeight="1"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row>
    <row r="227" spans="1:50" ht="15.75" customHeight="1"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row>
    <row r="228" spans="1:50" ht="15.75" customHeight="1"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row>
    <row r="229" spans="1:50" ht="15.75" customHeight="1"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row>
    <row r="230" spans="1:50" ht="15.75" customHeight="1"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row>
    <row r="231" spans="1:50" ht="15.75" customHeight="1"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row>
    <row r="232" spans="1:50" ht="15.75" customHeight="1"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row>
    <row r="233" spans="1:50" ht="15.75" customHeight="1"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row>
    <row r="234" spans="1:50" ht="15.75" customHeight="1"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row>
    <row r="235" spans="1:50" ht="15.75" customHeight="1"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row>
    <row r="236" spans="1:50" ht="15.75" customHeight="1"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row>
    <row r="237" spans="1:50" ht="15.75" customHeight="1"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row>
    <row r="238" spans="1:50" ht="15.75" customHeight="1"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row>
    <row r="239" spans="1:50" ht="15.75" customHeight="1"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row>
    <row r="240" spans="1:50" ht="15.75" customHeight="1"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row>
    <row r="241" spans="1:50" ht="15.75" customHeight="1"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row>
    <row r="242" spans="1:50" ht="15.75" customHeight="1"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row>
    <row r="243" spans="1:50" ht="15.75" customHeight="1"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row>
    <row r="244" spans="1:50" ht="15.75" customHeight="1"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row>
    <row r="245" spans="1:50" ht="15.75" customHeight="1"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row>
    <row r="246" spans="1:50" ht="15.75" customHeight="1"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row>
    <row r="247" spans="1:50" ht="15.75" customHeight="1"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row>
    <row r="248" spans="1:50" ht="15.75" customHeight="1"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row>
    <row r="249" spans="1:50" ht="15.75" customHeight="1"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row>
    <row r="250" spans="1:50" ht="15.75" customHeight="1"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row>
    <row r="251" spans="1:50" ht="15.75" customHeight="1"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row>
    <row r="252" spans="1:50" ht="15.75" customHeight="1"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row>
    <row r="253" spans="1:50" ht="15.75" customHeight="1"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row>
    <row r="254" spans="1:50" ht="15.75" customHeight="1"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row>
    <row r="255" spans="1:50" ht="15.75" customHeight="1"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row>
    <row r="256" spans="1:50" ht="15.75" customHeight="1"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row>
    <row r="257" spans="1:50" ht="15.75" customHeight="1"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row>
    <row r="258" spans="1:50" ht="15.75" customHeight="1"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row>
    <row r="259" spans="1:50" ht="15.75" customHeight="1"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row>
    <row r="260" spans="1:50" ht="15.75" customHeight="1"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row>
    <row r="261" spans="1:50" ht="15.75" customHeight="1" x14ac:dyDescent="0.2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row>
    <row r="262" spans="1:50" ht="15.75" customHeight="1" x14ac:dyDescent="0.2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row>
    <row r="263" spans="1:50" ht="15.75" customHeight="1" x14ac:dyDescent="0.2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row>
    <row r="264" spans="1:50" ht="15.75" customHeight="1" x14ac:dyDescent="0.2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row>
    <row r="265" spans="1:50" ht="15.75" customHeight="1" x14ac:dyDescent="0.2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row>
    <row r="266" spans="1:50" ht="15.75" customHeight="1" x14ac:dyDescent="0.2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row>
    <row r="267" spans="1:50" ht="15.75" customHeight="1" x14ac:dyDescent="0.2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row>
    <row r="268" spans="1:50" ht="15.75" customHeight="1" x14ac:dyDescent="0.2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row>
    <row r="269" spans="1:50" ht="15.75" customHeight="1" x14ac:dyDescent="0.2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row>
    <row r="270" spans="1:50" ht="15.75" customHeight="1" x14ac:dyDescent="0.2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row>
    <row r="271" spans="1:50" ht="15.75" customHeight="1" x14ac:dyDescent="0.2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row>
    <row r="272" spans="1:50" ht="15.75" customHeight="1" x14ac:dyDescent="0.2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row>
    <row r="273" spans="1:50" ht="15.75" customHeight="1" x14ac:dyDescent="0.2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row>
    <row r="274" spans="1:50" ht="15.75" customHeight="1" x14ac:dyDescent="0.2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row>
    <row r="275" spans="1:50" ht="15.75" customHeight="1" x14ac:dyDescent="0.2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row>
    <row r="276" spans="1:50" ht="15.75" customHeight="1" x14ac:dyDescent="0.2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row>
    <row r="277" spans="1:50" ht="15.75" customHeight="1" x14ac:dyDescent="0.2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row>
    <row r="278" spans="1:50" ht="15.75" customHeight="1" x14ac:dyDescent="0.2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row>
    <row r="279" spans="1:50" ht="15.75" customHeight="1" x14ac:dyDescent="0.2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row>
    <row r="280" spans="1:50" ht="15.75" customHeight="1" x14ac:dyDescent="0.2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row>
    <row r="281" spans="1:50" ht="15.75" customHeight="1" x14ac:dyDescent="0.2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row>
    <row r="282" spans="1:50" ht="15.75" customHeight="1" x14ac:dyDescent="0.2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row>
    <row r="283" spans="1:50" ht="15.75" customHeight="1" x14ac:dyDescent="0.2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row>
    <row r="284" spans="1:50" ht="15.75" customHeight="1" x14ac:dyDescent="0.2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row>
    <row r="285" spans="1:50" ht="15.75" customHeight="1" x14ac:dyDescent="0.2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row>
    <row r="286" spans="1:50" ht="15.75" customHeight="1" x14ac:dyDescent="0.25">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row>
    <row r="287" spans="1:50" ht="15.75" customHeight="1" x14ac:dyDescent="0.25">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row>
    <row r="288" spans="1:50" ht="15.75" customHeight="1" x14ac:dyDescent="0.25">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row>
    <row r="289" spans="1:50" ht="15.75" customHeight="1" x14ac:dyDescent="0.25">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row>
    <row r="290" spans="1:50" ht="15.75" customHeight="1" x14ac:dyDescent="0.25">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row>
    <row r="291" spans="1:50" ht="15.75" customHeight="1" x14ac:dyDescent="0.25">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row>
    <row r="292" spans="1:50" ht="15.75" customHeight="1" x14ac:dyDescent="0.25">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row>
    <row r="293" spans="1:50" ht="15.75" customHeight="1" x14ac:dyDescent="0.25">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row>
    <row r="294" spans="1:50" ht="15.75" customHeight="1" x14ac:dyDescent="0.25">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row>
    <row r="295" spans="1:50" ht="15.75" customHeight="1" x14ac:dyDescent="0.2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row>
    <row r="296" spans="1:50" ht="15.75" customHeight="1" x14ac:dyDescent="0.25">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row>
    <row r="297" spans="1:50" ht="15.75" customHeight="1" x14ac:dyDescent="0.25">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row>
    <row r="298" spans="1:50" ht="15.75" customHeight="1" x14ac:dyDescent="0.25">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row>
    <row r="299" spans="1:50" ht="15.75" customHeight="1" x14ac:dyDescent="0.25">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row>
    <row r="300" spans="1:50" ht="15.75" customHeight="1" x14ac:dyDescent="0.25">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row>
    <row r="301" spans="1:50" ht="15.75" customHeight="1" x14ac:dyDescent="0.25">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row>
    <row r="302" spans="1:50" ht="15.75" customHeight="1" x14ac:dyDescent="0.25">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row>
    <row r="303" spans="1:50" ht="15.75" customHeight="1" x14ac:dyDescent="0.25">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row>
    <row r="304" spans="1:50" ht="15.75" customHeight="1" x14ac:dyDescent="0.25">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row>
    <row r="305" spans="1:50" ht="15.75" customHeight="1" x14ac:dyDescent="0.2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row>
    <row r="306" spans="1:50" ht="15.75" customHeight="1" x14ac:dyDescent="0.25">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row>
    <row r="307" spans="1:50" ht="15.75" customHeight="1" x14ac:dyDescent="0.25">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row>
    <row r="308" spans="1:50" ht="15.75" customHeight="1" x14ac:dyDescent="0.25">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row>
    <row r="309" spans="1:50" ht="15.75" customHeight="1" x14ac:dyDescent="0.25">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row>
    <row r="310" spans="1:50" ht="15.75" customHeight="1" x14ac:dyDescent="0.25">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row>
    <row r="311" spans="1:50" ht="15.75" customHeight="1" x14ac:dyDescent="0.25">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row>
    <row r="312" spans="1:50" ht="15.75" customHeight="1" x14ac:dyDescent="0.25">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row>
    <row r="313" spans="1:50" ht="15.75" customHeight="1" x14ac:dyDescent="0.25">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row>
    <row r="314" spans="1:50" ht="15.75" customHeight="1" x14ac:dyDescent="0.25">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row>
    <row r="315" spans="1:50" ht="15.75" customHeight="1" x14ac:dyDescent="0.2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row>
    <row r="316" spans="1:50" ht="15.75" customHeight="1" x14ac:dyDescent="0.25">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row>
    <row r="317" spans="1:50" ht="15.75" customHeight="1" x14ac:dyDescent="0.25">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row>
    <row r="318" spans="1:50" ht="15.75" customHeight="1" x14ac:dyDescent="0.25">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row>
    <row r="319" spans="1:50" ht="15.75" customHeight="1" x14ac:dyDescent="0.25">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row>
    <row r="320" spans="1:50" ht="15.75" customHeight="1" x14ac:dyDescent="0.25">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row>
    <row r="321" spans="1:50" ht="15.75" customHeight="1" x14ac:dyDescent="0.25">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row>
    <row r="322" spans="1:50" ht="15.75" customHeight="1" x14ac:dyDescent="0.25">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row>
    <row r="323" spans="1:50" ht="15.75" customHeight="1" x14ac:dyDescent="0.25">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row>
    <row r="324" spans="1:50" ht="15.75" customHeight="1" x14ac:dyDescent="0.25">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row>
    <row r="325" spans="1:50" ht="15.75" customHeight="1" x14ac:dyDescent="0.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row>
    <row r="326" spans="1:50" ht="15.75" customHeight="1" x14ac:dyDescent="0.25">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row>
    <row r="327" spans="1:50" ht="15.75" customHeight="1" x14ac:dyDescent="0.25">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row>
    <row r="328" spans="1:50" ht="15.75" customHeight="1" x14ac:dyDescent="0.25">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row>
    <row r="329" spans="1:50" ht="15.75" customHeight="1" x14ac:dyDescent="0.25">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row>
    <row r="330" spans="1:50" ht="15.75" customHeight="1" x14ac:dyDescent="0.25">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row>
    <row r="331" spans="1:50" ht="15.75" customHeight="1" x14ac:dyDescent="0.25">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row>
    <row r="332" spans="1:50" ht="15.75" customHeight="1" x14ac:dyDescent="0.25">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row>
    <row r="333" spans="1:50" ht="15.75" customHeight="1" x14ac:dyDescent="0.25">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row>
    <row r="334" spans="1:50" ht="15.75" customHeight="1" x14ac:dyDescent="0.25">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row>
    <row r="335" spans="1:50" ht="15.75" customHeight="1" x14ac:dyDescent="0.2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row>
    <row r="336" spans="1:50" ht="15.75" customHeight="1" x14ac:dyDescent="0.25">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row>
    <row r="337" spans="1:50" ht="15.75" customHeight="1" x14ac:dyDescent="0.25">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row>
    <row r="338" spans="1:50" ht="15.75" customHeight="1" x14ac:dyDescent="0.25">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row>
    <row r="339" spans="1:50" ht="15.75" customHeight="1" x14ac:dyDescent="0.25">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row>
    <row r="340" spans="1:50" ht="15.75" customHeight="1" x14ac:dyDescent="0.25">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row>
    <row r="341" spans="1:50" ht="15.75" customHeight="1" x14ac:dyDescent="0.25">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row>
    <row r="342" spans="1:50" ht="15.75" customHeight="1" x14ac:dyDescent="0.25">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row>
    <row r="343" spans="1:50" ht="15.75" customHeight="1" x14ac:dyDescent="0.25">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row>
    <row r="344" spans="1:50" ht="15.75" customHeight="1" x14ac:dyDescent="0.25">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row>
    <row r="345" spans="1:50" ht="15.75" customHeight="1" x14ac:dyDescent="0.2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row>
    <row r="346" spans="1:50" ht="15.75" customHeight="1" x14ac:dyDescent="0.25">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row>
    <row r="347" spans="1:50" ht="15.75" customHeight="1" x14ac:dyDescent="0.25">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row>
    <row r="348" spans="1:50" ht="15.75" customHeight="1" x14ac:dyDescent="0.25">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row>
    <row r="349" spans="1:50" ht="15.75" customHeight="1" x14ac:dyDescent="0.25">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row>
    <row r="350" spans="1:50" ht="15.75" customHeight="1" x14ac:dyDescent="0.25">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row>
    <row r="351" spans="1:50" ht="15.75" customHeight="1" x14ac:dyDescent="0.25">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row>
    <row r="352" spans="1:50" ht="15.75" customHeight="1" x14ac:dyDescent="0.25">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row>
    <row r="353" spans="1:50" ht="15.75" customHeight="1" x14ac:dyDescent="0.25">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row>
    <row r="354" spans="1:50" ht="15.75" customHeight="1" x14ac:dyDescent="0.25">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row>
    <row r="355" spans="1:50" ht="15.75" customHeight="1" x14ac:dyDescent="0.2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row>
    <row r="356" spans="1:50" ht="15.75" customHeight="1" x14ac:dyDescent="0.25">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row>
    <row r="357" spans="1:50" ht="15.75" customHeight="1" x14ac:dyDescent="0.25">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row>
    <row r="358" spans="1:50" ht="15.75" customHeight="1" x14ac:dyDescent="0.25">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row>
    <row r="359" spans="1:50" ht="15.75" customHeight="1" x14ac:dyDescent="0.25">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row>
    <row r="360" spans="1:50" ht="15.75" customHeight="1" x14ac:dyDescent="0.25">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row>
    <row r="361" spans="1:50" ht="15.75" customHeight="1" x14ac:dyDescent="0.25">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row>
    <row r="362" spans="1:50" ht="15.75" customHeight="1" x14ac:dyDescent="0.25">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row>
    <row r="363" spans="1:50" ht="15.75" customHeight="1" x14ac:dyDescent="0.25">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row>
    <row r="364" spans="1:50" ht="15.75" customHeight="1" x14ac:dyDescent="0.25">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row>
    <row r="365" spans="1:50" ht="15.75" customHeight="1" x14ac:dyDescent="0.2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row>
    <row r="366" spans="1:50" ht="15.75" customHeight="1" x14ac:dyDescent="0.25">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row>
    <row r="367" spans="1:50" ht="15.75" customHeight="1" x14ac:dyDescent="0.25">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row>
    <row r="368" spans="1:50" ht="15.75" customHeight="1" x14ac:dyDescent="0.25">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row>
    <row r="369" spans="1:50" ht="15.75" customHeight="1" x14ac:dyDescent="0.25">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row>
    <row r="370" spans="1:50" ht="15.75" customHeight="1" x14ac:dyDescent="0.25">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row>
    <row r="371" spans="1:50" ht="15.75" customHeight="1" x14ac:dyDescent="0.25">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row>
    <row r="372" spans="1:50" ht="15.75" customHeight="1" x14ac:dyDescent="0.25">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row>
    <row r="373" spans="1:50" ht="15.75" customHeight="1" x14ac:dyDescent="0.25">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row>
    <row r="374" spans="1:50" ht="15.75" customHeight="1" x14ac:dyDescent="0.25">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row>
    <row r="375" spans="1:50" ht="15.75" customHeight="1" x14ac:dyDescent="0.2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row>
    <row r="376" spans="1:50" ht="15.75" customHeight="1" x14ac:dyDescent="0.25">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row>
    <row r="377" spans="1:50" ht="15.75" customHeight="1" x14ac:dyDescent="0.25">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row>
    <row r="378" spans="1:50" ht="15.75" customHeight="1" x14ac:dyDescent="0.25">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row>
    <row r="379" spans="1:50" ht="15.75" customHeight="1" x14ac:dyDescent="0.25">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row>
    <row r="380" spans="1:50" ht="15.75" customHeight="1" x14ac:dyDescent="0.25">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row>
    <row r="381" spans="1:50" ht="15.75" customHeight="1" x14ac:dyDescent="0.25">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row>
    <row r="382" spans="1:50" ht="15.75" customHeight="1" x14ac:dyDescent="0.25">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row>
    <row r="383" spans="1:50" ht="15.75" customHeight="1" x14ac:dyDescent="0.25">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row>
    <row r="384" spans="1:50" ht="15.75" customHeight="1" x14ac:dyDescent="0.25">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row>
    <row r="385" spans="1:50" ht="15.75" customHeight="1" x14ac:dyDescent="0.2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row>
    <row r="386" spans="1:50" ht="15.75" customHeight="1" x14ac:dyDescent="0.25">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row>
    <row r="387" spans="1:50" ht="15.75" customHeight="1" x14ac:dyDescent="0.25">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row>
    <row r="388" spans="1:50" ht="15.75" customHeight="1" x14ac:dyDescent="0.25">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row>
    <row r="389" spans="1:50" ht="15.75" customHeight="1" x14ac:dyDescent="0.25">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row>
    <row r="390" spans="1:50" ht="15.75" customHeight="1" x14ac:dyDescent="0.25">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row>
    <row r="391" spans="1:50" ht="15.75" customHeight="1" x14ac:dyDescent="0.25">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row>
    <row r="392" spans="1:50" ht="15.75" customHeight="1" x14ac:dyDescent="0.25">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row>
    <row r="393" spans="1:50" ht="15.75" customHeight="1" x14ac:dyDescent="0.25">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row>
    <row r="394" spans="1:50" ht="15.75" customHeight="1" x14ac:dyDescent="0.25">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row>
    <row r="395" spans="1:50" ht="15.75" customHeight="1" x14ac:dyDescent="0.2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row>
    <row r="396" spans="1:50" ht="15.75" customHeight="1" x14ac:dyDescent="0.25">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row>
    <row r="397" spans="1:50" ht="15.75" customHeight="1" x14ac:dyDescent="0.25">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row>
    <row r="398" spans="1:50" ht="15.75" customHeight="1" x14ac:dyDescent="0.25">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row>
    <row r="399" spans="1:50" ht="15.75" customHeight="1" x14ac:dyDescent="0.25">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row>
    <row r="400" spans="1:50" ht="15.75" customHeight="1" x14ac:dyDescent="0.25">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row>
    <row r="401" spans="1:50" ht="15.75" customHeight="1" x14ac:dyDescent="0.25">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row>
    <row r="402" spans="1:50" ht="15.75" customHeight="1" x14ac:dyDescent="0.25">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row>
    <row r="403" spans="1:50" ht="15.75" customHeight="1" x14ac:dyDescent="0.25">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row>
    <row r="404" spans="1:50" ht="15.75" customHeight="1" x14ac:dyDescent="0.25">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row>
    <row r="405" spans="1:50" ht="15.75" customHeight="1" x14ac:dyDescent="0.2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row>
    <row r="406" spans="1:50" ht="15.75" customHeight="1" x14ac:dyDescent="0.25">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row>
    <row r="407" spans="1:50" ht="15.75" customHeight="1" x14ac:dyDescent="0.25">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row>
    <row r="408" spans="1:50" ht="15.75" customHeight="1" x14ac:dyDescent="0.25">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row>
    <row r="409" spans="1:50" ht="15.75" customHeight="1" x14ac:dyDescent="0.25">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row>
    <row r="410" spans="1:50" ht="15.75" customHeight="1" x14ac:dyDescent="0.25">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row>
    <row r="411" spans="1:50" ht="15.75" customHeight="1" x14ac:dyDescent="0.25">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row>
    <row r="412" spans="1:50" ht="15.75" customHeight="1" x14ac:dyDescent="0.25">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row>
    <row r="413" spans="1:50" ht="15.75" customHeight="1" x14ac:dyDescent="0.25">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row>
    <row r="414" spans="1:50" ht="15.75" customHeight="1" x14ac:dyDescent="0.25">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row>
    <row r="415" spans="1:50" ht="15.75" customHeight="1" x14ac:dyDescent="0.2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row>
    <row r="416" spans="1:50" ht="15.75" customHeight="1" x14ac:dyDescent="0.25">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row>
    <row r="417" spans="1:50" ht="15.75" customHeight="1" x14ac:dyDescent="0.25">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row>
    <row r="418" spans="1:50" ht="15.75" customHeight="1" x14ac:dyDescent="0.25">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row>
    <row r="419" spans="1:50" ht="15.75" customHeight="1" x14ac:dyDescent="0.2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row>
    <row r="420" spans="1:50" ht="15.75" customHeight="1" x14ac:dyDescent="0.2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row>
    <row r="421" spans="1:50" ht="15.75" customHeight="1" x14ac:dyDescent="0.2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row>
    <row r="422" spans="1:50" ht="15.75" customHeight="1" x14ac:dyDescent="0.2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row>
    <row r="423" spans="1:50" ht="15.75" customHeight="1" x14ac:dyDescent="0.2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row>
    <row r="424" spans="1:50" ht="15.75" customHeight="1" x14ac:dyDescent="0.2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row>
    <row r="425" spans="1:50" ht="15.75" customHeight="1" x14ac:dyDescent="0.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row>
    <row r="426" spans="1:50" ht="15.75" customHeight="1" x14ac:dyDescent="0.2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row>
    <row r="427" spans="1:50" ht="15.75" customHeight="1" x14ac:dyDescent="0.2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row>
    <row r="428" spans="1:50" ht="15.75" customHeight="1" x14ac:dyDescent="0.2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row>
    <row r="429" spans="1:50" ht="15.75" customHeight="1" x14ac:dyDescent="0.2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row>
    <row r="430" spans="1:50" ht="15.75" customHeight="1" x14ac:dyDescent="0.2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row>
    <row r="431" spans="1:50" ht="15.75" customHeight="1" x14ac:dyDescent="0.2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row>
    <row r="432" spans="1:50" ht="15.75" customHeight="1" x14ac:dyDescent="0.2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row>
    <row r="433" spans="1:50" ht="15.75" customHeight="1" x14ac:dyDescent="0.2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row>
    <row r="434" spans="1:50" ht="15.75" customHeight="1" x14ac:dyDescent="0.2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row>
    <row r="435" spans="1:50" ht="15.75" customHeight="1" x14ac:dyDescent="0.2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row>
    <row r="436" spans="1:50" ht="15.75" customHeight="1" x14ac:dyDescent="0.2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row>
    <row r="437" spans="1:50" ht="15.75" customHeight="1" x14ac:dyDescent="0.2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row>
    <row r="438" spans="1:50" ht="15.75" customHeight="1" x14ac:dyDescent="0.2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row>
    <row r="439" spans="1:50" ht="15.75" customHeight="1" x14ac:dyDescent="0.2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row>
    <row r="440" spans="1:50" ht="15.75" customHeight="1" x14ac:dyDescent="0.2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row>
    <row r="441" spans="1:50" ht="15.75" customHeight="1" x14ac:dyDescent="0.2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row>
    <row r="442" spans="1:50" ht="15.75" customHeight="1" x14ac:dyDescent="0.2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row>
    <row r="443" spans="1:50" ht="15.75" customHeight="1" x14ac:dyDescent="0.2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row>
    <row r="444" spans="1:50" ht="15.75" customHeight="1" x14ac:dyDescent="0.2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row>
    <row r="445" spans="1:50" ht="15.75" customHeight="1" x14ac:dyDescent="0.2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row>
    <row r="446" spans="1:50" ht="15.75" customHeight="1" x14ac:dyDescent="0.2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row>
    <row r="447" spans="1:50" ht="15.75" customHeight="1" x14ac:dyDescent="0.2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row>
    <row r="448" spans="1:50" ht="15.75" customHeight="1" x14ac:dyDescent="0.2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row>
    <row r="449" spans="1:50" ht="15.75" customHeight="1" x14ac:dyDescent="0.2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row>
    <row r="450" spans="1:50" ht="15.75" customHeight="1" x14ac:dyDescent="0.2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row>
    <row r="451" spans="1:50" ht="15.75" customHeight="1" x14ac:dyDescent="0.2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row>
    <row r="452" spans="1:50" ht="15.75" customHeight="1" x14ac:dyDescent="0.2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row>
    <row r="453" spans="1:50" ht="15.75" customHeight="1" x14ac:dyDescent="0.2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row>
    <row r="454" spans="1:50" ht="15.75" customHeight="1" x14ac:dyDescent="0.2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row>
    <row r="455" spans="1:50" ht="15.75" customHeight="1" x14ac:dyDescent="0.2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row>
    <row r="456" spans="1:50" ht="15.75" customHeight="1" x14ac:dyDescent="0.2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row>
    <row r="457" spans="1:50" ht="15.75" customHeight="1" x14ac:dyDescent="0.2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row>
    <row r="458" spans="1:50" ht="15.75" customHeight="1" x14ac:dyDescent="0.2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row>
    <row r="459" spans="1:50" ht="15.75" customHeight="1" x14ac:dyDescent="0.2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row>
    <row r="460" spans="1:50" ht="15.75" customHeight="1" x14ac:dyDescent="0.2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row>
    <row r="461" spans="1:50" ht="15.75" customHeight="1" x14ac:dyDescent="0.2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row>
    <row r="462" spans="1:50" ht="15.75" customHeight="1" x14ac:dyDescent="0.2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row>
    <row r="463" spans="1:50" ht="15.75" customHeight="1" x14ac:dyDescent="0.2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row>
    <row r="464" spans="1:50" ht="15.75" customHeight="1" x14ac:dyDescent="0.2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row>
    <row r="465" spans="1:50" ht="15.75" customHeight="1" x14ac:dyDescent="0.2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row>
    <row r="466" spans="1:50" ht="15.75" customHeight="1" x14ac:dyDescent="0.2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row>
    <row r="467" spans="1:50" ht="15.75" customHeight="1" x14ac:dyDescent="0.2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row>
    <row r="468" spans="1:50" ht="15.75" customHeight="1" x14ac:dyDescent="0.2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row>
    <row r="469" spans="1:50" ht="15.75" customHeight="1" x14ac:dyDescent="0.2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row>
    <row r="470" spans="1:50" ht="15.75" customHeight="1" x14ac:dyDescent="0.2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row>
    <row r="471" spans="1:50" ht="15.75" customHeight="1" x14ac:dyDescent="0.2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row>
    <row r="472" spans="1:50" ht="15.75" customHeight="1" x14ac:dyDescent="0.2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row>
    <row r="473" spans="1:50" ht="15.75" customHeight="1" x14ac:dyDescent="0.2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row>
    <row r="474" spans="1:50" ht="15.75" customHeight="1" x14ac:dyDescent="0.2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row>
    <row r="475" spans="1:50" ht="15.75" customHeight="1" x14ac:dyDescent="0.2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row>
    <row r="476" spans="1:50" ht="15.75" customHeight="1" x14ac:dyDescent="0.2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row>
    <row r="477" spans="1:50" ht="15.75" customHeight="1" x14ac:dyDescent="0.2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row>
    <row r="478" spans="1:50" ht="15.75" customHeight="1" x14ac:dyDescent="0.2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row>
    <row r="479" spans="1:50" ht="15.75" customHeight="1" x14ac:dyDescent="0.2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row>
    <row r="480" spans="1:50" ht="15.75" customHeight="1" x14ac:dyDescent="0.2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row>
    <row r="481" spans="1:50" ht="15.75" customHeight="1" x14ac:dyDescent="0.2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row>
    <row r="482" spans="1:50" ht="15.75" customHeight="1" x14ac:dyDescent="0.2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row>
    <row r="483" spans="1:50" ht="15.75" customHeight="1" x14ac:dyDescent="0.2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row>
    <row r="484" spans="1:50" ht="15.75" customHeight="1" x14ac:dyDescent="0.2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row>
    <row r="485" spans="1:50" ht="15.75" customHeight="1" x14ac:dyDescent="0.2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row>
    <row r="486" spans="1:50" ht="15.75" customHeight="1" x14ac:dyDescent="0.2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row>
    <row r="487" spans="1:50" ht="15.75" customHeight="1" x14ac:dyDescent="0.2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row>
    <row r="488" spans="1:50" ht="15.75" customHeight="1" x14ac:dyDescent="0.2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row>
    <row r="489" spans="1:50" ht="15.75" customHeight="1" x14ac:dyDescent="0.2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row>
    <row r="490" spans="1:50" ht="15.75" customHeight="1" x14ac:dyDescent="0.2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row>
    <row r="491" spans="1:50" ht="15.75" customHeight="1" x14ac:dyDescent="0.2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row>
    <row r="492" spans="1:50" ht="15.75" customHeight="1" x14ac:dyDescent="0.2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row>
    <row r="493" spans="1:50" ht="15.75" customHeight="1" x14ac:dyDescent="0.2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row>
    <row r="494" spans="1:50" ht="15.75" customHeight="1" x14ac:dyDescent="0.2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row>
    <row r="495" spans="1:50" ht="15.75" customHeight="1" x14ac:dyDescent="0.2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row>
    <row r="496" spans="1:50" ht="15.75" customHeight="1" x14ac:dyDescent="0.2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row>
    <row r="497" spans="1:50" ht="15.75" customHeight="1" x14ac:dyDescent="0.2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row>
    <row r="498" spans="1:50" ht="15.75" customHeight="1" x14ac:dyDescent="0.2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row>
    <row r="499" spans="1:50" ht="15.75" customHeight="1" x14ac:dyDescent="0.2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row>
    <row r="500" spans="1:50" ht="15.75" customHeight="1" x14ac:dyDescent="0.2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row>
    <row r="501" spans="1:50" ht="15.75" customHeight="1" x14ac:dyDescent="0.2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row>
    <row r="502" spans="1:50" ht="15.75" customHeight="1" x14ac:dyDescent="0.2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row>
    <row r="503" spans="1:50" ht="15.75" customHeight="1" x14ac:dyDescent="0.2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row>
    <row r="504" spans="1:50" ht="15.75" customHeight="1" x14ac:dyDescent="0.2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row>
    <row r="505" spans="1:50" ht="15.75" customHeight="1" x14ac:dyDescent="0.2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row>
    <row r="506" spans="1:50" ht="15.75" customHeight="1" x14ac:dyDescent="0.2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row>
    <row r="507" spans="1:50" ht="15.75" customHeight="1" x14ac:dyDescent="0.2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row>
    <row r="508" spans="1:50" ht="15.75" customHeight="1" x14ac:dyDescent="0.2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row>
    <row r="509" spans="1:50" ht="15.75" customHeight="1" x14ac:dyDescent="0.2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row>
    <row r="510" spans="1:50" ht="15.75" customHeight="1" x14ac:dyDescent="0.2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row>
    <row r="511" spans="1:50" ht="15.75" customHeight="1" x14ac:dyDescent="0.2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row>
    <row r="512" spans="1:50" ht="15.75" customHeight="1" x14ac:dyDescent="0.2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row>
    <row r="513" spans="1:50" ht="15.75" customHeight="1"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row>
    <row r="514" spans="1:50" ht="15.75" customHeight="1"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row>
    <row r="515" spans="1:50" ht="15.75" customHeight="1"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row>
    <row r="516" spans="1:50" ht="15.75" customHeight="1"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row>
    <row r="517" spans="1:50" ht="15.75" customHeight="1"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row>
    <row r="518" spans="1:50" ht="15.75" customHeight="1"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row>
    <row r="519" spans="1:50" ht="15.75" customHeight="1"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row>
    <row r="520" spans="1:50" ht="15.75" customHeight="1"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row>
    <row r="521" spans="1:50" ht="15.75" customHeight="1"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row>
    <row r="522" spans="1:50" ht="15.75" customHeight="1"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row>
    <row r="523" spans="1:50" ht="15.75" customHeight="1"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row>
    <row r="524" spans="1:50" ht="15.75" customHeight="1"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row>
    <row r="525" spans="1:50" ht="15.75" customHeight="1"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row>
    <row r="526" spans="1:50" ht="15.75" customHeight="1"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row>
    <row r="527" spans="1:50" ht="15.75" customHeight="1"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row>
    <row r="528" spans="1:50" ht="15.75" customHeight="1"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row>
    <row r="529" spans="1:50" ht="15.75" customHeight="1"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row>
    <row r="530" spans="1:50" ht="15.75" customHeight="1" x14ac:dyDescent="0.2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row>
    <row r="531" spans="1:50" ht="15.75" customHeight="1" x14ac:dyDescent="0.2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row>
    <row r="532" spans="1:50" ht="15.75" customHeight="1" x14ac:dyDescent="0.2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row>
    <row r="533" spans="1:50" ht="15.75" customHeight="1" x14ac:dyDescent="0.2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row>
    <row r="534" spans="1:50" ht="15.75" customHeight="1" x14ac:dyDescent="0.2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row>
    <row r="535" spans="1:50" ht="15.75" customHeight="1"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row>
    <row r="536" spans="1:50" ht="15.75" customHeight="1"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row>
    <row r="537" spans="1:50" ht="15.75" customHeight="1"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row>
    <row r="538" spans="1:50" ht="15.75" customHeight="1"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row>
    <row r="539" spans="1:50" ht="15.75" customHeight="1"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row>
    <row r="540" spans="1:50" ht="15.75" customHeight="1"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row>
    <row r="541" spans="1:50" ht="15.75" customHeight="1"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row>
    <row r="542" spans="1:50" ht="15.75" customHeight="1"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row>
    <row r="543" spans="1:50" ht="15.75" customHeight="1"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row>
    <row r="544" spans="1:50" ht="15.75" customHeight="1"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row>
    <row r="545" spans="1:50" ht="15.75" customHeight="1"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row>
    <row r="546" spans="1:50" ht="15.75" customHeight="1"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row>
    <row r="547" spans="1:50" ht="15.75" customHeight="1"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row>
    <row r="548" spans="1:50" ht="15.75" customHeight="1"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row>
    <row r="549" spans="1:50" ht="15.75" customHeight="1"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row>
    <row r="550" spans="1:50" ht="15.75" customHeight="1"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row>
    <row r="551" spans="1:50" ht="15.75" customHeight="1"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row>
    <row r="552" spans="1:50" ht="15.75" customHeight="1"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row>
    <row r="553" spans="1:50" ht="15.75" customHeight="1" x14ac:dyDescent="0.2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row>
    <row r="554" spans="1:50" ht="15.75" customHeight="1" x14ac:dyDescent="0.2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row>
    <row r="555" spans="1:50" ht="15.75" customHeight="1" x14ac:dyDescent="0.2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row>
    <row r="556" spans="1:50" ht="15.75" customHeight="1" x14ac:dyDescent="0.2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row>
    <row r="557" spans="1:50" ht="15.75" customHeight="1" x14ac:dyDescent="0.2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row>
    <row r="558" spans="1:50" ht="15.75" customHeight="1" x14ac:dyDescent="0.2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row>
    <row r="559" spans="1:50" ht="15.75" customHeight="1" x14ac:dyDescent="0.2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row>
    <row r="560" spans="1:50" ht="15.75" customHeight="1" x14ac:dyDescent="0.2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row>
    <row r="561" spans="1:50" ht="15.75" customHeight="1" x14ac:dyDescent="0.2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row>
    <row r="562" spans="1:50" ht="15.75" customHeight="1" x14ac:dyDescent="0.2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row>
    <row r="563" spans="1:50" ht="15.75" customHeight="1" x14ac:dyDescent="0.2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row>
    <row r="564" spans="1:50" ht="15.75" customHeight="1" x14ac:dyDescent="0.2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row>
    <row r="565" spans="1:50" ht="15.75" customHeight="1" x14ac:dyDescent="0.2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row>
    <row r="566" spans="1:50" ht="15.75" customHeight="1" x14ac:dyDescent="0.2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row>
    <row r="567" spans="1:50" ht="15.75" customHeight="1" x14ac:dyDescent="0.2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row>
    <row r="568" spans="1:50" ht="15.75" customHeight="1" x14ac:dyDescent="0.2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row>
    <row r="569" spans="1:50" ht="15.75" customHeight="1" x14ac:dyDescent="0.2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row>
    <row r="570" spans="1:50" ht="15.75" customHeight="1" x14ac:dyDescent="0.2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row>
    <row r="571" spans="1:50" ht="15.75" customHeight="1" x14ac:dyDescent="0.2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row>
    <row r="572" spans="1:50" ht="15.75" customHeight="1" x14ac:dyDescent="0.2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row>
    <row r="573" spans="1:50" ht="15.75" customHeight="1" x14ac:dyDescent="0.2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row>
    <row r="574" spans="1:50" ht="15.75" customHeight="1" x14ac:dyDescent="0.2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row>
    <row r="575" spans="1:50" ht="15.75" customHeight="1" x14ac:dyDescent="0.2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row>
    <row r="576" spans="1:50" ht="15.75" customHeight="1" x14ac:dyDescent="0.2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row>
    <row r="577" spans="1:50" ht="15.75" customHeight="1" x14ac:dyDescent="0.2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row>
    <row r="578" spans="1:50" ht="15.75" customHeight="1" x14ac:dyDescent="0.2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row>
    <row r="579" spans="1:50" ht="15.75" customHeight="1" x14ac:dyDescent="0.2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row>
    <row r="580" spans="1:50" ht="15.75" customHeight="1" x14ac:dyDescent="0.2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row>
    <row r="581" spans="1:50" ht="15.75" customHeight="1" x14ac:dyDescent="0.2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row>
    <row r="582" spans="1:50" ht="15.75" customHeight="1" x14ac:dyDescent="0.2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row>
    <row r="583" spans="1:50" ht="15.75" customHeight="1" x14ac:dyDescent="0.2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row>
    <row r="584" spans="1:50" ht="15.75" customHeight="1" x14ac:dyDescent="0.2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row>
    <row r="585" spans="1:50" ht="15.75" customHeight="1" x14ac:dyDescent="0.2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row>
    <row r="586" spans="1:50" ht="15.75" customHeight="1" x14ac:dyDescent="0.2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row>
    <row r="587" spans="1:50" ht="15.75" customHeight="1" x14ac:dyDescent="0.2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row>
    <row r="588" spans="1:50" ht="15.75" customHeight="1" x14ac:dyDescent="0.2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row>
    <row r="589" spans="1:50" ht="15.75" customHeight="1" x14ac:dyDescent="0.2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row>
    <row r="590" spans="1:50" ht="15.75" customHeight="1" x14ac:dyDescent="0.2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row>
    <row r="591" spans="1:50" ht="15.75" customHeight="1" x14ac:dyDescent="0.2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row>
    <row r="592" spans="1:50" ht="15.75" customHeight="1" x14ac:dyDescent="0.2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row>
    <row r="593" spans="1:50" ht="15.75" customHeight="1" x14ac:dyDescent="0.2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row>
    <row r="594" spans="1:50" ht="15.75" customHeight="1" x14ac:dyDescent="0.2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row>
    <row r="595" spans="1:50" ht="15.75" customHeight="1" x14ac:dyDescent="0.2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row>
    <row r="596" spans="1:50" ht="15.75" customHeight="1" x14ac:dyDescent="0.2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row>
    <row r="597" spans="1:50" ht="15.75" customHeight="1" x14ac:dyDescent="0.2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row>
    <row r="598" spans="1:50" ht="15.75" customHeight="1" x14ac:dyDescent="0.2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row>
    <row r="599" spans="1:50" ht="15.75" customHeight="1" x14ac:dyDescent="0.2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row>
    <row r="600" spans="1:50" ht="15.75" customHeight="1" x14ac:dyDescent="0.2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row>
    <row r="601" spans="1:50" ht="15.75" customHeight="1" x14ac:dyDescent="0.2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row>
    <row r="602" spans="1:50" ht="15.75" customHeight="1" x14ac:dyDescent="0.2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row>
    <row r="603" spans="1:50" ht="15.75" customHeight="1" x14ac:dyDescent="0.2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row>
    <row r="604" spans="1:50" ht="15.75" customHeight="1" x14ac:dyDescent="0.2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row>
    <row r="605" spans="1:50" ht="15.75" customHeight="1" x14ac:dyDescent="0.2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row>
    <row r="606" spans="1:50" ht="15.75" customHeight="1" x14ac:dyDescent="0.2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row>
    <row r="607" spans="1:50" ht="15.75" customHeight="1" x14ac:dyDescent="0.2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row>
    <row r="608" spans="1:50" ht="15.75" customHeight="1" x14ac:dyDescent="0.2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row>
    <row r="609" spans="1:50" ht="15.75" customHeight="1" x14ac:dyDescent="0.2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row>
    <row r="610" spans="1:50" ht="15.75" customHeight="1" x14ac:dyDescent="0.2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row>
    <row r="611" spans="1:50" ht="15.75" customHeight="1" x14ac:dyDescent="0.2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row>
    <row r="612" spans="1:50" ht="15.75" customHeight="1" x14ac:dyDescent="0.2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row>
    <row r="613" spans="1:50" ht="15.75" customHeight="1" x14ac:dyDescent="0.2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row>
    <row r="614" spans="1:50" ht="15.75" customHeight="1" x14ac:dyDescent="0.2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row>
    <row r="615" spans="1:50" ht="15.75" customHeight="1" x14ac:dyDescent="0.2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row>
    <row r="616" spans="1:50" ht="15.75" customHeight="1" x14ac:dyDescent="0.2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row>
    <row r="617" spans="1:50" ht="15.75" customHeight="1" x14ac:dyDescent="0.2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row>
    <row r="618" spans="1:50" ht="15.75" customHeight="1" x14ac:dyDescent="0.2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row>
    <row r="619" spans="1:50" ht="15.75" customHeight="1" x14ac:dyDescent="0.2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row>
    <row r="620" spans="1:50" ht="15.75" customHeight="1" x14ac:dyDescent="0.2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row>
    <row r="621" spans="1:50" ht="15.75" customHeight="1" x14ac:dyDescent="0.2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row>
    <row r="622" spans="1:50" ht="15.75" customHeight="1" x14ac:dyDescent="0.2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row>
    <row r="623" spans="1:50" ht="15.75" customHeight="1" x14ac:dyDescent="0.2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row>
    <row r="624" spans="1:50" ht="15.75" customHeight="1" x14ac:dyDescent="0.2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row>
    <row r="625" spans="1:50" ht="15.75" customHeight="1" x14ac:dyDescent="0.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row>
    <row r="626" spans="1:50" ht="15.75" customHeight="1" x14ac:dyDescent="0.2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row>
    <row r="627" spans="1:50" ht="15.75" customHeight="1" x14ac:dyDescent="0.2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row>
    <row r="628" spans="1:50" ht="15.75" customHeight="1" x14ac:dyDescent="0.2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row>
    <row r="629" spans="1:50" ht="15.75" customHeight="1" x14ac:dyDescent="0.2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row>
    <row r="630" spans="1:50" ht="15.75" customHeight="1" x14ac:dyDescent="0.2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row>
    <row r="631" spans="1:50" ht="15.75" customHeight="1" x14ac:dyDescent="0.2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row>
    <row r="632" spans="1:50" ht="15.75" customHeight="1" x14ac:dyDescent="0.2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row>
    <row r="633" spans="1:50" ht="15.75" customHeight="1" x14ac:dyDescent="0.2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row>
    <row r="634" spans="1:50" ht="15.75" customHeight="1" x14ac:dyDescent="0.2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row>
    <row r="635" spans="1:50" ht="15.75" customHeight="1" x14ac:dyDescent="0.2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row>
    <row r="636" spans="1:50" ht="15.75" customHeight="1" x14ac:dyDescent="0.2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row>
    <row r="637" spans="1:50" ht="15.75" customHeight="1" x14ac:dyDescent="0.2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row>
    <row r="638" spans="1:50" ht="15.75" customHeight="1" x14ac:dyDescent="0.2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row>
    <row r="639" spans="1:50" ht="15.75" customHeight="1" x14ac:dyDescent="0.2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row>
    <row r="640" spans="1:50" ht="15.75" customHeight="1" x14ac:dyDescent="0.2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row>
    <row r="641" spans="1:50" ht="15.75" customHeight="1" x14ac:dyDescent="0.2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row>
    <row r="642" spans="1:50" ht="15.75" customHeight="1" x14ac:dyDescent="0.2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row>
    <row r="643" spans="1:50" ht="15.75" customHeight="1" x14ac:dyDescent="0.2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row>
    <row r="644" spans="1:50" ht="15.75" customHeight="1" x14ac:dyDescent="0.2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row>
    <row r="645" spans="1:50" ht="15.75" customHeight="1" x14ac:dyDescent="0.2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row>
    <row r="646" spans="1:50" ht="15.75" customHeight="1" x14ac:dyDescent="0.2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row>
    <row r="647" spans="1:50" ht="15.75" customHeight="1" x14ac:dyDescent="0.2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row>
    <row r="648" spans="1:50" ht="15.75" customHeight="1" x14ac:dyDescent="0.2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row>
    <row r="649" spans="1:50" ht="15.75" customHeight="1" x14ac:dyDescent="0.2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row>
    <row r="650" spans="1:50" ht="15.75" customHeight="1" x14ac:dyDescent="0.2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row>
    <row r="651" spans="1:50" ht="15.75" customHeight="1" x14ac:dyDescent="0.2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row>
    <row r="652" spans="1:50" ht="15.75" customHeight="1" x14ac:dyDescent="0.2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row>
    <row r="653" spans="1:50" ht="15.75" customHeight="1" x14ac:dyDescent="0.2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row>
    <row r="654" spans="1:50" ht="15.75" customHeight="1" x14ac:dyDescent="0.2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row>
    <row r="655" spans="1:50" ht="15.75" customHeight="1" x14ac:dyDescent="0.2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row>
    <row r="656" spans="1:50" ht="15.75" customHeight="1" x14ac:dyDescent="0.2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row>
    <row r="657" spans="1:50" ht="15.75" customHeight="1" x14ac:dyDescent="0.2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row>
    <row r="658" spans="1:50" ht="15.75" customHeight="1" x14ac:dyDescent="0.2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row>
    <row r="659" spans="1:50" ht="15.75" customHeight="1" x14ac:dyDescent="0.2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row>
    <row r="660" spans="1:50" ht="15.75" customHeight="1" x14ac:dyDescent="0.2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row>
    <row r="661" spans="1:50" ht="15.75" customHeight="1" x14ac:dyDescent="0.2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row>
    <row r="662" spans="1:50" ht="15.75" customHeight="1" x14ac:dyDescent="0.2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row>
    <row r="663" spans="1:50" ht="15.75" customHeight="1" x14ac:dyDescent="0.2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row>
    <row r="664" spans="1:50" ht="15.75" customHeight="1" x14ac:dyDescent="0.2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row>
    <row r="665" spans="1:50" ht="15.75" customHeight="1" x14ac:dyDescent="0.2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row>
    <row r="666" spans="1:50" ht="15.75" customHeight="1" x14ac:dyDescent="0.2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row>
    <row r="667" spans="1:50" ht="15.75" customHeight="1" x14ac:dyDescent="0.2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row>
    <row r="668" spans="1:50" ht="15.75" customHeight="1" x14ac:dyDescent="0.2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row>
    <row r="669" spans="1:50" ht="15.75" customHeight="1" x14ac:dyDescent="0.2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row>
    <row r="670" spans="1:50" ht="15.75" customHeight="1" x14ac:dyDescent="0.2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row>
    <row r="671" spans="1:50" ht="15.75" customHeight="1" x14ac:dyDescent="0.2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row>
    <row r="672" spans="1:50" ht="15.75" customHeight="1" x14ac:dyDescent="0.2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row>
    <row r="673" spans="1:50" ht="15.75" customHeight="1" x14ac:dyDescent="0.2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row>
    <row r="674" spans="1:50" ht="15.75" customHeight="1" x14ac:dyDescent="0.2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row>
    <row r="675" spans="1:50" ht="15.75" customHeight="1" x14ac:dyDescent="0.2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row>
    <row r="676" spans="1:50" ht="15.75" customHeight="1" x14ac:dyDescent="0.2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row>
    <row r="677" spans="1:50" ht="15.75" customHeight="1" x14ac:dyDescent="0.2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row>
    <row r="678" spans="1:50" ht="15.75" customHeight="1" x14ac:dyDescent="0.2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row>
    <row r="679" spans="1:50" ht="15.75" customHeight="1" x14ac:dyDescent="0.2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row>
    <row r="680" spans="1:50" ht="15.75" customHeight="1" x14ac:dyDescent="0.2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row>
    <row r="681" spans="1:50" ht="15.75" customHeight="1" x14ac:dyDescent="0.2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row>
    <row r="682" spans="1:50" ht="15.75" customHeight="1" x14ac:dyDescent="0.2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row>
    <row r="683" spans="1:50" ht="15.75" customHeight="1" x14ac:dyDescent="0.2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row>
    <row r="684" spans="1:50" ht="15.75" customHeight="1" x14ac:dyDescent="0.2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row>
    <row r="685" spans="1:50" ht="15.75" customHeight="1" x14ac:dyDescent="0.2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row>
    <row r="686" spans="1:50" ht="15.75" customHeight="1" x14ac:dyDescent="0.2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row>
    <row r="687" spans="1:50" ht="15.75" customHeight="1" x14ac:dyDescent="0.2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row>
    <row r="688" spans="1:50" ht="15.75" customHeight="1" x14ac:dyDescent="0.2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row>
    <row r="689" spans="1:50" ht="15.75" customHeight="1" x14ac:dyDescent="0.2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row>
    <row r="690" spans="1:50" ht="15.75" customHeight="1" x14ac:dyDescent="0.2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row>
    <row r="691" spans="1:50" ht="15.75" customHeight="1" x14ac:dyDescent="0.2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row>
    <row r="692" spans="1:50" ht="15.75" customHeight="1" x14ac:dyDescent="0.2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row>
    <row r="693" spans="1:50" ht="15.75" customHeight="1" x14ac:dyDescent="0.2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row>
    <row r="694" spans="1:50" ht="15.75" customHeight="1" x14ac:dyDescent="0.2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row>
    <row r="695" spans="1:50" ht="15.75" customHeight="1" x14ac:dyDescent="0.2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row>
    <row r="696" spans="1:50" ht="15.75" customHeight="1" x14ac:dyDescent="0.2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row>
    <row r="697" spans="1:50" ht="15.75" customHeight="1" x14ac:dyDescent="0.2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row>
    <row r="698" spans="1:50" ht="15.75" customHeight="1" x14ac:dyDescent="0.2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row>
    <row r="699" spans="1:50" ht="15.75" customHeight="1" x14ac:dyDescent="0.2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row>
    <row r="700" spans="1:50" ht="15.75" customHeight="1" x14ac:dyDescent="0.2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row>
    <row r="701" spans="1:50" ht="15.75" customHeight="1" x14ac:dyDescent="0.2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row>
    <row r="702" spans="1:50" ht="15.75" customHeight="1" x14ac:dyDescent="0.2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row>
    <row r="703" spans="1:50" ht="15.75" customHeight="1" x14ac:dyDescent="0.2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row>
    <row r="704" spans="1:50" ht="15.75" customHeight="1" x14ac:dyDescent="0.2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row>
    <row r="705" spans="1:50" ht="15.75" customHeight="1" x14ac:dyDescent="0.2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row>
    <row r="706" spans="1:50" ht="15.75" customHeight="1" x14ac:dyDescent="0.2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row>
    <row r="707" spans="1:50" ht="15.75" customHeight="1" x14ac:dyDescent="0.2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row>
    <row r="708" spans="1:50" ht="15.75" customHeight="1" x14ac:dyDescent="0.2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row>
    <row r="709" spans="1:50" ht="15.75" customHeight="1" x14ac:dyDescent="0.2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row>
    <row r="710" spans="1:50" ht="15.75" customHeight="1" x14ac:dyDescent="0.2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row>
    <row r="711" spans="1:50" ht="15.75" customHeight="1" x14ac:dyDescent="0.2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row>
    <row r="712" spans="1:50" ht="15.75" customHeight="1" x14ac:dyDescent="0.2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row>
    <row r="713" spans="1:50" ht="15.75" customHeight="1" x14ac:dyDescent="0.2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row>
    <row r="714" spans="1:50" ht="15.75" customHeight="1" x14ac:dyDescent="0.2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row>
    <row r="715" spans="1:50" ht="15.75" customHeight="1" x14ac:dyDescent="0.2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row>
    <row r="716" spans="1:50" ht="15.75" customHeight="1" x14ac:dyDescent="0.2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row>
    <row r="717" spans="1:50" ht="15.75" customHeight="1" x14ac:dyDescent="0.2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row>
    <row r="718" spans="1:50" ht="15.75" customHeight="1" x14ac:dyDescent="0.2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row>
    <row r="719" spans="1:50" ht="15.75" customHeight="1" x14ac:dyDescent="0.2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row>
    <row r="720" spans="1:50" ht="15.75" customHeight="1" x14ac:dyDescent="0.2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row>
    <row r="721" spans="1:50" ht="15.75" customHeight="1" x14ac:dyDescent="0.2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row>
    <row r="722" spans="1:50" ht="15.75" customHeight="1" x14ac:dyDescent="0.2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row>
    <row r="723" spans="1:50" ht="15.75" customHeight="1" x14ac:dyDescent="0.2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row>
    <row r="724" spans="1:50" ht="15.75" customHeight="1" x14ac:dyDescent="0.25">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row>
    <row r="725" spans="1:50" ht="15.75" customHeight="1" x14ac:dyDescent="0.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row>
    <row r="726" spans="1:50" ht="15.75" customHeight="1" x14ac:dyDescent="0.25">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row>
    <row r="727" spans="1:50" ht="15.75" customHeight="1" x14ac:dyDescent="0.25">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row>
    <row r="728" spans="1:50" ht="15.75" customHeight="1" x14ac:dyDescent="0.25">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row>
    <row r="729" spans="1:50" ht="15.75" customHeight="1" x14ac:dyDescent="0.25">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row>
    <row r="730" spans="1:50" ht="15.75" customHeight="1" x14ac:dyDescent="0.25">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row>
    <row r="731" spans="1:50" ht="15.75" customHeight="1" x14ac:dyDescent="0.25">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row>
    <row r="732" spans="1:50" ht="15.75" customHeight="1" x14ac:dyDescent="0.25">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row>
    <row r="733" spans="1:50" ht="15.75" customHeight="1" x14ac:dyDescent="0.25">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row>
    <row r="734" spans="1:50" ht="15.75" customHeight="1" x14ac:dyDescent="0.25">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row>
    <row r="735" spans="1:50" ht="15.75" customHeight="1" x14ac:dyDescent="0.2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row>
    <row r="736" spans="1:50" ht="15.75" customHeight="1" x14ac:dyDescent="0.25">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row>
    <row r="737" spans="1:50" ht="15.75" customHeight="1" x14ac:dyDescent="0.25">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row>
    <row r="738" spans="1:50" ht="15.75" customHeight="1" x14ac:dyDescent="0.25">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row>
    <row r="739" spans="1:50" ht="15.75" customHeight="1" x14ac:dyDescent="0.25">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row>
    <row r="740" spans="1:50" ht="15.75" customHeight="1" x14ac:dyDescent="0.25">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row>
    <row r="741" spans="1:50" ht="15.75" customHeight="1" x14ac:dyDescent="0.25">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row>
    <row r="742" spans="1:50" ht="15.75" customHeight="1" x14ac:dyDescent="0.25">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row>
    <row r="743" spans="1:50" ht="15.75" customHeight="1" x14ac:dyDescent="0.25">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row>
    <row r="744" spans="1:50" ht="15.75" customHeight="1" x14ac:dyDescent="0.25">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row>
    <row r="745" spans="1:50" ht="15.75" customHeight="1" x14ac:dyDescent="0.2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row>
    <row r="746" spans="1:50" ht="15.75" customHeight="1" x14ac:dyDescent="0.25">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row>
    <row r="747" spans="1:50" ht="15.75" customHeight="1" x14ac:dyDescent="0.25">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row>
    <row r="748" spans="1:50" ht="15.75" customHeight="1" x14ac:dyDescent="0.25">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row>
    <row r="749" spans="1:50" ht="15.75" customHeight="1" x14ac:dyDescent="0.25">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row>
    <row r="750" spans="1:50" ht="15.75" customHeight="1" x14ac:dyDescent="0.25">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row>
    <row r="751" spans="1:50" ht="15.75" customHeight="1" x14ac:dyDescent="0.25">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row>
    <row r="752" spans="1:50" ht="15.75" customHeight="1" x14ac:dyDescent="0.25">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row>
    <row r="753" spans="1:50" ht="15.75" customHeight="1" x14ac:dyDescent="0.25">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row>
    <row r="754" spans="1:50" ht="15.75" customHeight="1" x14ac:dyDescent="0.25">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row>
    <row r="755" spans="1:50" ht="15.75" customHeight="1" x14ac:dyDescent="0.2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row>
    <row r="756" spans="1:50" ht="15.75" customHeight="1" x14ac:dyDescent="0.25">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row>
    <row r="757" spans="1:50" ht="15.75" customHeight="1" x14ac:dyDescent="0.25">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row>
    <row r="758" spans="1:50" ht="15.75" customHeight="1" x14ac:dyDescent="0.25">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row>
    <row r="759" spans="1:50" ht="15.75" customHeight="1" x14ac:dyDescent="0.25">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row>
    <row r="760" spans="1:50" ht="15.75" customHeight="1" x14ac:dyDescent="0.25">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row>
    <row r="761" spans="1:50" ht="15.75" customHeight="1" x14ac:dyDescent="0.25">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row>
    <row r="762" spans="1:50" ht="15.75" customHeight="1" x14ac:dyDescent="0.25">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row>
    <row r="763" spans="1:50" ht="15.75" customHeight="1" x14ac:dyDescent="0.25">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row>
    <row r="764" spans="1:50" ht="15.75" customHeight="1" x14ac:dyDescent="0.25">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row>
    <row r="765" spans="1:50" ht="15.75" customHeight="1" x14ac:dyDescent="0.2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row>
    <row r="766" spans="1:50" ht="15.75" customHeight="1" x14ac:dyDescent="0.25">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row>
    <row r="767" spans="1:50" ht="15.75" customHeight="1" x14ac:dyDescent="0.25">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row>
    <row r="768" spans="1:50" ht="15.75" customHeight="1" x14ac:dyDescent="0.25">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row>
    <row r="769" spans="1:50" ht="15.75" customHeight="1" x14ac:dyDescent="0.25">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row>
    <row r="770" spans="1:50" ht="15.75" customHeight="1" x14ac:dyDescent="0.25">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row>
    <row r="771" spans="1:50" ht="15.75" customHeight="1" x14ac:dyDescent="0.25">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row>
    <row r="772" spans="1:50" ht="15.75" customHeight="1" x14ac:dyDescent="0.25">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row>
    <row r="773" spans="1:50" ht="15.75" customHeight="1" x14ac:dyDescent="0.25">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row>
    <row r="774" spans="1:50" ht="15.75" customHeight="1" x14ac:dyDescent="0.25">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row>
    <row r="775" spans="1:50" ht="15.75" customHeight="1" x14ac:dyDescent="0.2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row>
    <row r="776" spans="1:50" ht="15.75" customHeight="1" x14ac:dyDescent="0.25">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row>
    <row r="777" spans="1:50" ht="15.75" customHeight="1" x14ac:dyDescent="0.25">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row>
    <row r="778" spans="1:50" ht="15.75" customHeight="1" x14ac:dyDescent="0.25">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row>
    <row r="779" spans="1:50" ht="15.75" customHeight="1" x14ac:dyDescent="0.25">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row>
    <row r="780" spans="1:50" ht="15.75" customHeight="1" x14ac:dyDescent="0.25">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row>
    <row r="781" spans="1:50" ht="15.75" customHeight="1" x14ac:dyDescent="0.25">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row>
    <row r="782" spans="1:50" ht="15.75" customHeight="1" x14ac:dyDescent="0.25">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row>
    <row r="783" spans="1:50" ht="15.75" customHeight="1" x14ac:dyDescent="0.25">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row>
    <row r="784" spans="1:50" ht="15.75" customHeight="1" x14ac:dyDescent="0.25">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row>
    <row r="785" spans="1:50" ht="15.75" customHeight="1" x14ac:dyDescent="0.2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row>
    <row r="786" spans="1:50" ht="15.75" customHeight="1" x14ac:dyDescent="0.25">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row>
    <row r="787" spans="1:50" ht="15.75" customHeight="1" x14ac:dyDescent="0.25">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row>
    <row r="788" spans="1:50" ht="15.75" customHeight="1" x14ac:dyDescent="0.25">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row>
    <row r="789" spans="1:50" ht="15.75" customHeight="1" x14ac:dyDescent="0.25">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row>
    <row r="790" spans="1:50" ht="15.75" customHeight="1" x14ac:dyDescent="0.25">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row>
    <row r="791" spans="1:50" ht="15.75" customHeight="1" x14ac:dyDescent="0.25">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row>
    <row r="792" spans="1:50" ht="15.75" customHeight="1" x14ac:dyDescent="0.25">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row>
    <row r="793" spans="1:50" ht="15.75" customHeight="1" x14ac:dyDescent="0.25">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row>
    <row r="794" spans="1:50" ht="15.75" customHeight="1" x14ac:dyDescent="0.25">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row>
    <row r="795" spans="1:50" ht="15.75" customHeight="1" x14ac:dyDescent="0.2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row>
    <row r="796" spans="1:50" ht="15.75" customHeight="1" x14ac:dyDescent="0.25">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row>
    <row r="797" spans="1:50" ht="15.75" customHeight="1" x14ac:dyDescent="0.25">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row>
    <row r="798" spans="1:50" ht="15.75" customHeight="1" x14ac:dyDescent="0.25">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row>
    <row r="799" spans="1:50" ht="15.75" customHeight="1" x14ac:dyDescent="0.25">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row>
    <row r="800" spans="1:50" ht="15.75" customHeight="1" x14ac:dyDescent="0.25">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row>
    <row r="801" spans="1:50" ht="15.75" customHeight="1" x14ac:dyDescent="0.25">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row>
    <row r="802" spans="1:50" ht="15.75" customHeight="1" x14ac:dyDescent="0.25">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row>
    <row r="803" spans="1:50" ht="15.75" customHeight="1" x14ac:dyDescent="0.25">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row>
    <row r="804" spans="1:50" ht="15.75" customHeight="1" x14ac:dyDescent="0.25">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row>
    <row r="805" spans="1:50" ht="15.75" customHeight="1" x14ac:dyDescent="0.2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row>
    <row r="806" spans="1:50" ht="15.75" customHeight="1" x14ac:dyDescent="0.25">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row>
    <row r="807" spans="1:50" ht="15.75" customHeight="1" x14ac:dyDescent="0.25">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row>
    <row r="808" spans="1:50" ht="15.75" customHeight="1" x14ac:dyDescent="0.25">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row>
    <row r="809" spans="1:50" ht="15.75" customHeight="1" x14ac:dyDescent="0.25">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row>
    <row r="810" spans="1:50" ht="15.75" customHeight="1" x14ac:dyDescent="0.25">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row>
    <row r="811" spans="1:50" ht="15.75" customHeight="1" x14ac:dyDescent="0.25">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row>
    <row r="812" spans="1:50" ht="15.75" customHeight="1" x14ac:dyDescent="0.25">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row>
    <row r="813" spans="1:50" ht="15.75" customHeight="1" x14ac:dyDescent="0.25">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row>
    <row r="814" spans="1:50" ht="15.75" customHeight="1" x14ac:dyDescent="0.25">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row>
    <row r="815" spans="1:50" ht="15.75" customHeight="1" x14ac:dyDescent="0.2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row>
    <row r="816" spans="1:50" ht="15.75" customHeight="1" x14ac:dyDescent="0.25">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row>
    <row r="817" spans="1:50" ht="15.75" customHeight="1" x14ac:dyDescent="0.25">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row>
    <row r="818" spans="1:50" ht="15.75" customHeight="1" x14ac:dyDescent="0.25">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row>
    <row r="819" spans="1:50" ht="15.75" customHeight="1" x14ac:dyDescent="0.25">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row>
    <row r="820" spans="1:50" ht="15.75" customHeight="1" x14ac:dyDescent="0.25">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row>
    <row r="821" spans="1:50" ht="15.75" customHeight="1" x14ac:dyDescent="0.25">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row>
    <row r="822" spans="1:50" ht="15.75" customHeight="1" x14ac:dyDescent="0.25">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row>
    <row r="823" spans="1:50" ht="15.75" customHeight="1" x14ac:dyDescent="0.25">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row>
    <row r="824" spans="1:50" ht="15.75" customHeight="1" x14ac:dyDescent="0.25">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row>
    <row r="825" spans="1:50" ht="15.75" customHeight="1" x14ac:dyDescent="0.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row>
    <row r="826" spans="1:50" ht="15.75" customHeight="1" x14ac:dyDescent="0.25">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row>
    <row r="827" spans="1:50" ht="15.75" customHeight="1" x14ac:dyDescent="0.25">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row>
    <row r="828" spans="1:50" ht="15.75" customHeight="1" x14ac:dyDescent="0.25">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row>
    <row r="829" spans="1:50" ht="15.75" customHeight="1" x14ac:dyDescent="0.25">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row>
    <row r="830" spans="1:50" ht="15.75" customHeight="1" x14ac:dyDescent="0.25">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row>
    <row r="831" spans="1:50" ht="15.75" customHeight="1" x14ac:dyDescent="0.25">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row>
    <row r="832" spans="1:50" ht="15.75" customHeight="1" x14ac:dyDescent="0.25">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row>
    <row r="833" spans="1:50" ht="15.75" customHeight="1" x14ac:dyDescent="0.25">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row>
    <row r="834" spans="1:50" ht="15.75" customHeight="1" x14ac:dyDescent="0.25">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row>
    <row r="835" spans="1:50" ht="15.75" customHeight="1" x14ac:dyDescent="0.2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row>
    <row r="836" spans="1:50" ht="15.75" customHeight="1" x14ac:dyDescent="0.25">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row>
    <row r="837" spans="1:50" ht="15.75" customHeight="1" x14ac:dyDescent="0.25">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row>
    <row r="838" spans="1:50" ht="15.75" customHeight="1" x14ac:dyDescent="0.25">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row>
    <row r="839" spans="1:50" ht="15.75" customHeight="1" x14ac:dyDescent="0.25">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row>
    <row r="840" spans="1:50" ht="15.75" customHeight="1" x14ac:dyDescent="0.25">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row>
    <row r="841" spans="1:50" ht="15.75" customHeight="1" x14ac:dyDescent="0.25">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row>
    <row r="842" spans="1:50" ht="15.75" customHeight="1" x14ac:dyDescent="0.25">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row>
    <row r="843" spans="1:50" ht="15.75" customHeight="1" x14ac:dyDescent="0.25">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row>
    <row r="844" spans="1:50" ht="15.75" customHeight="1" x14ac:dyDescent="0.25">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row>
    <row r="845" spans="1:50" ht="15.75" customHeight="1" x14ac:dyDescent="0.2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row>
    <row r="846" spans="1:50" ht="15.75" customHeight="1" x14ac:dyDescent="0.25">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row>
    <row r="847" spans="1:50" ht="15.75" customHeight="1" x14ac:dyDescent="0.25">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row>
    <row r="848" spans="1:50" ht="15.75" customHeight="1" x14ac:dyDescent="0.25">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row>
    <row r="849" spans="1:50" ht="15.75" customHeight="1" x14ac:dyDescent="0.25">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row>
    <row r="850" spans="1:50" ht="15.75" customHeight="1" x14ac:dyDescent="0.25">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row>
    <row r="851" spans="1:50" ht="15.75" customHeight="1" x14ac:dyDescent="0.25">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row>
    <row r="852" spans="1:50" ht="15.75" customHeight="1" x14ac:dyDescent="0.25">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row>
    <row r="853" spans="1:50" ht="15.75" customHeight="1" x14ac:dyDescent="0.25">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row>
    <row r="854" spans="1:50" ht="15.75" customHeight="1" x14ac:dyDescent="0.25">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row>
    <row r="855" spans="1:50" ht="15.75" customHeight="1" x14ac:dyDescent="0.2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row>
    <row r="856" spans="1:50" ht="15.75" customHeight="1" x14ac:dyDescent="0.25">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row>
    <row r="857" spans="1:50" ht="15.75" customHeight="1" x14ac:dyDescent="0.25">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row>
    <row r="858" spans="1:50" ht="15.75" customHeight="1" x14ac:dyDescent="0.25">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row>
    <row r="859" spans="1:50" ht="15.75" customHeight="1" x14ac:dyDescent="0.25">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row>
    <row r="860" spans="1:50" ht="15.75" customHeight="1" x14ac:dyDescent="0.25">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row>
    <row r="861" spans="1:50" ht="15.75" customHeight="1" x14ac:dyDescent="0.25">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row>
    <row r="862" spans="1:50" ht="15.75" customHeight="1" x14ac:dyDescent="0.25">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row>
    <row r="863" spans="1:50" ht="15.75" customHeight="1" x14ac:dyDescent="0.25">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row>
    <row r="864" spans="1:50" ht="15.75" customHeight="1" x14ac:dyDescent="0.25">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row>
    <row r="865" spans="1:50" ht="15.75" customHeight="1" x14ac:dyDescent="0.2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row>
    <row r="866" spans="1:50" ht="15.75" customHeight="1" x14ac:dyDescent="0.2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row>
    <row r="867" spans="1:50" ht="15.75" customHeight="1" x14ac:dyDescent="0.2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row>
    <row r="868" spans="1:50" ht="15.75" customHeight="1" x14ac:dyDescent="0.2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row>
    <row r="869" spans="1:50" ht="15.75" customHeight="1" x14ac:dyDescent="0.2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row>
    <row r="870" spans="1:50" ht="15.75" customHeight="1" x14ac:dyDescent="0.2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row>
    <row r="871" spans="1:50" ht="15.75" customHeight="1" x14ac:dyDescent="0.2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row>
    <row r="872" spans="1:50" ht="15.75" customHeight="1" x14ac:dyDescent="0.2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row>
    <row r="873" spans="1:50" ht="15.75" customHeight="1" x14ac:dyDescent="0.2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row>
    <row r="874" spans="1:50" ht="15.75" customHeight="1" x14ac:dyDescent="0.2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row>
    <row r="875" spans="1:50" ht="15.75" customHeight="1" x14ac:dyDescent="0.2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row>
    <row r="876" spans="1:50" ht="15.75" customHeight="1" x14ac:dyDescent="0.2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row>
    <row r="877" spans="1:50" ht="15.75" customHeight="1" x14ac:dyDescent="0.2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row>
    <row r="878" spans="1:50" ht="15.75" customHeight="1" x14ac:dyDescent="0.2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row>
    <row r="879" spans="1:50" ht="15.75" customHeight="1" x14ac:dyDescent="0.2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row>
    <row r="880" spans="1:50" ht="15.75" customHeight="1" x14ac:dyDescent="0.2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row>
    <row r="881" spans="1:50" ht="15.75" customHeight="1" x14ac:dyDescent="0.2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row>
    <row r="882" spans="1:50" ht="15.75" customHeight="1" x14ac:dyDescent="0.2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row>
    <row r="883" spans="1:50" ht="15.75" customHeight="1" x14ac:dyDescent="0.2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row>
    <row r="884" spans="1:50" ht="15.75" customHeight="1" x14ac:dyDescent="0.2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row>
    <row r="885" spans="1:50" ht="15.75" customHeight="1" x14ac:dyDescent="0.2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row>
    <row r="886" spans="1:50" ht="15.75" customHeight="1" x14ac:dyDescent="0.2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row>
    <row r="887" spans="1:50" ht="15.75" customHeight="1" x14ac:dyDescent="0.2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row>
    <row r="888" spans="1:50" ht="15.75" customHeight="1" x14ac:dyDescent="0.25">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row>
    <row r="889" spans="1:50" ht="15.75" customHeight="1" x14ac:dyDescent="0.25">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row>
    <row r="890" spans="1:50" ht="15.75" customHeight="1" x14ac:dyDescent="0.25">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row>
    <row r="891" spans="1:50" ht="15.75" customHeight="1" x14ac:dyDescent="0.25">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row>
    <row r="892" spans="1:50" ht="15.75" customHeight="1" x14ac:dyDescent="0.25">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row>
    <row r="893" spans="1:50" ht="15.75" customHeight="1" x14ac:dyDescent="0.25">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row>
    <row r="894" spans="1:50" ht="15.75" customHeight="1" x14ac:dyDescent="0.25">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row>
    <row r="895" spans="1:50" ht="15.75" customHeight="1" x14ac:dyDescent="0.2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row>
    <row r="896" spans="1:50" ht="15.75" customHeight="1" x14ac:dyDescent="0.25">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row>
    <row r="897" spans="1:50" ht="15.75" customHeight="1" x14ac:dyDescent="0.25">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row>
    <row r="898" spans="1:50" ht="15.75" customHeight="1" x14ac:dyDescent="0.25">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row>
    <row r="899" spans="1:50" ht="15.75" customHeight="1" x14ac:dyDescent="0.25">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row>
    <row r="900" spans="1:50" ht="15.75" customHeight="1" x14ac:dyDescent="0.25">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row>
    <row r="901" spans="1:50" ht="15.75" customHeight="1" x14ac:dyDescent="0.25">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row>
    <row r="902" spans="1:50" ht="15.75" customHeight="1" x14ac:dyDescent="0.25">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row>
    <row r="903" spans="1:50" ht="15.75" customHeight="1" x14ac:dyDescent="0.25">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row>
    <row r="904" spans="1:50" ht="15.75" customHeight="1" x14ac:dyDescent="0.25">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row>
    <row r="905" spans="1:50" ht="15.75" customHeight="1" x14ac:dyDescent="0.2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row>
    <row r="906" spans="1:50" ht="15.75" customHeight="1" x14ac:dyDescent="0.25">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row>
    <row r="907" spans="1:50" ht="15.75" customHeight="1" x14ac:dyDescent="0.25">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row>
    <row r="908" spans="1:50" ht="15.75" customHeight="1" x14ac:dyDescent="0.25">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row>
    <row r="909" spans="1:50" ht="15.75" customHeight="1" x14ac:dyDescent="0.25">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row>
    <row r="910" spans="1:50" ht="15.75" customHeight="1" x14ac:dyDescent="0.25">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row>
    <row r="911" spans="1:50" ht="15.75" customHeight="1" x14ac:dyDescent="0.25">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row>
    <row r="912" spans="1:50" ht="15.75" customHeight="1" x14ac:dyDescent="0.25">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row>
    <row r="913" spans="1:50" ht="15.75" customHeight="1" x14ac:dyDescent="0.25">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row>
    <row r="914" spans="1:50" ht="15.75" customHeight="1" x14ac:dyDescent="0.25">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row>
    <row r="915" spans="1:50" ht="15.75" customHeight="1" x14ac:dyDescent="0.2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row>
    <row r="916" spans="1:50" ht="15.75" customHeight="1" x14ac:dyDescent="0.25">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row>
    <row r="917" spans="1:50" ht="15.75" customHeight="1" x14ac:dyDescent="0.25">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row>
    <row r="918" spans="1:50" ht="15.75" customHeight="1" x14ac:dyDescent="0.25">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row>
    <row r="919" spans="1:50" ht="15.75" customHeight="1" x14ac:dyDescent="0.25">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row>
    <row r="920" spans="1:50" ht="15.75" customHeight="1" x14ac:dyDescent="0.25">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row>
    <row r="921" spans="1:50" ht="15.75" customHeight="1" x14ac:dyDescent="0.25">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row>
    <row r="922" spans="1:50" ht="15.75" customHeight="1" x14ac:dyDescent="0.25">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row>
    <row r="923" spans="1:50" ht="15.75" customHeight="1" x14ac:dyDescent="0.25">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row>
    <row r="924" spans="1:50" ht="15.75" customHeight="1" x14ac:dyDescent="0.25">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row>
    <row r="925" spans="1:50" ht="15.75" customHeight="1" x14ac:dyDescent="0.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row>
    <row r="926" spans="1:50" ht="15.75" customHeight="1" x14ac:dyDescent="0.25">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row>
    <row r="927" spans="1:50" ht="15.75" customHeight="1" x14ac:dyDescent="0.25">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row>
    <row r="928" spans="1:50" ht="15.75" customHeight="1" x14ac:dyDescent="0.25">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row>
    <row r="929" spans="1:50" ht="15.75" customHeight="1" x14ac:dyDescent="0.25">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row>
    <row r="930" spans="1:50" ht="15.75" customHeight="1" x14ac:dyDescent="0.25">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row>
    <row r="931" spans="1:50" ht="15.75" customHeight="1" x14ac:dyDescent="0.25">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row>
    <row r="932" spans="1:50" ht="15.75" customHeight="1" x14ac:dyDescent="0.25">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row>
    <row r="933" spans="1:50" ht="15.75" customHeight="1" x14ac:dyDescent="0.25">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row>
    <row r="934" spans="1:50" ht="15.75" customHeight="1" x14ac:dyDescent="0.25">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row>
    <row r="935" spans="1:50" ht="15.75" customHeight="1" x14ac:dyDescent="0.2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row>
    <row r="936" spans="1:50" ht="15.75" customHeight="1" x14ac:dyDescent="0.25">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row>
    <row r="937" spans="1:50" ht="15.75" customHeight="1" x14ac:dyDescent="0.25">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row>
    <row r="938" spans="1:50" ht="15.75" customHeight="1" x14ac:dyDescent="0.25">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row>
    <row r="939" spans="1:50" ht="15.75" customHeight="1" x14ac:dyDescent="0.25">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row>
    <row r="940" spans="1:50" ht="15.75" customHeight="1" x14ac:dyDescent="0.25">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row>
    <row r="941" spans="1:50" ht="15.75" customHeight="1" x14ac:dyDescent="0.25">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row>
    <row r="942" spans="1:50" ht="15.75" customHeight="1" x14ac:dyDescent="0.25">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row>
    <row r="943" spans="1:50" ht="15.75" customHeight="1" x14ac:dyDescent="0.25">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row>
    <row r="944" spans="1:50" ht="15.75" customHeight="1" x14ac:dyDescent="0.25">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row>
    <row r="945" spans="1:50" ht="15.75" customHeight="1" x14ac:dyDescent="0.2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row>
    <row r="946" spans="1:50" ht="15.75" customHeight="1" x14ac:dyDescent="0.25">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row>
    <row r="947" spans="1:50" ht="15.75" customHeight="1" x14ac:dyDescent="0.25">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row>
    <row r="948" spans="1:50" ht="15.75" customHeight="1" x14ac:dyDescent="0.25">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row>
    <row r="949" spans="1:50" ht="15.75" customHeight="1" x14ac:dyDescent="0.25">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row>
    <row r="950" spans="1:50" ht="15.75" customHeight="1" x14ac:dyDescent="0.25">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row>
    <row r="951" spans="1:50" ht="15.75" customHeight="1" x14ac:dyDescent="0.25">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row>
    <row r="952" spans="1:50" ht="15.75" customHeight="1" x14ac:dyDescent="0.25">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row>
    <row r="953" spans="1:50" ht="15.75" customHeight="1" x14ac:dyDescent="0.25">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row>
    <row r="954" spans="1:50" ht="15.75" customHeight="1" x14ac:dyDescent="0.25">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row>
    <row r="955" spans="1:50" ht="15.75" customHeight="1" x14ac:dyDescent="0.2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row>
    <row r="956" spans="1:50" ht="15.75" customHeight="1" x14ac:dyDescent="0.25">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row>
    <row r="957" spans="1:50" ht="15.75" customHeight="1" x14ac:dyDescent="0.25">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row>
    <row r="958" spans="1:50" ht="15.75" customHeight="1" x14ac:dyDescent="0.25">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row>
    <row r="959" spans="1:50" ht="15.75" customHeight="1" x14ac:dyDescent="0.25">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row>
    <row r="960" spans="1:50" ht="15.75" customHeight="1" x14ac:dyDescent="0.25">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row>
    <row r="961" spans="1:50" ht="15.75" customHeight="1" x14ac:dyDescent="0.25">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row>
    <row r="962" spans="1:50" ht="15.75" customHeight="1" x14ac:dyDescent="0.25">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row>
    <row r="963" spans="1:50" ht="15.75" customHeight="1" x14ac:dyDescent="0.25">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row>
    <row r="964" spans="1:50" ht="15.75" customHeight="1" x14ac:dyDescent="0.25">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row>
    <row r="965" spans="1:50" ht="15.75" customHeight="1" x14ac:dyDescent="0.2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row>
    <row r="966" spans="1:50" ht="15.75" customHeight="1" x14ac:dyDescent="0.25">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row>
    <row r="967" spans="1:50" ht="15.75" customHeight="1" x14ac:dyDescent="0.25">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row>
    <row r="968" spans="1:50" ht="15.75" customHeight="1" x14ac:dyDescent="0.25">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row>
    <row r="969" spans="1:50" ht="15.75" customHeight="1" x14ac:dyDescent="0.25">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row>
    <row r="970" spans="1:50" ht="15.75" customHeight="1" x14ac:dyDescent="0.25">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row>
    <row r="971" spans="1:50" ht="15.75" customHeight="1" x14ac:dyDescent="0.25">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row>
    <row r="972" spans="1:50" ht="15.75" customHeight="1" x14ac:dyDescent="0.25">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row>
    <row r="973" spans="1:50" ht="15.75" customHeight="1" x14ac:dyDescent="0.25">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row>
    <row r="974" spans="1:50" ht="15.75" customHeight="1" x14ac:dyDescent="0.25">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row>
    <row r="975" spans="1:50" ht="15.75" customHeight="1" x14ac:dyDescent="0.2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row>
    <row r="976" spans="1:50" ht="15.75" customHeight="1" x14ac:dyDescent="0.25">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row>
    <row r="977" spans="1:50" ht="15.75" customHeight="1" x14ac:dyDescent="0.25">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row>
    <row r="978" spans="1:50" ht="15.75" customHeight="1" x14ac:dyDescent="0.25">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row>
    <row r="979" spans="1:50" ht="15.75" customHeight="1" x14ac:dyDescent="0.25">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row>
    <row r="980" spans="1:50" ht="15.75" customHeight="1" x14ac:dyDescent="0.25">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row>
    <row r="981" spans="1:50" ht="15.75" customHeight="1" x14ac:dyDescent="0.25">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row>
    <row r="982" spans="1:50" ht="15.75" customHeight="1" x14ac:dyDescent="0.25">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row>
    <row r="983" spans="1:50" ht="15.75" customHeight="1" x14ac:dyDescent="0.25">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row>
    <row r="984" spans="1:50" ht="15.75" customHeight="1" x14ac:dyDescent="0.25">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row>
    <row r="985" spans="1:50" ht="15.75" customHeight="1" x14ac:dyDescent="0.2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row>
    <row r="986" spans="1:50" ht="15.75" customHeight="1" x14ac:dyDescent="0.25">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row>
    <row r="987" spans="1:50" ht="15.75" customHeight="1" x14ac:dyDescent="0.25">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row>
    <row r="988" spans="1:50" ht="15.75" customHeight="1" x14ac:dyDescent="0.25">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row>
    <row r="989" spans="1:50" ht="15.75" customHeight="1" x14ac:dyDescent="0.25">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row>
    <row r="990" spans="1:50" ht="15.75" customHeight="1" x14ac:dyDescent="0.25">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row>
    <row r="991" spans="1:50" ht="15.75" customHeight="1" x14ac:dyDescent="0.25">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row>
    <row r="992" spans="1:50" ht="15.75" customHeight="1" x14ac:dyDescent="0.25">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row>
    <row r="993" spans="1:50" ht="15.75" customHeight="1" x14ac:dyDescent="0.25">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row>
    <row r="994" spans="1:50" ht="15.75" customHeight="1" x14ac:dyDescent="0.25">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row>
    <row r="995" spans="1:50" ht="15.75" customHeight="1" x14ac:dyDescent="0.2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row>
    <row r="996" spans="1:50" ht="15.75" customHeight="1" x14ac:dyDescent="0.25">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row>
    <row r="997" spans="1:50" ht="15.75" customHeight="1" x14ac:dyDescent="0.25">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row>
    <row r="998" spans="1:50" ht="15.75" customHeight="1" x14ac:dyDescent="0.25">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row>
    <row r="999" spans="1:50" ht="15.75" customHeight="1" x14ac:dyDescent="0.25">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row>
    <row r="1000" spans="1:50" ht="15.75" customHeight="1" x14ac:dyDescent="0.25">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row>
  </sheetData>
  <mergeCells count="21">
    <mergeCell ref="A1:AC1"/>
    <mergeCell ref="A2:AC2"/>
    <mergeCell ref="M4:O4"/>
    <mergeCell ref="I4:K4"/>
    <mergeCell ref="E4:G4"/>
    <mergeCell ref="B4:D4"/>
    <mergeCell ref="Q4:V4"/>
    <mergeCell ref="B5:D5"/>
    <mergeCell ref="A4:A7"/>
    <mergeCell ref="E5:G5"/>
    <mergeCell ref="W4:X4"/>
    <mergeCell ref="Y4:Z4"/>
    <mergeCell ref="J16:AC16"/>
    <mergeCell ref="I17:AC17"/>
    <mergeCell ref="Q5:S5"/>
    <mergeCell ref="I5:K5"/>
    <mergeCell ref="M5:O5"/>
    <mergeCell ref="T5:V5"/>
    <mergeCell ref="W5:X5"/>
    <mergeCell ref="Y5:Z6"/>
    <mergeCell ref="AC4:AC7"/>
  </mergeCells>
  <pageMargins left="0.7" right="0.7" top="0.75" bottom="0.75" header="0" footer="0"/>
  <pageSetup paperSize="9" scale="65" orientation="landscape" horizontalDpi="4294967295" verticalDpi="4294967295" r:id="rId1"/>
  <rowBreaks count="1" manualBreakCount="1">
    <brk id="35" max="37" man="1"/>
  </rowBreaks>
  <colBreaks count="1" manualBreakCount="1">
    <brk id="3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A285"/>
  <sheetViews>
    <sheetView zoomScaleNormal="100" workbookViewId="0">
      <selection activeCell="AD13" sqref="AD13"/>
    </sheetView>
  </sheetViews>
  <sheetFormatPr defaultColWidth="14.42578125" defaultRowHeight="15" customHeight="1" x14ac:dyDescent="0.25"/>
  <cols>
    <col min="1" max="1" width="9.7109375" style="31" customWidth="1"/>
    <col min="2" max="2" width="11.5703125" style="31" hidden="1" customWidth="1"/>
    <col min="3" max="3" width="11.42578125" style="31" hidden="1" customWidth="1"/>
    <col min="4" max="5" width="12.140625" style="31" hidden="1" customWidth="1"/>
    <col min="6" max="8" width="12" style="31" customWidth="1"/>
    <col min="9" max="9" width="12.5703125" style="31" hidden="1" customWidth="1"/>
    <col min="10" max="10" width="11.42578125" style="31" hidden="1" customWidth="1"/>
    <col min="11" max="11" width="0.28515625" style="31" customWidth="1"/>
    <col min="12" max="12" width="12.140625" style="31" hidden="1" customWidth="1"/>
    <col min="13" max="15" width="12" style="31" customWidth="1"/>
    <col min="16" max="19" width="12.85546875" style="31" hidden="1" customWidth="1"/>
    <col min="20" max="22" width="12" style="31" customWidth="1"/>
    <col min="23" max="24" width="12.85546875" style="31" hidden="1" customWidth="1"/>
    <col min="25" max="27" width="12" style="31" customWidth="1"/>
    <col min="28" max="28" width="14.42578125" style="31" customWidth="1"/>
    <col min="29" max="34" width="15.140625" style="31" customWidth="1"/>
    <col min="35" max="35" width="24.7109375" style="31" customWidth="1"/>
    <col min="36" max="36" width="17" style="31" customWidth="1"/>
    <col min="37" max="37" width="9.7109375" style="31" customWidth="1"/>
    <col min="38" max="39" width="9.85546875" style="31" customWidth="1"/>
    <col min="40" max="40" width="10.140625" style="31" customWidth="1"/>
    <col min="41" max="44" width="10" style="31" customWidth="1"/>
    <col min="45" max="49" width="11" style="31" customWidth="1"/>
    <col min="50" max="50" width="15.140625" style="31" customWidth="1"/>
    <col min="51" max="16384" width="14.42578125" style="31"/>
  </cols>
  <sheetData>
    <row r="1" spans="1:50" ht="20.25" customHeight="1" x14ac:dyDescent="0.25">
      <c r="A1" s="730" t="s">
        <v>250</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700"/>
      <c r="AC1" s="113"/>
      <c r="AD1" s="113"/>
      <c r="AE1" s="113"/>
      <c r="AF1" s="113"/>
      <c r="AG1" s="113"/>
      <c r="AH1" s="113"/>
      <c r="AI1" s="731"/>
      <c r="AJ1" s="699"/>
      <c r="AK1" s="700"/>
      <c r="AL1" s="30"/>
      <c r="AM1" s="30"/>
      <c r="AN1" s="30"/>
      <c r="AO1" s="30"/>
      <c r="AP1" s="30"/>
      <c r="AQ1" s="114"/>
      <c r="AR1" s="30"/>
      <c r="AS1" s="30"/>
      <c r="AT1" s="30"/>
      <c r="AU1" s="30"/>
      <c r="AV1" s="30"/>
      <c r="AW1" s="30"/>
      <c r="AX1" s="30"/>
    </row>
    <row r="2" spans="1:50" x14ac:dyDescent="0.25">
      <c r="A2" s="739" t="s">
        <v>251</v>
      </c>
      <c r="B2" s="699"/>
      <c r="C2" s="699"/>
      <c r="D2" s="699"/>
      <c r="E2" s="699"/>
      <c r="F2" s="699"/>
      <c r="G2" s="699"/>
      <c r="H2" s="699"/>
      <c r="I2" s="699"/>
      <c r="J2" s="699"/>
      <c r="K2" s="699"/>
      <c r="L2" s="699"/>
      <c r="M2" s="699"/>
      <c r="N2" s="699"/>
      <c r="O2" s="699"/>
      <c r="P2" s="699"/>
      <c r="Q2" s="699"/>
      <c r="R2" s="699"/>
      <c r="S2" s="699"/>
      <c r="T2" s="699"/>
      <c r="U2" s="699"/>
      <c r="V2" s="699"/>
      <c r="W2" s="699"/>
      <c r="X2" s="699"/>
      <c r="Y2" s="699"/>
      <c r="Z2" s="699"/>
      <c r="AA2" s="699"/>
      <c r="AB2" s="700"/>
      <c r="AC2" s="38"/>
      <c r="AD2" s="38"/>
      <c r="AE2" s="38"/>
      <c r="AF2" s="38"/>
      <c r="AG2" s="38"/>
      <c r="AH2" s="38"/>
      <c r="AI2" s="30"/>
      <c r="AJ2" s="115"/>
      <c r="AK2" s="115"/>
      <c r="AL2" s="115"/>
      <c r="AM2" s="115"/>
      <c r="AN2" s="115"/>
      <c r="AO2" s="116"/>
      <c r="AP2" s="116"/>
      <c r="AQ2" s="117"/>
      <c r="AR2" s="116"/>
      <c r="AS2" s="116"/>
      <c r="AT2" s="118"/>
      <c r="AU2" s="30"/>
      <c r="AV2" s="30"/>
      <c r="AW2" s="30"/>
      <c r="AX2" s="30"/>
    </row>
    <row r="3" spans="1:50" ht="17.25" customHeight="1" x14ac:dyDescent="0.25">
      <c r="A3" s="740" t="s">
        <v>1</v>
      </c>
      <c r="B3" s="699"/>
      <c r="C3" s="699"/>
      <c r="D3" s="699"/>
      <c r="E3" s="699"/>
      <c r="F3" s="699"/>
      <c r="G3" s="699"/>
      <c r="H3" s="699"/>
      <c r="I3" s="699"/>
      <c r="J3" s="699"/>
      <c r="K3" s="699"/>
      <c r="L3" s="699"/>
      <c r="M3" s="699"/>
      <c r="N3" s="699"/>
      <c r="O3" s="699"/>
      <c r="P3" s="699"/>
      <c r="Q3" s="699"/>
      <c r="R3" s="699"/>
      <c r="S3" s="699"/>
      <c r="T3" s="699"/>
      <c r="U3" s="699"/>
      <c r="V3" s="699"/>
      <c r="W3" s="699"/>
      <c r="X3" s="699"/>
      <c r="Y3" s="699"/>
      <c r="Z3" s="699"/>
      <c r="AA3" s="699"/>
      <c r="AB3" s="700"/>
      <c r="AC3" s="38"/>
      <c r="AD3" s="38"/>
      <c r="AE3" s="38"/>
      <c r="AF3" s="38"/>
      <c r="AG3" s="38"/>
      <c r="AH3" s="38"/>
      <c r="AI3" s="42"/>
      <c r="AJ3" s="119"/>
      <c r="AK3" s="119"/>
      <c r="AL3" s="119"/>
      <c r="AM3" s="119"/>
      <c r="AN3" s="119"/>
      <c r="AO3" s="120"/>
      <c r="AP3" s="120"/>
      <c r="AQ3" s="121"/>
      <c r="AR3" s="120"/>
      <c r="AS3" s="120"/>
      <c r="AT3" s="122"/>
      <c r="AU3" s="42"/>
      <c r="AV3" s="42"/>
      <c r="AW3" s="30"/>
      <c r="AX3" s="30"/>
    </row>
    <row r="4" spans="1:50" ht="1.5" customHeight="1" x14ac:dyDescent="0.2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115"/>
      <c r="AK4" s="115"/>
      <c r="AL4" s="115"/>
      <c r="AM4" s="115"/>
      <c r="AN4" s="115"/>
      <c r="AO4" s="116"/>
      <c r="AP4" s="116"/>
      <c r="AQ4" s="117"/>
      <c r="AR4" s="116"/>
      <c r="AS4" s="116"/>
      <c r="AT4" s="118"/>
      <c r="AU4" s="30"/>
      <c r="AV4" s="30"/>
      <c r="AW4" s="30"/>
      <c r="AX4" s="30"/>
    </row>
    <row r="5" spans="1:50" ht="17.25" customHeight="1" x14ac:dyDescent="0.25">
      <c r="A5" s="738" t="s">
        <v>6</v>
      </c>
      <c r="B5" s="30"/>
      <c r="C5" s="123"/>
      <c r="D5" s="732" t="s">
        <v>7</v>
      </c>
      <c r="E5" s="733"/>
      <c r="F5" s="733"/>
      <c r="G5" s="733"/>
      <c r="H5" s="734"/>
      <c r="I5" s="30"/>
      <c r="J5" s="123"/>
      <c r="K5" s="742" t="s">
        <v>8</v>
      </c>
      <c r="L5" s="733"/>
      <c r="M5" s="733"/>
      <c r="N5" s="733"/>
      <c r="O5" s="734"/>
      <c r="P5" s="30"/>
      <c r="Q5" s="123"/>
      <c r="R5" s="744" t="s">
        <v>10</v>
      </c>
      <c r="S5" s="745"/>
      <c r="T5" s="745"/>
      <c r="U5" s="745"/>
      <c r="V5" s="746"/>
      <c r="W5" s="744" t="s">
        <v>11</v>
      </c>
      <c r="X5" s="745"/>
      <c r="Y5" s="745"/>
      <c r="Z5" s="745"/>
      <c r="AA5" s="745"/>
      <c r="AB5" s="714" t="s">
        <v>12</v>
      </c>
      <c r="AC5" s="41"/>
      <c r="AD5" s="41"/>
      <c r="AE5" s="41"/>
      <c r="AF5" s="41"/>
      <c r="AG5" s="41"/>
      <c r="AH5" s="41"/>
      <c r="AI5" s="30"/>
      <c r="AJ5" s="115"/>
      <c r="AK5" s="115"/>
      <c r="AL5" s="115"/>
      <c r="AM5" s="115"/>
      <c r="AN5" s="115"/>
      <c r="AO5" s="116"/>
      <c r="AP5" s="116"/>
      <c r="AQ5" s="117"/>
      <c r="AR5" s="116"/>
      <c r="AS5" s="116"/>
      <c r="AT5" s="118"/>
      <c r="AU5" s="30"/>
      <c r="AV5" s="30"/>
      <c r="AW5" s="30"/>
      <c r="AX5" s="30"/>
    </row>
    <row r="6" spans="1:50" ht="15" customHeight="1" x14ac:dyDescent="0.25">
      <c r="A6" s="715"/>
      <c r="B6" s="30"/>
      <c r="C6" s="124"/>
      <c r="D6" s="735" t="s">
        <v>14</v>
      </c>
      <c r="E6" s="736"/>
      <c r="F6" s="736"/>
      <c r="G6" s="736"/>
      <c r="H6" s="737"/>
      <c r="I6" s="125"/>
      <c r="J6" s="124"/>
      <c r="K6" s="743" t="s">
        <v>17</v>
      </c>
      <c r="L6" s="736"/>
      <c r="M6" s="736"/>
      <c r="N6" s="736"/>
      <c r="O6" s="737"/>
      <c r="P6" s="125"/>
      <c r="Q6" s="124"/>
      <c r="R6" s="747" t="s">
        <v>19</v>
      </c>
      <c r="S6" s="748"/>
      <c r="T6" s="748"/>
      <c r="U6" s="748"/>
      <c r="V6" s="749"/>
      <c r="W6" s="747" t="s">
        <v>21</v>
      </c>
      <c r="X6" s="748"/>
      <c r="Y6" s="748"/>
      <c r="Z6" s="748"/>
      <c r="AA6" s="748"/>
      <c r="AB6" s="715"/>
      <c r="AC6" s="41"/>
      <c r="AD6" s="41"/>
      <c r="AE6" s="41"/>
      <c r="AF6" s="41"/>
      <c r="AG6" s="41"/>
      <c r="AH6" s="41"/>
      <c r="AI6" s="30"/>
      <c r="AJ6" s="115"/>
      <c r="AK6" s="115"/>
      <c r="AL6" s="115"/>
      <c r="AM6" s="115"/>
      <c r="AN6" s="115"/>
      <c r="AO6" s="116"/>
      <c r="AP6" s="116"/>
      <c r="AQ6" s="117"/>
      <c r="AR6" s="116"/>
      <c r="AS6" s="116"/>
      <c r="AT6" s="118"/>
      <c r="AU6" s="30"/>
      <c r="AV6" s="30"/>
      <c r="AW6" s="30"/>
      <c r="AX6" s="30"/>
    </row>
    <row r="7" spans="1:50" ht="18" customHeight="1" x14ac:dyDescent="0.25">
      <c r="A7" s="716"/>
      <c r="B7" s="55">
        <v>2012</v>
      </c>
      <c r="C7" s="55">
        <v>2013</v>
      </c>
      <c r="D7" s="55">
        <v>2014</v>
      </c>
      <c r="E7" s="55">
        <v>2015</v>
      </c>
      <c r="F7" s="55">
        <v>2016</v>
      </c>
      <c r="G7" s="55">
        <v>2017</v>
      </c>
      <c r="H7" s="55">
        <v>2018</v>
      </c>
      <c r="I7" s="58">
        <v>2012</v>
      </c>
      <c r="J7" s="55">
        <v>2013</v>
      </c>
      <c r="K7" s="58">
        <v>2014</v>
      </c>
      <c r="L7" s="55">
        <v>2015</v>
      </c>
      <c r="M7" s="55">
        <v>2016</v>
      </c>
      <c r="N7" s="55">
        <v>2017</v>
      </c>
      <c r="O7" s="60">
        <v>2018</v>
      </c>
      <c r="P7" s="55">
        <v>2012</v>
      </c>
      <c r="Q7" s="55">
        <v>2013</v>
      </c>
      <c r="R7" s="55">
        <v>2014</v>
      </c>
      <c r="S7" s="55">
        <v>2015</v>
      </c>
      <c r="T7" s="55">
        <v>2016</v>
      </c>
      <c r="U7" s="55">
        <v>2017</v>
      </c>
      <c r="V7" s="56">
        <v>2018</v>
      </c>
      <c r="W7" s="58">
        <v>2014</v>
      </c>
      <c r="X7" s="55">
        <v>2015</v>
      </c>
      <c r="Y7" s="55">
        <v>2016</v>
      </c>
      <c r="Z7" s="55">
        <v>2017</v>
      </c>
      <c r="AA7" s="55">
        <v>2018</v>
      </c>
      <c r="AB7" s="716"/>
      <c r="AC7" s="41"/>
      <c r="AD7" s="41"/>
      <c r="AE7" s="41"/>
      <c r="AF7" s="41"/>
      <c r="AG7" s="41"/>
      <c r="AH7" s="41"/>
      <c r="AI7" s="30"/>
      <c r="AJ7" s="115"/>
      <c r="AK7" s="115"/>
      <c r="AL7" s="115"/>
      <c r="AM7" s="115"/>
      <c r="AN7" s="115"/>
      <c r="AO7" s="116"/>
      <c r="AP7" s="116"/>
      <c r="AQ7" s="117"/>
      <c r="AR7" s="116"/>
      <c r="AS7" s="116"/>
      <c r="AT7" s="118"/>
      <c r="AU7" s="30"/>
      <c r="AV7" s="30"/>
      <c r="AW7" s="30"/>
      <c r="AX7" s="30"/>
    </row>
    <row r="8" spans="1:50" ht="21.75" customHeight="1" x14ac:dyDescent="0.25">
      <c r="A8" s="126" t="s">
        <v>23</v>
      </c>
      <c r="B8" s="127">
        <f t="shared" ref="B8:AA8" si="0">SUM(B9:B20)</f>
        <v>414738936.51999998</v>
      </c>
      <c r="C8" s="128">
        <f t="shared" si="0"/>
        <v>421204350.24000007</v>
      </c>
      <c r="D8" s="128">
        <f t="shared" si="0"/>
        <v>431707102.44000006</v>
      </c>
      <c r="E8" s="128">
        <f t="shared" si="0"/>
        <v>426999240</v>
      </c>
      <c r="F8" s="128">
        <f t="shared" si="0"/>
        <v>432115940.75</v>
      </c>
      <c r="G8" s="128">
        <f t="shared" si="0"/>
        <v>435251368.24000001</v>
      </c>
      <c r="H8" s="128">
        <f t="shared" si="0"/>
        <v>443152107.85000008</v>
      </c>
      <c r="I8" s="129">
        <f t="shared" si="0"/>
        <v>21452251.599999998</v>
      </c>
      <c r="J8" s="128">
        <f t="shared" si="0"/>
        <v>25887906.539999999</v>
      </c>
      <c r="K8" s="130">
        <f t="shared" si="0"/>
        <v>35973669.200000003</v>
      </c>
      <c r="L8" s="128">
        <f t="shared" si="0"/>
        <v>48839669.629999995</v>
      </c>
      <c r="M8" s="128">
        <f t="shared" si="0"/>
        <v>49178627.07</v>
      </c>
      <c r="N8" s="128">
        <f t="shared" si="0"/>
        <v>54585241.880000003</v>
      </c>
      <c r="O8" s="131">
        <f t="shared" si="0"/>
        <v>58618929.450000003</v>
      </c>
      <c r="P8" s="127">
        <f t="shared" si="0"/>
        <v>240701239.62</v>
      </c>
      <c r="Q8" s="128">
        <f t="shared" si="0"/>
        <v>244384239.25999996</v>
      </c>
      <c r="R8" s="128">
        <f t="shared" si="0"/>
        <v>259554054.59000003</v>
      </c>
      <c r="S8" s="128">
        <f t="shared" si="0"/>
        <v>260118262.70999998</v>
      </c>
      <c r="T8" s="128">
        <f t="shared" si="0"/>
        <v>264841953.93999997</v>
      </c>
      <c r="U8" s="128">
        <f t="shared" si="0"/>
        <v>270657227.73000002</v>
      </c>
      <c r="V8" s="131">
        <f t="shared" si="0"/>
        <v>280560577.88999999</v>
      </c>
      <c r="W8" s="129">
        <f t="shared" si="0"/>
        <v>471311711.34999996</v>
      </c>
      <c r="X8" s="127">
        <f t="shared" si="0"/>
        <v>524547328.45999992</v>
      </c>
      <c r="Y8" s="127">
        <f t="shared" si="0"/>
        <v>533482537.69000006</v>
      </c>
      <c r="Z8" s="127">
        <f t="shared" si="0"/>
        <v>539036947.02999997</v>
      </c>
      <c r="AA8" s="127">
        <f t="shared" si="0"/>
        <v>550823763.64999998</v>
      </c>
      <c r="AB8" s="132" t="s">
        <v>13</v>
      </c>
      <c r="AC8" s="132"/>
      <c r="AD8" s="132"/>
      <c r="AE8" s="132"/>
      <c r="AF8" s="132"/>
      <c r="AG8" s="132"/>
      <c r="AH8" s="132"/>
      <c r="AI8" s="30"/>
      <c r="AJ8" s="115"/>
      <c r="AK8" s="115"/>
      <c r="AL8" s="115"/>
      <c r="AM8" s="115"/>
      <c r="AN8" s="115"/>
      <c r="AO8" s="116"/>
      <c r="AP8" s="116"/>
      <c r="AQ8" s="117"/>
      <c r="AR8" s="116"/>
      <c r="AS8" s="116"/>
      <c r="AT8" s="118"/>
      <c r="AU8" s="30"/>
      <c r="AV8" s="30"/>
      <c r="AW8" s="30"/>
      <c r="AX8" s="30"/>
    </row>
    <row r="9" spans="1:50" ht="21.75" customHeight="1" x14ac:dyDescent="0.25">
      <c r="A9" s="275" t="s">
        <v>27</v>
      </c>
      <c r="B9" s="134">
        <v>33712286.649999999</v>
      </c>
      <c r="C9" s="134">
        <v>34352075.579999998</v>
      </c>
      <c r="D9" s="134">
        <v>35615904.57</v>
      </c>
      <c r="E9" s="134">
        <v>35173546.780000001</v>
      </c>
      <c r="F9" s="134">
        <v>35955634.759999998</v>
      </c>
      <c r="G9" s="134">
        <v>35968949.509999998</v>
      </c>
      <c r="H9" s="135">
        <v>36747189</v>
      </c>
      <c r="I9" s="136">
        <v>495363.58</v>
      </c>
      <c r="J9" s="134">
        <v>1151046.49</v>
      </c>
      <c r="K9" s="136">
        <v>3333784.74</v>
      </c>
      <c r="L9" s="134">
        <v>2869612.88</v>
      </c>
      <c r="M9" s="134">
        <v>5056147.95</v>
      </c>
      <c r="N9" s="134">
        <v>3393007.22</v>
      </c>
      <c r="O9" s="137">
        <v>4966924.1900000004</v>
      </c>
      <c r="P9" s="134">
        <v>19009622.079999998</v>
      </c>
      <c r="Q9" s="134">
        <v>27084863.539999999</v>
      </c>
      <c r="R9" s="134">
        <v>25311700.800000001</v>
      </c>
      <c r="S9" s="134">
        <v>26150112.129999999</v>
      </c>
      <c r="T9" s="134">
        <v>23053097.239999998</v>
      </c>
      <c r="U9" s="134">
        <v>21353747.300000001</v>
      </c>
      <c r="V9" s="137">
        <v>22997843.920000002</v>
      </c>
      <c r="W9" s="138">
        <v>0</v>
      </c>
      <c r="X9" s="139">
        <v>43131466.32</v>
      </c>
      <c r="Y9" s="139">
        <v>44468675.030000001</v>
      </c>
      <c r="Z9" s="139">
        <v>44461770.149999999</v>
      </c>
      <c r="AA9" s="140">
        <v>45577506.369999997</v>
      </c>
      <c r="AB9" s="141" t="s">
        <v>28</v>
      </c>
      <c r="AC9" s="141"/>
      <c r="AD9" s="141"/>
      <c r="AE9" s="142"/>
      <c r="AF9" s="141"/>
      <c r="AG9" s="141"/>
      <c r="AH9" s="141"/>
      <c r="AI9" s="143"/>
      <c r="AJ9" s="144"/>
      <c r="AK9" s="115"/>
      <c r="AL9" s="115"/>
      <c r="AM9" s="115"/>
      <c r="AN9" s="30"/>
      <c r="AO9" s="116"/>
      <c r="AP9" s="116"/>
      <c r="AQ9" s="117"/>
      <c r="AR9" s="116"/>
      <c r="AS9" s="116"/>
      <c r="AT9" s="118"/>
      <c r="AU9" s="30"/>
      <c r="AV9" s="30"/>
      <c r="AW9" s="30"/>
      <c r="AX9" s="30"/>
    </row>
    <row r="10" spans="1:50" ht="21.75" customHeight="1" x14ac:dyDescent="0.25">
      <c r="A10" s="275" t="s">
        <v>29</v>
      </c>
      <c r="B10" s="134">
        <v>34725809.649999999</v>
      </c>
      <c r="C10" s="134">
        <v>35042781.850000001</v>
      </c>
      <c r="D10" s="134">
        <v>36309505.119999997</v>
      </c>
      <c r="E10" s="134">
        <v>35619868.369999997</v>
      </c>
      <c r="F10" s="134">
        <v>36146670.710000001</v>
      </c>
      <c r="G10" s="134">
        <v>36236211.920000002</v>
      </c>
      <c r="H10" s="135">
        <v>37048460.609999999</v>
      </c>
      <c r="I10" s="136">
        <v>2641610.33</v>
      </c>
      <c r="J10" s="134">
        <v>1295097.28</v>
      </c>
      <c r="K10" s="136">
        <v>2690826.28</v>
      </c>
      <c r="L10" s="134">
        <v>3359620.91</v>
      </c>
      <c r="M10" s="134">
        <v>3751901.32</v>
      </c>
      <c r="N10" s="134">
        <v>2997796.21</v>
      </c>
      <c r="O10" s="137">
        <v>4755147.32</v>
      </c>
      <c r="P10" s="134">
        <v>21786716.879999999</v>
      </c>
      <c r="Q10" s="134">
        <v>19943936.890000001</v>
      </c>
      <c r="R10" s="134">
        <v>23169187.48</v>
      </c>
      <c r="S10" s="134">
        <v>22405366.890000001</v>
      </c>
      <c r="T10" s="134">
        <v>21518501.73</v>
      </c>
      <c r="U10" s="134">
        <v>24529736.510000002</v>
      </c>
      <c r="V10" s="137">
        <v>25982204.170000002</v>
      </c>
      <c r="W10" s="145">
        <v>42210402.700000003</v>
      </c>
      <c r="X10" s="139">
        <v>43254914.210000001</v>
      </c>
      <c r="Y10" s="139">
        <v>44633060.780000001</v>
      </c>
      <c r="Z10" s="139">
        <v>44810914.170000002</v>
      </c>
      <c r="AA10" s="140">
        <v>46034387.5</v>
      </c>
      <c r="AB10" s="141" t="s">
        <v>31</v>
      </c>
      <c r="AC10" s="141"/>
      <c r="AD10" s="141"/>
      <c r="AE10" s="142"/>
      <c r="AF10" s="141"/>
      <c r="AG10" s="141"/>
      <c r="AH10" s="141"/>
      <c r="AI10" s="30"/>
      <c r="AJ10" s="144"/>
      <c r="AK10" s="115"/>
      <c r="AL10" s="115"/>
      <c r="AM10" s="115"/>
      <c r="AN10" s="30"/>
      <c r="AO10" s="116"/>
      <c r="AP10" s="116"/>
      <c r="AQ10" s="117"/>
      <c r="AR10" s="116"/>
      <c r="AS10" s="116"/>
      <c r="AT10" s="118"/>
      <c r="AU10" s="30"/>
      <c r="AV10" s="30"/>
      <c r="AW10" s="30"/>
      <c r="AX10" s="30"/>
    </row>
    <row r="11" spans="1:50" ht="21.75" customHeight="1" x14ac:dyDescent="0.25">
      <c r="A11" s="275" t="s">
        <v>32</v>
      </c>
      <c r="B11" s="134">
        <v>34806344.93</v>
      </c>
      <c r="C11" s="134">
        <v>35333148.090000004</v>
      </c>
      <c r="D11" s="134">
        <v>36566082.140000001</v>
      </c>
      <c r="E11" s="134">
        <v>35936900.219999999</v>
      </c>
      <c r="F11" s="134">
        <v>36063389.189999998</v>
      </c>
      <c r="G11" s="134">
        <v>36116743.340000004</v>
      </c>
      <c r="H11" s="135">
        <v>36970764.030000001</v>
      </c>
      <c r="I11" s="136">
        <v>1964141.55</v>
      </c>
      <c r="J11" s="134">
        <v>1035616.01</v>
      </c>
      <c r="K11" s="136">
        <v>3356711.13</v>
      </c>
      <c r="L11" s="134">
        <v>4080271.26</v>
      </c>
      <c r="M11" s="134">
        <v>3369545.15</v>
      </c>
      <c r="N11" s="134">
        <v>4636382.8099999996</v>
      </c>
      <c r="O11" s="137">
        <v>6350919.9199999999</v>
      </c>
      <c r="P11" s="134">
        <v>20394069.57</v>
      </c>
      <c r="Q11" s="134">
        <v>18946228.300000001</v>
      </c>
      <c r="R11" s="134">
        <v>21310307.780000001</v>
      </c>
      <c r="S11" s="134">
        <v>22893114.670000002</v>
      </c>
      <c r="T11" s="134">
        <v>21786624.140000001</v>
      </c>
      <c r="U11" s="134">
        <v>20762005.899999999</v>
      </c>
      <c r="V11" s="137">
        <v>23647457.32</v>
      </c>
      <c r="W11" s="145">
        <v>42833238.119999997</v>
      </c>
      <c r="X11" s="139">
        <v>44149568.780000001</v>
      </c>
      <c r="Y11" s="139">
        <v>44537862.530000001</v>
      </c>
      <c r="Z11" s="139">
        <v>44721757.189999998</v>
      </c>
      <c r="AA11" s="140">
        <v>45909139.420000002</v>
      </c>
      <c r="AB11" s="141" t="s">
        <v>33</v>
      </c>
      <c r="AC11" s="141"/>
      <c r="AD11" s="141"/>
      <c r="AE11" s="142"/>
      <c r="AF11" s="141"/>
      <c r="AG11" s="141"/>
      <c r="AH11" s="141"/>
      <c r="AI11" s="30"/>
      <c r="AJ11" s="144"/>
      <c r="AK11" s="115"/>
      <c r="AL11" s="115"/>
      <c r="AM11" s="115"/>
      <c r="AN11" s="115"/>
      <c r="AO11" s="116"/>
      <c r="AP11" s="116"/>
      <c r="AQ11" s="117"/>
      <c r="AR11" s="116"/>
      <c r="AS11" s="116"/>
      <c r="AT11" s="118"/>
      <c r="AU11" s="30"/>
      <c r="AV11" s="30"/>
      <c r="AW11" s="30"/>
      <c r="AX11" s="30"/>
    </row>
    <row r="12" spans="1:50" ht="21.75" customHeight="1" x14ac:dyDescent="0.25">
      <c r="A12" s="275" t="s">
        <v>34</v>
      </c>
      <c r="B12" s="134">
        <v>34551091.759999998</v>
      </c>
      <c r="C12" s="134">
        <v>34763162.600000001</v>
      </c>
      <c r="D12" s="134">
        <v>36384131.350000001</v>
      </c>
      <c r="E12" s="134">
        <v>35534750.799999997</v>
      </c>
      <c r="F12" s="134">
        <v>36068663.939999998</v>
      </c>
      <c r="G12" s="134">
        <v>36230750.740000002</v>
      </c>
      <c r="H12" s="135">
        <v>37007732.969999999</v>
      </c>
      <c r="I12" s="136">
        <v>1339288.5</v>
      </c>
      <c r="J12" s="134">
        <v>1307379.8500000001</v>
      </c>
      <c r="K12" s="136">
        <v>2347830.7599999998</v>
      </c>
      <c r="L12" s="134">
        <v>3657817.89</v>
      </c>
      <c r="M12" s="134">
        <v>4183948.61</v>
      </c>
      <c r="N12" s="134">
        <v>6677343.46</v>
      </c>
      <c r="O12" s="137">
        <v>3639247.26</v>
      </c>
      <c r="P12" s="134">
        <v>24106647.079999998</v>
      </c>
      <c r="Q12" s="134">
        <v>20630305.239999998</v>
      </c>
      <c r="R12" s="134">
        <v>20403653.850000001</v>
      </c>
      <c r="S12" s="134">
        <v>20138268.329999998</v>
      </c>
      <c r="T12" s="134">
        <v>22144329.760000002</v>
      </c>
      <c r="U12" s="134">
        <v>24685532.059999999</v>
      </c>
      <c r="V12" s="137">
        <v>23186276.129999999</v>
      </c>
      <c r="W12" s="145">
        <v>43089362.960000001</v>
      </c>
      <c r="X12" s="139">
        <v>43619940.25</v>
      </c>
      <c r="Y12" s="139">
        <v>44571685.759999998</v>
      </c>
      <c r="Z12" s="139">
        <v>44880317.399999999</v>
      </c>
      <c r="AA12" s="140">
        <v>45996533.189999998</v>
      </c>
      <c r="AB12" s="141" t="s">
        <v>35</v>
      </c>
      <c r="AC12" s="141"/>
      <c r="AD12" s="141"/>
      <c r="AE12" s="142"/>
      <c r="AF12" s="141"/>
      <c r="AG12" s="141"/>
      <c r="AH12" s="141"/>
      <c r="AI12" s="30"/>
      <c r="AJ12" s="144"/>
      <c r="AK12" s="115"/>
      <c r="AL12" s="115"/>
      <c r="AM12" s="115"/>
      <c r="AN12" s="115"/>
      <c r="AO12" s="116"/>
      <c r="AP12" s="116"/>
      <c r="AQ12" s="117"/>
      <c r="AR12" s="116"/>
      <c r="AS12" s="116"/>
      <c r="AT12" s="118"/>
      <c r="AU12" s="30"/>
      <c r="AV12" s="30"/>
      <c r="AW12" s="30"/>
      <c r="AX12" s="30"/>
    </row>
    <row r="13" spans="1:50" ht="21.75" customHeight="1" x14ac:dyDescent="0.25">
      <c r="A13" s="275" t="s">
        <v>36</v>
      </c>
      <c r="B13" s="134">
        <v>35154019.579999998</v>
      </c>
      <c r="C13" s="134">
        <v>35516487.740000002</v>
      </c>
      <c r="D13" s="134">
        <v>36107445.780000001</v>
      </c>
      <c r="E13" s="134">
        <v>35552003.799999997</v>
      </c>
      <c r="F13" s="134">
        <v>36109165.07</v>
      </c>
      <c r="G13" s="134">
        <v>36355611.409999996</v>
      </c>
      <c r="H13" s="135">
        <v>36938771.509999998</v>
      </c>
      <c r="I13" s="136">
        <v>1215734.1599999999</v>
      </c>
      <c r="J13" s="134">
        <v>2078811.7</v>
      </c>
      <c r="K13" s="136">
        <v>2585483.37</v>
      </c>
      <c r="L13" s="134">
        <v>3167794.24</v>
      </c>
      <c r="M13" s="134">
        <v>3487923.03</v>
      </c>
      <c r="N13" s="134">
        <v>5085268.92</v>
      </c>
      <c r="O13" s="137">
        <v>3884879.53</v>
      </c>
      <c r="P13" s="134">
        <v>20547997.280000001</v>
      </c>
      <c r="Q13" s="134">
        <v>20270298.870000001</v>
      </c>
      <c r="R13" s="134">
        <v>25011795.809999999</v>
      </c>
      <c r="S13" s="134">
        <v>23579889.43</v>
      </c>
      <c r="T13" s="134">
        <v>23541403.390000001</v>
      </c>
      <c r="U13" s="134">
        <v>22403673.059999999</v>
      </c>
      <c r="V13" s="137">
        <v>24211040.039999999</v>
      </c>
      <c r="W13" s="145">
        <v>42951893.25</v>
      </c>
      <c r="X13" s="139">
        <v>43724982.609999999</v>
      </c>
      <c r="Y13" s="139">
        <v>44559908.899999999</v>
      </c>
      <c r="Z13" s="139">
        <v>45031827.07</v>
      </c>
      <c r="AA13" s="140">
        <v>45905014</v>
      </c>
      <c r="AB13" s="141" t="s">
        <v>37</v>
      </c>
      <c r="AC13" s="141"/>
      <c r="AD13" s="141"/>
      <c r="AE13" s="141"/>
      <c r="AF13" s="141"/>
      <c r="AG13" s="141"/>
      <c r="AH13" s="141"/>
      <c r="AI13" s="30"/>
      <c r="AJ13" s="144"/>
      <c r="AK13" s="115"/>
      <c r="AL13" s="115"/>
      <c r="AM13" s="115"/>
      <c r="AN13" s="115"/>
      <c r="AO13" s="116"/>
      <c r="AP13" s="116"/>
      <c r="AQ13" s="117"/>
      <c r="AR13" s="116"/>
      <c r="AS13" s="116"/>
      <c r="AT13" s="118"/>
      <c r="AU13" s="30"/>
      <c r="AV13" s="30"/>
      <c r="AW13" s="30"/>
      <c r="AX13" s="30"/>
    </row>
    <row r="14" spans="1:50" ht="21.75" customHeight="1" x14ac:dyDescent="0.25">
      <c r="A14" s="275" t="s">
        <v>38</v>
      </c>
      <c r="B14" s="134">
        <v>34846940.390000001</v>
      </c>
      <c r="C14" s="134">
        <v>34426002.350000001</v>
      </c>
      <c r="D14" s="134">
        <v>35813486.210000001</v>
      </c>
      <c r="E14" s="134">
        <v>35602279.990000002</v>
      </c>
      <c r="F14" s="134">
        <v>36029004.759999998</v>
      </c>
      <c r="G14" s="134">
        <v>36298219.840000004</v>
      </c>
      <c r="H14" s="135">
        <v>36925696.890000001</v>
      </c>
      <c r="I14" s="136">
        <v>3534981.49</v>
      </c>
      <c r="J14" s="134">
        <v>3303174.44</v>
      </c>
      <c r="K14" s="136">
        <v>3069467.57</v>
      </c>
      <c r="L14" s="134">
        <v>2571052.06</v>
      </c>
      <c r="M14" s="134">
        <v>4518197.97</v>
      </c>
      <c r="N14" s="134">
        <v>3981105.07</v>
      </c>
      <c r="O14" s="137">
        <v>5207816.67</v>
      </c>
      <c r="P14" s="134">
        <v>18337900.530000001</v>
      </c>
      <c r="Q14" s="134">
        <v>20376029.489999998</v>
      </c>
      <c r="R14" s="134">
        <v>19985113.239999998</v>
      </c>
      <c r="S14" s="134">
        <v>20098179.469999999</v>
      </c>
      <c r="T14" s="134">
        <v>21892976.16</v>
      </c>
      <c r="U14" s="134">
        <v>20519433.440000001</v>
      </c>
      <c r="V14" s="137">
        <v>22605156.52</v>
      </c>
      <c r="W14" s="145">
        <v>42755542.670000002</v>
      </c>
      <c r="X14" s="139">
        <v>43737662.259999998</v>
      </c>
      <c r="Y14" s="139">
        <v>44460131.060000002</v>
      </c>
      <c r="Z14" s="139">
        <v>44946197.149999999</v>
      </c>
      <c r="AA14" s="140">
        <v>45901185.25</v>
      </c>
      <c r="AB14" s="141" t="s">
        <v>39</v>
      </c>
      <c r="AC14" s="141"/>
      <c r="AD14" s="141"/>
      <c r="AE14" s="141"/>
      <c r="AF14" s="141"/>
      <c r="AG14" s="141"/>
      <c r="AH14" s="141"/>
      <c r="AI14" s="30"/>
      <c r="AJ14" s="144"/>
      <c r="AK14" s="115"/>
      <c r="AL14" s="115"/>
      <c r="AM14" s="115"/>
      <c r="AN14" s="115"/>
      <c r="AO14" s="116"/>
      <c r="AP14" s="116"/>
      <c r="AQ14" s="117"/>
      <c r="AR14" s="116"/>
      <c r="AS14" s="116"/>
      <c r="AT14" s="118"/>
      <c r="AU14" s="30"/>
      <c r="AV14" s="30"/>
      <c r="AW14" s="30"/>
      <c r="AX14" s="30"/>
    </row>
    <row r="15" spans="1:50" ht="21.75" customHeight="1" x14ac:dyDescent="0.25">
      <c r="A15" s="275" t="s">
        <v>40</v>
      </c>
      <c r="B15" s="134">
        <v>34616936.060000002</v>
      </c>
      <c r="C15" s="134">
        <v>35501207.700000003</v>
      </c>
      <c r="D15" s="134">
        <v>36084345.200000003</v>
      </c>
      <c r="E15" s="134">
        <v>35579809.939999998</v>
      </c>
      <c r="F15" s="134">
        <v>36001644.68</v>
      </c>
      <c r="G15" s="134">
        <v>36318836.100000001</v>
      </c>
      <c r="H15" s="135">
        <v>36963420.649999999</v>
      </c>
      <c r="I15" s="136">
        <v>1519284.65</v>
      </c>
      <c r="J15" s="134">
        <v>1333414.57</v>
      </c>
      <c r="K15" s="136">
        <v>2042202.73</v>
      </c>
      <c r="L15" s="134">
        <v>2344401.7000000002</v>
      </c>
      <c r="M15" s="134">
        <v>2699440.83</v>
      </c>
      <c r="N15" s="134">
        <v>5261600.0999999996</v>
      </c>
      <c r="O15" s="137">
        <v>5418440.29</v>
      </c>
      <c r="P15" s="134">
        <v>19283504.379999999</v>
      </c>
      <c r="Q15" s="134">
        <v>19964302.440000001</v>
      </c>
      <c r="R15" s="134">
        <v>21626914.359999999</v>
      </c>
      <c r="S15" s="134">
        <v>21660890.57</v>
      </c>
      <c r="T15" s="134">
        <v>21128570.030000001</v>
      </c>
      <c r="U15" s="134">
        <v>24752976.48</v>
      </c>
      <c r="V15" s="137">
        <v>21475970.510000002</v>
      </c>
      <c r="W15" s="145">
        <v>43020315.149999999</v>
      </c>
      <c r="X15" s="139">
        <v>43752500.329999998</v>
      </c>
      <c r="Y15" s="139">
        <v>44393636.399999999</v>
      </c>
      <c r="Z15" s="139">
        <v>44989173.789999999</v>
      </c>
      <c r="AA15" s="140">
        <v>45986715.799999997</v>
      </c>
      <c r="AB15" s="141" t="s">
        <v>42</v>
      </c>
      <c r="AC15" s="141"/>
      <c r="AD15" s="141"/>
      <c r="AE15" s="141"/>
      <c r="AF15" s="141"/>
      <c r="AG15" s="141"/>
      <c r="AH15" s="141"/>
      <c r="AI15" s="30"/>
      <c r="AJ15" s="144"/>
      <c r="AK15" s="115"/>
      <c r="AL15" s="115"/>
      <c r="AM15" s="115"/>
      <c r="AN15" s="115"/>
      <c r="AO15" s="116"/>
      <c r="AP15" s="116"/>
      <c r="AQ15" s="117"/>
      <c r="AR15" s="116"/>
      <c r="AS15" s="116"/>
      <c r="AT15" s="118"/>
      <c r="AU15" s="30"/>
      <c r="AV15" s="30"/>
      <c r="AW15" s="30"/>
      <c r="AX15" s="30"/>
    </row>
    <row r="16" spans="1:50" ht="21.75" customHeight="1" x14ac:dyDescent="0.25">
      <c r="A16" s="275" t="s">
        <v>43</v>
      </c>
      <c r="B16" s="134">
        <v>34533025.399999999</v>
      </c>
      <c r="C16" s="134">
        <v>35434664.979999997</v>
      </c>
      <c r="D16" s="134">
        <v>35620342.140000001</v>
      </c>
      <c r="E16" s="134">
        <v>35615495.32</v>
      </c>
      <c r="F16" s="134">
        <v>36033929.969999999</v>
      </c>
      <c r="G16" s="134">
        <v>36412397.18</v>
      </c>
      <c r="H16" s="135">
        <v>36987685.469999999</v>
      </c>
      <c r="I16" s="136">
        <v>916177.57</v>
      </c>
      <c r="J16" s="134">
        <v>3627198.68</v>
      </c>
      <c r="K16" s="136">
        <v>2588532.9900000002</v>
      </c>
      <c r="L16" s="134">
        <v>5470143.8399999999</v>
      </c>
      <c r="M16" s="134">
        <v>2919856.3</v>
      </c>
      <c r="N16" s="134">
        <v>5162412.24</v>
      </c>
      <c r="O16" s="137">
        <v>4193156.14</v>
      </c>
      <c r="P16" s="134">
        <v>20570070.73</v>
      </c>
      <c r="Q16" s="134">
        <v>18948103.859999999</v>
      </c>
      <c r="R16" s="134">
        <v>20233894.109999999</v>
      </c>
      <c r="S16" s="134">
        <v>22064482.57</v>
      </c>
      <c r="T16" s="134">
        <v>21944891.600000001</v>
      </c>
      <c r="U16" s="134">
        <v>22454599.140000001</v>
      </c>
      <c r="V16" s="137">
        <v>23526425.82</v>
      </c>
      <c r="W16" s="145">
        <v>42960311.329999998</v>
      </c>
      <c r="X16" s="139">
        <v>43870459</v>
      </c>
      <c r="Y16" s="139">
        <v>44528204.109999999</v>
      </c>
      <c r="Z16" s="139">
        <v>45041925.409999996</v>
      </c>
      <c r="AA16" s="140">
        <v>46020459.649999999</v>
      </c>
      <c r="AB16" s="141" t="s">
        <v>44</v>
      </c>
      <c r="AC16" s="141"/>
      <c r="AD16" s="141"/>
      <c r="AE16" s="141"/>
      <c r="AF16" s="141"/>
      <c r="AG16" s="141"/>
      <c r="AH16" s="141"/>
      <c r="AI16" s="30"/>
      <c r="AJ16" s="144"/>
      <c r="AK16" s="115"/>
      <c r="AL16" s="115"/>
      <c r="AM16" s="115"/>
      <c r="AN16" s="115"/>
      <c r="AO16" s="116"/>
      <c r="AP16" s="116"/>
      <c r="AQ16" s="117"/>
      <c r="AR16" s="116"/>
      <c r="AS16" s="116"/>
      <c r="AT16" s="118"/>
      <c r="AU16" s="30"/>
      <c r="AV16" s="30"/>
      <c r="AW16" s="30"/>
      <c r="AX16" s="30"/>
    </row>
    <row r="17" spans="1:53" ht="21.75" customHeight="1" x14ac:dyDescent="0.25">
      <c r="A17" s="275" t="s">
        <v>45</v>
      </c>
      <c r="B17" s="134">
        <v>34475645.299999997</v>
      </c>
      <c r="C17" s="134">
        <v>35107026.060000002</v>
      </c>
      <c r="D17" s="134">
        <v>35819459.600000001</v>
      </c>
      <c r="E17" s="134">
        <v>35678427.479999997</v>
      </c>
      <c r="F17" s="134">
        <v>36029592.990000002</v>
      </c>
      <c r="G17" s="134">
        <v>36446247.899999999</v>
      </c>
      <c r="H17" s="135">
        <v>36970532.670000002</v>
      </c>
      <c r="I17" s="136">
        <v>2685645.5</v>
      </c>
      <c r="J17" s="134">
        <v>2986912.9</v>
      </c>
      <c r="K17" s="136">
        <v>2389738.73</v>
      </c>
      <c r="L17" s="134">
        <v>4094036.36</v>
      </c>
      <c r="M17" s="134">
        <v>5714928.9100000001</v>
      </c>
      <c r="N17" s="134">
        <v>4291130.3600000003</v>
      </c>
      <c r="O17" s="137">
        <v>4639134.76</v>
      </c>
      <c r="P17" s="134">
        <v>18016782.370000001</v>
      </c>
      <c r="Q17" s="134">
        <v>18818491.969999999</v>
      </c>
      <c r="R17" s="134">
        <v>21343950.440000001</v>
      </c>
      <c r="S17" s="134">
        <v>21025502.440000001</v>
      </c>
      <c r="T17" s="134">
        <v>21193752.359999999</v>
      </c>
      <c r="U17" s="134">
        <v>22721163.620000001</v>
      </c>
      <c r="V17" s="137">
        <v>23246985.52</v>
      </c>
      <c r="W17" s="145">
        <v>42967536.020000003</v>
      </c>
      <c r="X17" s="139">
        <v>43935052.659999996</v>
      </c>
      <c r="Y17" s="139">
        <v>44435147.43</v>
      </c>
      <c r="Z17" s="139">
        <v>45281804.299999997</v>
      </c>
      <c r="AA17" s="140">
        <v>45982647.130000003</v>
      </c>
      <c r="AB17" s="141" t="s">
        <v>47</v>
      </c>
      <c r="AC17" s="141"/>
      <c r="AD17" s="141"/>
      <c r="AE17" s="141"/>
      <c r="AF17" s="141"/>
      <c r="AG17" s="141"/>
      <c r="AH17" s="141"/>
      <c r="AI17" s="30"/>
      <c r="AJ17" s="144"/>
      <c r="AK17" s="115"/>
      <c r="AL17" s="115"/>
      <c r="AM17" s="115"/>
      <c r="AN17" s="115"/>
      <c r="AO17" s="116"/>
      <c r="AP17" s="116"/>
      <c r="AQ17" s="117"/>
      <c r="AR17" s="116"/>
      <c r="AS17" s="116"/>
      <c r="AT17" s="118"/>
      <c r="AU17" s="30"/>
      <c r="AV17" s="30"/>
      <c r="AW17" s="30"/>
      <c r="AX17" s="30"/>
    </row>
    <row r="18" spans="1:53" ht="21.75" customHeight="1" x14ac:dyDescent="0.25">
      <c r="A18" s="275" t="s">
        <v>48</v>
      </c>
      <c r="B18" s="134">
        <v>34594343.560000002</v>
      </c>
      <c r="C18" s="134">
        <v>35317143.350000001</v>
      </c>
      <c r="D18" s="134">
        <v>35809800.469999999</v>
      </c>
      <c r="E18" s="134">
        <v>35659371.909999996</v>
      </c>
      <c r="F18" s="134">
        <v>35962322.630000003</v>
      </c>
      <c r="G18" s="134">
        <v>36282949.869999997</v>
      </c>
      <c r="H18" s="135">
        <v>36881683.780000001</v>
      </c>
      <c r="I18" s="136">
        <v>1715961.41</v>
      </c>
      <c r="J18" s="134">
        <v>2911512.09</v>
      </c>
      <c r="K18" s="136">
        <v>3281668.64</v>
      </c>
      <c r="L18" s="134">
        <v>3127019.99</v>
      </c>
      <c r="M18" s="134">
        <v>5737680.6399999997</v>
      </c>
      <c r="N18" s="134">
        <v>5262311.57</v>
      </c>
      <c r="O18" s="137">
        <v>5013889.07</v>
      </c>
      <c r="P18" s="134">
        <v>19528164.620000001</v>
      </c>
      <c r="Q18" s="134">
        <v>19052611.420000002</v>
      </c>
      <c r="R18" s="134">
        <v>20222911.489999998</v>
      </c>
      <c r="S18" s="134">
        <v>19694687.600000001</v>
      </c>
      <c r="T18" s="134">
        <v>22752764.34</v>
      </c>
      <c r="U18" s="134">
        <v>22527771.489999998</v>
      </c>
      <c r="V18" s="137">
        <v>23295345.75</v>
      </c>
      <c r="W18" s="145">
        <v>43043959.509999998</v>
      </c>
      <c r="X18" s="139">
        <v>43913866.189999998</v>
      </c>
      <c r="Y18" s="139">
        <v>44405359.340000004</v>
      </c>
      <c r="Z18" s="139">
        <v>44969354.149999999</v>
      </c>
      <c r="AA18" s="140">
        <v>45894130.229999997</v>
      </c>
      <c r="AB18" s="141" t="s">
        <v>50</v>
      </c>
      <c r="AC18" s="141"/>
      <c r="AD18" s="141"/>
      <c r="AE18" s="141"/>
      <c r="AF18" s="141"/>
      <c r="AG18" s="141"/>
      <c r="AH18" s="141"/>
      <c r="AI18" s="30"/>
      <c r="AJ18" s="144"/>
      <c r="AK18" s="115"/>
      <c r="AL18" s="115"/>
      <c r="AM18" s="115"/>
      <c r="AN18" s="115"/>
      <c r="AO18" s="116"/>
      <c r="AP18" s="116"/>
      <c r="AQ18" s="117"/>
      <c r="AR18" s="116"/>
      <c r="AS18" s="116"/>
      <c r="AT18" s="118"/>
      <c r="AU18" s="30"/>
      <c r="AV18" s="30"/>
      <c r="AW18" s="30"/>
      <c r="AX18" s="30"/>
    </row>
    <row r="19" spans="1:53" ht="21.75" customHeight="1" x14ac:dyDescent="0.55000000000000004">
      <c r="A19" s="275" t="s">
        <v>51</v>
      </c>
      <c r="B19" s="134">
        <v>34186099.060000002</v>
      </c>
      <c r="C19" s="134">
        <v>35528647</v>
      </c>
      <c r="D19" s="134">
        <v>35916765.130000003</v>
      </c>
      <c r="E19" s="134">
        <v>35594151.450000003</v>
      </c>
      <c r="F19" s="134">
        <v>35841590.75</v>
      </c>
      <c r="G19" s="134">
        <v>36333466.950000003</v>
      </c>
      <c r="H19" s="135">
        <v>36867780.420000002</v>
      </c>
      <c r="I19" s="136">
        <v>1718102.79</v>
      </c>
      <c r="J19" s="134">
        <v>3115225.24</v>
      </c>
      <c r="K19" s="136">
        <v>6316239.1299999999</v>
      </c>
      <c r="L19" s="134">
        <v>10717532.66</v>
      </c>
      <c r="M19" s="134">
        <v>6161778.1299999999</v>
      </c>
      <c r="N19" s="134">
        <v>4462791.46</v>
      </c>
      <c r="O19" s="137">
        <v>6112626.2000000002</v>
      </c>
      <c r="P19" s="134">
        <v>18635257.670000002</v>
      </c>
      <c r="Q19" s="134">
        <v>20720584.449999999</v>
      </c>
      <c r="R19" s="134">
        <v>20730230.550000001</v>
      </c>
      <c r="S19" s="134">
        <v>20986081.460000001</v>
      </c>
      <c r="T19" s="134">
        <v>22374591.18</v>
      </c>
      <c r="U19" s="134">
        <v>22169535.789999999</v>
      </c>
      <c r="V19" s="137">
        <v>23794397.079999998</v>
      </c>
      <c r="W19" s="145">
        <v>42800573.149999999</v>
      </c>
      <c r="X19" s="139">
        <v>43822391.649999999</v>
      </c>
      <c r="Y19" s="139">
        <v>44228858.57</v>
      </c>
      <c r="Z19" s="139">
        <v>45004333.439999998</v>
      </c>
      <c r="AA19" s="140">
        <v>45831243.82</v>
      </c>
      <c r="AB19" s="146" t="s">
        <v>52</v>
      </c>
      <c r="AC19" s="146"/>
      <c r="AD19" s="146"/>
      <c r="AE19" s="146"/>
      <c r="AF19" s="146"/>
      <c r="AG19" s="146"/>
      <c r="AH19" s="146"/>
      <c r="AI19" s="30"/>
      <c r="AJ19" s="144"/>
      <c r="AK19" s="115"/>
      <c r="AL19" s="115"/>
      <c r="AM19" s="115"/>
      <c r="AN19" s="115"/>
      <c r="AO19" s="116"/>
      <c r="AP19" s="116"/>
      <c r="AQ19" s="117"/>
      <c r="AR19" s="116"/>
      <c r="AS19" s="116"/>
      <c r="AT19" s="118"/>
      <c r="AU19" s="30"/>
      <c r="AV19" s="30"/>
      <c r="AW19" s="30"/>
      <c r="AX19" s="30"/>
    </row>
    <row r="20" spans="1:53" ht="21.75" customHeight="1" x14ac:dyDescent="0.25">
      <c r="A20" s="276" t="s">
        <v>53</v>
      </c>
      <c r="B20" s="148">
        <v>34536394.18</v>
      </c>
      <c r="C20" s="148">
        <v>34882002.939999998</v>
      </c>
      <c r="D20" s="148">
        <v>35659834.729999997</v>
      </c>
      <c r="E20" s="148">
        <v>35452633.939999998</v>
      </c>
      <c r="F20" s="148">
        <v>35874331.299999997</v>
      </c>
      <c r="G20" s="148">
        <v>36250983.479999997</v>
      </c>
      <c r="H20" s="149">
        <v>36842389.850000001</v>
      </c>
      <c r="I20" s="150">
        <v>1705960.07</v>
      </c>
      <c r="J20" s="148">
        <v>1742517.29</v>
      </c>
      <c r="K20" s="150">
        <v>1971183.13</v>
      </c>
      <c r="L20" s="148">
        <v>3380365.84</v>
      </c>
      <c r="M20" s="148">
        <v>1577278.23</v>
      </c>
      <c r="N20" s="148">
        <v>3374092.46</v>
      </c>
      <c r="O20" s="151">
        <v>4436748.0999999996</v>
      </c>
      <c r="P20" s="148">
        <v>20484506.43</v>
      </c>
      <c r="Q20" s="148">
        <v>19628482.789999999</v>
      </c>
      <c r="R20" s="148">
        <v>20204394.68</v>
      </c>
      <c r="S20" s="148">
        <v>19421687.149999999</v>
      </c>
      <c r="T20" s="148">
        <v>21510452.010000002</v>
      </c>
      <c r="U20" s="148">
        <v>21777052.940000001</v>
      </c>
      <c r="V20" s="151">
        <v>22591475.109999999</v>
      </c>
      <c r="W20" s="152">
        <v>42678576.490000002</v>
      </c>
      <c r="X20" s="153">
        <v>43634524.200000003</v>
      </c>
      <c r="Y20" s="153">
        <v>44260007.780000001</v>
      </c>
      <c r="Z20" s="153">
        <v>44897572.810000002</v>
      </c>
      <c r="AA20" s="154">
        <v>45784801.289999999</v>
      </c>
      <c r="AB20" s="155" t="s">
        <v>54</v>
      </c>
      <c r="AC20" s="141"/>
      <c r="AD20" s="141"/>
      <c r="AE20" s="141"/>
      <c r="AF20" s="141"/>
      <c r="AG20" s="141"/>
      <c r="AH20" s="141"/>
      <c r="AI20" s="30"/>
      <c r="AJ20" s="144"/>
      <c r="AK20" s="115"/>
      <c r="AL20" s="115"/>
      <c r="AM20" s="115"/>
      <c r="AN20" s="115"/>
      <c r="AO20" s="116"/>
      <c r="AP20" s="116"/>
      <c r="AQ20" s="117"/>
      <c r="AR20" s="116"/>
      <c r="AS20" s="116"/>
      <c r="AT20" s="118"/>
      <c r="AU20" s="30"/>
      <c r="AV20" s="30"/>
      <c r="AW20" s="30"/>
      <c r="AX20" s="30"/>
    </row>
    <row r="21" spans="1:53" ht="17.25" customHeight="1" x14ac:dyDescent="0.25">
      <c r="A21" s="156" t="s">
        <v>55</v>
      </c>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c r="AA21" s="157"/>
      <c r="AB21" s="158" t="s">
        <v>56</v>
      </c>
      <c r="AC21" s="158"/>
      <c r="AD21" s="158"/>
      <c r="AE21" s="158"/>
      <c r="AF21" s="158"/>
      <c r="AG21" s="158"/>
      <c r="AH21" s="158"/>
      <c r="AI21" s="157"/>
      <c r="AJ21" s="144"/>
      <c r="AK21" s="115"/>
      <c r="AL21" s="115"/>
      <c r="AM21" s="115"/>
      <c r="AN21" s="115"/>
      <c r="AO21" s="115"/>
      <c r="AP21" s="115"/>
      <c r="AQ21" s="159"/>
      <c r="AR21" s="115"/>
      <c r="AS21" s="115"/>
      <c r="AT21" s="157"/>
      <c r="AU21" s="157"/>
      <c r="AV21" s="157"/>
      <c r="AW21" s="30"/>
      <c r="AX21" s="30"/>
    </row>
    <row r="22" spans="1:53" ht="17.25" customHeight="1" x14ac:dyDescent="0.45">
      <c r="A22" s="160" t="s">
        <v>57</v>
      </c>
      <c r="B22" s="157"/>
      <c r="C22" s="157"/>
      <c r="D22" s="157"/>
      <c r="E22" s="157"/>
      <c r="F22" s="157"/>
      <c r="G22" s="157"/>
      <c r="H22" s="157"/>
      <c r="I22" s="157"/>
      <c r="J22" s="157"/>
      <c r="K22" s="157"/>
      <c r="L22" s="157"/>
      <c r="M22" s="161"/>
      <c r="N22" s="161"/>
      <c r="O22" s="161"/>
      <c r="P22" s="157"/>
      <c r="Q22" s="157"/>
      <c r="R22" s="157"/>
      <c r="S22" s="157"/>
      <c r="T22" s="157"/>
      <c r="U22" s="157"/>
      <c r="V22" s="157"/>
      <c r="W22" s="157"/>
      <c r="X22" s="157"/>
      <c r="Y22" s="157"/>
      <c r="Z22" s="157"/>
      <c r="AA22" s="157"/>
      <c r="AB22" s="162" t="s">
        <v>58</v>
      </c>
      <c r="AC22" s="163"/>
      <c r="AD22" s="163"/>
      <c r="AE22" s="163"/>
      <c r="AF22" s="163"/>
      <c r="AG22" s="163"/>
      <c r="AH22" s="163"/>
      <c r="AI22" s="157"/>
      <c r="AJ22" s="144"/>
      <c r="AK22" s="741" t="s">
        <v>59</v>
      </c>
      <c r="AL22" s="699"/>
      <c r="AM22" s="699"/>
      <c r="AN22" s="700"/>
      <c r="AO22" s="157"/>
      <c r="AP22" s="157"/>
      <c r="AQ22" s="164"/>
      <c r="AR22" s="157"/>
      <c r="AS22" s="741" t="s">
        <v>62</v>
      </c>
      <c r="AT22" s="699"/>
      <c r="AU22" s="699"/>
      <c r="AV22" s="700"/>
      <c r="AW22" s="30"/>
      <c r="AX22" s="30"/>
    </row>
    <row r="23" spans="1:53"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144"/>
      <c r="AK23" s="115">
        <v>2012</v>
      </c>
      <c r="AL23" s="115">
        <v>2013</v>
      </c>
      <c r="AM23" s="115">
        <v>2014</v>
      </c>
      <c r="AN23" s="115">
        <v>2015</v>
      </c>
      <c r="AO23" s="115">
        <v>2016</v>
      </c>
      <c r="AP23" s="115">
        <v>2017</v>
      </c>
      <c r="AQ23" s="115">
        <v>2018</v>
      </c>
      <c r="AR23" s="115"/>
      <c r="AS23" s="165">
        <v>2012</v>
      </c>
      <c r="AT23" s="165">
        <v>2013</v>
      </c>
      <c r="AU23" s="165">
        <v>2014</v>
      </c>
      <c r="AV23" s="165">
        <v>2015</v>
      </c>
      <c r="AW23" s="165">
        <v>2016</v>
      </c>
      <c r="AX23" s="165">
        <v>2017</v>
      </c>
      <c r="AY23" s="165">
        <v>2018</v>
      </c>
    </row>
    <row r="24" spans="1:53" ht="15.75" customHeight="1" x14ac:dyDescent="0.25">
      <c r="A24" s="42"/>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t="str">
        <f>D6</f>
        <v>Basic pension</v>
      </c>
      <c r="AK24" s="111">
        <f t="shared" ref="AK24:AO24" si="1">AS24/1000000</f>
        <v>414.73893651999998</v>
      </c>
      <c r="AL24" s="111">
        <f t="shared" si="1"/>
        <v>421.20435024000005</v>
      </c>
      <c r="AM24" s="111">
        <f t="shared" si="1"/>
        <v>431.70710244000009</v>
      </c>
      <c r="AN24" s="111">
        <f t="shared" si="1"/>
        <v>426.99923999999999</v>
      </c>
      <c r="AO24" s="111">
        <f t="shared" si="1"/>
        <v>432.11594074999999</v>
      </c>
      <c r="AP24" s="111">
        <f>AX24/1000000</f>
        <v>435.25136824000003</v>
      </c>
      <c r="AQ24" s="111">
        <f>AY24/1000000</f>
        <v>443.15210785000011</v>
      </c>
      <c r="AR24" s="111"/>
      <c r="AS24" s="139">
        <f>B8</f>
        <v>414738936.51999998</v>
      </c>
      <c r="AT24" s="139">
        <f>C8</f>
        <v>421204350.24000007</v>
      </c>
      <c r="AU24" s="139">
        <f>D8</f>
        <v>431707102.44000006</v>
      </c>
      <c r="AV24" s="139">
        <f>E8</f>
        <v>426999240</v>
      </c>
      <c r="AW24" s="139">
        <f>F8</f>
        <v>432115940.75</v>
      </c>
      <c r="AX24" s="139">
        <f t="shared" ref="AX24:AY24" si="2">G8</f>
        <v>435251368.24000001</v>
      </c>
      <c r="AY24" s="139">
        <f t="shared" si="2"/>
        <v>443152107.85000008</v>
      </c>
    </row>
    <row r="25" spans="1:53" ht="15.75" customHeight="1" x14ac:dyDescent="0.25">
      <c r="A25" s="30"/>
      <c r="B25" s="157"/>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t="str">
        <f>R6</f>
        <v>Other  pension</v>
      </c>
      <c r="AK25" s="111">
        <f t="shared" ref="AK25:AQ25" si="3">AS25/1000000</f>
        <v>240.70123962</v>
      </c>
      <c r="AL25" s="111">
        <f t="shared" si="3"/>
        <v>244.38423925999996</v>
      </c>
      <c r="AM25" s="111">
        <f t="shared" si="3"/>
        <v>259.55405459000002</v>
      </c>
      <c r="AN25" s="111">
        <f t="shared" si="3"/>
        <v>260.11826270999995</v>
      </c>
      <c r="AO25" s="111">
        <f t="shared" si="3"/>
        <v>264.84195393999994</v>
      </c>
      <c r="AP25" s="111">
        <f t="shared" si="3"/>
        <v>270.65722773000005</v>
      </c>
      <c r="AQ25" s="111">
        <f t="shared" si="3"/>
        <v>280.56057788999999</v>
      </c>
      <c r="AR25" s="111"/>
      <c r="AS25" s="139">
        <f>P8</f>
        <v>240701239.62</v>
      </c>
      <c r="AT25" s="139">
        <f>Q8</f>
        <v>244384239.25999996</v>
      </c>
      <c r="AU25" s="139">
        <f>R8</f>
        <v>259554054.59000003</v>
      </c>
      <c r="AV25" s="139">
        <f>S8</f>
        <v>260118262.70999998</v>
      </c>
      <c r="AW25" s="139">
        <f>T8</f>
        <v>264841953.93999997</v>
      </c>
      <c r="AX25" s="139">
        <f t="shared" ref="AX25:AY25" si="4">U8</f>
        <v>270657227.73000002</v>
      </c>
      <c r="AY25" s="139">
        <f t="shared" si="4"/>
        <v>280560577.88999999</v>
      </c>
      <c r="AZ25" s="139"/>
      <c r="BA25" s="139"/>
    </row>
    <row r="26" spans="1:53"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t="str">
        <f>K6</f>
        <v>Retirement  pension</v>
      </c>
      <c r="AK26" s="111">
        <f t="shared" ref="AK26:AQ26" si="5">AS26/1000000</f>
        <v>21.452251599999997</v>
      </c>
      <c r="AL26" s="111">
        <f t="shared" si="5"/>
        <v>25.887906539999999</v>
      </c>
      <c r="AM26" s="111">
        <f t="shared" si="5"/>
        <v>35.973669200000003</v>
      </c>
      <c r="AN26" s="111">
        <f t="shared" si="5"/>
        <v>48.839669629999996</v>
      </c>
      <c r="AO26" s="111">
        <f t="shared" si="5"/>
        <v>49.178627069999997</v>
      </c>
      <c r="AP26" s="111">
        <f t="shared" si="5"/>
        <v>54.585241880000005</v>
      </c>
      <c r="AQ26" s="111">
        <f t="shared" si="5"/>
        <v>58.618929450000003</v>
      </c>
      <c r="AR26" s="111"/>
      <c r="AS26" s="139">
        <f>I8</f>
        <v>21452251.599999998</v>
      </c>
      <c r="AT26" s="139">
        <f>J8</f>
        <v>25887906.539999999</v>
      </c>
      <c r="AU26" s="139">
        <f>K8</f>
        <v>35973669.200000003</v>
      </c>
      <c r="AV26" s="139">
        <f>L8</f>
        <v>48839669.629999995</v>
      </c>
      <c r="AW26" s="139">
        <f>M8</f>
        <v>49178627.07</v>
      </c>
      <c r="AX26" s="139">
        <f t="shared" ref="AX26:AY26" si="6">N8</f>
        <v>54585241.880000003</v>
      </c>
      <c r="AY26" s="139">
        <f t="shared" si="6"/>
        <v>58618929.450000003</v>
      </c>
    </row>
    <row r="27" spans="1:53"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t="str">
        <f>W6</f>
        <v xml:space="preserve"> Senior Citizen Allowance</v>
      </c>
      <c r="AK27" s="111">
        <f t="shared" ref="AK27:AQ27" si="7">AS27/1000000</f>
        <v>0</v>
      </c>
      <c r="AL27" s="111">
        <f t="shared" si="7"/>
        <v>0</v>
      </c>
      <c r="AM27" s="111">
        <f t="shared" si="7"/>
        <v>471.31171134999994</v>
      </c>
      <c r="AN27" s="111">
        <f t="shared" si="7"/>
        <v>524.5473284599999</v>
      </c>
      <c r="AO27" s="111">
        <f t="shared" si="7"/>
        <v>533.48253769000007</v>
      </c>
      <c r="AP27" s="111">
        <f t="shared" si="7"/>
        <v>539.03694702999996</v>
      </c>
      <c r="AQ27" s="111">
        <f t="shared" si="7"/>
        <v>550.82376364999993</v>
      </c>
      <c r="AR27" s="111"/>
      <c r="AS27" s="166">
        <v>0</v>
      </c>
      <c r="AT27" s="166">
        <v>0</v>
      </c>
      <c r="AU27" s="139">
        <f t="shared" ref="AU27:AW27" si="8">W8</f>
        <v>471311711.34999996</v>
      </c>
      <c r="AV27" s="139">
        <f t="shared" si="8"/>
        <v>524547328.45999992</v>
      </c>
      <c r="AW27" s="139">
        <f t="shared" si="8"/>
        <v>533482537.69000006</v>
      </c>
      <c r="AX27" s="139">
        <f t="shared" ref="AX27" si="9">Z8</f>
        <v>539036947.02999997</v>
      </c>
      <c r="AY27" s="139">
        <f t="shared" ref="AY27" si="10">AA8</f>
        <v>550823763.64999998</v>
      </c>
    </row>
    <row r="28" spans="1:53"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115"/>
      <c r="AK28" s="115"/>
      <c r="AL28" s="116"/>
      <c r="AM28" s="116"/>
      <c r="AN28" s="30"/>
      <c r="AO28" s="30"/>
      <c r="AP28" s="30"/>
      <c r="AQ28" s="114"/>
      <c r="AR28" s="30"/>
      <c r="AS28" s="167"/>
      <c r="AT28" s="167"/>
      <c r="AU28" s="166"/>
      <c r="AV28" s="166"/>
      <c r="AW28" s="166"/>
      <c r="AX28" s="30"/>
      <c r="AY28" s="168">
        <f>SUM(AY24:AY27)</f>
        <v>1333155378.8400002</v>
      </c>
    </row>
    <row r="29" spans="1:53"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115"/>
      <c r="AK29" s="115"/>
      <c r="AL29" s="116"/>
      <c r="AM29" s="116"/>
      <c r="AN29" s="116"/>
      <c r="AO29" s="118"/>
      <c r="AP29" s="118"/>
      <c r="AQ29" s="169"/>
      <c r="AR29" s="118"/>
      <c r="AS29" s="30"/>
      <c r="AT29" s="30"/>
      <c r="AU29" s="30"/>
      <c r="AV29" s="30"/>
      <c r="AW29" s="30"/>
      <c r="AX29" s="30"/>
    </row>
    <row r="30" spans="1:53"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114"/>
      <c r="AR30" s="30"/>
      <c r="AS30" s="30"/>
      <c r="AT30" s="30"/>
      <c r="AU30" s="30"/>
      <c r="AV30" s="30"/>
      <c r="AW30" s="30"/>
      <c r="AX30" s="30"/>
    </row>
    <row r="31" spans="1:53"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114"/>
      <c r="AR31" s="30"/>
      <c r="AS31" s="30"/>
      <c r="AT31" s="30"/>
      <c r="AU31" s="30"/>
      <c r="AV31" s="30"/>
      <c r="AW31" s="30"/>
      <c r="AX31" s="30"/>
    </row>
    <row r="32" spans="1:53"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114"/>
      <c r="AR32" s="30"/>
      <c r="AS32" s="30"/>
      <c r="AT32" s="30"/>
      <c r="AU32" s="30"/>
      <c r="AV32" s="30"/>
      <c r="AW32" s="30"/>
      <c r="AX32" s="30"/>
    </row>
    <row r="33" spans="1:50"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114"/>
      <c r="AR33" s="30"/>
      <c r="AS33" s="30"/>
      <c r="AT33" s="30"/>
      <c r="AU33" s="30"/>
      <c r="AV33" s="30"/>
      <c r="AW33" s="30"/>
      <c r="AX33" s="30"/>
    </row>
    <row r="34" spans="1:50"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114"/>
      <c r="AR34" s="30"/>
      <c r="AS34" s="30"/>
      <c r="AT34" s="30"/>
      <c r="AU34" s="30"/>
      <c r="AV34" s="30"/>
      <c r="AW34" s="30"/>
      <c r="AX34" s="30"/>
    </row>
    <row r="35" spans="1:50"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114"/>
      <c r="AR35" s="30"/>
      <c r="AS35" s="30"/>
      <c r="AT35" s="30"/>
      <c r="AU35" s="30"/>
      <c r="AV35" s="30"/>
      <c r="AW35" s="30"/>
      <c r="AX35" s="30"/>
    </row>
    <row r="36" spans="1:50"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114"/>
      <c r="AR36" s="30"/>
      <c r="AS36" s="30"/>
      <c r="AT36" s="30"/>
      <c r="AU36" s="30"/>
      <c r="AV36" s="30"/>
      <c r="AW36" s="30"/>
      <c r="AX36" s="30"/>
    </row>
    <row r="37" spans="1:50"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114"/>
      <c r="AR37" s="30"/>
      <c r="AS37" s="30"/>
      <c r="AT37" s="30"/>
      <c r="AU37" s="30"/>
      <c r="AV37" s="30"/>
      <c r="AW37" s="30"/>
      <c r="AX37" s="30"/>
    </row>
    <row r="38" spans="1:50"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114"/>
      <c r="AR38" s="30"/>
      <c r="AS38" s="30"/>
      <c r="AT38" s="30"/>
      <c r="AU38" s="30"/>
      <c r="AV38" s="30"/>
      <c r="AW38" s="30"/>
      <c r="AX38" s="30"/>
    </row>
    <row r="39" spans="1:50"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114"/>
      <c r="AR39" s="30"/>
      <c r="AS39" s="30"/>
      <c r="AT39" s="30"/>
      <c r="AU39" s="30"/>
      <c r="AV39" s="30"/>
      <c r="AW39" s="30"/>
      <c r="AX39" s="30"/>
    </row>
    <row r="40" spans="1:50"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114"/>
      <c r="AR40" s="30"/>
      <c r="AS40" s="30"/>
      <c r="AT40" s="30"/>
      <c r="AU40" s="30"/>
      <c r="AV40" s="30"/>
      <c r="AW40" s="30"/>
      <c r="AX40" s="30"/>
    </row>
    <row r="41" spans="1:50"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114"/>
      <c r="AR41" s="30"/>
      <c r="AS41" s="30"/>
      <c r="AT41" s="30"/>
      <c r="AU41" s="30"/>
      <c r="AV41" s="30"/>
      <c r="AW41" s="30"/>
      <c r="AX41" s="30"/>
    </row>
    <row r="42" spans="1:50"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114"/>
      <c r="AR42" s="30"/>
      <c r="AS42" s="30"/>
      <c r="AT42" s="30"/>
      <c r="AU42" s="30"/>
      <c r="AV42" s="30"/>
      <c r="AW42" s="30"/>
      <c r="AX42" s="30"/>
    </row>
    <row r="43" spans="1:50"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114"/>
      <c r="AR43" s="30"/>
      <c r="AS43" s="30"/>
      <c r="AT43" s="30"/>
      <c r="AU43" s="30"/>
      <c r="AV43" s="30"/>
      <c r="AW43" s="30"/>
      <c r="AX43" s="30"/>
    </row>
    <row r="44" spans="1:50"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114"/>
      <c r="AR44" s="30"/>
      <c r="AS44" s="30"/>
      <c r="AT44" s="30"/>
      <c r="AU44" s="30"/>
      <c r="AV44" s="30"/>
      <c r="AW44" s="30"/>
      <c r="AX44" s="30"/>
    </row>
    <row r="45" spans="1:50"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114"/>
      <c r="AR45" s="30"/>
      <c r="AS45" s="30"/>
      <c r="AT45" s="30"/>
      <c r="AU45" s="30"/>
      <c r="AV45" s="30"/>
      <c r="AW45" s="30"/>
      <c r="AX45" s="30"/>
    </row>
    <row r="46" spans="1:50"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114"/>
      <c r="AR46" s="30"/>
      <c r="AS46" s="30"/>
      <c r="AT46" s="30"/>
      <c r="AU46" s="30"/>
      <c r="AV46" s="30"/>
      <c r="AW46" s="30"/>
      <c r="AX46" s="30"/>
    </row>
    <row r="47" spans="1:50"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114"/>
      <c r="AR47" s="30"/>
      <c r="AS47" s="30"/>
      <c r="AT47" s="30"/>
      <c r="AU47" s="30"/>
      <c r="AV47" s="30"/>
      <c r="AW47" s="30"/>
      <c r="AX47" s="30"/>
    </row>
    <row r="48" spans="1:50"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114"/>
      <c r="AR48" s="30"/>
      <c r="AS48" s="30"/>
      <c r="AT48" s="30"/>
      <c r="AU48" s="30"/>
      <c r="AV48" s="30"/>
      <c r="AW48" s="30"/>
      <c r="AX48" s="30"/>
    </row>
    <row r="49" spans="1:50"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114"/>
      <c r="AR49" s="30"/>
      <c r="AS49" s="30"/>
      <c r="AT49" s="30"/>
      <c r="AU49" s="30"/>
      <c r="AV49" s="30"/>
      <c r="AW49" s="30"/>
      <c r="AX49" s="30"/>
    </row>
    <row r="50" spans="1:50"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114"/>
      <c r="AR50" s="30"/>
      <c r="AS50" s="30"/>
      <c r="AT50" s="30"/>
      <c r="AU50" s="30"/>
      <c r="AV50" s="30"/>
      <c r="AW50" s="30"/>
      <c r="AX50" s="30"/>
    </row>
    <row r="51" spans="1:50"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114"/>
      <c r="AR51" s="30"/>
      <c r="AS51" s="30"/>
      <c r="AT51" s="30"/>
      <c r="AU51" s="30"/>
      <c r="AV51" s="30"/>
      <c r="AW51" s="30"/>
      <c r="AX51" s="30"/>
    </row>
    <row r="52" spans="1:50"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114"/>
      <c r="AR52" s="30"/>
      <c r="AS52" s="30"/>
      <c r="AT52" s="30"/>
      <c r="AU52" s="30"/>
      <c r="AV52" s="30"/>
      <c r="AW52" s="30"/>
      <c r="AX52" s="30"/>
    </row>
    <row r="53" spans="1:50" ht="15.7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114"/>
      <c r="AR53" s="30"/>
      <c r="AS53" s="30"/>
      <c r="AT53" s="30"/>
      <c r="AU53" s="30"/>
      <c r="AV53" s="30"/>
      <c r="AW53" s="30"/>
      <c r="AX53" s="30"/>
    </row>
    <row r="54" spans="1:50"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114"/>
      <c r="AR54" s="30"/>
      <c r="AS54" s="30"/>
      <c r="AT54" s="30"/>
      <c r="AU54" s="30"/>
      <c r="AV54" s="30"/>
      <c r="AW54" s="30"/>
      <c r="AX54" s="30"/>
    </row>
    <row r="55" spans="1:50" ht="15.7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114"/>
      <c r="AR55" s="30"/>
      <c r="AS55" s="30"/>
      <c r="AT55" s="30"/>
      <c r="AU55" s="30"/>
      <c r="AV55" s="30"/>
      <c r="AW55" s="30"/>
      <c r="AX55" s="30"/>
    </row>
    <row r="56" spans="1:50" ht="15.7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114"/>
      <c r="AR56" s="30"/>
      <c r="AS56" s="30"/>
      <c r="AT56" s="30"/>
      <c r="AU56" s="30"/>
      <c r="AV56" s="30"/>
      <c r="AW56" s="30"/>
      <c r="AX56" s="30"/>
    </row>
    <row r="57" spans="1:50" ht="15.7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114"/>
      <c r="AR57" s="30"/>
      <c r="AS57" s="30"/>
      <c r="AT57" s="30"/>
      <c r="AU57" s="30"/>
      <c r="AV57" s="30"/>
      <c r="AW57" s="30"/>
      <c r="AX57" s="30"/>
    </row>
    <row r="58" spans="1:50" ht="15.7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114"/>
      <c r="AR58" s="30"/>
      <c r="AS58" s="30"/>
      <c r="AT58" s="30"/>
      <c r="AU58" s="30"/>
      <c r="AV58" s="30"/>
      <c r="AW58" s="30"/>
      <c r="AX58" s="30"/>
    </row>
    <row r="59" spans="1:50" ht="15.7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114"/>
      <c r="AR59" s="30"/>
      <c r="AS59" s="30"/>
      <c r="AT59" s="30"/>
      <c r="AU59" s="30"/>
      <c r="AV59" s="30"/>
      <c r="AW59" s="30"/>
      <c r="AX59" s="30"/>
    </row>
    <row r="60" spans="1:50" ht="15.7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114"/>
      <c r="AR60" s="30"/>
      <c r="AS60" s="30"/>
      <c r="AT60" s="30"/>
      <c r="AU60" s="30"/>
      <c r="AV60" s="30"/>
      <c r="AW60" s="30"/>
      <c r="AX60" s="30"/>
    </row>
    <row r="61" spans="1:50"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114"/>
      <c r="AR61" s="30"/>
      <c r="AS61" s="30"/>
      <c r="AT61" s="30"/>
      <c r="AU61" s="30"/>
      <c r="AV61" s="30"/>
      <c r="AW61" s="30"/>
      <c r="AX61" s="30"/>
    </row>
    <row r="62" spans="1:50" ht="15.7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114"/>
      <c r="AR62" s="30"/>
      <c r="AS62" s="30"/>
      <c r="AT62" s="30"/>
      <c r="AU62" s="30"/>
      <c r="AV62" s="30"/>
      <c r="AW62" s="30"/>
      <c r="AX62" s="30"/>
    </row>
    <row r="63" spans="1:50" ht="15.7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114"/>
      <c r="AR63" s="30"/>
      <c r="AS63" s="30"/>
      <c r="AT63" s="30"/>
      <c r="AU63" s="30"/>
      <c r="AV63" s="30"/>
      <c r="AW63" s="30"/>
      <c r="AX63" s="30"/>
    </row>
    <row r="64" spans="1:50" ht="15.7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114"/>
      <c r="AR64" s="30"/>
      <c r="AS64" s="30"/>
      <c r="AT64" s="30"/>
      <c r="AU64" s="30"/>
      <c r="AV64" s="30"/>
      <c r="AW64" s="30"/>
      <c r="AX64" s="30"/>
    </row>
    <row r="65" spans="1:50" ht="15.7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114"/>
      <c r="AR65" s="30"/>
      <c r="AS65" s="30"/>
      <c r="AT65" s="30"/>
      <c r="AU65" s="30"/>
      <c r="AV65" s="30"/>
      <c r="AW65" s="30"/>
      <c r="AX65" s="30"/>
    </row>
    <row r="66" spans="1:50" ht="15.7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114"/>
      <c r="AR66" s="30"/>
      <c r="AS66" s="30"/>
      <c r="AT66" s="30"/>
      <c r="AU66" s="30"/>
      <c r="AV66" s="30"/>
      <c r="AW66" s="30"/>
      <c r="AX66" s="30"/>
    </row>
    <row r="67" spans="1:50" ht="15.7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114"/>
      <c r="AR67" s="30"/>
      <c r="AS67" s="30"/>
      <c r="AT67" s="30"/>
      <c r="AU67" s="30"/>
      <c r="AV67" s="30"/>
      <c r="AW67" s="30"/>
      <c r="AX67" s="30"/>
    </row>
    <row r="68" spans="1:50" ht="15.7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114"/>
      <c r="AR68" s="30"/>
      <c r="AS68" s="30"/>
      <c r="AT68" s="30"/>
      <c r="AU68" s="30"/>
      <c r="AV68" s="30"/>
      <c r="AW68" s="30"/>
      <c r="AX68" s="30"/>
    </row>
    <row r="69" spans="1:50" ht="15.7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114"/>
      <c r="AR69" s="30"/>
      <c r="AS69" s="30"/>
      <c r="AT69" s="30"/>
      <c r="AU69" s="30"/>
      <c r="AV69" s="30"/>
      <c r="AW69" s="30"/>
      <c r="AX69" s="30"/>
    </row>
    <row r="70" spans="1:50" ht="15.7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114"/>
      <c r="AR70" s="30"/>
      <c r="AS70" s="30"/>
      <c r="AT70" s="30"/>
      <c r="AU70" s="30"/>
      <c r="AV70" s="30"/>
      <c r="AW70" s="30"/>
      <c r="AX70" s="30"/>
    </row>
    <row r="71" spans="1:50" ht="15.7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114"/>
      <c r="AR71" s="30"/>
      <c r="AS71" s="30"/>
      <c r="AT71" s="30"/>
      <c r="AU71" s="30"/>
      <c r="AV71" s="30"/>
      <c r="AW71" s="30"/>
      <c r="AX71" s="30"/>
    </row>
    <row r="72" spans="1:50" ht="15.7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114"/>
      <c r="AR72" s="30"/>
      <c r="AS72" s="30"/>
      <c r="AT72" s="30"/>
      <c r="AU72" s="30"/>
      <c r="AV72" s="30"/>
      <c r="AW72" s="30"/>
      <c r="AX72" s="30"/>
    </row>
    <row r="73" spans="1:50" ht="15.7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114"/>
      <c r="AR73" s="30"/>
      <c r="AS73" s="30"/>
      <c r="AT73" s="30"/>
      <c r="AU73" s="30"/>
      <c r="AV73" s="30"/>
      <c r="AW73" s="30"/>
      <c r="AX73" s="30"/>
    </row>
    <row r="74" spans="1:50" ht="15.7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114"/>
      <c r="AR74" s="30"/>
      <c r="AS74" s="30"/>
      <c r="AT74" s="30"/>
      <c r="AU74" s="30"/>
      <c r="AV74" s="30"/>
      <c r="AW74" s="30"/>
      <c r="AX74" s="30"/>
    </row>
    <row r="75" spans="1:50" ht="15.7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114"/>
      <c r="AR75" s="30"/>
      <c r="AS75" s="30"/>
      <c r="AT75" s="30"/>
      <c r="AU75" s="30"/>
      <c r="AV75" s="30"/>
      <c r="AW75" s="30"/>
      <c r="AX75" s="30"/>
    </row>
    <row r="76" spans="1:50" ht="15.7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114"/>
      <c r="AR76" s="30"/>
      <c r="AS76" s="30"/>
      <c r="AT76" s="30"/>
      <c r="AU76" s="30"/>
      <c r="AV76" s="30"/>
      <c r="AW76" s="30"/>
      <c r="AX76" s="30"/>
    </row>
    <row r="77" spans="1:50" ht="15.7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114"/>
      <c r="AR77" s="30"/>
      <c r="AS77" s="30"/>
      <c r="AT77" s="30"/>
      <c r="AU77" s="30"/>
      <c r="AV77" s="30"/>
      <c r="AW77" s="30"/>
      <c r="AX77" s="30"/>
    </row>
    <row r="78" spans="1:50" ht="15.7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114"/>
      <c r="AR78" s="30"/>
      <c r="AS78" s="30"/>
      <c r="AT78" s="30"/>
      <c r="AU78" s="30"/>
      <c r="AV78" s="30"/>
      <c r="AW78" s="30"/>
      <c r="AX78" s="30"/>
    </row>
    <row r="79" spans="1:50" ht="15.75" customHeight="1"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114"/>
      <c r="AR79" s="30"/>
      <c r="AS79" s="30"/>
      <c r="AT79" s="30"/>
      <c r="AU79" s="30"/>
      <c r="AV79" s="30"/>
      <c r="AW79" s="30"/>
      <c r="AX79" s="30"/>
    </row>
    <row r="80" spans="1:50" ht="15.75" customHeight="1"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114"/>
      <c r="AR80" s="30"/>
      <c r="AS80" s="30"/>
      <c r="AT80" s="30"/>
      <c r="AU80" s="30"/>
      <c r="AV80" s="30"/>
      <c r="AW80" s="30"/>
      <c r="AX80" s="30"/>
    </row>
    <row r="81" spans="1:50" ht="15.75" customHeight="1"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114"/>
      <c r="AR81" s="30"/>
      <c r="AS81" s="30"/>
      <c r="AT81" s="30"/>
      <c r="AU81" s="30"/>
      <c r="AV81" s="30"/>
      <c r="AW81" s="30"/>
      <c r="AX81" s="30"/>
    </row>
    <row r="82" spans="1:50" ht="15.75" customHeight="1"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114"/>
      <c r="AR82" s="30"/>
      <c r="AS82" s="30"/>
      <c r="AT82" s="30"/>
      <c r="AU82" s="30"/>
      <c r="AV82" s="30"/>
      <c r="AW82" s="30"/>
      <c r="AX82" s="30"/>
    </row>
    <row r="83" spans="1:50" ht="15.75" customHeight="1"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114"/>
      <c r="AR83" s="30"/>
      <c r="AS83" s="30"/>
      <c r="AT83" s="30"/>
      <c r="AU83" s="30"/>
      <c r="AV83" s="30"/>
      <c r="AW83" s="30"/>
      <c r="AX83" s="30"/>
    </row>
    <row r="84" spans="1:50" ht="15.75" customHeight="1"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114"/>
      <c r="AR84" s="30"/>
      <c r="AS84" s="30"/>
      <c r="AT84" s="30"/>
      <c r="AU84" s="30"/>
      <c r="AV84" s="30"/>
      <c r="AW84" s="30"/>
      <c r="AX84" s="30"/>
    </row>
    <row r="85" spans="1:50" ht="15.75" customHeight="1"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114"/>
      <c r="AR85" s="30"/>
      <c r="AS85" s="30"/>
      <c r="AT85" s="30"/>
      <c r="AU85" s="30"/>
      <c r="AV85" s="30"/>
      <c r="AW85" s="30"/>
      <c r="AX85" s="30"/>
    </row>
    <row r="86" spans="1:50" ht="15.75" customHeight="1"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114"/>
      <c r="AR86" s="30"/>
      <c r="AS86" s="30"/>
      <c r="AT86" s="30"/>
      <c r="AU86" s="30"/>
      <c r="AV86" s="30"/>
      <c r="AW86" s="30"/>
      <c r="AX86" s="30"/>
    </row>
    <row r="87" spans="1:50" ht="15.75" customHeight="1"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114"/>
      <c r="AR87" s="30"/>
      <c r="AS87" s="30"/>
      <c r="AT87" s="30"/>
      <c r="AU87" s="30"/>
      <c r="AV87" s="30"/>
      <c r="AW87" s="30"/>
      <c r="AX87" s="30"/>
    </row>
    <row r="88" spans="1:50" ht="15.75" customHeight="1"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114"/>
      <c r="AR88" s="30"/>
      <c r="AS88" s="30"/>
      <c r="AT88" s="30"/>
      <c r="AU88" s="30"/>
      <c r="AV88" s="30"/>
      <c r="AW88" s="30"/>
      <c r="AX88" s="30"/>
    </row>
    <row r="89" spans="1:50" ht="15.75" customHeight="1"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114"/>
      <c r="AR89" s="30"/>
      <c r="AS89" s="30"/>
      <c r="AT89" s="30"/>
      <c r="AU89" s="30"/>
      <c r="AV89" s="30"/>
      <c r="AW89" s="30"/>
      <c r="AX89" s="30"/>
    </row>
    <row r="90" spans="1:50" ht="15.75" customHeight="1"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114"/>
      <c r="AR90" s="30"/>
      <c r="AS90" s="30"/>
      <c r="AT90" s="30"/>
      <c r="AU90" s="30"/>
      <c r="AV90" s="30"/>
      <c r="AW90" s="30"/>
      <c r="AX90" s="30"/>
    </row>
    <row r="91" spans="1:50" ht="15.75" customHeight="1"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114"/>
      <c r="AR91" s="30"/>
      <c r="AS91" s="30"/>
      <c r="AT91" s="30"/>
      <c r="AU91" s="30"/>
      <c r="AV91" s="30"/>
      <c r="AW91" s="30"/>
      <c r="AX91" s="30"/>
    </row>
    <row r="92" spans="1:50" ht="15.75" customHeight="1"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114"/>
      <c r="AR92" s="30"/>
      <c r="AS92" s="30"/>
      <c r="AT92" s="30"/>
      <c r="AU92" s="30"/>
      <c r="AV92" s="30"/>
      <c r="AW92" s="30"/>
      <c r="AX92" s="30"/>
    </row>
    <row r="93" spans="1:50" ht="15.75" customHeight="1"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114"/>
      <c r="AR93" s="30"/>
      <c r="AS93" s="30"/>
      <c r="AT93" s="30"/>
      <c r="AU93" s="30"/>
      <c r="AV93" s="30"/>
      <c r="AW93" s="30"/>
      <c r="AX93" s="30"/>
    </row>
    <row r="94" spans="1:50" ht="15.75" customHeight="1"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114"/>
      <c r="AR94" s="30"/>
      <c r="AS94" s="30"/>
      <c r="AT94" s="30"/>
      <c r="AU94" s="30"/>
      <c r="AV94" s="30"/>
      <c r="AW94" s="30"/>
      <c r="AX94" s="30"/>
    </row>
    <row r="95" spans="1:50" ht="15.75" customHeight="1"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114"/>
      <c r="AR95" s="30"/>
      <c r="AS95" s="30"/>
      <c r="AT95" s="30"/>
      <c r="AU95" s="30"/>
      <c r="AV95" s="30"/>
      <c r="AW95" s="30"/>
      <c r="AX95" s="30"/>
    </row>
    <row r="96" spans="1:50" ht="15.75" customHeight="1"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114"/>
      <c r="AR96" s="30"/>
      <c r="AS96" s="30"/>
      <c r="AT96" s="30"/>
      <c r="AU96" s="30"/>
      <c r="AV96" s="30"/>
      <c r="AW96" s="30"/>
      <c r="AX96" s="30"/>
    </row>
    <row r="97" spans="1:50" ht="15.75" customHeight="1"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114"/>
      <c r="AR97" s="30"/>
      <c r="AS97" s="30"/>
      <c r="AT97" s="30"/>
      <c r="AU97" s="30"/>
      <c r="AV97" s="30"/>
      <c r="AW97" s="30"/>
      <c r="AX97" s="30"/>
    </row>
    <row r="98" spans="1:50" ht="15.75" customHeight="1"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114"/>
      <c r="AR98" s="30"/>
      <c r="AS98" s="30"/>
      <c r="AT98" s="30"/>
      <c r="AU98" s="30"/>
      <c r="AV98" s="30"/>
      <c r="AW98" s="30"/>
      <c r="AX98" s="30"/>
    </row>
    <row r="99" spans="1:50" ht="15.75" customHeight="1"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114"/>
      <c r="AR99" s="30"/>
      <c r="AS99" s="30"/>
      <c r="AT99" s="30"/>
      <c r="AU99" s="30"/>
      <c r="AV99" s="30"/>
      <c r="AW99" s="30"/>
      <c r="AX99" s="30"/>
    </row>
    <row r="100" spans="1:50" ht="15.75" customHeight="1"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114"/>
      <c r="AR100" s="30"/>
      <c r="AS100" s="30"/>
      <c r="AT100" s="30"/>
      <c r="AU100" s="30"/>
      <c r="AV100" s="30"/>
      <c r="AW100" s="30"/>
      <c r="AX100" s="30"/>
    </row>
    <row r="101" spans="1:50" ht="15.75" customHeight="1"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114"/>
      <c r="AR101" s="30"/>
      <c r="AS101" s="30"/>
      <c r="AT101" s="30"/>
      <c r="AU101" s="30"/>
      <c r="AV101" s="30"/>
      <c r="AW101" s="30"/>
      <c r="AX101" s="30"/>
    </row>
    <row r="102" spans="1:50" ht="15.75" customHeight="1"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114"/>
      <c r="AR102" s="30"/>
      <c r="AS102" s="30"/>
      <c r="AT102" s="30"/>
      <c r="AU102" s="30"/>
      <c r="AV102" s="30"/>
      <c r="AW102" s="30"/>
      <c r="AX102" s="30"/>
    </row>
    <row r="103" spans="1:50" ht="15.75" customHeight="1"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114"/>
      <c r="AR103" s="30"/>
      <c r="AS103" s="30"/>
      <c r="AT103" s="30"/>
      <c r="AU103" s="30"/>
      <c r="AV103" s="30"/>
      <c r="AW103" s="30"/>
      <c r="AX103" s="30"/>
    </row>
    <row r="104" spans="1:50" ht="15.75" customHeight="1"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114"/>
      <c r="AR104" s="30"/>
      <c r="AS104" s="30"/>
      <c r="AT104" s="30"/>
      <c r="AU104" s="30"/>
      <c r="AV104" s="30"/>
      <c r="AW104" s="30"/>
      <c r="AX104" s="30"/>
    </row>
    <row r="105" spans="1:50" ht="15.75" customHeight="1"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114"/>
      <c r="AR105" s="30"/>
      <c r="AS105" s="30"/>
      <c r="AT105" s="30"/>
      <c r="AU105" s="30"/>
      <c r="AV105" s="30"/>
      <c r="AW105" s="30"/>
      <c r="AX105" s="30"/>
    </row>
    <row r="106" spans="1:50" ht="15.75" customHeight="1"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114"/>
      <c r="AR106" s="30"/>
      <c r="AS106" s="30"/>
      <c r="AT106" s="30"/>
      <c r="AU106" s="30"/>
      <c r="AV106" s="30"/>
      <c r="AW106" s="30"/>
      <c r="AX106" s="30"/>
    </row>
    <row r="107" spans="1:50" ht="15.75" customHeight="1"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114"/>
      <c r="AR107" s="30"/>
      <c r="AS107" s="30"/>
      <c r="AT107" s="30"/>
      <c r="AU107" s="30"/>
      <c r="AV107" s="30"/>
      <c r="AW107" s="30"/>
      <c r="AX107" s="30"/>
    </row>
    <row r="108" spans="1:50" ht="15.75" customHeight="1"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114"/>
      <c r="AR108" s="30"/>
      <c r="AS108" s="30"/>
      <c r="AT108" s="30"/>
      <c r="AU108" s="30"/>
      <c r="AV108" s="30"/>
      <c r="AW108" s="30"/>
      <c r="AX108" s="30"/>
    </row>
    <row r="109" spans="1:50" ht="15.75" customHeight="1"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114"/>
      <c r="AR109" s="30"/>
      <c r="AS109" s="30"/>
      <c r="AT109" s="30"/>
      <c r="AU109" s="30"/>
      <c r="AV109" s="30"/>
      <c r="AW109" s="30"/>
      <c r="AX109" s="30"/>
    </row>
    <row r="110" spans="1:50" ht="15.75" customHeight="1"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114"/>
      <c r="AR110" s="30"/>
      <c r="AS110" s="30"/>
      <c r="AT110" s="30"/>
      <c r="AU110" s="30"/>
      <c r="AV110" s="30"/>
      <c r="AW110" s="30"/>
      <c r="AX110" s="30"/>
    </row>
    <row r="111" spans="1:50" ht="15.75" customHeight="1"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114"/>
      <c r="AR111" s="30"/>
      <c r="AS111" s="30"/>
      <c r="AT111" s="30"/>
      <c r="AU111" s="30"/>
      <c r="AV111" s="30"/>
      <c r="AW111" s="30"/>
      <c r="AX111" s="30"/>
    </row>
    <row r="112" spans="1:50" ht="15.75" customHeight="1"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114"/>
      <c r="AR112" s="30"/>
      <c r="AS112" s="30"/>
      <c r="AT112" s="30"/>
      <c r="AU112" s="30"/>
      <c r="AV112" s="30"/>
      <c r="AW112" s="30"/>
      <c r="AX112" s="30"/>
    </row>
    <row r="113" spans="1:50" ht="15.75" customHeight="1"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114"/>
      <c r="AR113" s="30"/>
      <c r="AS113" s="30"/>
      <c r="AT113" s="30"/>
      <c r="AU113" s="30"/>
      <c r="AV113" s="30"/>
      <c r="AW113" s="30"/>
      <c r="AX113" s="30"/>
    </row>
    <row r="114" spans="1:50" ht="15.75" customHeight="1"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114"/>
      <c r="AR114" s="30"/>
      <c r="AS114" s="30"/>
      <c r="AT114" s="30"/>
      <c r="AU114" s="30"/>
      <c r="AV114" s="30"/>
      <c r="AW114" s="30"/>
      <c r="AX114" s="30"/>
    </row>
    <row r="115" spans="1:50" ht="15.75" customHeight="1"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114"/>
      <c r="AR115" s="30"/>
      <c r="AS115" s="30"/>
      <c r="AT115" s="30"/>
      <c r="AU115" s="30"/>
      <c r="AV115" s="30"/>
      <c r="AW115" s="30"/>
      <c r="AX115" s="30"/>
    </row>
    <row r="116" spans="1:50" ht="15.75" customHeight="1"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114"/>
      <c r="AR116" s="30"/>
      <c r="AS116" s="30"/>
      <c r="AT116" s="30"/>
      <c r="AU116" s="30"/>
      <c r="AV116" s="30"/>
      <c r="AW116" s="30"/>
      <c r="AX116" s="30"/>
    </row>
    <row r="117" spans="1:50" ht="15.75" customHeight="1"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114"/>
      <c r="AR117" s="30"/>
      <c r="AS117" s="30"/>
      <c r="AT117" s="30"/>
      <c r="AU117" s="30"/>
      <c r="AV117" s="30"/>
      <c r="AW117" s="30"/>
      <c r="AX117" s="30"/>
    </row>
    <row r="118" spans="1:50" ht="15.75" customHeight="1"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114"/>
      <c r="AR118" s="30"/>
      <c r="AS118" s="30"/>
      <c r="AT118" s="30"/>
      <c r="AU118" s="30"/>
      <c r="AV118" s="30"/>
      <c r="AW118" s="30"/>
      <c r="AX118" s="30"/>
    </row>
    <row r="119" spans="1:50" ht="15.75" customHeight="1"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114"/>
      <c r="AR119" s="30"/>
      <c r="AS119" s="30"/>
      <c r="AT119" s="30"/>
      <c r="AU119" s="30"/>
      <c r="AV119" s="30"/>
      <c r="AW119" s="30"/>
      <c r="AX119" s="30"/>
    </row>
    <row r="120" spans="1:50" ht="15.75" customHeight="1"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114"/>
      <c r="AR120" s="30"/>
      <c r="AS120" s="30"/>
      <c r="AT120" s="30"/>
      <c r="AU120" s="30"/>
      <c r="AV120" s="30"/>
      <c r="AW120" s="30"/>
      <c r="AX120" s="30"/>
    </row>
    <row r="121" spans="1:50" ht="15.75" customHeight="1"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114"/>
      <c r="AR121" s="30"/>
      <c r="AS121" s="30"/>
      <c r="AT121" s="30"/>
      <c r="AU121" s="30"/>
      <c r="AV121" s="30"/>
      <c r="AW121" s="30"/>
      <c r="AX121" s="30"/>
    </row>
    <row r="122" spans="1:50" ht="15.75" customHeight="1"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114"/>
      <c r="AR122" s="30"/>
      <c r="AS122" s="30"/>
      <c r="AT122" s="30"/>
      <c r="AU122" s="30"/>
      <c r="AV122" s="30"/>
      <c r="AW122" s="30"/>
      <c r="AX122" s="30"/>
    </row>
    <row r="123" spans="1:50" ht="15.75" customHeight="1"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114"/>
      <c r="AR123" s="30"/>
      <c r="AS123" s="30"/>
      <c r="AT123" s="30"/>
      <c r="AU123" s="30"/>
      <c r="AV123" s="30"/>
      <c r="AW123" s="30"/>
      <c r="AX123" s="30"/>
    </row>
    <row r="124" spans="1:50" ht="15.75" customHeight="1"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114"/>
      <c r="AR124" s="30"/>
      <c r="AS124" s="30"/>
      <c r="AT124" s="30"/>
      <c r="AU124" s="30"/>
      <c r="AV124" s="30"/>
      <c r="AW124" s="30"/>
      <c r="AX124" s="30"/>
    </row>
    <row r="125" spans="1:50" ht="15.75" customHeight="1"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114"/>
      <c r="AR125" s="30"/>
      <c r="AS125" s="30"/>
      <c r="AT125" s="30"/>
      <c r="AU125" s="30"/>
      <c r="AV125" s="30"/>
      <c r="AW125" s="30"/>
      <c r="AX125" s="30"/>
    </row>
    <row r="126" spans="1:50" ht="15.75" customHeight="1"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114"/>
      <c r="AR126" s="30"/>
      <c r="AS126" s="30"/>
      <c r="AT126" s="30"/>
      <c r="AU126" s="30"/>
      <c r="AV126" s="30"/>
      <c r="AW126" s="30"/>
      <c r="AX126" s="30"/>
    </row>
    <row r="127" spans="1:50" ht="15.75" customHeight="1"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114"/>
      <c r="AR127" s="30"/>
      <c r="AS127" s="30"/>
      <c r="AT127" s="30"/>
      <c r="AU127" s="30"/>
      <c r="AV127" s="30"/>
      <c r="AW127" s="30"/>
      <c r="AX127" s="30"/>
    </row>
    <row r="128" spans="1:50" ht="15.75" customHeight="1"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114"/>
      <c r="AR128" s="30"/>
      <c r="AS128" s="30"/>
      <c r="AT128" s="30"/>
      <c r="AU128" s="30"/>
      <c r="AV128" s="30"/>
      <c r="AW128" s="30"/>
      <c r="AX128" s="30"/>
    </row>
    <row r="129" spans="1:50" ht="15.75" customHeight="1"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114"/>
      <c r="AR129" s="30"/>
      <c r="AS129" s="30"/>
      <c r="AT129" s="30"/>
      <c r="AU129" s="30"/>
      <c r="AV129" s="30"/>
      <c r="AW129" s="30"/>
      <c r="AX129" s="30"/>
    </row>
    <row r="130" spans="1:50" ht="15.75" customHeigh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114"/>
      <c r="AR130" s="30"/>
      <c r="AS130" s="30"/>
      <c r="AT130" s="30"/>
      <c r="AU130" s="30"/>
      <c r="AV130" s="30"/>
      <c r="AW130" s="30"/>
      <c r="AX130" s="30"/>
    </row>
    <row r="131" spans="1:50" ht="15.75" customHeight="1"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114"/>
      <c r="AR131" s="30"/>
      <c r="AS131" s="30"/>
      <c r="AT131" s="30"/>
      <c r="AU131" s="30"/>
      <c r="AV131" s="30"/>
      <c r="AW131" s="30"/>
      <c r="AX131" s="30"/>
    </row>
    <row r="132" spans="1:50" ht="15.75" customHeight="1"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114"/>
      <c r="AR132" s="30"/>
      <c r="AS132" s="30"/>
      <c r="AT132" s="30"/>
      <c r="AU132" s="30"/>
      <c r="AV132" s="30"/>
      <c r="AW132" s="30"/>
      <c r="AX132" s="30"/>
    </row>
    <row r="133" spans="1:50" ht="15.75" customHeight="1"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114"/>
      <c r="AR133" s="30"/>
      <c r="AS133" s="30"/>
      <c r="AT133" s="30"/>
      <c r="AU133" s="30"/>
      <c r="AV133" s="30"/>
      <c r="AW133" s="30"/>
      <c r="AX133" s="30"/>
    </row>
    <row r="134" spans="1:50" ht="15.75" customHeight="1"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114"/>
      <c r="AR134" s="30"/>
      <c r="AS134" s="30"/>
      <c r="AT134" s="30"/>
      <c r="AU134" s="30"/>
      <c r="AV134" s="30"/>
      <c r="AW134" s="30"/>
      <c r="AX134" s="30"/>
    </row>
    <row r="135" spans="1:50" ht="15.75" customHeight="1"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114"/>
      <c r="AR135" s="30"/>
      <c r="AS135" s="30"/>
      <c r="AT135" s="30"/>
      <c r="AU135" s="30"/>
      <c r="AV135" s="30"/>
      <c r="AW135" s="30"/>
      <c r="AX135" s="30"/>
    </row>
    <row r="136" spans="1:50" ht="15.75" customHeight="1"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114"/>
      <c r="AR136" s="30"/>
      <c r="AS136" s="30"/>
      <c r="AT136" s="30"/>
      <c r="AU136" s="30"/>
      <c r="AV136" s="30"/>
      <c r="AW136" s="30"/>
      <c r="AX136" s="30"/>
    </row>
    <row r="137" spans="1:50" ht="15.75" customHeight="1"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114"/>
      <c r="AR137" s="30"/>
      <c r="AS137" s="30"/>
      <c r="AT137" s="30"/>
      <c r="AU137" s="30"/>
      <c r="AV137" s="30"/>
      <c r="AW137" s="30"/>
      <c r="AX137" s="30"/>
    </row>
    <row r="138" spans="1:50" ht="15.75" customHeight="1"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114"/>
      <c r="AR138" s="30"/>
      <c r="AS138" s="30"/>
      <c r="AT138" s="30"/>
      <c r="AU138" s="30"/>
      <c r="AV138" s="30"/>
      <c r="AW138" s="30"/>
      <c r="AX138" s="30"/>
    </row>
    <row r="139" spans="1:50" ht="15.75" customHeight="1"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114"/>
      <c r="AR139" s="30"/>
      <c r="AS139" s="30"/>
      <c r="AT139" s="30"/>
      <c r="AU139" s="30"/>
      <c r="AV139" s="30"/>
      <c r="AW139" s="30"/>
      <c r="AX139" s="30"/>
    </row>
    <row r="140" spans="1:50" ht="15.75" customHeight="1"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114"/>
      <c r="AR140" s="30"/>
      <c r="AS140" s="30"/>
      <c r="AT140" s="30"/>
      <c r="AU140" s="30"/>
      <c r="AV140" s="30"/>
      <c r="AW140" s="30"/>
      <c r="AX140" s="30"/>
    </row>
    <row r="141" spans="1:50" ht="15.75" customHeight="1"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114"/>
      <c r="AR141" s="30"/>
      <c r="AS141" s="30"/>
      <c r="AT141" s="30"/>
      <c r="AU141" s="30"/>
      <c r="AV141" s="30"/>
      <c r="AW141" s="30"/>
      <c r="AX141" s="30"/>
    </row>
    <row r="142" spans="1:50" ht="15.75" customHeight="1"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114"/>
      <c r="AR142" s="30"/>
      <c r="AS142" s="30"/>
      <c r="AT142" s="30"/>
      <c r="AU142" s="30"/>
      <c r="AV142" s="30"/>
      <c r="AW142" s="30"/>
      <c r="AX142" s="30"/>
    </row>
    <row r="143" spans="1:50" ht="15.75" customHeight="1"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114"/>
      <c r="AR143" s="30"/>
      <c r="AS143" s="30"/>
      <c r="AT143" s="30"/>
      <c r="AU143" s="30"/>
      <c r="AV143" s="30"/>
      <c r="AW143" s="30"/>
      <c r="AX143" s="30"/>
    </row>
    <row r="144" spans="1:50" ht="15.75" customHeight="1"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114"/>
      <c r="AR144" s="30"/>
      <c r="AS144" s="30"/>
      <c r="AT144" s="30"/>
      <c r="AU144" s="30"/>
      <c r="AV144" s="30"/>
      <c r="AW144" s="30"/>
      <c r="AX144" s="30"/>
    </row>
    <row r="145" spans="1:50" ht="15.75" customHeight="1"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114"/>
      <c r="AR145" s="30"/>
      <c r="AS145" s="30"/>
      <c r="AT145" s="30"/>
      <c r="AU145" s="30"/>
      <c r="AV145" s="30"/>
      <c r="AW145" s="30"/>
      <c r="AX145" s="30"/>
    </row>
    <row r="146" spans="1:50" ht="15.75" customHeight="1"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114"/>
      <c r="AR146" s="30"/>
      <c r="AS146" s="30"/>
      <c r="AT146" s="30"/>
      <c r="AU146" s="30"/>
      <c r="AV146" s="30"/>
      <c r="AW146" s="30"/>
      <c r="AX146" s="30"/>
    </row>
    <row r="147" spans="1:50" ht="15.75" customHeight="1"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114"/>
      <c r="AR147" s="30"/>
      <c r="AS147" s="30"/>
      <c r="AT147" s="30"/>
      <c r="AU147" s="30"/>
      <c r="AV147" s="30"/>
      <c r="AW147" s="30"/>
      <c r="AX147" s="30"/>
    </row>
    <row r="148" spans="1:50" ht="15.75" customHeight="1"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114"/>
      <c r="AR148" s="30"/>
      <c r="AS148" s="30"/>
      <c r="AT148" s="30"/>
      <c r="AU148" s="30"/>
      <c r="AV148" s="30"/>
      <c r="AW148" s="30"/>
      <c r="AX148" s="30"/>
    </row>
    <row r="149" spans="1:50" ht="15.75" customHeight="1"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114"/>
      <c r="AR149" s="30"/>
      <c r="AS149" s="30"/>
      <c r="AT149" s="30"/>
      <c r="AU149" s="30"/>
      <c r="AV149" s="30"/>
      <c r="AW149" s="30"/>
      <c r="AX149" s="30"/>
    </row>
    <row r="150" spans="1:50" ht="15.75" customHeight="1"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114"/>
      <c r="AR150" s="30"/>
      <c r="AS150" s="30"/>
      <c r="AT150" s="30"/>
      <c r="AU150" s="30"/>
      <c r="AV150" s="30"/>
      <c r="AW150" s="30"/>
      <c r="AX150" s="30"/>
    </row>
    <row r="151" spans="1:50" ht="15.75" customHeight="1"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114"/>
      <c r="AR151" s="30"/>
      <c r="AS151" s="30"/>
      <c r="AT151" s="30"/>
      <c r="AU151" s="30"/>
      <c r="AV151" s="30"/>
      <c r="AW151" s="30"/>
      <c r="AX151" s="30"/>
    </row>
    <row r="152" spans="1:50" ht="15.75" customHeight="1"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114"/>
      <c r="AR152" s="30"/>
      <c r="AS152" s="30"/>
      <c r="AT152" s="30"/>
      <c r="AU152" s="30"/>
      <c r="AV152" s="30"/>
      <c r="AW152" s="30"/>
      <c r="AX152" s="30"/>
    </row>
    <row r="153" spans="1:50" ht="15.75" customHeight="1"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114"/>
      <c r="AR153" s="30"/>
      <c r="AS153" s="30"/>
      <c r="AT153" s="30"/>
      <c r="AU153" s="30"/>
      <c r="AV153" s="30"/>
      <c r="AW153" s="30"/>
      <c r="AX153" s="30"/>
    </row>
    <row r="154" spans="1:50" ht="15.75" customHeight="1"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114"/>
      <c r="AR154" s="30"/>
      <c r="AS154" s="30"/>
      <c r="AT154" s="30"/>
      <c r="AU154" s="30"/>
      <c r="AV154" s="30"/>
      <c r="AW154" s="30"/>
      <c r="AX154" s="30"/>
    </row>
    <row r="155" spans="1:50" ht="15.75" customHeight="1"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114"/>
      <c r="AR155" s="30"/>
      <c r="AS155" s="30"/>
      <c r="AT155" s="30"/>
      <c r="AU155" s="30"/>
      <c r="AV155" s="30"/>
      <c r="AW155" s="30"/>
      <c r="AX155" s="30"/>
    </row>
    <row r="156" spans="1:50" ht="15.75" customHeight="1"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114"/>
      <c r="AR156" s="30"/>
      <c r="AS156" s="30"/>
      <c r="AT156" s="30"/>
      <c r="AU156" s="30"/>
      <c r="AV156" s="30"/>
      <c r="AW156" s="30"/>
      <c r="AX156" s="30"/>
    </row>
    <row r="157" spans="1:50" ht="15.75" customHeight="1"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114"/>
      <c r="AR157" s="30"/>
      <c r="AS157" s="30"/>
      <c r="AT157" s="30"/>
      <c r="AU157" s="30"/>
      <c r="AV157" s="30"/>
      <c r="AW157" s="30"/>
      <c r="AX157" s="30"/>
    </row>
    <row r="158" spans="1:50" ht="15.75" customHeight="1"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114"/>
      <c r="AR158" s="30"/>
      <c r="AS158" s="30"/>
      <c r="AT158" s="30"/>
      <c r="AU158" s="30"/>
      <c r="AV158" s="30"/>
      <c r="AW158" s="30"/>
      <c r="AX158" s="30"/>
    </row>
    <row r="159" spans="1:50" ht="15.75" customHeight="1"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114"/>
      <c r="AR159" s="30"/>
      <c r="AS159" s="30"/>
      <c r="AT159" s="30"/>
      <c r="AU159" s="30"/>
      <c r="AV159" s="30"/>
      <c r="AW159" s="30"/>
      <c r="AX159" s="30"/>
    </row>
    <row r="160" spans="1:50" ht="15.75" customHeight="1"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114"/>
      <c r="AR160" s="30"/>
      <c r="AS160" s="30"/>
      <c r="AT160" s="30"/>
      <c r="AU160" s="30"/>
      <c r="AV160" s="30"/>
      <c r="AW160" s="30"/>
      <c r="AX160" s="30"/>
    </row>
    <row r="161" spans="1:50" ht="15.75" customHeight="1"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114"/>
      <c r="AR161" s="30"/>
      <c r="AS161" s="30"/>
      <c r="AT161" s="30"/>
      <c r="AU161" s="30"/>
      <c r="AV161" s="30"/>
      <c r="AW161" s="30"/>
      <c r="AX161" s="30"/>
    </row>
    <row r="162" spans="1:50" ht="15.75" customHeight="1"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114"/>
      <c r="AR162" s="30"/>
      <c r="AS162" s="30"/>
      <c r="AT162" s="30"/>
      <c r="AU162" s="30"/>
      <c r="AV162" s="30"/>
      <c r="AW162" s="30"/>
      <c r="AX162" s="30"/>
    </row>
    <row r="163" spans="1:50" ht="15.75" customHeight="1"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114"/>
      <c r="AR163" s="30"/>
      <c r="AS163" s="30"/>
      <c r="AT163" s="30"/>
      <c r="AU163" s="30"/>
      <c r="AV163" s="30"/>
      <c r="AW163" s="30"/>
      <c r="AX163" s="30"/>
    </row>
    <row r="164" spans="1:50" ht="15.75" customHeight="1"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114"/>
      <c r="AR164" s="30"/>
      <c r="AS164" s="30"/>
      <c r="AT164" s="30"/>
      <c r="AU164" s="30"/>
      <c r="AV164" s="30"/>
      <c r="AW164" s="30"/>
      <c r="AX164" s="30"/>
    </row>
    <row r="165" spans="1:50" ht="15.75" customHeight="1"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114"/>
      <c r="AR165" s="30"/>
      <c r="AS165" s="30"/>
      <c r="AT165" s="30"/>
      <c r="AU165" s="30"/>
      <c r="AV165" s="30"/>
      <c r="AW165" s="30"/>
      <c r="AX165" s="30"/>
    </row>
    <row r="166" spans="1:50" ht="15.75" customHeight="1"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114"/>
      <c r="AR166" s="30"/>
      <c r="AS166" s="30"/>
      <c r="AT166" s="30"/>
      <c r="AU166" s="30"/>
      <c r="AV166" s="30"/>
      <c r="AW166" s="30"/>
      <c r="AX166" s="30"/>
    </row>
    <row r="167" spans="1:50" ht="15.75" customHeight="1"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114"/>
      <c r="AR167" s="30"/>
      <c r="AS167" s="30"/>
      <c r="AT167" s="30"/>
      <c r="AU167" s="30"/>
      <c r="AV167" s="30"/>
      <c r="AW167" s="30"/>
      <c r="AX167" s="30"/>
    </row>
    <row r="168" spans="1:50" ht="15.75" customHeight="1"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114"/>
      <c r="AR168" s="30"/>
      <c r="AS168" s="30"/>
      <c r="AT168" s="30"/>
      <c r="AU168" s="30"/>
      <c r="AV168" s="30"/>
      <c r="AW168" s="30"/>
      <c r="AX168" s="30"/>
    </row>
    <row r="169" spans="1:50" ht="15.75" customHeight="1"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114"/>
      <c r="AR169" s="30"/>
      <c r="AS169" s="30"/>
      <c r="AT169" s="30"/>
      <c r="AU169" s="30"/>
      <c r="AV169" s="30"/>
      <c r="AW169" s="30"/>
      <c r="AX169" s="30"/>
    </row>
    <row r="170" spans="1:50" ht="15.75" customHeight="1"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114"/>
      <c r="AR170" s="30"/>
      <c r="AS170" s="30"/>
      <c r="AT170" s="30"/>
      <c r="AU170" s="30"/>
      <c r="AV170" s="30"/>
      <c r="AW170" s="30"/>
      <c r="AX170" s="30"/>
    </row>
    <row r="171" spans="1:50" ht="15.75" customHeight="1"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114"/>
      <c r="AR171" s="30"/>
      <c r="AS171" s="30"/>
      <c r="AT171" s="30"/>
      <c r="AU171" s="30"/>
      <c r="AV171" s="30"/>
      <c r="AW171" s="30"/>
      <c r="AX171" s="30"/>
    </row>
    <row r="172" spans="1:50" ht="15.75" customHeight="1"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114"/>
      <c r="AR172" s="30"/>
      <c r="AS172" s="30"/>
      <c r="AT172" s="30"/>
      <c r="AU172" s="30"/>
      <c r="AV172" s="30"/>
      <c r="AW172" s="30"/>
      <c r="AX172" s="30"/>
    </row>
    <row r="173" spans="1:50" ht="15.75" customHeight="1"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114"/>
      <c r="AR173" s="30"/>
      <c r="AS173" s="30"/>
      <c r="AT173" s="30"/>
      <c r="AU173" s="30"/>
      <c r="AV173" s="30"/>
      <c r="AW173" s="30"/>
      <c r="AX173" s="30"/>
    </row>
    <row r="174" spans="1:50" ht="15.75" customHeight="1"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114"/>
      <c r="AR174" s="30"/>
      <c r="AS174" s="30"/>
      <c r="AT174" s="30"/>
      <c r="AU174" s="30"/>
      <c r="AV174" s="30"/>
      <c r="AW174" s="30"/>
      <c r="AX174" s="30"/>
    </row>
    <row r="175" spans="1:50" ht="15.75" customHeight="1"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114"/>
      <c r="AR175" s="30"/>
      <c r="AS175" s="30"/>
      <c r="AT175" s="30"/>
      <c r="AU175" s="30"/>
      <c r="AV175" s="30"/>
      <c r="AW175" s="30"/>
      <c r="AX175" s="30"/>
    </row>
    <row r="176" spans="1:50" ht="15.75" customHeight="1"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114"/>
      <c r="AR176" s="30"/>
      <c r="AS176" s="30"/>
      <c r="AT176" s="30"/>
      <c r="AU176" s="30"/>
      <c r="AV176" s="30"/>
      <c r="AW176" s="30"/>
      <c r="AX176" s="30"/>
    </row>
    <row r="177" spans="1:50" ht="15.75" customHeight="1"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114"/>
      <c r="AR177" s="30"/>
      <c r="AS177" s="30"/>
      <c r="AT177" s="30"/>
      <c r="AU177" s="30"/>
      <c r="AV177" s="30"/>
      <c r="AW177" s="30"/>
      <c r="AX177" s="30"/>
    </row>
    <row r="178" spans="1:50" ht="15.75" customHeight="1"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114"/>
      <c r="AR178" s="30"/>
      <c r="AS178" s="30"/>
      <c r="AT178" s="30"/>
      <c r="AU178" s="30"/>
      <c r="AV178" s="30"/>
      <c r="AW178" s="30"/>
      <c r="AX178" s="30"/>
    </row>
    <row r="179" spans="1:50" ht="15.75" customHeight="1"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114"/>
      <c r="AR179" s="30"/>
      <c r="AS179" s="30"/>
      <c r="AT179" s="30"/>
      <c r="AU179" s="30"/>
      <c r="AV179" s="30"/>
      <c r="AW179" s="30"/>
      <c r="AX179" s="30"/>
    </row>
    <row r="180" spans="1:50" ht="15.75" customHeight="1"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114"/>
      <c r="AR180" s="30"/>
      <c r="AS180" s="30"/>
      <c r="AT180" s="30"/>
      <c r="AU180" s="30"/>
      <c r="AV180" s="30"/>
      <c r="AW180" s="30"/>
      <c r="AX180" s="30"/>
    </row>
    <row r="181" spans="1:50" ht="15.75" customHeight="1"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114"/>
      <c r="AR181" s="30"/>
      <c r="AS181" s="30"/>
      <c r="AT181" s="30"/>
      <c r="AU181" s="30"/>
      <c r="AV181" s="30"/>
      <c r="AW181" s="30"/>
      <c r="AX181" s="30"/>
    </row>
    <row r="182" spans="1:50" ht="15.75" customHeight="1"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114"/>
      <c r="AR182" s="30"/>
      <c r="AS182" s="30"/>
      <c r="AT182" s="30"/>
      <c r="AU182" s="30"/>
      <c r="AV182" s="30"/>
      <c r="AW182" s="30"/>
      <c r="AX182" s="30"/>
    </row>
    <row r="183" spans="1:50" ht="15.75" customHeight="1"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114"/>
      <c r="AR183" s="30"/>
      <c r="AS183" s="30"/>
      <c r="AT183" s="30"/>
      <c r="AU183" s="30"/>
      <c r="AV183" s="30"/>
      <c r="AW183" s="30"/>
      <c r="AX183" s="30"/>
    </row>
    <row r="184" spans="1:50" ht="15.75" customHeight="1"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114"/>
      <c r="AR184" s="30"/>
      <c r="AS184" s="30"/>
      <c r="AT184" s="30"/>
      <c r="AU184" s="30"/>
      <c r="AV184" s="30"/>
      <c r="AW184" s="30"/>
      <c r="AX184" s="30"/>
    </row>
    <row r="185" spans="1:50" ht="15.75" customHeight="1"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114"/>
      <c r="AR185" s="30"/>
      <c r="AS185" s="30"/>
      <c r="AT185" s="30"/>
      <c r="AU185" s="30"/>
      <c r="AV185" s="30"/>
      <c r="AW185" s="30"/>
      <c r="AX185" s="30"/>
    </row>
    <row r="186" spans="1:50" ht="15.75" customHeight="1"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114"/>
      <c r="AR186" s="30"/>
      <c r="AS186" s="30"/>
      <c r="AT186" s="30"/>
      <c r="AU186" s="30"/>
      <c r="AV186" s="30"/>
      <c r="AW186" s="30"/>
      <c r="AX186" s="30"/>
    </row>
    <row r="187" spans="1:50" ht="15.75" customHeight="1"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114"/>
      <c r="AR187" s="30"/>
      <c r="AS187" s="30"/>
      <c r="AT187" s="30"/>
      <c r="AU187" s="30"/>
      <c r="AV187" s="30"/>
      <c r="AW187" s="30"/>
      <c r="AX187" s="30"/>
    </row>
    <row r="188" spans="1:50" ht="15.75" customHeight="1"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114"/>
      <c r="AR188" s="30"/>
      <c r="AS188" s="30"/>
      <c r="AT188" s="30"/>
      <c r="AU188" s="30"/>
      <c r="AV188" s="30"/>
      <c r="AW188" s="30"/>
      <c r="AX188" s="30"/>
    </row>
    <row r="189" spans="1:50" ht="15.75" customHeight="1"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114"/>
      <c r="AR189" s="30"/>
      <c r="AS189" s="30"/>
      <c r="AT189" s="30"/>
      <c r="AU189" s="30"/>
      <c r="AV189" s="30"/>
      <c r="AW189" s="30"/>
      <c r="AX189" s="30"/>
    </row>
    <row r="190" spans="1:50" ht="15.75" customHeight="1"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114"/>
      <c r="AR190" s="30"/>
      <c r="AS190" s="30"/>
      <c r="AT190" s="30"/>
      <c r="AU190" s="30"/>
      <c r="AV190" s="30"/>
      <c r="AW190" s="30"/>
      <c r="AX190" s="30"/>
    </row>
    <row r="191" spans="1:50" ht="15.75" customHeight="1"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114"/>
      <c r="AR191" s="30"/>
      <c r="AS191" s="30"/>
      <c r="AT191" s="30"/>
      <c r="AU191" s="30"/>
      <c r="AV191" s="30"/>
      <c r="AW191" s="30"/>
      <c r="AX191" s="30"/>
    </row>
    <row r="192" spans="1:50" ht="15.75" customHeight="1"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114"/>
      <c r="AR192" s="30"/>
      <c r="AS192" s="30"/>
      <c r="AT192" s="30"/>
      <c r="AU192" s="30"/>
      <c r="AV192" s="30"/>
      <c r="AW192" s="30"/>
      <c r="AX192" s="30"/>
    </row>
    <row r="193" spans="1:50" ht="15.75" customHeight="1"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114"/>
      <c r="AR193" s="30"/>
      <c r="AS193" s="30"/>
      <c r="AT193" s="30"/>
      <c r="AU193" s="30"/>
      <c r="AV193" s="30"/>
      <c r="AW193" s="30"/>
      <c r="AX193" s="30"/>
    </row>
    <row r="194" spans="1:50" ht="15.75" customHeight="1"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114"/>
      <c r="AR194" s="30"/>
      <c r="AS194" s="30"/>
      <c r="AT194" s="30"/>
      <c r="AU194" s="30"/>
      <c r="AV194" s="30"/>
      <c r="AW194" s="30"/>
      <c r="AX194" s="30"/>
    </row>
    <row r="195" spans="1:50" ht="15.75" customHeight="1"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114"/>
      <c r="AR195" s="30"/>
      <c r="AS195" s="30"/>
      <c r="AT195" s="30"/>
      <c r="AU195" s="30"/>
      <c r="AV195" s="30"/>
      <c r="AW195" s="30"/>
      <c r="AX195" s="30"/>
    </row>
    <row r="196" spans="1:50" ht="15.75" customHeight="1"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114"/>
      <c r="AR196" s="30"/>
      <c r="AS196" s="30"/>
      <c r="AT196" s="30"/>
      <c r="AU196" s="30"/>
      <c r="AV196" s="30"/>
      <c r="AW196" s="30"/>
      <c r="AX196" s="30"/>
    </row>
    <row r="197" spans="1:50" ht="15.75" customHeight="1"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114"/>
      <c r="AR197" s="30"/>
      <c r="AS197" s="30"/>
      <c r="AT197" s="30"/>
      <c r="AU197" s="30"/>
      <c r="AV197" s="30"/>
      <c r="AW197" s="30"/>
      <c r="AX197" s="30"/>
    </row>
    <row r="198" spans="1:50" ht="15.75" customHeight="1"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114"/>
      <c r="AR198" s="30"/>
      <c r="AS198" s="30"/>
      <c r="AT198" s="30"/>
      <c r="AU198" s="30"/>
      <c r="AV198" s="30"/>
      <c r="AW198" s="30"/>
      <c r="AX198" s="30"/>
    </row>
    <row r="199" spans="1:50" ht="15.75" customHeight="1"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114"/>
      <c r="AR199" s="30"/>
      <c r="AS199" s="30"/>
      <c r="AT199" s="30"/>
      <c r="AU199" s="30"/>
      <c r="AV199" s="30"/>
      <c r="AW199" s="30"/>
      <c r="AX199" s="30"/>
    </row>
    <row r="200" spans="1:50" ht="15.75" customHeight="1"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114"/>
      <c r="AR200" s="30"/>
      <c r="AS200" s="30"/>
      <c r="AT200" s="30"/>
      <c r="AU200" s="30"/>
      <c r="AV200" s="30"/>
      <c r="AW200" s="30"/>
      <c r="AX200" s="30"/>
    </row>
    <row r="201" spans="1:50" ht="15.75" customHeight="1"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114"/>
      <c r="AR201" s="30"/>
      <c r="AS201" s="30"/>
      <c r="AT201" s="30"/>
      <c r="AU201" s="30"/>
      <c r="AV201" s="30"/>
      <c r="AW201" s="30"/>
      <c r="AX201" s="30"/>
    </row>
    <row r="202" spans="1:50" ht="15.75" customHeight="1"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114"/>
      <c r="AR202" s="30"/>
      <c r="AS202" s="30"/>
      <c r="AT202" s="30"/>
      <c r="AU202" s="30"/>
      <c r="AV202" s="30"/>
      <c r="AW202" s="30"/>
      <c r="AX202" s="30"/>
    </row>
    <row r="203" spans="1:50" ht="15.75" customHeight="1"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114"/>
      <c r="AR203" s="30"/>
      <c r="AS203" s="30"/>
      <c r="AT203" s="30"/>
      <c r="AU203" s="30"/>
      <c r="AV203" s="30"/>
      <c r="AW203" s="30"/>
      <c r="AX203" s="30"/>
    </row>
    <row r="204" spans="1:50" ht="15.75" customHeight="1"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114"/>
      <c r="AR204" s="30"/>
      <c r="AS204" s="30"/>
      <c r="AT204" s="30"/>
      <c r="AU204" s="30"/>
      <c r="AV204" s="30"/>
      <c r="AW204" s="30"/>
      <c r="AX204" s="30"/>
    </row>
    <row r="205" spans="1:50" ht="15.75" customHeight="1"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114"/>
      <c r="AR205" s="30"/>
      <c r="AS205" s="30"/>
      <c r="AT205" s="30"/>
      <c r="AU205" s="30"/>
      <c r="AV205" s="30"/>
      <c r="AW205" s="30"/>
      <c r="AX205" s="30"/>
    </row>
    <row r="206" spans="1:50" ht="15.75" customHeight="1"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114"/>
      <c r="AR206" s="30"/>
      <c r="AS206" s="30"/>
      <c r="AT206" s="30"/>
      <c r="AU206" s="30"/>
      <c r="AV206" s="30"/>
      <c r="AW206" s="30"/>
      <c r="AX206" s="30"/>
    </row>
    <row r="207" spans="1:50" ht="15.75" customHeight="1"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114"/>
      <c r="AR207" s="30"/>
      <c r="AS207" s="30"/>
      <c r="AT207" s="30"/>
      <c r="AU207" s="30"/>
      <c r="AV207" s="30"/>
      <c r="AW207" s="30"/>
      <c r="AX207" s="30"/>
    </row>
    <row r="208" spans="1:50" ht="15.75" customHeight="1"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114"/>
      <c r="AR208" s="30"/>
      <c r="AS208" s="30"/>
      <c r="AT208" s="30"/>
      <c r="AU208" s="30"/>
      <c r="AV208" s="30"/>
      <c r="AW208" s="30"/>
      <c r="AX208" s="30"/>
    </row>
    <row r="209" spans="1:50" ht="15.75" customHeight="1"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114"/>
      <c r="AR209" s="30"/>
      <c r="AS209" s="30"/>
      <c r="AT209" s="30"/>
      <c r="AU209" s="30"/>
      <c r="AV209" s="30"/>
      <c r="AW209" s="30"/>
      <c r="AX209" s="30"/>
    </row>
    <row r="210" spans="1:50" ht="15.75" customHeight="1"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114"/>
      <c r="AR210" s="30"/>
      <c r="AS210" s="30"/>
      <c r="AT210" s="30"/>
      <c r="AU210" s="30"/>
      <c r="AV210" s="30"/>
      <c r="AW210" s="30"/>
      <c r="AX210" s="30"/>
    </row>
    <row r="211" spans="1:50" ht="15.75" customHeight="1"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114"/>
      <c r="AR211" s="30"/>
      <c r="AS211" s="30"/>
      <c r="AT211" s="30"/>
      <c r="AU211" s="30"/>
      <c r="AV211" s="30"/>
      <c r="AW211" s="30"/>
      <c r="AX211" s="30"/>
    </row>
    <row r="212" spans="1:50" ht="15.75" customHeight="1"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114"/>
      <c r="AR212" s="30"/>
      <c r="AS212" s="30"/>
      <c r="AT212" s="30"/>
      <c r="AU212" s="30"/>
      <c r="AV212" s="30"/>
      <c r="AW212" s="30"/>
      <c r="AX212" s="30"/>
    </row>
    <row r="213" spans="1:50" ht="15.75" customHeight="1"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114"/>
      <c r="AR213" s="30"/>
      <c r="AS213" s="30"/>
      <c r="AT213" s="30"/>
      <c r="AU213" s="30"/>
      <c r="AV213" s="30"/>
      <c r="AW213" s="30"/>
      <c r="AX213" s="30"/>
    </row>
    <row r="214" spans="1:50" ht="15.75" customHeight="1"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114"/>
      <c r="AR214" s="30"/>
      <c r="AS214" s="30"/>
      <c r="AT214" s="30"/>
      <c r="AU214" s="30"/>
      <c r="AV214" s="30"/>
      <c r="AW214" s="30"/>
      <c r="AX214" s="30"/>
    </row>
    <row r="215" spans="1:50" ht="15.75" customHeight="1"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114"/>
      <c r="AR215" s="30"/>
      <c r="AS215" s="30"/>
      <c r="AT215" s="30"/>
      <c r="AU215" s="30"/>
      <c r="AV215" s="30"/>
      <c r="AW215" s="30"/>
      <c r="AX215" s="30"/>
    </row>
    <row r="216" spans="1:50" ht="15.75" customHeight="1"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114"/>
      <c r="AR216" s="30"/>
      <c r="AS216" s="30"/>
      <c r="AT216" s="30"/>
      <c r="AU216" s="30"/>
      <c r="AV216" s="30"/>
      <c r="AW216" s="30"/>
      <c r="AX216" s="30"/>
    </row>
    <row r="217" spans="1:50" ht="15.75" customHeight="1"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114"/>
      <c r="AR217" s="30"/>
      <c r="AS217" s="30"/>
      <c r="AT217" s="30"/>
      <c r="AU217" s="30"/>
      <c r="AV217" s="30"/>
      <c r="AW217" s="30"/>
      <c r="AX217" s="30"/>
    </row>
    <row r="218" spans="1:50" ht="15.75" customHeight="1"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114"/>
      <c r="AR218" s="30"/>
      <c r="AS218" s="30"/>
      <c r="AT218" s="30"/>
      <c r="AU218" s="30"/>
      <c r="AV218" s="30"/>
      <c r="AW218" s="30"/>
      <c r="AX218" s="30"/>
    </row>
    <row r="219" spans="1:50" ht="15.75" customHeight="1"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114"/>
      <c r="AR219" s="30"/>
      <c r="AS219" s="30"/>
      <c r="AT219" s="30"/>
      <c r="AU219" s="30"/>
      <c r="AV219" s="30"/>
      <c r="AW219" s="30"/>
      <c r="AX219" s="30"/>
    </row>
    <row r="220" spans="1:50" ht="15.75" customHeight="1"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114"/>
      <c r="AR220" s="30"/>
      <c r="AS220" s="30"/>
      <c r="AT220" s="30"/>
      <c r="AU220" s="30"/>
      <c r="AV220" s="30"/>
      <c r="AW220" s="30"/>
      <c r="AX220" s="30"/>
    </row>
    <row r="221" spans="1:50" ht="15.75" customHeight="1"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114"/>
      <c r="AR221" s="30"/>
      <c r="AS221" s="30"/>
      <c r="AT221" s="30"/>
      <c r="AU221" s="30"/>
      <c r="AV221" s="30"/>
      <c r="AW221" s="30"/>
      <c r="AX221" s="30"/>
    </row>
    <row r="222" spans="1:50" ht="15.75" customHeight="1"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114"/>
      <c r="AR222" s="30"/>
      <c r="AS222" s="30"/>
      <c r="AT222" s="30"/>
      <c r="AU222" s="30"/>
      <c r="AV222" s="30"/>
      <c r="AW222" s="30"/>
      <c r="AX222" s="30"/>
    </row>
    <row r="223" spans="1:50" ht="15.75" customHeight="1"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114"/>
      <c r="AR223" s="30"/>
      <c r="AS223" s="30"/>
      <c r="AT223" s="30"/>
      <c r="AU223" s="30"/>
      <c r="AV223" s="30"/>
      <c r="AW223" s="30"/>
      <c r="AX223" s="30"/>
    </row>
    <row r="224" spans="1:50" ht="15.75" customHeight="1"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114"/>
      <c r="AR224" s="30"/>
      <c r="AS224" s="30"/>
      <c r="AT224" s="30"/>
      <c r="AU224" s="30"/>
      <c r="AV224" s="30"/>
      <c r="AW224" s="30"/>
      <c r="AX224" s="30"/>
    </row>
    <row r="225" spans="1:50" ht="15.75" customHeight="1"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114"/>
      <c r="AR225" s="30"/>
      <c r="AS225" s="30"/>
      <c r="AT225" s="30"/>
      <c r="AU225" s="30"/>
      <c r="AV225" s="30"/>
      <c r="AW225" s="30"/>
      <c r="AX225" s="30"/>
    </row>
    <row r="226" spans="1:50" ht="15.75" customHeight="1"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114"/>
      <c r="AR226" s="30"/>
      <c r="AS226" s="30"/>
      <c r="AT226" s="30"/>
      <c r="AU226" s="30"/>
      <c r="AV226" s="30"/>
      <c r="AW226" s="30"/>
      <c r="AX226" s="30"/>
    </row>
    <row r="227" spans="1:50" ht="15.75" customHeight="1"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114"/>
      <c r="AR227" s="30"/>
      <c r="AS227" s="30"/>
      <c r="AT227" s="30"/>
      <c r="AU227" s="30"/>
      <c r="AV227" s="30"/>
      <c r="AW227" s="30"/>
      <c r="AX227" s="30"/>
    </row>
    <row r="228" spans="1:50" ht="15.75" customHeight="1"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114"/>
      <c r="AR228" s="30"/>
      <c r="AS228" s="30"/>
      <c r="AT228" s="30"/>
      <c r="AU228" s="30"/>
      <c r="AV228" s="30"/>
      <c r="AW228" s="30"/>
      <c r="AX228" s="30"/>
    </row>
    <row r="229" spans="1:50" ht="15.75" customHeight="1"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114"/>
      <c r="AR229" s="30"/>
      <c r="AS229" s="30"/>
      <c r="AT229" s="30"/>
      <c r="AU229" s="30"/>
      <c r="AV229" s="30"/>
      <c r="AW229" s="30"/>
      <c r="AX229" s="30"/>
    </row>
    <row r="230" spans="1:50" ht="15.75" customHeight="1"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114"/>
      <c r="AR230" s="30"/>
      <c r="AS230" s="30"/>
      <c r="AT230" s="30"/>
      <c r="AU230" s="30"/>
      <c r="AV230" s="30"/>
      <c r="AW230" s="30"/>
      <c r="AX230" s="30"/>
    </row>
    <row r="231" spans="1:50" ht="15.75" customHeight="1"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114"/>
      <c r="AR231" s="30"/>
      <c r="AS231" s="30"/>
      <c r="AT231" s="30"/>
      <c r="AU231" s="30"/>
      <c r="AV231" s="30"/>
      <c r="AW231" s="30"/>
      <c r="AX231" s="30"/>
    </row>
    <row r="232" spans="1:50" ht="15.75" customHeight="1"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114"/>
      <c r="AR232" s="30"/>
      <c r="AS232" s="30"/>
      <c r="AT232" s="30"/>
      <c r="AU232" s="30"/>
      <c r="AV232" s="30"/>
      <c r="AW232" s="30"/>
      <c r="AX232" s="30"/>
    </row>
    <row r="233" spans="1:50" ht="15.75" customHeight="1"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114"/>
      <c r="AR233" s="30"/>
      <c r="AS233" s="30"/>
      <c r="AT233" s="30"/>
      <c r="AU233" s="30"/>
      <c r="AV233" s="30"/>
      <c r="AW233" s="30"/>
      <c r="AX233" s="30"/>
    </row>
    <row r="234" spans="1:50" ht="15.75" customHeight="1"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114"/>
      <c r="AR234" s="30"/>
      <c r="AS234" s="30"/>
      <c r="AT234" s="30"/>
      <c r="AU234" s="30"/>
      <c r="AV234" s="30"/>
      <c r="AW234" s="30"/>
      <c r="AX234" s="30"/>
    </row>
    <row r="235" spans="1:50" ht="15.75" customHeight="1"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114"/>
      <c r="AR235" s="30"/>
      <c r="AS235" s="30"/>
      <c r="AT235" s="30"/>
      <c r="AU235" s="30"/>
      <c r="AV235" s="30"/>
      <c r="AW235" s="30"/>
      <c r="AX235" s="30"/>
    </row>
    <row r="236" spans="1:50" ht="15.75" customHeight="1"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114"/>
      <c r="AR236" s="30"/>
      <c r="AS236" s="30"/>
      <c r="AT236" s="30"/>
      <c r="AU236" s="30"/>
      <c r="AV236" s="30"/>
      <c r="AW236" s="30"/>
      <c r="AX236" s="30"/>
    </row>
    <row r="237" spans="1:50" ht="15.75" customHeight="1"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114"/>
      <c r="AR237" s="30"/>
      <c r="AS237" s="30"/>
      <c r="AT237" s="30"/>
      <c r="AU237" s="30"/>
      <c r="AV237" s="30"/>
      <c r="AW237" s="30"/>
      <c r="AX237" s="30"/>
    </row>
    <row r="238" spans="1:50" ht="15.75" customHeight="1"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114"/>
      <c r="AR238" s="30"/>
      <c r="AS238" s="30"/>
      <c r="AT238" s="30"/>
      <c r="AU238" s="30"/>
      <c r="AV238" s="30"/>
      <c r="AW238" s="30"/>
      <c r="AX238" s="30"/>
    </row>
    <row r="239" spans="1:50" ht="15.75" customHeight="1"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114"/>
      <c r="AR239" s="30"/>
      <c r="AS239" s="30"/>
      <c r="AT239" s="30"/>
      <c r="AU239" s="30"/>
      <c r="AV239" s="30"/>
      <c r="AW239" s="30"/>
      <c r="AX239" s="30"/>
    </row>
    <row r="240" spans="1:50" ht="15.75" customHeight="1"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114"/>
      <c r="AR240" s="30"/>
      <c r="AS240" s="30"/>
      <c r="AT240" s="30"/>
      <c r="AU240" s="30"/>
      <c r="AV240" s="30"/>
      <c r="AW240" s="30"/>
      <c r="AX240" s="30"/>
    </row>
    <row r="241" spans="1:50" ht="15.75" customHeight="1"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114"/>
      <c r="AR241" s="30"/>
      <c r="AS241" s="30"/>
      <c r="AT241" s="30"/>
      <c r="AU241" s="30"/>
      <c r="AV241" s="30"/>
      <c r="AW241" s="30"/>
      <c r="AX241" s="30"/>
    </row>
    <row r="242" spans="1:50" ht="15.75" customHeight="1"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114"/>
      <c r="AR242" s="30"/>
      <c r="AS242" s="30"/>
      <c r="AT242" s="30"/>
      <c r="AU242" s="30"/>
      <c r="AV242" s="30"/>
      <c r="AW242" s="30"/>
      <c r="AX242" s="30"/>
    </row>
    <row r="243" spans="1:50" ht="15.75" customHeight="1"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114"/>
      <c r="AR243" s="30"/>
      <c r="AS243" s="30"/>
      <c r="AT243" s="30"/>
      <c r="AU243" s="30"/>
      <c r="AV243" s="30"/>
      <c r="AW243" s="30"/>
      <c r="AX243" s="30"/>
    </row>
    <row r="244" spans="1:50" ht="15.75" customHeight="1"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114"/>
      <c r="AR244" s="30"/>
      <c r="AS244" s="30"/>
      <c r="AT244" s="30"/>
      <c r="AU244" s="30"/>
      <c r="AV244" s="30"/>
      <c r="AW244" s="30"/>
      <c r="AX244" s="30"/>
    </row>
    <row r="245" spans="1:50" ht="15.75" customHeight="1"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114"/>
      <c r="AR245" s="30"/>
      <c r="AS245" s="30"/>
      <c r="AT245" s="30"/>
      <c r="AU245" s="30"/>
      <c r="AV245" s="30"/>
      <c r="AW245" s="30"/>
      <c r="AX245" s="30"/>
    </row>
    <row r="246" spans="1:50" ht="15.75" customHeight="1"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114"/>
      <c r="AR246" s="30"/>
      <c r="AS246" s="30"/>
      <c r="AT246" s="30"/>
      <c r="AU246" s="30"/>
      <c r="AV246" s="30"/>
      <c r="AW246" s="30"/>
      <c r="AX246" s="30"/>
    </row>
    <row r="247" spans="1:50" ht="15.75" customHeight="1"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114"/>
      <c r="AR247" s="30"/>
      <c r="AS247" s="30"/>
      <c r="AT247" s="30"/>
      <c r="AU247" s="30"/>
      <c r="AV247" s="30"/>
      <c r="AW247" s="30"/>
      <c r="AX247" s="30"/>
    </row>
    <row r="248" spans="1:50" ht="15.75" customHeight="1"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114"/>
      <c r="AR248" s="30"/>
      <c r="AS248" s="30"/>
      <c r="AT248" s="30"/>
      <c r="AU248" s="30"/>
      <c r="AV248" s="30"/>
      <c r="AW248" s="30"/>
      <c r="AX248" s="30"/>
    </row>
    <row r="249" spans="1:50" ht="15.75" customHeight="1"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114"/>
      <c r="AR249" s="30"/>
      <c r="AS249" s="30"/>
      <c r="AT249" s="30"/>
      <c r="AU249" s="30"/>
      <c r="AV249" s="30"/>
      <c r="AW249" s="30"/>
      <c r="AX249" s="30"/>
    </row>
    <row r="250" spans="1:50" ht="15.75" customHeight="1"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114"/>
      <c r="AR250" s="30"/>
      <c r="AS250" s="30"/>
      <c r="AT250" s="30"/>
      <c r="AU250" s="30"/>
      <c r="AV250" s="30"/>
      <c r="AW250" s="30"/>
      <c r="AX250" s="30"/>
    </row>
    <row r="251" spans="1:50" ht="15.75" customHeight="1"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114"/>
      <c r="AR251" s="30"/>
      <c r="AS251" s="30"/>
      <c r="AT251" s="30"/>
      <c r="AU251" s="30"/>
      <c r="AV251" s="30"/>
      <c r="AW251" s="30"/>
      <c r="AX251" s="30"/>
    </row>
    <row r="252" spans="1:50" ht="15.75" customHeight="1"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114"/>
      <c r="AR252" s="30"/>
      <c r="AS252" s="30"/>
      <c r="AT252" s="30"/>
      <c r="AU252" s="30"/>
      <c r="AV252" s="30"/>
      <c r="AW252" s="30"/>
      <c r="AX252" s="30"/>
    </row>
    <row r="253" spans="1:50" ht="15.75" customHeight="1"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114"/>
      <c r="AR253" s="30"/>
      <c r="AS253" s="30"/>
      <c r="AT253" s="30"/>
      <c r="AU253" s="30"/>
      <c r="AV253" s="30"/>
      <c r="AW253" s="30"/>
      <c r="AX253" s="30"/>
    </row>
    <row r="254" spans="1:50" ht="15.75" customHeight="1"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114"/>
      <c r="AR254" s="30"/>
      <c r="AS254" s="30"/>
      <c r="AT254" s="30"/>
      <c r="AU254" s="30"/>
      <c r="AV254" s="30"/>
      <c r="AW254" s="30"/>
      <c r="AX254" s="30"/>
    </row>
    <row r="255" spans="1:50" ht="15.75" customHeight="1"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114"/>
      <c r="AR255" s="30"/>
      <c r="AS255" s="30"/>
      <c r="AT255" s="30"/>
      <c r="AU255" s="30"/>
      <c r="AV255" s="30"/>
      <c r="AW255" s="30"/>
      <c r="AX255" s="30"/>
    </row>
    <row r="256" spans="1:50" ht="15.75" customHeight="1"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114"/>
      <c r="AR256" s="30"/>
      <c r="AS256" s="30"/>
      <c r="AT256" s="30"/>
      <c r="AU256" s="30"/>
      <c r="AV256" s="30"/>
      <c r="AW256" s="30"/>
      <c r="AX256" s="30"/>
    </row>
    <row r="257" spans="1:50" ht="15.75" customHeight="1"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114"/>
      <c r="AR257" s="30"/>
      <c r="AS257" s="30"/>
      <c r="AT257" s="30"/>
      <c r="AU257" s="30"/>
      <c r="AV257" s="30"/>
      <c r="AW257" s="30"/>
      <c r="AX257" s="30"/>
    </row>
    <row r="258" spans="1:50" ht="15.75" customHeight="1"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114"/>
      <c r="AR258" s="30"/>
      <c r="AS258" s="30"/>
      <c r="AT258" s="30"/>
      <c r="AU258" s="30"/>
      <c r="AV258" s="30"/>
      <c r="AW258" s="30"/>
      <c r="AX258" s="30"/>
    </row>
    <row r="259" spans="1:50" ht="15.75" customHeight="1"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114"/>
      <c r="AR259" s="30"/>
      <c r="AS259" s="30"/>
      <c r="AT259" s="30"/>
      <c r="AU259" s="30"/>
      <c r="AV259" s="30"/>
      <c r="AW259" s="30"/>
      <c r="AX259" s="30"/>
    </row>
    <row r="260" spans="1:50" ht="15.75" customHeight="1"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114"/>
      <c r="AR260" s="30"/>
      <c r="AS260" s="30"/>
      <c r="AT260" s="30"/>
      <c r="AU260" s="30"/>
      <c r="AV260" s="30"/>
      <c r="AW260" s="30"/>
      <c r="AX260" s="30"/>
    </row>
    <row r="261" spans="1:50" ht="15.75" customHeight="1" x14ac:dyDescent="0.2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114"/>
      <c r="AR261" s="30"/>
      <c r="AS261" s="30"/>
      <c r="AT261" s="30"/>
      <c r="AU261" s="30"/>
      <c r="AV261" s="30"/>
      <c r="AW261" s="30"/>
      <c r="AX261" s="30"/>
    </row>
    <row r="262" spans="1:50" ht="15.75" customHeight="1" x14ac:dyDescent="0.2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114"/>
      <c r="AR262" s="30"/>
      <c r="AS262" s="30"/>
      <c r="AT262" s="30"/>
      <c r="AU262" s="30"/>
      <c r="AV262" s="30"/>
      <c r="AW262" s="30"/>
      <c r="AX262" s="30"/>
    </row>
    <row r="263" spans="1:50" ht="15.75" customHeight="1" x14ac:dyDescent="0.2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114"/>
      <c r="AR263" s="30"/>
      <c r="AS263" s="30"/>
      <c r="AT263" s="30"/>
      <c r="AU263" s="30"/>
      <c r="AV263" s="30"/>
      <c r="AW263" s="30"/>
      <c r="AX263" s="30"/>
    </row>
    <row r="264" spans="1:50" ht="15.75" customHeight="1" x14ac:dyDescent="0.2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114"/>
      <c r="AR264" s="30"/>
      <c r="AS264" s="30"/>
      <c r="AT264" s="30"/>
      <c r="AU264" s="30"/>
      <c r="AV264" s="30"/>
      <c r="AW264" s="30"/>
      <c r="AX264" s="30"/>
    </row>
    <row r="265" spans="1:50" ht="15.75" customHeight="1" x14ac:dyDescent="0.2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114"/>
      <c r="AR265" s="30"/>
      <c r="AS265" s="30"/>
      <c r="AT265" s="30"/>
      <c r="AU265" s="30"/>
      <c r="AV265" s="30"/>
      <c r="AW265" s="30"/>
      <c r="AX265" s="30"/>
    </row>
    <row r="266" spans="1:50" ht="15.75" customHeight="1" x14ac:dyDescent="0.2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114"/>
      <c r="AR266" s="30"/>
      <c r="AS266" s="30"/>
      <c r="AT266" s="30"/>
      <c r="AU266" s="30"/>
      <c r="AV266" s="30"/>
      <c r="AW266" s="30"/>
      <c r="AX266" s="30"/>
    </row>
    <row r="267" spans="1:50" ht="15.75" customHeight="1" x14ac:dyDescent="0.2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114"/>
      <c r="AR267" s="30"/>
      <c r="AS267" s="30"/>
      <c r="AT267" s="30"/>
      <c r="AU267" s="30"/>
      <c r="AV267" s="30"/>
      <c r="AW267" s="30"/>
      <c r="AX267" s="30"/>
    </row>
    <row r="268" spans="1:50" ht="15.75" customHeight="1" x14ac:dyDescent="0.2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114"/>
      <c r="AR268" s="30"/>
      <c r="AS268" s="30"/>
      <c r="AT268" s="30"/>
      <c r="AU268" s="30"/>
      <c r="AV268" s="30"/>
      <c r="AW268" s="30"/>
      <c r="AX268" s="30"/>
    </row>
    <row r="269" spans="1:50" ht="15.75" customHeight="1" x14ac:dyDescent="0.2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114"/>
      <c r="AR269" s="30"/>
      <c r="AS269" s="30"/>
      <c r="AT269" s="30"/>
      <c r="AU269" s="30"/>
      <c r="AV269" s="30"/>
      <c r="AW269" s="30"/>
      <c r="AX269" s="30"/>
    </row>
    <row r="270" spans="1:50" ht="15.75" customHeight="1" x14ac:dyDescent="0.2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114"/>
      <c r="AR270" s="30"/>
      <c r="AS270" s="30"/>
      <c r="AT270" s="30"/>
      <c r="AU270" s="30"/>
      <c r="AV270" s="30"/>
      <c r="AW270" s="30"/>
      <c r="AX270" s="30"/>
    </row>
    <row r="271" spans="1:50" ht="15.75" customHeight="1" x14ac:dyDescent="0.2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114"/>
      <c r="AR271" s="30"/>
      <c r="AS271" s="30"/>
      <c r="AT271" s="30"/>
      <c r="AU271" s="30"/>
      <c r="AV271" s="30"/>
      <c r="AW271" s="30"/>
      <c r="AX271" s="30"/>
    </row>
    <row r="272" spans="1:50" ht="15.75" customHeight="1" x14ac:dyDescent="0.2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114"/>
      <c r="AR272" s="30"/>
      <c r="AS272" s="30"/>
      <c r="AT272" s="30"/>
      <c r="AU272" s="30"/>
      <c r="AV272" s="30"/>
      <c r="AW272" s="30"/>
      <c r="AX272" s="30"/>
    </row>
    <row r="273" spans="1:50" ht="15.75" customHeight="1" x14ac:dyDescent="0.2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114"/>
      <c r="AR273" s="30"/>
      <c r="AS273" s="30"/>
      <c r="AT273" s="30"/>
      <c r="AU273" s="30"/>
      <c r="AV273" s="30"/>
      <c r="AW273" s="30"/>
      <c r="AX273" s="30"/>
    </row>
    <row r="274" spans="1:50" ht="15.75" customHeight="1" x14ac:dyDescent="0.2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114"/>
      <c r="AR274" s="30"/>
      <c r="AS274" s="30"/>
      <c r="AT274" s="30"/>
      <c r="AU274" s="30"/>
      <c r="AV274" s="30"/>
      <c r="AW274" s="30"/>
      <c r="AX274" s="30"/>
    </row>
    <row r="275" spans="1:50" ht="15.75" customHeight="1" x14ac:dyDescent="0.2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114"/>
      <c r="AR275" s="30"/>
      <c r="AS275" s="30"/>
      <c r="AT275" s="30"/>
      <c r="AU275" s="30"/>
      <c r="AV275" s="30"/>
      <c r="AW275" s="30"/>
      <c r="AX275" s="30"/>
    </row>
    <row r="276" spans="1:50" ht="15.75" customHeight="1" x14ac:dyDescent="0.2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114"/>
      <c r="AR276" s="30"/>
      <c r="AS276" s="30"/>
      <c r="AT276" s="30"/>
      <c r="AU276" s="30"/>
      <c r="AV276" s="30"/>
      <c r="AW276" s="30"/>
      <c r="AX276" s="30"/>
    </row>
    <row r="277" spans="1:50" ht="15.75" customHeight="1" x14ac:dyDescent="0.2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114"/>
      <c r="AR277" s="30"/>
      <c r="AS277" s="30"/>
      <c r="AT277" s="30"/>
      <c r="AU277" s="30"/>
      <c r="AV277" s="30"/>
      <c r="AW277" s="30"/>
      <c r="AX277" s="30"/>
    </row>
    <row r="278" spans="1:50" ht="15.75" customHeight="1" x14ac:dyDescent="0.2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114"/>
      <c r="AR278" s="30"/>
      <c r="AS278" s="30"/>
      <c r="AT278" s="30"/>
      <c r="AU278" s="30"/>
      <c r="AV278" s="30"/>
      <c r="AW278" s="30"/>
      <c r="AX278" s="30"/>
    </row>
    <row r="279" spans="1:50" ht="15.75" customHeight="1" x14ac:dyDescent="0.2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114"/>
      <c r="AR279" s="30"/>
      <c r="AS279" s="30"/>
      <c r="AT279" s="30"/>
      <c r="AU279" s="30"/>
      <c r="AV279" s="30"/>
      <c r="AW279" s="30"/>
      <c r="AX279" s="30"/>
    </row>
    <row r="280" spans="1:50" ht="15.75" customHeight="1" x14ac:dyDescent="0.2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114"/>
      <c r="AR280" s="30"/>
      <c r="AS280" s="30"/>
      <c r="AT280" s="30"/>
      <c r="AU280" s="30"/>
      <c r="AV280" s="30"/>
      <c r="AW280" s="30"/>
      <c r="AX280" s="30"/>
    </row>
    <row r="281" spans="1:50" ht="15.75" customHeight="1" x14ac:dyDescent="0.2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114"/>
      <c r="AR281" s="30"/>
      <c r="AS281" s="30"/>
      <c r="AT281" s="30"/>
      <c r="AU281" s="30"/>
      <c r="AV281" s="30"/>
      <c r="AW281" s="30"/>
      <c r="AX281" s="30"/>
    </row>
    <row r="282" spans="1:50" ht="15.75" customHeight="1" x14ac:dyDescent="0.2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114"/>
      <c r="AR282" s="30"/>
      <c r="AS282" s="30"/>
      <c r="AT282" s="30"/>
      <c r="AU282" s="30"/>
      <c r="AV282" s="30"/>
      <c r="AW282" s="30"/>
      <c r="AX282" s="30"/>
    </row>
    <row r="283" spans="1:50" ht="15.75" customHeight="1" x14ac:dyDescent="0.2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114"/>
      <c r="AR283" s="30"/>
      <c r="AS283" s="30"/>
      <c r="AT283" s="30"/>
      <c r="AU283" s="30"/>
      <c r="AV283" s="30"/>
      <c r="AW283" s="30"/>
      <c r="AX283" s="30"/>
    </row>
    <row r="284" spans="1:50" ht="15.75" customHeight="1" x14ac:dyDescent="0.2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114"/>
      <c r="AR284" s="30"/>
      <c r="AS284" s="30"/>
      <c r="AT284" s="30"/>
      <c r="AU284" s="30"/>
      <c r="AV284" s="30"/>
      <c r="AW284" s="30"/>
      <c r="AX284" s="30"/>
    </row>
    <row r="285" spans="1:50" ht="15.75" customHeight="1" x14ac:dyDescent="0.2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114"/>
      <c r="AR285" s="30"/>
      <c r="AS285" s="30"/>
      <c r="AT285" s="30"/>
      <c r="AU285" s="30"/>
      <c r="AV285" s="30"/>
      <c r="AW285" s="30"/>
      <c r="AX285" s="30"/>
    </row>
  </sheetData>
  <mergeCells count="16">
    <mergeCell ref="AS22:AV22"/>
    <mergeCell ref="AK22:AN22"/>
    <mergeCell ref="K5:O5"/>
    <mergeCell ref="K6:O6"/>
    <mergeCell ref="R5:V5"/>
    <mergeCell ref="R6:V6"/>
    <mergeCell ref="W5:AA5"/>
    <mergeCell ref="W6:AA6"/>
    <mergeCell ref="A1:AB1"/>
    <mergeCell ref="AI1:AK1"/>
    <mergeCell ref="D5:H5"/>
    <mergeCell ref="D6:H6"/>
    <mergeCell ref="A5:A7"/>
    <mergeCell ref="A2:AB2"/>
    <mergeCell ref="A3:AB3"/>
    <mergeCell ref="AB5:AB7"/>
  </mergeCells>
  <pageMargins left="0.7" right="0.7" top="0.75" bottom="0.75" header="0" footer="0"/>
  <pageSetup paperSize="9" scale="71" orientation="landscape" horizontalDpi="4294967295" verticalDpi="4294967295" r:id="rId1"/>
  <rowBreaks count="1" manualBreakCount="1">
    <brk id="40" max="2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G78"/>
  <sheetViews>
    <sheetView view="pageBreakPreview" zoomScale="124" zoomScaleNormal="100" zoomScaleSheetLayoutView="124" workbookViewId="0">
      <selection activeCell="AB11" sqref="AB11"/>
    </sheetView>
  </sheetViews>
  <sheetFormatPr defaultColWidth="14.42578125" defaultRowHeight="15" customHeight="1" x14ac:dyDescent="0.25"/>
  <cols>
    <col min="1" max="1" width="24.7109375" style="31" customWidth="1"/>
    <col min="2" max="2" width="11.42578125" style="31" hidden="1" customWidth="1"/>
    <col min="3" max="4" width="9.140625" style="31" hidden="1" customWidth="1"/>
    <col min="5" max="5" width="11.42578125" style="31" hidden="1" customWidth="1"/>
    <col min="6" max="6" width="9.140625" style="31" hidden="1" customWidth="1"/>
    <col min="7" max="7" width="8.5703125" style="31" hidden="1" customWidth="1"/>
    <col min="8" max="8" width="11.42578125" style="31" hidden="1" customWidth="1"/>
    <col min="9" max="9" width="9.140625" style="31" hidden="1" customWidth="1"/>
    <col min="10" max="10" width="2.5703125" style="31" hidden="1" customWidth="1"/>
    <col min="11" max="16" width="9.7109375" style="31" customWidth="1"/>
    <col min="17" max="17" width="1.140625" style="31" customWidth="1"/>
    <col min="18" max="21" width="10.5703125" style="31" customWidth="1"/>
    <col min="22" max="22" width="13.140625" style="31" customWidth="1"/>
    <col min="23" max="23" width="27.28515625" style="31" customWidth="1"/>
    <col min="24" max="24" width="1.140625" style="31" customWidth="1"/>
    <col min="25" max="25" width="1.7109375" style="31" customWidth="1"/>
    <col min="26" max="26" width="1.85546875" style="31" customWidth="1"/>
    <col min="27" max="29" width="8" style="31" customWidth="1"/>
    <col min="30" max="33" width="15.140625" style="31" customWidth="1"/>
    <col min="34" max="16384" width="14.42578125" style="31"/>
  </cols>
  <sheetData>
    <row r="1" spans="1:33"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76"/>
      <c r="AC1" s="76"/>
      <c r="AD1" s="30"/>
      <c r="AE1" s="30"/>
      <c r="AF1" s="30"/>
      <c r="AG1" s="30"/>
    </row>
    <row r="2" spans="1:33" ht="21.75" customHeight="1" x14ac:dyDescent="0.25">
      <c r="A2" s="730" t="s">
        <v>254</v>
      </c>
      <c r="B2" s="699"/>
      <c r="C2" s="699"/>
      <c r="D2" s="699"/>
      <c r="E2" s="699"/>
      <c r="F2" s="699"/>
      <c r="G2" s="699"/>
      <c r="H2" s="699"/>
      <c r="I2" s="699"/>
      <c r="J2" s="699"/>
      <c r="K2" s="699"/>
      <c r="L2" s="699"/>
      <c r="M2" s="699"/>
      <c r="N2" s="699"/>
      <c r="O2" s="699"/>
      <c r="P2" s="699"/>
      <c r="Q2" s="699"/>
      <c r="R2" s="699"/>
      <c r="S2" s="699"/>
      <c r="T2" s="699"/>
      <c r="U2" s="699"/>
      <c r="V2" s="699"/>
      <c r="W2" s="700"/>
      <c r="X2" s="30"/>
      <c r="Y2" s="30"/>
      <c r="Z2" s="30"/>
      <c r="AA2" s="30"/>
      <c r="AB2" s="30"/>
      <c r="AC2" s="30"/>
      <c r="AD2" s="30"/>
      <c r="AE2" s="30"/>
      <c r="AF2" s="30"/>
      <c r="AG2" s="30"/>
    </row>
    <row r="3" spans="1:33" ht="15.75" customHeight="1" x14ac:dyDescent="0.25">
      <c r="A3" s="750" t="s">
        <v>253</v>
      </c>
      <c r="B3" s="699"/>
      <c r="C3" s="699"/>
      <c r="D3" s="699"/>
      <c r="E3" s="699"/>
      <c r="F3" s="699"/>
      <c r="G3" s="699"/>
      <c r="H3" s="699"/>
      <c r="I3" s="699"/>
      <c r="J3" s="699"/>
      <c r="K3" s="699"/>
      <c r="L3" s="699"/>
      <c r="M3" s="699"/>
      <c r="N3" s="699"/>
      <c r="O3" s="699"/>
      <c r="P3" s="699"/>
      <c r="Q3" s="699"/>
      <c r="R3" s="699"/>
      <c r="S3" s="699"/>
      <c r="T3" s="699"/>
      <c r="U3" s="699"/>
      <c r="V3" s="699"/>
      <c r="W3" s="700"/>
      <c r="X3" s="30"/>
      <c r="Y3" s="30"/>
      <c r="Z3" s="30"/>
      <c r="AA3" s="30"/>
      <c r="AB3" s="30"/>
      <c r="AC3" s="30"/>
      <c r="AD3" s="30"/>
      <c r="AE3" s="30"/>
      <c r="AF3" s="30"/>
      <c r="AG3" s="30"/>
    </row>
    <row r="4" spans="1:33" ht="5.25" customHeight="1" x14ac:dyDescent="0.45">
      <c r="A4" s="30"/>
      <c r="B4" s="30"/>
      <c r="C4" s="32"/>
      <c r="D4" s="170"/>
      <c r="E4" s="30"/>
      <c r="F4" s="32"/>
      <c r="G4" s="170"/>
      <c r="H4" s="30"/>
      <c r="I4" s="32"/>
      <c r="J4" s="170"/>
      <c r="K4" s="30"/>
      <c r="L4" s="32"/>
      <c r="M4" s="170"/>
      <c r="N4" s="30"/>
      <c r="O4" s="32"/>
      <c r="P4" s="170"/>
      <c r="Q4" s="30"/>
      <c r="R4" s="30"/>
      <c r="S4" s="30"/>
      <c r="T4" s="30"/>
      <c r="U4" s="30"/>
      <c r="V4" s="30"/>
      <c r="W4" s="30"/>
      <c r="X4" s="30"/>
      <c r="Y4" s="30"/>
      <c r="Z4" s="30"/>
      <c r="AA4" s="30"/>
      <c r="AB4" s="30"/>
      <c r="AC4" s="30"/>
      <c r="AD4" s="30"/>
      <c r="AE4" s="30"/>
      <c r="AF4" s="30"/>
      <c r="AG4" s="30"/>
    </row>
    <row r="5" spans="1:33" ht="17.25" customHeight="1" x14ac:dyDescent="0.25">
      <c r="A5" s="718" t="s">
        <v>0</v>
      </c>
      <c r="B5" s="34"/>
      <c r="C5" s="34"/>
      <c r="D5" s="34"/>
      <c r="E5" s="34"/>
      <c r="F5" s="34"/>
      <c r="G5" s="34"/>
      <c r="H5" s="759" t="s">
        <v>252</v>
      </c>
      <c r="I5" s="759"/>
      <c r="J5" s="759"/>
      <c r="K5" s="759"/>
      <c r="L5" s="759"/>
      <c r="M5" s="759"/>
      <c r="N5" s="759"/>
      <c r="O5" s="759"/>
      <c r="P5" s="760"/>
      <c r="Q5" s="761" t="s">
        <v>2</v>
      </c>
      <c r="R5" s="762"/>
      <c r="S5" s="763"/>
      <c r="T5" s="767" t="s">
        <v>3</v>
      </c>
      <c r="U5" s="768"/>
      <c r="V5" s="771" t="s">
        <v>4</v>
      </c>
      <c r="W5" s="714" t="s">
        <v>5</v>
      </c>
      <c r="X5" s="30"/>
      <c r="Y5" s="30"/>
      <c r="Z5" s="30"/>
      <c r="AA5" s="30"/>
      <c r="AB5" s="30"/>
      <c r="AC5" s="30"/>
      <c r="AD5" s="30"/>
      <c r="AE5" s="30"/>
      <c r="AF5" s="30"/>
      <c r="AG5" s="30"/>
    </row>
    <row r="6" spans="1:33" ht="12.75" customHeight="1" x14ac:dyDescent="0.25">
      <c r="A6" s="715"/>
      <c r="B6" s="751">
        <v>2014</v>
      </c>
      <c r="C6" s="736"/>
      <c r="D6" s="752"/>
      <c r="E6" s="758">
        <v>2015</v>
      </c>
      <c r="F6" s="705"/>
      <c r="G6" s="717"/>
      <c r="H6" s="756" t="s">
        <v>9</v>
      </c>
      <c r="I6" s="754"/>
      <c r="J6" s="754"/>
      <c r="K6" s="756">
        <v>2017</v>
      </c>
      <c r="L6" s="754"/>
      <c r="M6" s="757"/>
      <c r="N6" s="751">
        <v>2018</v>
      </c>
      <c r="O6" s="754"/>
      <c r="P6" s="754"/>
      <c r="Q6" s="764"/>
      <c r="R6" s="765"/>
      <c r="S6" s="766"/>
      <c r="T6" s="769"/>
      <c r="U6" s="770"/>
      <c r="V6" s="772"/>
      <c r="W6" s="715"/>
      <c r="X6" s="30"/>
      <c r="Y6" s="30"/>
      <c r="Z6" s="30"/>
      <c r="AA6" s="30"/>
      <c r="AB6" s="30"/>
      <c r="AC6" s="30"/>
      <c r="AD6" s="30"/>
      <c r="AE6" s="30"/>
      <c r="AF6" s="30"/>
      <c r="AG6" s="30"/>
    </row>
    <row r="7" spans="1:33" ht="16.5" customHeight="1" x14ac:dyDescent="0.25">
      <c r="A7" s="715"/>
      <c r="B7" s="171" t="s">
        <v>13</v>
      </c>
      <c r="C7" s="46" t="s">
        <v>15</v>
      </c>
      <c r="D7" s="45" t="s">
        <v>16</v>
      </c>
      <c r="E7" s="46" t="s">
        <v>13</v>
      </c>
      <c r="F7" s="46" t="s">
        <v>15</v>
      </c>
      <c r="G7" s="45" t="s">
        <v>16</v>
      </c>
      <c r="H7" s="46" t="s">
        <v>13</v>
      </c>
      <c r="I7" s="46" t="s">
        <v>15</v>
      </c>
      <c r="J7" s="48" t="s">
        <v>16</v>
      </c>
      <c r="K7" s="49" t="s">
        <v>13</v>
      </c>
      <c r="L7" s="49" t="s">
        <v>15</v>
      </c>
      <c r="M7" s="172" t="s">
        <v>16</v>
      </c>
      <c r="N7" s="171" t="s">
        <v>13</v>
      </c>
      <c r="O7" s="46" t="s">
        <v>15</v>
      </c>
      <c r="P7" s="45" t="s">
        <v>16</v>
      </c>
      <c r="Q7" s="747" t="s">
        <v>18</v>
      </c>
      <c r="R7" s="754"/>
      <c r="S7" s="755"/>
      <c r="T7" s="753" t="s">
        <v>20</v>
      </c>
      <c r="U7" s="737"/>
      <c r="V7" s="173" t="s">
        <v>22</v>
      </c>
      <c r="W7" s="715"/>
      <c r="X7" s="30"/>
      <c r="Y7" s="30"/>
      <c r="Z7" s="30"/>
      <c r="AA7" s="30"/>
      <c r="AB7" s="30"/>
      <c r="AC7" s="30"/>
      <c r="AD7" s="30"/>
      <c r="AE7" s="30"/>
      <c r="AF7" s="30"/>
      <c r="AG7" s="30"/>
    </row>
    <row r="8" spans="1:33" ht="13.5" customHeight="1" x14ac:dyDescent="0.25">
      <c r="A8" s="716"/>
      <c r="B8" s="174" t="s">
        <v>23</v>
      </c>
      <c r="C8" s="175" t="s">
        <v>24</v>
      </c>
      <c r="D8" s="175" t="s">
        <v>25</v>
      </c>
      <c r="E8" s="175" t="s">
        <v>23</v>
      </c>
      <c r="F8" s="175" t="s">
        <v>24</v>
      </c>
      <c r="G8" s="175" t="s">
        <v>25</v>
      </c>
      <c r="H8" s="175" t="s">
        <v>23</v>
      </c>
      <c r="I8" s="175" t="s">
        <v>24</v>
      </c>
      <c r="J8" s="176" t="s">
        <v>25</v>
      </c>
      <c r="K8" s="176" t="s">
        <v>23</v>
      </c>
      <c r="L8" s="176" t="s">
        <v>24</v>
      </c>
      <c r="M8" s="177" t="s">
        <v>25</v>
      </c>
      <c r="N8" s="174" t="s">
        <v>23</v>
      </c>
      <c r="O8" s="175" t="s">
        <v>24</v>
      </c>
      <c r="P8" s="175" t="s">
        <v>25</v>
      </c>
      <c r="Q8" s="178">
        <v>2016</v>
      </c>
      <c r="R8" s="179">
        <v>2017</v>
      </c>
      <c r="S8" s="223">
        <v>2018</v>
      </c>
      <c r="T8" s="180">
        <v>2017</v>
      </c>
      <c r="U8" s="181">
        <v>2018</v>
      </c>
      <c r="V8" s="182" t="s">
        <v>26</v>
      </c>
      <c r="W8" s="716"/>
      <c r="X8" s="30"/>
      <c r="Y8" s="30"/>
      <c r="Z8" s="30"/>
      <c r="AA8" s="30"/>
      <c r="AB8" s="30"/>
      <c r="AC8" s="30"/>
      <c r="AD8" s="30"/>
      <c r="AE8" s="30"/>
      <c r="AF8" s="30"/>
      <c r="AG8" s="30"/>
    </row>
    <row r="9" spans="1:33" ht="21" customHeight="1" x14ac:dyDescent="0.55000000000000004">
      <c r="A9" s="37" t="s">
        <v>23</v>
      </c>
      <c r="B9" s="183">
        <f>C9+D9</f>
        <v>39895</v>
      </c>
      <c r="C9" s="184">
        <f t="shared" ref="C9:D9" si="0">SUM(C10:C13)</f>
        <v>22176</v>
      </c>
      <c r="D9" s="184">
        <f t="shared" si="0"/>
        <v>17719</v>
      </c>
      <c r="E9" s="185">
        <f>F9+G9</f>
        <v>40811</v>
      </c>
      <c r="F9" s="186">
        <f t="shared" ref="F9:G9" si="1">SUM(F10:F13)</f>
        <v>22651</v>
      </c>
      <c r="G9" s="186">
        <f t="shared" si="1"/>
        <v>18160</v>
      </c>
      <c r="H9" s="127">
        <f>I9+J9</f>
        <v>40427</v>
      </c>
      <c r="I9" s="186">
        <f t="shared" ref="I9:J9" si="2">SUM(I10:I13)</f>
        <v>22169</v>
      </c>
      <c r="J9" s="187">
        <f t="shared" si="2"/>
        <v>18258</v>
      </c>
      <c r="K9" s="188">
        <f>L9+M9</f>
        <v>41863</v>
      </c>
      <c r="L9" s="187">
        <f t="shared" ref="L9:M9" si="3">SUM(L10:L13)</f>
        <v>22964</v>
      </c>
      <c r="M9" s="189">
        <f t="shared" si="3"/>
        <v>18899</v>
      </c>
      <c r="N9" s="190">
        <f>O9+P9</f>
        <v>42604</v>
      </c>
      <c r="O9" s="186">
        <f>SUM(O10:O13)</f>
        <v>23311</v>
      </c>
      <c r="P9" s="186">
        <f t="shared" ref="P9" si="4">SUM(P10:P13)</f>
        <v>19293</v>
      </c>
      <c r="Q9" s="191">
        <f t="shared" ref="Q9:Q13" si="5">H9/$H$9*100</f>
        <v>100</v>
      </c>
      <c r="R9" s="192">
        <f t="shared" ref="R9:R13" si="6">K9/$K$9*100</f>
        <v>100</v>
      </c>
      <c r="S9" s="224">
        <f>N9/$N$9*100</f>
        <v>100</v>
      </c>
      <c r="T9" s="225">
        <f>M9/K9*100</f>
        <v>45.144877337983424</v>
      </c>
      <c r="U9" s="226">
        <f>P9/N9*100</f>
        <v>45.284480330485401</v>
      </c>
      <c r="V9" s="227">
        <f>((N9-K9)/K9)*100</f>
        <v>1.770059479731505</v>
      </c>
      <c r="W9" s="74" t="s">
        <v>13</v>
      </c>
      <c r="X9" s="37"/>
      <c r="Y9" s="37"/>
      <c r="Z9" s="37"/>
      <c r="AA9" s="37"/>
      <c r="AB9" s="37"/>
      <c r="AC9" s="37"/>
      <c r="AD9" s="30"/>
      <c r="AE9" s="30"/>
      <c r="AF9" s="30"/>
      <c r="AG9" s="30"/>
    </row>
    <row r="10" spans="1:33" ht="21" customHeight="1" x14ac:dyDescent="0.55000000000000004">
      <c r="A10" s="30" t="s">
        <v>30</v>
      </c>
      <c r="B10" s="194">
        <v>15767</v>
      </c>
      <c r="C10" s="76">
        <v>8062</v>
      </c>
      <c r="D10" s="76">
        <v>7705</v>
      </c>
      <c r="E10" s="195">
        <f t="shared" ref="E10:E13" si="7">SUM(F10:G10)</f>
        <v>16091</v>
      </c>
      <c r="F10" s="143">
        <v>8201</v>
      </c>
      <c r="G10" s="143">
        <v>7890</v>
      </c>
      <c r="H10" s="139">
        <f t="shared" ref="H10:H13" si="8">SUM(I10:J10)</f>
        <v>16321</v>
      </c>
      <c r="I10" s="196">
        <v>8294</v>
      </c>
      <c r="J10" s="197">
        <v>8027</v>
      </c>
      <c r="K10" s="198">
        <f t="shared" ref="K10:K13" si="9">SUM(L10:M10)</f>
        <v>16533</v>
      </c>
      <c r="L10" s="197">
        <v>8318</v>
      </c>
      <c r="M10" s="199">
        <v>8215</v>
      </c>
      <c r="N10" s="200">
        <f>SUM(O10:P10)</f>
        <v>16835</v>
      </c>
      <c r="O10" s="201">
        <v>8446</v>
      </c>
      <c r="P10" s="201">
        <v>8389</v>
      </c>
      <c r="Q10" s="202">
        <f t="shared" si="5"/>
        <v>40.371533875875031</v>
      </c>
      <c r="R10" s="203">
        <f t="shared" si="6"/>
        <v>39.493108472875811</v>
      </c>
      <c r="S10" s="204">
        <f>N10/$N$9*100</f>
        <v>39.515069007604922</v>
      </c>
      <c r="T10" s="85">
        <f t="shared" ref="T10:T13" si="10">M10/K10*100</f>
        <v>49.688501784310169</v>
      </c>
      <c r="U10" s="193">
        <f t="shared" ref="U10:U13" si="11">P10/N10*100</f>
        <v>49.830709830709829</v>
      </c>
      <c r="V10" s="205">
        <f t="shared" ref="V10:V13" si="12">((N10-K10)/K10)*100</f>
        <v>1.8266497308413474</v>
      </c>
      <c r="W10" s="86" t="s">
        <v>7</v>
      </c>
      <c r="X10" s="30"/>
      <c r="Y10" s="30"/>
      <c r="Z10" s="30"/>
      <c r="AA10" s="30"/>
      <c r="AB10" s="30"/>
      <c r="AC10" s="30"/>
      <c r="AD10" s="30"/>
      <c r="AE10" s="30"/>
      <c r="AF10" s="30"/>
      <c r="AG10" s="30"/>
    </row>
    <row r="11" spans="1:33" ht="21" customHeight="1" x14ac:dyDescent="0.55000000000000004">
      <c r="A11" s="30" t="s">
        <v>41</v>
      </c>
      <c r="B11" s="194">
        <v>646</v>
      </c>
      <c r="C11" s="76">
        <v>501</v>
      </c>
      <c r="D11" s="76">
        <v>145</v>
      </c>
      <c r="E11" s="195">
        <f t="shared" si="7"/>
        <v>895</v>
      </c>
      <c r="F11" s="143">
        <v>699</v>
      </c>
      <c r="G11" s="143">
        <v>196</v>
      </c>
      <c r="H11" s="139">
        <f t="shared" si="8"/>
        <v>72</v>
      </c>
      <c r="I11" s="196">
        <v>66</v>
      </c>
      <c r="J11" s="197">
        <v>6</v>
      </c>
      <c r="K11" s="198">
        <f t="shared" si="9"/>
        <v>1105</v>
      </c>
      <c r="L11" s="197">
        <v>868</v>
      </c>
      <c r="M11" s="199">
        <v>237</v>
      </c>
      <c r="N11" s="200">
        <f t="shared" ref="N11:N13" si="13">SUM(O11:P11)</f>
        <v>1259</v>
      </c>
      <c r="O11" s="201">
        <v>992</v>
      </c>
      <c r="P11" s="201">
        <v>267</v>
      </c>
      <c r="Q11" s="202">
        <f t="shared" si="5"/>
        <v>0.17809879535953696</v>
      </c>
      <c r="R11" s="203">
        <f t="shared" si="6"/>
        <v>2.639562382055753</v>
      </c>
      <c r="S11" s="204">
        <f t="shared" ref="S11:S13" si="14">N11/$N$9*100</f>
        <v>2.9551215848277157</v>
      </c>
      <c r="T11" s="85">
        <f t="shared" si="10"/>
        <v>21.447963800904976</v>
      </c>
      <c r="U11" s="193">
        <f t="shared" si="11"/>
        <v>21.207307386814932</v>
      </c>
      <c r="V11" s="205">
        <f t="shared" si="12"/>
        <v>13.936651583710407</v>
      </c>
      <c r="W11" s="86" t="s">
        <v>8</v>
      </c>
      <c r="X11" s="30"/>
      <c r="Y11" s="30"/>
      <c r="Z11" s="30"/>
      <c r="AA11" s="30"/>
      <c r="AB11" s="30"/>
      <c r="AC11" s="30"/>
      <c r="AD11" s="30"/>
      <c r="AE11" s="30"/>
      <c r="AF11" s="30"/>
      <c r="AG11" s="30"/>
    </row>
    <row r="12" spans="1:33" ht="21" customHeight="1" x14ac:dyDescent="0.55000000000000004">
      <c r="A12" s="30" t="s">
        <v>46</v>
      </c>
      <c r="B12" s="194">
        <v>7284</v>
      </c>
      <c r="C12" s="76">
        <v>5225</v>
      </c>
      <c r="D12" s="76">
        <v>2059</v>
      </c>
      <c r="E12" s="195">
        <f t="shared" si="7"/>
        <v>7264</v>
      </c>
      <c r="F12" s="143">
        <v>5198</v>
      </c>
      <c r="G12" s="143">
        <v>2066</v>
      </c>
      <c r="H12" s="139">
        <f t="shared" si="8"/>
        <v>7255</v>
      </c>
      <c r="I12" s="196">
        <v>5175</v>
      </c>
      <c r="J12" s="197">
        <v>2080</v>
      </c>
      <c r="K12" s="198">
        <f t="shared" si="9"/>
        <v>7218</v>
      </c>
      <c r="L12" s="197">
        <v>5111</v>
      </c>
      <c r="M12" s="199">
        <v>2107</v>
      </c>
      <c r="N12" s="200">
        <f t="shared" si="13"/>
        <v>7200</v>
      </c>
      <c r="O12" s="201">
        <v>5081</v>
      </c>
      <c r="P12" s="201">
        <v>2119</v>
      </c>
      <c r="Q12" s="202">
        <f t="shared" si="5"/>
        <v>17.945927226853339</v>
      </c>
      <c r="R12" s="203">
        <f t="shared" si="6"/>
        <v>17.241955903781381</v>
      </c>
      <c r="S12" s="204">
        <f t="shared" si="14"/>
        <v>16.899821612994085</v>
      </c>
      <c r="T12" s="85">
        <f t="shared" si="10"/>
        <v>29.19091160986423</v>
      </c>
      <c r="U12" s="193">
        <f t="shared" si="11"/>
        <v>29.430555555555554</v>
      </c>
      <c r="V12" s="205">
        <f t="shared" si="12"/>
        <v>-0.24937655860349126</v>
      </c>
      <c r="W12" s="86" t="s">
        <v>10</v>
      </c>
      <c r="X12" s="30"/>
      <c r="Y12" s="30"/>
      <c r="Z12" s="30"/>
      <c r="AA12" s="30"/>
      <c r="AB12" s="30"/>
      <c r="AC12" s="30"/>
      <c r="AD12" s="30"/>
      <c r="AE12" s="30"/>
      <c r="AF12" s="30"/>
      <c r="AG12" s="30"/>
    </row>
    <row r="13" spans="1:33" ht="21" customHeight="1" x14ac:dyDescent="0.25">
      <c r="A13" s="206" t="s">
        <v>49</v>
      </c>
      <c r="B13" s="207">
        <v>16198</v>
      </c>
      <c r="C13" s="89">
        <v>8388</v>
      </c>
      <c r="D13" s="76">
        <v>7810</v>
      </c>
      <c r="E13" s="208">
        <f t="shared" si="7"/>
        <v>16561</v>
      </c>
      <c r="F13" s="209">
        <v>8553</v>
      </c>
      <c r="G13" s="209">
        <v>8008</v>
      </c>
      <c r="H13" s="153">
        <f t="shared" si="8"/>
        <v>16779</v>
      </c>
      <c r="I13" s="210">
        <v>8634</v>
      </c>
      <c r="J13" s="211">
        <v>8145</v>
      </c>
      <c r="K13" s="212">
        <f t="shared" si="9"/>
        <v>17007</v>
      </c>
      <c r="L13" s="211">
        <v>8667</v>
      </c>
      <c r="M13" s="213">
        <v>8340</v>
      </c>
      <c r="N13" s="214">
        <f t="shared" si="13"/>
        <v>17310</v>
      </c>
      <c r="O13" s="215">
        <v>8792</v>
      </c>
      <c r="P13" s="201">
        <v>8518</v>
      </c>
      <c r="Q13" s="216">
        <f t="shared" si="5"/>
        <v>41.504440101912088</v>
      </c>
      <c r="R13" s="217">
        <f t="shared" si="6"/>
        <v>40.625373241287058</v>
      </c>
      <c r="S13" s="218">
        <f t="shared" si="14"/>
        <v>40.629987794573282</v>
      </c>
      <c r="T13" s="98">
        <f t="shared" si="10"/>
        <v>49.03863115187864</v>
      </c>
      <c r="U13" s="219">
        <f t="shared" si="11"/>
        <v>49.208549971114962</v>
      </c>
      <c r="V13" s="220">
        <f t="shared" si="12"/>
        <v>1.7816193332157348</v>
      </c>
      <c r="W13" s="155" t="s">
        <v>60</v>
      </c>
      <c r="X13" s="30"/>
      <c r="Y13" s="30"/>
      <c r="Z13" s="30"/>
      <c r="AA13" s="30"/>
      <c r="AB13" s="30"/>
      <c r="AC13" s="30"/>
      <c r="AD13" s="30"/>
      <c r="AE13" s="30"/>
      <c r="AF13" s="30"/>
      <c r="AG13" s="30"/>
    </row>
    <row r="14" spans="1:33" ht="17.25" customHeight="1" x14ac:dyDescent="0.25">
      <c r="A14" s="221" t="s">
        <v>61</v>
      </c>
      <c r="B14" s="30"/>
      <c r="C14" s="30"/>
      <c r="D14" s="222"/>
      <c r="E14" s="30"/>
      <c r="F14" s="30"/>
      <c r="G14" s="222"/>
      <c r="H14" s="30"/>
      <c r="I14" s="30"/>
      <c r="J14" s="222"/>
      <c r="K14" s="30"/>
      <c r="L14" s="30"/>
      <c r="M14" s="222"/>
      <c r="N14" s="30"/>
      <c r="O14" s="30"/>
      <c r="P14" s="222"/>
      <c r="Q14" s="30"/>
      <c r="R14" s="30"/>
      <c r="S14" s="30"/>
      <c r="T14" s="30"/>
      <c r="U14" s="30"/>
      <c r="V14" s="30"/>
      <c r="W14" s="158"/>
      <c r="X14" s="30"/>
      <c r="Y14" s="30"/>
      <c r="Z14" s="30"/>
      <c r="AA14" s="30"/>
      <c r="AB14" s="30"/>
      <c r="AC14" s="30"/>
      <c r="AD14" s="30"/>
      <c r="AE14" s="30"/>
      <c r="AF14" s="30"/>
      <c r="AG14" s="30"/>
    </row>
    <row r="15" spans="1:33" ht="17.25" customHeight="1" x14ac:dyDescent="0.25">
      <c r="A15" s="101" t="s">
        <v>63</v>
      </c>
      <c r="B15" s="30"/>
      <c r="C15" s="30"/>
      <c r="D15" s="30"/>
      <c r="E15" s="30"/>
      <c r="F15" s="30"/>
      <c r="G15" s="30"/>
      <c r="H15" s="30"/>
      <c r="I15" s="30"/>
      <c r="J15" s="30"/>
      <c r="K15" s="30"/>
      <c r="L15" s="30"/>
      <c r="M15" s="30"/>
      <c r="N15" s="30"/>
      <c r="O15" s="30"/>
      <c r="P15" s="30"/>
      <c r="Q15" s="30"/>
      <c r="R15" s="30"/>
      <c r="S15" s="30"/>
      <c r="T15" s="30"/>
      <c r="U15" s="30"/>
      <c r="V15" s="30"/>
      <c r="W15" s="158"/>
      <c r="X15" s="30"/>
      <c r="Y15" s="30"/>
      <c r="Z15" s="30"/>
      <c r="AA15" s="30"/>
      <c r="AB15" s="30"/>
      <c r="AC15" s="30"/>
      <c r="AD15" s="30"/>
      <c r="AE15" s="30"/>
      <c r="AF15" s="30"/>
      <c r="AG15" s="30"/>
    </row>
    <row r="16" spans="1:33" ht="17.25" customHeight="1" x14ac:dyDescent="0.25">
      <c r="A16" s="101" t="s">
        <v>64</v>
      </c>
      <c r="B16" s="30"/>
      <c r="C16" s="30"/>
      <c r="D16" s="30"/>
      <c r="E16" s="30"/>
      <c r="F16" s="30"/>
      <c r="G16" s="30"/>
      <c r="H16" s="30"/>
      <c r="I16" s="30"/>
      <c r="J16" s="30"/>
      <c r="K16" s="30"/>
      <c r="L16" s="30"/>
      <c r="M16" s="30"/>
      <c r="N16" s="30"/>
      <c r="O16" s="30"/>
      <c r="P16" s="30"/>
      <c r="Q16" s="30"/>
      <c r="R16" s="30"/>
      <c r="S16" s="30"/>
      <c r="T16" s="30"/>
      <c r="U16" s="30"/>
      <c r="V16" s="30"/>
      <c r="W16" s="158"/>
      <c r="X16" s="30"/>
      <c r="Y16" s="30"/>
      <c r="Z16" s="30"/>
      <c r="AA16" s="30"/>
      <c r="AB16" s="30"/>
      <c r="AC16" s="30"/>
      <c r="AD16" s="30"/>
      <c r="AE16" s="30"/>
      <c r="AF16" s="30"/>
      <c r="AG16" s="30"/>
    </row>
    <row r="17" spans="1:33" ht="19.5" customHeight="1" x14ac:dyDescent="0.25">
      <c r="A17" s="101" t="s">
        <v>57</v>
      </c>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row>
    <row r="18" spans="1:33" ht="18" customHeight="1" x14ac:dyDescent="0.25">
      <c r="A18" s="30"/>
      <c r="B18" s="30"/>
      <c r="C18" s="30"/>
      <c r="D18" s="30"/>
      <c r="E18" s="30"/>
      <c r="F18" s="30"/>
      <c r="G18" s="30"/>
      <c r="H18" s="30"/>
      <c r="I18" s="30"/>
      <c r="J18" s="30"/>
      <c r="K18" s="30"/>
      <c r="L18" s="30"/>
      <c r="M18" s="30"/>
      <c r="N18" s="30"/>
      <c r="O18" s="30"/>
      <c r="P18" s="30"/>
      <c r="Q18" s="30"/>
      <c r="R18" s="30"/>
      <c r="S18" s="30"/>
      <c r="T18" s="30"/>
      <c r="U18" s="30"/>
      <c r="V18" s="30"/>
      <c r="W18" s="105" t="s">
        <v>66</v>
      </c>
      <c r="X18" s="106" t="s">
        <v>67</v>
      </c>
      <c r="Z18" s="30"/>
      <c r="AA18" s="30"/>
      <c r="AB18" s="30"/>
      <c r="AC18" s="30"/>
      <c r="AD18" s="30"/>
      <c r="AE18" s="30"/>
      <c r="AF18" s="30"/>
      <c r="AG18" s="30"/>
    </row>
    <row r="19" spans="1:33" ht="18.75" x14ac:dyDescent="0.5">
      <c r="A19" s="30"/>
      <c r="B19" s="30"/>
      <c r="C19" s="30"/>
      <c r="D19" s="30"/>
      <c r="E19" s="30"/>
      <c r="F19" s="30"/>
      <c r="G19" s="30"/>
      <c r="H19" s="30"/>
      <c r="I19" s="30"/>
      <c r="J19" s="30"/>
      <c r="K19" s="30"/>
      <c r="L19" s="30"/>
      <c r="M19" s="30"/>
      <c r="N19" s="30"/>
      <c r="O19" s="30"/>
      <c r="P19" s="30"/>
      <c r="Q19" s="30"/>
      <c r="R19" s="30"/>
      <c r="S19" s="30"/>
      <c r="T19" s="30"/>
      <c r="U19" s="30"/>
      <c r="V19" s="30"/>
      <c r="W19" s="338" t="s">
        <v>58</v>
      </c>
      <c r="X19" s="30"/>
      <c r="Y19" s="30"/>
      <c r="Z19" s="30"/>
      <c r="AA19" s="30"/>
      <c r="AB19" s="30"/>
      <c r="AC19" s="30"/>
      <c r="AD19" s="30"/>
      <c r="AE19" s="30"/>
      <c r="AF19" s="30"/>
      <c r="AG19" s="30"/>
    </row>
    <row r="20" spans="1:33" x14ac:dyDescent="0.25">
      <c r="A20" s="30"/>
      <c r="B20" s="30"/>
      <c r="C20" s="111"/>
      <c r="D20" s="111"/>
      <c r="E20" s="30"/>
      <c r="F20" s="111"/>
      <c r="G20" s="111"/>
      <c r="H20" s="30"/>
      <c r="I20" s="111"/>
      <c r="J20" s="111"/>
      <c r="K20" s="30"/>
      <c r="L20" s="111"/>
      <c r="M20" s="111"/>
      <c r="N20" s="30"/>
      <c r="O20" s="111"/>
      <c r="P20" s="111"/>
      <c r="Q20" s="30"/>
      <c r="R20" s="30"/>
      <c r="S20" s="30"/>
      <c r="T20" s="30"/>
      <c r="U20" s="30"/>
      <c r="V20" s="30"/>
      <c r="W20" s="30"/>
      <c r="X20" s="30"/>
      <c r="Y20" s="30"/>
      <c r="Z20" s="30"/>
      <c r="AA20" s="30"/>
      <c r="AB20" s="30"/>
      <c r="AC20" s="30"/>
      <c r="AD20" s="30"/>
      <c r="AE20" s="30"/>
      <c r="AF20" s="30"/>
      <c r="AG20" s="30"/>
    </row>
    <row r="21" spans="1:33" ht="15.75" customHeight="1" x14ac:dyDescent="0.25">
      <c r="A21" s="30"/>
      <c r="B21" s="30"/>
      <c r="C21" s="111"/>
      <c r="D21" s="111"/>
      <c r="E21" s="30"/>
      <c r="F21" s="111"/>
      <c r="G21" s="111"/>
      <c r="H21" s="30"/>
      <c r="I21" s="111"/>
      <c r="J21" s="111"/>
      <c r="K21" s="30"/>
      <c r="L21" s="111"/>
      <c r="M21" s="111"/>
      <c r="N21" s="30"/>
      <c r="O21" s="111"/>
      <c r="P21" s="111"/>
      <c r="Q21" s="30"/>
      <c r="R21" s="30"/>
      <c r="S21" s="30"/>
      <c r="T21" s="30"/>
      <c r="U21" s="30"/>
      <c r="V21" s="30"/>
      <c r="W21" s="30"/>
      <c r="X21" s="30"/>
      <c r="Y21" s="30"/>
      <c r="Z21" s="30"/>
      <c r="AA21" s="30"/>
      <c r="AB21" s="30"/>
      <c r="AC21" s="30"/>
      <c r="AD21" s="30"/>
      <c r="AE21" s="30"/>
      <c r="AF21" s="30"/>
      <c r="AG21" s="30"/>
    </row>
    <row r="22" spans="1:33" ht="15.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row>
    <row r="23" spans="1:33"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t="s">
        <v>72</v>
      </c>
      <c r="AG23" s="30"/>
    </row>
    <row r="24" spans="1:33" ht="15.7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row>
    <row r="25" spans="1:33"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t="str">
        <f t="shared" ref="AF25:AG25" si="15">I8</f>
        <v>Male</v>
      </c>
      <c r="AG25" s="30" t="str">
        <f t="shared" si="15"/>
        <v>Female</v>
      </c>
    </row>
    <row r="26" spans="1:33"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t="s">
        <v>30</v>
      </c>
      <c r="AF26" s="76">
        <f>O10</f>
        <v>8446</v>
      </c>
      <c r="AG26" s="76">
        <f>P10</f>
        <v>8389</v>
      </c>
    </row>
    <row r="27" spans="1:33"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t="s">
        <v>41</v>
      </c>
      <c r="AF27" s="76">
        <f t="shared" ref="AF27:AG29" si="16">O11</f>
        <v>992</v>
      </c>
      <c r="AG27" s="76">
        <f t="shared" si="16"/>
        <v>267</v>
      </c>
    </row>
    <row r="28" spans="1:33"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t="s">
        <v>46</v>
      </c>
      <c r="AF28" s="76">
        <f t="shared" si="16"/>
        <v>5081</v>
      </c>
      <c r="AG28" s="76">
        <f t="shared" si="16"/>
        <v>2119</v>
      </c>
    </row>
    <row r="29" spans="1:33"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88" t="s">
        <v>73</v>
      </c>
      <c r="AF29" s="76">
        <f t="shared" si="16"/>
        <v>8792</v>
      </c>
      <c r="AG29" s="76">
        <f t="shared" si="16"/>
        <v>8518</v>
      </c>
    </row>
    <row r="30" spans="1:33"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106"/>
      <c r="AA30" s="30"/>
      <c r="AB30" s="30"/>
      <c r="AC30" s="30"/>
      <c r="AD30" s="30"/>
      <c r="AE30" s="30"/>
      <c r="AF30" s="30"/>
      <c r="AG30" s="30"/>
    </row>
    <row r="31" spans="1:33"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row>
    <row r="32" spans="1:33"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row>
    <row r="33" spans="1:33"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row>
    <row r="34" spans="1:33"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row>
    <row r="35" spans="1:33"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row>
    <row r="36" spans="1:33"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row>
    <row r="37" spans="1:33"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row>
    <row r="38" spans="1:33"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row>
    <row r="39" spans="1:33"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row>
    <row r="40" spans="1:33"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spans="1:33"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spans="1:33"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row>
    <row r="43" spans="1:33"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row>
    <row r="44" spans="1:33"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row>
    <row r="45" spans="1:33"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row>
    <row r="46" spans="1:33"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row>
    <row r="47" spans="1:33"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row>
    <row r="48" spans="1:33"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row>
    <row r="49" spans="1:33"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row>
    <row r="50" spans="1:33"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row>
    <row r="51" spans="1:33"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row>
    <row r="52" spans="1:33"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row>
    <row r="53" spans="1:33" ht="15.7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row>
    <row r="54" spans="1:33"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row>
    <row r="55" spans="1:33" ht="15.7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row>
    <row r="56" spans="1:33" ht="15.7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row>
    <row r="57" spans="1:33" ht="15.7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row>
    <row r="58" spans="1:33" ht="15.7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row>
    <row r="59" spans="1:33" ht="15.7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row>
    <row r="60" spans="1:33" ht="15.7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row r="61" spans="1:33"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row>
    <row r="62" spans="1:33" ht="15.7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row>
    <row r="63" spans="1:33" ht="15.7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row>
    <row r="64" spans="1:33" ht="15.7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row>
    <row r="65" spans="1:33" ht="15.7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row>
    <row r="66" spans="1:33" ht="15.7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row>
    <row r="67" spans="1:33" ht="15.7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row>
    <row r="68" spans="1:33" ht="15.7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row>
    <row r="69" spans="1:33" ht="15.7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row>
    <row r="70" spans="1:33" ht="15.7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row>
    <row r="71" spans="1:33" ht="15.7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row>
    <row r="72" spans="1:33" ht="15.7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row>
    <row r="73" spans="1:33" ht="15.7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row>
    <row r="74" spans="1:33" ht="15.7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row>
    <row r="75" spans="1:33" ht="15.7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row>
    <row r="76" spans="1:33" ht="15.7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row>
    <row r="77" spans="1:33" ht="15.7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row>
    <row r="78" spans="1:33" ht="15.7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row>
  </sheetData>
  <mergeCells count="15">
    <mergeCell ref="A2:W2"/>
    <mergeCell ref="A3:W3"/>
    <mergeCell ref="B6:D6"/>
    <mergeCell ref="A5:A8"/>
    <mergeCell ref="T7:U7"/>
    <mergeCell ref="Q7:S7"/>
    <mergeCell ref="H6:J6"/>
    <mergeCell ref="K6:M6"/>
    <mergeCell ref="N6:P6"/>
    <mergeCell ref="E6:G6"/>
    <mergeCell ref="H5:P5"/>
    <mergeCell ref="Q5:S6"/>
    <mergeCell ref="T5:U6"/>
    <mergeCell ref="V5:V6"/>
    <mergeCell ref="W5:W8"/>
  </mergeCells>
  <pageMargins left="0.7" right="0.7" top="0.75" bottom="0.75" header="0" footer="0"/>
  <pageSetup paperSize="9" scale="76"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S89"/>
  <sheetViews>
    <sheetView zoomScaleNormal="100" workbookViewId="0">
      <selection activeCell="S32" sqref="S32"/>
    </sheetView>
  </sheetViews>
  <sheetFormatPr defaultColWidth="14.42578125" defaultRowHeight="15" customHeight="1" x14ac:dyDescent="0.25"/>
  <cols>
    <col min="1" max="1" width="11.85546875" style="31" customWidth="1"/>
    <col min="2" max="4" width="11" style="31" hidden="1" customWidth="1"/>
    <col min="5" max="5" width="1.5703125" style="31" hidden="1" customWidth="1"/>
    <col min="6" max="13" width="11" style="31" customWidth="1"/>
    <col min="14" max="14" width="14.5703125" style="31" customWidth="1"/>
    <col min="15" max="15" width="3.28515625" style="31" customWidth="1"/>
    <col min="16" max="40" width="8" style="31" customWidth="1"/>
    <col min="41" max="43" width="12.7109375" style="31" customWidth="1"/>
    <col min="44" max="44" width="8" style="31" customWidth="1"/>
    <col min="45" max="45" width="15.140625" style="31" customWidth="1"/>
    <col min="46" max="16384" width="14.42578125" style="31"/>
  </cols>
  <sheetData>
    <row r="1" spans="1:45" x14ac:dyDescent="0.25">
      <c r="A1" s="30"/>
      <c r="B1" s="30"/>
      <c r="C1" s="30"/>
      <c r="D1" s="30"/>
      <c r="E1" s="30"/>
      <c r="F1" s="30"/>
      <c r="G1" s="30"/>
      <c r="H1" s="30"/>
      <c r="I1" s="30"/>
      <c r="J1" s="30"/>
      <c r="K1" s="30"/>
      <c r="L1" s="30"/>
      <c r="M1" s="30"/>
      <c r="N1" s="30"/>
      <c r="O1" s="30"/>
      <c r="P1" s="30"/>
      <c r="Q1" s="30"/>
      <c r="R1" s="30"/>
      <c r="S1" s="30"/>
      <c r="T1" s="114"/>
      <c r="U1" s="114"/>
      <c r="V1" s="114"/>
      <c r="W1" s="114"/>
      <c r="X1" s="114"/>
      <c r="Y1" s="114"/>
      <c r="Z1" s="114"/>
      <c r="AA1" s="114"/>
      <c r="AB1" s="114"/>
      <c r="AC1" s="114"/>
      <c r="AD1" s="114"/>
      <c r="AE1" s="114"/>
      <c r="AF1" s="114"/>
      <c r="AG1" s="114"/>
      <c r="AH1" s="114"/>
      <c r="AI1" s="30"/>
      <c r="AJ1" s="30"/>
      <c r="AK1" s="30"/>
      <c r="AL1" s="30"/>
      <c r="AM1" s="30"/>
      <c r="AN1" s="30"/>
      <c r="AO1" s="30"/>
      <c r="AP1" s="30"/>
      <c r="AQ1" s="30"/>
      <c r="AR1" s="30"/>
      <c r="AS1" s="30"/>
    </row>
    <row r="2" spans="1:45" ht="16.5" customHeight="1" x14ac:dyDescent="0.25">
      <c r="A2" s="730" t="s">
        <v>255</v>
      </c>
      <c r="B2" s="699"/>
      <c r="C2" s="699"/>
      <c r="D2" s="699"/>
      <c r="E2" s="699"/>
      <c r="F2" s="699"/>
      <c r="G2" s="699"/>
      <c r="H2" s="699"/>
      <c r="I2" s="699"/>
      <c r="J2" s="699"/>
      <c r="K2" s="699"/>
      <c r="L2" s="699"/>
      <c r="M2" s="699"/>
      <c r="N2" s="700"/>
      <c r="O2" s="30"/>
      <c r="P2" s="30"/>
      <c r="Q2" s="30"/>
      <c r="R2" s="30"/>
      <c r="S2" s="30"/>
      <c r="T2" s="114"/>
      <c r="U2" s="114"/>
      <c r="V2" s="114"/>
      <c r="W2" s="114"/>
      <c r="X2" s="114"/>
      <c r="Y2" s="114"/>
      <c r="Z2" s="114"/>
      <c r="AA2" s="114"/>
      <c r="AB2" s="114"/>
      <c r="AC2" s="114"/>
      <c r="AD2" s="114"/>
      <c r="AE2" s="114"/>
      <c r="AF2" s="114"/>
      <c r="AG2" s="114"/>
      <c r="AH2" s="114"/>
      <c r="AI2" s="30"/>
      <c r="AJ2" s="30"/>
      <c r="AK2" s="30"/>
      <c r="AL2" s="30"/>
      <c r="AM2" s="30"/>
      <c r="AN2" s="30"/>
      <c r="AO2" s="30"/>
      <c r="AP2" s="30"/>
      <c r="AQ2" s="30"/>
      <c r="AR2" s="30"/>
      <c r="AS2" s="30"/>
    </row>
    <row r="3" spans="1:45" ht="14.25" customHeight="1" x14ac:dyDescent="0.25">
      <c r="A3" s="739" t="s">
        <v>256</v>
      </c>
      <c r="B3" s="699"/>
      <c r="C3" s="699"/>
      <c r="D3" s="699"/>
      <c r="E3" s="699"/>
      <c r="F3" s="699"/>
      <c r="G3" s="699"/>
      <c r="H3" s="699"/>
      <c r="I3" s="699"/>
      <c r="J3" s="699"/>
      <c r="K3" s="699"/>
      <c r="L3" s="699"/>
      <c r="M3" s="699"/>
      <c r="N3" s="700"/>
      <c r="O3" s="30"/>
      <c r="P3" s="30"/>
      <c r="Q3" s="30"/>
      <c r="R3" s="30"/>
      <c r="S3" s="30"/>
      <c r="T3" s="114"/>
      <c r="U3" s="114"/>
      <c r="V3" s="114"/>
      <c r="W3" s="114"/>
      <c r="X3" s="114"/>
      <c r="Y3" s="114"/>
      <c r="Z3" s="114"/>
      <c r="AA3" s="114"/>
      <c r="AB3" s="114"/>
      <c r="AC3" s="114"/>
      <c r="AD3" s="114"/>
      <c r="AE3" s="114"/>
      <c r="AF3" s="114"/>
      <c r="AG3" s="114"/>
      <c r="AH3" s="114"/>
      <c r="AI3" s="30"/>
      <c r="AJ3" s="30"/>
      <c r="AK3" s="30"/>
      <c r="AL3" s="30"/>
      <c r="AM3" s="30"/>
      <c r="AN3" s="30"/>
      <c r="AO3" s="30"/>
      <c r="AP3" s="30"/>
      <c r="AQ3" s="30"/>
      <c r="AR3" s="30"/>
      <c r="AS3" s="30"/>
    </row>
    <row r="4" spans="1:45" ht="6.75" customHeight="1" x14ac:dyDescent="0.25">
      <c r="A4" s="30"/>
      <c r="B4" s="30"/>
      <c r="C4" s="30"/>
      <c r="D4" s="30"/>
      <c r="E4" s="30"/>
      <c r="F4" s="30"/>
      <c r="G4" s="30"/>
      <c r="H4" s="30"/>
      <c r="I4" s="30"/>
      <c r="J4" s="30"/>
      <c r="K4" s="30"/>
      <c r="L4" s="30"/>
      <c r="M4" s="30"/>
      <c r="N4" s="30"/>
      <c r="O4" s="30"/>
      <c r="P4" s="30"/>
      <c r="Q4" s="30"/>
      <c r="R4" s="30"/>
      <c r="S4" s="30"/>
      <c r="T4" s="114"/>
      <c r="U4" s="114"/>
      <c r="V4" s="114"/>
      <c r="W4" s="114"/>
      <c r="X4" s="114"/>
      <c r="Y4" s="114"/>
      <c r="Z4" s="114"/>
      <c r="AA4" s="114"/>
      <c r="AB4" s="114"/>
      <c r="AC4" s="114"/>
      <c r="AD4" s="114"/>
      <c r="AE4" s="114"/>
      <c r="AF4" s="114"/>
      <c r="AG4" s="114"/>
      <c r="AH4" s="114"/>
      <c r="AI4" s="30"/>
      <c r="AJ4" s="30"/>
      <c r="AK4" s="30"/>
      <c r="AL4" s="30"/>
      <c r="AM4" s="30"/>
      <c r="AN4" s="30"/>
      <c r="AO4" s="30"/>
      <c r="AP4" s="30"/>
      <c r="AQ4" s="30"/>
      <c r="AR4" s="30"/>
      <c r="AS4" s="30"/>
    </row>
    <row r="5" spans="1:45" ht="21" customHeight="1" x14ac:dyDescent="0.55000000000000004">
      <c r="A5" s="773" t="s">
        <v>6</v>
      </c>
      <c r="B5" s="778" t="s">
        <v>81</v>
      </c>
      <c r="C5" s="778"/>
      <c r="D5" s="778"/>
      <c r="E5" s="778"/>
      <c r="F5" s="778"/>
      <c r="G5" s="778"/>
      <c r="H5" s="778"/>
      <c r="I5" s="778"/>
      <c r="J5" s="778"/>
      <c r="K5" s="778"/>
      <c r="L5" s="778"/>
      <c r="M5" s="778"/>
      <c r="N5" s="714" t="s">
        <v>12</v>
      </c>
      <c r="O5" s="30"/>
      <c r="P5" s="30"/>
      <c r="Q5" s="30"/>
      <c r="R5" s="30"/>
      <c r="S5" s="30"/>
      <c r="T5" s="114"/>
      <c r="U5" s="114"/>
      <c r="V5" s="114"/>
      <c r="W5" s="114"/>
      <c r="X5" s="114"/>
      <c r="Y5" s="114"/>
      <c r="Z5" s="114"/>
      <c r="AA5" s="114"/>
      <c r="AB5" s="114"/>
      <c r="AC5" s="114"/>
      <c r="AD5" s="114"/>
      <c r="AE5" s="114"/>
      <c r="AF5" s="114"/>
      <c r="AG5" s="114"/>
      <c r="AH5" s="114"/>
      <c r="AI5" s="30"/>
      <c r="AJ5" s="30"/>
      <c r="AK5" s="30"/>
      <c r="AL5" s="30"/>
      <c r="AM5" s="30"/>
      <c r="AN5" s="30"/>
      <c r="AO5" s="30"/>
      <c r="AP5" s="30"/>
      <c r="AQ5" s="30"/>
      <c r="AR5" s="30"/>
      <c r="AS5" s="30"/>
    </row>
    <row r="6" spans="1:45" x14ac:dyDescent="0.25">
      <c r="A6" s="774"/>
      <c r="B6" s="758">
        <v>2016</v>
      </c>
      <c r="C6" s="705"/>
      <c r="D6" s="705"/>
      <c r="E6" s="702"/>
      <c r="F6" s="776">
        <v>2017</v>
      </c>
      <c r="G6" s="702"/>
      <c r="H6" s="702"/>
      <c r="I6" s="703"/>
      <c r="J6" s="777">
        <v>2018</v>
      </c>
      <c r="K6" s="705"/>
      <c r="L6" s="705"/>
      <c r="M6" s="717"/>
      <c r="N6" s="715"/>
      <c r="O6" s="30"/>
      <c r="P6" s="30"/>
      <c r="Q6" s="228"/>
      <c r="R6" s="30"/>
      <c r="S6" s="30"/>
      <c r="T6" s="114"/>
      <c r="U6" s="114"/>
      <c r="V6" s="114"/>
      <c r="W6" s="114"/>
      <c r="X6" s="114"/>
      <c r="Y6" s="114"/>
      <c r="Z6" s="114"/>
      <c r="AA6" s="114"/>
      <c r="AB6" s="114"/>
      <c r="AC6" s="114"/>
      <c r="AD6" s="114"/>
      <c r="AE6" s="114"/>
      <c r="AF6" s="114"/>
      <c r="AG6" s="114"/>
      <c r="AH6" s="114"/>
      <c r="AI6" s="30"/>
      <c r="AJ6" s="30"/>
      <c r="AK6" s="30"/>
      <c r="AL6" s="30"/>
      <c r="AM6" s="30"/>
      <c r="AN6" s="30"/>
      <c r="AO6" s="30"/>
      <c r="AP6" s="30"/>
      <c r="AQ6" s="30"/>
      <c r="AR6" s="30"/>
      <c r="AS6" s="30"/>
    </row>
    <row r="7" spans="1:45" x14ac:dyDescent="0.25">
      <c r="A7" s="775"/>
      <c r="B7" s="55" t="s">
        <v>23</v>
      </c>
      <c r="C7" s="55" t="s">
        <v>82</v>
      </c>
      <c r="D7" s="55" t="s">
        <v>83</v>
      </c>
      <c r="E7" s="229" t="s">
        <v>84</v>
      </c>
      <c r="F7" s="57" t="s">
        <v>23</v>
      </c>
      <c r="G7" s="57" t="s">
        <v>82</v>
      </c>
      <c r="H7" s="57" t="s">
        <v>83</v>
      </c>
      <c r="I7" s="60" t="s">
        <v>84</v>
      </c>
      <c r="J7" s="58" t="s">
        <v>23</v>
      </c>
      <c r="K7" s="55" t="s">
        <v>82</v>
      </c>
      <c r="L7" s="55" t="s">
        <v>83</v>
      </c>
      <c r="M7" s="229" t="s">
        <v>84</v>
      </c>
      <c r="N7" s="716"/>
      <c r="O7" s="30"/>
      <c r="P7" s="30"/>
      <c r="Q7" s="228"/>
      <c r="R7" s="30"/>
      <c r="S7" s="30"/>
      <c r="T7" s="114"/>
      <c r="U7" s="114"/>
      <c r="V7" s="114"/>
      <c r="W7" s="114"/>
      <c r="X7" s="114"/>
      <c r="Y7" s="114"/>
      <c r="Z7" s="114"/>
      <c r="AA7" s="114"/>
      <c r="AB7" s="114"/>
      <c r="AC7" s="114"/>
      <c r="AD7" s="114"/>
      <c r="AE7" s="114"/>
      <c r="AF7" s="114"/>
      <c r="AG7" s="114"/>
      <c r="AH7" s="114"/>
      <c r="AI7" s="30"/>
      <c r="AJ7" s="30"/>
      <c r="AK7" s="30"/>
      <c r="AL7" s="30"/>
      <c r="AM7" s="30"/>
      <c r="AN7" s="30"/>
      <c r="AO7" s="30"/>
      <c r="AP7" s="30"/>
      <c r="AQ7" s="30"/>
      <c r="AR7" s="30"/>
      <c r="AS7" s="30"/>
    </row>
    <row r="8" spans="1:45" ht="24.75" customHeight="1" x14ac:dyDescent="0.25">
      <c r="A8" s="275" t="s">
        <v>27</v>
      </c>
      <c r="B8" s="134">
        <f t="shared" ref="B8:B19" si="0">SUM(C8:E8)</f>
        <v>16322</v>
      </c>
      <c r="C8" s="134">
        <v>4168</v>
      </c>
      <c r="D8" s="134">
        <v>4506</v>
      </c>
      <c r="E8" s="236">
        <v>7648</v>
      </c>
      <c r="F8" s="236">
        <f t="shared" ref="F8:F19" si="1">SUM(G8:I8)</f>
        <v>16402</v>
      </c>
      <c r="G8" s="236">
        <v>4331</v>
      </c>
      <c r="H8" s="236">
        <v>4260</v>
      </c>
      <c r="I8" s="238">
        <v>7811</v>
      </c>
      <c r="J8" s="136">
        <f t="shared" ref="J8:J19" si="2">SUM(K8:M8)</f>
        <v>16777</v>
      </c>
      <c r="K8" s="135">
        <v>4601</v>
      </c>
      <c r="L8" s="135">
        <v>4123</v>
      </c>
      <c r="M8" s="135">
        <v>8053</v>
      </c>
      <c r="N8" s="141" t="s">
        <v>28</v>
      </c>
      <c r="O8" s="30"/>
      <c r="P8" s="30"/>
      <c r="Q8" s="228"/>
      <c r="R8" s="30"/>
      <c r="S8" s="30"/>
      <c r="T8" s="114"/>
      <c r="U8" s="114"/>
      <c r="V8" s="114"/>
      <c r="W8" s="114"/>
      <c r="X8" s="114"/>
      <c r="Y8" s="114"/>
      <c r="Z8" s="114"/>
      <c r="AA8" s="114"/>
      <c r="AB8" s="114"/>
      <c r="AC8" s="114"/>
      <c r="AD8" s="114"/>
      <c r="AE8" s="114"/>
      <c r="AF8" s="114"/>
      <c r="AG8" s="114"/>
      <c r="AH8" s="114"/>
      <c r="AI8" s="30"/>
      <c r="AJ8" s="30"/>
      <c r="AK8" s="30"/>
      <c r="AL8" s="30"/>
      <c r="AM8" s="30"/>
      <c r="AN8" s="30"/>
      <c r="AO8" s="30"/>
      <c r="AP8" s="30"/>
      <c r="AQ8" s="30"/>
      <c r="AR8" s="30"/>
      <c r="AS8" s="30"/>
    </row>
    <row r="9" spans="1:45" ht="24.75" customHeight="1" x14ac:dyDescent="0.25">
      <c r="A9" s="275" t="s">
        <v>29</v>
      </c>
      <c r="B9" s="134">
        <f t="shared" si="0"/>
        <v>16412</v>
      </c>
      <c r="C9" s="134">
        <v>4267</v>
      </c>
      <c r="D9" s="134">
        <v>4507</v>
      </c>
      <c r="E9" s="236">
        <v>7638</v>
      </c>
      <c r="F9" s="236">
        <f t="shared" si="1"/>
        <v>16448</v>
      </c>
      <c r="G9" s="236">
        <v>4374</v>
      </c>
      <c r="H9" s="236">
        <v>4252</v>
      </c>
      <c r="I9" s="238">
        <v>7822</v>
      </c>
      <c r="J9" s="136">
        <f t="shared" si="2"/>
        <v>16856</v>
      </c>
      <c r="K9" s="135">
        <v>4704</v>
      </c>
      <c r="L9" s="135">
        <v>4123</v>
      </c>
      <c r="M9" s="135">
        <v>8029</v>
      </c>
      <c r="N9" s="141" t="s">
        <v>31</v>
      </c>
      <c r="O9" s="30"/>
      <c r="P9" s="30"/>
      <c r="Q9" s="228"/>
      <c r="R9" s="30"/>
      <c r="S9" s="30"/>
      <c r="T9" s="114"/>
      <c r="U9" s="114"/>
      <c r="V9" s="114"/>
      <c r="W9" s="114"/>
      <c r="X9" s="114"/>
      <c r="Y9" s="114"/>
      <c r="Z9" s="114"/>
      <c r="AA9" s="114"/>
      <c r="AB9" s="114"/>
      <c r="AC9" s="114"/>
      <c r="AD9" s="114"/>
      <c r="AE9" s="114"/>
      <c r="AF9" s="114"/>
      <c r="AG9" s="114"/>
      <c r="AH9" s="114"/>
      <c r="AI9" s="30"/>
      <c r="AJ9" s="30"/>
      <c r="AK9" s="30"/>
      <c r="AL9" s="30"/>
      <c r="AM9" s="30"/>
      <c r="AN9" s="30"/>
      <c r="AO9" s="30"/>
      <c r="AP9" s="30"/>
      <c r="AQ9" s="30"/>
      <c r="AR9" s="30"/>
      <c r="AS9" s="30"/>
    </row>
    <row r="10" spans="1:45" ht="24.75" customHeight="1" x14ac:dyDescent="0.25">
      <c r="A10" s="275" t="s">
        <v>32</v>
      </c>
      <c r="B10" s="134">
        <f t="shared" si="0"/>
        <v>16394</v>
      </c>
      <c r="C10" s="134">
        <v>4285</v>
      </c>
      <c r="D10" s="134">
        <v>4538</v>
      </c>
      <c r="E10" s="236">
        <v>7571</v>
      </c>
      <c r="F10" s="236">
        <f t="shared" si="1"/>
        <v>16387</v>
      </c>
      <c r="G10" s="236">
        <v>4419</v>
      </c>
      <c r="H10" s="236">
        <v>4221</v>
      </c>
      <c r="I10" s="238">
        <v>7747</v>
      </c>
      <c r="J10" s="136">
        <f t="shared" si="2"/>
        <v>16872</v>
      </c>
      <c r="K10" s="135">
        <v>4789</v>
      </c>
      <c r="L10" s="135">
        <v>4113</v>
      </c>
      <c r="M10" s="135">
        <v>7970</v>
      </c>
      <c r="N10" s="141" t="s">
        <v>33</v>
      </c>
      <c r="O10" s="30"/>
      <c r="P10" s="30"/>
      <c r="Q10" s="228"/>
      <c r="R10" s="30"/>
      <c r="S10" s="30"/>
      <c r="T10" s="114"/>
      <c r="U10" s="114"/>
      <c r="V10" s="114"/>
      <c r="W10" s="114"/>
      <c r="X10" s="114"/>
      <c r="Y10" s="114"/>
      <c r="Z10" s="114"/>
      <c r="AA10" s="114"/>
      <c r="AB10" s="114"/>
      <c r="AC10" s="114"/>
      <c r="AD10" s="114"/>
      <c r="AE10" s="114"/>
      <c r="AF10" s="114"/>
      <c r="AG10" s="114"/>
      <c r="AH10" s="114"/>
      <c r="AI10" s="30"/>
      <c r="AJ10" s="30"/>
      <c r="AK10" s="30"/>
      <c r="AL10" s="30"/>
      <c r="AM10" s="30"/>
      <c r="AN10" s="30"/>
      <c r="AO10" s="30"/>
      <c r="AP10" s="30"/>
      <c r="AQ10" s="30"/>
      <c r="AR10" s="30"/>
      <c r="AS10" s="30"/>
    </row>
    <row r="11" spans="1:45" ht="24.75" customHeight="1" x14ac:dyDescent="0.25">
      <c r="A11" s="275" t="s">
        <v>34</v>
      </c>
      <c r="B11" s="134">
        <f t="shared" si="0"/>
        <v>16401</v>
      </c>
      <c r="C11" s="134">
        <v>4323</v>
      </c>
      <c r="D11" s="134">
        <v>4497</v>
      </c>
      <c r="E11" s="236">
        <v>7581</v>
      </c>
      <c r="F11" s="236">
        <f t="shared" si="1"/>
        <v>16481</v>
      </c>
      <c r="G11" s="236">
        <v>4512</v>
      </c>
      <c r="H11" s="236">
        <v>4202</v>
      </c>
      <c r="I11" s="238">
        <v>7767</v>
      </c>
      <c r="J11" s="136">
        <f t="shared" si="2"/>
        <v>16894</v>
      </c>
      <c r="K11" s="135">
        <v>4808</v>
      </c>
      <c r="L11" s="135">
        <v>4095</v>
      </c>
      <c r="M11" s="135">
        <v>7991</v>
      </c>
      <c r="N11" s="141" t="s">
        <v>35</v>
      </c>
      <c r="O11" s="30"/>
      <c r="P11" s="30"/>
      <c r="Q11" s="228"/>
      <c r="R11" s="30"/>
      <c r="S11" s="30"/>
      <c r="T11" s="114"/>
      <c r="U11" s="114"/>
      <c r="V11" s="114"/>
      <c r="W11" s="114"/>
      <c r="X11" s="114"/>
      <c r="Y11" s="114"/>
      <c r="Z11" s="114"/>
      <c r="AA11" s="114"/>
      <c r="AB11" s="114"/>
      <c r="AC11" s="114"/>
      <c r="AD11" s="114"/>
      <c r="AE11" s="114"/>
      <c r="AF11" s="114"/>
      <c r="AG11" s="114"/>
      <c r="AH11" s="114"/>
      <c r="AI11" s="30"/>
      <c r="AJ11" s="30"/>
      <c r="AK11" s="30"/>
      <c r="AL11" s="30"/>
      <c r="AM11" s="30"/>
      <c r="AN11" s="30"/>
      <c r="AO11" s="30"/>
      <c r="AP11" s="30"/>
      <c r="AQ11" s="30"/>
      <c r="AR11" s="30"/>
      <c r="AS11" s="30"/>
    </row>
    <row r="12" spans="1:45" ht="24.75" customHeight="1" x14ac:dyDescent="0.25">
      <c r="A12" s="275" t="s">
        <v>36</v>
      </c>
      <c r="B12" s="134">
        <f t="shared" si="0"/>
        <v>16434</v>
      </c>
      <c r="C12" s="134">
        <v>4340</v>
      </c>
      <c r="D12" s="134">
        <v>4532</v>
      </c>
      <c r="E12" s="236">
        <v>7562</v>
      </c>
      <c r="F12" s="236">
        <f t="shared" si="1"/>
        <v>16533</v>
      </c>
      <c r="G12" s="236">
        <v>4578</v>
      </c>
      <c r="H12" s="236">
        <v>4246</v>
      </c>
      <c r="I12" s="238">
        <v>7709</v>
      </c>
      <c r="J12" s="136">
        <f t="shared" si="2"/>
        <v>16865</v>
      </c>
      <c r="K12" s="135">
        <v>4873</v>
      </c>
      <c r="L12" s="135">
        <v>4086</v>
      </c>
      <c r="M12" s="135">
        <v>7906</v>
      </c>
      <c r="N12" s="141" t="s">
        <v>37</v>
      </c>
      <c r="O12" s="30"/>
      <c r="P12" s="30"/>
      <c r="Q12" s="228"/>
      <c r="R12" s="30"/>
      <c r="S12" s="30"/>
      <c r="T12" s="114"/>
      <c r="U12" s="114"/>
      <c r="V12" s="114"/>
      <c r="W12" s="114"/>
      <c r="X12" s="114"/>
      <c r="Y12" s="114"/>
      <c r="Z12" s="114"/>
      <c r="AA12" s="114"/>
      <c r="AB12" s="114"/>
      <c r="AC12" s="114"/>
      <c r="AD12" s="114"/>
      <c r="AE12" s="114"/>
      <c r="AF12" s="114"/>
      <c r="AG12" s="114"/>
      <c r="AH12" s="114"/>
      <c r="AI12" s="30"/>
      <c r="AJ12" s="30"/>
      <c r="AK12" s="30"/>
      <c r="AL12" s="30"/>
      <c r="AM12" s="30"/>
      <c r="AN12" s="30"/>
      <c r="AO12" s="30"/>
      <c r="AP12" s="30"/>
      <c r="AQ12" s="30"/>
      <c r="AR12" s="30"/>
      <c r="AS12" s="30"/>
    </row>
    <row r="13" spans="1:45" ht="24.75" customHeight="1" x14ac:dyDescent="0.25">
      <c r="A13" s="275" t="s">
        <v>38</v>
      </c>
      <c r="B13" s="134">
        <f t="shared" si="0"/>
        <v>16370</v>
      </c>
      <c r="C13" s="134">
        <v>4361</v>
      </c>
      <c r="D13" s="134">
        <v>4501</v>
      </c>
      <c r="E13" s="236">
        <v>7508</v>
      </c>
      <c r="F13" s="236">
        <f t="shared" si="1"/>
        <v>16557</v>
      </c>
      <c r="G13" s="236">
        <v>4621</v>
      </c>
      <c r="H13" s="236">
        <v>4207</v>
      </c>
      <c r="I13" s="238">
        <v>7729</v>
      </c>
      <c r="J13" s="136">
        <f t="shared" si="2"/>
        <v>16861</v>
      </c>
      <c r="K13" s="135">
        <v>4882</v>
      </c>
      <c r="L13" s="135">
        <v>4098</v>
      </c>
      <c r="M13" s="135">
        <v>7881</v>
      </c>
      <c r="N13" s="141" t="s">
        <v>39</v>
      </c>
      <c r="O13" s="30"/>
      <c r="P13" s="30"/>
      <c r="Q13" s="228"/>
      <c r="R13" s="30"/>
      <c r="S13" s="30"/>
      <c r="T13" s="114"/>
      <c r="U13" s="114"/>
      <c r="V13" s="114"/>
      <c r="W13" s="114"/>
      <c r="X13" s="114"/>
      <c r="Y13" s="114"/>
      <c r="Z13" s="114"/>
      <c r="AA13" s="114"/>
      <c r="AB13" s="114"/>
      <c r="AC13" s="114"/>
      <c r="AD13" s="114"/>
      <c r="AE13" s="114"/>
      <c r="AF13" s="114"/>
      <c r="AG13" s="114"/>
      <c r="AH13" s="114"/>
      <c r="AI13" s="30"/>
      <c r="AJ13" s="166"/>
      <c r="AK13" s="166"/>
      <c r="AL13" s="166"/>
      <c r="AM13" s="166"/>
      <c r="AN13" s="166"/>
      <c r="AO13" s="166"/>
      <c r="AP13" s="166"/>
      <c r="AQ13" s="30"/>
      <c r="AR13" s="30"/>
      <c r="AS13" s="30"/>
    </row>
    <row r="14" spans="1:45" ht="24.75" customHeight="1" x14ac:dyDescent="0.25">
      <c r="A14" s="275" t="s">
        <v>40</v>
      </c>
      <c r="B14" s="134">
        <f t="shared" si="0"/>
        <v>16368</v>
      </c>
      <c r="C14" s="134">
        <v>4376</v>
      </c>
      <c r="D14" s="134">
        <v>4510</v>
      </c>
      <c r="E14" s="236">
        <v>7482</v>
      </c>
      <c r="F14" s="236">
        <f t="shared" si="1"/>
        <v>16549</v>
      </c>
      <c r="G14" s="236">
        <v>4675</v>
      </c>
      <c r="H14" s="236">
        <v>4219</v>
      </c>
      <c r="I14" s="238">
        <v>7655</v>
      </c>
      <c r="J14" s="136">
        <f t="shared" si="2"/>
        <v>16881</v>
      </c>
      <c r="K14" s="135">
        <v>4972</v>
      </c>
      <c r="L14" s="135">
        <v>4088</v>
      </c>
      <c r="M14" s="135">
        <v>7821</v>
      </c>
      <c r="N14" s="141" t="s">
        <v>42</v>
      </c>
      <c r="O14" s="30"/>
      <c r="P14" s="30"/>
      <c r="Q14" s="228"/>
      <c r="R14" s="30"/>
      <c r="S14" s="30"/>
      <c r="T14" s="114"/>
      <c r="U14" s="114"/>
      <c r="V14" s="114"/>
      <c r="W14" s="114"/>
      <c r="X14" s="114"/>
      <c r="Y14" s="114"/>
      <c r="Z14" s="114"/>
      <c r="AA14" s="114"/>
      <c r="AB14" s="114"/>
      <c r="AC14" s="114"/>
      <c r="AD14" s="114"/>
      <c r="AE14" s="114"/>
      <c r="AF14" s="114"/>
      <c r="AG14" s="114"/>
      <c r="AH14" s="114"/>
      <c r="AI14" s="30"/>
      <c r="AJ14" s="166"/>
      <c r="AK14" s="166"/>
      <c r="AL14" s="166"/>
      <c r="AM14" s="166"/>
      <c r="AN14" s="166"/>
      <c r="AO14" s="166"/>
      <c r="AP14" s="166"/>
      <c r="AQ14" s="30"/>
      <c r="AR14" s="30"/>
      <c r="AS14" s="30"/>
    </row>
    <row r="15" spans="1:45" ht="24.75" customHeight="1" x14ac:dyDescent="0.25">
      <c r="A15" s="275" t="s">
        <v>43</v>
      </c>
      <c r="B15" s="134">
        <f t="shared" si="0"/>
        <v>16362</v>
      </c>
      <c r="C15" s="134">
        <v>4080</v>
      </c>
      <c r="D15" s="134">
        <v>4844</v>
      </c>
      <c r="E15" s="236">
        <v>7438</v>
      </c>
      <c r="F15" s="236">
        <f t="shared" si="1"/>
        <v>16597</v>
      </c>
      <c r="G15" s="236">
        <v>4359</v>
      </c>
      <c r="H15" s="236">
        <v>4585</v>
      </c>
      <c r="I15" s="238">
        <v>7653</v>
      </c>
      <c r="J15" s="136">
        <f t="shared" si="2"/>
        <v>16895</v>
      </c>
      <c r="K15" s="135">
        <v>5000</v>
      </c>
      <c r="L15" s="135">
        <v>4095</v>
      </c>
      <c r="M15" s="135">
        <v>7800</v>
      </c>
      <c r="N15" s="141" t="s">
        <v>44</v>
      </c>
      <c r="O15" s="30"/>
      <c r="P15" s="30"/>
      <c r="Q15" s="228"/>
      <c r="R15" s="30"/>
      <c r="S15" s="30"/>
      <c r="T15" s="114"/>
      <c r="U15" s="114"/>
      <c r="V15" s="114"/>
      <c r="W15" s="114"/>
      <c r="X15" s="114"/>
      <c r="Y15" s="114"/>
      <c r="Z15" s="114"/>
      <c r="AA15" s="114"/>
      <c r="AB15" s="114"/>
      <c r="AC15" s="114"/>
      <c r="AD15" s="114"/>
      <c r="AE15" s="114"/>
      <c r="AF15" s="114"/>
      <c r="AG15" s="114"/>
      <c r="AH15" s="114"/>
      <c r="AI15" s="30"/>
      <c r="AJ15" s="166"/>
      <c r="AK15" s="166"/>
      <c r="AL15" s="166"/>
      <c r="AM15" s="166"/>
      <c r="AN15" s="166"/>
      <c r="AO15" s="166"/>
      <c r="AP15" s="166"/>
      <c r="AQ15" s="30"/>
      <c r="AR15" s="30"/>
      <c r="AS15" s="30"/>
    </row>
    <row r="16" spans="1:45" ht="24.75" customHeight="1" x14ac:dyDescent="0.25">
      <c r="A16" s="275" t="s">
        <v>45</v>
      </c>
      <c r="B16" s="134">
        <f t="shared" si="0"/>
        <v>16377</v>
      </c>
      <c r="C16" s="134">
        <v>4110</v>
      </c>
      <c r="D16" s="134">
        <v>4375</v>
      </c>
      <c r="E16" s="236">
        <v>7892</v>
      </c>
      <c r="F16" s="236">
        <f t="shared" si="1"/>
        <v>16596</v>
      </c>
      <c r="G16" s="236">
        <v>4365</v>
      </c>
      <c r="H16" s="236">
        <v>4116</v>
      </c>
      <c r="I16" s="238">
        <v>8115</v>
      </c>
      <c r="J16" s="136">
        <f t="shared" si="2"/>
        <v>16888</v>
      </c>
      <c r="K16" s="135">
        <v>4592</v>
      </c>
      <c r="L16" s="135">
        <v>4132</v>
      </c>
      <c r="M16" s="135">
        <v>8164</v>
      </c>
      <c r="N16" s="141" t="s">
        <v>47</v>
      </c>
      <c r="O16" s="30"/>
      <c r="P16" s="30"/>
      <c r="Q16" s="228"/>
      <c r="R16" s="30"/>
      <c r="S16" s="30"/>
      <c r="T16" s="114"/>
      <c r="U16" s="114"/>
      <c r="V16" s="114"/>
      <c r="W16" s="114"/>
      <c r="X16" s="114"/>
      <c r="Y16" s="114"/>
      <c r="Z16" s="114"/>
      <c r="AA16" s="114"/>
      <c r="AB16" s="114"/>
      <c r="AC16" s="114"/>
      <c r="AD16" s="114"/>
      <c r="AE16" s="114"/>
      <c r="AF16" s="114"/>
      <c r="AG16" s="114"/>
      <c r="AH16" s="114"/>
      <c r="AI16" s="30"/>
      <c r="AJ16" s="166"/>
      <c r="AK16" s="166"/>
      <c r="AL16" s="166"/>
      <c r="AM16" s="166"/>
      <c r="AN16" s="166"/>
      <c r="AO16" s="166"/>
      <c r="AP16" s="166"/>
      <c r="AQ16" s="30"/>
      <c r="AR16" s="30"/>
      <c r="AS16" s="30"/>
    </row>
    <row r="17" spans="1:45" ht="24.75" customHeight="1" x14ac:dyDescent="0.25">
      <c r="A17" s="275" t="s">
        <v>48</v>
      </c>
      <c r="B17" s="134">
        <f t="shared" si="0"/>
        <v>16348</v>
      </c>
      <c r="C17" s="134">
        <v>4121</v>
      </c>
      <c r="D17" s="134">
        <v>4343</v>
      </c>
      <c r="E17" s="236">
        <v>7884</v>
      </c>
      <c r="F17" s="236">
        <f t="shared" si="1"/>
        <v>16564</v>
      </c>
      <c r="G17" s="236">
        <v>4359</v>
      </c>
      <c r="H17" s="236">
        <v>4123</v>
      </c>
      <c r="I17" s="238">
        <v>8082</v>
      </c>
      <c r="J17" s="136">
        <f t="shared" si="2"/>
        <v>16862</v>
      </c>
      <c r="K17" s="135">
        <v>4587</v>
      </c>
      <c r="L17" s="135">
        <v>4140</v>
      </c>
      <c r="M17" s="135">
        <v>8135</v>
      </c>
      <c r="N17" s="141" t="s">
        <v>50</v>
      </c>
      <c r="O17" s="30"/>
      <c r="P17" s="30"/>
      <c r="Q17" s="228"/>
      <c r="R17" s="30"/>
      <c r="S17" s="30"/>
      <c r="T17" s="114"/>
      <c r="U17" s="114"/>
      <c r="V17" s="114"/>
      <c r="W17" s="114"/>
      <c r="X17" s="114"/>
      <c r="Y17" s="114"/>
      <c r="Z17" s="114"/>
      <c r="AA17" s="114"/>
      <c r="AB17" s="114"/>
      <c r="AC17" s="114"/>
      <c r="AD17" s="114"/>
      <c r="AE17" s="114"/>
      <c r="AF17" s="114"/>
      <c r="AG17" s="114"/>
      <c r="AH17" s="114"/>
      <c r="AI17" s="30"/>
      <c r="AJ17" s="166"/>
      <c r="AK17" s="166"/>
      <c r="AL17" s="166"/>
      <c r="AM17" s="166"/>
      <c r="AN17" s="166"/>
      <c r="AO17" s="166"/>
      <c r="AP17" s="166"/>
      <c r="AQ17" s="30"/>
      <c r="AR17" s="30"/>
      <c r="AS17" s="30"/>
    </row>
    <row r="18" spans="1:45" ht="24.75" customHeight="1" x14ac:dyDescent="0.55000000000000004">
      <c r="A18" s="275" t="s">
        <v>51</v>
      </c>
      <c r="B18" s="134">
        <f t="shared" si="0"/>
        <v>16311</v>
      </c>
      <c r="C18" s="134">
        <v>4115</v>
      </c>
      <c r="D18" s="134">
        <v>4311</v>
      </c>
      <c r="E18" s="236">
        <v>7885</v>
      </c>
      <c r="F18" s="236">
        <f t="shared" si="1"/>
        <v>16562</v>
      </c>
      <c r="G18" s="236">
        <v>4371</v>
      </c>
      <c r="H18" s="236">
        <v>4115</v>
      </c>
      <c r="I18" s="238">
        <v>8076</v>
      </c>
      <c r="J18" s="136">
        <f t="shared" si="2"/>
        <v>16843</v>
      </c>
      <c r="K18" s="135">
        <v>4585</v>
      </c>
      <c r="L18" s="135">
        <v>4141</v>
      </c>
      <c r="M18" s="135">
        <v>8117</v>
      </c>
      <c r="N18" s="146" t="s">
        <v>52</v>
      </c>
      <c r="O18" s="30"/>
      <c r="P18" s="30"/>
      <c r="Q18" s="30"/>
      <c r="R18" s="30"/>
      <c r="S18" s="30"/>
      <c r="T18" s="114"/>
      <c r="U18" s="114"/>
      <c r="V18" s="114"/>
      <c r="W18" s="114"/>
      <c r="X18" s="114"/>
      <c r="Y18" s="114"/>
      <c r="Z18" s="114"/>
      <c r="AA18" s="114"/>
      <c r="AB18" s="114"/>
      <c r="AC18" s="114"/>
      <c r="AD18" s="114"/>
      <c r="AE18" s="114"/>
      <c r="AF18" s="114"/>
      <c r="AG18" s="114"/>
      <c r="AH18" s="114"/>
      <c r="AI18" s="30"/>
      <c r="AJ18" s="30"/>
      <c r="AK18" s="30"/>
      <c r="AL18" s="30"/>
      <c r="AM18" s="30"/>
      <c r="AN18" s="30"/>
      <c r="AO18" s="55" t="s">
        <v>85</v>
      </c>
      <c r="AP18" s="55" t="s">
        <v>86</v>
      </c>
      <c r="AQ18" s="229" t="s">
        <v>87</v>
      </c>
      <c r="AR18" s="30"/>
      <c r="AS18" s="30"/>
    </row>
    <row r="19" spans="1:45" ht="24.75" customHeight="1" x14ac:dyDescent="0.25">
      <c r="A19" s="276" t="s">
        <v>53</v>
      </c>
      <c r="B19" s="148">
        <f t="shared" si="0"/>
        <v>16321</v>
      </c>
      <c r="C19" s="148">
        <v>4128</v>
      </c>
      <c r="D19" s="148">
        <v>4300</v>
      </c>
      <c r="E19" s="237">
        <v>7893</v>
      </c>
      <c r="F19" s="237">
        <f t="shared" si="1"/>
        <v>16533</v>
      </c>
      <c r="G19" s="237">
        <v>4356</v>
      </c>
      <c r="H19" s="237">
        <v>4115</v>
      </c>
      <c r="I19" s="230">
        <v>8062</v>
      </c>
      <c r="J19" s="150">
        <f t="shared" si="2"/>
        <v>16835</v>
      </c>
      <c r="K19" s="149">
        <v>4597</v>
      </c>
      <c r="L19" s="149">
        <v>4135</v>
      </c>
      <c r="M19" s="149">
        <v>8103</v>
      </c>
      <c r="N19" s="155" t="s">
        <v>54</v>
      </c>
      <c r="O19" s="30"/>
      <c r="P19" s="143"/>
      <c r="Q19" s="30"/>
      <c r="R19" s="30"/>
      <c r="S19" s="30"/>
      <c r="T19" s="114"/>
      <c r="U19" s="114"/>
      <c r="V19" s="114"/>
      <c r="W19" s="114"/>
      <c r="X19" s="114"/>
      <c r="Y19" s="114"/>
      <c r="Z19" s="114"/>
      <c r="AA19" s="114"/>
      <c r="AB19" s="114"/>
      <c r="AC19" s="114"/>
      <c r="AD19" s="114"/>
      <c r="AE19" s="114"/>
      <c r="AF19" s="114"/>
      <c r="AG19" s="114"/>
      <c r="AH19" s="114"/>
      <c r="AI19" s="30"/>
      <c r="AJ19" s="30"/>
      <c r="AK19" s="30"/>
      <c r="AL19" s="30"/>
      <c r="AM19" s="30"/>
      <c r="AN19" s="30"/>
      <c r="AO19" s="143">
        <f>K19</f>
        <v>4597</v>
      </c>
      <c r="AP19" s="143">
        <f t="shared" ref="AP19:AQ19" si="3">L19</f>
        <v>4135</v>
      </c>
      <c r="AQ19" s="143">
        <f t="shared" si="3"/>
        <v>8103</v>
      </c>
      <c r="AR19" s="30"/>
      <c r="AS19" s="30"/>
    </row>
    <row r="20" spans="1:45" ht="17.25" customHeight="1" x14ac:dyDescent="0.45">
      <c r="A20" s="160" t="s">
        <v>57</v>
      </c>
      <c r="B20" s="157"/>
      <c r="C20" s="157"/>
      <c r="D20" s="157"/>
      <c r="E20" s="157"/>
      <c r="F20" s="157"/>
      <c r="G20" s="157"/>
      <c r="H20" s="157"/>
      <c r="I20" s="157"/>
      <c r="J20" s="157"/>
      <c r="K20" s="157"/>
      <c r="L20" s="157"/>
      <c r="M20" s="157"/>
      <c r="N20" s="162" t="s">
        <v>58</v>
      </c>
      <c r="O20" s="157"/>
      <c r="P20" s="157"/>
      <c r="Q20" s="157"/>
      <c r="R20" s="157"/>
      <c r="S20" s="157"/>
      <c r="T20" s="164"/>
      <c r="U20" s="164"/>
      <c r="V20" s="164"/>
      <c r="W20" s="164"/>
      <c r="X20" s="164"/>
      <c r="Y20" s="164"/>
      <c r="Z20" s="164"/>
      <c r="AA20" s="164"/>
      <c r="AB20" s="164"/>
      <c r="AC20" s="164"/>
      <c r="AD20" s="164"/>
      <c r="AE20" s="164"/>
      <c r="AF20" s="164"/>
      <c r="AG20" s="164"/>
      <c r="AH20" s="164"/>
      <c r="AI20" s="157"/>
      <c r="AJ20" s="157"/>
      <c r="AK20" s="157"/>
      <c r="AL20" s="157"/>
      <c r="AM20" s="157"/>
      <c r="AN20" s="157"/>
      <c r="AO20" s="157"/>
      <c r="AP20" s="157"/>
      <c r="AQ20" s="157"/>
      <c r="AR20" s="157"/>
      <c r="AS20" s="30"/>
    </row>
    <row r="21" spans="1:45" ht="18.75" customHeight="1" x14ac:dyDescent="0.5">
      <c r="A21" s="231"/>
      <c r="B21" s="30"/>
      <c r="C21" s="30"/>
      <c r="D21" s="30"/>
      <c r="E21" s="30"/>
      <c r="F21" s="30"/>
      <c r="G21" s="30"/>
      <c r="H21" s="30"/>
      <c r="I21" s="30"/>
      <c r="J21" s="30"/>
      <c r="K21" s="30"/>
      <c r="L21" s="30"/>
      <c r="M21" s="30"/>
      <c r="N21" s="232"/>
      <c r="O21" s="30"/>
      <c r="P21" s="30"/>
      <c r="Q21" s="30"/>
      <c r="R21" s="30"/>
      <c r="S21" s="30"/>
      <c r="T21" s="114"/>
      <c r="U21" s="114"/>
      <c r="V21" s="114"/>
      <c r="W21" s="114"/>
      <c r="X21" s="114"/>
      <c r="Y21" s="114"/>
      <c r="Z21" s="114"/>
      <c r="AA21" s="114"/>
      <c r="AB21" s="114"/>
      <c r="AC21" s="114"/>
      <c r="AD21" s="114"/>
      <c r="AE21" s="114"/>
      <c r="AF21" s="114"/>
      <c r="AG21" s="114"/>
      <c r="AH21" s="114"/>
      <c r="AI21" s="30"/>
      <c r="AJ21" s="30"/>
      <c r="AK21" s="30"/>
      <c r="AL21" s="30"/>
      <c r="AM21" s="30"/>
      <c r="AN21" s="30"/>
      <c r="AO21" s="30"/>
      <c r="AP21" s="30"/>
      <c r="AQ21" s="30"/>
      <c r="AR21" s="30"/>
      <c r="AS21" s="30"/>
    </row>
    <row r="22" spans="1:45" ht="15.75" customHeight="1" x14ac:dyDescent="0.25">
      <c r="A22" s="30"/>
      <c r="B22" s="30"/>
      <c r="C22" s="30"/>
      <c r="D22" s="30"/>
      <c r="E22" s="30"/>
      <c r="F22" s="30"/>
      <c r="G22" s="30"/>
      <c r="H22" s="30"/>
      <c r="I22" s="30"/>
      <c r="J22" s="30"/>
      <c r="K22" s="30"/>
      <c r="L22" s="30"/>
      <c r="M22" s="30"/>
      <c r="N22" s="30"/>
      <c r="O22" s="30"/>
      <c r="P22" s="30"/>
      <c r="Q22" s="30"/>
      <c r="R22" s="30"/>
      <c r="S22" s="30"/>
      <c r="T22" s="114"/>
      <c r="U22" s="114"/>
      <c r="V22" s="114"/>
      <c r="W22" s="114"/>
      <c r="X22" s="114"/>
      <c r="Y22" s="114"/>
      <c r="Z22" s="114"/>
      <c r="AA22" s="114"/>
      <c r="AB22" s="114"/>
      <c r="AC22" s="114"/>
      <c r="AD22" s="114"/>
      <c r="AE22" s="114"/>
      <c r="AF22" s="114"/>
      <c r="AG22" s="114"/>
      <c r="AH22" s="114"/>
      <c r="AI22" s="30"/>
      <c r="AJ22" s="30"/>
      <c r="AK22" s="30"/>
      <c r="AL22" s="30"/>
      <c r="AM22" s="30"/>
      <c r="AN22" s="30"/>
      <c r="AO22" s="30"/>
      <c r="AP22" s="30"/>
      <c r="AQ22" s="30"/>
      <c r="AR22" s="30"/>
      <c r="AS22" s="30"/>
    </row>
    <row r="23" spans="1:45" ht="15.75" customHeight="1" x14ac:dyDescent="0.25">
      <c r="A23" s="30"/>
      <c r="B23" s="30"/>
      <c r="C23" s="30"/>
      <c r="D23" s="30"/>
      <c r="E23" s="30"/>
      <c r="F23" s="30"/>
      <c r="G23" s="30"/>
      <c r="H23" s="30"/>
      <c r="I23" s="30"/>
      <c r="J23" s="30"/>
      <c r="K23" s="30"/>
      <c r="L23" s="30"/>
      <c r="M23" s="30"/>
      <c r="N23" s="30"/>
      <c r="O23" s="30"/>
      <c r="P23" s="30"/>
      <c r="Q23" s="30"/>
      <c r="R23" s="30"/>
      <c r="S23" s="30"/>
      <c r="T23" s="114"/>
      <c r="U23" s="114"/>
      <c r="V23" s="114"/>
      <c r="W23" s="114"/>
      <c r="X23" s="114"/>
      <c r="Y23" s="114"/>
      <c r="Z23" s="114"/>
      <c r="AA23" s="114"/>
      <c r="AB23" s="114"/>
      <c r="AC23" s="114"/>
      <c r="AD23" s="114"/>
      <c r="AE23" s="114"/>
      <c r="AF23" s="114"/>
      <c r="AG23" s="114"/>
      <c r="AH23" s="114"/>
      <c r="AI23" s="30"/>
      <c r="AJ23" s="30"/>
      <c r="AK23" s="30"/>
      <c r="AL23" s="30"/>
      <c r="AM23" s="30"/>
      <c r="AN23" s="30"/>
      <c r="AO23" s="30"/>
      <c r="AP23" s="30"/>
      <c r="AQ23" s="30"/>
      <c r="AR23" s="30"/>
      <c r="AS23" s="30"/>
    </row>
    <row r="24" spans="1:45" ht="15.75" customHeight="1" x14ac:dyDescent="0.25">
      <c r="A24" s="30"/>
      <c r="B24" s="30"/>
      <c r="C24" s="30"/>
      <c r="D24" s="30"/>
      <c r="E24" s="30"/>
      <c r="F24" s="30"/>
      <c r="G24" s="30"/>
      <c r="H24" s="30"/>
      <c r="I24" s="30"/>
      <c r="J24" s="30"/>
      <c r="K24" s="30"/>
      <c r="L24" s="30"/>
      <c r="M24" s="30"/>
      <c r="N24" s="30"/>
      <c r="O24" s="30"/>
      <c r="P24" s="30"/>
      <c r="Q24" s="30"/>
      <c r="R24" s="30"/>
      <c r="S24" s="30"/>
      <c r="T24" s="114"/>
      <c r="U24" s="114"/>
      <c r="V24" s="114"/>
      <c r="W24" s="114"/>
      <c r="X24" s="114"/>
      <c r="Y24" s="114"/>
      <c r="Z24" s="114"/>
      <c r="AA24" s="114"/>
      <c r="AB24" s="114"/>
      <c r="AC24" s="114"/>
      <c r="AD24" s="114"/>
      <c r="AE24" s="114"/>
      <c r="AF24" s="114"/>
      <c r="AG24" s="114"/>
      <c r="AH24" s="114"/>
      <c r="AI24" s="30"/>
      <c r="AJ24" s="30"/>
      <c r="AK24" s="30"/>
      <c r="AL24" s="30"/>
      <c r="AM24" s="30"/>
      <c r="AN24" s="30"/>
      <c r="AO24" s="30"/>
      <c r="AP24" s="30"/>
      <c r="AQ24" s="30"/>
      <c r="AR24" s="30"/>
      <c r="AS24" s="30"/>
    </row>
    <row r="25" spans="1:45" ht="15.75" customHeight="1" x14ac:dyDescent="0.25">
      <c r="A25" s="30"/>
      <c r="B25" s="30"/>
      <c r="C25" s="30"/>
      <c r="D25" s="30"/>
      <c r="E25" s="30"/>
      <c r="F25" s="30"/>
      <c r="G25" s="30"/>
      <c r="H25" s="30"/>
      <c r="I25" s="30"/>
      <c r="J25" s="30"/>
      <c r="K25" s="30"/>
      <c r="L25" s="30"/>
      <c r="M25" s="30"/>
      <c r="N25" s="30"/>
      <c r="O25" s="30"/>
      <c r="P25" s="30"/>
      <c r="Q25" s="30"/>
      <c r="R25" s="30"/>
      <c r="S25" s="30"/>
      <c r="T25" s="114"/>
      <c r="U25" s="114"/>
      <c r="V25" s="114"/>
      <c r="W25" s="114"/>
      <c r="X25" s="114"/>
      <c r="Y25" s="114"/>
      <c r="Z25" s="114"/>
      <c r="AA25" s="114"/>
      <c r="AB25" s="114"/>
      <c r="AC25" s="114"/>
      <c r="AD25" s="114"/>
      <c r="AE25" s="114"/>
      <c r="AF25" s="114"/>
      <c r="AG25" s="114"/>
      <c r="AH25" s="114"/>
      <c r="AI25" s="30"/>
      <c r="AJ25" s="30"/>
      <c r="AK25" s="30"/>
      <c r="AL25" s="30"/>
      <c r="AM25" s="30"/>
      <c r="AN25" s="30"/>
      <c r="AO25" s="30"/>
      <c r="AP25" s="30"/>
      <c r="AQ25" s="30"/>
      <c r="AR25" s="30"/>
      <c r="AS25" s="30"/>
    </row>
    <row r="26" spans="1:45" ht="15.75" customHeight="1" x14ac:dyDescent="0.25">
      <c r="A26" s="30"/>
      <c r="B26" s="30"/>
      <c r="C26" s="30"/>
      <c r="D26" s="30"/>
      <c r="E26" s="30"/>
      <c r="F26" s="30"/>
      <c r="G26" s="30"/>
      <c r="H26" s="30"/>
      <c r="I26" s="30"/>
      <c r="J26" s="30"/>
      <c r="K26" s="30"/>
      <c r="L26" s="30"/>
      <c r="M26" s="30"/>
      <c r="N26" s="30"/>
      <c r="O26" s="30"/>
      <c r="P26" s="30"/>
      <c r="Q26" s="30"/>
      <c r="R26" s="30"/>
      <c r="S26" s="30"/>
      <c r="T26" s="114"/>
      <c r="U26" s="114"/>
      <c r="V26" s="114"/>
      <c r="W26" s="114"/>
      <c r="X26" s="114"/>
      <c r="Y26" s="114"/>
      <c r="Z26" s="114"/>
      <c r="AA26" s="114"/>
      <c r="AB26" s="114"/>
      <c r="AC26" s="114"/>
      <c r="AD26" s="114"/>
      <c r="AE26" s="114"/>
      <c r="AF26" s="114"/>
      <c r="AG26" s="114"/>
      <c r="AH26" s="114"/>
      <c r="AI26" s="30"/>
      <c r="AJ26" s="30"/>
      <c r="AK26" s="30"/>
      <c r="AL26" s="30"/>
      <c r="AM26" s="30"/>
      <c r="AN26" s="30"/>
      <c r="AO26" s="30"/>
      <c r="AP26" s="30"/>
      <c r="AQ26" s="30"/>
      <c r="AR26" s="30"/>
      <c r="AS26" s="30"/>
    </row>
    <row r="27" spans="1:45" ht="15.75" customHeight="1" x14ac:dyDescent="0.25">
      <c r="A27" s="30"/>
      <c r="B27" s="30"/>
      <c r="C27" s="30"/>
      <c r="D27" s="30"/>
      <c r="E27" s="30"/>
      <c r="F27" s="30"/>
      <c r="G27" s="30"/>
      <c r="H27" s="30"/>
      <c r="I27" s="30"/>
      <c r="J27" s="30"/>
      <c r="K27" s="30"/>
      <c r="L27" s="30"/>
      <c r="M27" s="30"/>
      <c r="N27" s="30"/>
      <c r="O27" s="30"/>
      <c r="P27" s="30"/>
      <c r="Q27" s="30"/>
      <c r="R27" s="30"/>
      <c r="S27" s="30"/>
      <c r="T27" s="114"/>
      <c r="U27" s="114"/>
      <c r="V27" s="114"/>
      <c r="W27" s="114"/>
      <c r="X27" s="114"/>
      <c r="Y27" s="114"/>
      <c r="Z27" s="114"/>
      <c r="AA27" s="114"/>
      <c r="AB27" s="114"/>
      <c r="AC27" s="114"/>
      <c r="AD27" s="114"/>
      <c r="AE27" s="114"/>
      <c r="AF27" s="114"/>
      <c r="AG27" s="114"/>
      <c r="AH27" s="114"/>
      <c r="AI27" s="30"/>
      <c r="AJ27" s="30"/>
      <c r="AK27" s="30"/>
      <c r="AL27" s="30"/>
      <c r="AM27" s="30"/>
      <c r="AN27" s="30"/>
      <c r="AO27" s="30"/>
      <c r="AP27" s="30"/>
      <c r="AQ27" s="30"/>
      <c r="AR27" s="30"/>
      <c r="AS27" s="30"/>
    </row>
    <row r="28" spans="1:45" ht="15.75" customHeight="1" x14ac:dyDescent="0.25">
      <c r="A28" s="30"/>
      <c r="B28" s="30"/>
      <c r="C28" s="30"/>
      <c r="D28" s="30"/>
      <c r="E28" s="30"/>
      <c r="F28" s="30"/>
      <c r="G28" s="30"/>
      <c r="H28" s="30"/>
      <c r="I28" s="30"/>
      <c r="J28" s="30"/>
      <c r="K28" s="30"/>
      <c r="L28" s="30"/>
      <c r="M28" s="30"/>
      <c r="N28" s="30"/>
      <c r="O28" s="30"/>
      <c r="P28" s="30"/>
      <c r="Q28" s="30"/>
      <c r="R28" s="30"/>
      <c r="S28" s="30"/>
      <c r="T28" s="114"/>
      <c r="U28" s="114"/>
      <c r="V28" s="114"/>
      <c r="W28" s="114"/>
      <c r="X28" s="114"/>
      <c r="Y28" s="114"/>
      <c r="Z28" s="114"/>
      <c r="AA28" s="114"/>
      <c r="AB28" s="114"/>
      <c r="AC28" s="114"/>
      <c r="AD28" s="114"/>
      <c r="AE28" s="114"/>
      <c r="AF28" s="114"/>
      <c r="AG28" s="114"/>
      <c r="AH28" s="114"/>
      <c r="AI28" s="30"/>
      <c r="AJ28" s="30"/>
      <c r="AK28" s="30"/>
      <c r="AL28" s="30"/>
      <c r="AM28" s="30"/>
      <c r="AN28" s="30"/>
      <c r="AO28" s="30"/>
      <c r="AP28" s="30"/>
      <c r="AQ28" s="30"/>
      <c r="AR28" s="30"/>
      <c r="AS28" s="30"/>
    </row>
    <row r="29" spans="1:45" ht="15.75" customHeight="1" x14ac:dyDescent="0.25">
      <c r="A29" s="30"/>
      <c r="B29" s="30"/>
      <c r="C29" s="30"/>
      <c r="D29" s="30"/>
      <c r="E29" s="30"/>
      <c r="F29" s="30"/>
      <c r="G29" s="30"/>
      <c r="H29" s="30"/>
      <c r="I29" s="30"/>
      <c r="J29" s="30"/>
      <c r="K29" s="30"/>
      <c r="L29" s="30"/>
      <c r="M29" s="30"/>
      <c r="N29" s="30"/>
      <c r="O29" s="30"/>
      <c r="P29" s="30"/>
      <c r="Q29" s="30"/>
      <c r="R29" s="30"/>
      <c r="S29" s="30"/>
      <c r="T29" s="114"/>
      <c r="U29" s="114"/>
      <c r="V29" s="114"/>
      <c r="W29" s="114"/>
      <c r="X29" s="114"/>
      <c r="Y29" s="114"/>
      <c r="Z29" s="114"/>
      <c r="AA29" s="114"/>
      <c r="AB29" s="114"/>
      <c r="AC29" s="114"/>
      <c r="AD29" s="114"/>
      <c r="AE29" s="114"/>
      <c r="AF29" s="114"/>
      <c r="AG29" s="114"/>
      <c r="AH29" s="114"/>
      <c r="AI29" s="30"/>
      <c r="AJ29" s="30"/>
      <c r="AK29" s="30"/>
      <c r="AL29" s="30"/>
      <c r="AM29" s="30"/>
      <c r="AN29" s="30"/>
      <c r="AO29" s="30"/>
      <c r="AP29" s="30"/>
      <c r="AQ29" s="30"/>
      <c r="AR29" s="30"/>
      <c r="AS29" s="30"/>
    </row>
    <row r="30" spans="1:45" ht="15.75" customHeight="1" x14ac:dyDescent="0.25">
      <c r="A30" s="30"/>
      <c r="B30" s="30"/>
      <c r="C30" s="30"/>
      <c r="D30" s="30"/>
      <c r="E30" s="30"/>
      <c r="F30" s="30"/>
      <c r="G30" s="30"/>
      <c r="H30" s="30"/>
      <c r="I30" s="30"/>
      <c r="J30" s="30"/>
      <c r="K30" s="30"/>
      <c r="L30" s="30"/>
      <c r="M30" s="30"/>
      <c r="N30" s="30"/>
      <c r="O30" s="30"/>
      <c r="P30" s="30"/>
      <c r="Q30" s="30"/>
      <c r="R30" s="30"/>
      <c r="S30" s="30"/>
      <c r="T30" s="114"/>
      <c r="U30" s="114"/>
      <c r="V30" s="114"/>
      <c r="W30" s="114"/>
      <c r="X30" s="114"/>
      <c r="Y30" s="114"/>
      <c r="Z30" s="114"/>
      <c r="AA30" s="114"/>
      <c r="AB30" s="114"/>
      <c r="AC30" s="114"/>
      <c r="AD30" s="114"/>
      <c r="AE30" s="114"/>
      <c r="AF30" s="114"/>
      <c r="AG30" s="114"/>
      <c r="AH30" s="114"/>
      <c r="AI30" s="30"/>
      <c r="AJ30" s="30"/>
      <c r="AK30" s="30"/>
      <c r="AL30" s="30"/>
      <c r="AM30" s="30"/>
      <c r="AN30" s="30"/>
      <c r="AO30" s="30"/>
      <c r="AP30" s="30"/>
      <c r="AQ30" s="30"/>
      <c r="AR30" s="30"/>
      <c r="AS30" s="30"/>
    </row>
    <row r="31" spans="1:45" ht="15.75" customHeight="1" x14ac:dyDescent="0.25">
      <c r="A31" s="30"/>
      <c r="B31" s="30"/>
      <c r="C31" s="30"/>
      <c r="D31" s="30"/>
      <c r="E31" s="30"/>
      <c r="F31" s="30"/>
      <c r="G31" s="30"/>
      <c r="H31" s="30"/>
      <c r="I31" s="30"/>
      <c r="J31" s="30"/>
      <c r="K31" s="30"/>
      <c r="L31" s="30"/>
      <c r="M31" s="30"/>
      <c r="N31" s="30"/>
      <c r="O31" s="30"/>
      <c r="P31" s="30"/>
      <c r="Q31" s="30"/>
      <c r="R31" s="30"/>
      <c r="S31" s="30"/>
      <c r="T31" s="114"/>
      <c r="U31" s="114"/>
      <c r="V31" s="114"/>
      <c r="W31" s="114"/>
      <c r="X31" s="114"/>
      <c r="Y31" s="114"/>
      <c r="Z31" s="114"/>
      <c r="AA31" s="114"/>
      <c r="AB31" s="114"/>
      <c r="AC31" s="114"/>
      <c r="AD31" s="114"/>
      <c r="AE31" s="114"/>
      <c r="AF31" s="114"/>
      <c r="AG31" s="114"/>
      <c r="AH31" s="114"/>
      <c r="AI31" s="30"/>
      <c r="AJ31" s="30"/>
      <c r="AK31" s="30"/>
      <c r="AL31" s="30"/>
      <c r="AM31" s="30"/>
      <c r="AN31" s="30"/>
      <c r="AO31" s="233"/>
      <c r="AP31" s="233"/>
      <c r="AQ31" s="233"/>
      <c r="AR31" s="30"/>
      <c r="AS31" s="30"/>
    </row>
    <row r="32" spans="1:45" ht="15.75" customHeight="1" x14ac:dyDescent="0.25">
      <c r="A32" s="30"/>
      <c r="B32" s="30"/>
      <c r="C32" s="30"/>
      <c r="D32" s="30"/>
      <c r="E32" s="30"/>
      <c r="F32" s="30"/>
      <c r="G32" s="30"/>
      <c r="H32" s="30"/>
      <c r="I32" s="30"/>
      <c r="J32" s="30"/>
      <c r="K32" s="30"/>
      <c r="L32" s="30"/>
      <c r="M32" s="30"/>
      <c r="N32" s="30"/>
      <c r="O32" s="30"/>
      <c r="P32" s="30"/>
      <c r="Q32" s="30"/>
      <c r="R32" s="30"/>
      <c r="S32" s="30"/>
      <c r="T32" s="114"/>
      <c r="U32" s="114"/>
      <c r="V32" s="114"/>
      <c r="W32" s="114"/>
      <c r="X32" s="114"/>
      <c r="Y32" s="114"/>
      <c r="Z32" s="114"/>
      <c r="AA32" s="114"/>
      <c r="AB32" s="114"/>
      <c r="AC32" s="114"/>
      <c r="AD32" s="114"/>
      <c r="AE32" s="114"/>
      <c r="AF32" s="114"/>
      <c r="AG32" s="114"/>
      <c r="AH32" s="114"/>
      <c r="AI32" s="30"/>
      <c r="AJ32" s="30"/>
      <c r="AK32" s="30"/>
      <c r="AL32" s="30"/>
      <c r="AM32" s="234"/>
      <c r="AN32" s="234"/>
      <c r="AO32" s="234"/>
      <c r="AP32" s="234"/>
      <c r="AQ32" s="234"/>
      <c r="AR32" s="235"/>
      <c r="AS32" s="30"/>
    </row>
    <row r="33" spans="1:45" ht="15.75" customHeight="1" x14ac:dyDescent="0.25">
      <c r="A33" s="30"/>
      <c r="B33" s="30"/>
      <c r="C33" s="30"/>
      <c r="D33" s="30"/>
      <c r="E33" s="30"/>
      <c r="F33" s="30"/>
      <c r="G33" s="30"/>
      <c r="H33" s="30"/>
      <c r="I33" s="30"/>
      <c r="J33" s="30"/>
      <c r="K33" s="30"/>
      <c r="L33" s="30"/>
      <c r="M33" s="30"/>
      <c r="N33" s="30"/>
      <c r="O33" s="30"/>
      <c r="P33" s="30"/>
      <c r="Q33" s="30"/>
      <c r="R33" s="30"/>
      <c r="S33" s="30"/>
      <c r="T33" s="114"/>
      <c r="U33" s="114"/>
      <c r="V33" s="114"/>
      <c r="W33" s="114"/>
      <c r="X33" s="114"/>
      <c r="Y33" s="114"/>
      <c r="Z33" s="114"/>
      <c r="AA33" s="114"/>
      <c r="AB33" s="114"/>
      <c r="AC33" s="114"/>
      <c r="AD33" s="114"/>
      <c r="AE33" s="114"/>
      <c r="AF33" s="114"/>
      <c r="AG33" s="114"/>
      <c r="AH33" s="114"/>
      <c r="AI33" s="30"/>
      <c r="AJ33" s="30"/>
      <c r="AK33" s="30"/>
      <c r="AL33" s="30"/>
      <c r="AM33" s="30"/>
      <c r="AN33" s="30"/>
      <c r="AO33" s="30"/>
      <c r="AP33" s="30"/>
      <c r="AQ33" s="30"/>
      <c r="AR33" s="30"/>
      <c r="AS33" s="30"/>
    </row>
    <row r="34" spans="1:45" ht="15.75" customHeight="1" x14ac:dyDescent="0.25">
      <c r="A34" s="30"/>
      <c r="B34" s="30"/>
      <c r="C34" s="30"/>
      <c r="D34" s="30"/>
      <c r="E34" s="30"/>
      <c r="F34" s="30"/>
      <c r="G34" s="30"/>
      <c r="H34" s="30"/>
      <c r="I34" s="30"/>
      <c r="J34" s="30"/>
      <c r="K34" s="30"/>
      <c r="L34" s="30"/>
      <c r="M34" s="30"/>
      <c r="N34" s="30"/>
      <c r="O34" s="30"/>
      <c r="P34" s="30"/>
      <c r="Q34" s="30"/>
      <c r="R34" s="30"/>
      <c r="S34" s="30"/>
      <c r="T34" s="114"/>
      <c r="U34" s="114"/>
      <c r="V34" s="114"/>
      <c r="W34" s="114"/>
      <c r="X34" s="114"/>
      <c r="Y34" s="114"/>
      <c r="Z34" s="114"/>
      <c r="AA34" s="114"/>
      <c r="AB34" s="114"/>
      <c r="AC34" s="114"/>
      <c r="AD34" s="114"/>
      <c r="AE34" s="114"/>
      <c r="AF34" s="114"/>
      <c r="AG34" s="114"/>
      <c r="AH34" s="114"/>
      <c r="AI34" s="30"/>
      <c r="AJ34" s="30"/>
      <c r="AK34" s="30"/>
      <c r="AL34" s="30"/>
      <c r="AM34" s="30"/>
      <c r="AN34" s="30"/>
      <c r="AO34" s="30"/>
      <c r="AP34" s="30"/>
      <c r="AQ34" s="30"/>
      <c r="AR34" s="30"/>
      <c r="AS34" s="30"/>
    </row>
    <row r="35" spans="1:45" ht="15.75" customHeight="1" x14ac:dyDescent="0.25">
      <c r="A35" s="30"/>
      <c r="B35" s="30"/>
      <c r="C35" s="30"/>
      <c r="D35" s="30"/>
      <c r="E35" s="30"/>
      <c r="F35" s="30"/>
      <c r="G35" s="30"/>
      <c r="H35" s="30"/>
      <c r="I35" s="30"/>
      <c r="J35" s="30"/>
      <c r="K35" s="30"/>
      <c r="L35" s="30"/>
      <c r="M35" s="30"/>
      <c r="N35" s="30"/>
      <c r="O35" s="30"/>
      <c r="P35" s="30"/>
      <c r="Q35" s="30"/>
      <c r="R35" s="30"/>
      <c r="S35" s="30"/>
      <c r="T35" s="114"/>
      <c r="U35" s="114"/>
      <c r="V35" s="114"/>
      <c r="W35" s="114"/>
      <c r="X35" s="114"/>
      <c r="Y35" s="114"/>
      <c r="Z35" s="114"/>
      <c r="AA35" s="114"/>
      <c r="AB35" s="114"/>
      <c r="AC35" s="114"/>
      <c r="AD35" s="114"/>
      <c r="AE35" s="114"/>
      <c r="AF35" s="114"/>
      <c r="AG35" s="114"/>
      <c r="AH35" s="114"/>
      <c r="AI35" s="30"/>
      <c r="AJ35" s="30"/>
      <c r="AK35" s="30"/>
      <c r="AL35" s="30"/>
      <c r="AM35" s="30"/>
      <c r="AN35" s="30"/>
      <c r="AO35" s="30"/>
      <c r="AP35" s="30"/>
      <c r="AQ35" s="30"/>
      <c r="AR35" s="30"/>
      <c r="AS35" s="30"/>
    </row>
    <row r="36" spans="1:45" ht="17.25" customHeight="1" x14ac:dyDescent="0.25">
      <c r="A36" s="30"/>
      <c r="B36" s="30"/>
      <c r="C36" s="30"/>
      <c r="D36" s="30"/>
      <c r="E36" s="30"/>
      <c r="F36" s="30"/>
      <c r="G36" s="30"/>
      <c r="H36" s="30"/>
      <c r="I36" s="30"/>
      <c r="J36" s="30"/>
      <c r="K36" s="30"/>
      <c r="L36" s="30"/>
      <c r="M36" s="30"/>
      <c r="N36" s="30"/>
      <c r="O36" s="30"/>
      <c r="P36" s="30"/>
      <c r="Q36" s="30"/>
      <c r="R36" s="30"/>
      <c r="S36" s="30"/>
      <c r="T36" s="114"/>
      <c r="U36" s="114"/>
      <c r="V36" s="114"/>
      <c r="W36" s="114"/>
      <c r="X36" s="114"/>
      <c r="Y36" s="114"/>
      <c r="Z36" s="114"/>
      <c r="AA36" s="114"/>
      <c r="AB36" s="114"/>
      <c r="AC36" s="114"/>
      <c r="AD36" s="114"/>
      <c r="AE36" s="114"/>
      <c r="AF36" s="114"/>
      <c r="AG36" s="114"/>
      <c r="AH36" s="114"/>
      <c r="AI36" s="30"/>
      <c r="AJ36" s="30"/>
      <c r="AK36" s="30"/>
      <c r="AL36" s="30"/>
      <c r="AM36" s="233"/>
      <c r="AN36" s="233"/>
      <c r="AO36" s="233"/>
      <c r="AP36" s="233"/>
      <c r="AQ36" s="233"/>
      <c r="AR36" s="30"/>
      <c r="AS36" s="30"/>
    </row>
    <row r="37" spans="1:45" ht="15.75" customHeight="1" x14ac:dyDescent="0.25">
      <c r="A37" s="30"/>
      <c r="B37" s="30"/>
      <c r="C37" s="30"/>
      <c r="D37" s="30"/>
      <c r="E37" s="30"/>
      <c r="F37" s="30"/>
      <c r="G37" s="30"/>
      <c r="H37" s="30"/>
      <c r="I37" s="30"/>
      <c r="J37" s="30"/>
      <c r="K37" s="30"/>
      <c r="L37" s="30"/>
      <c r="M37" s="30"/>
      <c r="N37" s="30"/>
      <c r="O37" s="30"/>
      <c r="P37" s="30"/>
      <c r="Q37" s="30"/>
      <c r="R37" s="30"/>
      <c r="S37" s="30"/>
      <c r="T37" s="114"/>
      <c r="U37" s="114"/>
      <c r="V37" s="114"/>
      <c r="W37" s="114"/>
      <c r="X37" s="114"/>
      <c r="Y37" s="114"/>
      <c r="Z37" s="114"/>
      <c r="AA37" s="114"/>
      <c r="AB37" s="114"/>
      <c r="AC37" s="114"/>
      <c r="AD37" s="114"/>
      <c r="AE37" s="114"/>
      <c r="AF37" s="114"/>
      <c r="AG37" s="114"/>
      <c r="AH37" s="114"/>
      <c r="AI37" s="30"/>
      <c r="AJ37" s="30"/>
      <c r="AK37" s="30"/>
      <c r="AL37" s="30"/>
      <c r="AM37" s="235"/>
      <c r="AN37" s="235"/>
      <c r="AO37" s="235"/>
      <c r="AP37" s="235"/>
      <c r="AQ37" s="235"/>
      <c r="AR37" s="30"/>
      <c r="AS37" s="30"/>
    </row>
    <row r="38" spans="1:45" ht="15.75" customHeight="1" x14ac:dyDescent="0.25">
      <c r="A38" s="30"/>
      <c r="B38" s="30"/>
      <c r="C38" s="30"/>
      <c r="D38" s="30"/>
      <c r="E38" s="30"/>
      <c r="F38" s="30"/>
      <c r="G38" s="30"/>
      <c r="H38" s="30"/>
      <c r="I38" s="30"/>
      <c r="J38" s="30"/>
      <c r="K38" s="30"/>
      <c r="L38" s="30"/>
      <c r="M38" s="30"/>
      <c r="N38" s="30"/>
      <c r="O38" s="30"/>
      <c r="P38" s="30"/>
      <c r="Q38" s="30"/>
      <c r="R38" s="30"/>
      <c r="S38" s="30"/>
      <c r="T38" s="114"/>
      <c r="U38" s="114"/>
      <c r="V38" s="114"/>
      <c r="W38" s="114"/>
      <c r="X38" s="114"/>
      <c r="Y38" s="114"/>
      <c r="Z38" s="114"/>
      <c r="AA38" s="114"/>
      <c r="AB38" s="114"/>
      <c r="AC38" s="114"/>
      <c r="AD38" s="114"/>
      <c r="AE38" s="114"/>
      <c r="AF38" s="114"/>
      <c r="AG38" s="114"/>
      <c r="AH38" s="114"/>
      <c r="AI38" s="30"/>
      <c r="AJ38" s="30"/>
      <c r="AK38" s="30"/>
      <c r="AL38" s="30"/>
      <c r="AM38" s="111"/>
      <c r="AN38" s="111"/>
      <c r="AO38" s="111"/>
      <c r="AP38" s="111"/>
      <c r="AQ38" s="111"/>
      <c r="AR38" s="111"/>
      <c r="AS38" s="30"/>
    </row>
    <row r="39" spans="1:45" ht="15.75" customHeight="1" x14ac:dyDescent="0.25">
      <c r="A39" s="30"/>
      <c r="B39" s="30"/>
      <c r="C39" s="30"/>
      <c r="D39" s="30"/>
      <c r="E39" s="30"/>
      <c r="F39" s="30"/>
      <c r="G39" s="30"/>
      <c r="H39" s="30"/>
      <c r="I39" s="30"/>
      <c r="J39" s="30"/>
      <c r="K39" s="30"/>
      <c r="L39" s="30"/>
      <c r="M39" s="30"/>
      <c r="N39" s="30"/>
      <c r="O39" s="30"/>
      <c r="P39" s="30"/>
      <c r="Q39" s="30"/>
      <c r="R39" s="30"/>
      <c r="S39" s="30"/>
      <c r="T39" s="114"/>
      <c r="U39" s="114"/>
      <c r="V39" s="114"/>
      <c r="W39" s="114"/>
      <c r="X39" s="114"/>
      <c r="Y39" s="114"/>
      <c r="Z39" s="114"/>
      <c r="AA39" s="114"/>
      <c r="AB39" s="114"/>
      <c r="AC39" s="114"/>
      <c r="AD39" s="114"/>
      <c r="AE39" s="114"/>
      <c r="AF39" s="114"/>
      <c r="AG39" s="114"/>
      <c r="AH39" s="114"/>
      <c r="AI39" s="30"/>
      <c r="AJ39" s="30"/>
      <c r="AK39" s="30"/>
      <c r="AL39" s="30"/>
      <c r="AM39" s="30"/>
      <c r="AN39" s="30"/>
      <c r="AO39" s="30"/>
      <c r="AP39" s="30"/>
      <c r="AQ39" s="30"/>
      <c r="AR39" s="30"/>
      <c r="AS39" s="30"/>
    </row>
    <row r="40" spans="1:45" ht="15.75" customHeight="1" x14ac:dyDescent="0.25">
      <c r="A40" s="30"/>
      <c r="B40" s="30"/>
      <c r="C40" s="30"/>
      <c r="D40" s="30"/>
      <c r="E40" s="30"/>
      <c r="F40" s="30"/>
      <c r="G40" s="30"/>
      <c r="H40" s="30"/>
      <c r="I40" s="30"/>
      <c r="J40" s="30"/>
      <c r="K40" s="30"/>
      <c r="L40" s="30"/>
      <c r="M40" s="30"/>
      <c r="N40" s="30"/>
      <c r="O40" s="30"/>
      <c r="P40" s="30"/>
      <c r="Q40" s="30"/>
      <c r="R40" s="30"/>
      <c r="S40" s="30"/>
      <c r="T40" s="114"/>
      <c r="U40" s="114"/>
      <c r="V40" s="114"/>
      <c r="W40" s="114"/>
      <c r="X40" s="114"/>
      <c r="Y40" s="114"/>
      <c r="Z40" s="114"/>
      <c r="AA40" s="114"/>
      <c r="AB40" s="114"/>
      <c r="AC40" s="114"/>
      <c r="AD40" s="114"/>
      <c r="AE40" s="114"/>
      <c r="AF40" s="114"/>
      <c r="AG40" s="114"/>
      <c r="AH40" s="114"/>
      <c r="AI40" s="30"/>
      <c r="AJ40" s="30"/>
      <c r="AK40" s="30"/>
      <c r="AL40" s="30"/>
      <c r="AM40" s="30"/>
      <c r="AN40" s="30"/>
      <c r="AO40" s="30"/>
      <c r="AP40" s="30"/>
      <c r="AQ40" s="30"/>
      <c r="AR40" s="30"/>
      <c r="AS40" s="30"/>
    </row>
    <row r="41" spans="1:45" ht="15.75" customHeight="1" x14ac:dyDescent="0.25">
      <c r="A41" s="30"/>
      <c r="B41" s="30"/>
      <c r="C41" s="30"/>
      <c r="D41" s="30"/>
      <c r="E41" s="30"/>
      <c r="F41" s="30"/>
      <c r="G41" s="30"/>
      <c r="H41" s="30"/>
      <c r="I41" s="30"/>
      <c r="J41" s="30"/>
      <c r="K41" s="30"/>
      <c r="L41" s="30"/>
      <c r="M41" s="30"/>
      <c r="N41" s="30"/>
      <c r="O41" s="30"/>
      <c r="P41" s="30"/>
      <c r="Q41" s="30"/>
      <c r="R41" s="30"/>
      <c r="S41" s="30"/>
      <c r="T41" s="114"/>
      <c r="U41" s="114"/>
      <c r="V41" s="114"/>
      <c r="W41" s="114"/>
      <c r="X41" s="114"/>
      <c r="Y41" s="114"/>
      <c r="Z41" s="114"/>
      <c r="AA41" s="114"/>
      <c r="AB41" s="114"/>
      <c r="AC41" s="114"/>
      <c r="AD41" s="114"/>
      <c r="AE41" s="114"/>
      <c r="AF41" s="114"/>
      <c r="AG41" s="114"/>
      <c r="AH41" s="114"/>
      <c r="AI41" s="30"/>
      <c r="AJ41" s="30"/>
      <c r="AK41" s="30"/>
      <c r="AL41" s="30"/>
      <c r="AM41" s="30"/>
      <c r="AN41" s="30"/>
      <c r="AO41" s="30"/>
      <c r="AP41" s="30"/>
      <c r="AQ41" s="30"/>
      <c r="AR41" s="30"/>
      <c r="AS41" s="30"/>
    </row>
    <row r="42" spans="1:45" ht="15.75" customHeight="1" x14ac:dyDescent="0.25">
      <c r="A42" s="30"/>
      <c r="B42" s="30"/>
      <c r="C42" s="30"/>
      <c r="D42" s="30"/>
      <c r="E42" s="30"/>
      <c r="F42" s="30"/>
      <c r="G42" s="30"/>
      <c r="H42" s="30"/>
      <c r="I42" s="30"/>
      <c r="J42" s="30"/>
      <c r="K42" s="30"/>
      <c r="L42" s="30"/>
      <c r="M42" s="30"/>
      <c r="N42" s="30"/>
      <c r="O42" s="30"/>
      <c r="P42" s="30"/>
      <c r="Q42" s="30"/>
      <c r="R42" s="30"/>
      <c r="S42" s="30"/>
      <c r="T42" s="114"/>
      <c r="U42" s="114"/>
      <c r="V42" s="114"/>
      <c r="W42" s="114"/>
      <c r="X42" s="114"/>
      <c r="Y42" s="114"/>
      <c r="Z42" s="114"/>
      <c r="AA42" s="114"/>
      <c r="AB42" s="114"/>
      <c r="AC42" s="114"/>
      <c r="AD42" s="114"/>
      <c r="AE42" s="114"/>
      <c r="AF42" s="114"/>
      <c r="AG42" s="114"/>
      <c r="AH42" s="114"/>
      <c r="AI42" s="30"/>
      <c r="AJ42" s="30"/>
      <c r="AK42" s="30"/>
      <c r="AL42" s="30"/>
      <c r="AM42" s="30"/>
      <c r="AN42" s="30"/>
      <c r="AO42" s="30"/>
      <c r="AP42" s="30"/>
      <c r="AQ42" s="30"/>
      <c r="AR42" s="30"/>
      <c r="AS42" s="30"/>
    </row>
    <row r="43" spans="1:45" ht="15.75" customHeight="1" x14ac:dyDescent="0.25">
      <c r="A43" s="30"/>
      <c r="B43" s="30"/>
      <c r="C43" s="30"/>
      <c r="D43" s="30"/>
      <c r="E43" s="30"/>
      <c r="F43" s="30"/>
      <c r="G43" s="30"/>
      <c r="H43" s="30"/>
      <c r="I43" s="30"/>
      <c r="J43" s="30"/>
      <c r="K43" s="30"/>
      <c r="L43" s="30"/>
      <c r="M43" s="30"/>
      <c r="N43" s="30"/>
      <c r="O43" s="30"/>
      <c r="P43" s="30"/>
      <c r="Q43" s="30"/>
      <c r="R43" s="30"/>
      <c r="S43" s="30"/>
      <c r="T43" s="114"/>
      <c r="U43" s="114"/>
      <c r="V43" s="114"/>
      <c r="W43" s="114"/>
      <c r="X43" s="114"/>
      <c r="Y43" s="114"/>
      <c r="Z43" s="114"/>
      <c r="AA43" s="114"/>
      <c r="AB43" s="114"/>
      <c r="AC43" s="114"/>
      <c r="AD43" s="114"/>
      <c r="AE43" s="114"/>
      <c r="AF43" s="114"/>
      <c r="AG43" s="114"/>
      <c r="AH43" s="114"/>
      <c r="AI43" s="30"/>
      <c r="AJ43" s="30"/>
      <c r="AK43" s="30"/>
      <c r="AL43" s="30"/>
      <c r="AM43" s="30"/>
      <c r="AN43" s="30"/>
      <c r="AO43" s="30"/>
      <c r="AP43" s="30"/>
      <c r="AQ43" s="30"/>
      <c r="AR43" s="30"/>
      <c r="AS43" s="30"/>
    </row>
    <row r="44" spans="1:45" ht="15.75" customHeight="1" x14ac:dyDescent="0.25">
      <c r="A44" s="30"/>
      <c r="B44" s="30"/>
      <c r="C44" s="30"/>
      <c r="D44" s="30"/>
      <c r="E44" s="30"/>
      <c r="F44" s="30"/>
      <c r="G44" s="30"/>
      <c r="H44" s="30"/>
      <c r="I44" s="30"/>
      <c r="J44" s="30"/>
      <c r="K44" s="30"/>
      <c r="L44" s="30"/>
      <c r="M44" s="30"/>
      <c r="N44" s="30"/>
      <c r="O44" s="30"/>
      <c r="P44" s="30"/>
      <c r="Q44" s="30"/>
      <c r="R44" s="30"/>
      <c r="S44" s="30"/>
      <c r="T44" s="114"/>
      <c r="U44" s="114"/>
      <c r="V44" s="114"/>
      <c r="W44" s="114"/>
      <c r="X44" s="114"/>
      <c r="Y44" s="114"/>
      <c r="Z44" s="114"/>
      <c r="AA44" s="114"/>
      <c r="AB44" s="114"/>
      <c r="AC44" s="114"/>
      <c r="AD44" s="114"/>
      <c r="AE44" s="114"/>
      <c r="AF44" s="114"/>
      <c r="AG44" s="114"/>
      <c r="AH44" s="114"/>
      <c r="AI44" s="30"/>
      <c r="AJ44" s="30"/>
      <c r="AK44" s="30"/>
      <c r="AL44" s="30"/>
      <c r="AM44" s="30"/>
      <c r="AN44" s="30"/>
      <c r="AO44" s="30"/>
      <c r="AP44" s="30"/>
      <c r="AQ44" s="30"/>
      <c r="AR44" s="30"/>
      <c r="AS44" s="30"/>
    </row>
    <row r="45" spans="1:45" ht="15.75" customHeight="1" x14ac:dyDescent="0.25">
      <c r="A45" s="30"/>
      <c r="B45" s="30"/>
      <c r="C45" s="30"/>
      <c r="D45" s="30"/>
      <c r="E45" s="30"/>
      <c r="F45" s="30"/>
      <c r="G45" s="30"/>
      <c r="H45" s="30"/>
      <c r="I45" s="30"/>
      <c r="J45" s="30"/>
      <c r="K45" s="30"/>
      <c r="L45" s="30"/>
      <c r="M45" s="30"/>
      <c r="N45" s="30"/>
      <c r="O45" s="30"/>
      <c r="P45" s="30"/>
      <c r="Q45" s="30"/>
      <c r="R45" s="30"/>
      <c r="S45" s="30"/>
      <c r="T45" s="114"/>
      <c r="U45" s="114"/>
      <c r="V45" s="114"/>
      <c r="W45" s="114"/>
      <c r="X45" s="114"/>
      <c r="Y45" s="114"/>
      <c r="Z45" s="114"/>
      <c r="AA45" s="114"/>
      <c r="AB45" s="114"/>
      <c r="AC45" s="114"/>
      <c r="AD45" s="114"/>
      <c r="AE45" s="114"/>
      <c r="AF45" s="114"/>
      <c r="AG45" s="114"/>
      <c r="AH45" s="114"/>
      <c r="AI45" s="30"/>
      <c r="AJ45" s="30"/>
      <c r="AK45" s="30"/>
      <c r="AL45" s="30"/>
      <c r="AM45" s="30"/>
      <c r="AN45" s="30"/>
      <c r="AO45" s="30"/>
      <c r="AP45" s="30"/>
      <c r="AQ45" s="30"/>
      <c r="AR45" s="30"/>
      <c r="AS45" s="30"/>
    </row>
    <row r="46" spans="1:45" ht="15.75" customHeight="1" x14ac:dyDescent="0.25">
      <c r="A46" s="30"/>
      <c r="B46" s="30"/>
      <c r="C46" s="30"/>
      <c r="D46" s="30"/>
      <c r="E46" s="30"/>
      <c r="F46" s="30"/>
      <c r="G46" s="30"/>
      <c r="H46" s="30"/>
      <c r="I46" s="30"/>
      <c r="J46" s="30"/>
      <c r="K46" s="30"/>
      <c r="L46" s="30"/>
      <c r="M46" s="30"/>
      <c r="N46" s="30"/>
      <c r="O46" s="30"/>
      <c r="P46" s="30"/>
      <c r="Q46" s="30"/>
      <c r="R46" s="30"/>
      <c r="S46" s="30"/>
      <c r="T46" s="114"/>
      <c r="U46" s="114"/>
      <c r="V46" s="114"/>
      <c r="W46" s="114"/>
      <c r="X46" s="114"/>
      <c r="Y46" s="114"/>
      <c r="Z46" s="114"/>
      <c r="AA46" s="114"/>
      <c r="AB46" s="114"/>
      <c r="AC46" s="114"/>
      <c r="AD46" s="114"/>
      <c r="AE46" s="114"/>
      <c r="AF46" s="114"/>
      <c r="AG46" s="114"/>
      <c r="AH46" s="114"/>
      <c r="AI46" s="30"/>
      <c r="AJ46" s="30"/>
      <c r="AK46" s="30"/>
      <c r="AL46" s="30"/>
      <c r="AM46" s="30"/>
      <c r="AN46" s="30"/>
      <c r="AO46" s="30"/>
      <c r="AP46" s="30"/>
      <c r="AQ46" s="30"/>
      <c r="AR46" s="30"/>
      <c r="AS46" s="30"/>
    </row>
    <row r="47" spans="1:45" ht="15.75" customHeight="1" x14ac:dyDescent="0.25">
      <c r="A47" s="30"/>
      <c r="B47" s="30"/>
      <c r="C47" s="30"/>
      <c r="D47" s="30"/>
      <c r="E47" s="30"/>
      <c r="F47" s="30"/>
      <c r="G47" s="30"/>
      <c r="H47" s="30"/>
      <c r="I47" s="30"/>
      <c r="J47" s="30"/>
      <c r="K47" s="30"/>
      <c r="L47" s="30"/>
      <c r="M47" s="30"/>
      <c r="N47" s="30"/>
      <c r="O47" s="30"/>
      <c r="P47" s="30"/>
      <c r="Q47" s="30"/>
      <c r="R47" s="30"/>
      <c r="S47" s="30"/>
      <c r="T47" s="114"/>
      <c r="U47" s="114"/>
      <c r="V47" s="114"/>
      <c r="W47" s="114"/>
      <c r="X47" s="114"/>
      <c r="Y47" s="114"/>
      <c r="Z47" s="114"/>
      <c r="AA47" s="114"/>
      <c r="AB47" s="114"/>
      <c r="AC47" s="114"/>
      <c r="AD47" s="114"/>
      <c r="AE47" s="114"/>
      <c r="AF47" s="114"/>
      <c r="AG47" s="114"/>
      <c r="AH47" s="114"/>
      <c r="AI47" s="30"/>
      <c r="AJ47" s="30"/>
      <c r="AK47" s="30"/>
      <c r="AL47" s="30"/>
      <c r="AM47" s="30"/>
      <c r="AN47" s="30"/>
      <c r="AO47" s="30"/>
      <c r="AP47" s="30"/>
      <c r="AQ47" s="30"/>
      <c r="AR47" s="30"/>
      <c r="AS47" s="30"/>
    </row>
    <row r="48" spans="1:45" ht="15.75" customHeight="1" x14ac:dyDescent="0.25">
      <c r="A48" s="30"/>
      <c r="B48" s="30"/>
      <c r="C48" s="30"/>
      <c r="D48" s="30"/>
      <c r="E48" s="30"/>
      <c r="F48" s="30"/>
      <c r="G48" s="30"/>
      <c r="H48" s="30"/>
      <c r="I48" s="30"/>
      <c r="J48" s="30"/>
      <c r="K48" s="30"/>
      <c r="L48" s="30"/>
      <c r="M48" s="30"/>
      <c r="N48" s="30"/>
      <c r="O48" s="30"/>
      <c r="P48" s="30"/>
      <c r="Q48" s="30"/>
      <c r="R48" s="30"/>
      <c r="S48" s="30"/>
      <c r="T48" s="114"/>
      <c r="U48" s="114"/>
      <c r="V48" s="114"/>
      <c r="W48" s="114"/>
      <c r="X48" s="114"/>
      <c r="Y48" s="114"/>
      <c r="Z48" s="114"/>
      <c r="AA48" s="114"/>
      <c r="AB48" s="114"/>
      <c r="AC48" s="114"/>
      <c r="AD48" s="114"/>
      <c r="AE48" s="114"/>
      <c r="AF48" s="114"/>
      <c r="AG48" s="114"/>
      <c r="AH48" s="114"/>
      <c r="AI48" s="30"/>
      <c r="AJ48" s="30"/>
      <c r="AK48" s="30"/>
      <c r="AL48" s="30"/>
      <c r="AM48" s="30"/>
      <c r="AN48" s="30"/>
      <c r="AO48" s="30"/>
      <c r="AP48" s="30"/>
      <c r="AQ48" s="30"/>
      <c r="AR48" s="30"/>
      <c r="AS48" s="30"/>
    </row>
    <row r="49" spans="1:45" ht="15.75" customHeight="1" x14ac:dyDescent="0.25">
      <c r="A49" s="30"/>
      <c r="B49" s="30"/>
      <c r="C49" s="30"/>
      <c r="D49" s="30"/>
      <c r="E49" s="30"/>
      <c r="F49" s="30"/>
      <c r="G49" s="30"/>
      <c r="H49" s="30"/>
      <c r="I49" s="30"/>
      <c r="J49" s="30"/>
      <c r="K49" s="30"/>
      <c r="L49" s="30"/>
      <c r="M49" s="30"/>
      <c r="N49" s="30"/>
      <c r="O49" s="30"/>
      <c r="P49" s="30"/>
      <c r="Q49" s="30"/>
      <c r="R49" s="30"/>
      <c r="S49" s="30"/>
      <c r="T49" s="114"/>
      <c r="U49" s="114"/>
      <c r="V49" s="114"/>
      <c r="W49" s="114"/>
      <c r="X49" s="114"/>
      <c r="Y49" s="114"/>
      <c r="Z49" s="114"/>
      <c r="AA49" s="114"/>
      <c r="AB49" s="114"/>
      <c r="AC49" s="114"/>
      <c r="AD49" s="114"/>
      <c r="AE49" s="114"/>
      <c r="AF49" s="114"/>
      <c r="AG49" s="114"/>
      <c r="AH49" s="114"/>
      <c r="AI49" s="30"/>
      <c r="AJ49" s="30"/>
      <c r="AK49" s="30"/>
      <c r="AL49" s="30"/>
      <c r="AM49" s="30"/>
      <c r="AN49" s="30"/>
      <c r="AO49" s="30"/>
      <c r="AP49" s="30"/>
      <c r="AQ49" s="30"/>
      <c r="AR49" s="30"/>
      <c r="AS49" s="30"/>
    </row>
    <row r="50" spans="1:45" ht="15.75" customHeight="1" x14ac:dyDescent="0.25">
      <c r="A50" s="30"/>
      <c r="B50" s="30"/>
      <c r="C50" s="30"/>
      <c r="D50" s="30"/>
      <c r="E50" s="30"/>
      <c r="F50" s="30"/>
      <c r="G50" s="30"/>
      <c r="H50" s="30"/>
      <c r="I50" s="30"/>
      <c r="J50" s="30"/>
      <c r="K50" s="30"/>
      <c r="L50" s="30"/>
      <c r="M50" s="30"/>
      <c r="N50" s="30"/>
      <c r="O50" s="30"/>
      <c r="P50" s="30"/>
      <c r="Q50" s="30"/>
      <c r="R50" s="30"/>
      <c r="S50" s="30"/>
      <c r="T50" s="114"/>
      <c r="U50" s="114"/>
      <c r="V50" s="114"/>
      <c r="W50" s="114"/>
      <c r="X50" s="114"/>
      <c r="Y50" s="114"/>
      <c r="Z50" s="114"/>
      <c r="AA50" s="114"/>
      <c r="AB50" s="114"/>
      <c r="AC50" s="114"/>
      <c r="AD50" s="114"/>
      <c r="AE50" s="114"/>
      <c r="AF50" s="114"/>
      <c r="AG50" s="114"/>
      <c r="AH50" s="114"/>
      <c r="AI50" s="30"/>
      <c r="AJ50" s="30"/>
      <c r="AK50" s="30"/>
      <c r="AL50" s="30"/>
      <c r="AM50" s="30"/>
      <c r="AN50" s="30"/>
      <c r="AO50" s="30"/>
      <c r="AP50" s="30"/>
      <c r="AQ50" s="30"/>
      <c r="AR50" s="30"/>
      <c r="AS50" s="30"/>
    </row>
    <row r="51" spans="1:45" ht="15.75" customHeight="1" x14ac:dyDescent="0.25">
      <c r="A51" s="30"/>
      <c r="B51" s="30"/>
      <c r="C51" s="30"/>
      <c r="D51" s="30"/>
      <c r="E51" s="30"/>
      <c r="F51" s="30"/>
      <c r="G51" s="30"/>
      <c r="H51" s="30"/>
      <c r="I51" s="30"/>
      <c r="J51" s="30"/>
      <c r="K51" s="30"/>
      <c r="L51" s="30"/>
      <c r="M51" s="30"/>
      <c r="N51" s="30"/>
      <c r="O51" s="30"/>
      <c r="P51" s="30"/>
      <c r="Q51" s="30"/>
      <c r="R51" s="30"/>
      <c r="S51" s="30"/>
      <c r="T51" s="114"/>
      <c r="U51" s="114"/>
      <c r="V51" s="114"/>
      <c r="W51" s="114"/>
      <c r="X51" s="114"/>
      <c r="Y51" s="114"/>
      <c r="Z51" s="114"/>
      <c r="AA51" s="114"/>
      <c r="AB51" s="114"/>
      <c r="AC51" s="114"/>
      <c r="AD51" s="114"/>
      <c r="AE51" s="114"/>
      <c r="AF51" s="114"/>
      <c r="AG51" s="114"/>
      <c r="AH51" s="114"/>
      <c r="AI51" s="30"/>
      <c r="AJ51" s="30"/>
      <c r="AK51" s="30"/>
      <c r="AL51" s="30"/>
      <c r="AM51" s="30"/>
      <c r="AN51" s="30"/>
      <c r="AO51" s="30"/>
      <c r="AP51" s="30"/>
      <c r="AQ51" s="30"/>
      <c r="AR51" s="30"/>
      <c r="AS51" s="30"/>
    </row>
    <row r="52" spans="1:45" ht="15.75" customHeight="1" x14ac:dyDescent="0.25">
      <c r="A52" s="30"/>
      <c r="B52" s="30"/>
      <c r="C52" s="30"/>
      <c r="D52" s="30"/>
      <c r="E52" s="30"/>
      <c r="F52" s="30"/>
      <c r="G52" s="30"/>
      <c r="H52" s="30"/>
      <c r="I52" s="30"/>
      <c r="J52" s="30"/>
      <c r="K52" s="30"/>
      <c r="L52" s="30"/>
      <c r="M52" s="30"/>
      <c r="N52" s="30"/>
      <c r="O52" s="30"/>
      <c r="P52" s="30"/>
      <c r="Q52" s="30"/>
      <c r="R52" s="30"/>
      <c r="S52" s="30"/>
      <c r="T52" s="114"/>
      <c r="U52" s="114"/>
      <c r="V52" s="114"/>
      <c r="W52" s="114"/>
      <c r="X52" s="114"/>
      <c r="Y52" s="114"/>
      <c r="Z52" s="114"/>
      <c r="AA52" s="114"/>
      <c r="AB52" s="114"/>
      <c r="AC52" s="114"/>
      <c r="AD52" s="114"/>
      <c r="AE52" s="114"/>
      <c r="AF52" s="114"/>
      <c r="AG52" s="114"/>
      <c r="AH52" s="114"/>
      <c r="AI52" s="30"/>
      <c r="AJ52" s="30"/>
      <c r="AK52" s="30"/>
      <c r="AL52" s="30"/>
      <c r="AM52" s="30"/>
      <c r="AN52" s="30"/>
      <c r="AO52" s="30"/>
      <c r="AP52" s="30"/>
      <c r="AQ52" s="30"/>
      <c r="AR52" s="30"/>
      <c r="AS52" s="30"/>
    </row>
    <row r="53" spans="1:45" ht="15.75" customHeight="1" x14ac:dyDescent="0.25">
      <c r="A53" s="30"/>
      <c r="B53" s="30"/>
      <c r="C53" s="30"/>
      <c r="D53" s="30"/>
      <c r="E53" s="30"/>
      <c r="F53" s="30"/>
      <c r="G53" s="30"/>
      <c r="H53" s="30"/>
      <c r="I53" s="30"/>
      <c r="J53" s="30"/>
      <c r="K53" s="30"/>
      <c r="L53" s="30"/>
      <c r="M53" s="30"/>
      <c r="N53" s="30"/>
      <c r="O53" s="30"/>
      <c r="P53" s="30"/>
      <c r="Q53" s="30"/>
      <c r="R53" s="30"/>
      <c r="S53" s="30"/>
      <c r="T53" s="114"/>
      <c r="U53" s="114"/>
      <c r="V53" s="114"/>
      <c r="W53" s="114"/>
      <c r="X53" s="114"/>
      <c r="Y53" s="114"/>
      <c r="Z53" s="114"/>
      <c r="AA53" s="114"/>
      <c r="AB53" s="114"/>
      <c r="AC53" s="114"/>
      <c r="AD53" s="114"/>
      <c r="AE53" s="114"/>
      <c r="AF53" s="114"/>
      <c r="AG53" s="114"/>
      <c r="AH53" s="114"/>
      <c r="AI53" s="30"/>
      <c r="AJ53" s="30"/>
      <c r="AK53" s="30"/>
      <c r="AL53" s="30"/>
      <c r="AM53" s="30"/>
      <c r="AN53" s="30"/>
      <c r="AO53" s="30"/>
      <c r="AP53" s="30"/>
      <c r="AQ53" s="30"/>
      <c r="AR53" s="30"/>
      <c r="AS53" s="30"/>
    </row>
    <row r="54" spans="1:45" ht="15.75" customHeight="1" x14ac:dyDescent="0.25">
      <c r="A54" s="30"/>
      <c r="B54" s="30"/>
      <c r="C54" s="30"/>
      <c r="D54" s="30"/>
      <c r="E54" s="30"/>
      <c r="F54" s="30"/>
      <c r="G54" s="30"/>
      <c r="H54" s="30"/>
      <c r="I54" s="30"/>
      <c r="J54" s="30"/>
      <c r="K54" s="30"/>
      <c r="L54" s="30"/>
      <c r="M54" s="30"/>
      <c r="N54" s="30"/>
      <c r="O54" s="30"/>
      <c r="P54" s="30"/>
      <c r="Q54" s="30"/>
      <c r="R54" s="30"/>
      <c r="S54" s="30"/>
      <c r="T54" s="114"/>
      <c r="U54" s="114"/>
      <c r="V54" s="114"/>
      <c r="W54" s="114"/>
      <c r="X54" s="114"/>
      <c r="Y54" s="114"/>
      <c r="Z54" s="114"/>
      <c r="AA54" s="114"/>
      <c r="AB54" s="114"/>
      <c r="AC54" s="114"/>
      <c r="AD54" s="114"/>
      <c r="AE54" s="114"/>
      <c r="AF54" s="114"/>
      <c r="AG54" s="114"/>
      <c r="AH54" s="114"/>
      <c r="AI54" s="30"/>
      <c r="AJ54" s="30"/>
      <c r="AK54" s="30"/>
      <c r="AL54" s="30"/>
      <c r="AM54" s="30"/>
      <c r="AN54" s="30"/>
      <c r="AO54" s="30"/>
      <c r="AP54" s="30"/>
      <c r="AQ54" s="30"/>
      <c r="AR54" s="30"/>
      <c r="AS54" s="30"/>
    </row>
    <row r="55" spans="1:45" ht="15.75" customHeight="1" x14ac:dyDescent="0.25">
      <c r="A55" s="30"/>
      <c r="B55" s="30"/>
      <c r="C55" s="30"/>
      <c r="D55" s="30"/>
      <c r="E55" s="30"/>
      <c r="F55" s="30"/>
      <c r="G55" s="30"/>
      <c r="H55" s="30"/>
      <c r="I55" s="30"/>
      <c r="J55" s="30"/>
      <c r="K55" s="30"/>
      <c r="L55" s="30"/>
      <c r="M55" s="30"/>
      <c r="N55" s="30"/>
      <c r="O55" s="30"/>
      <c r="P55" s="30"/>
      <c r="Q55" s="30"/>
      <c r="R55" s="30"/>
      <c r="S55" s="30"/>
      <c r="T55" s="114"/>
      <c r="U55" s="114"/>
      <c r="V55" s="114"/>
      <c r="W55" s="114"/>
      <c r="X55" s="114"/>
      <c r="Y55" s="114"/>
      <c r="Z55" s="114"/>
      <c r="AA55" s="114"/>
      <c r="AB55" s="114"/>
      <c r="AC55" s="114"/>
      <c r="AD55" s="114"/>
      <c r="AE55" s="114"/>
      <c r="AF55" s="114"/>
      <c r="AG55" s="114"/>
      <c r="AH55" s="114"/>
      <c r="AI55" s="30"/>
      <c r="AJ55" s="30"/>
      <c r="AK55" s="30"/>
      <c r="AL55" s="30"/>
      <c r="AM55" s="30"/>
      <c r="AN55" s="30"/>
      <c r="AO55" s="30"/>
      <c r="AP55" s="30"/>
      <c r="AQ55" s="30"/>
      <c r="AR55" s="30"/>
      <c r="AS55" s="30"/>
    </row>
    <row r="56" spans="1:45" ht="15.75" customHeight="1" x14ac:dyDescent="0.25">
      <c r="A56" s="30"/>
      <c r="B56" s="30"/>
      <c r="C56" s="30"/>
      <c r="D56" s="30"/>
      <c r="E56" s="30"/>
      <c r="F56" s="30"/>
      <c r="G56" s="30"/>
      <c r="H56" s="30"/>
      <c r="I56" s="30"/>
      <c r="J56" s="30"/>
      <c r="K56" s="30"/>
      <c r="L56" s="30"/>
      <c r="M56" s="30"/>
      <c r="N56" s="30"/>
      <c r="O56" s="30"/>
      <c r="P56" s="30"/>
      <c r="Q56" s="30"/>
      <c r="R56" s="30"/>
      <c r="S56" s="30"/>
      <c r="T56" s="114"/>
      <c r="U56" s="114"/>
      <c r="V56" s="114"/>
      <c r="W56" s="114"/>
      <c r="X56" s="114"/>
      <c r="Y56" s="114"/>
      <c r="Z56" s="114"/>
      <c r="AA56" s="114"/>
      <c r="AB56" s="114"/>
      <c r="AC56" s="114"/>
      <c r="AD56" s="114"/>
      <c r="AE56" s="114"/>
      <c r="AF56" s="114"/>
      <c r="AG56" s="114"/>
      <c r="AH56" s="114"/>
      <c r="AI56" s="30"/>
      <c r="AJ56" s="30"/>
      <c r="AK56" s="30"/>
      <c r="AL56" s="30"/>
      <c r="AM56" s="30"/>
      <c r="AN56" s="30"/>
      <c r="AO56" s="30"/>
      <c r="AP56" s="30"/>
      <c r="AQ56" s="30"/>
      <c r="AR56" s="30"/>
      <c r="AS56" s="30"/>
    </row>
    <row r="57" spans="1:45" ht="15.75" customHeight="1" x14ac:dyDescent="0.25">
      <c r="A57" s="30"/>
      <c r="B57" s="30"/>
      <c r="C57" s="30"/>
      <c r="D57" s="30"/>
      <c r="E57" s="30"/>
      <c r="F57" s="30"/>
      <c r="G57" s="30"/>
      <c r="H57" s="30"/>
      <c r="I57" s="30"/>
      <c r="J57" s="30"/>
      <c r="K57" s="30"/>
      <c r="L57" s="30"/>
      <c r="M57" s="30"/>
      <c r="N57" s="30"/>
      <c r="O57" s="30"/>
      <c r="P57" s="30"/>
      <c r="Q57" s="30"/>
      <c r="R57" s="30"/>
      <c r="S57" s="30"/>
      <c r="T57" s="114"/>
      <c r="U57" s="114"/>
      <c r="V57" s="114"/>
      <c r="W57" s="114"/>
      <c r="X57" s="114"/>
      <c r="Y57" s="114"/>
      <c r="Z57" s="114"/>
      <c r="AA57" s="114"/>
      <c r="AB57" s="114"/>
      <c r="AC57" s="114"/>
      <c r="AD57" s="114"/>
      <c r="AE57" s="114"/>
      <c r="AF57" s="114"/>
      <c r="AG57" s="114"/>
      <c r="AH57" s="114"/>
      <c r="AI57" s="30"/>
      <c r="AJ57" s="30"/>
      <c r="AK57" s="30"/>
      <c r="AL57" s="30"/>
      <c r="AM57" s="30"/>
      <c r="AN57" s="30"/>
      <c r="AO57" s="30"/>
      <c r="AP57" s="30"/>
      <c r="AQ57" s="30"/>
      <c r="AR57" s="30"/>
      <c r="AS57" s="30"/>
    </row>
    <row r="58" spans="1:45" ht="15.75" customHeight="1" x14ac:dyDescent="0.25">
      <c r="A58" s="30"/>
      <c r="B58" s="30"/>
      <c r="C58" s="30"/>
      <c r="D58" s="30"/>
      <c r="E58" s="30"/>
      <c r="F58" s="30"/>
      <c r="G58" s="30"/>
      <c r="H58" s="30"/>
      <c r="I58" s="30"/>
      <c r="J58" s="30"/>
      <c r="K58" s="30"/>
      <c r="L58" s="30"/>
      <c r="M58" s="30"/>
      <c r="N58" s="30"/>
      <c r="O58" s="30"/>
      <c r="P58" s="30"/>
      <c r="Q58" s="30"/>
      <c r="R58" s="30"/>
      <c r="S58" s="30"/>
      <c r="T58" s="114"/>
      <c r="U58" s="114"/>
      <c r="V58" s="114"/>
      <c r="W58" s="114"/>
      <c r="X58" s="114"/>
      <c r="Y58" s="114"/>
      <c r="Z58" s="114"/>
      <c r="AA58" s="114"/>
      <c r="AB58" s="114"/>
      <c r="AC58" s="114"/>
      <c r="AD58" s="114"/>
      <c r="AE58" s="114"/>
      <c r="AF58" s="114"/>
      <c r="AG58" s="114"/>
      <c r="AH58" s="114"/>
      <c r="AI58" s="30"/>
      <c r="AJ58" s="30"/>
      <c r="AK58" s="30"/>
      <c r="AL58" s="30"/>
      <c r="AM58" s="30"/>
      <c r="AN58" s="30"/>
      <c r="AO58" s="30"/>
      <c r="AP58" s="30"/>
      <c r="AQ58" s="30"/>
      <c r="AR58" s="30"/>
      <c r="AS58" s="30"/>
    </row>
    <row r="59" spans="1:45" ht="15.75" customHeight="1" x14ac:dyDescent="0.25">
      <c r="A59" s="30"/>
      <c r="B59" s="30"/>
      <c r="C59" s="30"/>
      <c r="D59" s="30"/>
      <c r="E59" s="30"/>
      <c r="F59" s="30"/>
      <c r="G59" s="30"/>
      <c r="H59" s="30"/>
      <c r="I59" s="30"/>
      <c r="J59" s="30"/>
      <c r="K59" s="30"/>
      <c r="L59" s="30"/>
      <c r="M59" s="30"/>
      <c r="N59" s="30"/>
      <c r="O59" s="30"/>
      <c r="P59" s="30"/>
      <c r="Q59" s="30"/>
      <c r="R59" s="30"/>
      <c r="S59" s="30"/>
      <c r="T59" s="114"/>
      <c r="U59" s="114"/>
      <c r="V59" s="114"/>
      <c r="W59" s="114"/>
      <c r="X59" s="114"/>
      <c r="Y59" s="114"/>
      <c r="Z59" s="114"/>
      <c r="AA59" s="114"/>
      <c r="AB59" s="114"/>
      <c r="AC59" s="114"/>
      <c r="AD59" s="114"/>
      <c r="AE59" s="114"/>
      <c r="AF59" s="114"/>
      <c r="AG59" s="114"/>
      <c r="AH59" s="114"/>
      <c r="AI59" s="30"/>
      <c r="AJ59" s="30"/>
      <c r="AK59" s="30"/>
      <c r="AL59" s="30"/>
      <c r="AM59" s="30"/>
      <c r="AN59" s="30"/>
      <c r="AO59" s="30"/>
      <c r="AP59" s="30"/>
      <c r="AQ59" s="30"/>
      <c r="AR59" s="30"/>
      <c r="AS59" s="30"/>
    </row>
    <row r="60" spans="1:45" ht="15.75" customHeight="1" x14ac:dyDescent="0.25">
      <c r="A60" s="30"/>
      <c r="B60" s="30"/>
      <c r="C60" s="30"/>
      <c r="D60" s="30"/>
      <c r="E60" s="30"/>
      <c r="F60" s="30"/>
      <c r="G60" s="30"/>
      <c r="H60" s="30"/>
      <c r="I60" s="30"/>
      <c r="J60" s="30"/>
      <c r="K60" s="30"/>
      <c r="L60" s="30"/>
      <c r="M60" s="30"/>
      <c r="N60" s="30"/>
      <c r="O60" s="30"/>
      <c r="P60" s="30"/>
      <c r="Q60" s="30"/>
      <c r="R60" s="30"/>
      <c r="S60" s="30"/>
      <c r="T60" s="114"/>
      <c r="U60" s="114"/>
      <c r="V60" s="114"/>
      <c r="W60" s="114"/>
      <c r="X60" s="114"/>
      <c r="Y60" s="114"/>
      <c r="Z60" s="114"/>
      <c r="AA60" s="114"/>
      <c r="AB60" s="114"/>
      <c r="AC60" s="114"/>
      <c r="AD60" s="114"/>
      <c r="AE60" s="114"/>
      <c r="AF60" s="114"/>
      <c r="AG60" s="114"/>
      <c r="AH60" s="114"/>
      <c r="AI60" s="30"/>
      <c r="AJ60" s="30"/>
      <c r="AK60" s="30"/>
      <c r="AL60" s="30"/>
      <c r="AM60" s="30"/>
      <c r="AN60" s="30"/>
      <c r="AO60" s="30"/>
      <c r="AP60" s="30"/>
      <c r="AQ60" s="30"/>
      <c r="AR60" s="30"/>
      <c r="AS60" s="30"/>
    </row>
    <row r="61" spans="1:45" ht="15.75" customHeight="1" x14ac:dyDescent="0.25">
      <c r="A61" s="30"/>
      <c r="B61" s="30"/>
      <c r="C61" s="30"/>
      <c r="D61" s="30"/>
      <c r="E61" s="30"/>
      <c r="F61" s="30"/>
      <c r="G61" s="30"/>
      <c r="H61" s="30"/>
      <c r="I61" s="30"/>
      <c r="J61" s="30"/>
      <c r="K61" s="30"/>
      <c r="L61" s="30"/>
      <c r="M61" s="30"/>
      <c r="N61" s="30"/>
      <c r="O61" s="30"/>
      <c r="P61" s="30"/>
      <c r="Q61" s="30"/>
      <c r="R61" s="30"/>
      <c r="S61" s="30"/>
      <c r="T61" s="114"/>
      <c r="U61" s="114"/>
      <c r="V61" s="114"/>
      <c r="W61" s="114"/>
      <c r="X61" s="114"/>
      <c r="Y61" s="114"/>
      <c r="Z61" s="114"/>
      <c r="AA61" s="114"/>
      <c r="AB61" s="114"/>
      <c r="AC61" s="114"/>
      <c r="AD61" s="114"/>
      <c r="AE61" s="114"/>
      <c r="AF61" s="114"/>
      <c r="AG61" s="114"/>
      <c r="AH61" s="114"/>
      <c r="AI61" s="30"/>
      <c r="AJ61" s="30"/>
      <c r="AK61" s="30"/>
      <c r="AL61" s="30"/>
      <c r="AM61" s="30"/>
      <c r="AN61" s="30"/>
      <c r="AO61" s="30"/>
      <c r="AP61" s="30"/>
      <c r="AQ61" s="30"/>
      <c r="AR61" s="30"/>
      <c r="AS61" s="30"/>
    </row>
    <row r="62" spans="1:45" ht="15.75" customHeight="1" x14ac:dyDescent="0.25">
      <c r="A62" s="30"/>
      <c r="B62" s="30"/>
      <c r="C62" s="30"/>
      <c r="D62" s="30"/>
      <c r="E62" s="30"/>
      <c r="F62" s="30"/>
      <c r="G62" s="30"/>
      <c r="H62" s="30"/>
      <c r="I62" s="30"/>
      <c r="J62" s="30"/>
      <c r="K62" s="30"/>
      <c r="L62" s="30"/>
      <c r="M62" s="30"/>
      <c r="N62" s="30"/>
      <c r="O62" s="30"/>
      <c r="P62" s="30"/>
      <c r="Q62" s="30"/>
      <c r="R62" s="30"/>
      <c r="S62" s="30"/>
      <c r="T62" s="114"/>
      <c r="U62" s="114"/>
      <c r="V62" s="114"/>
      <c r="W62" s="114"/>
      <c r="X62" s="114"/>
      <c r="Y62" s="114"/>
      <c r="Z62" s="114"/>
      <c r="AA62" s="114"/>
      <c r="AB62" s="114"/>
      <c r="AC62" s="114"/>
      <c r="AD62" s="114"/>
      <c r="AE62" s="114"/>
      <c r="AF62" s="114"/>
      <c r="AG62" s="114"/>
      <c r="AH62" s="114"/>
      <c r="AI62" s="30"/>
      <c r="AJ62" s="30"/>
      <c r="AK62" s="30"/>
      <c r="AL62" s="30"/>
      <c r="AM62" s="30"/>
      <c r="AN62" s="30"/>
      <c r="AO62" s="30"/>
      <c r="AP62" s="30"/>
      <c r="AQ62" s="30"/>
      <c r="AR62" s="30"/>
      <c r="AS62" s="30"/>
    </row>
    <row r="63" spans="1:45" ht="15.75" customHeight="1" x14ac:dyDescent="0.25">
      <c r="A63" s="30"/>
      <c r="B63" s="30"/>
      <c r="C63" s="30"/>
      <c r="D63" s="30"/>
      <c r="E63" s="30"/>
      <c r="F63" s="30"/>
      <c r="G63" s="30"/>
      <c r="H63" s="30"/>
      <c r="I63" s="30"/>
      <c r="J63" s="30"/>
      <c r="K63" s="30"/>
      <c r="L63" s="30"/>
      <c r="M63" s="30"/>
      <c r="N63" s="30"/>
      <c r="O63" s="30"/>
      <c r="P63" s="30"/>
      <c r="Q63" s="30"/>
      <c r="R63" s="30"/>
      <c r="S63" s="30"/>
      <c r="T63" s="114"/>
      <c r="U63" s="114"/>
      <c r="V63" s="114"/>
      <c r="W63" s="114"/>
      <c r="X63" s="114"/>
      <c r="Y63" s="114"/>
      <c r="Z63" s="114"/>
      <c r="AA63" s="114"/>
      <c r="AB63" s="114"/>
      <c r="AC63" s="114"/>
      <c r="AD63" s="114"/>
      <c r="AE63" s="114"/>
      <c r="AF63" s="114"/>
      <c r="AG63" s="114"/>
      <c r="AH63" s="114"/>
      <c r="AI63" s="30"/>
      <c r="AJ63" s="30"/>
      <c r="AK63" s="30"/>
      <c r="AL63" s="30"/>
      <c r="AM63" s="30"/>
      <c r="AN63" s="30"/>
      <c r="AO63" s="30"/>
      <c r="AP63" s="30"/>
      <c r="AQ63" s="30"/>
      <c r="AR63" s="30"/>
      <c r="AS63" s="30"/>
    </row>
    <row r="64" spans="1:45" ht="15.75" customHeight="1" x14ac:dyDescent="0.25">
      <c r="A64" s="30"/>
      <c r="B64" s="30"/>
      <c r="C64" s="30"/>
      <c r="D64" s="30"/>
      <c r="E64" s="30"/>
      <c r="F64" s="30"/>
      <c r="G64" s="30"/>
      <c r="H64" s="30"/>
      <c r="I64" s="30"/>
      <c r="J64" s="30"/>
      <c r="K64" s="30"/>
      <c r="L64" s="30"/>
      <c r="M64" s="30"/>
      <c r="N64" s="30"/>
      <c r="O64" s="30"/>
      <c r="P64" s="30"/>
      <c r="Q64" s="30"/>
      <c r="R64" s="30"/>
      <c r="S64" s="30"/>
      <c r="T64" s="114"/>
      <c r="U64" s="114"/>
      <c r="V64" s="114"/>
      <c r="W64" s="114"/>
      <c r="X64" s="114"/>
      <c r="Y64" s="114"/>
      <c r="Z64" s="114"/>
      <c r="AA64" s="114"/>
      <c r="AB64" s="114"/>
      <c r="AC64" s="114"/>
      <c r="AD64" s="114"/>
      <c r="AE64" s="114"/>
      <c r="AF64" s="114"/>
      <c r="AG64" s="114"/>
      <c r="AH64" s="114"/>
      <c r="AI64" s="30"/>
      <c r="AJ64" s="30"/>
      <c r="AK64" s="30"/>
      <c r="AL64" s="30"/>
      <c r="AM64" s="30"/>
      <c r="AN64" s="30"/>
      <c r="AO64" s="30"/>
      <c r="AP64" s="30"/>
      <c r="AQ64" s="30"/>
      <c r="AR64" s="30"/>
      <c r="AS64" s="30"/>
    </row>
    <row r="65" spans="1:45" ht="15.75" customHeight="1" x14ac:dyDescent="0.25">
      <c r="A65" s="30"/>
      <c r="B65" s="30"/>
      <c r="C65" s="30"/>
      <c r="D65" s="30"/>
      <c r="E65" s="30"/>
      <c r="F65" s="30"/>
      <c r="G65" s="30"/>
      <c r="H65" s="30"/>
      <c r="I65" s="30"/>
      <c r="J65" s="30"/>
      <c r="K65" s="30"/>
      <c r="L65" s="30"/>
      <c r="M65" s="30"/>
      <c r="N65" s="30"/>
      <c r="O65" s="30"/>
      <c r="P65" s="30"/>
      <c r="Q65" s="30"/>
      <c r="R65" s="30"/>
      <c r="S65" s="30"/>
      <c r="T65" s="114"/>
      <c r="U65" s="114"/>
      <c r="V65" s="114"/>
      <c r="W65" s="114"/>
      <c r="X65" s="114"/>
      <c r="Y65" s="114"/>
      <c r="Z65" s="114"/>
      <c r="AA65" s="114"/>
      <c r="AB65" s="114"/>
      <c r="AC65" s="114"/>
      <c r="AD65" s="114"/>
      <c r="AE65" s="114"/>
      <c r="AF65" s="114"/>
      <c r="AG65" s="114"/>
      <c r="AH65" s="114"/>
      <c r="AI65" s="30"/>
      <c r="AJ65" s="30"/>
      <c r="AK65" s="30"/>
      <c r="AL65" s="30"/>
      <c r="AM65" s="30"/>
      <c r="AN65" s="30"/>
      <c r="AO65" s="30"/>
      <c r="AP65" s="30"/>
      <c r="AQ65" s="30"/>
      <c r="AR65" s="30"/>
      <c r="AS65" s="30"/>
    </row>
    <row r="66" spans="1:45" ht="15.75" customHeight="1" x14ac:dyDescent="0.25">
      <c r="A66" s="30"/>
      <c r="B66" s="30"/>
      <c r="C66" s="30"/>
      <c r="D66" s="30"/>
      <c r="E66" s="30"/>
      <c r="F66" s="30"/>
      <c r="G66" s="30"/>
      <c r="H66" s="30"/>
      <c r="I66" s="30"/>
      <c r="J66" s="30"/>
      <c r="K66" s="30"/>
      <c r="L66" s="30"/>
      <c r="M66" s="30"/>
      <c r="N66" s="30"/>
      <c r="O66" s="30"/>
      <c r="P66" s="30"/>
      <c r="Q66" s="30"/>
      <c r="R66" s="30"/>
      <c r="S66" s="30"/>
      <c r="T66" s="114"/>
      <c r="U66" s="114"/>
      <c r="V66" s="114"/>
      <c r="W66" s="114"/>
      <c r="X66" s="114"/>
      <c r="Y66" s="114"/>
      <c r="Z66" s="114"/>
      <c r="AA66" s="114"/>
      <c r="AB66" s="114"/>
      <c r="AC66" s="114"/>
      <c r="AD66" s="114"/>
      <c r="AE66" s="114"/>
      <c r="AF66" s="114"/>
      <c r="AG66" s="114"/>
      <c r="AH66" s="114"/>
      <c r="AI66" s="30"/>
      <c r="AJ66" s="30"/>
      <c r="AK66" s="30"/>
      <c r="AL66" s="30"/>
      <c r="AM66" s="30"/>
      <c r="AN66" s="30"/>
      <c r="AO66" s="30"/>
      <c r="AP66" s="30"/>
      <c r="AQ66" s="30"/>
      <c r="AR66" s="30"/>
      <c r="AS66" s="30"/>
    </row>
    <row r="67" spans="1:45" ht="15.75" customHeight="1" x14ac:dyDescent="0.25">
      <c r="A67" s="30"/>
      <c r="B67" s="30"/>
      <c r="C67" s="30"/>
      <c r="D67" s="30"/>
      <c r="E67" s="30"/>
      <c r="F67" s="30"/>
      <c r="G67" s="30"/>
      <c r="H67" s="30"/>
      <c r="I67" s="30"/>
      <c r="J67" s="30"/>
      <c r="K67" s="30"/>
      <c r="L67" s="30"/>
      <c r="M67" s="30"/>
      <c r="N67" s="30"/>
      <c r="O67" s="30"/>
      <c r="P67" s="30"/>
      <c r="Q67" s="30"/>
      <c r="R67" s="30"/>
      <c r="S67" s="30"/>
      <c r="T67" s="114"/>
      <c r="U67" s="114"/>
      <c r="V67" s="114"/>
      <c r="W67" s="114"/>
      <c r="X67" s="114"/>
      <c r="Y67" s="114"/>
      <c r="Z67" s="114"/>
      <c r="AA67" s="114"/>
      <c r="AB67" s="114"/>
      <c r="AC67" s="114"/>
      <c r="AD67" s="114"/>
      <c r="AE67" s="114"/>
      <c r="AF67" s="114"/>
      <c r="AG67" s="114"/>
      <c r="AH67" s="114"/>
      <c r="AI67" s="30"/>
      <c r="AJ67" s="30"/>
      <c r="AK67" s="30"/>
      <c r="AL67" s="30"/>
      <c r="AM67" s="30"/>
      <c r="AN67" s="30"/>
      <c r="AO67" s="30"/>
      <c r="AP67" s="30"/>
      <c r="AQ67" s="30"/>
      <c r="AR67" s="30"/>
      <c r="AS67" s="30"/>
    </row>
    <row r="68" spans="1:45" ht="15.75" customHeight="1" x14ac:dyDescent="0.25">
      <c r="A68" s="30"/>
      <c r="B68" s="30"/>
      <c r="C68" s="30"/>
      <c r="D68" s="30"/>
      <c r="E68" s="30"/>
      <c r="F68" s="30"/>
      <c r="G68" s="30"/>
      <c r="H68" s="30"/>
      <c r="I68" s="30"/>
      <c r="J68" s="30"/>
      <c r="K68" s="30"/>
      <c r="L68" s="30"/>
      <c r="M68" s="30"/>
      <c r="N68" s="30"/>
      <c r="O68" s="30"/>
      <c r="P68" s="30"/>
      <c r="Q68" s="30"/>
      <c r="R68" s="30"/>
      <c r="S68" s="30"/>
      <c r="T68" s="114"/>
      <c r="U68" s="114"/>
      <c r="V68" s="114"/>
      <c r="W68" s="114"/>
      <c r="X68" s="114"/>
      <c r="Y68" s="114"/>
      <c r="Z68" s="114"/>
      <c r="AA68" s="114"/>
      <c r="AB68" s="114"/>
      <c r="AC68" s="114"/>
      <c r="AD68" s="114"/>
      <c r="AE68" s="114"/>
      <c r="AF68" s="114"/>
      <c r="AG68" s="114"/>
      <c r="AH68" s="114"/>
      <c r="AI68" s="30"/>
      <c r="AJ68" s="30"/>
      <c r="AK68" s="30"/>
      <c r="AL68" s="30"/>
      <c r="AM68" s="30"/>
      <c r="AN68" s="30"/>
      <c r="AO68" s="30"/>
      <c r="AP68" s="30"/>
      <c r="AQ68" s="30"/>
      <c r="AR68" s="30"/>
      <c r="AS68" s="30"/>
    </row>
    <row r="69" spans="1:45" ht="15.75" customHeight="1" x14ac:dyDescent="0.25">
      <c r="A69" s="30"/>
      <c r="B69" s="30"/>
      <c r="C69" s="30"/>
      <c r="D69" s="30"/>
      <c r="E69" s="30"/>
      <c r="F69" s="30"/>
      <c r="G69" s="30"/>
      <c r="H69" s="30"/>
      <c r="I69" s="30"/>
      <c r="J69" s="30"/>
      <c r="K69" s="30"/>
      <c r="L69" s="30"/>
      <c r="M69" s="30"/>
      <c r="N69" s="30"/>
      <c r="O69" s="30"/>
      <c r="P69" s="30"/>
      <c r="Q69" s="30"/>
      <c r="R69" s="30"/>
      <c r="S69" s="30"/>
      <c r="T69" s="114"/>
      <c r="U69" s="114"/>
      <c r="V69" s="114"/>
      <c r="W69" s="114"/>
      <c r="X69" s="114"/>
      <c r="Y69" s="114"/>
      <c r="Z69" s="114"/>
      <c r="AA69" s="114"/>
      <c r="AB69" s="114"/>
      <c r="AC69" s="114"/>
      <c r="AD69" s="114"/>
      <c r="AE69" s="114"/>
      <c r="AF69" s="114"/>
      <c r="AG69" s="114"/>
      <c r="AH69" s="114"/>
      <c r="AI69" s="30"/>
      <c r="AJ69" s="30"/>
      <c r="AK69" s="30"/>
      <c r="AL69" s="30"/>
      <c r="AM69" s="30"/>
      <c r="AN69" s="30"/>
      <c r="AO69" s="30"/>
      <c r="AP69" s="30"/>
      <c r="AQ69" s="30"/>
      <c r="AR69" s="30"/>
      <c r="AS69" s="30"/>
    </row>
    <row r="70" spans="1:45" ht="15.75" customHeight="1" x14ac:dyDescent="0.25">
      <c r="A70" s="30"/>
      <c r="B70" s="30"/>
      <c r="C70" s="30"/>
      <c r="D70" s="30"/>
      <c r="E70" s="30"/>
      <c r="F70" s="30"/>
      <c r="G70" s="30"/>
      <c r="H70" s="30"/>
      <c r="I70" s="30"/>
      <c r="J70" s="30"/>
      <c r="K70" s="30"/>
      <c r="L70" s="30"/>
      <c r="M70" s="30"/>
      <c r="N70" s="30"/>
      <c r="O70" s="30"/>
      <c r="P70" s="30"/>
      <c r="Q70" s="30"/>
      <c r="R70" s="30"/>
      <c r="S70" s="30"/>
      <c r="T70" s="114"/>
      <c r="U70" s="114"/>
      <c r="V70" s="114"/>
      <c r="W70" s="114"/>
      <c r="X70" s="114"/>
      <c r="Y70" s="114"/>
      <c r="Z70" s="114"/>
      <c r="AA70" s="114"/>
      <c r="AB70" s="114"/>
      <c r="AC70" s="114"/>
      <c r="AD70" s="114"/>
      <c r="AE70" s="114"/>
      <c r="AF70" s="114"/>
      <c r="AG70" s="114"/>
      <c r="AH70" s="114"/>
      <c r="AI70" s="30"/>
      <c r="AJ70" s="30"/>
      <c r="AK70" s="30"/>
      <c r="AL70" s="30"/>
      <c r="AM70" s="30"/>
      <c r="AN70" s="30"/>
      <c r="AO70" s="30"/>
      <c r="AP70" s="30"/>
      <c r="AQ70" s="30"/>
      <c r="AR70" s="30"/>
      <c r="AS70" s="30"/>
    </row>
    <row r="71" spans="1:45" ht="15.75" customHeight="1" x14ac:dyDescent="0.25">
      <c r="A71" s="30"/>
      <c r="B71" s="30"/>
      <c r="C71" s="30"/>
      <c r="D71" s="30"/>
      <c r="E71" s="30"/>
      <c r="F71" s="30"/>
      <c r="G71" s="30"/>
      <c r="H71" s="30"/>
      <c r="I71" s="30"/>
      <c r="J71" s="30"/>
      <c r="K71" s="30"/>
      <c r="L71" s="30"/>
      <c r="M71" s="30"/>
      <c r="N71" s="30"/>
      <c r="O71" s="30"/>
      <c r="P71" s="30"/>
      <c r="Q71" s="30"/>
      <c r="R71" s="30"/>
      <c r="S71" s="30"/>
      <c r="T71" s="114"/>
      <c r="U71" s="114"/>
      <c r="V71" s="114"/>
      <c r="W71" s="114"/>
      <c r="X71" s="114"/>
      <c r="Y71" s="114"/>
      <c r="Z71" s="114"/>
      <c r="AA71" s="114"/>
      <c r="AB71" s="114"/>
      <c r="AC71" s="114"/>
      <c r="AD71" s="114"/>
      <c r="AE71" s="114"/>
      <c r="AF71" s="114"/>
      <c r="AG71" s="114"/>
      <c r="AH71" s="114"/>
      <c r="AI71" s="30"/>
      <c r="AJ71" s="30"/>
      <c r="AK71" s="30"/>
      <c r="AL71" s="30"/>
      <c r="AM71" s="30"/>
      <c r="AN71" s="30"/>
      <c r="AO71" s="30"/>
      <c r="AP71" s="30"/>
      <c r="AQ71" s="30"/>
      <c r="AR71" s="30"/>
      <c r="AS71" s="30"/>
    </row>
    <row r="72" spans="1:45" ht="15.75" customHeight="1" x14ac:dyDescent="0.25">
      <c r="A72" s="30"/>
      <c r="B72" s="30"/>
      <c r="C72" s="30"/>
      <c r="D72" s="30"/>
      <c r="E72" s="30"/>
      <c r="F72" s="30"/>
      <c r="G72" s="30"/>
      <c r="H72" s="30"/>
      <c r="I72" s="30"/>
      <c r="J72" s="30"/>
      <c r="K72" s="30"/>
      <c r="L72" s="30"/>
      <c r="M72" s="30"/>
      <c r="N72" s="30"/>
      <c r="O72" s="30"/>
      <c r="P72" s="30"/>
      <c r="Q72" s="30"/>
      <c r="R72" s="30"/>
      <c r="S72" s="30"/>
      <c r="T72" s="114"/>
      <c r="U72" s="114"/>
      <c r="V72" s="114"/>
      <c r="W72" s="114"/>
      <c r="X72" s="114"/>
      <c r="Y72" s="114"/>
      <c r="Z72" s="114"/>
      <c r="AA72" s="114"/>
      <c r="AB72" s="114"/>
      <c r="AC72" s="114"/>
      <c r="AD72" s="114"/>
      <c r="AE72" s="114"/>
      <c r="AF72" s="114"/>
      <c r="AG72" s="114"/>
      <c r="AH72" s="114"/>
      <c r="AI72" s="30"/>
      <c r="AJ72" s="30"/>
      <c r="AK72" s="30"/>
      <c r="AL72" s="30"/>
      <c r="AM72" s="30"/>
      <c r="AN72" s="30"/>
      <c r="AO72" s="30"/>
      <c r="AP72" s="30"/>
      <c r="AQ72" s="30"/>
      <c r="AR72" s="30"/>
      <c r="AS72" s="30"/>
    </row>
    <row r="73" spans="1:45" ht="15.75" customHeight="1" x14ac:dyDescent="0.25">
      <c r="A73" s="30"/>
      <c r="B73" s="30"/>
      <c r="C73" s="30"/>
      <c r="D73" s="30"/>
      <c r="E73" s="30"/>
      <c r="F73" s="30"/>
      <c r="G73" s="30"/>
      <c r="H73" s="30"/>
      <c r="I73" s="30"/>
      <c r="J73" s="30"/>
      <c r="K73" s="30"/>
      <c r="L73" s="30"/>
      <c r="M73" s="30"/>
      <c r="N73" s="30"/>
      <c r="O73" s="30"/>
      <c r="P73" s="30"/>
      <c r="Q73" s="30"/>
      <c r="R73" s="30"/>
      <c r="S73" s="30"/>
      <c r="T73" s="114"/>
      <c r="U73" s="114"/>
      <c r="V73" s="114"/>
      <c r="W73" s="114"/>
      <c r="X73" s="114"/>
      <c r="Y73" s="114"/>
      <c r="Z73" s="114"/>
      <c r="AA73" s="114"/>
      <c r="AB73" s="114"/>
      <c r="AC73" s="114"/>
      <c r="AD73" s="114"/>
      <c r="AE73" s="114"/>
      <c r="AF73" s="114"/>
      <c r="AG73" s="114"/>
      <c r="AH73" s="114"/>
      <c r="AI73" s="30"/>
      <c r="AJ73" s="30"/>
      <c r="AK73" s="30"/>
      <c r="AL73" s="30"/>
      <c r="AM73" s="30"/>
      <c r="AN73" s="30"/>
      <c r="AO73" s="30"/>
      <c r="AP73" s="30"/>
      <c r="AQ73" s="30"/>
      <c r="AR73" s="30"/>
      <c r="AS73" s="30"/>
    </row>
    <row r="74" spans="1:45" ht="15.75" customHeight="1" x14ac:dyDescent="0.25">
      <c r="A74" s="30"/>
      <c r="B74" s="30"/>
      <c r="C74" s="30"/>
      <c r="D74" s="30"/>
      <c r="E74" s="30"/>
      <c r="F74" s="30"/>
      <c r="G74" s="30"/>
      <c r="H74" s="30"/>
      <c r="I74" s="30"/>
      <c r="J74" s="30"/>
      <c r="K74" s="30"/>
      <c r="L74" s="30"/>
      <c r="M74" s="30"/>
      <c r="N74" s="30"/>
      <c r="O74" s="30"/>
      <c r="P74" s="30"/>
      <c r="Q74" s="30"/>
      <c r="R74" s="30"/>
      <c r="S74" s="30"/>
      <c r="T74" s="114"/>
      <c r="U74" s="114"/>
      <c r="V74" s="114"/>
      <c r="W74" s="114"/>
      <c r="X74" s="114"/>
      <c r="Y74" s="114"/>
      <c r="Z74" s="114"/>
      <c r="AA74" s="114"/>
      <c r="AB74" s="114"/>
      <c r="AC74" s="114"/>
      <c r="AD74" s="114"/>
      <c r="AE74" s="114"/>
      <c r="AF74" s="114"/>
      <c r="AG74" s="114"/>
      <c r="AH74" s="114"/>
      <c r="AI74" s="30"/>
      <c r="AJ74" s="30"/>
      <c r="AK74" s="30"/>
      <c r="AL74" s="30"/>
      <c r="AM74" s="30"/>
      <c r="AN74" s="30"/>
      <c r="AO74" s="30"/>
      <c r="AP74" s="30"/>
      <c r="AQ74" s="30"/>
      <c r="AR74" s="30"/>
      <c r="AS74" s="30"/>
    </row>
    <row r="75" spans="1:45" ht="15.75" customHeight="1" x14ac:dyDescent="0.25">
      <c r="A75" s="30"/>
      <c r="B75" s="30"/>
      <c r="C75" s="30"/>
      <c r="D75" s="30"/>
      <c r="E75" s="30"/>
      <c r="F75" s="30"/>
      <c r="G75" s="30"/>
      <c r="H75" s="30"/>
      <c r="I75" s="30"/>
      <c r="J75" s="30"/>
      <c r="K75" s="30"/>
      <c r="L75" s="30"/>
      <c r="M75" s="30"/>
      <c r="N75" s="30"/>
      <c r="O75" s="30"/>
      <c r="P75" s="30"/>
      <c r="Q75" s="30"/>
      <c r="R75" s="30"/>
      <c r="S75" s="30"/>
      <c r="T75" s="114"/>
      <c r="U75" s="114"/>
      <c r="V75" s="114"/>
      <c r="W75" s="114"/>
      <c r="X75" s="114"/>
      <c r="Y75" s="114"/>
      <c r="Z75" s="114"/>
      <c r="AA75" s="114"/>
      <c r="AB75" s="114"/>
      <c r="AC75" s="114"/>
      <c r="AD75" s="114"/>
      <c r="AE75" s="114"/>
      <c r="AF75" s="114"/>
      <c r="AG75" s="114"/>
      <c r="AH75" s="114"/>
      <c r="AI75" s="30"/>
      <c r="AJ75" s="30"/>
      <c r="AK75" s="30"/>
      <c r="AL75" s="30"/>
      <c r="AM75" s="30"/>
      <c r="AN75" s="30"/>
      <c r="AO75" s="30"/>
      <c r="AP75" s="30"/>
      <c r="AQ75" s="30"/>
      <c r="AR75" s="30"/>
      <c r="AS75" s="30"/>
    </row>
    <row r="76" spans="1:45" ht="15.75" customHeight="1" x14ac:dyDescent="0.25">
      <c r="A76" s="30"/>
      <c r="B76" s="30"/>
      <c r="C76" s="30"/>
      <c r="D76" s="30"/>
      <c r="E76" s="30"/>
      <c r="F76" s="30"/>
      <c r="G76" s="30"/>
      <c r="H76" s="30"/>
      <c r="I76" s="30"/>
      <c r="J76" s="30"/>
      <c r="K76" s="30"/>
      <c r="L76" s="30"/>
      <c r="M76" s="30"/>
      <c r="N76" s="30"/>
      <c r="O76" s="30"/>
      <c r="P76" s="30"/>
      <c r="Q76" s="30"/>
      <c r="R76" s="30"/>
      <c r="S76" s="30"/>
      <c r="T76" s="114"/>
      <c r="U76" s="114"/>
      <c r="V76" s="114"/>
      <c r="W76" s="114"/>
      <c r="X76" s="114"/>
      <c r="Y76" s="114"/>
      <c r="Z76" s="114"/>
      <c r="AA76" s="114"/>
      <c r="AB76" s="114"/>
      <c r="AC76" s="114"/>
      <c r="AD76" s="114"/>
      <c r="AE76" s="114"/>
      <c r="AF76" s="114"/>
      <c r="AG76" s="114"/>
      <c r="AH76" s="114"/>
      <c r="AI76" s="30"/>
      <c r="AJ76" s="30"/>
      <c r="AK76" s="30"/>
      <c r="AL76" s="30"/>
      <c r="AM76" s="30"/>
      <c r="AN76" s="30"/>
      <c r="AO76" s="30"/>
      <c r="AP76" s="30"/>
      <c r="AQ76" s="30"/>
      <c r="AR76" s="30"/>
      <c r="AS76" s="30"/>
    </row>
    <row r="77" spans="1:45" ht="15.75" customHeight="1" x14ac:dyDescent="0.25">
      <c r="A77" s="30"/>
      <c r="B77" s="30"/>
      <c r="C77" s="30"/>
      <c r="D77" s="30"/>
      <c r="E77" s="30"/>
      <c r="F77" s="30"/>
      <c r="G77" s="30"/>
      <c r="H77" s="30"/>
      <c r="I77" s="30"/>
      <c r="J77" s="30"/>
      <c r="K77" s="30"/>
      <c r="L77" s="30"/>
      <c r="M77" s="30"/>
      <c r="N77" s="30"/>
      <c r="O77" s="30"/>
      <c r="P77" s="30"/>
      <c r="Q77" s="30"/>
      <c r="R77" s="30"/>
      <c r="S77" s="30"/>
      <c r="T77" s="114"/>
      <c r="U77" s="114"/>
      <c r="V77" s="114"/>
      <c r="W77" s="114"/>
      <c r="X77" s="114"/>
      <c r="Y77" s="114"/>
      <c r="Z77" s="114"/>
      <c r="AA77" s="114"/>
      <c r="AB77" s="114"/>
      <c r="AC77" s="114"/>
      <c r="AD77" s="114"/>
      <c r="AE77" s="114"/>
      <c r="AF77" s="114"/>
      <c r="AG77" s="114"/>
      <c r="AH77" s="114"/>
      <c r="AI77" s="30"/>
      <c r="AJ77" s="30"/>
      <c r="AK77" s="30"/>
      <c r="AL77" s="30"/>
      <c r="AM77" s="30"/>
      <c r="AN77" s="30"/>
      <c r="AO77" s="30"/>
      <c r="AP77" s="30"/>
      <c r="AQ77" s="30"/>
      <c r="AR77" s="30"/>
      <c r="AS77" s="30"/>
    </row>
    <row r="78" spans="1:45" ht="15.75" customHeight="1" x14ac:dyDescent="0.25">
      <c r="A78" s="30"/>
      <c r="B78" s="30"/>
      <c r="C78" s="30"/>
      <c r="D78" s="30"/>
      <c r="E78" s="30"/>
      <c r="F78" s="30"/>
      <c r="G78" s="30"/>
      <c r="H78" s="30"/>
      <c r="I78" s="30"/>
      <c r="J78" s="30"/>
      <c r="K78" s="30"/>
      <c r="L78" s="30"/>
      <c r="M78" s="30"/>
      <c r="N78" s="30"/>
      <c r="O78" s="30"/>
      <c r="P78" s="30"/>
      <c r="Q78" s="30"/>
      <c r="R78" s="30"/>
      <c r="S78" s="30"/>
      <c r="T78" s="114"/>
      <c r="U78" s="114"/>
      <c r="V78" s="114"/>
      <c r="W78" s="114"/>
      <c r="X78" s="114"/>
      <c r="Y78" s="114"/>
      <c r="Z78" s="114"/>
      <c r="AA78" s="114"/>
      <c r="AB78" s="114"/>
      <c r="AC78" s="114"/>
      <c r="AD78" s="114"/>
      <c r="AE78" s="114"/>
      <c r="AF78" s="114"/>
      <c r="AG78" s="114"/>
      <c r="AH78" s="114"/>
      <c r="AI78" s="30"/>
      <c r="AJ78" s="30"/>
      <c r="AK78" s="30"/>
      <c r="AL78" s="30"/>
      <c r="AM78" s="30"/>
      <c r="AN78" s="30"/>
      <c r="AO78" s="30"/>
      <c r="AP78" s="30"/>
      <c r="AQ78" s="30"/>
      <c r="AR78" s="30"/>
      <c r="AS78" s="30"/>
    </row>
    <row r="79" spans="1:45" ht="15.75" customHeight="1" x14ac:dyDescent="0.25">
      <c r="A79" s="30"/>
      <c r="B79" s="30"/>
      <c r="C79" s="30"/>
      <c r="D79" s="30"/>
      <c r="E79" s="30"/>
      <c r="F79" s="30"/>
      <c r="G79" s="30"/>
      <c r="H79" s="30"/>
      <c r="I79" s="30"/>
      <c r="J79" s="30"/>
      <c r="K79" s="30"/>
      <c r="L79" s="30"/>
      <c r="M79" s="30"/>
      <c r="N79" s="30"/>
      <c r="O79" s="30"/>
      <c r="P79" s="30"/>
      <c r="Q79" s="30"/>
      <c r="R79" s="30"/>
      <c r="S79" s="30"/>
      <c r="T79" s="114"/>
      <c r="U79" s="114"/>
      <c r="V79" s="114"/>
      <c r="W79" s="114"/>
      <c r="X79" s="114"/>
      <c r="Y79" s="114"/>
      <c r="Z79" s="114"/>
      <c r="AA79" s="114"/>
      <c r="AB79" s="114"/>
      <c r="AC79" s="114"/>
      <c r="AD79" s="114"/>
      <c r="AE79" s="114"/>
      <c r="AF79" s="114"/>
      <c r="AG79" s="114"/>
      <c r="AH79" s="114"/>
      <c r="AI79" s="30"/>
      <c r="AJ79" s="30"/>
      <c r="AK79" s="30"/>
      <c r="AL79" s="30"/>
      <c r="AM79" s="30"/>
      <c r="AN79" s="30"/>
      <c r="AO79" s="30"/>
      <c r="AP79" s="30"/>
      <c r="AQ79" s="30"/>
      <c r="AR79" s="30"/>
      <c r="AS79" s="30"/>
    </row>
    <row r="80" spans="1:45" ht="15.75" customHeight="1" x14ac:dyDescent="0.25">
      <c r="A80" s="30"/>
      <c r="B80" s="30"/>
      <c r="C80" s="30"/>
      <c r="D80" s="30"/>
      <c r="E80" s="30"/>
      <c r="F80" s="30"/>
      <c r="G80" s="30"/>
      <c r="H80" s="30"/>
      <c r="I80" s="30"/>
      <c r="J80" s="30"/>
      <c r="K80" s="30"/>
      <c r="L80" s="30"/>
      <c r="M80" s="30"/>
      <c r="N80" s="30"/>
      <c r="O80" s="30"/>
      <c r="P80" s="30"/>
      <c r="Q80" s="30"/>
      <c r="R80" s="30"/>
      <c r="S80" s="30"/>
      <c r="T80" s="114"/>
      <c r="U80" s="114"/>
      <c r="V80" s="114"/>
      <c r="W80" s="114"/>
      <c r="X80" s="114"/>
      <c r="Y80" s="114"/>
      <c r="Z80" s="114"/>
      <c r="AA80" s="114"/>
      <c r="AB80" s="114"/>
      <c r="AC80" s="114"/>
      <c r="AD80" s="114"/>
      <c r="AE80" s="114"/>
      <c r="AF80" s="114"/>
      <c r="AG80" s="114"/>
      <c r="AH80" s="114"/>
      <c r="AI80" s="30"/>
      <c r="AJ80" s="30"/>
      <c r="AK80" s="30"/>
      <c r="AL80" s="30"/>
      <c r="AM80" s="30"/>
      <c r="AN80" s="30"/>
      <c r="AO80" s="30"/>
      <c r="AP80" s="30"/>
      <c r="AQ80" s="30"/>
      <c r="AR80" s="30"/>
      <c r="AS80" s="30"/>
    </row>
    <row r="81" spans="1:45" ht="15.75" customHeight="1" x14ac:dyDescent="0.25">
      <c r="A81" s="30"/>
      <c r="B81" s="30"/>
      <c r="C81" s="30"/>
      <c r="D81" s="30"/>
      <c r="E81" s="30"/>
      <c r="F81" s="30"/>
      <c r="G81" s="30"/>
      <c r="H81" s="30"/>
      <c r="I81" s="30"/>
      <c r="J81" s="30"/>
      <c r="K81" s="30"/>
      <c r="L81" s="30"/>
      <c r="M81" s="30"/>
      <c r="N81" s="30"/>
      <c r="O81" s="30"/>
      <c r="P81" s="30"/>
      <c r="Q81" s="30"/>
      <c r="R81" s="30"/>
      <c r="S81" s="30"/>
      <c r="T81" s="114"/>
      <c r="U81" s="114"/>
      <c r="V81" s="114"/>
      <c r="W81" s="114"/>
      <c r="X81" s="114"/>
      <c r="Y81" s="114"/>
      <c r="Z81" s="114"/>
      <c r="AA81" s="114"/>
      <c r="AB81" s="114"/>
      <c r="AC81" s="114"/>
      <c r="AD81" s="114"/>
      <c r="AE81" s="114"/>
      <c r="AF81" s="114"/>
      <c r="AG81" s="114"/>
      <c r="AH81" s="114"/>
      <c r="AI81" s="30"/>
      <c r="AJ81" s="30"/>
      <c r="AK81" s="30"/>
      <c r="AL81" s="30"/>
      <c r="AM81" s="30"/>
      <c r="AN81" s="30"/>
      <c r="AO81" s="30"/>
      <c r="AP81" s="30"/>
      <c r="AQ81" s="30"/>
      <c r="AR81" s="30"/>
      <c r="AS81" s="30"/>
    </row>
    <row r="82" spans="1:45" ht="15.75" customHeight="1" x14ac:dyDescent="0.25">
      <c r="A82" s="30"/>
      <c r="B82" s="30"/>
      <c r="C82" s="30"/>
      <c r="D82" s="30"/>
      <c r="E82" s="30"/>
      <c r="F82" s="30"/>
      <c r="G82" s="30"/>
      <c r="H82" s="30"/>
      <c r="I82" s="30"/>
      <c r="J82" s="30"/>
      <c r="K82" s="30"/>
      <c r="L82" s="30"/>
      <c r="M82" s="30"/>
      <c r="N82" s="30"/>
      <c r="O82" s="30"/>
      <c r="P82" s="30"/>
      <c r="Q82" s="30"/>
      <c r="R82" s="30"/>
      <c r="S82" s="30"/>
      <c r="T82" s="114"/>
      <c r="U82" s="114"/>
      <c r="V82" s="114"/>
      <c r="W82" s="114"/>
      <c r="X82" s="114"/>
      <c r="Y82" s="114"/>
      <c r="Z82" s="114"/>
      <c r="AA82" s="114"/>
      <c r="AB82" s="114"/>
      <c r="AC82" s="114"/>
      <c r="AD82" s="114"/>
      <c r="AE82" s="114"/>
      <c r="AF82" s="114"/>
      <c r="AG82" s="114"/>
      <c r="AH82" s="114"/>
      <c r="AI82" s="30"/>
      <c r="AJ82" s="30"/>
      <c r="AK82" s="30"/>
      <c r="AL82" s="30"/>
      <c r="AM82" s="30"/>
      <c r="AN82" s="30"/>
      <c r="AO82" s="30"/>
      <c r="AP82" s="30"/>
      <c r="AQ82" s="30"/>
      <c r="AR82" s="30"/>
      <c r="AS82" s="30"/>
    </row>
    <row r="83" spans="1:45" ht="15.75" customHeight="1" x14ac:dyDescent="0.25">
      <c r="A83" s="30"/>
      <c r="B83" s="30"/>
      <c r="C83" s="30"/>
      <c r="D83" s="30"/>
      <c r="E83" s="30"/>
      <c r="F83" s="30"/>
      <c r="G83" s="30"/>
      <c r="H83" s="30"/>
      <c r="I83" s="30"/>
      <c r="J83" s="30"/>
      <c r="K83" s="30"/>
      <c r="L83" s="30"/>
      <c r="M83" s="30"/>
      <c r="N83" s="30"/>
      <c r="O83" s="30"/>
      <c r="P83" s="30"/>
      <c r="Q83" s="30"/>
      <c r="R83" s="30"/>
      <c r="S83" s="30"/>
      <c r="T83" s="114"/>
      <c r="U83" s="114"/>
      <c r="V83" s="114"/>
      <c r="W83" s="114"/>
      <c r="X83" s="114"/>
      <c r="Y83" s="114"/>
      <c r="Z83" s="114"/>
      <c r="AA83" s="114"/>
      <c r="AB83" s="114"/>
      <c r="AC83" s="114"/>
      <c r="AD83" s="114"/>
      <c r="AE83" s="114"/>
      <c r="AF83" s="114"/>
      <c r="AG83" s="114"/>
      <c r="AH83" s="114"/>
      <c r="AI83" s="30"/>
      <c r="AJ83" s="30"/>
      <c r="AK83" s="30"/>
      <c r="AL83" s="30"/>
      <c r="AM83" s="30"/>
      <c r="AN83" s="30"/>
      <c r="AO83" s="30"/>
      <c r="AP83" s="30"/>
      <c r="AQ83" s="30"/>
      <c r="AR83" s="30"/>
      <c r="AS83" s="30"/>
    </row>
    <row r="84" spans="1:45" ht="15.75" customHeight="1" x14ac:dyDescent="0.25">
      <c r="A84" s="30"/>
      <c r="B84" s="30"/>
      <c r="C84" s="30"/>
      <c r="D84" s="30"/>
      <c r="E84" s="30"/>
      <c r="F84" s="30"/>
      <c r="G84" s="30"/>
      <c r="H84" s="30"/>
      <c r="I84" s="30"/>
      <c r="J84" s="30"/>
      <c r="K84" s="30"/>
      <c r="L84" s="30"/>
      <c r="M84" s="30"/>
      <c r="N84" s="30"/>
      <c r="O84" s="30"/>
      <c r="P84" s="30"/>
      <c r="Q84" s="30"/>
      <c r="R84" s="30"/>
      <c r="S84" s="30"/>
      <c r="T84" s="114"/>
      <c r="U84" s="114"/>
      <c r="V84" s="114"/>
      <c r="W84" s="114"/>
      <c r="X84" s="114"/>
      <c r="Y84" s="114"/>
      <c r="Z84" s="114"/>
      <c r="AA84" s="114"/>
      <c r="AB84" s="114"/>
      <c r="AC84" s="114"/>
      <c r="AD84" s="114"/>
      <c r="AE84" s="114"/>
      <c r="AF84" s="114"/>
      <c r="AG84" s="114"/>
      <c r="AH84" s="114"/>
      <c r="AI84" s="30"/>
      <c r="AJ84" s="30"/>
      <c r="AK84" s="30"/>
      <c r="AL84" s="30"/>
      <c r="AM84" s="30"/>
      <c r="AN84" s="30"/>
      <c r="AO84" s="30"/>
      <c r="AP84" s="30"/>
      <c r="AQ84" s="30"/>
      <c r="AR84" s="30"/>
      <c r="AS84" s="30"/>
    </row>
    <row r="85" spans="1:45" ht="15.75" customHeight="1" x14ac:dyDescent="0.25">
      <c r="A85" s="30"/>
      <c r="B85" s="30"/>
      <c r="C85" s="30"/>
      <c r="D85" s="30"/>
      <c r="E85" s="30"/>
      <c r="F85" s="30"/>
      <c r="G85" s="30"/>
      <c r="H85" s="30"/>
      <c r="I85" s="30"/>
      <c r="J85" s="30"/>
      <c r="K85" s="30"/>
      <c r="L85" s="30"/>
      <c r="M85" s="30"/>
      <c r="N85" s="30"/>
      <c r="O85" s="30"/>
      <c r="P85" s="30"/>
      <c r="Q85" s="30"/>
      <c r="R85" s="30"/>
      <c r="S85" s="30"/>
      <c r="T85" s="114"/>
      <c r="U85" s="114"/>
      <c r="V85" s="114"/>
      <c r="W85" s="114"/>
      <c r="X85" s="114"/>
      <c r="Y85" s="114"/>
      <c r="Z85" s="114"/>
      <c r="AA85" s="114"/>
      <c r="AB85" s="114"/>
      <c r="AC85" s="114"/>
      <c r="AD85" s="114"/>
      <c r="AE85" s="114"/>
      <c r="AF85" s="114"/>
      <c r="AG85" s="114"/>
      <c r="AH85" s="114"/>
      <c r="AI85" s="30"/>
      <c r="AJ85" s="30"/>
      <c r="AK85" s="30"/>
      <c r="AL85" s="30"/>
      <c r="AM85" s="30"/>
      <c r="AN85" s="30"/>
      <c r="AO85" s="30"/>
      <c r="AP85" s="30"/>
      <c r="AQ85" s="30"/>
      <c r="AR85" s="30"/>
      <c r="AS85" s="30"/>
    </row>
    <row r="86" spans="1:45" ht="15.75" customHeight="1" x14ac:dyDescent="0.25">
      <c r="A86" s="30"/>
      <c r="B86" s="30"/>
      <c r="C86" s="30"/>
      <c r="D86" s="30"/>
      <c r="E86" s="30"/>
      <c r="F86" s="30"/>
      <c r="G86" s="30"/>
      <c r="H86" s="30"/>
      <c r="I86" s="30"/>
      <c r="J86" s="30"/>
      <c r="K86" s="30"/>
      <c r="L86" s="30"/>
      <c r="M86" s="30"/>
      <c r="N86" s="30"/>
      <c r="O86" s="30"/>
      <c r="P86" s="30"/>
      <c r="Q86" s="30"/>
      <c r="R86" s="30"/>
      <c r="S86" s="30"/>
      <c r="T86" s="114"/>
      <c r="U86" s="114"/>
      <c r="V86" s="114"/>
      <c r="W86" s="114"/>
      <c r="X86" s="114"/>
      <c r="Y86" s="114"/>
      <c r="Z86" s="114"/>
      <c r="AA86" s="114"/>
      <c r="AB86" s="114"/>
      <c r="AC86" s="114"/>
      <c r="AD86" s="114"/>
      <c r="AE86" s="114"/>
      <c r="AF86" s="114"/>
      <c r="AG86" s="114"/>
      <c r="AH86" s="114"/>
      <c r="AI86" s="30"/>
      <c r="AJ86" s="30"/>
      <c r="AK86" s="30"/>
      <c r="AL86" s="30"/>
      <c r="AM86" s="30"/>
      <c r="AN86" s="30"/>
      <c r="AO86" s="30"/>
      <c r="AP86" s="30"/>
      <c r="AQ86" s="30"/>
      <c r="AR86" s="30"/>
      <c r="AS86" s="30"/>
    </row>
    <row r="87" spans="1:45" ht="15.75" customHeight="1" x14ac:dyDescent="0.25">
      <c r="A87" s="30"/>
      <c r="B87" s="30"/>
      <c r="C87" s="30"/>
      <c r="D87" s="30"/>
      <c r="E87" s="30"/>
      <c r="F87" s="30"/>
      <c r="G87" s="30"/>
      <c r="H87" s="30"/>
      <c r="I87" s="30"/>
      <c r="J87" s="30"/>
      <c r="K87" s="30"/>
      <c r="L87" s="30"/>
      <c r="M87" s="30"/>
      <c r="N87" s="30"/>
      <c r="O87" s="30"/>
      <c r="P87" s="30"/>
      <c r="Q87" s="30"/>
      <c r="R87" s="30"/>
      <c r="S87" s="30"/>
      <c r="T87" s="114"/>
      <c r="U87" s="114"/>
      <c r="V87" s="114"/>
      <c r="W87" s="114"/>
      <c r="X87" s="114"/>
      <c r="Y87" s="114"/>
      <c r="Z87" s="114"/>
      <c r="AA87" s="114"/>
      <c r="AB87" s="114"/>
      <c r="AC87" s="114"/>
      <c r="AD87" s="114"/>
      <c r="AE87" s="114"/>
      <c r="AF87" s="114"/>
      <c r="AG87" s="114"/>
      <c r="AH87" s="114"/>
      <c r="AI87" s="30"/>
      <c r="AJ87" s="30"/>
      <c r="AK87" s="30"/>
      <c r="AL87" s="30"/>
      <c r="AM87" s="30"/>
      <c r="AN87" s="30"/>
      <c r="AO87" s="30"/>
      <c r="AP87" s="30"/>
      <c r="AQ87" s="30"/>
      <c r="AR87" s="30"/>
      <c r="AS87" s="30"/>
    </row>
    <row r="88" spans="1:45" ht="15.75" customHeight="1" x14ac:dyDescent="0.25">
      <c r="A88" s="30"/>
      <c r="B88" s="30"/>
      <c r="C88" s="30"/>
      <c r="D88" s="30"/>
      <c r="E88" s="30"/>
      <c r="F88" s="30"/>
      <c r="G88" s="30"/>
      <c r="H88" s="30"/>
      <c r="I88" s="30"/>
      <c r="J88" s="30"/>
      <c r="K88" s="30"/>
      <c r="L88" s="30"/>
      <c r="M88" s="30"/>
      <c r="N88" s="30"/>
      <c r="O88" s="30"/>
      <c r="P88" s="30"/>
      <c r="Q88" s="30"/>
      <c r="R88" s="30"/>
      <c r="S88" s="30"/>
      <c r="T88" s="114"/>
      <c r="U88" s="114"/>
      <c r="V88" s="114"/>
      <c r="W88" s="114"/>
      <c r="X88" s="114"/>
      <c r="Y88" s="114"/>
      <c r="Z88" s="114"/>
      <c r="AA88" s="114"/>
      <c r="AB88" s="114"/>
      <c r="AC88" s="114"/>
      <c r="AD88" s="114"/>
      <c r="AE88" s="114"/>
      <c r="AF88" s="114"/>
      <c r="AG88" s="114"/>
      <c r="AH88" s="114"/>
      <c r="AI88" s="30"/>
      <c r="AJ88" s="30"/>
      <c r="AK88" s="30"/>
      <c r="AL88" s="30"/>
      <c r="AM88" s="30"/>
      <c r="AN88" s="30"/>
      <c r="AO88" s="30"/>
      <c r="AP88" s="30"/>
      <c r="AQ88" s="30"/>
      <c r="AR88" s="30"/>
      <c r="AS88" s="30"/>
    </row>
    <row r="89" spans="1:45" ht="15.75" customHeight="1" x14ac:dyDescent="0.25">
      <c r="A89" s="30"/>
      <c r="B89" s="30"/>
      <c r="C89" s="30"/>
      <c r="D89" s="30"/>
      <c r="E89" s="30"/>
      <c r="F89" s="30"/>
      <c r="G89" s="30"/>
      <c r="H89" s="30"/>
      <c r="I89" s="30"/>
      <c r="J89" s="30"/>
      <c r="K89" s="30"/>
      <c r="L89" s="30"/>
      <c r="M89" s="30"/>
      <c r="N89" s="30"/>
      <c r="O89" s="30"/>
      <c r="P89" s="30"/>
      <c r="Q89" s="30"/>
      <c r="R89" s="30"/>
      <c r="S89" s="30"/>
      <c r="T89" s="114"/>
      <c r="U89" s="114"/>
      <c r="V89" s="114"/>
      <c r="W89" s="114"/>
      <c r="X89" s="114"/>
      <c r="Y89" s="114"/>
      <c r="Z89" s="114"/>
      <c r="AA89" s="114"/>
      <c r="AB89" s="114"/>
      <c r="AC89" s="114"/>
      <c r="AD89" s="114"/>
      <c r="AE89" s="114"/>
      <c r="AF89" s="114"/>
      <c r="AG89" s="114"/>
      <c r="AH89" s="114"/>
      <c r="AI89" s="30"/>
      <c r="AJ89" s="30"/>
      <c r="AK89" s="30"/>
      <c r="AL89" s="30"/>
      <c r="AM89" s="30"/>
      <c r="AN89" s="30"/>
      <c r="AO89" s="30"/>
      <c r="AP89" s="30"/>
      <c r="AQ89" s="30"/>
      <c r="AR89" s="30"/>
      <c r="AS89" s="30"/>
    </row>
  </sheetData>
  <mergeCells count="8">
    <mergeCell ref="A2:N2"/>
    <mergeCell ref="A3:N3"/>
    <mergeCell ref="A5:A7"/>
    <mergeCell ref="B6:E6"/>
    <mergeCell ref="N5:N7"/>
    <mergeCell ref="F6:I6"/>
    <mergeCell ref="J6:M6"/>
    <mergeCell ref="B5:M5"/>
  </mergeCells>
  <pageMargins left="0.7" right="0.7" top="0.75" bottom="0.75" header="0" footer="0"/>
  <pageSetup paperSize="9" scale="71"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D39"/>
  <sheetViews>
    <sheetView zoomScaleNormal="100" workbookViewId="0">
      <selection activeCell="AB28" sqref="AB28"/>
    </sheetView>
  </sheetViews>
  <sheetFormatPr defaultColWidth="14.42578125" defaultRowHeight="15" customHeight="1" x14ac:dyDescent="0.25"/>
  <cols>
    <col min="1" max="1" width="9.85546875" style="31" customWidth="1"/>
    <col min="2" max="5" width="10.85546875" style="31" hidden="1" customWidth="1"/>
    <col min="6" max="6" width="0.7109375" style="31" hidden="1" customWidth="1"/>
    <col min="7" max="16" width="10.85546875" style="31" customWidth="1"/>
    <col min="17" max="17" width="13.42578125" style="31" customWidth="1"/>
    <col min="18" max="18" width="3.7109375" style="31" customWidth="1"/>
    <col min="19" max="21" width="8" style="31" customWidth="1"/>
    <col min="22" max="22" width="11.85546875" style="31" customWidth="1"/>
    <col min="23" max="30" width="8" style="31" customWidth="1"/>
    <col min="31" max="16384" width="14.42578125" style="31"/>
  </cols>
  <sheetData>
    <row r="1" spans="1:30" ht="4.5" customHeight="1" x14ac:dyDescent="0.25">
      <c r="A1" s="30"/>
      <c r="B1" s="241"/>
      <c r="C1" s="241"/>
      <c r="D1" s="241"/>
      <c r="E1" s="241"/>
      <c r="F1" s="241"/>
      <c r="G1" s="241"/>
      <c r="H1" s="241"/>
      <c r="I1" s="241"/>
      <c r="J1" s="241"/>
      <c r="K1" s="241"/>
      <c r="L1" s="241"/>
      <c r="M1" s="241"/>
      <c r="N1" s="241"/>
      <c r="O1" s="241"/>
      <c r="P1" s="241"/>
      <c r="Q1" s="30"/>
      <c r="R1" s="30"/>
      <c r="S1" s="30"/>
      <c r="T1" s="30"/>
      <c r="U1" s="30"/>
      <c r="V1" s="30"/>
      <c r="W1" s="30"/>
      <c r="X1" s="30"/>
      <c r="Y1" s="30"/>
      <c r="Z1" s="30"/>
      <c r="AA1" s="30"/>
      <c r="AB1" s="30"/>
      <c r="AC1" s="30"/>
      <c r="AD1" s="30"/>
    </row>
    <row r="2" spans="1:30" ht="21" customHeight="1" x14ac:dyDescent="0.55000000000000004">
      <c r="A2" s="722" t="s">
        <v>258</v>
      </c>
      <c r="B2" s="699"/>
      <c r="C2" s="699"/>
      <c r="D2" s="699"/>
      <c r="E2" s="699"/>
      <c r="F2" s="699"/>
      <c r="G2" s="699"/>
      <c r="H2" s="699"/>
      <c r="I2" s="699"/>
      <c r="J2" s="699"/>
      <c r="K2" s="699"/>
      <c r="L2" s="699"/>
      <c r="M2" s="699"/>
      <c r="N2" s="699"/>
      <c r="O2" s="699"/>
      <c r="P2" s="699"/>
      <c r="Q2" s="700"/>
      <c r="R2" s="242"/>
      <c r="S2" s="242"/>
      <c r="T2" s="242"/>
      <c r="U2" s="242"/>
      <c r="V2" s="242"/>
      <c r="W2" s="242"/>
      <c r="X2" s="242"/>
      <c r="Y2" s="242"/>
      <c r="Z2" s="242"/>
      <c r="AA2" s="242"/>
      <c r="AB2" s="242"/>
      <c r="AC2" s="242"/>
      <c r="AD2" s="242"/>
    </row>
    <row r="3" spans="1:30" ht="15.75" customHeight="1" x14ac:dyDescent="0.25">
      <c r="A3" s="750" t="s">
        <v>257</v>
      </c>
      <c r="B3" s="699"/>
      <c r="C3" s="699"/>
      <c r="D3" s="699"/>
      <c r="E3" s="699"/>
      <c r="F3" s="699"/>
      <c r="G3" s="699"/>
      <c r="H3" s="699"/>
      <c r="I3" s="699"/>
      <c r="J3" s="699"/>
      <c r="K3" s="699"/>
      <c r="L3" s="699"/>
      <c r="M3" s="699"/>
      <c r="N3" s="699"/>
      <c r="O3" s="699"/>
      <c r="P3" s="699"/>
      <c r="Q3" s="700"/>
      <c r="R3" s="30"/>
      <c r="S3" s="30"/>
      <c r="T3" s="30"/>
      <c r="U3" s="30"/>
      <c r="V3" s="30"/>
      <c r="W3" s="30"/>
      <c r="X3" s="30"/>
      <c r="Y3" s="30"/>
      <c r="Z3" s="30"/>
      <c r="AA3" s="30"/>
      <c r="AB3" s="30"/>
      <c r="AC3" s="30"/>
      <c r="AD3" s="30"/>
    </row>
    <row r="4" spans="1:30" ht="9" customHeight="1" x14ac:dyDescent="0.25">
      <c r="A4" s="30"/>
      <c r="B4" s="241"/>
      <c r="C4" s="241"/>
      <c r="D4" s="241"/>
      <c r="E4" s="241"/>
      <c r="F4" s="241"/>
      <c r="G4" s="241"/>
      <c r="H4" s="241"/>
      <c r="I4" s="241"/>
      <c r="J4" s="241"/>
      <c r="K4" s="241"/>
      <c r="L4" s="241"/>
      <c r="M4" s="241"/>
      <c r="N4" s="241"/>
      <c r="O4" s="241"/>
      <c r="P4" s="241"/>
      <c r="Q4" s="30"/>
      <c r="R4" s="30"/>
      <c r="S4" s="30"/>
      <c r="T4" s="30"/>
      <c r="U4" s="30"/>
      <c r="V4" s="30"/>
      <c r="W4" s="30"/>
      <c r="X4" s="30"/>
      <c r="Y4" s="30"/>
      <c r="Z4" s="30"/>
      <c r="AA4" s="30"/>
      <c r="AB4" s="30"/>
      <c r="AC4" s="30"/>
      <c r="AD4" s="30"/>
    </row>
    <row r="5" spans="1:30" ht="18" customHeight="1" x14ac:dyDescent="0.55000000000000004">
      <c r="A5" s="718" t="s">
        <v>6</v>
      </c>
      <c r="B5" s="778" t="s">
        <v>88</v>
      </c>
      <c r="C5" s="778"/>
      <c r="D5" s="778"/>
      <c r="E5" s="778"/>
      <c r="F5" s="778"/>
      <c r="G5" s="778"/>
      <c r="H5" s="778"/>
      <c r="I5" s="778"/>
      <c r="J5" s="778"/>
      <c r="K5" s="778"/>
      <c r="L5" s="778"/>
      <c r="M5" s="778"/>
      <c r="N5" s="778"/>
      <c r="O5" s="778"/>
      <c r="P5" s="778"/>
      <c r="Q5" s="714" t="s">
        <v>12</v>
      </c>
      <c r="R5" s="30"/>
      <c r="S5" s="30"/>
      <c r="T5" s="30"/>
      <c r="U5" s="30"/>
      <c r="V5" s="30"/>
      <c r="W5" s="30"/>
      <c r="X5" s="30"/>
      <c r="Y5" s="30"/>
      <c r="Z5" s="30"/>
      <c r="AA5" s="30"/>
      <c r="AB5" s="30"/>
      <c r="AC5" s="30"/>
      <c r="AD5" s="30"/>
    </row>
    <row r="6" spans="1:30" ht="15" customHeight="1" x14ac:dyDescent="0.25">
      <c r="A6" s="715"/>
      <c r="B6" s="779">
        <v>2016</v>
      </c>
      <c r="C6" s="705"/>
      <c r="D6" s="705"/>
      <c r="E6" s="717"/>
      <c r="F6" s="243"/>
      <c r="G6" s="780">
        <v>2017</v>
      </c>
      <c r="H6" s="780"/>
      <c r="I6" s="780"/>
      <c r="J6" s="780"/>
      <c r="K6" s="781"/>
      <c r="L6" s="782">
        <v>2018</v>
      </c>
      <c r="M6" s="783"/>
      <c r="N6" s="783"/>
      <c r="O6" s="783"/>
      <c r="P6" s="783"/>
      <c r="Q6" s="715"/>
      <c r="R6" s="30"/>
      <c r="S6" s="30"/>
      <c r="T6" s="30"/>
      <c r="U6" s="30"/>
      <c r="V6" s="30"/>
      <c r="W6" s="30"/>
      <c r="X6" s="30"/>
      <c r="Y6" s="30"/>
      <c r="Z6" s="30"/>
      <c r="AA6" s="30"/>
      <c r="AB6" s="30"/>
      <c r="AC6" s="30"/>
      <c r="AD6" s="30"/>
    </row>
    <row r="7" spans="1:30" ht="15" customHeight="1" x14ac:dyDescent="0.25">
      <c r="A7" s="716"/>
      <c r="B7" s="239" t="s">
        <v>23</v>
      </c>
      <c r="C7" s="239" t="s">
        <v>89</v>
      </c>
      <c r="D7" s="239" t="s">
        <v>82</v>
      </c>
      <c r="E7" s="239" t="s">
        <v>83</v>
      </c>
      <c r="F7" s="255" t="s">
        <v>90</v>
      </c>
      <c r="G7" s="255" t="s">
        <v>23</v>
      </c>
      <c r="H7" s="255" t="s">
        <v>89</v>
      </c>
      <c r="I7" s="255" t="s">
        <v>82</v>
      </c>
      <c r="J7" s="255" t="s">
        <v>83</v>
      </c>
      <c r="K7" s="239" t="s">
        <v>90</v>
      </c>
      <c r="L7" s="244" t="s">
        <v>23</v>
      </c>
      <c r="M7" s="239" t="s">
        <v>89</v>
      </c>
      <c r="N7" s="239" t="s">
        <v>82</v>
      </c>
      <c r="O7" s="239" t="s">
        <v>83</v>
      </c>
      <c r="P7" s="239" t="s">
        <v>90</v>
      </c>
      <c r="Q7" s="716"/>
      <c r="R7" s="30"/>
      <c r="S7" s="228"/>
      <c r="T7" s="30"/>
      <c r="U7" s="30"/>
      <c r="V7" s="30"/>
      <c r="W7" s="30"/>
      <c r="X7" s="30"/>
      <c r="Y7" s="30"/>
      <c r="Z7" s="30"/>
      <c r="AA7" s="30"/>
      <c r="AB7" s="30"/>
      <c r="AC7" s="30"/>
      <c r="AD7" s="30"/>
    </row>
    <row r="8" spans="1:30" ht="21" customHeight="1" x14ac:dyDescent="0.25">
      <c r="A8" s="275" t="s">
        <v>27</v>
      </c>
      <c r="B8" s="245">
        <f t="shared" ref="B8:B19" si="0">SUM(C8:E8)</f>
        <v>990</v>
      </c>
      <c r="C8" s="246">
        <v>39</v>
      </c>
      <c r="D8" s="246">
        <v>781</v>
      </c>
      <c r="E8" s="246">
        <v>170</v>
      </c>
      <c r="F8" s="256">
        <v>0</v>
      </c>
      <c r="G8" s="258">
        <f t="shared" ref="G8:G19" si="1">SUM(H8:J8)</f>
        <v>1052</v>
      </c>
      <c r="H8" s="256">
        <v>37</v>
      </c>
      <c r="I8" s="256">
        <v>798</v>
      </c>
      <c r="J8" s="256">
        <v>217</v>
      </c>
      <c r="K8" s="246">
        <v>0</v>
      </c>
      <c r="L8" s="247">
        <f t="shared" ref="L8:L19" si="2">SUM(M8:O8)</f>
        <v>1207</v>
      </c>
      <c r="M8" s="248">
        <v>52</v>
      </c>
      <c r="N8" s="248">
        <v>891</v>
      </c>
      <c r="O8" s="248">
        <v>264</v>
      </c>
      <c r="P8" s="246">
        <v>0</v>
      </c>
      <c r="Q8" s="141" t="s">
        <v>28</v>
      </c>
      <c r="R8" s="30"/>
      <c r="S8" s="228"/>
      <c r="T8" s="30"/>
      <c r="U8" s="30"/>
      <c r="V8" s="30"/>
      <c r="W8" s="30"/>
      <c r="X8" s="30"/>
      <c r="Y8" s="30"/>
      <c r="Z8" s="30"/>
      <c r="AA8" s="30"/>
      <c r="AB8" s="30"/>
      <c r="AC8" s="30"/>
      <c r="AD8" s="30"/>
    </row>
    <row r="9" spans="1:30" ht="21" customHeight="1" x14ac:dyDescent="0.25">
      <c r="A9" s="275" t="s">
        <v>29</v>
      </c>
      <c r="B9" s="245">
        <f t="shared" si="0"/>
        <v>992</v>
      </c>
      <c r="C9" s="246">
        <v>38</v>
      </c>
      <c r="D9" s="246">
        <v>787</v>
      </c>
      <c r="E9" s="246">
        <v>167</v>
      </c>
      <c r="F9" s="256">
        <v>0</v>
      </c>
      <c r="G9" s="258">
        <f t="shared" si="1"/>
        <v>1019</v>
      </c>
      <c r="H9" s="256">
        <v>0</v>
      </c>
      <c r="I9" s="256">
        <v>802</v>
      </c>
      <c r="J9" s="256">
        <v>217</v>
      </c>
      <c r="K9" s="246">
        <v>0</v>
      </c>
      <c r="L9" s="247">
        <f t="shared" si="2"/>
        <v>1244</v>
      </c>
      <c r="M9" s="248">
        <v>69</v>
      </c>
      <c r="N9" s="248">
        <v>908</v>
      </c>
      <c r="O9" s="248">
        <v>267</v>
      </c>
      <c r="P9" s="246">
        <v>0</v>
      </c>
      <c r="Q9" s="141" t="s">
        <v>31</v>
      </c>
      <c r="R9" s="30"/>
      <c r="S9" s="228"/>
      <c r="T9" s="30"/>
      <c r="U9" s="30"/>
      <c r="V9" s="30"/>
      <c r="W9" s="30"/>
      <c r="X9" s="30"/>
      <c r="Y9" s="30"/>
      <c r="Z9" s="30"/>
      <c r="AA9" s="30"/>
      <c r="AB9" s="30"/>
      <c r="AC9" s="30"/>
      <c r="AD9" s="30"/>
    </row>
    <row r="10" spans="1:30" ht="21" customHeight="1" x14ac:dyDescent="0.25">
      <c r="A10" s="275" t="s">
        <v>32</v>
      </c>
      <c r="B10" s="245">
        <f t="shared" si="0"/>
        <v>996</v>
      </c>
      <c r="C10" s="246">
        <v>24</v>
      </c>
      <c r="D10" s="246">
        <v>803</v>
      </c>
      <c r="E10" s="246">
        <v>169</v>
      </c>
      <c r="F10" s="256">
        <v>0</v>
      </c>
      <c r="G10" s="258">
        <f t="shared" si="1"/>
        <v>1086</v>
      </c>
      <c r="H10" s="256">
        <v>33</v>
      </c>
      <c r="I10" s="256">
        <v>833</v>
      </c>
      <c r="J10" s="256">
        <v>220</v>
      </c>
      <c r="K10" s="246">
        <v>0</v>
      </c>
      <c r="L10" s="247">
        <f t="shared" si="2"/>
        <v>1223</v>
      </c>
      <c r="M10" s="248">
        <v>38</v>
      </c>
      <c r="N10" s="248">
        <v>919</v>
      </c>
      <c r="O10" s="248">
        <v>266</v>
      </c>
      <c r="P10" s="246">
        <v>0</v>
      </c>
      <c r="Q10" s="141" t="s">
        <v>33</v>
      </c>
      <c r="R10" s="30"/>
      <c r="S10" s="228"/>
      <c r="T10" s="30"/>
      <c r="U10" s="30"/>
      <c r="V10" s="30"/>
      <c r="W10" s="30"/>
      <c r="X10" s="30"/>
      <c r="Y10" s="30"/>
      <c r="Z10" s="30"/>
      <c r="AA10" s="30"/>
      <c r="AB10" s="30"/>
      <c r="AC10" s="30"/>
      <c r="AD10" s="30"/>
    </row>
    <row r="11" spans="1:30" ht="21" customHeight="1" x14ac:dyDescent="0.25">
      <c r="A11" s="275" t="s">
        <v>34</v>
      </c>
      <c r="B11" s="245">
        <f t="shared" si="0"/>
        <v>1012</v>
      </c>
      <c r="C11" s="246">
        <v>30</v>
      </c>
      <c r="D11" s="246">
        <v>808</v>
      </c>
      <c r="E11" s="246">
        <v>174</v>
      </c>
      <c r="F11" s="256">
        <v>0</v>
      </c>
      <c r="G11" s="258">
        <f t="shared" si="1"/>
        <v>1091</v>
      </c>
      <c r="H11" s="256">
        <v>17</v>
      </c>
      <c r="I11" s="256">
        <v>853</v>
      </c>
      <c r="J11" s="256">
        <v>221</v>
      </c>
      <c r="K11" s="246">
        <v>0</v>
      </c>
      <c r="L11" s="247">
        <f t="shared" si="2"/>
        <v>1213</v>
      </c>
      <c r="M11" s="248">
        <v>7</v>
      </c>
      <c r="N11" s="248">
        <v>932</v>
      </c>
      <c r="O11" s="248">
        <v>274</v>
      </c>
      <c r="P11" s="246">
        <v>0</v>
      </c>
      <c r="Q11" s="141" t="s">
        <v>35</v>
      </c>
      <c r="R11" s="30"/>
      <c r="S11" s="228"/>
      <c r="T11" s="30"/>
      <c r="U11" s="30"/>
      <c r="V11" s="30"/>
      <c r="W11" s="30"/>
      <c r="X11" s="30"/>
      <c r="Y11" s="30"/>
      <c r="Z11" s="30"/>
      <c r="AA11" s="30"/>
      <c r="AB11" s="30"/>
      <c r="AC11" s="30"/>
      <c r="AD11" s="30"/>
    </row>
    <row r="12" spans="1:30" ht="21" customHeight="1" x14ac:dyDescent="0.25">
      <c r="A12" s="275" t="s">
        <v>36</v>
      </c>
      <c r="B12" s="245">
        <f t="shared" si="0"/>
        <v>976</v>
      </c>
      <c r="C12" s="246">
        <v>9</v>
      </c>
      <c r="D12" s="246">
        <v>793</v>
      </c>
      <c r="E12" s="246">
        <v>174</v>
      </c>
      <c r="F12" s="256">
        <v>0</v>
      </c>
      <c r="G12" s="258">
        <f t="shared" si="1"/>
        <v>1096</v>
      </c>
      <c r="H12" s="256">
        <v>14</v>
      </c>
      <c r="I12" s="256">
        <v>859</v>
      </c>
      <c r="J12" s="256">
        <v>223</v>
      </c>
      <c r="K12" s="246">
        <v>0</v>
      </c>
      <c r="L12" s="247">
        <f t="shared" si="2"/>
        <v>1221</v>
      </c>
      <c r="M12" s="248">
        <v>16</v>
      </c>
      <c r="N12" s="248">
        <v>937</v>
      </c>
      <c r="O12" s="248">
        <v>268</v>
      </c>
      <c r="P12" s="246">
        <v>0</v>
      </c>
      <c r="Q12" s="141" t="s">
        <v>37</v>
      </c>
      <c r="R12" s="30"/>
      <c r="S12" s="228"/>
      <c r="T12" s="30"/>
      <c r="U12" s="30"/>
      <c r="V12" s="30"/>
      <c r="W12" s="30"/>
      <c r="X12" s="30"/>
      <c r="Y12" s="30"/>
      <c r="Z12" s="30"/>
      <c r="AA12" s="30"/>
      <c r="AB12" s="30"/>
      <c r="AC12" s="30"/>
      <c r="AD12" s="30"/>
    </row>
    <row r="13" spans="1:30" ht="21" customHeight="1" x14ac:dyDescent="0.25">
      <c r="A13" s="275" t="s">
        <v>38</v>
      </c>
      <c r="B13" s="245">
        <f t="shared" si="0"/>
        <v>1002</v>
      </c>
      <c r="C13" s="246">
        <v>29</v>
      </c>
      <c r="D13" s="246">
        <v>797</v>
      </c>
      <c r="E13" s="246">
        <v>176</v>
      </c>
      <c r="F13" s="256">
        <v>0</v>
      </c>
      <c r="G13" s="258">
        <f t="shared" si="1"/>
        <v>1110</v>
      </c>
      <c r="H13" s="256">
        <v>23</v>
      </c>
      <c r="I13" s="256">
        <v>865</v>
      </c>
      <c r="J13" s="256">
        <v>222</v>
      </c>
      <c r="K13" s="246">
        <v>0</v>
      </c>
      <c r="L13" s="247">
        <f t="shared" si="2"/>
        <v>1223</v>
      </c>
      <c r="M13" s="248">
        <v>10</v>
      </c>
      <c r="N13" s="248">
        <v>933</v>
      </c>
      <c r="O13" s="248">
        <v>280</v>
      </c>
      <c r="P13" s="246">
        <v>0</v>
      </c>
      <c r="Q13" s="141" t="s">
        <v>39</v>
      </c>
      <c r="R13" s="30"/>
      <c r="S13" s="228"/>
      <c r="T13" s="30"/>
      <c r="U13" s="30"/>
      <c r="V13" s="30"/>
      <c r="W13" s="30"/>
      <c r="X13" s="30"/>
      <c r="Y13" s="30"/>
      <c r="Z13" s="30"/>
      <c r="AA13" s="30"/>
      <c r="AB13" s="30"/>
      <c r="AC13" s="30"/>
      <c r="AD13" s="30"/>
    </row>
    <row r="14" spans="1:30" ht="21" customHeight="1" x14ac:dyDescent="0.25">
      <c r="A14" s="275" t="s">
        <v>40</v>
      </c>
      <c r="B14" s="245">
        <f t="shared" si="0"/>
        <v>962</v>
      </c>
      <c r="C14" s="246">
        <v>5</v>
      </c>
      <c r="D14" s="246">
        <v>780</v>
      </c>
      <c r="E14" s="246">
        <v>177</v>
      </c>
      <c r="F14" s="256">
        <v>0</v>
      </c>
      <c r="G14" s="258">
        <f t="shared" si="1"/>
        <v>1107</v>
      </c>
      <c r="H14" s="256">
        <v>15</v>
      </c>
      <c r="I14" s="256">
        <v>868</v>
      </c>
      <c r="J14" s="256">
        <v>224</v>
      </c>
      <c r="K14" s="246">
        <v>0</v>
      </c>
      <c r="L14" s="247">
        <f t="shared" si="2"/>
        <v>1238</v>
      </c>
      <c r="M14" s="248">
        <v>13</v>
      </c>
      <c r="N14" s="248">
        <v>947</v>
      </c>
      <c r="O14" s="248">
        <v>278</v>
      </c>
      <c r="P14" s="246">
        <v>0</v>
      </c>
      <c r="Q14" s="141" t="s">
        <v>42</v>
      </c>
      <c r="R14" s="30"/>
      <c r="S14" s="228"/>
      <c r="T14" s="30"/>
      <c r="U14" s="30"/>
      <c r="V14" s="30"/>
      <c r="W14" s="30"/>
      <c r="X14" s="30"/>
      <c r="Y14" s="30"/>
      <c r="Z14" s="30"/>
      <c r="AA14" s="30"/>
      <c r="AB14" s="30"/>
      <c r="AC14" s="30"/>
      <c r="AD14" s="30"/>
    </row>
    <row r="15" spans="1:30" ht="21" customHeight="1" x14ac:dyDescent="0.25">
      <c r="A15" s="275" t="s">
        <v>43</v>
      </c>
      <c r="B15" s="245">
        <f t="shared" si="0"/>
        <v>972</v>
      </c>
      <c r="C15" s="246">
        <v>6</v>
      </c>
      <c r="D15" s="246">
        <v>768</v>
      </c>
      <c r="E15" s="246">
        <v>198</v>
      </c>
      <c r="F15" s="256">
        <v>0</v>
      </c>
      <c r="G15" s="258">
        <f t="shared" si="1"/>
        <v>1124</v>
      </c>
      <c r="H15" s="256">
        <v>18</v>
      </c>
      <c r="I15" s="256">
        <v>853</v>
      </c>
      <c r="J15" s="256">
        <v>253</v>
      </c>
      <c r="K15" s="246">
        <v>0</v>
      </c>
      <c r="L15" s="247">
        <f t="shared" si="2"/>
        <v>1238</v>
      </c>
      <c r="M15" s="248">
        <v>2</v>
      </c>
      <c r="N15" s="248">
        <v>956</v>
      </c>
      <c r="O15" s="248">
        <v>280</v>
      </c>
      <c r="P15" s="246">
        <v>0</v>
      </c>
      <c r="Q15" s="141" t="s">
        <v>44</v>
      </c>
      <c r="R15" s="30"/>
      <c r="S15" s="228"/>
      <c r="T15" s="30"/>
      <c r="U15" s="30"/>
      <c r="V15" s="30"/>
      <c r="W15" s="30"/>
      <c r="X15" s="30"/>
      <c r="Y15" s="30"/>
      <c r="Z15" s="30"/>
      <c r="AA15" s="30"/>
      <c r="AB15" s="30"/>
      <c r="AC15" s="30"/>
      <c r="AD15" s="30"/>
    </row>
    <row r="16" spans="1:30" ht="21" customHeight="1" x14ac:dyDescent="0.25">
      <c r="A16" s="275" t="s">
        <v>45</v>
      </c>
      <c r="B16" s="245">
        <f t="shared" si="0"/>
        <v>1003</v>
      </c>
      <c r="C16" s="246">
        <v>41</v>
      </c>
      <c r="D16" s="246">
        <v>765</v>
      </c>
      <c r="E16" s="246">
        <v>197</v>
      </c>
      <c r="F16" s="256">
        <v>0</v>
      </c>
      <c r="G16" s="258">
        <f t="shared" si="1"/>
        <v>1130</v>
      </c>
      <c r="H16" s="256">
        <v>21</v>
      </c>
      <c r="I16" s="256">
        <v>855</v>
      </c>
      <c r="J16" s="256">
        <v>254</v>
      </c>
      <c r="K16" s="246">
        <v>0</v>
      </c>
      <c r="L16" s="247">
        <f t="shared" si="2"/>
        <v>1243</v>
      </c>
      <c r="M16" s="248">
        <v>6</v>
      </c>
      <c r="N16" s="248">
        <v>921</v>
      </c>
      <c r="O16" s="248">
        <v>316</v>
      </c>
      <c r="P16" s="246">
        <v>0</v>
      </c>
      <c r="Q16" s="141" t="s">
        <v>47</v>
      </c>
      <c r="R16" s="30"/>
      <c r="S16" s="228"/>
      <c r="T16" s="30"/>
      <c r="U16" s="30"/>
      <c r="V16" s="30"/>
      <c r="W16" s="30"/>
      <c r="X16" s="30"/>
      <c r="Y16" s="30"/>
      <c r="Z16" s="30"/>
      <c r="AA16" s="30"/>
      <c r="AB16" s="30"/>
      <c r="AC16" s="30"/>
      <c r="AD16" s="30"/>
    </row>
    <row r="17" spans="1:30" ht="21" customHeight="1" x14ac:dyDescent="0.25">
      <c r="A17" s="275" t="s">
        <v>48</v>
      </c>
      <c r="B17" s="245">
        <f t="shared" si="0"/>
        <v>1008</v>
      </c>
      <c r="C17" s="246">
        <v>23</v>
      </c>
      <c r="D17" s="246">
        <v>783</v>
      </c>
      <c r="E17" s="246">
        <v>202</v>
      </c>
      <c r="F17" s="256">
        <v>1</v>
      </c>
      <c r="G17" s="258">
        <f t="shared" si="1"/>
        <v>1127</v>
      </c>
      <c r="H17" s="256">
        <v>21</v>
      </c>
      <c r="I17" s="256">
        <v>854</v>
      </c>
      <c r="J17" s="256">
        <v>252</v>
      </c>
      <c r="K17" s="246">
        <v>0</v>
      </c>
      <c r="L17" s="247">
        <f t="shared" si="2"/>
        <v>1244</v>
      </c>
      <c r="M17" s="248">
        <v>3</v>
      </c>
      <c r="N17" s="248">
        <v>924</v>
      </c>
      <c r="O17" s="248">
        <v>317</v>
      </c>
      <c r="P17" s="246">
        <v>0</v>
      </c>
      <c r="Q17" s="141" t="s">
        <v>50</v>
      </c>
      <c r="R17" s="30"/>
      <c r="S17" s="228"/>
      <c r="T17" s="30"/>
      <c r="U17" s="30"/>
      <c r="V17" s="30"/>
      <c r="W17" s="30"/>
      <c r="X17" s="30"/>
      <c r="Y17" s="30"/>
      <c r="Z17" s="30"/>
      <c r="AA17" s="30"/>
      <c r="AB17" s="30"/>
      <c r="AC17" s="30"/>
      <c r="AD17" s="30"/>
    </row>
    <row r="18" spans="1:30" ht="21" customHeight="1" x14ac:dyDescent="0.55000000000000004">
      <c r="A18" s="275" t="s">
        <v>51</v>
      </c>
      <c r="B18" s="245">
        <f t="shared" si="0"/>
        <v>1003</v>
      </c>
      <c r="C18" s="246">
        <v>31</v>
      </c>
      <c r="D18" s="246">
        <v>765</v>
      </c>
      <c r="E18" s="246">
        <v>207</v>
      </c>
      <c r="F18" s="256">
        <v>0</v>
      </c>
      <c r="G18" s="258">
        <f t="shared" si="1"/>
        <v>1122</v>
      </c>
      <c r="H18" s="256">
        <v>19</v>
      </c>
      <c r="I18" s="256">
        <v>845</v>
      </c>
      <c r="J18" s="256">
        <v>258</v>
      </c>
      <c r="K18" s="246">
        <v>0</v>
      </c>
      <c r="L18" s="247">
        <f t="shared" si="2"/>
        <v>1256</v>
      </c>
      <c r="M18" s="248">
        <v>18</v>
      </c>
      <c r="N18" s="248">
        <v>911</v>
      </c>
      <c r="O18" s="248">
        <v>327</v>
      </c>
      <c r="P18" s="246">
        <v>0</v>
      </c>
      <c r="Q18" s="146" t="s">
        <v>52</v>
      </c>
      <c r="R18" s="30"/>
      <c r="S18" s="228"/>
      <c r="T18" s="30"/>
      <c r="U18" s="30"/>
      <c r="V18" s="30"/>
      <c r="W18" s="30"/>
      <c r="X18" s="30"/>
      <c r="Y18" s="30"/>
    </row>
    <row r="19" spans="1:30" ht="21" customHeight="1" x14ac:dyDescent="0.25">
      <c r="A19" s="276" t="s">
        <v>53</v>
      </c>
      <c r="B19" s="249">
        <f t="shared" si="0"/>
        <v>72</v>
      </c>
      <c r="C19" s="240">
        <v>36</v>
      </c>
      <c r="D19" s="240">
        <v>34</v>
      </c>
      <c r="E19" s="240">
        <v>2</v>
      </c>
      <c r="F19" s="257">
        <v>0</v>
      </c>
      <c r="G19" s="259">
        <f t="shared" si="1"/>
        <v>1105</v>
      </c>
      <c r="H19" s="257">
        <v>5</v>
      </c>
      <c r="I19" s="257">
        <v>839</v>
      </c>
      <c r="J19" s="257">
        <v>261</v>
      </c>
      <c r="K19" s="240">
        <v>0</v>
      </c>
      <c r="L19" s="250">
        <f t="shared" si="2"/>
        <v>1246</v>
      </c>
      <c r="M19" s="251">
        <v>18</v>
      </c>
      <c r="N19" s="251">
        <v>901</v>
      </c>
      <c r="O19" s="251">
        <v>327</v>
      </c>
      <c r="P19" s="251">
        <v>3</v>
      </c>
      <c r="Q19" s="155" t="s">
        <v>54</v>
      </c>
      <c r="R19" s="30"/>
      <c r="S19" s="30"/>
      <c r="T19" s="30"/>
      <c r="U19" s="30"/>
      <c r="V19" s="30"/>
      <c r="W19" s="30"/>
      <c r="X19" s="30"/>
      <c r="Y19" s="30"/>
    </row>
    <row r="20" spans="1:30" ht="15.75" customHeight="1" x14ac:dyDescent="0.45">
      <c r="A20" s="160" t="s">
        <v>57</v>
      </c>
      <c r="B20" s="253"/>
      <c r="C20" s="253"/>
      <c r="D20" s="253"/>
      <c r="E20" s="253"/>
      <c r="F20" s="253"/>
      <c r="G20" s="253"/>
      <c r="H20" s="253"/>
      <c r="I20" s="253"/>
      <c r="J20" s="253"/>
      <c r="K20" s="253"/>
      <c r="L20" s="253"/>
      <c r="M20" s="253"/>
      <c r="N20" s="253"/>
      <c r="O20" s="253"/>
      <c r="P20" s="253"/>
      <c r="Q20" s="162" t="s">
        <v>58</v>
      </c>
      <c r="R20" s="30"/>
      <c r="S20" s="30"/>
      <c r="T20" s="30"/>
      <c r="U20" s="30"/>
      <c r="V20" s="30"/>
      <c r="W20" s="30"/>
      <c r="X20" s="30"/>
      <c r="Y20" s="30"/>
    </row>
    <row r="21" spans="1:30" ht="15.75" customHeight="1"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row>
    <row r="22" spans="1:30" ht="15.75" customHeight="1" x14ac:dyDescent="0.25">
      <c r="A22" s="30"/>
      <c r="B22" s="241"/>
      <c r="C22" s="241"/>
      <c r="D22" s="241"/>
      <c r="E22" s="241"/>
      <c r="F22" s="241"/>
      <c r="G22" s="241"/>
      <c r="H22" s="241"/>
      <c r="I22" s="241"/>
      <c r="J22" s="241"/>
      <c r="K22" s="241"/>
      <c r="L22" s="241"/>
      <c r="M22" s="241"/>
      <c r="N22" s="241"/>
      <c r="O22" s="241"/>
      <c r="P22" s="241"/>
      <c r="Q22" s="30"/>
      <c r="R22" s="30"/>
      <c r="S22" s="30"/>
      <c r="T22" s="30"/>
      <c r="U22" s="30"/>
      <c r="V22" s="30"/>
      <c r="W22" s="30"/>
      <c r="X22" s="30"/>
      <c r="Y22" s="30"/>
      <c r="Z22" s="30"/>
      <c r="AA22" s="30"/>
      <c r="AB22" s="30"/>
      <c r="AC22" s="30"/>
      <c r="AD22" s="30"/>
    </row>
    <row r="23" spans="1:30" ht="15.75" customHeight="1" x14ac:dyDescent="0.25">
      <c r="A23" s="30"/>
      <c r="B23" s="241"/>
      <c r="C23" s="241"/>
      <c r="D23" s="241"/>
      <c r="E23" s="241"/>
      <c r="F23" s="241"/>
      <c r="G23" s="241"/>
      <c r="H23" s="241"/>
      <c r="I23" s="241"/>
      <c r="J23" s="241"/>
      <c r="K23" s="241"/>
      <c r="L23" s="241"/>
      <c r="M23" s="241"/>
      <c r="N23" s="241"/>
      <c r="O23" s="241"/>
      <c r="P23" s="241"/>
      <c r="Q23" s="30"/>
      <c r="R23" s="30"/>
      <c r="S23" s="30"/>
      <c r="T23" s="30"/>
      <c r="U23" s="30"/>
      <c r="V23" s="30"/>
      <c r="W23" s="30"/>
      <c r="X23" s="30"/>
      <c r="Y23" s="30"/>
      <c r="Z23" s="30"/>
      <c r="AA23" s="30"/>
      <c r="AB23" s="30"/>
      <c r="AC23" s="30"/>
      <c r="AD23" s="30"/>
    </row>
    <row r="24" spans="1:30" ht="15.75" customHeight="1" x14ac:dyDescent="0.25">
      <c r="A24" s="30"/>
      <c r="B24" s="241"/>
      <c r="C24" s="241"/>
      <c r="D24" s="241"/>
      <c r="E24" s="241"/>
      <c r="F24" s="241"/>
      <c r="G24" s="241"/>
      <c r="H24" s="241"/>
      <c r="I24" s="241"/>
      <c r="J24" s="241"/>
      <c r="K24" s="241"/>
      <c r="L24" s="241"/>
      <c r="M24" s="241"/>
      <c r="N24" s="241"/>
      <c r="O24" s="241"/>
      <c r="P24" s="241"/>
      <c r="Q24" s="30"/>
      <c r="R24" s="30"/>
      <c r="S24" s="30"/>
      <c r="T24" s="30"/>
      <c r="U24" s="30"/>
      <c r="V24" s="30"/>
      <c r="W24" s="30"/>
      <c r="X24" s="30"/>
      <c r="Y24" s="30"/>
      <c r="Z24" s="30"/>
      <c r="AA24" s="30"/>
      <c r="AB24" s="30"/>
      <c r="AC24" s="30"/>
      <c r="AD24" s="30"/>
    </row>
    <row r="25" spans="1:30" ht="15.75" customHeight="1" x14ac:dyDescent="0.25">
      <c r="A25" s="30"/>
      <c r="B25" s="241"/>
      <c r="C25" s="241"/>
      <c r="D25" s="241"/>
      <c r="E25" s="241"/>
      <c r="F25" s="241"/>
      <c r="G25" s="241"/>
      <c r="H25" s="241"/>
      <c r="I25" s="241"/>
      <c r="J25" s="241"/>
      <c r="K25" s="241"/>
      <c r="L25" s="241"/>
      <c r="M25" s="241"/>
      <c r="N25" s="241"/>
      <c r="O25" s="241"/>
      <c r="P25" s="241"/>
      <c r="Q25" s="30"/>
      <c r="R25" s="30"/>
      <c r="S25" s="30"/>
      <c r="T25" s="30"/>
      <c r="U25" s="30"/>
      <c r="V25" s="30"/>
      <c r="W25" s="30"/>
      <c r="X25" s="30"/>
      <c r="Y25" s="30"/>
      <c r="Z25" s="30"/>
      <c r="AA25" s="30"/>
      <c r="AB25" s="30"/>
      <c r="AC25" s="30"/>
      <c r="AD25" s="30"/>
    </row>
    <row r="26" spans="1:30" ht="15.75" customHeight="1" x14ac:dyDescent="0.25">
      <c r="A26" s="30"/>
      <c r="B26" s="241"/>
      <c r="C26" s="254"/>
      <c r="D26" s="241"/>
      <c r="E26" s="241"/>
      <c r="F26" s="241"/>
      <c r="G26" s="241"/>
      <c r="H26" s="254"/>
      <c r="I26" s="241"/>
      <c r="J26" s="241"/>
      <c r="K26" s="241"/>
      <c r="L26" s="241"/>
      <c r="M26" s="254"/>
      <c r="N26" s="241"/>
      <c r="O26" s="241"/>
      <c r="P26" s="241"/>
      <c r="Q26" s="30"/>
      <c r="R26" s="30"/>
      <c r="S26" s="30"/>
      <c r="T26" s="30"/>
      <c r="U26" s="30"/>
      <c r="V26" s="30"/>
      <c r="W26" s="30"/>
      <c r="X26" s="30"/>
      <c r="Y26" s="30"/>
      <c r="Z26" s="30"/>
      <c r="AA26" s="30"/>
      <c r="AB26" s="239" t="s">
        <v>91</v>
      </c>
      <c r="AC26" s="239" t="s">
        <v>85</v>
      </c>
      <c r="AD26" s="239" t="s">
        <v>92</v>
      </c>
    </row>
    <row r="27" spans="1:30" ht="15.75" customHeight="1" x14ac:dyDescent="0.25">
      <c r="A27" s="30"/>
      <c r="B27" s="241"/>
      <c r="C27" s="241"/>
      <c r="D27" s="241"/>
      <c r="E27" s="241"/>
      <c r="F27" s="241"/>
      <c r="G27" s="241"/>
      <c r="H27" s="241"/>
      <c r="I27" s="241"/>
      <c r="J27" s="241"/>
      <c r="K27" s="241"/>
      <c r="L27" s="241"/>
      <c r="M27" s="241"/>
      <c r="N27" s="241"/>
      <c r="O27" s="241"/>
      <c r="P27" s="241"/>
      <c r="Q27" s="30"/>
      <c r="R27" s="30"/>
      <c r="S27" s="30"/>
      <c r="T27" s="30"/>
      <c r="U27" s="30"/>
      <c r="V27" s="30"/>
      <c r="W27" s="30"/>
      <c r="X27" s="30"/>
      <c r="Y27" s="30"/>
      <c r="Z27" s="157"/>
      <c r="AA27" s="252">
        <f>SUM(AB27:AD27)</f>
        <v>1246</v>
      </c>
      <c r="AB27" s="240">
        <f>M19</f>
        <v>18</v>
      </c>
      <c r="AC27" s="240">
        <f>N19</f>
        <v>901</v>
      </c>
      <c r="AD27" s="240">
        <f>O19</f>
        <v>327</v>
      </c>
    </row>
    <row r="28" spans="1:30" ht="15.75" customHeight="1" x14ac:dyDescent="0.25">
      <c r="A28" s="30"/>
      <c r="B28" s="241"/>
      <c r="C28" s="241"/>
      <c r="D28" s="241"/>
      <c r="E28" s="241"/>
      <c r="F28" s="241"/>
      <c r="G28" s="241"/>
      <c r="H28" s="241"/>
      <c r="I28" s="241"/>
      <c r="J28" s="241"/>
      <c r="K28" s="241"/>
      <c r="L28" s="241"/>
      <c r="M28" s="241"/>
      <c r="N28" s="241"/>
      <c r="O28" s="241"/>
      <c r="P28" s="241"/>
      <c r="Q28" s="30"/>
      <c r="R28" s="30"/>
      <c r="S28" s="30"/>
      <c r="T28" s="30"/>
      <c r="U28" s="30"/>
      <c r="V28" s="30"/>
      <c r="W28" s="30"/>
      <c r="X28" s="30"/>
      <c r="Y28" s="30"/>
      <c r="Z28" s="30"/>
      <c r="AA28" s="30"/>
      <c r="AB28" s="235">
        <f>AB27/AA27*100</f>
        <v>1.4446227929373996</v>
      </c>
      <c r="AC28" s="235">
        <f>AC27/AA27*100</f>
        <v>72.31139646869984</v>
      </c>
      <c r="AD28" s="235">
        <f>AD27/AA27*100</f>
        <v>26.243980738362758</v>
      </c>
    </row>
    <row r="29" spans="1:30" ht="15.75" customHeight="1" x14ac:dyDescent="0.25">
      <c r="A29" s="30"/>
      <c r="B29" s="241"/>
      <c r="C29" s="241"/>
      <c r="D29" s="241"/>
      <c r="E29" s="241"/>
      <c r="F29" s="241"/>
      <c r="G29" s="241"/>
      <c r="H29" s="241"/>
      <c r="I29" s="241"/>
      <c r="J29" s="241"/>
      <c r="K29" s="241"/>
      <c r="L29" s="241"/>
      <c r="M29" s="241"/>
      <c r="N29" s="241"/>
      <c r="O29" s="241"/>
      <c r="P29" s="241"/>
      <c r="Q29" s="30"/>
      <c r="R29" s="30"/>
      <c r="S29" s="30"/>
      <c r="T29" s="30"/>
      <c r="U29" s="30"/>
      <c r="V29" s="30"/>
      <c r="W29" s="30"/>
      <c r="X29" s="30"/>
      <c r="Y29" s="30"/>
      <c r="Z29" s="30"/>
      <c r="AA29" s="30"/>
      <c r="AB29" s="30"/>
      <c r="AC29" s="30"/>
      <c r="AD29" s="30"/>
    </row>
    <row r="30" spans="1:30" ht="15.75" customHeight="1" x14ac:dyDescent="0.25">
      <c r="A30" s="30"/>
      <c r="B30" s="241"/>
      <c r="C30" s="241"/>
      <c r="D30" s="241"/>
      <c r="E30" s="241"/>
      <c r="F30" s="241"/>
      <c r="G30" s="241"/>
      <c r="H30" s="241"/>
      <c r="I30" s="241"/>
      <c r="J30" s="241"/>
      <c r="K30" s="241"/>
      <c r="L30" s="241"/>
      <c r="M30" s="241"/>
      <c r="N30" s="241"/>
      <c r="O30" s="241"/>
      <c r="P30" s="241"/>
      <c r="Q30" s="30"/>
      <c r="R30" s="30"/>
      <c r="S30" s="30"/>
      <c r="T30" s="30"/>
      <c r="U30" s="30"/>
      <c r="V30" s="30"/>
      <c r="W30" s="30"/>
      <c r="X30" s="30"/>
      <c r="Y30" s="30"/>
      <c r="Z30" s="30"/>
      <c r="AA30" s="30"/>
      <c r="AB30" s="30"/>
      <c r="AC30" s="30"/>
      <c r="AD30" s="30"/>
    </row>
    <row r="31" spans="1:30" ht="15.75" customHeight="1" x14ac:dyDescent="0.25">
      <c r="A31" s="30"/>
      <c r="B31" s="241"/>
      <c r="C31" s="241"/>
      <c r="D31" s="241"/>
      <c r="E31" s="241"/>
      <c r="F31" s="241"/>
      <c r="G31" s="241"/>
      <c r="H31" s="241"/>
      <c r="I31" s="241"/>
      <c r="J31" s="241"/>
      <c r="K31" s="241"/>
      <c r="L31" s="241"/>
      <c r="M31" s="241"/>
      <c r="N31" s="241"/>
      <c r="O31" s="241"/>
      <c r="P31" s="241"/>
      <c r="Q31" s="30"/>
      <c r="R31" s="30"/>
      <c r="S31" s="30"/>
      <c r="T31" s="30"/>
      <c r="U31" s="30"/>
      <c r="V31" s="30"/>
      <c r="W31" s="30"/>
      <c r="X31" s="30"/>
      <c r="Y31" s="30"/>
      <c r="Z31" s="30"/>
      <c r="AA31" s="30"/>
      <c r="AB31" s="30"/>
      <c r="AC31" s="30"/>
      <c r="AD31" s="30"/>
    </row>
    <row r="32" spans="1:30" ht="15.75" customHeight="1" x14ac:dyDescent="0.25">
      <c r="A32" s="30"/>
      <c r="B32" s="241"/>
      <c r="C32" s="241"/>
      <c r="D32" s="241"/>
      <c r="E32" s="241"/>
      <c r="F32" s="241"/>
      <c r="G32" s="241"/>
      <c r="H32" s="241"/>
      <c r="I32" s="241"/>
      <c r="J32" s="241"/>
      <c r="K32" s="241"/>
      <c r="L32" s="241"/>
      <c r="M32" s="241"/>
      <c r="N32" s="241"/>
      <c r="O32" s="241"/>
      <c r="P32" s="241"/>
      <c r="Q32" s="30"/>
      <c r="R32" s="30"/>
      <c r="S32" s="30"/>
      <c r="T32" s="30"/>
      <c r="U32" s="30"/>
      <c r="V32" s="30"/>
      <c r="W32" s="30"/>
      <c r="X32" s="30"/>
      <c r="Y32" s="30"/>
      <c r="Z32" s="30"/>
      <c r="AA32" s="30"/>
      <c r="AB32" s="30"/>
      <c r="AC32" s="30"/>
      <c r="AD32" s="30"/>
    </row>
    <row r="33" spans="1:30" ht="15.75" customHeight="1" x14ac:dyDescent="0.25">
      <c r="A33" s="30"/>
      <c r="B33" s="241"/>
      <c r="C33" s="241"/>
      <c r="D33" s="241"/>
      <c r="E33" s="241"/>
      <c r="F33" s="241"/>
      <c r="G33" s="241"/>
      <c r="H33" s="241"/>
      <c r="I33" s="241"/>
      <c r="J33" s="241"/>
      <c r="K33" s="241"/>
      <c r="L33" s="241"/>
      <c r="M33" s="241"/>
      <c r="N33" s="241"/>
      <c r="O33" s="241"/>
      <c r="P33" s="241"/>
      <c r="Q33" s="30"/>
      <c r="R33" s="30"/>
      <c r="S33" s="30"/>
      <c r="T33" s="30"/>
      <c r="U33" s="30"/>
      <c r="V33" s="30"/>
      <c r="W33" s="30"/>
      <c r="X33" s="30"/>
      <c r="Y33" s="30"/>
      <c r="Z33" s="30"/>
      <c r="AA33" s="30"/>
      <c r="AB33" s="30"/>
      <c r="AC33" s="30"/>
      <c r="AD33" s="30"/>
    </row>
    <row r="34" spans="1:30" ht="15.75" customHeight="1" x14ac:dyDescent="0.25">
      <c r="A34" s="30"/>
      <c r="B34" s="241"/>
      <c r="C34" s="241"/>
      <c r="D34" s="241"/>
      <c r="E34" s="241"/>
      <c r="F34" s="241"/>
      <c r="G34" s="241"/>
      <c r="H34" s="241"/>
      <c r="I34" s="241"/>
      <c r="J34" s="241"/>
      <c r="K34" s="241"/>
      <c r="L34" s="241"/>
      <c r="M34" s="241"/>
      <c r="N34" s="241"/>
      <c r="O34" s="241"/>
      <c r="P34" s="241"/>
      <c r="Q34" s="30"/>
      <c r="R34" s="30"/>
      <c r="S34" s="30"/>
      <c r="T34" s="30"/>
      <c r="U34" s="30"/>
      <c r="V34" s="30"/>
      <c r="W34" s="30"/>
      <c r="X34" s="30"/>
      <c r="Y34" s="30"/>
      <c r="Z34" s="30"/>
      <c r="AA34" s="30"/>
      <c r="AB34" s="30"/>
      <c r="AC34" s="30"/>
      <c r="AD34" s="30"/>
    </row>
    <row r="35" spans="1:30" ht="15.75" customHeight="1" x14ac:dyDescent="0.25">
      <c r="A35" s="30"/>
      <c r="B35" s="241"/>
      <c r="C35" s="241"/>
      <c r="D35" s="241"/>
      <c r="E35" s="241"/>
      <c r="F35" s="241"/>
      <c r="G35" s="241"/>
      <c r="H35" s="241"/>
      <c r="I35" s="241"/>
      <c r="J35" s="241"/>
      <c r="K35" s="241"/>
      <c r="L35" s="241"/>
      <c r="M35" s="241"/>
      <c r="N35" s="241"/>
      <c r="O35" s="241"/>
      <c r="P35" s="241"/>
      <c r="Q35" s="30"/>
      <c r="R35" s="30"/>
      <c r="S35" s="30"/>
      <c r="T35" s="30"/>
      <c r="U35" s="30"/>
      <c r="V35" s="30"/>
      <c r="W35" s="30"/>
      <c r="X35" s="30"/>
      <c r="Y35" s="30"/>
      <c r="Z35" s="30"/>
      <c r="AA35" s="30"/>
      <c r="AB35" s="30"/>
      <c r="AC35" s="30"/>
      <c r="AD35" s="30"/>
    </row>
    <row r="36" spans="1:30" ht="15.75" customHeight="1" x14ac:dyDescent="0.25">
      <c r="A36" s="30"/>
      <c r="B36" s="241"/>
      <c r="C36" s="241"/>
      <c r="D36" s="241"/>
      <c r="E36" s="241"/>
      <c r="F36" s="241"/>
      <c r="G36" s="241"/>
      <c r="H36" s="241"/>
      <c r="I36" s="241"/>
      <c r="J36" s="241"/>
      <c r="K36" s="241"/>
      <c r="L36" s="241"/>
      <c r="M36" s="241"/>
      <c r="N36" s="241"/>
      <c r="O36" s="241"/>
      <c r="P36" s="241"/>
      <c r="Q36" s="30"/>
      <c r="R36" s="30"/>
      <c r="S36" s="30"/>
      <c r="T36" s="30"/>
      <c r="U36" s="30"/>
      <c r="V36" s="30"/>
      <c r="W36" s="30"/>
      <c r="X36" s="30"/>
      <c r="Y36" s="30"/>
      <c r="Z36" s="30"/>
      <c r="AA36" s="30"/>
      <c r="AB36" s="30"/>
      <c r="AC36" s="30"/>
      <c r="AD36" s="30"/>
    </row>
    <row r="37" spans="1:30" ht="15.75" customHeight="1" x14ac:dyDescent="0.25">
      <c r="A37" s="30"/>
      <c r="B37" s="241"/>
      <c r="C37" s="241"/>
      <c r="D37" s="241"/>
      <c r="E37" s="241"/>
      <c r="F37" s="241"/>
      <c r="G37" s="241"/>
      <c r="H37" s="241"/>
      <c r="I37" s="241"/>
      <c r="J37" s="241"/>
      <c r="K37" s="241"/>
      <c r="L37" s="241"/>
      <c r="M37" s="241"/>
      <c r="N37" s="241"/>
      <c r="O37" s="241"/>
      <c r="P37" s="241"/>
      <c r="Q37" s="30"/>
      <c r="R37" s="30"/>
      <c r="S37" s="30"/>
      <c r="T37" s="30"/>
      <c r="U37" s="30"/>
      <c r="V37" s="30"/>
      <c r="W37" s="30"/>
      <c r="X37" s="30"/>
      <c r="Y37" s="30"/>
      <c r="Z37" s="30"/>
      <c r="AA37" s="30"/>
      <c r="AB37" s="30"/>
      <c r="AC37" s="30"/>
      <c r="AD37" s="30"/>
    </row>
    <row r="38" spans="1:30" ht="15.75" customHeight="1" x14ac:dyDescent="0.25">
      <c r="A38" s="30"/>
      <c r="B38" s="241"/>
      <c r="C38" s="241"/>
      <c r="D38" s="241"/>
      <c r="E38" s="241"/>
      <c r="F38" s="241"/>
      <c r="G38" s="241"/>
      <c r="H38" s="241"/>
      <c r="I38" s="241"/>
      <c r="J38" s="241"/>
      <c r="K38" s="241"/>
      <c r="L38" s="241"/>
      <c r="M38" s="241"/>
      <c r="N38" s="241"/>
      <c r="O38" s="241"/>
      <c r="P38" s="241"/>
      <c r="Q38" s="30"/>
      <c r="R38" s="30"/>
      <c r="S38" s="30"/>
      <c r="T38" s="30"/>
      <c r="U38" s="30"/>
      <c r="V38" s="30"/>
      <c r="W38" s="30"/>
      <c r="X38" s="30"/>
      <c r="Y38" s="30"/>
      <c r="Z38" s="30"/>
      <c r="AA38" s="30"/>
      <c r="AB38" s="30"/>
      <c r="AC38" s="30"/>
      <c r="AD38" s="30"/>
    </row>
    <row r="39" spans="1:30" ht="15.75" customHeight="1" x14ac:dyDescent="0.25">
      <c r="A39" s="30"/>
      <c r="B39" s="241"/>
      <c r="C39" s="241"/>
      <c r="D39" s="241"/>
      <c r="E39" s="241"/>
      <c r="F39" s="241"/>
      <c r="G39" s="241"/>
      <c r="H39" s="241"/>
      <c r="I39" s="241"/>
      <c r="J39" s="241"/>
      <c r="K39" s="241"/>
      <c r="L39" s="241"/>
      <c r="M39" s="241"/>
      <c r="N39" s="241"/>
      <c r="O39" s="241"/>
      <c r="P39" s="241"/>
      <c r="Q39" s="30"/>
      <c r="R39" s="30"/>
      <c r="S39" s="30"/>
      <c r="T39" s="30"/>
      <c r="U39" s="30"/>
      <c r="V39" s="30"/>
      <c r="W39" s="30"/>
      <c r="X39" s="30"/>
      <c r="Y39" s="30"/>
      <c r="Z39" s="30"/>
      <c r="AA39" s="30"/>
      <c r="AB39" s="30"/>
      <c r="AC39" s="30"/>
      <c r="AD39" s="30"/>
    </row>
  </sheetData>
  <mergeCells count="8">
    <mergeCell ref="A2:Q2"/>
    <mergeCell ref="A3:Q3"/>
    <mergeCell ref="Q5:Q7"/>
    <mergeCell ref="B6:E6"/>
    <mergeCell ref="A5:A7"/>
    <mergeCell ref="B5:P5"/>
    <mergeCell ref="G6:K6"/>
    <mergeCell ref="L6:P6"/>
  </mergeCells>
  <pageMargins left="0.7" right="0.7" top="0.75" bottom="0.75" header="0" footer="0"/>
  <pageSetup paperSize="9" scale="75" orientation="landscape" horizontalDpi="4294967295" verticalDpi="4294967295" r:id="rId1"/>
  <ignoredErrors>
    <ignoredError sqref="G8:G19" formulaRange="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V34"/>
  <sheetViews>
    <sheetView topLeftCell="A16" zoomScaleNormal="100" workbookViewId="0">
      <selection activeCell="AM29" sqref="AM29"/>
    </sheetView>
  </sheetViews>
  <sheetFormatPr defaultColWidth="14.42578125" defaultRowHeight="15" customHeight="1" x14ac:dyDescent="0.25"/>
  <cols>
    <col min="1" max="1" width="9" style="31" customWidth="1"/>
    <col min="2" max="18" width="9.42578125" style="31" hidden="1" customWidth="1"/>
    <col min="19" max="19" width="0.5703125" style="31" hidden="1" customWidth="1"/>
    <col min="20" max="31" width="9.42578125" style="31" customWidth="1"/>
    <col min="32" max="32" width="12.7109375" style="31" customWidth="1"/>
    <col min="33" max="33" width="1.7109375" style="31" customWidth="1"/>
    <col min="34" max="48" width="8" style="31" customWidth="1"/>
    <col min="49" max="16384" width="14.42578125" style="31"/>
  </cols>
  <sheetData>
    <row r="1" spans="1:48" ht="21" customHeight="1" x14ac:dyDescent="0.55000000000000004">
      <c r="A1" s="722" t="s">
        <v>259</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699"/>
      <c r="AC1" s="699"/>
      <c r="AD1" s="699"/>
      <c r="AE1" s="699"/>
      <c r="AF1" s="700"/>
      <c r="AG1" s="30"/>
      <c r="AH1" s="30"/>
      <c r="AI1" s="30"/>
      <c r="AJ1" s="30"/>
      <c r="AK1" s="30"/>
      <c r="AL1" s="30"/>
      <c r="AM1" s="30"/>
      <c r="AN1" s="30"/>
      <c r="AO1" s="30"/>
      <c r="AP1" s="30"/>
      <c r="AQ1" s="30"/>
      <c r="AR1" s="30"/>
      <c r="AS1" s="30"/>
      <c r="AT1" s="30"/>
      <c r="AU1" s="30"/>
      <c r="AV1" s="30"/>
    </row>
    <row r="2" spans="1:48" x14ac:dyDescent="0.25">
      <c r="A2" s="739" t="s">
        <v>260</v>
      </c>
      <c r="B2" s="699"/>
      <c r="C2" s="699"/>
      <c r="D2" s="699"/>
      <c r="E2" s="699"/>
      <c r="F2" s="699"/>
      <c r="G2" s="699"/>
      <c r="H2" s="699"/>
      <c r="I2" s="699"/>
      <c r="J2" s="699"/>
      <c r="K2" s="699"/>
      <c r="L2" s="699"/>
      <c r="M2" s="699"/>
      <c r="N2" s="699"/>
      <c r="O2" s="699"/>
      <c r="P2" s="699"/>
      <c r="Q2" s="699"/>
      <c r="R2" s="699"/>
      <c r="S2" s="699"/>
      <c r="T2" s="699"/>
      <c r="U2" s="699"/>
      <c r="V2" s="699"/>
      <c r="W2" s="699"/>
      <c r="X2" s="699"/>
      <c r="Y2" s="699"/>
      <c r="Z2" s="699"/>
      <c r="AA2" s="699"/>
      <c r="AB2" s="699"/>
      <c r="AC2" s="699"/>
      <c r="AD2" s="699"/>
      <c r="AE2" s="699"/>
      <c r="AF2" s="700"/>
      <c r="AG2" s="30"/>
      <c r="AH2" s="30"/>
      <c r="AI2" s="30"/>
      <c r="AJ2" s="30"/>
      <c r="AK2" s="30"/>
      <c r="AL2" s="30"/>
      <c r="AM2" s="30"/>
      <c r="AN2" s="30"/>
      <c r="AO2" s="30"/>
      <c r="AP2" s="30"/>
      <c r="AQ2" s="30"/>
      <c r="AR2" s="30"/>
      <c r="AS2" s="30"/>
      <c r="AT2" s="30"/>
      <c r="AU2" s="30"/>
      <c r="AV2" s="30"/>
    </row>
    <row r="3" spans="1:48" ht="5.2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row>
    <row r="4" spans="1:48" x14ac:dyDescent="0.25">
      <c r="A4" s="718" t="s">
        <v>6</v>
      </c>
      <c r="B4" s="785">
        <v>2013</v>
      </c>
      <c r="C4" s="725"/>
      <c r="D4" s="725"/>
      <c r="E4" s="725"/>
      <c r="F4" s="725"/>
      <c r="G4" s="726"/>
      <c r="H4" s="784">
        <v>2014</v>
      </c>
      <c r="I4" s="725"/>
      <c r="J4" s="725"/>
      <c r="K4" s="725"/>
      <c r="L4" s="725"/>
      <c r="M4" s="727"/>
      <c r="N4" s="784">
        <v>2016</v>
      </c>
      <c r="O4" s="725"/>
      <c r="P4" s="725"/>
      <c r="Q4" s="725"/>
      <c r="R4" s="725"/>
      <c r="S4" s="727"/>
      <c r="T4" s="778">
        <v>2017</v>
      </c>
      <c r="U4" s="727"/>
      <c r="V4" s="727"/>
      <c r="W4" s="727"/>
      <c r="X4" s="727"/>
      <c r="Y4" s="726"/>
      <c r="Z4" s="784">
        <v>2018</v>
      </c>
      <c r="AA4" s="725"/>
      <c r="AB4" s="725"/>
      <c r="AC4" s="725"/>
      <c r="AD4" s="725"/>
      <c r="AE4" s="727"/>
      <c r="AF4" s="714" t="s">
        <v>12</v>
      </c>
      <c r="AG4" s="30"/>
      <c r="AH4" s="30"/>
      <c r="AI4" s="30"/>
      <c r="AJ4" s="30"/>
      <c r="AK4" s="30"/>
      <c r="AL4" s="30"/>
      <c r="AM4" s="30"/>
      <c r="AN4" s="30"/>
      <c r="AO4" s="30"/>
      <c r="AP4" s="228"/>
      <c r="AQ4" s="30"/>
      <c r="AR4" s="30"/>
      <c r="AS4" s="30"/>
      <c r="AT4" s="30"/>
      <c r="AU4" s="30"/>
      <c r="AV4" s="30"/>
    </row>
    <row r="5" spans="1:48" ht="21" customHeight="1" x14ac:dyDescent="0.55000000000000004">
      <c r="A5" s="715"/>
      <c r="B5" s="758" t="s">
        <v>93</v>
      </c>
      <c r="C5" s="705"/>
      <c r="D5" s="705"/>
      <c r="E5" s="705"/>
      <c r="F5" s="705"/>
      <c r="G5" s="706"/>
      <c r="H5" s="777" t="s">
        <v>94</v>
      </c>
      <c r="I5" s="705"/>
      <c r="J5" s="705"/>
      <c r="K5" s="705"/>
      <c r="L5" s="705"/>
      <c r="M5" s="717"/>
      <c r="N5" s="777" t="s">
        <v>95</v>
      </c>
      <c r="O5" s="705"/>
      <c r="P5" s="705"/>
      <c r="Q5" s="705"/>
      <c r="R5" s="705"/>
      <c r="S5" s="717"/>
      <c r="T5" s="776" t="s">
        <v>96</v>
      </c>
      <c r="U5" s="702"/>
      <c r="V5" s="702"/>
      <c r="W5" s="702"/>
      <c r="X5" s="702"/>
      <c r="Y5" s="703"/>
      <c r="Z5" s="777" t="s">
        <v>97</v>
      </c>
      <c r="AA5" s="705"/>
      <c r="AB5" s="705"/>
      <c r="AC5" s="705"/>
      <c r="AD5" s="705"/>
      <c r="AE5" s="717"/>
      <c r="AF5" s="715"/>
      <c r="AG5" s="30"/>
      <c r="AH5" s="228"/>
      <c r="AI5" s="228"/>
      <c r="AJ5" s="228"/>
      <c r="AK5" s="228"/>
      <c r="AL5" s="228"/>
      <c r="AM5" s="228"/>
      <c r="AN5" s="228"/>
      <c r="AO5" s="30"/>
      <c r="AP5" s="228"/>
      <c r="AQ5" s="30"/>
      <c r="AR5" s="30"/>
      <c r="AS5" s="30"/>
      <c r="AT5" s="30"/>
      <c r="AU5" s="30"/>
      <c r="AV5" s="30"/>
    </row>
    <row r="6" spans="1:48" ht="14.25" customHeight="1" x14ac:dyDescent="0.25">
      <c r="A6" s="716"/>
      <c r="B6" s="229" t="s">
        <v>23</v>
      </c>
      <c r="C6" s="229" t="s">
        <v>98</v>
      </c>
      <c r="D6" s="229" t="s">
        <v>99</v>
      </c>
      <c r="E6" s="229" t="s">
        <v>82</v>
      </c>
      <c r="F6" s="229" t="s">
        <v>83</v>
      </c>
      <c r="G6" s="60" t="s">
        <v>100</v>
      </c>
      <c r="H6" s="59" t="s">
        <v>23</v>
      </c>
      <c r="I6" s="229" t="s">
        <v>98</v>
      </c>
      <c r="J6" s="229" t="s">
        <v>99</v>
      </c>
      <c r="K6" s="229" t="s">
        <v>82</v>
      </c>
      <c r="L6" s="229" t="s">
        <v>83</v>
      </c>
      <c r="M6" s="229" t="s">
        <v>100</v>
      </c>
      <c r="N6" s="59" t="s">
        <v>23</v>
      </c>
      <c r="O6" s="229" t="s">
        <v>98</v>
      </c>
      <c r="P6" s="229" t="s">
        <v>99</v>
      </c>
      <c r="Q6" s="229" t="s">
        <v>82</v>
      </c>
      <c r="R6" s="229" t="s">
        <v>83</v>
      </c>
      <c r="S6" s="229" t="s">
        <v>100</v>
      </c>
      <c r="T6" s="229" t="s">
        <v>23</v>
      </c>
      <c r="U6" s="229" t="s">
        <v>98</v>
      </c>
      <c r="V6" s="229" t="s">
        <v>99</v>
      </c>
      <c r="W6" s="229" t="s">
        <v>82</v>
      </c>
      <c r="X6" s="229" t="s">
        <v>83</v>
      </c>
      <c r="Y6" s="60" t="s">
        <v>100</v>
      </c>
      <c r="Z6" s="59" t="s">
        <v>23</v>
      </c>
      <c r="AA6" s="229" t="s">
        <v>98</v>
      </c>
      <c r="AB6" s="229" t="s">
        <v>99</v>
      </c>
      <c r="AC6" s="229" t="s">
        <v>82</v>
      </c>
      <c r="AD6" s="229" t="s">
        <v>83</v>
      </c>
      <c r="AE6" s="229" t="s">
        <v>100</v>
      </c>
      <c r="AF6" s="716"/>
      <c r="AG6" s="30"/>
      <c r="AH6" s="228"/>
      <c r="AI6" s="228"/>
      <c r="AJ6" s="228"/>
      <c r="AK6" s="228"/>
      <c r="AL6" s="228"/>
      <c r="AM6" s="228"/>
      <c r="AN6" s="228"/>
      <c r="AO6" s="30"/>
      <c r="AP6" s="228"/>
      <c r="AQ6" s="30"/>
      <c r="AR6" s="30"/>
      <c r="AS6" s="30"/>
      <c r="AT6" s="30"/>
      <c r="AU6" s="30"/>
      <c r="AV6" s="30"/>
    </row>
    <row r="7" spans="1:48" ht="15" customHeight="1" x14ac:dyDescent="0.25">
      <c r="A7" s="275" t="s">
        <v>27</v>
      </c>
      <c r="B7" s="111">
        <f t="shared" ref="B7:B18" si="0">SUM(C7:G7)</f>
        <v>7356</v>
      </c>
      <c r="C7" s="111">
        <v>2947</v>
      </c>
      <c r="D7" s="111">
        <v>1430</v>
      </c>
      <c r="E7" s="111">
        <v>925</v>
      </c>
      <c r="F7" s="111">
        <v>958</v>
      </c>
      <c r="G7" s="260">
        <v>1096</v>
      </c>
      <c r="H7" s="261">
        <f t="shared" ref="H7:H18" si="1">SUM(I7:M7)</f>
        <v>7317</v>
      </c>
      <c r="I7" s="111">
        <v>2810</v>
      </c>
      <c r="J7" s="111">
        <v>1471</v>
      </c>
      <c r="K7" s="111">
        <v>915</v>
      </c>
      <c r="L7" s="111">
        <v>928</v>
      </c>
      <c r="M7" s="111">
        <v>1193</v>
      </c>
      <c r="N7" s="261">
        <f t="shared" ref="N7:N18" si="2">SUM(O7:S7)</f>
        <v>7299</v>
      </c>
      <c r="O7" s="111">
        <v>2431</v>
      </c>
      <c r="P7" s="111">
        <v>1610</v>
      </c>
      <c r="Q7" s="111">
        <v>947</v>
      </c>
      <c r="R7" s="111">
        <v>932</v>
      </c>
      <c r="S7" s="111">
        <v>1379</v>
      </c>
      <c r="T7" s="277">
        <f t="shared" ref="T7:T18" si="3">SUM(U7:Y7)</f>
        <v>7259</v>
      </c>
      <c r="U7" s="278">
        <v>2273</v>
      </c>
      <c r="V7" s="278">
        <v>1670</v>
      </c>
      <c r="W7" s="278">
        <v>972</v>
      </c>
      <c r="X7" s="278">
        <v>905</v>
      </c>
      <c r="Y7" s="279">
        <v>1439</v>
      </c>
      <c r="Z7" s="262">
        <f t="shared" ref="Z7:Z18" si="4">SUM(AA7:AE7)</f>
        <v>7255</v>
      </c>
      <c r="AA7" s="263">
        <v>2130</v>
      </c>
      <c r="AB7" s="263">
        <v>1773</v>
      </c>
      <c r="AC7" s="263">
        <v>986</v>
      </c>
      <c r="AD7" s="263">
        <v>877</v>
      </c>
      <c r="AE7" s="263">
        <v>1489</v>
      </c>
      <c r="AF7" s="141" t="s">
        <v>28</v>
      </c>
      <c r="AG7" s="30"/>
      <c r="AH7" s="228"/>
      <c r="AI7" s="228"/>
      <c r="AJ7" s="228"/>
      <c r="AK7" s="228"/>
      <c r="AL7" s="228"/>
      <c r="AM7" s="228"/>
      <c r="AN7" s="228"/>
      <c r="AO7" s="30"/>
      <c r="AP7" s="228"/>
      <c r="AQ7" s="30"/>
      <c r="AR7" s="30"/>
      <c r="AS7" s="30"/>
      <c r="AT7" s="30"/>
      <c r="AU7" s="30"/>
      <c r="AV7" s="30"/>
    </row>
    <row r="8" spans="1:48" ht="21" customHeight="1" x14ac:dyDescent="0.25">
      <c r="A8" s="275" t="s">
        <v>29</v>
      </c>
      <c r="B8" s="111">
        <f t="shared" si="0"/>
        <v>7339</v>
      </c>
      <c r="C8" s="111">
        <v>2943</v>
      </c>
      <c r="D8" s="111">
        <v>1426</v>
      </c>
      <c r="E8" s="111">
        <v>925</v>
      </c>
      <c r="F8" s="111">
        <v>950</v>
      </c>
      <c r="G8" s="260">
        <v>1095</v>
      </c>
      <c r="H8" s="261">
        <f t="shared" si="1"/>
        <v>7332</v>
      </c>
      <c r="I8" s="111">
        <v>2803</v>
      </c>
      <c r="J8" s="111">
        <v>1455</v>
      </c>
      <c r="K8" s="111">
        <v>960</v>
      </c>
      <c r="L8" s="111">
        <v>919</v>
      </c>
      <c r="M8" s="111">
        <v>1195</v>
      </c>
      <c r="N8" s="261">
        <f t="shared" si="2"/>
        <v>7276</v>
      </c>
      <c r="O8" s="111">
        <v>2419</v>
      </c>
      <c r="P8" s="111">
        <v>1607</v>
      </c>
      <c r="Q8" s="111">
        <v>943</v>
      </c>
      <c r="R8" s="111">
        <v>932</v>
      </c>
      <c r="S8" s="111">
        <v>1375</v>
      </c>
      <c r="T8" s="277">
        <f t="shared" si="3"/>
        <v>7178</v>
      </c>
      <c r="U8" s="278">
        <v>2255</v>
      </c>
      <c r="V8" s="278">
        <v>1690</v>
      </c>
      <c r="W8" s="278">
        <v>905</v>
      </c>
      <c r="X8" s="278">
        <v>898</v>
      </c>
      <c r="Y8" s="279">
        <v>1430</v>
      </c>
      <c r="Z8" s="262">
        <f t="shared" si="4"/>
        <v>7216</v>
      </c>
      <c r="AA8" s="263">
        <v>2122</v>
      </c>
      <c r="AB8" s="263">
        <v>1769</v>
      </c>
      <c r="AC8" s="263">
        <v>974</v>
      </c>
      <c r="AD8" s="263">
        <v>878</v>
      </c>
      <c r="AE8" s="263">
        <v>1473</v>
      </c>
      <c r="AF8" s="141" t="s">
        <v>31</v>
      </c>
      <c r="AG8" s="30"/>
      <c r="AH8" s="228"/>
      <c r="AI8" s="228"/>
      <c r="AJ8" s="228"/>
      <c r="AK8" s="228"/>
      <c r="AL8" s="228"/>
      <c r="AM8" s="228"/>
      <c r="AN8" s="228"/>
      <c r="AO8" s="30"/>
      <c r="AP8" s="228"/>
      <c r="AQ8" s="30"/>
      <c r="AR8" s="30"/>
      <c r="AS8" s="30"/>
      <c r="AT8" s="30"/>
      <c r="AU8" s="30"/>
      <c r="AV8" s="30"/>
    </row>
    <row r="9" spans="1:48" ht="21" customHeight="1" x14ac:dyDescent="0.25">
      <c r="A9" s="275" t="s">
        <v>32</v>
      </c>
      <c r="B9" s="111">
        <f t="shared" si="0"/>
        <v>7341</v>
      </c>
      <c r="C9" s="111">
        <v>2923</v>
      </c>
      <c r="D9" s="111">
        <v>1440</v>
      </c>
      <c r="E9" s="111">
        <v>926</v>
      </c>
      <c r="F9" s="111">
        <v>948</v>
      </c>
      <c r="G9" s="260">
        <v>1104</v>
      </c>
      <c r="H9" s="261">
        <f t="shared" si="1"/>
        <v>7330</v>
      </c>
      <c r="I9" s="111">
        <v>2789</v>
      </c>
      <c r="J9" s="111">
        <v>1464</v>
      </c>
      <c r="K9" s="111">
        <v>957</v>
      </c>
      <c r="L9" s="111">
        <v>919</v>
      </c>
      <c r="M9" s="111">
        <v>1201</v>
      </c>
      <c r="N9" s="261">
        <f t="shared" si="2"/>
        <v>7293</v>
      </c>
      <c r="O9" s="111">
        <v>2420</v>
      </c>
      <c r="P9" s="111">
        <v>1609</v>
      </c>
      <c r="Q9" s="111">
        <v>966</v>
      </c>
      <c r="R9" s="111">
        <v>934</v>
      </c>
      <c r="S9" s="111">
        <v>1364</v>
      </c>
      <c r="T9" s="277">
        <f t="shared" si="3"/>
        <v>7055</v>
      </c>
      <c r="U9" s="278">
        <v>2252</v>
      </c>
      <c r="V9" s="278">
        <v>1694</v>
      </c>
      <c r="W9" s="278">
        <v>888</v>
      </c>
      <c r="X9" s="278">
        <v>817</v>
      </c>
      <c r="Y9" s="279">
        <v>1404</v>
      </c>
      <c r="Z9" s="262">
        <f t="shared" si="4"/>
        <v>7218</v>
      </c>
      <c r="AA9" s="263">
        <v>2125</v>
      </c>
      <c r="AB9" s="263">
        <v>1776</v>
      </c>
      <c r="AC9" s="263">
        <v>976</v>
      </c>
      <c r="AD9" s="263">
        <v>873</v>
      </c>
      <c r="AE9" s="263">
        <v>1468</v>
      </c>
      <c r="AF9" s="141" t="s">
        <v>33</v>
      </c>
      <c r="AG9" s="30"/>
      <c r="AH9" s="228"/>
      <c r="AI9" s="228"/>
      <c r="AJ9" s="228"/>
      <c r="AK9" s="228"/>
      <c r="AL9" s="228"/>
      <c r="AM9" s="228"/>
      <c r="AN9" s="228"/>
      <c r="AO9" s="30"/>
      <c r="AP9" s="228"/>
      <c r="AQ9" s="30"/>
      <c r="AR9" s="30"/>
      <c r="AS9" s="30"/>
      <c r="AT9" s="30"/>
      <c r="AU9" s="30"/>
      <c r="AV9" s="30"/>
    </row>
    <row r="10" spans="1:48" ht="21" customHeight="1" x14ac:dyDescent="0.25">
      <c r="A10" s="275" t="s">
        <v>34</v>
      </c>
      <c r="B10" s="111">
        <f t="shared" si="0"/>
        <v>7287</v>
      </c>
      <c r="C10" s="111">
        <v>2829</v>
      </c>
      <c r="D10" s="111">
        <v>1460</v>
      </c>
      <c r="E10" s="111">
        <v>889</v>
      </c>
      <c r="F10" s="111">
        <v>941</v>
      </c>
      <c r="G10" s="260">
        <v>1168</v>
      </c>
      <c r="H10" s="261">
        <f t="shared" si="1"/>
        <v>7363</v>
      </c>
      <c r="I10" s="111">
        <v>2774</v>
      </c>
      <c r="J10" s="111">
        <v>1489</v>
      </c>
      <c r="K10" s="111">
        <v>974</v>
      </c>
      <c r="L10" s="111">
        <v>916</v>
      </c>
      <c r="M10" s="111">
        <v>1210</v>
      </c>
      <c r="N10" s="261">
        <f t="shared" si="2"/>
        <v>7325</v>
      </c>
      <c r="O10" s="111">
        <v>2404</v>
      </c>
      <c r="P10" s="111">
        <v>1626</v>
      </c>
      <c r="Q10" s="111">
        <v>985</v>
      </c>
      <c r="R10" s="111">
        <v>934</v>
      </c>
      <c r="S10" s="111">
        <v>1376</v>
      </c>
      <c r="T10" s="277">
        <f t="shared" si="3"/>
        <v>7208</v>
      </c>
      <c r="U10" s="278">
        <v>2243</v>
      </c>
      <c r="V10" s="278">
        <v>1707</v>
      </c>
      <c r="W10" s="278">
        <v>978</v>
      </c>
      <c r="X10" s="278">
        <v>848</v>
      </c>
      <c r="Y10" s="279">
        <v>1432</v>
      </c>
      <c r="Z10" s="262">
        <f t="shared" si="4"/>
        <v>7258</v>
      </c>
      <c r="AA10" s="263">
        <v>2096</v>
      </c>
      <c r="AB10" s="263">
        <v>1814</v>
      </c>
      <c r="AC10" s="263">
        <v>984</v>
      </c>
      <c r="AD10" s="263">
        <v>881</v>
      </c>
      <c r="AE10" s="263">
        <v>1483</v>
      </c>
      <c r="AF10" s="141" t="s">
        <v>35</v>
      </c>
      <c r="AG10" s="30"/>
      <c r="AH10" s="228"/>
      <c r="AI10" s="228"/>
      <c r="AJ10" s="228"/>
      <c r="AK10" s="228"/>
      <c r="AL10" s="228"/>
      <c r="AM10" s="228"/>
      <c r="AN10" s="228"/>
      <c r="AO10" s="30"/>
      <c r="AP10" s="228"/>
      <c r="AQ10" s="30"/>
      <c r="AR10" s="30"/>
      <c r="AS10" s="30"/>
      <c r="AT10" s="30"/>
      <c r="AU10" s="30"/>
      <c r="AV10" s="30"/>
    </row>
    <row r="11" spans="1:48" ht="21" customHeight="1" x14ac:dyDescent="0.25">
      <c r="A11" s="275" t="s">
        <v>36</v>
      </c>
      <c r="B11" s="111">
        <f t="shared" si="0"/>
        <v>7325</v>
      </c>
      <c r="C11" s="111">
        <v>2906</v>
      </c>
      <c r="D11" s="111">
        <v>1450</v>
      </c>
      <c r="E11" s="111">
        <v>920</v>
      </c>
      <c r="F11" s="111">
        <v>936</v>
      </c>
      <c r="G11" s="260">
        <v>1113</v>
      </c>
      <c r="H11" s="261">
        <f t="shared" si="1"/>
        <v>7326</v>
      </c>
      <c r="I11" s="111">
        <v>2761</v>
      </c>
      <c r="J11" s="111">
        <v>1482</v>
      </c>
      <c r="K11" s="111">
        <v>973</v>
      </c>
      <c r="L11" s="111">
        <v>914</v>
      </c>
      <c r="M11" s="111">
        <v>1196</v>
      </c>
      <c r="N11" s="261">
        <f t="shared" si="2"/>
        <v>7303</v>
      </c>
      <c r="O11" s="111">
        <v>2404</v>
      </c>
      <c r="P11" s="111">
        <v>1622</v>
      </c>
      <c r="Q11" s="111">
        <v>973</v>
      </c>
      <c r="R11" s="111">
        <v>936</v>
      </c>
      <c r="S11" s="111">
        <v>1368</v>
      </c>
      <c r="T11" s="277">
        <f t="shared" si="3"/>
        <v>7215</v>
      </c>
      <c r="U11" s="278">
        <v>2243</v>
      </c>
      <c r="V11" s="278">
        <v>1706</v>
      </c>
      <c r="W11" s="278">
        <v>972</v>
      </c>
      <c r="X11" s="278">
        <v>882</v>
      </c>
      <c r="Y11" s="279">
        <v>1412</v>
      </c>
      <c r="Z11" s="262">
        <f t="shared" si="4"/>
        <v>7235</v>
      </c>
      <c r="AA11" s="263">
        <v>2098</v>
      </c>
      <c r="AB11" s="263">
        <v>1827</v>
      </c>
      <c r="AC11" s="263">
        <v>965</v>
      </c>
      <c r="AD11" s="263">
        <v>879</v>
      </c>
      <c r="AE11" s="263">
        <v>1466</v>
      </c>
      <c r="AF11" s="141" t="s">
        <v>37</v>
      </c>
      <c r="AG11" s="30"/>
      <c r="AH11" s="228"/>
      <c r="AI11" s="228"/>
      <c r="AJ11" s="228"/>
      <c r="AK11" s="228"/>
      <c r="AL11" s="228"/>
      <c r="AM11" s="228"/>
      <c r="AN11" s="228"/>
      <c r="AO11" s="30"/>
      <c r="AP11" s="228"/>
      <c r="AQ11" s="30"/>
      <c r="AR11" s="30"/>
      <c r="AS11" s="30"/>
      <c r="AT11" s="30"/>
      <c r="AU11" s="30"/>
      <c r="AV11" s="30"/>
    </row>
    <row r="12" spans="1:48" ht="21" customHeight="1" x14ac:dyDescent="0.25">
      <c r="A12" s="275" t="s">
        <v>38</v>
      </c>
      <c r="B12" s="111">
        <f t="shared" si="0"/>
        <v>7363</v>
      </c>
      <c r="C12" s="111">
        <v>2895</v>
      </c>
      <c r="D12" s="111">
        <v>1475</v>
      </c>
      <c r="E12" s="111">
        <v>925</v>
      </c>
      <c r="F12" s="111">
        <v>945</v>
      </c>
      <c r="G12" s="260">
        <v>1123</v>
      </c>
      <c r="H12" s="261">
        <f t="shared" si="1"/>
        <v>7324</v>
      </c>
      <c r="I12" s="111">
        <v>2747</v>
      </c>
      <c r="J12" s="111">
        <v>1485</v>
      </c>
      <c r="K12" s="111">
        <v>983</v>
      </c>
      <c r="L12" s="111">
        <v>908</v>
      </c>
      <c r="M12" s="111">
        <v>1201</v>
      </c>
      <c r="N12" s="261">
        <f t="shared" si="2"/>
        <v>7269</v>
      </c>
      <c r="O12" s="111">
        <v>2384</v>
      </c>
      <c r="P12" s="111">
        <v>1631</v>
      </c>
      <c r="Q12" s="111">
        <v>971</v>
      </c>
      <c r="R12" s="111">
        <v>920</v>
      </c>
      <c r="S12" s="111">
        <v>1363</v>
      </c>
      <c r="T12" s="277">
        <f t="shared" si="3"/>
        <v>7208</v>
      </c>
      <c r="U12" s="278">
        <v>2217</v>
      </c>
      <c r="V12" s="278">
        <v>1718</v>
      </c>
      <c r="W12" s="278">
        <v>981</v>
      </c>
      <c r="X12" s="278">
        <v>878</v>
      </c>
      <c r="Y12" s="279">
        <v>1414</v>
      </c>
      <c r="Z12" s="262">
        <f t="shared" si="4"/>
        <v>7231</v>
      </c>
      <c r="AA12" s="263">
        <v>2068</v>
      </c>
      <c r="AB12" s="263">
        <v>1846</v>
      </c>
      <c r="AC12" s="263">
        <v>965</v>
      </c>
      <c r="AD12" s="263">
        <v>889</v>
      </c>
      <c r="AE12" s="263">
        <v>1463</v>
      </c>
      <c r="AF12" s="141" t="s">
        <v>39</v>
      </c>
      <c r="AG12" s="30"/>
      <c r="AH12" s="228"/>
      <c r="AI12" s="228"/>
      <c r="AJ12" s="228"/>
      <c r="AK12" s="228"/>
      <c r="AL12" s="228"/>
      <c r="AM12" s="228"/>
      <c r="AN12" s="228"/>
      <c r="AO12" s="30"/>
      <c r="AP12" s="228"/>
      <c r="AQ12" s="30"/>
      <c r="AR12" s="30"/>
      <c r="AS12" s="30"/>
      <c r="AT12" s="30"/>
      <c r="AU12" s="30"/>
      <c r="AV12" s="30"/>
    </row>
    <row r="13" spans="1:48" ht="21" customHeight="1" x14ac:dyDescent="0.25">
      <c r="A13" s="275" t="s">
        <v>40</v>
      </c>
      <c r="B13" s="111">
        <f t="shared" si="0"/>
        <v>7327</v>
      </c>
      <c r="C13" s="111">
        <v>2886</v>
      </c>
      <c r="D13" s="111">
        <v>1457</v>
      </c>
      <c r="E13" s="111">
        <v>927</v>
      </c>
      <c r="F13" s="111">
        <v>932</v>
      </c>
      <c r="G13" s="260">
        <v>1125</v>
      </c>
      <c r="H13" s="261">
        <f t="shared" si="1"/>
        <v>7366</v>
      </c>
      <c r="I13" s="111">
        <v>2738</v>
      </c>
      <c r="J13" s="111">
        <v>1507</v>
      </c>
      <c r="K13" s="111">
        <v>995</v>
      </c>
      <c r="L13" s="111">
        <v>912</v>
      </c>
      <c r="M13" s="111">
        <v>1214</v>
      </c>
      <c r="N13" s="261">
        <f t="shared" si="2"/>
        <v>7299</v>
      </c>
      <c r="O13" s="111">
        <v>2384</v>
      </c>
      <c r="P13" s="111">
        <v>1629</v>
      </c>
      <c r="Q13" s="111">
        <v>987</v>
      </c>
      <c r="R13" s="111">
        <v>929</v>
      </c>
      <c r="S13" s="111">
        <v>1370</v>
      </c>
      <c r="T13" s="277">
        <f t="shared" si="3"/>
        <v>7256</v>
      </c>
      <c r="U13" s="278">
        <v>2223</v>
      </c>
      <c r="V13" s="278">
        <v>1730</v>
      </c>
      <c r="W13" s="278">
        <v>999</v>
      </c>
      <c r="X13" s="278">
        <v>894</v>
      </c>
      <c r="Y13" s="279">
        <v>1410</v>
      </c>
      <c r="Z13" s="262">
        <f t="shared" si="4"/>
        <v>7253</v>
      </c>
      <c r="AA13" s="263">
        <v>2068</v>
      </c>
      <c r="AB13" s="263">
        <v>1846</v>
      </c>
      <c r="AC13" s="263">
        <v>987</v>
      </c>
      <c r="AD13" s="263">
        <v>892</v>
      </c>
      <c r="AE13" s="263">
        <v>1460</v>
      </c>
      <c r="AF13" s="141" t="s">
        <v>42</v>
      </c>
      <c r="AG13" s="30"/>
      <c r="AH13" s="228"/>
      <c r="AI13" s="228"/>
      <c r="AJ13" s="228"/>
      <c r="AK13" s="228"/>
      <c r="AL13" s="228"/>
      <c r="AM13" s="228"/>
      <c r="AN13" s="228"/>
      <c r="AO13" s="30"/>
      <c r="AP13" s="228"/>
      <c r="AQ13" s="30"/>
      <c r="AR13" s="30"/>
      <c r="AS13" s="30"/>
      <c r="AT13" s="30"/>
      <c r="AU13" s="30"/>
      <c r="AV13" s="30"/>
    </row>
    <row r="14" spans="1:48" ht="21" customHeight="1" x14ac:dyDescent="0.25">
      <c r="A14" s="275" t="s">
        <v>43</v>
      </c>
      <c r="B14" s="111">
        <f t="shared" si="0"/>
        <v>7330</v>
      </c>
      <c r="C14" s="111">
        <v>2877</v>
      </c>
      <c r="D14" s="111">
        <v>1462</v>
      </c>
      <c r="E14" s="111">
        <v>927</v>
      </c>
      <c r="F14" s="111">
        <v>938</v>
      </c>
      <c r="G14" s="260">
        <v>1126</v>
      </c>
      <c r="H14" s="261">
        <f t="shared" si="1"/>
        <v>7329</v>
      </c>
      <c r="I14" s="111">
        <v>2733</v>
      </c>
      <c r="J14" s="111">
        <v>1488</v>
      </c>
      <c r="K14" s="111">
        <v>997</v>
      </c>
      <c r="L14" s="111">
        <v>908</v>
      </c>
      <c r="M14" s="111">
        <v>1203</v>
      </c>
      <c r="N14" s="261">
        <f t="shared" si="2"/>
        <v>7264</v>
      </c>
      <c r="O14" s="111">
        <v>2370</v>
      </c>
      <c r="P14" s="111">
        <v>1598</v>
      </c>
      <c r="Q14" s="111">
        <v>942</v>
      </c>
      <c r="R14" s="111">
        <v>989</v>
      </c>
      <c r="S14" s="111">
        <v>1365</v>
      </c>
      <c r="T14" s="277">
        <f t="shared" si="3"/>
        <v>7227</v>
      </c>
      <c r="U14" s="278">
        <v>2206</v>
      </c>
      <c r="V14" s="278">
        <v>1741</v>
      </c>
      <c r="W14" s="278">
        <v>937</v>
      </c>
      <c r="X14" s="278">
        <v>939</v>
      </c>
      <c r="Y14" s="279">
        <v>1404</v>
      </c>
      <c r="Z14" s="262">
        <f t="shared" si="4"/>
        <v>7235</v>
      </c>
      <c r="AA14" s="263">
        <v>2057</v>
      </c>
      <c r="AB14" s="263">
        <v>1859</v>
      </c>
      <c r="AC14" s="263">
        <v>974</v>
      </c>
      <c r="AD14" s="263">
        <v>895</v>
      </c>
      <c r="AE14" s="263">
        <v>1450</v>
      </c>
      <c r="AF14" s="141" t="s">
        <v>44</v>
      </c>
      <c r="AG14" s="30"/>
      <c r="AH14" s="228"/>
      <c r="AI14" s="228"/>
      <c r="AJ14" s="228"/>
      <c r="AK14" s="228"/>
      <c r="AL14" s="228"/>
      <c r="AM14" s="228"/>
      <c r="AN14" s="228"/>
      <c r="AO14" s="30"/>
      <c r="AP14" s="228"/>
      <c r="AQ14" s="30"/>
      <c r="AR14" s="30"/>
      <c r="AS14" s="30"/>
      <c r="AT14" s="30"/>
      <c r="AU14" s="30"/>
      <c r="AV14" s="30"/>
    </row>
    <row r="15" spans="1:48" ht="21" customHeight="1" x14ac:dyDescent="0.25">
      <c r="A15" s="275" t="s">
        <v>45</v>
      </c>
      <c r="B15" s="111">
        <f t="shared" si="0"/>
        <v>7330</v>
      </c>
      <c r="C15" s="111">
        <v>2867</v>
      </c>
      <c r="D15" s="111">
        <v>1466</v>
      </c>
      <c r="E15" s="111">
        <v>934</v>
      </c>
      <c r="F15" s="111">
        <v>935</v>
      </c>
      <c r="G15" s="260">
        <v>1128</v>
      </c>
      <c r="H15" s="261">
        <f t="shared" si="1"/>
        <v>7321</v>
      </c>
      <c r="I15" s="111">
        <v>2721</v>
      </c>
      <c r="J15" s="111">
        <v>1486</v>
      </c>
      <c r="K15" s="111">
        <v>1011</v>
      </c>
      <c r="L15" s="111">
        <v>902</v>
      </c>
      <c r="M15" s="111">
        <v>1201</v>
      </c>
      <c r="N15" s="261">
        <f t="shared" si="2"/>
        <v>7255</v>
      </c>
      <c r="O15" s="111">
        <v>2334</v>
      </c>
      <c r="P15" s="111">
        <v>1616</v>
      </c>
      <c r="Q15" s="111">
        <v>949</v>
      </c>
      <c r="R15" s="111">
        <v>912</v>
      </c>
      <c r="S15" s="111">
        <v>1444</v>
      </c>
      <c r="T15" s="277">
        <f t="shared" si="3"/>
        <v>7230</v>
      </c>
      <c r="U15" s="278">
        <v>2171</v>
      </c>
      <c r="V15" s="278">
        <v>1730</v>
      </c>
      <c r="W15" s="278">
        <v>983</v>
      </c>
      <c r="X15" s="278">
        <v>860</v>
      </c>
      <c r="Y15" s="279">
        <v>1486</v>
      </c>
      <c r="Z15" s="262">
        <f t="shared" si="4"/>
        <v>7221</v>
      </c>
      <c r="AA15" s="263">
        <v>2016</v>
      </c>
      <c r="AB15" s="263">
        <v>1838</v>
      </c>
      <c r="AC15" s="263">
        <v>947</v>
      </c>
      <c r="AD15" s="263">
        <v>896</v>
      </c>
      <c r="AE15" s="263">
        <v>1524</v>
      </c>
      <c r="AF15" s="141" t="s">
        <v>47</v>
      </c>
      <c r="AG15" s="30"/>
      <c r="AH15" s="228"/>
      <c r="AI15" s="228"/>
      <c r="AJ15" s="228"/>
      <c r="AK15" s="228"/>
      <c r="AL15" s="228"/>
      <c r="AM15" s="228"/>
      <c r="AN15" s="228"/>
      <c r="AO15" s="30"/>
      <c r="AP15" s="228"/>
      <c r="AQ15" s="30"/>
      <c r="AR15" s="30"/>
      <c r="AS15" s="30"/>
      <c r="AT15" s="30"/>
      <c r="AU15" s="30"/>
      <c r="AV15" s="30"/>
    </row>
    <row r="16" spans="1:48" ht="21" customHeight="1" x14ac:dyDescent="0.25">
      <c r="A16" s="275" t="s">
        <v>48</v>
      </c>
      <c r="B16" s="111">
        <f t="shared" si="0"/>
        <v>7349</v>
      </c>
      <c r="C16" s="111">
        <v>2863</v>
      </c>
      <c r="D16" s="111">
        <v>1483</v>
      </c>
      <c r="E16" s="111">
        <v>941</v>
      </c>
      <c r="F16" s="111">
        <v>932</v>
      </c>
      <c r="G16" s="260">
        <v>1130</v>
      </c>
      <c r="H16" s="261">
        <f t="shared" si="1"/>
        <v>7345</v>
      </c>
      <c r="I16" s="111">
        <v>2713</v>
      </c>
      <c r="J16" s="111">
        <v>1508</v>
      </c>
      <c r="K16" s="111">
        <v>1012</v>
      </c>
      <c r="L16" s="111">
        <v>904</v>
      </c>
      <c r="M16" s="111">
        <v>1208</v>
      </c>
      <c r="N16" s="261">
        <f t="shared" si="2"/>
        <v>7287</v>
      </c>
      <c r="O16" s="111">
        <v>2322</v>
      </c>
      <c r="P16" s="111">
        <v>1635</v>
      </c>
      <c r="Q16" s="111">
        <v>970</v>
      </c>
      <c r="R16" s="111">
        <v>905</v>
      </c>
      <c r="S16" s="111">
        <v>1455</v>
      </c>
      <c r="T16" s="277">
        <f t="shared" si="3"/>
        <v>7252</v>
      </c>
      <c r="U16" s="278">
        <v>2170</v>
      </c>
      <c r="V16" s="278">
        <v>1739</v>
      </c>
      <c r="W16" s="278">
        <v>985</v>
      </c>
      <c r="X16" s="278">
        <v>866</v>
      </c>
      <c r="Y16" s="279">
        <v>1492</v>
      </c>
      <c r="Z16" s="262">
        <f t="shared" si="4"/>
        <v>7238</v>
      </c>
      <c r="AA16" s="263">
        <v>1994</v>
      </c>
      <c r="AB16" s="263">
        <v>1850</v>
      </c>
      <c r="AC16" s="263">
        <v>967</v>
      </c>
      <c r="AD16" s="263">
        <v>903</v>
      </c>
      <c r="AE16" s="263">
        <v>1524</v>
      </c>
      <c r="AF16" s="141" t="s">
        <v>50</v>
      </c>
      <c r="AG16" s="30"/>
      <c r="AH16" s="228"/>
      <c r="AI16" s="228"/>
      <c r="AJ16" s="228"/>
      <c r="AK16" s="228"/>
      <c r="AL16" s="228"/>
      <c r="AM16" s="228"/>
      <c r="AN16" s="228"/>
      <c r="AO16" s="30"/>
      <c r="AP16" s="228"/>
      <c r="AQ16" s="30"/>
      <c r="AR16" s="30"/>
      <c r="AS16" s="30"/>
      <c r="AT16" s="30"/>
      <c r="AU16" s="30"/>
      <c r="AV16" s="30"/>
    </row>
    <row r="17" spans="1:48" ht="21" customHeight="1" x14ac:dyDescent="0.25">
      <c r="A17" s="275" t="s">
        <v>51</v>
      </c>
      <c r="B17" s="111">
        <f t="shared" si="0"/>
        <v>7307</v>
      </c>
      <c r="C17" s="111">
        <v>2849</v>
      </c>
      <c r="D17" s="111">
        <v>1471</v>
      </c>
      <c r="E17" s="111">
        <v>938</v>
      </c>
      <c r="F17" s="111">
        <v>924</v>
      </c>
      <c r="G17" s="260">
        <v>1125</v>
      </c>
      <c r="H17" s="261">
        <f t="shared" si="1"/>
        <v>7296</v>
      </c>
      <c r="I17" s="111">
        <v>2706</v>
      </c>
      <c r="J17" s="111">
        <v>1500</v>
      </c>
      <c r="K17" s="111">
        <v>999</v>
      </c>
      <c r="L17" s="111">
        <v>898</v>
      </c>
      <c r="M17" s="111">
        <v>1193</v>
      </c>
      <c r="N17" s="261">
        <f t="shared" si="2"/>
        <v>7252</v>
      </c>
      <c r="O17" s="111">
        <v>2304</v>
      </c>
      <c r="P17" s="111">
        <v>1649</v>
      </c>
      <c r="Q17" s="111">
        <v>957</v>
      </c>
      <c r="R17" s="111">
        <v>897</v>
      </c>
      <c r="S17" s="111">
        <v>1445</v>
      </c>
      <c r="T17" s="277">
        <f t="shared" si="3"/>
        <v>7220</v>
      </c>
      <c r="U17" s="278">
        <v>2151</v>
      </c>
      <c r="V17" s="278">
        <v>1749</v>
      </c>
      <c r="W17" s="278">
        <v>974</v>
      </c>
      <c r="X17" s="278">
        <v>867</v>
      </c>
      <c r="Y17" s="279">
        <v>1479</v>
      </c>
      <c r="Z17" s="262">
        <f t="shared" si="4"/>
        <v>7202</v>
      </c>
      <c r="AA17" s="263">
        <v>1984</v>
      </c>
      <c r="AB17" s="263">
        <v>1850</v>
      </c>
      <c r="AC17" s="263">
        <v>949</v>
      </c>
      <c r="AD17" s="263">
        <v>904</v>
      </c>
      <c r="AE17" s="263">
        <v>1515</v>
      </c>
      <c r="AF17" s="141" t="s">
        <v>52</v>
      </c>
      <c r="AG17" s="30"/>
      <c r="AH17" s="228"/>
      <c r="AI17" s="228"/>
      <c r="AJ17" s="228"/>
      <c r="AK17" s="228"/>
      <c r="AL17" s="228"/>
      <c r="AM17" s="228"/>
      <c r="AN17" s="228"/>
      <c r="AO17" s="30"/>
      <c r="AP17" s="228"/>
      <c r="AQ17" s="30"/>
      <c r="AR17" s="30"/>
      <c r="AS17" s="30"/>
      <c r="AT17" s="30"/>
      <c r="AU17" s="30"/>
      <c r="AV17" s="30"/>
    </row>
    <row r="18" spans="1:48" ht="21" customHeight="1" x14ac:dyDescent="0.25">
      <c r="A18" s="276" t="s">
        <v>53</v>
      </c>
      <c r="B18" s="264">
        <f t="shared" si="0"/>
        <v>7293</v>
      </c>
      <c r="C18" s="264">
        <v>2839</v>
      </c>
      <c r="D18" s="264">
        <v>1477</v>
      </c>
      <c r="E18" s="264">
        <v>943</v>
      </c>
      <c r="F18" s="264">
        <v>914</v>
      </c>
      <c r="G18" s="265">
        <v>1120</v>
      </c>
      <c r="H18" s="266">
        <f t="shared" si="1"/>
        <v>7284</v>
      </c>
      <c r="I18" s="264">
        <v>2695</v>
      </c>
      <c r="J18" s="264">
        <v>1514</v>
      </c>
      <c r="K18" s="264">
        <v>992</v>
      </c>
      <c r="L18" s="264">
        <v>898</v>
      </c>
      <c r="M18" s="264">
        <v>1185</v>
      </c>
      <c r="N18" s="266">
        <f t="shared" si="2"/>
        <v>7255</v>
      </c>
      <c r="O18" s="264">
        <v>2288</v>
      </c>
      <c r="P18" s="264">
        <v>1666</v>
      </c>
      <c r="Q18" s="264">
        <v>951</v>
      </c>
      <c r="R18" s="264">
        <v>902</v>
      </c>
      <c r="S18" s="264">
        <v>1448</v>
      </c>
      <c r="T18" s="280">
        <f t="shared" si="3"/>
        <v>7218</v>
      </c>
      <c r="U18" s="281">
        <v>2139</v>
      </c>
      <c r="V18" s="281">
        <v>1763</v>
      </c>
      <c r="W18" s="281">
        <v>968</v>
      </c>
      <c r="X18" s="281">
        <v>869</v>
      </c>
      <c r="Y18" s="282">
        <v>1479</v>
      </c>
      <c r="Z18" s="267">
        <f t="shared" si="4"/>
        <v>7200</v>
      </c>
      <c r="AA18" s="268">
        <v>1958</v>
      </c>
      <c r="AB18" s="268">
        <v>1871</v>
      </c>
      <c r="AC18" s="268">
        <v>949</v>
      </c>
      <c r="AD18" s="268">
        <v>903</v>
      </c>
      <c r="AE18" s="268">
        <v>1519</v>
      </c>
      <c r="AF18" s="155" t="s">
        <v>54</v>
      </c>
      <c r="AG18" s="30"/>
      <c r="AH18" s="228"/>
      <c r="AI18" s="228"/>
      <c r="AJ18" s="228"/>
      <c r="AK18" s="228"/>
      <c r="AL18" s="228"/>
      <c r="AM18" s="228"/>
      <c r="AN18" s="228"/>
      <c r="AO18" s="30"/>
      <c r="AP18" s="228"/>
      <c r="AQ18" s="30"/>
      <c r="AR18" s="30"/>
      <c r="AS18" s="30"/>
      <c r="AT18" s="30"/>
      <c r="AU18" s="30"/>
      <c r="AV18" s="30"/>
    </row>
    <row r="19" spans="1:48" ht="19.5" customHeight="1" x14ac:dyDescent="0.45">
      <c r="A19" s="160" t="s">
        <v>57</v>
      </c>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162" t="s">
        <v>58</v>
      </c>
      <c r="AG19" s="30"/>
      <c r="AH19" s="228"/>
      <c r="AI19" s="228"/>
      <c r="AJ19" s="228"/>
      <c r="AK19" s="228"/>
      <c r="AL19" s="228"/>
      <c r="AM19" s="228"/>
      <c r="AN19" s="228"/>
      <c r="AO19" s="30"/>
      <c r="AP19" s="228"/>
      <c r="AQ19" s="30"/>
      <c r="AR19" s="30"/>
      <c r="AS19" s="30"/>
      <c r="AT19" s="30"/>
      <c r="AU19" s="30"/>
      <c r="AV19" s="30"/>
    </row>
    <row r="20" spans="1:48"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228"/>
      <c r="AI20" s="228"/>
      <c r="AJ20" s="228"/>
      <c r="AK20" s="228"/>
      <c r="AL20" s="228"/>
      <c r="AM20" s="228"/>
      <c r="AN20" s="228"/>
      <c r="AO20" s="30"/>
      <c r="AP20" s="228"/>
      <c r="AQ20" s="30"/>
      <c r="AR20" s="30"/>
      <c r="AS20" s="30"/>
      <c r="AT20" s="30"/>
      <c r="AU20" s="30"/>
      <c r="AV20" s="30"/>
    </row>
    <row r="21" spans="1:48" ht="15.75" customHeight="1"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row>
    <row r="22" spans="1:48" ht="15.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row>
    <row r="23" spans="1:48" ht="15.75" customHeight="1" x14ac:dyDescent="0.25">
      <c r="A23" s="30"/>
      <c r="B23" s="30"/>
      <c r="C23" s="30"/>
      <c r="D23" s="30"/>
      <c r="E23" s="30"/>
      <c r="F23" s="30"/>
      <c r="G23" s="30"/>
      <c r="H23" s="30"/>
      <c r="I23" s="30"/>
      <c r="J23" s="30"/>
      <c r="K23" s="30"/>
      <c r="L23" s="30"/>
      <c r="M23" s="30"/>
      <c r="N23" s="30"/>
      <c r="O23" s="235"/>
      <c r="P23" s="235"/>
      <c r="Q23" s="235"/>
      <c r="R23" s="235"/>
      <c r="S23" s="235"/>
      <c r="T23" s="30"/>
      <c r="U23" s="235"/>
      <c r="V23" s="235"/>
      <c r="W23" s="235"/>
      <c r="X23" s="235"/>
      <c r="Y23" s="235"/>
      <c r="Z23" s="30"/>
      <c r="AA23" s="235"/>
      <c r="AB23" s="235"/>
      <c r="AC23" s="235"/>
      <c r="AD23" s="235"/>
      <c r="AE23" s="235"/>
      <c r="AF23" s="30"/>
      <c r="AG23" s="30"/>
      <c r="AH23" s="30"/>
      <c r="AI23" s="30"/>
      <c r="AJ23" s="30"/>
      <c r="AK23" s="30"/>
      <c r="AL23" s="30"/>
      <c r="AM23" s="30"/>
      <c r="AN23" s="30"/>
      <c r="AO23" s="30"/>
      <c r="AP23" s="30"/>
      <c r="AQ23" s="30"/>
      <c r="AR23" s="30"/>
      <c r="AS23" s="30"/>
      <c r="AT23" s="30"/>
      <c r="AU23" s="30"/>
      <c r="AV23" s="30"/>
    </row>
    <row r="24" spans="1:48" ht="15.7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row>
    <row r="25" spans="1:48"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241"/>
      <c r="AS25" s="241"/>
      <c r="AT25" s="241"/>
      <c r="AU25" s="241"/>
      <c r="AV25" s="241"/>
    </row>
    <row r="26" spans="1:48" ht="30"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241" t="s">
        <v>101</v>
      </c>
      <c r="AS26" s="241" t="s">
        <v>102</v>
      </c>
      <c r="AT26" s="241" t="s">
        <v>85</v>
      </c>
      <c r="AU26" s="241" t="s">
        <v>92</v>
      </c>
      <c r="AV26" s="241" t="s">
        <v>103</v>
      </c>
    </row>
    <row r="27" spans="1:48"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234">
        <f>AA18/Z18*100</f>
        <v>27.194444444444443</v>
      </c>
      <c r="AS27" s="234">
        <f>AB18/Z18*100</f>
        <v>25.986111111111111</v>
      </c>
      <c r="AT27" s="234">
        <f>AC18/Z18*100</f>
        <v>13.180555555555557</v>
      </c>
      <c r="AU27" s="234">
        <f>AD18/Z18*100</f>
        <v>12.541666666666668</v>
      </c>
      <c r="AV27" s="234">
        <f>AE18/Z18*100</f>
        <v>21.097222222222221</v>
      </c>
    </row>
    <row r="28" spans="1:48"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row>
    <row r="29" spans="1:48"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row>
    <row r="30" spans="1:48"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row>
    <row r="31" spans="1:48" ht="15.75" customHeight="1" x14ac:dyDescent="0.25">
      <c r="A31" s="30"/>
      <c r="B31" s="30"/>
      <c r="C31" s="30"/>
      <c r="D31" s="30"/>
      <c r="E31" s="30"/>
      <c r="F31" s="30"/>
      <c r="G31" s="30"/>
      <c r="H31" s="30"/>
      <c r="I31" s="269"/>
      <c r="J31" s="30"/>
      <c r="K31" s="30"/>
      <c r="L31" s="30"/>
      <c r="M31" s="30"/>
      <c r="N31" s="30"/>
      <c r="O31" s="269"/>
      <c r="P31" s="30"/>
      <c r="Q31" s="30"/>
      <c r="R31" s="30"/>
      <c r="S31" s="30"/>
      <c r="T31" s="30"/>
      <c r="U31" s="269"/>
      <c r="V31" s="30"/>
      <c r="W31" s="30"/>
      <c r="X31" s="30"/>
      <c r="Y31" s="30"/>
      <c r="Z31" s="30"/>
      <c r="AA31" s="269"/>
      <c r="AB31" s="30"/>
      <c r="AC31" s="30"/>
      <c r="AD31" s="30"/>
      <c r="AE31" s="30"/>
      <c r="AF31" s="30"/>
      <c r="AG31" s="30"/>
      <c r="AH31" s="30"/>
      <c r="AI31" s="30"/>
      <c r="AJ31" s="30"/>
      <c r="AK31" s="30"/>
      <c r="AL31" s="30"/>
      <c r="AM31" s="30"/>
      <c r="AN31" s="30"/>
      <c r="AO31" s="30"/>
      <c r="AP31" s="30"/>
      <c r="AQ31" s="30"/>
      <c r="AR31" s="30"/>
      <c r="AS31" s="30"/>
      <c r="AT31" s="30"/>
      <c r="AU31" s="30"/>
      <c r="AV31" s="30"/>
    </row>
    <row r="32" spans="1:48" ht="25.5" customHeight="1" x14ac:dyDescent="0.25">
      <c r="A32" s="42"/>
      <c r="B32" s="42"/>
      <c r="C32" s="42"/>
      <c r="D32" s="42"/>
      <c r="E32" s="42"/>
      <c r="F32" s="42"/>
      <c r="G32" s="42"/>
      <c r="H32" s="42"/>
      <c r="I32" s="42"/>
      <c r="J32" s="42"/>
      <c r="K32" s="42"/>
      <c r="L32" s="42"/>
      <c r="M32" s="42"/>
      <c r="N32" s="42"/>
      <c r="O32" s="42"/>
      <c r="P32" s="42"/>
      <c r="Q32" s="42"/>
      <c r="R32" s="30"/>
      <c r="S32" s="30"/>
      <c r="T32" s="42"/>
      <c r="U32" s="42"/>
      <c r="V32" s="42"/>
      <c r="W32" s="42"/>
      <c r="X32" s="30"/>
      <c r="Y32" s="30"/>
      <c r="Z32" s="42"/>
      <c r="AA32" s="42"/>
      <c r="AB32" s="42"/>
      <c r="AC32" s="42"/>
      <c r="AD32" s="30"/>
      <c r="AE32" s="30"/>
      <c r="AF32" s="42"/>
      <c r="AG32" s="42"/>
      <c r="AH32" s="42"/>
      <c r="AI32" s="42"/>
      <c r="AJ32" s="42"/>
      <c r="AK32" s="42"/>
      <c r="AL32" s="42"/>
      <c r="AM32" s="42"/>
      <c r="AN32" s="42"/>
      <c r="AO32" s="42"/>
      <c r="AP32" s="42"/>
      <c r="AQ32" s="42"/>
      <c r="AR32" s="42"/>
      <c r="AS32" s="42"/>
      <c r="AT32" s="42"/>
      <c r="AU32" s="42"/>
      <c r="AV32" s="42"/>
    </row>
    <row r="33" spans="1:48" ht="25.5" customHeight="1" x14ac:dyDescent="0.25">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row>
    <row r="34" spans="1:48" ht="25.5" customHeight="1" x14ac:dyDescent="0.25">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row>
  </sheetData>
  <mergeCells count="14">
    <mergeCell ref="Z4:AE4"/>
    <mergeCell ref="A1:AF1"/>
    <mergeCell ref="A2:AF2"/>
    <mergeCell ref="T4:Y4"/>
    <mergeCell ref="T5:Y5"/>
    <mergeCell ref="AF4:AF6"/>
    <mergeCell ref="Z5:AE5"/>
    <mergeCell ref="N4:S4"/>
    <mergeCell ref="H4:M4"/>
    <mergeCell ref="B4:G4"/>
    <mergeCell ref="A4:A6"/>
    <mergeCell ref="B5:G5"/>
    <mergeCell ref="N5:S5"/>
    <mergeCell ref="H5:M5"/>
  </mergeCells>
  <pageMargins left="0.7" right="0.7" top="0.75" bottom="0.75" header="0" footer="0"/>
  <pageSetup paperSize="9" scale="80"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40"/>
  <sheetViews>
    <sheetView view="pageBreakPreview" topLeftCell="A9" zoomScale="80" zoomScaleNormal="100" zoomScaleSheetLayoutView="80" workbookViewId="0">
      <selection activeCell="U39" sqref="U39"/>
    </sheetView>
  </sheetViews>
  <sheetFormatPr defaultColWidth="14.42578125" defaultRowHeight="15" customHeight="1" x14ac:dyDescent="0.25"/>
  <cols>
    <col min="1" max="1" width="9" style="31" customWidth="1"/>
    <col min="2" max="4" width="13.85546875" style="31" hidden="1" customWidth="1"/>
    <col min="5" max="5" width="1.5703125" style="31" hidden="1" customWidth="1"/>
    <col min="6" max="13" width="13.85546875" style="31" customWidth="1"/>
    <col min="14" max="14" width="13.7109375" style="31" customWidth="1"/>
    <col min="15" max="15" width="1.140625" style="31" customWidth="1"/>
    <col min="16" max="16" width="7.42578125" style="31" customWidth="1"/>
    <col min="17" max="17" width="9" style="31" customWidth="1"/>
    <col min="18" max="18" width="8.42578125" style="31" customWidth="1"/>
    <col min="19" max="19" width="8.140625" style="31" customWidth="1"/>
    <col min="20" max="20" width="9" style="31" customWidth="1"/>
    <col min="21" max="21" width="9.28515625" style="31" customWidth="1"/>
    <col min="22" max="22" width="7.42578125" style="31" customWidth="1"/>
    <col min="23" max="23" width="9" style="31" customWidth="1"/>
    <col min="24" max="24" width="8.42578125" style="31" customWidth="1"/>
    <col min="25" max="25" width="8.140625" style="31" customWidth="1"/>
    <col min="26" max="26" width="9" style="31" customWidth="1"/>
    <col min="27" max="27" width="12.7109375" style="31" customWidth="1"/>
    <col min="28" max="28" width="1.7109375" style="31" customWidth="1"/>
    <col min="29" max="34" width="8" style="31" customWidth="1"/>
    <col min="35" max="16384" width="14.42578125" style="31"/>
  </cols>
  <sheetData>
    <row r="1" spans="1:34" ht="5.25" customHeight="1"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row>
    <row r="2" spans="1:34" ht="21" customHeight="1" x14ac:dyDescent="0.55000000000000004">
      <c r="A2" s="722" t="s">
        <v>262</v>
      </c>
      <c r="B2" s="699"/>
      <c r="C2" s="699"/>
      <c r="D2" s="699"/>
      <c r="E2" s="699"/>
      <c r="F2" s="699"/>
      <c r="G2" s="699"/>
      <c r="H2" s="699"/>
      <c r="I2" s="699"/>
      <c r="J2" s="699"/>
      <c r="K2" s="699"/>
      <c r="L2" s="699"/>
      <c r="M2" s="699"/>
      <c r="N2" s="700"/>
      <c r="O2" s="75"/>
      <c r="P2" s="75"/>
      <c r="Q2" s="75"/>
      <c r="R2" s="75"/>
      <c r="S2" s="75"/>
      <c r="T2" s="75"/>
      <c r="U2" s="75"/>
      <c r="V2" s="75"/>
      <c r="W2" s="75"/>
      <c r="X2" s="75"/>
      <c r="Y2" s="75"/>
      <c r="Z2" s="75"/>
      <c r="AA2" s="75"/>
      <c r="AB2" s="75"/>
      <c r="AC2" s="75"/>
      <c r="AD2" s="75"/>
      <c r="AE2" s="75"/>
      <c r="AF2" s="75"/>
      <c r="AG2" s="75"/>
      <c r="AH2" s="30"/>
    </row>
    <row r="3" spans="1:34" x14ac:dyDescent="0.25">
      <c r="A3" s="739" t="s">
        <v>261</v>
      </c>
      <c r="B3" s="699"/>
      <c r="C3" s="699"/>
      <c r="D3" s="699"/>
      <c r="E3" s="699"/>
      <c r="F3" s="699"/>
      <c r="G3" s="699"/>
      <c r="H3" s="699"/>
      <c r="I3" s="699"/>
      <c r="J3" s="699"/>
      <c r="K3" s="699"/>
      <c r="L3" s="699"/>
      <c r="M3" s="699"/>
      <c r="N3" s="700"/>
      <c r="O3" s="30"/>
      <c r="P3" s="30"/>
      <c r="Q3" s="30"/>
      <c r="R3" s="30"/>
      <c r="S3" s="30"/>
      <c r="T3" s="30"/>
      <c r="U3" s="30"/>
      <c r="V3" s="30"/>
      <c r="W3" s="30"/>
      <c r="X3" s="30"/>
      <c r="Y3" s="30"/>
      <c r="Z3" s="30"/>
      <c r="AA3" s="30"/>
      <c r="AB3" s="30"/>
      <c r="AC3" s="30"/>
      <c r="AD3" s="30"/>
      <c r="AE3" s="30"/>
      <c r="AF3" s="30"/>
      <c r="AG3" s="30"/>
      <c r="AH3" s="30"/>
    </row>
    <row r="4" spans="1:34" x14ac:dyDescent="0.25">
      <c r="A4" s="30"/>
      <c r="B4" s="270"/>
      <c r="C4" s="270"/>
      <c r="D4" s="270"/>
      <c r="E4" s="270"/>
      <c r="F4" s="270"/>
      <c r="G4" s="270"/>
      <c r="H4" s="270"/>
      <c r="I4" s="270"/>
      <c r="J4" s="270"/>
      <c r="K4" s="270"/>
      <c r="L4" s="270"/>
      <c r="M4" s="270"/>
      <c r="N4" s="270"/>
      <c r="O4" s="30"/>
      <c r="P4" s="271"/>
      <c r="Q4" s="271"/>
      <c r="R4" s="271"/>
      <c r="S4" s="271"/>
      <c r="T4" s="271"/>
      <c r="U4" s="271"/>
      <c r="V4" s="271"/>
      <c r="W4" s="271"/>
      <c r="X4" s="271"/>
      <c r="Y4" s="271"/>
      <c r="Z4" s="271"/>
      <c r="AA4" s="271"/>
      <c r="AB4" s="30"/>
      <c r="AC4" s="30"/>
      <c r="AD4" s="30"/>
      <c r="AE4" s="30"/>
      <c r="AF4" s="30"/>
      <c r="AG4" s="30"/>
      <c r="AH4" s="30"/>
    </row>
    <row r="5" spans="1:34" x14ac:dyDescent="0.25">
      <c r="A5" s="738" t="s">
        <v>6</v>
      </c>
      <c r="B5" s="786">
        <v>2016</v>
      </c>
      <c r="C5" s="725"/>
      <c r="D5" s="725"/>
      <c r="E5" s="727"/>
      <c r="F5" s="786">
        <v>2017</v>
      </c>
      <c r="G5" s="725"/>
      <c r="H5" s="725"/>
      <c r="I5" s="727"/>
      <c r="J5" s="786">
        <v>2018</v>
      </c>
      <c r="K5" s="725"/>
      <c r="L5" s="725"/>
      <c r="M5" s="727"/>
      <c r="N5" s="271"/>
      <c r="O5" s="30"/>
      <c r="P5" s="271"/>
      <c r="Q5" s="271"/>
      <c r="R5" s="271"/>
      <c r="S5" s="271"/>
      <c r="T5" s="271"/>
      <c r="U5" s="271"/>
      <c r="V5" s="271"/>
      <c r="W5" s="271"/>
      <c r="X5" s="271"/>
      <c r="Y5" s="271"/>
      <c r="Z5" s="271"/>
      <c r="AA5" s="271"/>
      <c r="AB5" s="30"/>
      <c r="AC5" s="30"/>
      <c r="AD5" s="30"/>
      <c r="AE5" s="30"/>
      <c r="AF5" s="30"/>
      <c r="AG5" s="30"/>
      <c r="AH5" s="30"/>
    </row>
    <row r="6" spans="1:34" ht="21" customHeight="1" x14ac:dyDescent="0.55000000000000004">
      <c r="A6" s="715"/>
      <c r="B6" s="758" t="s">
        <v>104</v>
      </c>
      <c r="C6" s="705"/>
      <c r="D6" s="705"/>
      <c r="E6" s="702"/>
      <c r="F6" s="776" t="s">
        <v>105</v>
      </c>
      <c r="G6" s="702"/>
      <c r="H6" s="702"/>
      <c r="I6" s="703"/>
      <c r="J6" s="777" t="s">
        <v>106</v>
      </c>
      <c r="K6" s="705"/>
      <c r="L6" s="705"/>
      <c r="M6" s="717"/>
      <c r="N6" s="787"/>
      <c r="O6" s="41"/>
      <c r="P6" s="30"/>
      <c r="Q6" s="30"/>
      <c r="R6" s="30"/>
      <c r="S6" s="30"/>
      <c r="T6" s="30"/>
      <c r="U6" s="30"/>
      <c r="V6" s="30"/>
      <c r="W6" s="30"/>
      <c r="X6" s="30"/>
      <c r="Y6" s="30"/>
      <c r="Z6" s="30"/>
      <c r="AA6" s="30"/>
      <c r="AB6" s="30"/>
      <c r="AC6" s="30"/>
      <c r="AD6" s="30"/>
      <c r="AE6" s="30"/>
      <c r="AF6" s="30"/>
      <c r="AG6" s="30"/>
      <c r="AH6" s="30"/>
    </row>
    <row r="7" spans="1:34" ht="15" customHeight="1" x14ac:dyDescent="0.25">
      <c r="A7" s="716"/>
      <c r="B7" s="229" t="s">
        <v>23</v>
      </c>
      <c r="C7" s="229" t="s">
        <v>82</v>
      </c>
      <c r="D7" s="229" t="s">
        <v>83</v>
      </c>
      <c r="E7" s="229" t="s">
        <v>100</v>
      </c>
      <c r="F7" s="229" t="s">
        <v>23</v>
      </c>
      <c r="G7" s="229" t="s">
        <v>82</v>
      </c>
      <c r="H7" s="229" t="s">
        <v>83</v>
      </c>
      <c r="I7" s="60" t="s">
        <v>100</v>
      </c>
      <c r="J7" s="59" t="s">
        <v>23</v>
      </c>
      <c r="K7" s="229" t="s">
        <v>82</v>
      </c>
      <c r="L7" s="229" t="s">
        <v>83</v>
      </c>
      <c r="M7" s="229" t="s">
        <v>100</v>
      </c>
      <c r="N7" s="716"/>
      <c r="O7" s="30"/>
      <c r="P7" s="30"/>
      <c r="Q7" s="30"/>
      <c r="R7" s="30"/>
      <c r="S7" s="30"/>
      <c r="T7" s="30"/>
      <c r="U7" s="30"/>
      <c r="V7" s="30"/>
      <c r="W7" s="30"/>
      <c r="X7" s="30"/>
      <c r="Y7" s="30"/>
      <c r="Z7" s="30"/>
      <c r="AA7" s="30"/>
      <c r="AB7" s="30"/>
      <c r="AC7" s="30"/>
      <c r="AD7" s="30"/>
      <c r="AE7" s="30"/>
      <c r="AF7" s="30"/>
      <c r="AG7" s="30"/>
      <c r="AH7" s="30"/>
    </row>
    <row r="8" spans="1:34" ht="21" customHeight="1" x14ac:dyDescent="0.25">
      <c r="A8" s="30" t="s">
        <v>27</v>
      </c>
      <c r="B8" s="111">
        <f t="shared" ref="B8:B19" si="0">SUM(C8:E8)</f>
        <v>16804</v>
      </c>
      <c r="C8" s="111">
        <v>4426</v>
      </c>
      <c r="D8" s="111">
        <v>4631</v>
      </c>
      <c r="E8" s="283">
        <v>7747</v>
      </c>
      <c r="F8" s="277">
        <f t="shared" ref="F8:F19" si="1">SUM(G8:I8)</f>
        <v>16855</v>
      </c>
      <c r="G8" s="277">
        <v>4554</v>
      </c>
      <c r="H8" s="277">
        <v>4388</v>
      </c>
      <c r="I8" s="285">
        <v>7913</v>
      </c>
      <c r="J8" s="262">
        <f t="shared" ref="J8:J19" si="2">SUM(K8:M8)</f>
        <v>17250</v>
      </c>
      <c r="K8" s="272">
        <v>4826</v>
      </c>
      <c r="L8" s="272">
        <v>4264</v>
      </c>
      <c r="M8" s="272">
        <v>8160</v>
      </c>
      <c r="N8" s="141" t="s">
        <v>28</v>
      </c>
      <c r="O8" s="30"/>
      <c r="P8" s="30"/>
      <c r="Q8" s="30"/>
      <c r="R8" s="30"/>
      <c r="S8" s="30"/>
      <c r="T8" s="30"/>
      <c r="U8" s="30"/>
      <c r="V8" s="30"/>
      <c r="W8" s="30"/>
      <c r="X8" s="30"/>
      <c r="Y8" s="30"/>
      <c r="Z8" s="30"/>
      <c r="AA8" s="30"/>
      <c r="AB8" s="30"/>
      <c r="AC8" s="30"/>
      <c r="AD8" s="30"/>
      <c r="AE8" s="30"/>
      <c r="AF8" s="30"/>
      <c r="AG8" s="30"/>
      <c r="AH8" s="30"/>
    </row>
    <row r="9" spans="1:34" ht="21" customHeight="1" x14ac:dyDescent="0.25">
      <c r="A9" s="30" t="s">
        <v>29</v>
      </c>
      <c r="B9" s="111">
        <f t="shared" si="0"/>
        <v>16874</v>
      </c>
      <c r="C9" s="111">
        <v>4504</v>
      </c>
      <c r="D9" s="111">
        <v>4633</v>
      </c>
      <c r="E9" s="283">
        <v>7737</v>
      </c>
      <c r="F9" s="277">
        <f t="shared" si="1"/>
        <v>16905</v>
      </c>
      <c r="G9" s="277">
        <v>4600</v>
      </c>
      <c r="H9" s="277">
        <v>4381</v>
      </c>
      <c r="I9" s="285">
        <v>7924</v>
      </c>
      <c r="J9" s="262">
        <f t="shared" si="2"/>
        <v>17336</v>
      </c>
      <c r="K9" s="272">
        <v>4935</v>
      </c>
      <c r="L9" s="272">
        <v>4268</v>
      </c>
      <c r="M9" s="272">
        <v>8133</v>
      </c>
      <c r="N9" s="141" t="s">
        <v>31</v>
      </c>
      <c r="O9" s="30"/>
      <c r="P9" s="30"/>
      <c r="Q9" s="30"/>
      <c r="R9" s="30"/>
      <c r="S9" s="30"/>
      <c r="T9" s="30"/>
      <c r="U9" s="30"/>
      <c r="V9" s="30"/>
      <c r="W9" s="30"/>
      <c r="X9" s="30"/>
      <c r="Y9" s="30"/>
      <c r="Z9" s="30"/>
      <c r="AA9" s="30"/>
      <c r="AB9" s="30"/>
      <c r="AC9" s="30"/>
      <c r="AD9" s="30"/>
      <c r="AE9" s="30"/>
      <c r="AF9" s="30"/>
      <c r="AG9" s="30"/>
      <c r="AH9" s="30"/>
    </row>
    <row r="10" spans="1:34" ht="21" customHeight="1" x14ac:dyDescent="0.25">
      <c r="A10" s="30" t="s">
        <v>32</v>
      </c>
      <c r="B10" s="111">
        <f t="shared" si="0"/>
        <v>16871</v>
      </c>
      <c r="C10" s="111">
        <v>4540</v>
      </c>
      <c r="D10" s="111">
        <v>4664</v>
      </c>
      <c r="E10" s="283">
        <v>7667</v>
      </c>
      <c r="F10" s="277">
        <f t="shared" si="1"/>
        <v>16877</v>
      </c>
      <c r="G10" s="277">
        <v>4681</v>
      </c>
      <c r="H10" s="277">
        <v>4348</v>
      </c>
      <c r="I10" s="285">
        <v>7848</v>
      </c>
      <c r="J10" s="262">
        <f t="shared" si="2"/>
        <v>17347</v>
      </c>
      <c r="K10" s="272">
        <v>5019</v>
      </c>
      <c r="L10" s="272">
        <v>4254</v>
      </c>
      <c r="M10" s="272">
        <v>8074</v>
      </c>
      <c r="N10" s="141" t="s">
        <v>33</v>
      </c>
      <c r="O10" s="30"/>
      <c r="P10" s="30"/>
      <c r="Q10" s="30"/>
      <c r="R10" s="30"/>
      <c r="S10" s="30"/>
      <c r="T10" s="30"/>
      <c r="U10" s="30"/>
      <c r="V10" s="30"/>
      <c r="W10" s="30"/>
      <c r="X10" s="30"/>
      <c r="Y10" s="30"/>
      <c r="Z10" s="30"/>
      <c r="AA10" s="30"/>
      <c r="AB10" s="30"/>
      <c r="AC10" s="30"/>
      <c r="AD10" s="30"/>
      <c r="AE10" s="30"/>
      <c r="AF10" s="30"/>
      <c r="AG10" s="30"/>
      <c r="AH10" s="30"/>
    </row>
    <row r="11" spans="1:34" ht="21" customHeight="1" x14ac:dyDescent="0.25">
      <c r="A11" s="30" t="s">
        <v>34</v>
      </c>
      <c r="B11" s="111">
        <f t="shared" si="0"/>
        <v>16884</v>
      </c>
      <c r="C11" s="111">
        <v>4578</v>
      </c>
      <c r="D11" s="111">
        <v>4626</v>
      </c>
      <c r="E11" s="283">
        <v>7680</v>
      </c>
      <c r="F11" s="277">
        <f t="shared" si="1"/>
        <v>16957</v>
      </c>
      <c r="G11" s="277">
        <v>4751</v>
      </c>
      <c r="H11" s="277">
        <v>4339</v>
      </c>
      <c r="I11" s="285">
        <v>7867</v>
      </c>
      <c r="J11" s="262">
        <f t="shared" si="2"/>
        <v>17367</v>
      </c>
      <c r="K11" s="272">
        <v>5031</v>
      </c>
      <c r="L11" s="272">
        <v>4238</v>
      </c>
      <c r="M11" s="272">
        <v>8098</v>
      </c>
      <c r="N11" s="141" t="s">
        <v>35</v>
      </c>
      <c r="O11" s="30"/>
      <c r="P11" s="30"/>
      <c r="Q11" s="30"/>
      <c r="R11" s="30"/>
      <c r="S11" s="30"/>
      <c r="T11" s="30"/>
      <c r="U11" s="30"/>
      <c r="V11" s="30"/>
      <c r="W11" s="30"/>
      <c r="X11" s="30"/>
      <c r="Y11" s="30"/>
      <c r="Z11" s="30"/>
      <c r="AA11" s="30"/>
      <c r="AB11" s="30"/>
      <c r="AC11" s="30"/>
      <c r="AD11" s="30"/>
      <c r="AE11" s="30"/>
      <c r="AF11" s="30"/>
      <c r="AG11" s="30"/>
      <c r="AH11" s="30"/>
    </row>
    <row r="12" spans="1:34" ht="21" customHeight="1" x14ac:dyDescent="0.25">
      <c r="A12" s="30" t="s">
        <v>36</v>
      </c>
      <c r="B12" s="111">
        <f t="shared" si="0"/>
        <v>16914</v>
      </c>
      <c r="C12" s="111">
        <v>4592</v>
      </c>
      <c r="D12" s="111">
        <v>4662</v>
      </c>
      <c r="E12" s="283">
        <v>7660</v>
      </c>
      <c r="F12" s="277">
        <f t="shared" si="1"/>
        <v>16998</v>
      </c>
      <c r="G12" s="277">
        <v>4814</v>
      </c>
      <c r="H12" s="277">
        <v>4378</v>
      </c>
      <c r="I12" s="285">
        <v>7806</v>
      </c>
      <c r="J12" s="262">
        <f t="shared" si="2"/>
        <v>17336</v>
      </c>
      <c r="K12" s="272">
        <v>5095</v>
      </c>
      <c r="L12" s="272">
        <v>4229</v>
      </c>
      <c r="M12" s="272">
        <v>8012</v>
      </c>
      <c r="N12" s="141" t="s">
        <v>37</v>
      </c>
      <c r="O12" s="30"/>
      <c r="P12" s="30"/>
      <c r="Q12" s="30"/>
      <c r="R12" s="30"/>
      <c r="S12" s="30"/>
      <c r="T12" s="30"/>
      <c r="U12" s="30"/>
      <c r="V12" s="30"/>
      <c r="W12" s="30"/>
      <c r="X12" s="30"/>
      <c r="Y12" s="30"/>
      <c r="Z12" s="30"/>
      <c r="AA12" s="30"/>
      <c r="AB12" s="30"/>
      <c r="AC12" s="30"/>
      <c r="AD12" s="30"/>
      <c r="AE12" s="30"/>
      <c r="AF12" s="30"/>
      <c r="AG12" s="30"/>
      <c r="AH12" s="30"/>
    </row>
    <row r="13" spans="1:34" ht="21" customHeight="1" x14ac:dyDescent="0.25">
      <c r="A13" s="30" t="s">
        <v>38</v>
      </c>
      <c r="B13" s="111">
        <f t="shared" si="0"/>
        <v>16851</v>
      </c>
      <c r="C13" s="111">
        <v>4614</v>
      </c>
      <c r="D13" s="111">
        <v>4630</v>
      </c>
      <c r="E13" s="283">
        <v>7607</v>
      </c>
      <c r="F13" s="277">
        <f t="shared" si="1"/>
        <v>17024</v>
      </c>
      <c r="G13" s="277">
        <v>4860</v>
      </c>
      <c r="H13" s="277">
        <v>4338</v>
      </c>
      <c r="I13" s="285">
        <v>7826</v>
      </c>
      <c r="J13" s="262">
        <f t="shared" si="2"/>
        <v>17330</v>
      </c>
      <c r="K13" s="272">
        <v>5097</v>
      </c>
      <c r="L13" s="272">
        <v>4246</v>
      </c>
      <c r="M13" s="272">
        <v>7987</v>
      </c>
      <c r="N13" s="141" t="s">
        <v>39</v>
      </c>
      <c r="O13" s="30"/>
      <c r="P13" s="30"/>
      <c r="Q13" s="30"/>
      <c r="R13" s="30"/>
      <c r="S13" s="30"/>
      <c r="T13" s="30"/>
      <c r="U13" s="30"/>
      <c r="V13" s="30"/>
      <c r="W13" s="30"/>
      <c r="X13" s="30"/>
      <c r="Y13" s="30"/>
      <c r="Z13" s="30"/>
      <c r="AA13" s="30"/>
      <c r="AB13" s="30"/>
      <c r="AC13" s="30"/>
      <c r="AD13" s="30"/>
      <c r="AE13" s="30"/>
      <c r="AF13" s="30"/>
      <c r="AG13" s="30"/>
      <c r="AH13" s="30"/>
    </row>
    <row r="14" spans="1:34" ht="21" customHeight="1" x14ac:dyDescent="0.25">
      <c r="A14" s="30" t="s">
        <v>40</v>
      </c>
      <c r="B14" s="111">
        <f t="shared" si="0"/>
        <v>16843</v>
      </c>
      <c r="C14" s="111">
        <v>4623</v>
      </c>
      <c r="D14" s="111">
        <v>4640</v>
      </c>
      <c r="E14" s="283">
        <v>7580</v>
      </c>
      <c r="F14" s="277">
        <f t="shared" si="1"/>
        <v>17019</v>
      </c>
      <c r="G14" s="277">
        <v>4918</v>
      </c>
      <c r="H14" s="277">
        <v>4349</v>
      </c>
      <c r="I14" s="285">
        <v>7752</v>
      </c>
      <c r="J14" s="262">
        <f t="shared" si="2"/>
        <v>17352</v>
      </c>
      <c r="K14" s="272">
        <v>5188</v>
      </c>
      <c r="L14" s="272">
        <v>4236</v>
      </c>
      <c r="M14" s="272">
        <v>7928</v>
      </c>
      <c r="N14" s="141" t="s">
        <v>42</v>
      </c>
      <c r="O14" s="30"/>
      <c r="P14" s="30"/>
      <c r="Q14" s="30"/>
      <c r="R14" s="30"/>
      <c r="S14" s="30"/>
      <c r="T14" s="30"/>
      <c r="U14" s="30"/>
      <c r="V14" s="30"/>
      <c r="W14" s="30"/>
      <c r="X14" s="30"/>
      <c r="Y14" s="30"/>
      <c r="Z14" s="30"/>
      <c r="AA14" s="30"/>
      <c r="AB14" s="30"/>
      <c r="AC14" s="30"/>
      <c r="AD14" s="30"/>
      <c r="AE14" s="30"/>
      <c r="AF14" s="30"/>
      <c r="AG14" s="30"/>
      <c r="AH14" s="30"/>
    </row>
    <row r="15" spans="1:34" ht="21" customHeight="1" x14ac:dyDescent="0.25">
      <c r="A15" s="30" t="s">
        <v>43</v>
      </c>
      <c r="B15" s="111">
        <f t="shared" si="0"/>
        <v>16837</v>
      </c>
      <c r="C15" s="111">
        <v>4316</v>
      </c>
      <c r="D15" s="111">
        <v>4981</v>
      </c>
      <c r="E15" s="283">
        <v>7540</v>
      </c>
      <c r="F15" s="277">
        <f t="shared" si="1"/>
        <v>17044</v>
      </c>
      <c r="G15" s="277">
        <v>4565</v>
      </c>
      <c r="H15" s="277">
        <v>4727</v>
      </c>
      <c r="I15" s="285">
        <v>7752</v>
      </c>
      <c r="J15" s="262">
        <f t="shared" si="2"/>
        <v>17371</v>
      </c>
      <c r="K15" s="272">
        <v>5220</v>
      </c>
      <c r="L15" s="272">
        <v>4245</v>
      </c>
      <c r="M15" s="272">
        <v>7906</v>
      </c>
      <c r="N15" s="141" t="s">
        <v>44</v>
      </c>
      <c r="O15" s="30"/>
      <c r="P15" s="30"/>
      <c r="Q15" s="30"/>
      <c r="R15" s="30"/>
      <c r="S15" s="30"/>
      <c r="T15" s="30"/>
      <c r="U15" s="30"/>
      <c r="V15" s="30"/>
      <c r="W15" s="30"/>
      <c r="X15" s="30"/>
      <c r="Y15" s="30"/>
      <c r="Z15" s="30"/>
      <c r="AA15" s="30"/>
      <c r="AB15" s="30"/>
      <c r="AC15" s="30"/>
      <c r="AD15" s="30"/>
      <c r="AE15" s="30"/>
      <c r="AF15" s="30"/>
      <c r="AG15" s="30"/>
      <c r="AH15" s="30"/>
    </row>
    <row r="16" spans="1:34" ht="21" customHeight="1" x14ac:dyDescent="0.25">
      <c r="A16" s="30" t="s">
        <v>45</v>
      </c>
      <c r="B16" s="111">
        <f t="shared" si="0"/>
        <v>16849</v>
      </c>
      <c r="C16" s="111">
        <v>4347</v>
      </c>
      <c r="D16" s="111">
        <v>4503</v>
      </c>
      <c r="E16" s="283">
        <v>7999</v>
      </c>
      <c r="F16" s="277">
        <f t="shared" si="1"/>
        <v>17073</v>
      </c>
      <c r="G16" s="277">
        <v>4602</v>
      </c>
      <c r="H16" s="277">
        <v>4250</v>
      </c>
      <c r="I16" s="285">
        <v>8221</v>
      </c>
      <c r="J16" s="262">
        <f t="shared" si="2"/>
        <v>17364</v>
      </c>
      <c r="K16" s="272">
        <v>4797</v>
      </c>
      <c r="L16" s="272">
        <v>4290</v>
      </c>
      <c r="M16" s="272">
        <v>8277</v>
      </c>
      <c r="N16" s="141" t="s">
        <v>47</v>
      </c>
      <c r="O16" s="30"/>
      <c r="P16" s="30"/>
      <c r="Q16" s="30"/>
      <c r="R16" s="30"/>
      <c r="S16" s="30"/>
      <c r="T16" s="30"/>
      <c r="U16" s="30"/>
      <c r="V16" s="30"/>
      <c r="W16" s="30"/>
      <c r="X16" s="30"/>
      <c r="Y16" s="30"/>
      <c r="Z16" s="30"/>
      <c r="AA16" s="30"/>
      <c r="AB16" s="30"/>
      <c r="AC16" s="30"/>
      <c r="AD16" s="30"/>
      <c r="AE16" s="30"/>
      <c r="AF16" s="30"/>
      <c r="AG16" s="30"/>
      <c r="AH16" s="30"/>
    </row>
    <row r="17" spans="1:34" ht="21" customHeight="1" x14ac:dyDescent="0.25">
      <c r="A17" s="30" t="s">
        <v>48</v>
      </c>
      <c r="B17" s="111">
        <f t="shared" si="0"/>
        <v>16814</v>
      </c>
      <c r="C17" s="111">
        <v>4355</v>
      </c>
      <c r="D17" s="111">
        <v>4470</v>
      </c>
      <c r="E17" s="283">
        <v>7989</v>
      </c>
      <c r="F17" s="277">
        <f t="shared" si="1"/>
        <v>17035</v>
      </c>
      <c r="G17" s="277">
        <v>4587</v>
      </c>
      <c r="H17" s="277">
        <v>4260</v>
      </c>
      <c r="I17" s="285">
        <v>8188</v>
      </c>
      <c r="J17" s="262">
        <f t="shared" si="2"/>
        <v>17337</v>
      </c>
      <c r="K17" s="272">
        <v>4793</v>
      </c>
      <c r="L17" s="272">
        <v>4297</v>
      </c>
      <c r="M17" s="272">
        <v>8247</v>
      </c>
      <c r="N17" s="141" t="s">
        <v>50</v>
      </c>
      <c r="O17" s="30"/>
      <c r="P17" s="30"/>
      <c r="Q17" s="30"/>
      <c r="R17" s="30"/>
      <c r="S17" s="30"/>
      <c r="T17" s="30"/>
      <c r="U17" s="30"/>
      <c r="V17" s="30"/>
      <c r="W17" s="30"/>
      <c r="X17" s="30"/>
      <c r="Y17" s="30"/>
      <c r="Z17" s="30"/>
      <c r="AA17" s="30"/>
      <c r="AB17" s="30"/>
      <c r="AC17" s="30"/>
      <c r="AD17" s="30"/>
      <c r="AE17" s="30"/>
      <c r="AF17" s="30"/>
      <c r="AG17" s="30"/>
      <c r="AH17" s="30"/>
    </row>
    <row r="18" spans="1:34" ht="21" customHeight="1" x14ac:dyDescent="0.25">
      <c r="A18" s="30" t="s">
        <v>51</v>
      </c>
      <c r="B18" s="111">
        <f t="shared" si="0"/>
        <v>16774</v>
      </c>
      <c r="C18" s="111">
        <v>4348</v>
      </c>
      <c r="D18" s="111">
        <v>4437</v>
      </c>
      <c r="E18" s="283">
        <v>7989</v>
      </c>
      <c r="F18" s="277">
        <f t="shared" si="1"/>
        <v>17034</v>
      </c>
      <c r="G18" s="277">
        <v>4601</v>
      </c>
      <c r="H18" s="277">
        <v>4251</v>
      </c>
      <c r="I18" s="285">
        <v>8182</v>
      </c>
      <c r="J18" s="262">
        <f t="shared" si="2"/>
        <v>17315</v>
      </c>
      <c r="K18" s="272">
        <v>4788</v>
      </c>
      <c r="L18" s="272">
        <v>4302</v>
      </c>
      <c r="M18" s="272">
        <v>8225</v>
      </c>
      <c r="N18" s="141" t="s">
        <v>52</v>
      </c>
      <c r="O18" s="30"/>
      <c r="P18" s="30"/>
      <c r="Q18" s="30"/>
      <c r="R18" s="30"/>
      <c r="S18" s="30"/>
      <c r="T18" s="30"/>
      <c r="U18" s="30"/>
      <c r="V18" s="30"/>
      <c r="W18" s="30"/>
      <c r="X18" s="30"/>
      <c r="Y18" s="30"/>
      <c r="Z18" s="30"/>
      <c r="AA18" s="30"/>
      <c r="AB18" s="30"/>
      <c r="AC18" s="30"/>
      <c r="AD18" s="30"/>
      <c r="AE18" s="30"/>
      <c r="AF18" s="30"/>
      <c r="AG18" s="30"/>
      <c r="AH18" s="30"/>
    </row>
    <row r="19" spans="1:34" ht="21" customHeight="1" x14ac:dyDescent="0.25">
      <c r="A19" s="88" t="s">
        <v>53</v>
      </c>
      <c r="B19" s="264">
        <f t="shared" si="0"/>
        <v>16779</v>
      </c>
      <c r="C19" s="264">
        <v>4354</v>
      </c>
      <c r="D19" s="264">
        <v>4430</v>
      </c>
      <c r="E19" s="284">
        <v>7995</v>
      </c>
      <c r="F19" s="280">
        <f t="shared" si="1"/>
        <v>17007</v>
      </c>
      <c r="G19" s="280">
        <v>4584</v>
      </c>
      <c r="H19" s="280">
        <v>4255</v>
      </c>
      <c r="I19" s="286">
        <v>8168</v>
      </c>
      <c r="J19" s="267">
        <f t="shared" si="2"/>
        <v>17310</v>
      </c>
      <c r="K19" s="273">
        <v>4797</v>
      </c>
      <c r="L19" s="273">
        <v>4298</v>
      </c>
      <c r="M19" s="273">
        <v>8215</v>
      </c>
      <c r="N19" s="155" t="s">
        <v>54</v>
      </c>
      <c r="O19" s="30"/>
      <c r="P19" s="30"/>
      <c r="Q19" s="30"/>
      <c r="R19" s="30"/>
      <c r="S19" s="30"/>
      <c r="T19" s="30"/>
      <c r="U19" s="30"/>
      <c r="V19" s="30"/>
      <c r="W19" s="30"/>
      <c r="X19" s="30"/>
      <c r="Y19" s="30"/>
      <c r="Z19" s="30"/>
      <c r="AA19" s="30"/>
      <c r="AB19" s="30"/>
      <c r="AC19" s="30"/>
      <c r="AD19" s="30"/>
      <c r="AE19" s="30"/>
      <c r="AF19" s="30"/>
      <c r="AG19" s="30"/>
      <c r="AH19" s="30"/>
    </row>
    <row r="20" spans="1:34" ht="16.5" customHeight="1" x14ac:dyDescent="0.25">
      <c r="A20" s="156" t="s">
        <v>55</v>
      </c>
      <c r="B20" s="42"/>
      <c r="C20" s="42"/>
      <c r="D20" s="42"/>
      <c r="E20" s="42"/>
      <c r="F20" s="42"/>
      <c r="G20" s="42"/>
      <c r="H20" s="42"/>
      <c r="I20" s="42"/>
      <c r="J20" s="42"/>
      <c r="K20" s="42"/>
      <c r="L20" s="42"/>
      <c r="M20" s="42"/>
      <c r="N20" s="274" t="s">
        <v>56</v>
      </c>
      <c r="O20" s="42"/>
      <c r="P20" s="42"/>
      <c r="Q20" s="42"/>
      <c r="R20" s="42"/>
      <c r="S20" s="42"/>
      <c r="T20" s="42"/>
      <c r="U20" s="42"/>
      <c r="V20" s="42"/>
      <c r="W20" s="42"/>
      <c r="X20" s="42"/>
      <c r="Y20" s="42"/>
      <c r="Z20" s="42"/>
      <c r="AA20" s="42"/>
      <c r="AB20" s="42"/>
      <c r="AC20" s="42"/>
      <c r="AD20" s="42"/>
      <c r="AE20" s="42"/>
      <c r="AF20" s="42"/>
      <c r="AG20" s="42"/>
      <c r="AH20" s="42"/>
    </row>
    <row r="21" spans="1:34" ht="17.25" customHeight="1" x14ac:dyDescent="0.45">
      <c r="A21" s="160" t="s">
        <v>57</v>
      </c>
      <c r="B21" s="157"/>
      <c r="C21" s="157"/>
      <c r="D21" s="157"/>
      <c r="E21" s="157"/>
      <c r="F21" s="157"/>
      <c r="G21" s="157"/>
      <c r="H21" s="157"/>
      <c r="I21" s="157"/>
      <c r="J21" s="157"/>
      <c r="K21" s="157"/>
      <c r="L21" s="157"/>
      <c r="M21" s="157"/>
      <c r="N21" s="162" t="s">
        <v>58</v>
      </c>
      <c r="O21" s="157"/>
      <c r="P21" s="157"/>
      <c r="Q21" s="157"/>
      <c r="R21" s="157"/>
      <c r="S21" s="157"/>
      <c r="T21" s="157"/>
      <c r="U21" s="157"/>
      <c r="V21" s="157"/>
      <c r="W21" s="157"/>
      <c r="X21" s="157"/>
      <c r="Y21" s="157"/>
      <c r="Z21" s="157"/>
      <c r="AA21" s="157"/>
      <c r="AB21" s="157"/>
      <c r="AC21" s="157"/>
      <c r="AD21" s="157"/>
      <c r="AE21" s="157"/>
      <c r="AF21" s="157"/>
      <c r="AG21" s="157"/>
      <c r="AH21" s="157"/>
    </row>
    <row r="22" spans="1:34" ht="15.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row>
    <row r="23" spans="1:34"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row>
    <row r="24" spans="1:34" ht="5.2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spans="1:34"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row>
    <row r="26" spans="1:34"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row>
    <row r="27" spans="1:34"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229" t="s">
        <v>85</v>
      </c>
      <c r="AG27" s="229" t="s">
        <v>92</v>
      </c>
      <c r="AH27" s="229" t="s">
        <v>107</v>
      </c>
    </row>
    <row r="28" spans="1:34"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row>
    <row r="29" spans="1:34"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row>
    <row r="30" spans="1:34"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row>
    <row r="31" spans="1:34"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row>
    <row r="32" spans="1:34"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row>
    <row r="33" spans="1:34"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row>
    <row r="34" spans="1:34"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row>
    <row r="35" spans="1:34"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row>
    <row r="36" spans="1:34"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row>
    <row r="37" spans="1:34"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row>
    <row r="38" spans="1:34"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row>
    <row r="39" spans="1:34"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row>
    <row r="40" spans="1:34"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row>
  </sheetData>
  <mergeCells count="10">
    <mergeCell ref="B5:E5"/>
    <mergeCell ref="B6:E6"/>
    <mergeCell ref="F5:I5"/>
    <mergeCell ref="A2:N2"/>
    <mergeCell ref="A3:N3"/>
    <mergeCell ref="J5:M5"/>
    <mergeCell ref="N6:N7"/>
    <mergeCell ref="J6:M6"/>
    <mergeCell ref="A5:A7"/>
    <mergeCell ref="F6:I6"/>
  </mergeCells>
  <pageMargins left="0.7" right="0.7" top="0.75" bottom="0.75" header="0" footer="0"/>
  <pageSetup paperSize="9" scale="73" orientation="landscape"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O25"/>
  <sheetViews>
    <sheetView zoomScaleNormal="100" workbookViewId="0">
      <selection sqref="A1:XFD1048576"/>
    </sheetView>
  </sheetViews>
  <sheetFormatPr defaultColWidth="14.42578125" defaultRowHeight="15" customHeight="1" x14ac:dyDescent="0.25"/>
  <cols>
    <col min="1" max="1" width="24.7109375" style="31" customWidth="1"/>
    <col min="2" max="7" width="9.42578125" style="31" customWidth="1"/>
    <col min="8" max="8" width="25.5703125" style="31" customWidth="1"/>
    <col min="9" max="9" width="3" style="31" customWidth="1"/>
    <col min="10" max="41" width="8" style="31" customWidth="1"/>
    <col min="42" max="16384" width="14.42578125" style="31"/>
  </cols>
  <sheetData>
    <row r="1" spans="1:41"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row>
    <row r="2" spans="1:41" ht="21.75" customHeight="1" x14ac:dyDescent="0.55000000000000004">
      <c r="A2" s="789" t="s">
        <v>108</v>
      </c>
      <c r="B2" s="699"/>
      <c r="C2" s="699"/>
      <c r="D2" s="699"/>
      <c r="E2" s="699"/>
      <c r="F2" s="699"/>
      <c r="G2" s="699"/>
      <c r="H2" s="70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row>
    <row r="3" spans="1:41" ht="19.5" customHeight="1" x14ac:dyDescent="0.25">
      <c r="A3" s="788" t="s">
        <v>109</v>
      </c>
      <c r="B3" s="699"/>
      <c r="C3" s="699"/>
      <c r="D3" s="699"/>
      <c r="E3" s="699"/>
      <c r="F3" s="699"/>
      <c r="G3" s="699"/>
      <c r="H3" s="70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row>
    <row r="4" spans="1:41" x14ac:dyDescent="0.25">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row>
    <row r="5" spans="1:41" ht="24" customHeight="1" x14ac:dyDescent="0.25">
      <c r="A5" s="718" t="s">
        <v>0</v>
      </c>
      <c r="B5" s="704" t="s">
        <v>263</v>
      </c>
      <c r="C5" s="705"/>
      <c r="D5" s="705"/>
      <c r="E5" s="705"/>
      <c r="F5" s="705"/>
      <c r="G5" s="717"/>
      <c r="H5" s="714" t="s">
        <v>5</v>
      </c>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row>
    <row r="6" spans="1:41" ht="21" customHeight="1" x14ac:dyDescent="0.25">
      <c r="A6" s="716"/>
      <c r="B6" s="55" t="s">
        <v>110</v>
      </c>
      <c r="C6" s="359" t="s">
        <v>98</v>
      </c>
      <c r="D6" s="359" t="s">
        <v>99</v>
      </c>
      <c r="E6" s="359" t="s">
        <v>82</v>
      </c>
      <c r="F6" s="359" t="s">
        <v>83</v>
      </c>
      <c r="G6" s="359" t="s">
        <v>100</v>
      </c>
      <c r="H6" s="716"/>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row>
    <row r="7" spans="1:41" ht="21" customHeight="1" x14ac:dyDescent="0.25">
      <c r="A7" s="126" t="s">
        <v>111</v>
      </c>
      <c r="B7" s="127">
        <f t="shared" ref="B7:B11" si="0">SUM(C7:G7)</f>
        <v>42604</v>
      </c>
      <c r="C7" s="318">
        <f t="shared" ref="C7:G7" si="1">SUM(C8:C11)</f>
        <v>1976</v>
      </c>
      <c r="D7" s="318">
        <f t="shared" si="1"/>
        <v>1881</v>
      </c>
      <c r="E7" s="318">
        <f t="shared" si="1"/>
        <v>11244</v>
      </c>
      <c r="F7" s="318">
        <f t="shared" si="1"/>
        <v>9663</v>
      </c>
      <c r="G7" s="318">
        <f t="shared" si="1"/>
        <v>17840</v>
      </c>
      <c r="H7" s="41" t="s">
        <v>13</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row>
    <row r="8" spans="1:41" ht="24" customHeight="1" x14ac:dyDescent="0.55000000000000004">
      <c r="A8" s="42" t="s">
        <v>30</v>
      </c>
      <c r="B8" s="127">
        <f t="shared" si="0"/>
        <v>16835</v>
      </c>
      <c r="C8" s="140">
        <v>0</v>
      </c>
      <c r="D8" s="140">
        <v>0</v>
      </c>
      <c r="E8" s="140">
        <v>4597</v>
      </c>
      <c r="F8" s="140">
        <v>4135</v>
      </c>
      <c r="G8" s="140">
        <v>8103</v>
      </c>
      <c r="H8" s="86" t="s">
        <v>7</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row>
    <row r="9" spans="1:41" ht="24" customHeight="1" x14ac:dyDescent="0.55000000000000004">
      <c r="A9" s="42" t="s">
        <v>41</v>
      </c>
      <c r="B9" s="127">
        <f t="shared" si="0"/>
        <v>1259</v>
      </c>
      <c r="C9" s="201">
        <v>18</v>
      </c>
      <c r="D9" s="201">
        <v>10</v>
      </c>
      <c r="E9" s="140">
        <v>901</v>
      </c>
      <c r="F9" s="140">
        <v>327</v>
      </c>
      <c r="G9" s="140">
        <v>3</v>
      </c>
      <c r="H9" s="86" t="s">
        <v>8</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row>
    <row r="10" spans="1:41" ht="24" customHeight="1" x14ac:dyDescent="0.55000000000000004">
      <c r="A10" s="42" t="s">
        <v>46</v>
      </c>
      <c r="B10" s="127">
        <f t="shared" si="0"/>
        <v>7200</v>
      </c>
      <c r="C10" s="201">
        <v>1958</v>
      </c>
      <c r="D10" s="201">
        <v>1871</v>
      </c>
      <c r="E10" s="201">
        <v>949</v>
      </c>
      <c r="F10" s="201">
        <v>903</v>
      </c>
      <c r="G10" s="201">
        <v>1519</v>
      </c>
      <c r="H10" s="86" t="s">
        <v>10</v>
      </c>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t="s">
        <v>112</v>
      </c>
      <c r="AJ10" s="30"/>
      <c r="AK10" s="30"/>
      <c r="AL10" s="30"/>
      <c r="AM10" s="30"/>
      <c r="AN10" s="30"/>
      <c r="AO10" s="157"/>
    </row>
    <row r="11" spans="1:41" ht="24" customHeight="1" x14ac:dyDescent="0.55000000000000004">
      <c r="A11" s="206" t="s">
        <v>73</v>
      </c>
      <c r="B11" s="309">
        <f t="shared" si="0"/>
        <v>17310</v>
      </c>
      <c r="C11" s="154">
        <v>0</v>
      </c>
      <c r="D11" s="154">
        <v>0</v>
      </c>
      <c r="E11" s="215">
        <v>4797</v>
      </c>
      <c r="F11" s="215">
        <v>4298</v>
      </c>
      <c r="G11" s="215">
        <v>8215</v>
      </c>
      <c r="H11" s="99" t="s">
        <v>75</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60" t="s">
        <v>113</v>
      </c>
      <c r="AI11" s="361" t="s">
        <v>114</v>
      </c>
      <c r="AJ11" s="361" t="s">
        <v>99</v>
      </c>
      <c r="AK11" s="360" t="s">
        <v>82</v>
      </c>
      <c r="AL11" s="360" t="s">
        <v>83</v>
      </c>
      <c r="AM11" s="360" t="s">
        <v>84</v>
      </c>
      <c r="AN11" s="360" t="s">
        <v>23</v>
      </c>
      <c r="AO11" s="30"/>
    </row>
    <row r="12" spans="1:41" ht="18" customHeight="1" x14ac:dyDescent="0.45">
      <c r="A12" s="160" t="s">
        <v>57</v>
      </c>
      <c r="B12" s="157"/>
      <c r="C12" s="157"/>
      <c r="D12" s="157"/>
      <c r="E12" s="157"/>
      <c r="F12" s="157"/>
      <c r="G12" s="157"/>
      <c r="H12" s="162" t="s">
        <v>58</v>
      </c>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30" t="s">
        <v>14</v>
      </c>
      <c r="AI12" s="30">
        <f>0</f>
        <v>0</v>
      </c>
      <c r="AJ12" s="30">
        <v>0</v>
      </c>
      <c r="AK12" s="143" t="e">
        <f>'18.4'!#REF!</f>
        <v>#REF!</v>
      </c>
      <c r="AL12" s="143" t="e">
        <f>'18.4'!#REF!</f>
        <v>#REF!</v>
      </c>
      <c r="AM12" s="143" t="e">
        <f>'18.4'!#REF!</f>
        <v>#REF!</v>
      </c>
      <c r="AN12" s="30" t="e">
        <f t="shared" ref="AN12:AN15" si="2">SUM(AI12:AM12)</f>
        <v>#REF!</v>
      </c>
      <c r="AO12" s="30"/>
    </row>
    <row r="13" spans="1:41"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t="s">
        <v>115</v>
      </c>
      <c r="AI13" s="264">
        <v>2441</v>
      </c>
      <c r="AJ13" s="264">
        <v>1593</v>
      </c>
      <c r="AK13" s="264">
        <v>930</v>
      </c>
      <c r="AL13" s="264">
        <v>933</v>
      </c>
      <c r="AM13" s="264">
        <v>1367</v>
      </c>
      <c r="AN13" s="111">
        <f t="shared" si="2"/>
        <v>7264</v>
      </c>
      <c r="AO13" s="30"/>
    </row>
    <row r="14" spans="1:41"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t="s">
        <v>116</v>
      </c>
      <c r="AI14" s="30">
        <v>11</v>
      </c>
      <c r="AJ14" s="249">
        <v>7</v>
      </c>
      <c r="AK14" s="249">
        <v>708</v>
      </c>
      <c r="AL14" s="249">
        <v>169</v>
      </c>
      <c r="AM14" s="249" t="s">
        <v>117</v>
      </c>
      <c r="AN14" s="30">
        <f t="shared" si="2"/>
        <v>895</v>
      </c>
      <c r="AO14" s="30"/>
    </row>
    <row r="15" spans="1:41"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88" t="s">
        <v>73</v>
      </c>
      <c r="AI15" s="30"/>
      <c r="AJ15" s="30"/>
      <c r="AK15" s="264">
        <v>4147</v>
      </c>
      <c r="AL15" s="264">
        <v>4656</v>
      </c>
      <c r="AM15" s="264">
        <v>7758</v>
      </c>
      <c r="AN15" s="30">
        <f t="shared" si="2"/>
        <v>16561</v>
      </c>
      <c r="AO15" s="30"/>
    </row>
    <row r="16" spans="1:41" ht="21.75" customHeight="1" x14ac:dyDescent="0.55000000000000004">
      <c r="A16" s="789"/>
      <c r="B16" s="699"/>
      <c r="C16" s="699"/>
      <c r="D16" s="699"/>
      <c r="E16" s="699"/>
      <c r="F16" s="699"/>
      <c r="G16" s="699"/>
      <c r="H16" s="70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row>
    <row r="17" spans="1:41" ht="19.5" customHeight="1" x14ac:dyDescent="0.25">
      <c r="A17" s="788"/>
      <c r="B17" s="699"/>
      <c r="C17" s="699"/>
      <c r="D17" s="699"/>
      <c r="E17" s="699"/>
      <c r="F17" s="699"/>
      <c r="G17" s="699"/>
      <c r="H17" s="70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row>
    <row r="18" spans="1:41"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row>
    <row r="19" spans="1:41" ht="24" customHeight="1" x14ac:dyDescent="0.25">
      <c r="A19" s="791"/>
      <c r="B19" s="731"/>
      <c r="C19" s="699"/>
      <c r="D19" s="699"/>
      <c r="E19" s="699"/>
      <c r="F19" s="699"/>
      <c r="G19" s="700"/>
      <c r="H19" s="79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row>
    <row r="20" spans="1:41" ht="21" customHeight="1" x14ac:dyDescent="0.25">
      <c r="A20" s="765"/>
      <c r="B20" s="233"/>
      <c r="C20" s="184"/>
      <c r="D20" s="184"/>
      <c r="E20" s="184"/>
      <c r="F20" s="184"/>
      <c r="G20" s="184"/>
      <c r="H20" s="765"/>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row>
    <row r="21" spans="1:41" ht="21" customHeight="1" x14ac:dyDescent="0.25">
      <c r="A21" s="126"/>
      <c r="B21" s="362"/>
      <c r="C21" s="362"/>
      <c r="D21" s="362"/>
      <c r="E21" s="362"/>
      <c r="F21" s="362"/>
      <c r="G21" s="362"/>
      <c r="H21" s="41"/>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row>
    <row r="22" spans="1:41" ht="24" customHeight="1" x14ac:dyDescent="0.55000000000000004">
      <c r="A22" s="42"/>
      <c r="B22" s="362"/>
      <c r="C22" s="166"/>
      <c r="D22" s="166"/>
      <c r="E22" s="363"/>
      <c r="F22" s="363"/>
      <c r="G22" s="363"/>
      <c r="H22" s="87"/>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row>
    <row r="23" spans="1:41" ht="24" customHeight="1" x14ac:dyDescent="0.55000000000000004">
      <c r="A23" s="42"/>
      <c r="B23" s="362"/>
      <c r="C23" s="166"/>
      <c r="D23" s="166"/>
      <c r="E23" s="363"/>
      <c r="F23" s="363"/>
      <c r="G23" s="166"/>
      <c r="H23" s="87"/>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row>
    <row r="24" spans="1:41" ht="24" customHeight="1" x14ac:dyDescent="0.55000000000000004">
      <c r="A24" s="42"/>
      <c r="B24" s="362"/>
      <c r="C24" s="363"/>
      <c r="D24" s="363"/>
      <c r="E24" s="363"/>
      <c r="F24" s="363"/>
      <c r="G24" s="363"/>
      <c r="H24" s="87"/>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row>
    <row r="25" spans="1:41" ht="24" customHeight="1" x14ac:dyDescent="0.55000000000000004">
      <c r="A25" s="42"/>
      <c r="B25" s="362"/>
      <c r="C25" s="166"/>
      <c r="D25" s="166"/>
      <c r="E25" s="363"/>
      <c r="F25" s="363"/>
      <c r="G25" s="363"/>
      <c r="H25" s="87"/>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row>
  </sheetData>
  <mergeCells count="10">
    <mergeCell ref="B19:G19"/>
    <mergeCell ref="A17:H17"/>
    <mergeCell ref="A2:H2"/>
    <mergeCell ref="A3:H3"/>
    <mergeCell ref="A5:A6"/>
    <mergeCell ref="B5:G5"/>
    <mergeCell ref="H5:H6"/>
    <mergeCell ref="A16:H16"/>
    <mergeCell ref="H19:H20"/>
    <mergeCell ref="A19:A20"/>
  </mergeCells>
  <pageMargins left="0.7" right="0.7" top="0.75" bottom="0.75" header="0" footer="0"/>
  <pageSetup paperSize="9" scale="95" orientation="landscape"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B33"/>
  <sheetViews>
    <sheetView zoomScaleNormal="100" workbookViewId="0">
      <selection activeCell="R12" sqref="R12"/>
    </sheetView>
  </sheetViews>
  <sheetFormatPr defaultColWidth="14.42578125" defaultRowHeight="15" customHeight="1" x14ac:dyDescent="0.25"/>
  <cols>
    <col min="1" max="1" width="25.5703125" style="31" customWidth="1"/>
    <col min="2" max="4" width="12.7109375" style="31" hidden="1" customWidth="1"/>
    <col min="5" max="7" width="12.7109375" style="31" customWidth="1"/>
    <col min="8" max="9" width="14.28515625" style="31" customWidth="1"/>
    <col min="10" max="10" width="25.42578125" style="31" customWidth="1"/>
    <col min="11" max="11" width="1.42578125" style="31" customWidth="1"/>
    <col min="12" max="12" width="11" style="31" customWidth="1"/>
    <col min="13" max="13" width="13.85546875" style="31" customWidth="1"/>
    <col min="14" max="28" width="8" style="31" customWidth="1"/>
    <col min="29" max="16384" width="14.42578125" style="31"/>
  </cols>
  <sheetData>
    <row r="1" spans="1:28"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ht="21" customHeight="1" x14ac:dyDescent="0.55000000000000004">
      <c r="A2" s="730" t="s">
        <v>265</v>
      </c>
      <c r="B2" s="699"/>
      <c r="C2" s="699"/>
      <c r="D2" s="699"/>
      <c r="E2" s="699"/>
      <c r="F2" s="699"/>
      <c r="G2" s="699"/>
      <c r="H2" s="699"/>
      <c r="I2" s="699"/>
      <c r="J2" s="700"/>
      <c r="K2" s="75"/>
      <c r="L2" s="30"/>
      <c r="M2" s="30"/>
      <c r="N2" s="30"/>
      <c r="O2" s="30"/>
      <c r="P2" s="30"/>
      <c r="Q2" s="30"/>
      <c r="R2" s="30"/>
      <c r="S2" s="30"/>
      <c r="T2" s="30"/>
      <c r="U2" s="30"/>
      <c r="V2" s="30"/>
      <c r="W2" s="30"/>
      <c r="X2" s="30"/>
      <c r="Y2" s="30"/>
      <c r="Z2" s="30"/>
      <c r="AA2" s="30"/>
      <c r="AB2" s="30"/>
    </row>
    <row r="3" spans="1:28" x14ac:dyDescent="0.25">
      <c r="A3" s="731" t="s">
        <v>264</v>
      </c>
      <c r="B3" s="699"/>
      <c r="C3" s="699"/>
      <c r="D3" s="699"/>
      <c r="E3" s="699"/>
      <c r="F3" s="699"/>
      <c r="G3" s="699"/>
      <c r="H3" s="699"/>
      <c r="I3" s="699"/>
      <c r="J3" s="700"/>
      <c r="K3" s="37"/>
      <c r="L3" s="30"/>
      <c r="M3" s="30"/>
      <c r="N3" s="30"/>
      <c r="O3" s="30"/>
      <c r="P3" s="30"/>
      <c r="Q3" s="30"/>
      <c r="R3" s="30"/>
      <c r="S3" s="30"/>
      <c r="T3" s="30"/>
      <c r="U3" s="30"/>
      <c r="V3" s="30"/>
      <c r="W3" s="30"/>
      <c r="X3" s="30"/>
      <c r="Y3" s="30"/>
      <c r="Z3" s="30"/>
      <c r="AA3" s="30"/>
      <c r="AB3" s="30"/>
    </row>
    <row r="4" spans="1:28" ht="6.75" customHeight="1" x14ac:dyDescent="0.25">
      <c r="A4" s="792"/>
      <c r="B4" s="793"/>
      <c r="C4" s="793"/>
      <c r="D4" s="793"/>
      <c r="E4" s="793"/>
      <c r="F4" s="793"/>
      <c r="G4" s="793"/>
      <c r="H4" s="793"/>
      <c r="I4" s="793"/>
      <c r="J4" s="794"/>
      <c r="K4" s="30"/>
      <c r="L4" s="30"/>
      <c r="M4" s="30"/>
      <c r="N4" s="30"/>
      <c r="O4" s="30"/>
      <c r="P4" s="30"/>
      <c r="Q4" s="30"/>
      <c r="R4" s="30"/>
      <c r="S4" s="30"/>
      <c r="T4" s="30"/>
      <c r="U4" s="30"/>
      <c r="V4" s="30"/>
      <c r="W4" s="30"/>
      <c r="X4" s="30"/>
      <c r="Y4" s="30"/>
      <c r="Z4" s="30"/>
      <c r="AA4" s="30"/>
      <c r="AB4" s="30"/>
    </row>
    <row r="5" spans="1:28" ht="19.5" customHeight="1" x14ac:dyDescent="0.25">
      <c r="A5" s="287" t="s">
        <v>128</v>
      </c>
      <c r="B5" s="288">
        <v>2011</v>
      </c>
      <c r="C5" s="288">
        <v>2012</v>
      </c>
      <c r="D5" s="288">
        <v>2013</v>
      </c>
      <c r="E5" s="288">
        <v>2014</v>
      </c>
      <c r="F5" s="288">
        <v>2015</v>
      </c>
      <c r="G5" s="288">
        <v>2016</v>
      </c>
      <c r="H5" s="288">
        <v>2017</v>
      </c>
      <c r="I5" s="288">
        <v>2018</v>
      </c>
      <c r="J5" s="289" t="s">
        <v>129</v>
      </c>
      <c r="K5" s="30"/>
      <c r="L5" s="30"/>
      <c r="M5" s="30"/>
      <c r="N5" s="30"/>
      <c r="O5" s="30"/>
      <c r="P5" s="30"/>
      <c r="Q5" s="30"/>
      <c r="R5" s="30"/>
      <c r="S5" s="30"/>
      <c r="T5" s="30"/>
      <c r="U5" s="30"/>
      <c r="V5" s="30"/>
      <c r="W5" s="30"/>
      <c r="X5" s="30"/>
      <c r="Y5" s="30"/>
      <c r="Z5" s="30"/>
      <c r="AA5" s="30"/>
      <c r="AB5" s="30"/>
    </row>
    <row r="6" spans="1:28" ht="23.25" customHeight="1" x14ac:dyDescent="0.25">
      <c r="A6" s="522" t="s">
        <v>755</v>
      </c>
      <c r="B6" s="195">
        <v>582613871.09000003</v>
      </c>
      <c r="C6" s="195">
        <v>701620569.65999997</v>
      </c>
      <c r="D6" s="195">
        <v>742874347.92999995</v>
      </c>
      <c r="E6" s="195">
        <v>798040402.63999999</v>
      </c>
      <c r="F6" s="195">
        <v>891863798.66999996</v>
      </c>
      <c r="G6" s="195">
        <v>937239589.24000001</v>
      </c>
      <c r="H6" s="195">
        <v>1023249073.6900001</v>
      </c>
      <c r="I6" s="195">
        <v>1100830519.8399999</v>
      </c>
      <c r="J6" s="290" t="s">
        <v>131</v>
      </c>
      <c r="K6" s="30"/>
      <c r="N6" s="30"/>
      <c r="O6" s="30"/>
      <c r="P6" s="30"/>
      <c r="Q6" s="30"/>
      <c r="R6" s="30"/>
      <c r="S6" s="30"/>
      <c r="T6" s="30"/>
      <c r="U6" s="30"/>
      <c r="V6" s="30"/>
      <c r="W6" s="30"/>
      <c r="X6" s="30"/>
      <c r="Y6" s="30"/>
      <c r="Z6" s="30"/>
      <c r="AA6" s="30"/>
      <c r="AB6" s="30"/>
    </row>
    <row r="7" spans="1:28" ht="23.25" customHeight="1" x14ac:dyDescent="0.25">
      <c r="A7" s="42" t="s">
        <v>132</v>
      </c>
      <c r="B7" s="195">
        <v>1399</v>
      </c>
      <c r="C7" s="195">
        <v>1431</v>
      </c>
      <c r="D7" s="195">
        <v>1501</v>
      </c>
      <c r="E7" s="195">
        <v>1543</v>
      </c>
      <c r="F7" s="195">
        <v>1762</v>
      </c>
      <c r="G7" s="195">
        <v>1709</v>
      </c>
      <c r="H7" s="195">
        <v>1892</v>
      </c>
      <c r="I7" s="272">
        <v>2055</v>
      </c>
      <c r="J7" s="290" t="s">
        <v>133</v>
      </c>
      <c r="K7" s="30"/>
      <c r="L7" s="30"/>
      <c r="M7" s="30"/>
      <c r="N7" s="30"/>
      <c r="O7" s="30"/>
      <c r="P7" s="30"/>
      <c r="Q7" s="30"/>
      <c r="R7" s="30"/>
      <c r="S7" s="30"/>
      <c r="T7" s="30"/>
      <c r="U7" s="30"/>
      <c r="V7" s="30"/>
      <c r="W7" s="30"/>
      <c r="X7" s="30"/>
      <c r="Y7" s="30"/>
      <c r="Z7" s="30"/>
      <c r="AA7" s="30"/>
      <c r="AB7" s="30"/>
    </row>
    <row r="8" spans="1:28" ht="23.25" customHeight="1" x14ac:dyDescent="0.25">
      <c r="A8" s="42" t="s">
        <v>134</v>
      </c>
      <c r="B8" s="195">
        <v>59002</v>
      </c>
      <c r="C8" s="195">
        <v>68805</v>
      </c>
      <c r="D8" s="195">
        <v>69461</v>
      </c>
      <c r="E8" s="195">
        <v>74849</v>
      </c>
      <c r="F8" s="195">
        <v>81922</v>
      </c>
      <c r="G8" s="195">
        <v>79729</v>
      </c>
      <c r="H8" s="195">
        <v>88716</v>
      </c>
      <c r="I8" s="272">
        <v>95087</v>
      </c>
      <c r="J8" s="290" t="s">
        <v>135</v>
      </c>
      <c r="K8" s="30"/>
      <c r="L8" s="30"/>
      <c r="M8" s="30"/>
      <c r="N8" s="30"/>
      <c r="O8" s="30"/>
      <c r="P8" s="30"/>
      <c r="Q8" s="30"/>
      <c r="R8" s="30"/>
      <c r="S8" s="30"/>
      <c r="T8" s="30"/>
      <c r="U8" s="30"/>
      <c r="V8" s="30"/>
      <c r="W8" s="30"/>
      <c r="X8" s="30"/>
      <c r="Y8" s="30"/>
      <c r="Z8" s="30"/>
      <c r="AA8" s="30"/>
      <c r="AB8" s="30"/>
    </row>
    <row r="9" spans="1:28" ht="20.25" customHeight="1" x14ac:dyDescent="0.25">
      <c r="A9" s="292" t="s">
        <v>24</v>
      </c>
      <c r="B9" s="195">
        <v>43447</v>
      </c>
      <c r="C9" s="195">
        <v>48278</v>
      </c>
      <c r="D9" s="195">
        <v>49460</v>
      </c>
      <c r="E9" s="195">
        <v>52562</v>
      </c>
      <c r="F9" s="195">
        <v>56251</v>
      </c>
      <c r="G9" s="195">
        <v>54979</v>
      </c>
      <c r="H9" s="195">
        <v>60340</v>
      </c>
      <c r="I9" s="272">
        <v>63354</v>
      </c>
      <c r="J9" s="294" t="s">
        <v>15</v>
      </c>
      <c r="K9" s="42"/>
      <c r="L9" s="42"/>
      <c r="M9" s="42"/>
      <c r="N9" s="42"/>
      <c r="O9" s="42"/>
      <c r="P9" s="42"/>
      <c r="Q9" s="42"/>
      <c r="R9" s="42"/>
      <c r="S9" s="42"/>
      <c r="T9" s="42"/>
      <c r="U9" s="42"/>
      <c r="V9" s="42"/>
      <c r="W9" s="42"/>
      <c r="X9" s="42"/>
      <c r="Y9" s="42"/>
      <c r="Z9" s="42"/>
      <c r="AA9" s="42"/>
      <c r="AB9" s="42"/>
    </row>
    <row r="10" spans="1:28" ht="20.25" customHeight="1" x14ac:dyDescent="0.25">
      <c r="A10" s="293" t="s">
        <v>25</v>
      </c>
      <c r="B10" s="208">
        <v>15555</v>
      </c>
      <c r="C10" s="208">
        <v>20527</v>
      </c>
      <c r="D10" s="208">
        <v>20001</v>
      </c>
      <c r="E10" s="208">
        <v>22287</v>
      </c>
      <c r="F10" s="208">
        <v>25671</v>
      </c>
      <c r="G10" s="208">
        <v>24750</v>
      </c>
      <c r="H10" s="208">
        <v>28376</v>
      </c>
      <c r="I10" s="273">
        <v>31733</v>
      </c>
      <c r="J10" s="295" t="s">
        <v>16</v>
      </c>
      <c r="K10" s="42"/>
      <c r="L10" s="42"/>
      <c r="M10" s="42"/>
      <c r="N10" s="42"/>
      <c r="O10" s="42"/>
      <c r="P10" s="42"/>
      <c r="Q10" s="42"/>
      <c r="R10" s="42"/>
      <c r="S10" s="42"/>
      <c r="T10" s="42"/>
      <c r="U10" s="42"/>
      <c r="V10" s="42"/>
      <c r="W10" s="42"/>
      <c r="X10" s="42"/>
      <c r="Y10" s="42"/>
      <c r="Z10" s="42"/>
      <c r="AA10" s="42"/>
      <c r="AB10" s="42"/>
    </row>
    <row r="11" spans="1:28" ht="17.25" customHeight="1" x14ac:dyDescent="0.45">
      <c r="A11" s="160" t="s">
        <v>756</v>
      </c>
      <c r="B11" s="30"/>
      <c r="C11" s="30"/>
      <c r="D11" s="30"/>
      <c r="E11" s="30"/>
      <c r="F11" s="30"/>
      <c r="G11" s="30"/>
      <c r="H11" s="30"/>
      <c r="I11" s="30"/>
      <c r="J11" s="162"/>
      <c r="K11" s="30"/>
      <c r="L11" s="30"/>
      <c r="M11" s="30"/>
      <c r="N11" s="30"/>
      <c r="O11" s="30"/>
      <c r="P11" s="30"/>
      <c r="Q11" s="30"/>
      <c r="R11" s="30"/>
      <c r="S11" s="30"/>
      <c r="T11" s="30"/>
      <c r="U11" s="30"/>
      <c r="V11" s="30"/>
      <c r="W11" s="30"/>
      <c r="X11" s="30"/>
      <c r="Y11" s="30"/>
      <c r="Z11" s="30"/>
      <c r="AA11" s="30"/>
      <c r="AB11" s="30"/>
    </row>
    <row r="12" spans="1:28" ht="17.25" customHeight="1" x14ac:dyDescent="0.45">
      <c r="A12" s="160" t="s">
        <v>57</v>
      </c>
      <c r="B12" s="30"/>
      <c r="C12" s="30"/>
      <c r="D12" s="30"/>
      <c r="E12" s="30"/>
      <c r="F12" s="30"/>
      <c r="G12" s="30"/>
      <c r="H12" s="30"/>
      <c r="I12" s="30"/>
      <c r="J12" s="162" t="s">
        <v>58</v>
      </c>
      <c r="K12" s="30"/>
      <c r="L12" s="30"/>
      <c r="M12" s="30"/>
      <c r="N12" s="30"/>
      <c r="O12" s="30"/>
      <c r="P12" s="30"/>
      <c r="Q12" s="30"/>
      <c r="R12" s="30"/>
      <c r="S12" s="30"/>
      <c r="T12" s="30"/>
      <c r="U12" s="30"/>
      <c r="V12" s="30"/>
      <c r="W12" s="30"/>
      <c r="X12" s="30"/>
      <c r="Y12" s="30"/>
      <c r="Z12" s="30"/>
      <c r="AA12" s="30"/>
      <c r="AB12" s="30"/>
    </row>
    <row r="13" spans="1:28"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row>
    <row r="14" spans="1:28"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row>
    <row r="15" spans="1:28"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row>
    <row r="16" spans="1:28" x14ac:dyDescent="0.25">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row>
    <row r="17" spans="1:28" x14ac:dyDescent="0.25">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row>
    <row r="18" spans="1:28"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row>
    <row r="19" spans="1:28"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row>
    <row r="20" spans="1:28"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row>
    <row r="21" spans="1:28" ht="15.75" customHeight="1"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row>
    <row r="22" spans="1:28" ht="15.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row>
    <row r="23" spans="1:28"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row>
    <row r="24" spans="1:28" ht="15.7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row>
    <row r="25" spans="1:28"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row>
    <row r="26" spans="1:28"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row>
    <row r="27" spans="1:28"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row>
    <row r="28" spans="1:28"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row>
    <row r="29" spans="1:28"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row>
    <row r="30" spans="1:28"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row>
    <row r="31" spans="1:28" ht="15.75" customHeight="1" x14ac:dyDescent="0.25">
      <c r="A31" s="30"/>
      <c r="B31" s="30"/>
      <c r="C31" s="30"/>
      <c r="D31" s="30"/>
      <c r="E31" s="111"/>
      <c r="F31" s="111"/>
      <c r="G31" s="111"/>
      <c r="H31" s="111"/>
      <c r="I31" s="111"/>
      <c r="J31" s="30"/>
      <c r="K31" s="30"/>
      <c r="L31" s="30"/>
      <c r="M31" s="30"/>
      <c r="N31" s="30"/>
      <c r="O31" s="30"/>
      <c r="P31" s="30"/>
      <c r="Q31" s="30"/>
      <c r="R31" s="30"/>
      <c r="S31" s="30"/>
      <c r="T31" s="30"/>
      <c r="U31" s="30"/>
      <c r="V31" s="30"/>
      <c r="W31" s="30"/>
      <c r="X31" s="30"/>
      <c r="Y31" s="30"/>
      <c r="Z31" s="30"/>
      <c r="AA31" s="30"/>
      <c r="AB31" s="30"/>
    </row>
    <row r="32" spans="1:28"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row>
    <row r="33" spans="1:28"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row>
  </sheetData>
  <mergeCells count="3">
    <mergeCell ref="A2:J2"/>
    <mergeCell ref="A3:J3"/>
    <mergeCell ref="A4:J4"/>
  </mergeCells>
  <pageMargins left="0.7" right="0.7" top="0.75" bottom="0.75" header="0" footer="0"/>
  <pageSetup paperSize="9" scale="92" orientation="landscape"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1000"/>
  <sheetViews>
    <sheetView workbookViewId="0">
      <selection activeCell="S9" sqref="S9"/>
    </sheetView>
  </sheetViews>
  <sheetFormatPr defaultColWidth="14.42578125" defaultRowHeight="15" customHeight="1" x14ac:dyDescent="0.25"/>
  <cols>
    <col min="1" max="1" width="11.7109375" style="31" customWidth="1"/>
    <col min="2" max="3" width="19.7109375" style="31" customWidth="1"/>
    <col min="4" max="4" width="18.7109375" style="31" customWidth="1"/>
    <col min="5" max="5" width="1.28515625" style="31" customWidth="1"/>
    <col min="6" max="6" width="15.28515625" style="31" customWidth="1"/>
    <col min="7" max="7" width="16.42578125" style="31" customWidth="1"/>
    <col min="8" max="8" width="1.5703125" style="31" customWidth="1"/>
    <col min="9" max="9" width="9.7109375" style="31" customWidth="1"/>
    <col min="10" max="26" width="8" style="31" customWidth="1"/>
    <col min="27" max="16384" width="14.42578125" style="31"/>
  </cols>
  <sheetData>
    <row r="1" spans="1:26" ht="21" customHeight="1" x14ac:dyDescent="0.55000000000000004">
      <c r="A1" s="722" t="s">
        <v>118</v>
      </c>
      <c r="B1" s="699"/>
      <c r="C1" s="699"/>
      <c r="D1" s="699"/>
      <c r="E1" s="699"/>
      <c r="F1" s="699"/>
      <c r="G1" s="700"/>
      <c r="H1" s="30"/>
      <c r="I1" s="30"/>
      <c r="J1" s="30"/>
      <c r="K1" s="75"/>
      <c r="L1" s="30"/>
      <c r="M1" s="30"/>
      <c r="N1" s="30"/>
      <c r="O1" s="30"/>
      <c r="P1" s="30"/>
      <c r="Q1" s="30"/>
      <c r="R1" s="30"/>
      <c r="S1" s="30"/>
      <c r="T1" s="30"/>
      <c r="U1" s="30"/>
      <c r="V1" s="30"/>
      <c r="W1" s="30"/>
      <c r="X1" s="30"/>
      <c r="Y1" s="30"/>
      <c r="Z1" s="30"/>
    </row>
    <row r="2" spans="1:26" x14ac:dyDescent="0.25">
      <c r="A2" s="731" t="s">
        <v>119</v>
      </c>
      <c r="B2" s="699"/>
      <c r="C2" s="699"/>
      <c r="D2" s="699"/>
      <c r="E2" s="699"/>
      <c r="F2" s="699"/>
      <c r="G2" s="700"/>
      <c r="H2" s="30"/>
      <c r="I2" s="30"/>
      <c r="J2" s="30"/>
      <c r="K2" s="30"/>
      <c r="L2" s="30"/>
      <c r="M2" s="30"/>
      <c r="N2" s="30"/>
      <c r="O2" s="30"/>
      <c r="P2" s="30"/>
      <c r="Q2" s="30"/>
      <c r="R2" s="30"/>
      <c r="S2" s="30"/>
      <c r="T2" s="30"/>
      <c r="U2" s="30"/>
      <c r="V2" s="30"/>
      <c r="W2" s="30"/>
      <c r="X2" s="30"/>
      <c r="Y2" s="30"/>
      <c r="Z2" s="30"/>
    </row>
    <row r="3" spans="1:26" ht="14.2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738" t="s">
        <v>120</v>
      </c>
      <c r="B4" s="795" t="s">
        <v>121</v>
      </c>
      <c r="C4" s="795" t="s">
        <v>122</v>
      </c>
      <c r="D4" s="795" t="s">
        <v>23</v>
      </c>
      <c r="E4" s="296"/>
      <c r="F4" s="786" t="s">
        <v>123</v>
      </c>
      <c r="G4" s="727"/>
      <c r="H4" s="37"/>
      <c r="I4" s="37"/>
      <c r="J4" s="37"/>
      <c r="K4" s="37"/>
      <c r="L4" s="37"/>
      <c r="M4" s="37"/>
      <c r="N4" s="37"/>
      <c r="O4" s="37"/>
      <c r="P4" s="37"/>
      <c r="Q4" s="37"/>
      <c r="R4" s="37"/>
      <c r="S4" s="37"/>
      <c r="T4" s="37"/>
      <c r="U4" s="37"/>
      <c r="V4" s="37"/>
      <c r="W4" s="37"/>
      <c r="X4" s="37"/>
      <c r="Y4" s="37"/>
      <c r="Z4" s="37"/>
    </row>
    <row r="5" spans="1:26" x14ac:dyDescent="0.25">
      <c r="A5" s="754"/>
      <c r="B5" s="754"/>
      <c r="C5" s="754"/>
      <c r="D5" s="754"/>
      <c r="E5" s="297"/>
      <c r="F5" s="298" t="s">
        <v>18</v>
      </c>
      <c r="G5" s="298" t="s">
        <v>22</v>
      </c>
      <c r="H5" s="37"/>
      <c r="I5" s="37"/>
      <c r="J5" s="37"/>
      <c r="K5" s="37"/>
      <c r="L5" s="37"/>
      <c r="M5" s="37"/>
      <c r="N5" s="37"/>
      <c r="O5" s="37"/>
      <c r="P5" s="37"/>
      <c r="Q5" s="37"/>
      <c r="R5" s="37"/>
      <c r="S5" s="37"/>
      <c r="T5" s="37"/>
      <c r="U5" s="37"/>
      <c r="V5" s="37"/>
      <c r="W5" s="37"/>
      <c r="X5" s="37"/>
      <c r="Y5" s="37"/>
      <c r="Z5" s="37"/>
    </row>
    <row r="6" spans="1:26" ht="21" customHeight="1" x14ac:dyDescent="0.5">
      <c r="A6" s="299" t="s">
        <v>124</v>
      </c>
      <c r="B6" s="300" t="s">
        <v>125</v>
      </c>
      <c r="C6" s="300" t="s">
        <v>126</v>
      </c>
      <c r="D6" s="300" t="s">
        <v>13</v>
      </c>
      <c r="E6" s="301"/>
      <c r="F6" s="302" t="s">
        <v>127</v>
      </c>
      <c r="G6" s="302" t="s">
        <v>4</v>
      </c>
      <c r="H6" s="303"/>
      <c r="I6" s="303"/>
      <c r="J6" s="303"/>
      <c r="K6" s="303"/>
      <c r="L6" s="303"/>
      <c r="M6" s="303"/>
      <c r="N6" s="303"/>
      <c r="O6" s="303"/>
      <c r="P6" s="303"/>
      <c r="Q6" s="303"/>
      <c r="R6" s="303"/>
      <c r="S6" s="303"/>
      <c r="T6" s="303"/>
      <c r="U6" s="303"/>
      <c r="V6" s="303"/>
      <c r="W6" s="303"/>
      <c r="X6" s="303"/>
      <c r="Y6" s="303"/>
      <c r="Z6" s="303"/>
    </row>
    <row r="7" spans="1:26" ht="31.5" customHeight="1" x14ac:dyDescent="0.25">
      <c r="A7" s="304">
        <v>2010</v>
      </c>
      <c r="B7" s="139">
        <v>144012812.99000001</v>
      </c>
      <c r="C7" s="139">
        <v>4343052.63</v>
      </c>
      <c r="D7" s="127">
        <f t="shared" ref="D7:D14" si="0">SUM(B7:C7)</f>
        <v>148355865.62</v>
      </c>
      <c r="E7" s="139"/>
      <c r="F7" s="305">
        <f t="shared" ref="F7:F14" si="1">(B7/D7)*100</f>
        <v>97.072544040068948</v>
      </c>
      <c r="G7" s="306" t="s">
        <v>130</v>
      </c>
      <c r="H7" s="30"/>
      <c r="I7" s="143"/>
      <c r="J7" s="30"/>
      <c r="K7" s="30"/>
      <c r="L7" s="30"/>
      <c r="M7" s="30"/>
      <c r="N7" s="30"/>
      <c r="O7" s="30"/>
      <c r="P7" s="30"/>
      <c r="Q7" s="30"/>
      <c r="R7" s="30"/>
      <c r="S7" s="30"/>
      <c r="T7" s="30"/>
      <c r="U7" s="30"/>
      <c r="V7" s="30"/>
      <c r="W7" s="30"/>
      <c r="X7" s="30"/>
      <c r="Y7" s="30"/>
      <c r="Z7" s="30"/>
    </row>
    <row r="8" spans="1:26" ht="31.5" customHeight="1" x14ac:dyDescent="0.25">
      <c r="A8" s="304">
        <v>2011</v>
      </c>
      <c r="B8" s="139">
        <v>326364381.68000001</v>
      </c>
      <c r="C8" s="139">
        <v>256249489.41</v>
      </c>
      <c r="D8" s="127">
        <f t="shared" si="0"/>
        <v>582613871.09000003</v>
      </c>
      <c r="E8" s="139"/>
      <c r="F8" s="307">
        <f t="shared" si="1"/>
        <v>56.017269391374377</v>
      </c>
      <c r="G8" s="306">
        <f t="shared" ref="G8:G14" si="2">((B8-B7)/B8)*100</f>
        <v>55.873612111506567</v>
      </c>
      <c r="H8" s="30"/>
      <c r="I8" s="143"/>
      <c r="J8" s="30"/>
      <c r="K8" s="30"/>
      <c r="L8" s="30"/>
      <c r="M8" s="30"/>
      <c r="N8" s="30"/>
      <c r="O8" s="30"/>
      <c r="P8" s="30"/>
      <c r="Q8" s="30"/>
      <c r="R8" s="30"/>
      <c r="S8" s="30"/>
      <c r="T8" s="30"/>
      <c r="U8" s="30"/>
      <c r="V8" s="30"/>
      <c r="W8" s="30"/>
      <c r="X8" s="30"/>
      <c r="Y8" s="30"/>
      <c r="Z8" s="30"/>
    </row>
    <row r="9" spans="1:26" ht="31.5" customHeight="1" x14ac:dyDescent="0.25">
      <c r="A9" s="304">
        <v>2012</v>
      </c>
      <c r="B9" s="139">
        <v>302095970.83999997</v>
      </c>
      <c r="C9" s="139">
        <v>399524598.81999999</v>
      </c>
      <c r="D9" s="127">
        <f t="shared" si="0"/>
        <v>701620569.65999997</v>
      </c>
      <c r="E9" s="139"/>
      <c r="F9" s="307">
        <f t="shared" si="1"/>
        <v>43.056886286329004</v>
      </c>
      <c r="G9" s="306">
        <f t="shared" si="2"/>
        <v>-8.0333447587930227</v>
      </c>
      <c r="H9" s="30"/>
      <c r="I9" s="143"/>
      <c r="J9" s="30"/>
      <c r="K9" s="30"/>
      <c r="L9" s="30"/>
      <c r="M9" s="30"/>
      <c r="N9" s="30"/>
      <c r="O9" s="30"/>
      <c r="P9" s="30"/>
      <c r="Q9" s="30"/>
      <c r="R9" s="30"/>
      <c r="S9" s="30"/>
      <c r="T9" s="30"/>
      <c r="U9" s="30"/>
      <c r="V9" s="30"/>
      <c r="W9" s="30"/>
      <c r="X9" s="30"/>
      <c r="Y9" s="30"/>
      <c r="Z9" s="30"/>
    </row>
    <row r="10" spans="1:26" ht="31.5" customHeight="1" x14ac:dyDescent="0.25">
      <c r="A10" s="304">
        <v>2013</v>
      </c>
      <c r="B10" s="139">
        <v>328802942.31999999</v>
      </c>
      <c r="C10" s="139">
        <v>414071405.61000001</v>
      </c>
      <c r="D10" s="127">
        <f t="shared" si="0"/>
        <v>742874347.93000007</v>
      </c>
      <c r="E10" s="139"/>
      <c r="F10" s="307">
        <f t="shared" si="1"/>
        <v>44.260909430538391</v>
      </c>
      <c r="G10" s="306">
        <f t="shared" si="2"/>
        <v>8.1224855506335665</v>
      </c>
      <c r="H10" s="30"/>
      <c r="I10" s="143"/>
      <c r="J10" s="30"/>
      <c r="K10" s="30"/>
      <c r="L10" s="30"/>
      <c r="M10" s="30"/>
      <c r="N10" s="30"/>
      <c r="O10" s="30"/>
      <c r="P10" s="30"/>
      <c r="Q10" s="30"/>
      <c r="R10" s="30"/>
      <c r="S10" s="30"/>
      <c r="T10" s="30"/>
      <c r="U10" s="30"/>
      <c r="V10" s="30"/>
      <c r="W10" s="30"/>
      <c r="X10" s="30"/>
      <c r="Y10" s="30"/>
      <c r="Z10" s="30"/>
    </row>
    <row r="11" spans="1:26" ht="31.5" customHeight="1" x14ac:dyDescent="0.25">
      <c r="A11" s="304">
        <v>2014</v>
      </c>
      <c r="B11" s="139">
        <v>343675121.81999999</v>
      </c>
      <c r="C11" s="139">
        <v>454365280.81999999</v>
      </c>
      <c r="D11" s="127">
        <f t="shared" si="0"/>
        <v>798040402.63999999</v>
      </c>
      <c r="E11" s="139"/>
      <c r="F11" s="307">
        <f t="shared" si="1"/>
        <v>43.064877502829084</v>
      </c>
      <c r="G11" s="306">
        <f t="shared" si="2"/>
        <v>4.327394843490973</v>
      </c>
      <c r="H11" s="30"/>
      <c r="I11" s="143"/>
      <c r="J11" s="30"/>
      <c r="K11" s="30"/>
      <c r="L11" s="30"/>
      <c r="M11" s="30"/>
      <c r="N11" s="30"/>
      <c r="O11" s="30"/>
      <c r="P11" s="30"/>
      <c r="Q11" s="30"/>
      <c r="R11" s="30"/>
      <c r="S11" s="30"/>
      <c r="T11" s="30"/>
      <c r="U11" s="30"/>
      <c r="V11" s="30"/>
      <c r="W11" s="30"/>
      <c r="X11" s="30"/>
      <c r="Y11" s="30"/>
      <c r="Z11" s="30"/>
    </row>
    <row r="12" spans="1:26" ht="31.5" customHeight="1" x14ac:dyDescent="0.25">
      <c r="A12" s="304">
        <v>2015</v>
      </c>
      <c r="B12" s="139">
        <v>387387234.02999997</v>
      </c>
      <c r="C12" s="139">
        <v>504476564.63999999</v>
      </c>
      <c r="D12" s="127">
        <f t="shared" si="0"/>
        <v>891863798.66999996</v>
      </c>
      <c r="E12" s="139"/>
      <c r="F12" s="307">
        <f t="shared" si="1"/>
        <v>43.4356943972493</v>
      </c>
      <c r="G12" s="306">
        <f t="shared" si="2"/>
        <v>11.283828781671941</v>
      </c>
      <c r="H12" s="30"/>
      <c r="I12" s="143"/>
      <c r="J12" s="30"/>
      <c r="K12" s="30"/>
      <c r="L12" s="30"/>
      <c r="M12" s="30"/>
      <c r="N12" s="30"/>
      <c r="O12" s="30"/>
      <c r="P12" s="30"/>
      <c r="Q12" s="30"/>
      <c r="R12" s="30"/>
      <c r="S12" s="30"/>
      <c r="T12" s="30"/>
      <c r="U12" s="30"/>
      <c r="V12" s="30"/>
      <c r="W12" s="30"/>
      <c r="X12" s="30"/>
      <c r="Y12" s="30"/>
      <c r="Z12" s="30"/>
    </row>
    <row r="13" spans="1:26" ht="31.5" customHeight="1" x14ac:dyDescent="0.25">
      <c r="A13" s="304">
        <v>2016</v>
      </c>
      <c r="B13" s="139">
        <v>393277818.06999999</v>
      </c>
      <c r="C13" s="139">
        <v>543961771.16999996</v>
      </c>
      <c r="D13" s="127">
        <f t="shared" si="0"/>
        <v>937239589.24000001</v>
      </c>
      <c r="E13" s="139"/>
      <c r="F13" s="307">
        <f t="shared" si="1"/>
        <v>41.961289576863244</v>
      </c>
      <c r="G13" s="306">
        <f t="shared" si="2"/>
        <v>1.4978175145773285</v>
      </c>
      <c r="H13" s="30"/>
      <c r="I13" s="143"/>
      <c r="J13" s="30"/>
      <c r="K13" s="30"/>
      <c r="L13" s="30"/>
      <c r="M13" s="30"/>
      <c r="N13" s="30"/>
      <c r="O13" s="30"/>
      <c r="P13" s="30"/>
      <c r="Q13" s="30"/>
      <c r="R13" s="30"/>
      <c r="S13" s="30"/>
      <c r="T13" s="30"/>
      <c r="U13" s="30"/>
      <c r="V13" s="30"/>
      <c r="W13" s="30"/>
      <c r="X13" s="30"/>
      <c r="Y13" s="30"/>
      <c r="Z13" s="30"/>
    </row>
    <row r="14" spans="1:26" ht="31.5" customHeight="1" x14ac:dyDescent="0.25">
      <c r="A14" s="304">
        <v>2017</v>
      </c>
      <c r="B14" s="139">
        <v>415671867.23000002</v>
      </c>
      <c r="C14" s="139">
        <v>607577206.46000004</v>
      </c>
      <c r="D14" s="127">
        <f t="shared" si="0"/>
        <v>1023249073.6900001</v>
      </c>
      <c r="E14" s="139"/>
      <c r="F14" s="307">
        <f t="shared" si="1"/>
        <v>40.622745518940043</v>
      </c>
      <c r="G14" s="306">
        <f t="shared" si="2"/>
        <v>5.3874343984912807</v>
      </c>
      <c r="H14" s="30"/>
      <c r="I14" s="143"/>
      <c r="J14" s="30"/>
      <c r="K14" s="30"/>
      <c r="L14" s="30"/>
      <c r="M14" s="30"/>
      <c r="N14" s="30"/>
      <c r="O14" s="30"/>
      <c r="P14" s="30"/>
      <c r="Q14" s="30"/>
      <c r="R14" s="30"/>
      <c r="S14" s="30"/>
      <c r="T14" s="30"/>
      <c r="U14" s="30"/>
      <c r="V14" s="30"/>
      <c r="W14" s="30"/>
      <c r="X14" s="30"/>
      <c r="Y14" s="30"/>
      <c r="Z14" s="30"/>
    </row>
    <row r="15" spans="1:26" ht="31.5" customHeight="1" x14ac:dyDescent="0.25">
      <c r="A15" s="308">
        <v>2018</v>
      </c>
      <c r="B15" s="154">
        <v>437284981.49000001</v>
      </c>
      <c r="C15" s="154">
        <v>663545538.35000002</v>
      </c>
      <c r="D15" s="309">
        <f>SUM(B15:C15)</f>
        <v>1100830519.8400002</v>
      </c>
      <c r="E15" s="153"/>
      <c r="F15" s="310">
        <f>(B15/D15)*100</f>
        <v>39.723188411741802</v>
      </c>
      <c r="G15" s="311">
        <f>((B15-B14)/B15)*100</f>
        <v>4.9425695312827127</v>
      </c>
      <c r="H15" s="30"/>
      <c r="I15" s="143"/>
      <c r="J15" s="30"/>
      <c r="K15" s="30"/>
      <c r="L15" s="30"/>
      <c r="M15" s="30"/>
      <c r="N15" s="30"/>
      <c r="O15" s="30"/>
      <c r="P15" s="30"/>
      <c r="Q15" s="30"/>
      <c r="R15" s="30"/>
      <c r="S15" s="30"/>
      <c r="T15" s="30"/>
      <c r="U15" s="30"/>
      <c r="V15" s="30"/>
      <c r="W15" s="30"/>
      <c r="X15" s="30"/>
      <c r="Y15" s="30"/>
      <c r="Z15" s="30"/>
    </row>
    <row r="16" spans="1:26" ht="17.25" customHeight="1" x14ac:dyDescent="0.25">
      <c r="A16" s="160" t="s">
        <v>757</v>
      </c>
      <c r="H16" s="30"/>
      <c r="I16" s="30"/>
      <c r="J16" s="30"/>
      <c r="K16" s="30"/>
      <c r="L16" s="30"/>
      <c r="M16" s="30"/>
      <c r="N16" s="30"/>
      <c r="O16" s="30"/>
      <c r="P16" s="30"/>
      <c r="Q16" s="30"/>
      <c r="R16" s="30"/>
      <c r="S16" s="30"/>
      <c r="T16" s="30"/>
      <c r="U16" s="30"/>
      <c r="V16" s="30"/>
      <c r="W16" s="30"/>
      <c r="X16" s="30"/>
      <c r="Y16" s="30"/>
      <c r="Z16" s="30"/>
    </row>
    <row r="17" spans="1:26" ht="18" x14ac:dyDescent="0.45">
      <c r="A17" s="160" t="s">
        <v>57</v>
      </c>
      <c r="B17" s="30"/>
      <c r="C17" s="30"/>
      <c r="D17" s="30"/>
      <c r="E17" s="30"/>
      <c r="F17" s="30"/>
      <c r="G17" s="162" t="s">
        <v>58</v>
      </c>
      <c r="H17" s="30"/>
      <c r="I17" s="30"/>
      <c r="J17" s="30"/>
      <c r="K17" s="30"/>
      <c r="L17" s="30"/>
      <c r="M17" s="30"/>
      <c r="N17" s="30"/>
      <c r="O17" s="30"/>
      <c r="P17" s="30"/>
      <c r="Q17" s="30"/>
      <c r="R17" s="30"/>
      <c r="S17" s="30"/>
      <c r="T17" s="30"/>
      <c r="U17" s="30"/>
      <c r="V17" s="30"/>
      <c r="W17" s="30"/>
      <c r="X17" s="30"/>
      <c r="Y17" s="30"/>
      <c r="Z17" s="30"/>
    </row>
    <row r="18" spans="1:26"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ht="15.75" customHeight="1" x14ac:dyDescent="0.25">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ht="15.75" customHeight="1"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ht="15.75" customHeight="1"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ustomHeight="1"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ustomHeight="1"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x14ac:dyDescent="0.2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x14ac:dyDescent="0.2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x14ac:dyDescent="0.2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x14ac:dyDescent="0.2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x14ac:dyDescent="0.2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x14ac:dyDescent="0.2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x14ac:dyDescent="0.2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x14ac:dyDescent="0.2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x14ac:dyDescent="0.2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x14ac:dyDescent="0.2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x14ac:dyDescent="0.2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x14ac:dyDescent="0.2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x14ac:dyDescent="0.2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x14ac:dyDescent="0.2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x14ac:dyDescent="0.2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x14ac:dyDescent="0.2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x14ac:dyDescent="0.2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x14ac:dyDescent="0.2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x14ac:dyDescent="0.2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x14ac:dyDescent="0.2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x14ac:dyDescent="0.2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x14ac:dyDescent="0.2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x14ac:dyDescent="0.2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x14ac:dyDescent="0.2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x14ac:dyDescent="0.2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x14ac:dyDescent="0.25">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x14ac:dyDescent="0.25">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x14ac:dyDescent="0.25">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x14ac:dyDescent="0.25">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x14ac:dyDescent="0.25">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x14ac:dyDescent="0.25">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x14ac:dyDescent="0.25">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x14ac:dyDescent="0.25">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x14ac:dyDescent="0.25">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x14ac:dyDescent="0.2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x14ac:dyDescent="0.25">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x14ac:dyDescent="0.25">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x14ac:dyDescent="0.25">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x14ac:dyDescent="0.25">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x14ac:dyDescent="0.25">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x14ac:dyDescent="0.25">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x14ac:dyDescent="0.25">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x14ac:dyDescent="0.25">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x14ac:dyDescent="0.25">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x14ac:dyDescent="0.2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x14ac:dyDescent="0.25">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x14ac:dyDescent="0.25">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x14ac:dyDescent="0.25">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x14ac:dyDescent="0.25">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x14ac:dyDescent="0.25">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ustomHeight="1" x14ac:dyDescent="0.25">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ustomHeight="1" x14ac:dyDescent="0.25">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ustomHeight="1" x14ac:dyDescent="0.25">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ustomHeight="1" x14ac:dyDescent="0.25">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ustomHeight="1" x14ac:dyDescent="0.2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ustomHeight="1" x14ac:dyDescent="0.25">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ustomHeight="1" x14ac:dyDescent="0.25">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ustomHeight="1" x14ac:dyDescent="0.25">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ustomHeight="1" x14ac:dyDescent="0.25">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ustomHeight="1" x14ac:dyDescent="0.25">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ustomHeight="1" x14ac:dyDescent="0.25">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ustomHeight="1" x14ac:dyDescent="0.25">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ustomHeight="1" x14ac:dyDescent="0.25">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ustomHeight="1" x14ac:dyDescent="0.25">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ustomHeight="1" x14ac:dyDescent="0.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ustomHeight="1" x14ac:dyDescent="0.25">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ustomHeight="1" x14ac:dyDescent="0.25">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ustomHeight="1" x14ac:dyDescent="0.25">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ustomHeight="1" x14ac:dyDescent="0.25">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ustomHeight="1" x14ac:dyDescent="0.25">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ustomHeight="1" x14ac:dyDescent="0.25">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ustomHeight="1" x14ac:dyDescent="0.25">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ustomHeight="1" x14ac:dyDescent="0.25">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ustomHeight="1" x14ac:dyDescent="0.25">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ustomHeight="1" x14ac:dyDescent="0.2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ustomHeight="1" x14ac:dyDescent="0.25">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ustomHeight="1" x14ac:dyDescent="0.25">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ustomHeight="1" x14ac:dyDescent="0.25">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ustomHeight="1" x14ac:dyDescent="0.25">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ustomHeight="1" x14ac:dyDescent="0.25">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ustomHeight="1" x14ac:dyDescent="0.25">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ustomHeight="1" x14ac:dyDescent="0.25">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ustomHeight="1" x14ac:dyDescent="0.25">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ustomHeight="1" x14ac:dyDescent="0.25">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ustomHeight="1" x14ac:dyDescent="0.2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ustomHeight="1" x14ac:dyDescent="0.25">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ustomHeight="1" x14ac:dyDescent="0.25">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ustomHeight="1" x14ac:dyDescent="0.25">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ustomHeight="1" x14ac:dyDescent="0.25">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ustomHeight="1" x14ac:dyDescent="0.25">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ustomHeight="1" x14ac:dyDescent="0.25">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ustomHeight="1" x14ac:dyDescent="0.25">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ustomHeight="1" x14ac:dyDescent="0.25">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ustomHeight="1" x14ac:dyDescent="0.25">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ustomHeight="1" x14ac:dyDescent="0.2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ustomHeight="1" x14ac:dyDescent="0.25">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ustomHeight="1" x14ac:dyDescent="0.25">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ustomHeight="1" x14ac:dyDescent="0.25">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ustomHeight="1" x14ac:dyDescent="0.25">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ustomHeight="1" x14ac:dyDescent="0.25">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ustomHeight="1" x14ac:dyDescent="0.25">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ustomHeight="1" x14ac:dyDescent="0.25">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ustomHeight="1" x14ac:dyDescent="0.25">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ustomHeight="1" x14ac:dyDescent="0.25">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ustomHeight="1" x14ac:dyDescent="0.2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ustomHeight="1" x14ac:dyDescent="0.25">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ustomHeight="1" x14ac:dyDescent="0.25">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ustomHeight="1" x14ac:dyDescent="0.25">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ustomHeight="1" x14ac:dyDescent="0.25">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ustomHeight="1" x14ac:dyDescent="0.25">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ustomHeight="1" x14ac:dyDescent="0.25">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ustomHeight="1" x14ac:dyDescent="0.25">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ustomHeight="1" x14ac:dyDescent="0.25">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ustomHeight="1" x14ac:dyDescent="0.25">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ustomHeight="1" x14ac:dyDescent="0.2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ustomHeight="1" x14ac:dyDescent="0.25">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ustomHeight="1" x14ac:dyDescent="0.25">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ustomHeight="1" x14ac:dyDescent="0.25">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ustomHeight="1" x14ac:dyDescent="0.25">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ustomHeight="1" x14ac:dyDescent="0.25">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ustomHeight="1" x14ac:dyDescent="0.25">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ustomHeight="1" x14ac:dyDescent="0.25">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ustomHeight="1" x14ac:dyDescent="0.25">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ustomHeight="1" x14ac:dyDescent="0.25">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ustomHeight="1" x14ac:dyDescent="0.2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ustomHeight="1" x14ac:dyDescent="0.25">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ustomHeight="1" x14ac:dyDescent="0.25">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ustomHeight="1" x14ac:dyDescent="0.25">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ustomHeight="1" x14ac:dyDescent="0.25">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ustomHeight="1" x14ac:dyDescent="0.25">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ustomHeight="1" x14ac:dyDescent="0.25">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ustomHeight="1" x14ac:dyDescent="0.25">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ustomHeight="1" x14ac:dyDescent="0.25">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ustomHeight="1" x14ac:dyDescent="0.25">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ustomHeight="1" x14ac:dyDescent="0.2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ustomHeight="1" x14ac:dyDescent="0.25">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ustomHeight="1" x14ac:dyDescent="0.25">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ustomHeight="1" x14ac:dyDescent="0.25">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ustomHeight="1" x14ac:dyDescent="0.25">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ustomHeight="1" x14ac:dyDescent="0.25">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ustomHeight="1" x14ac:dyDescent="0.25">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ustomHeight="1" x14ac:dyDescent="0.25">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ustomHeight="1" x14ac:dyDescent="0.25">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ustomHeight="1" x14ac:dyDescent="0.25">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ustomHeight="1" x14ac:dyDescent="0.2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ustomHeight="1" x14ac:dyDescent="0.25">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ustomHeight="1" x14ac:dyDescent="0.25">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ustomHeight="1" x14ac:dyDescent="0.25">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ustomHeight="1" x14ac:dyDescent="0.25">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ustomHeight="1" x14ac:dyDescent="0.25">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ustomHeight="1" x14ac:dyDescent="0.25">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ustomHeight="1" x14ac:dyDescent="0.25">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ustomHeight="1" x14ac:dyDescent="0.25">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ustomHeight="1" x14ac:dyDescent="0.25">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ustomHeight="1" x14ac:dyDescent="0.2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ustomHeight="1" x14ac:dyDescent="0.25">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ustomHeight="1" x14ac:dyDescent="0.25">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ustomHeight="1" x14ac:dyDescent="0.25">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ustomHeight="1" x14ac:dyDescent="0.2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ustomHeight="1" x14ac:dyDescent="0.2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ustomHeight="1" x14ac:dyDescent="0.2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ustomHeight="1" x14ac:dyDescent="0.2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ustomHeight="1" x14ac:dyDescent="0.2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ustomHeight="1" x14ac:dyDescent="0.2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ustomHeight="1" x14ac:dyDescent="0.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ustomHeight="1" x14ac:dyDescent="0.2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ustomHeight="1" x14ac:dyDescent="0.2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ustomHeight="1" x14ac:dyDescent="0.2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ustomHeight="1" x14ac:dyDescent="0.2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ustomHeight="1" x14ac:dyDescent="0.2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ustomHeight="1" x14ac:dyDescent="0.2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ustomHeight="1" x14ac:dyDescent="0.2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ustomHeight="1" x14ac:dyDescent="0.2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ustomHeight="1" x14ac:dyDescent="0.2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ustomHeight="1" x14ac:dyDescent="0.2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ustomHeight="1" x14ac:dyDescent="0.2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ustomHeight="1" x14ac:dyDescent="0.2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ustomHeight="1" x14ac:dyDescent="0.2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ustomHeight="1" x14ac:dyDescent="0.2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ustomHeight="1" x14ac:dyDescent="0.2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ustomHeight="1" x14ac:dyDescent="0.2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ustomHeight="1" x14ac:dyDescent="0.2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ustomHeight="1" x14ac:dyDescent="0.2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ustomHeight="1" x14ac:dyDescent="0.2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ustomHeight="1" x14ac:dyDescent="0.2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ustomHeight="1" x14ac:dyDescent="0.2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ustomHeight="1" x14ac:dyDescent="0.2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ustomHeight="1" x14ac:dyDescent="0.2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ustomHeight="1" x14ac:dyDescent="0.2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ustomHeight="1" x14ac:dyDescent="0.2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ustomHeight="1" x14ac:dyDescent="0.2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ustomHeight="1" x14ac:dyDescent="0.2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ustomHeight="1" x14ac:dyDescent="0.2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ustomHeight="1" x14ac:dyDescent="0.2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ustomHeight="1" x14ac:dyDescent="0.2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ustomHeight="1" x14ac:dyDescent="0.2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ustomHeight="1" x14ac:dyDescent="0.2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ustomHeight="1" x14ac:dyDescent="0.2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ustomHeight="1" x14ac:dyDescent="0.2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ustomHeight="1" x14ac:dyDescent="0.2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ustomHeight="1" x14ac:dyDescent="0.2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ustomHeight="1" x14ac:dyDescent="0.2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ustomHeight="1" x14ac:dyDescent="0.2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ustomHeight="1" x14ac:dyDescent="0.2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ustomHeight="1" x14ac:dyDescent="0.2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ustomHeight="1" x14ac:dyDescent="0.2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ustomHeight="1" x14ac:dyDescent="0.2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ustomHeight="1" x14ac:dyDescent="0.2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ustomHeight="1" x14ac:dyDescent="0.2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ustomHeight="1" x14ac:dyDescent="0.2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ustomHeight="1" x14ac:dyDescent="0.2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ustomHeight="1" x14ac:dyDescent="0.2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ustomHeight="1" x14ac:dyDescent="0.2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ustomHeight="1" x14ac:dyDescent="0.2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ustomHeight="1" x14ac:dyDescent="0.2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ustomHeight="1" x14ac:dyDescent="0.2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ustomHeight="1" x14ac:dyDescent="0.2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ustomHeight="1" x14ac:dyDescent="0.2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ustomHeight="1" x14ac:dyDescent="0.2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ustomHeight="1" x14ac:dyDescent="0.2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ustomHeight="1" x14ac:dyDescent="0.2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ustomHeight="1" x14ac:dyDescent="0.2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ustomHeight="1" x14ac:dyDescent="0.2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ustomHeight="1" x14ac:dyDescent="0.2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ustomHeight="1" x14ac:dyDescent="0.2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ustomHeight="1" x14ac:dyDescent="0.2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ustomHeight="1" x14ac:dyDescent="0.2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ustomHeight="1" x14ac:dyDescent="0.2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ustomHeight="1" x14ac:dyDescent="0.2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ustomHeight="1" x14ac:dyDescent="0.2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ustomHeight="1" x14ac:dyDescent="0.2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ustomHeight="1" x14ac:dyDescent="0.2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ustomHeight="1" x14ac:dyDescent="0.2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ustomHeight="1" x14ac:dyDescent="0.2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ustomHeight="1" x14ac:dyDescent="0.2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ustomHeight="1" x14ac:dyDescent="0.2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ustomHeight="1" x14ac:dyDescent="0.2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ustomHeight="1" x14ac:dyDescent="0.2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ustomHeight="1" x14ac:dyDescent="0.2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ustomHeight="1" x14ac:dyDescent="0.2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ustomHeight="1" x14ac:dyDescent="0.2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ustomHeight="1" x14ac:dyDescent="0.2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ustomHeight="1" x14ac:dyDescent="0.2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ustomHeight="1" x14ac:dyDescent="0.2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ustomHeight="1" x14ac:dyDescent="0.2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ustomHeight="1" x14ac:dyDescent="0.2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ustomHeight="1" x14ac:dyDescent="0.2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ustomHeight="1" x14ac:dyDescent="0.2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ustomHeight="1" x14ac:dyDescent="0.2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ustomHeight="1" x14ac:dyDescent="0.2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ustomHeight="1" x14ac:dyDescent="0.2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ustomHeight="1" x14ac:dyDescent="0.2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ustomHeight="1"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ustomHeight="1"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ustomHeight="1"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ustomHeight="1"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ustomHeight="1"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ustomHeight="1"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ustomHeight="1"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ustomHeight="1"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ustomHeight="1"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ustomHeight="1"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ustomHeight="1"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ustomHeight="1"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ustomHeight="1"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ustomHeight="1"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ustomHeight="1"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ustomHeight="1"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ustomHeight="1"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ustomHeight="1" x14ac:dyDescent="0.2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ustomHeight="1" x14ac:dyDescent="0.2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ustomHeight="1" x14ac:dyDescent="0.2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ustomHeight="1" x14ac:dyDescent="0.2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ustomHeight="1" x14ac:dyDescent="0.2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ustomHeight="1"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ustomHeight="1"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ustomHeight="1"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ustomHeight="1"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ustomHeight="1"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ustomHeight="1"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ustomHeight="1"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ustomHeight="1"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ustomHeight="1"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ustomHeight="1"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ustomHeight="1"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ustomHeight="1"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ustomHeight="1"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ustomHeight="1"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ustomHeight="1"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ustomHeight="1"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ustomHeight="1"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ustomHeight="1"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ustomHeight="1" x14ac:dyDescent="0.2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ustomHeight="1" x14ac:dyDescent="0.2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ustomHeight="1" x14ac:dyDescent="0.2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ustomHeight="1" x14ac:dyDescent="0.2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ustomHeight="1" x14ac:dyDescent="0.2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ustomHeight="1" x14ac:dyDescent="0.2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ustomHeight="1" x14ac:dyDescent="0.2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ustomHeight="1" x14ac:dyDescent="0.2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ustomHeight="1" x14ac:dyDescent="0.2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ustomHeight="1" x14ac:dyDescent="0.2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ustomHeight="1" x14ac:dyDescent="0.2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ustomHeight="1" x14ac:dyDescent="0.2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ustomHeight="1" x14ac:dyDescent="0.2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ustomHeight="1" x14ac:dyDescent="0.2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ustomHeight="1" x14ac:dyDescent="0.2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ustomHeight="1" x14ac:dyDescent="0.2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ustomHeight="1" x14ac:dyDescent="0.2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ustomHeight="1" x14ac:dyDescent="0.2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ustomHeight="1" x14ac:dyDescent="0.2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ustomHeight="1" x14ac:dyDescent="0.2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ustomHeight="1" x14ac:dyDescent="0.2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ustomHeight="1" x14ac:dyDescent="0.2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ustomHeight="1" x14ac:dyDescent="0.2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ustomHeight="1" x14ac:dyDescent="0.2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ustomHeight="1" x14ac:dyDescent="0.2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ustomHeight="1" x14ac:dyDescent="0.2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ustomHeight="1" x14ac:dyDescent="0.2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ustomHeight="1" x14ac:dyDescent="0.2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ustomHeight="1" x14ac:dyDescent="0.2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ustomHeight="1" x14ac:dyDescent="0.2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ustomHeight="1" x14ac:dyDescent="0.2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ustomHeight="1" x14ac:dyDescent="0.2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ustomHeight="1" x14ac:dyDescent="0.2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ustomHeight="1" x14ac:dyDescent="0.2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ustomHeight="1" x14ac:dyDescent="0.2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ustomHeight="1" x14ac:dyDescent="0.2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ustomHeight="1" x14ac:dyDescent="0.2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ustomHeight="1" x14ac:dyDescent="0.2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ustomHeight="1" x14ac:dyDescent="0.2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ustomHeight="1" x14ac:dyDescent="0.2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ustomHeight="1" x14ac:dyDescent="0.2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ustomHeight="1" x14ac:dyDescent="0.2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ustomHeight="1" x14ac:dyDescent="0.2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ustomHeight="1" x14ac:dyDescent="0.2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ustomHeight="1" x14ac:dyDescent="0.2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ustomHeight="1" x14ac:dyDescent="0.2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ustomHeight="1" x14ac:dyDescent="0.2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ustomHeight="1" x14ac:dyDescent="0.2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ustomHeight="1" x14ac:dyDescent="0.2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ustomHeight="1" x14ac:dyDescent="0.2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ustomHeight="1" x14ac:dyDescent="0.2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ustomHeight="1" x14ac:dyDescent="0.2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ustomHeight="1" x14ac:dyDescent="0.2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ustomHeight="1" x14ac:dyDescent="0.2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ustomHeight="1" x14ac:dyDescent="0.2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ustomHeight="1" x14ac:dyDescent="0.2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ustomHeight="1" x14ac:dyDescent="0.2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ustomHeight="1" x14ac:dyDescent="0.2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ustomHeight="1" x14ac:dyDescent="0.2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ustomHeight="1" x14ac:dyDescent="0.2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ustomHeight="1" x14ac:dyDescent="0.2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ustomHeight="1" x14ac:dyDescent="0.2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ustomHeight="1" x14ac:dyDescent="0.2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ustomHeight="1" x14ac:dyDescent="0.2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ustomHeight="1" x14ac:dyDescent="0.2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ustomHeight="1" x14ac:dyDescent="0.2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ustomHeight="1" x14ac:dyDescent="0.2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ustomHeight="1" x14ac:dyDescent="0.2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ustomHeight="1" x14ac:dyDescent="0.2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ustomHeight="1" x14ac:dyDescent="0.2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ustomHeight="1" x14ac:dyDescent="0.2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ustomHeight="1" x14ac:dyDescent="0.2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ustomHeight="1" x14ac:dyDescent="0.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ustomHeight="1" x14ac:dyDescent="0.2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ustomHeight="1" x14ac:dyDescent="0.2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ustomHeight="1" x14ac:dyDescent="0.2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ustomHeight="1" x14ac:dyDescent="0.2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ustomHeight="1" x14ac:dyDescent="0.2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ustomHeight="1" x14ac:dyDescent="0.2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ustomHeight="1" x14ac:dyDescent="0.2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ustomHeight="1" x14ac:dyDescent="0.2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ustomHeight="1" x14ac:dyDescent="0.2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ustomHeight="1" x14ac:dyDescent="0.2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ustomHeight="1" x14ac:dyDescent="0.2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ustomHeight="1" x14ac:dyDescent="0.2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ustomHeight="1" x14ac:dyDescent="0.2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ustomHeight="1" x14ac:dyDescent="0.2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ustomHeight="1" x14ac:dyDescent="0.2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ustomHeight="1" x14ac:dyDescent="0.2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ustomHeight="1" x14ac:dyDescent="0.2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ustomHeight="1" x14ac:dyDescent="0.2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ustomHeight="1" x14ac:dyDescent="0.2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ustomHeight="1" x14ac:dyDescent="0.2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ustomHeight="1" x14ac:dyDescent="0.2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ustomHeight="1" x14ac:dyDescent="0.2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ustomHeight="1" x14ac:dyDescent="0.2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ustomHeight="1" x14ac:dyDescent="0.2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ustomHeight="1" x14ac:dyDescent="0.2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ustomHeight="1" x14ac:dyDescent="0.2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ustomHeight="1" x14ac:dyDescent="0.2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ustomHeight="1" x14ac:dyDescent="0.2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ustomHeight="1" x14ac:dyDescent="0.2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ustomHeight="1" x14ac:dyDescent="0.2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ustomHeight="1" x14ac:dyDescent="0.2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ustomHeight="1" x14ac:dyDescent="0.2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ustomHeight="1" x14ac:dyDescent="0.2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ustomHeight="1" x14ac:dyDescent="0.2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ustomHeight="1" x14ac:dyDescent="0.2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ustomHeight="1" x14ac:dyDescent="0.2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ustomHeight="1" x14ac:dyDescent="0.2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ustomHeight="1" x14ac:dyDescent="0.2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ustomHeight="1" x14ac:dyDescent="0.2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ustomHeight="1" x14ac:dyDescent="0.2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ustomHeight="1" x14ac:dyDescent="0.2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ustomHeight="1" x14ac:dyDescent="0.2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ustomHeight="1" x14ac:dyDescent="0.2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ustomHeight="1" x14ac:dyDescent="0.2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ustomHeight="1" x14ac:dyDescent="0.2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ustomHeight="1" x14ac:dyDescent="0.2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ustomHeight="1" x14ac:dyDescent="0.2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ustomHeight="1" x14ac:dyDescent="0.2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ustomHeight="1" x14ac:dyDescent="0.2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ustomHeight="1" x14ac:dyDescent="0.2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ustomHeight="1" x14ac:dyDescent="0.2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ustomHeight="1" x14ac:dyDescent="0.2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ustomHeight="1" x14ac:dyDescent="0.2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ustomHeight="1" x14ac:dyDescent="0.2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ustomHeight="1" x14ac:dyDescent="0.2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ustomHeight="1" x14ac:dyDescent="0.2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ustomHeight="1" x14ac:dyDescent="0.2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ustomHeight="1" x14ac:dyDescent="0.2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ustomHeight="1" x14ac:dyDescent="0.2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ustomHeight="1" x14ac:dyDescent="0.2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ustomHeight="1" x14ac:dyDescent="0.2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ustomHeight="1" x14ac:dyDescent="0.2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ustomHeight="1" x14ac:dyDescent="0.2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ustomHeight="1" x14ac:dyDescent="0.2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ustomHeight="1" x14ac:dyDescent="0.2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ustomHeight="1" x14ac:dyDescent="0.2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ustomHeight="1" x14ac:dyDescent="0.2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ustomHeight="1" x14ac:dyDescent="0.2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ustomHeight="1" x14ac:dyDescent="0.2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ustomHeight="1" x14ac:dyDescent="0.2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ustomHeight="1" x14ac:dyDescent="0.2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ustomHeight="1" x14ac:dyDescent="0.2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ustomHeight="1" x14ac:dyDescent="0.2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ustomHeight="1" x14ac:dyDescent="0.2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ustomHeight="1" x14ac:dyDescent="0.2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ustomHeight="1" x14ac:dyDescent="0.2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ustomHeight="1" x14ac:dyDescent="0.2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ustomHeight="1" x14ac:dyDescent="0.2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ustomHeight="1" x14ac:dyDescent="0.2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ustomHeight="1" x14ac:dyDescent="0.2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ustomHeight="1" x14ac:dyDescent="0.2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ustomHeight="1" x14ac:dyDescent="0.2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ustomHeight="1" x14ac:dyDescent="0.2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ustomHeight="1" x14ac:dyDescent="0.2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ustomHeight="1" x14ac:dyDescent="0.2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ustomHeight="1" x14ac:dyDescent="0.2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ustomHeight="1" x14ac:dyDescent="0.2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ustomHeight="1" x14ac:dyDescent="0.2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ustomHeight="1" x14ac:dyDescent="0.2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ustomHeight="1" x14ac:dyDescent="0.2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ustomHeight="1" x14ac:dyDescent="0.2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ustomHeight="1" x14ac:dyDescent="0.2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ustomHeight="1" x14ac:dyDescent="0.2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ustomHeight="1" x14ac:dyDescent="0.2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ustomHeight="1" x14ac:dyDescent="0.2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ustomHeight="1" x14ac:dyDescent="0.2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ustomHeight="1" x14ac:dyDescent="0.2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ustomHeight="1" x14ac:dyDescent="0.2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ustomHeight="1" x14ac:dyDescent="0.25">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ustomHeight="1" x14ac:dyDescent="0.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ustomHeight="1" x14ac:dyDescent="0.25">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ustomHeight="1" x14ac:dyDescent="0.25">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ustomHeight="1" x14ac:dyDescent="0.25">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ustomHeight="1" x14ac:dyDescent="0.25">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ustomHeight="1" x14ac:dyDescent="0.25">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ustomHeight="1" x14ac:dyDescent="0.25">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ustomHeight="1" x14ac:dyDescent="0.25">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ustomHeight="1" x14ac:dyDescent="0.25">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ustomHeight="1" x14ac:dyDescent="0.25">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ustomHeight="1" x14ac:dyDescent="0.2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ustomHeight="1" x14ac:dyDescent="0.25">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ustomHeight="1" x14ac:dyDescent="0.25">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ustomHeight="1" x14ac:dyDescent="0.25">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ustomHeight="1" x14ac:dyDescent="0.25">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ustomHeight="1" x14ac:dyDescent="0.25">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ustomHeight="1" x14ac:dyDescent="0.25">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ustomHeight="1" x14ac:dyDescent="0.25">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ustomHeight="1" x14ac:dyDescent="0.25">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ustomHeight="1" x14ac:dyDescent="0.25">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ustomHeight="1" x14ac:dyDescent="0.2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ustomHeight="1" x14ac:dyDescent="0.25">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ustomHeight="1" x14ac:dyDescent="0.25">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ustomHeight="1" x14ac:dyDescent="0.25">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ustomHeight="1" x14ac:dyDescent="0.25">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ustomHeight="1" x14ac:dyDescent="0.25">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ustomHeight="1" x14ac:dyDescent="0.25">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ustomHeight="1" x14ac:dyDescent="0.25">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ustomHeight="1" x14ac:dyDescent="0.25">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ustomHeight="1" x14ac:dyDescent="0.25">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ustomHeight="1" x14ac:dyDescent="0.2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ustomHeight="1" x14ac:dyDescent="0.25">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ustomHeight="1" x14ac:dyDescent="0.25">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ustomHeight="1" x14ac:dyDescent="0.25">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ustomHeight="1" x14ac:dyDescent="0.25">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ustomHeight="1" x14ac:dyDescent="0.25">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ustomHeight="1" x14ac:dyDescent="0.25">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ustomHeight="1" x14ac:dyDescent="0.25">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ustomHeight="1" x14ac:dyDescent="0.25">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ustomHeight="1" x14ac:dyDescent="0.25">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ustomHeight="1" x14ac:dyDescent="0.2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ustomHeight="1" x14ac:dyDescent="0.25">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ustomHeight="1" x14ac:dyDescent="0.25">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ustomHeight="1" x14ac:dyDescent="0.25">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ustomHeight="1" x14ac:dyDescent="0.25">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ustomHeight="1" x14ac:dyDescent="0.25">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ustomHeight="1" x14ac:dyDescent="0.25">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ustomHeight="1" x14ac:dyDescent="0.25">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ustomHeight="1" x14ac:dyDescent="0.25">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ustomHeight="1" x14ac:dyDescent="0.25">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ustomHeight="1" x14ac:dyDescent="0.2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ustomHeight="1" x14ac:dyDescent="0.25">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ustomHeight="1" x14ac:dyDescent="0.25">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ustomHeight="1" x14ac:dyDescent="0.25">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ustomHeight="1" x14ac:dyDescent="0.25">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ustomHeight="1" x14ac:dyDescent="0.25">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ustomHeight="1" x14ac:dyDescent="0.25">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ustomHeight="1" x14ac:dyDescent="0.25">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ustomHeight="1" x14ac:dyDescent="0.25">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ustomHeight="1" x14ac:dyDescent="0.25">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ustomHeight="1" x14ac:dyDescent="0.2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ustomHeight="1" x14ac:dyDescent="0.25">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ustomHeight="1" x14ac:dyDescent="0.25">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ustomHeight="1" x14ac:dyDescent="0.25">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ustomHeight="1" x14ac:dyDescent="0.25">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ustomHeight="1" x14ac:dyDescent="0.25">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ustomHeight="1" x14ac:dyDescent="0.25">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ustomHeight="1" x14ac:dyDescent="0.25">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ustomHeight="1" x14ac:dyDescent="0.25">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ustomHeight="1" x14ac:dyDescent="0.25">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ustomHeight="1" x14ac:dyDescent="0.2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ustomHeight="1" x14ac:dyDescent="0.25">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ustomHeight="1" x14ac:dyDescent="0.25">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ustomHeight="1" x14ac:dyDescent="0.25">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ustomHeight="1" x14ac:dyDescent="0.25">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ustomHeight="1" x14ac:dyDescent="0.25">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ustomHeight="1" x14ac:dyDescent="0.25">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ustomHeight="1" x14ac:dyDescent="0.25">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ustomHeight="1" x14ac:dyDescent="0.25">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ustomHeight="1" x14ac:dyDescent="0.25">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ustomHeight="1" x14ac:dyDescent="0.2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ustomHeight="1" x14ac:dyDescent="0.25">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ustomHeight="1" x14ac:dyDescent="0.25">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ustomHeight="1" x14ac:dyDescent="0.25">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ustomHeight="1" x14ac:dyDescent="0.25">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ustomHeight="1" x14ac:dyDescent="0.25">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ustomHeight="1" x14ac:dyDescent="0.25">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ustomHeight="1" x14ac:dyDescent="0.25">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ustomHeight="1" x14ac:dyDescent="0.25">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ustomHeight="1" x14ac:dyDescent="0.25">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ustomHeight="1" x14ac:dyDescent="0.2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ustomHeight="1" x14ac:dyDescent="0.25">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ustomHeight="1" x14ac:dyDescent="0.25">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ustomHeight="1" x14ac:dyDescent="0.25">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ustomHeight="1" x14ac:dyDescent="0.25">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ustomHeight="1" x14ac:dyDescent="0.25">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ustomHeight="1" x14ac:dyDescent="0.25">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ustomHeight="1" x14ac:dyDescent="0.25">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ustomHeight="1" x14ac:dyDescent="0.25">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ustomHeight="1" x14ac:dyDescent="0.25">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ustomHeight="1" x14ac:dyDescent="0.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ustomHeight="1" x14ac:dyDescent="0.25">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ustomHeight="1" x14ac:dyDescent="0.25">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ustomHeight="1" x14ac:dyDescent="0.25">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ustomHeight="1" x14ac:dyDescent="0.25">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ustomHeight="1" x14ac:dyDescent="0.25">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ustomHeight="1" x14ac:dyDescent="0.25">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ustomHeight="1" x14ac:dyDescent="0.25">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ustomHeight="1" x14ac:dyDescent="0.25">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ustomHeight="1" x14ac:dyDescent="0.25">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ustomHeight="1" x14ac:dyDescent="0.2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ustomHeight="1" x14ac:dyDescent="0.25">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ustomHeight="1" x14ac:dyDescent="0.25">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ustomHeight="1" x14ac:dyDescent="0.25">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ustomHeight="1" x14ac:dyDescent="0.25">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ustomHeight="1" x14ac:dyDescent="0.25">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ustomHeight="1" x14ac:dyDescent="0.25">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ustomHeight="1" x14ac:dyDescent="0.25">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ustomHeight="1" x14ac:dyDescent="0.25">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ustomHeight="1" x14ac:dyDescent="0.25">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ustomHeight="1" x14ac:dyDescent="0.2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ustomHeight="1" x14ac:dyDescent="0.25">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ustomHeight="1" x14ac:dyDescent="0.25">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ustomHeight="1" x14ac:dyDescent="0.25">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ustomHeight="1" x14ac:dyDescent="0.25">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ustomHeight="1" x14ac:dyDescent="0.25">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ustomHeight="1" x14ac:dyDescent="0.25">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ustomHeight="1" x14ac:dyDescent="0.25">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ustomHeight="1" x14ac:dyDescent="0.25">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ustomHeight="1" x14ac:dyDescent="0.25">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ustomHeight="1" x14ac:dyDescent="0.2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ustomHeight="1" x14ac:dyDescent="0.25">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ustomHeight="1" x14ac:dyDescent="0.25">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ustomHeight="1" x14ac:dyDescent="0.25">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ustomHeight="1" x14ac:dyDescent="0.25">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ustomHeight="1" x14ac:dyDescent="0.25">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ustomHeight="1" x14ac:dyDescent="0.25">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ustomHeight="1" x14ac:dyDescent="0.25">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ustomHeight="1" x14ac:dyDescent="0.25">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ustomHeight="1" x14ac:dyDescent="0.25">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ustomHeight="1" x14ac:dyDescent="0.2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ustomHeight="1" x14ac:dyDescent="0.2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ustomHeight="1" x14ac:dyDescent="0.2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ustomHeight="1" x14ac:dyDescent="0.2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ustomHeight="1" x14ac:dyDescent="0.2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ustomHeight="1" x14ac:dyDescent="0.2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ustomHeight="1" x14ac:dyDescent="0.2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ustomHeight="1" x14ac:dyDescent="0.2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ustomHeight="1" x14ac:dyDescent="0.2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ustomHeight="1" x14ac:dyDescent="0.2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ustomHeight="1" x14ac:dyDescent="0.2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ustomHeight="1" x14ac:dyDescent="0.2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ustomHeight="1" x14ac:dyDescent="0.2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ustomHeight="1" x14ac:dyDescent="0.2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ustomHeight="1" x14ac:dyDescent="0.2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ustomHeight="1" x14ac:dyDescent="0.2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ustomHeight="1" x14ac:dyDescent="0.2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ustomHeight="1" x14ac:dyDescent="0.2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ustomHeight="1" x14ac:dyDescent="0.2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ustomHeight="1" x14ac:dyDescent="0.2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ustomHeight="1" x14ac:dyDescent="0.2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ustomHeight="1" x14ac:dyDescent="0.2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ustomHeight="1" x14ac:dyDescent="0.2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ustomHeight="1" x14ac:dyDescent="0.25">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ustomHeight="1" x14ac:dyDescent="0.25">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ustomHeight="1" x14ac:dyDescent="0.25">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ustomHeight="1" x14ac:dyDescent="0.25">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ustomHeight="1" x14ac:dyDescent="0.25">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ustomHeight="1" x14ac:dyDescent="0.25">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ustomHeight="1" x14ac:dyDescent="0.25">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ustomHeight="1" x14ac:dyDescent="0.2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ustomHeight="1" x14ac:dyDescent="0.25">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ustomHeight="1" x14ac:dyDescent="0.25">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ustomHeight="1" x14ac:dyDescent="0.25">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ustomHeight="1" x14ac:dyDescent="0.25">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ustomHeight="1" x14ac:dyDescent="0.25">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ustomHeight="1" x14ac:dyDescent="0.25">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ustomHeight="1" x14ac:dyDescent="0.25">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ustomHeight="1" x14ac:dyDescent="0.25">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ustomHeight="1" x14ac:dyDescent="0.25">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ustomHeight="1" x14ac:dyDescent="0.2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ustomHeight="1" x14ac:dyDescent="0.25">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ustomHeight="1" x14ac:dyDescent="0.25">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ustomHeight="1" x14ac:dyDescent="0.25">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ustomHeight="1" x14ac:dyDescent="0.25">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ustomHeight="1" x14ac:dyDescent="0.25">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ustomHeight="1" x14ac:dyDescent="0.25">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ustomHeight="1" x14ac:dyDescent="0.25">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ustomHeight="1" x14ac:dyDescent="0.25">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ustomHeight="1" x14ac:dyDescent="0.25">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ustomHeight="1" x14ac:dyDescent="0.2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ustomHeight="1" x14ac:dyDescent="0.25">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ustomHeight="1" x14ac:dyDescent="0.25">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ustomHeight="1" x14ac:dyDescent="0.25">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ustomHeight="1" x14ac:dyDescent="0.25">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ustomHeight="1" x14ac:dyDescent="0.25">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ustomHeight="1" x14ac:dyDescent="0.25">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ustomHeight="1" x14ac:dyDescent="0.25">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ustomHeight="1" x14ac:dyDescent="0.25">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ustomHeight="1" x14ac:dyDescent="0.25">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ustomHeight="1" x14ac:dyDescent="0.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ustomHeight="1" x14ac:dyDescent="0.25">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ustomHeight="1" x14ac:dyDescent="0.25">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ustomHeight="1" x14ac:dyDescent="0.25">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ustomHeight="1" x14ac:dyDescent="0.25">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ustomHeight="1" x14ac:dyDescent="0.25">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ustomHeight="1" x14ac:dyDescent="0.25">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ustomHeight="1" x14ac:dyDescent="0.25">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ustomHeight="1" x14ac:dyDescent="0.25">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ustomHeight="1" x14ac:dyDescent="0.25">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ustomHeight="1" x14ac:dyDescent="0.2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ustomHeight="1" x14ac:dyDescent="0.25">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ustomHeight="1" x14ac:dyDescent="0.25">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ustomHeight="1" x14ac:dyDescent="0.25">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ustomHeight="1" x14ac:dyDescent="0.25">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ustomHeight="1" x14ac:dyDescent="0.25">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ustomHeight="1" x14ac:dyDescent="0.25">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ustomHeight="1" x14ac:dyDescent="0.25">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ustomHeight="1" x14ac:dyDescent="0.25">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ustomHeight="1" x14ac:dyDescent="0.25">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ustomHeight="1" x14ac:dyDescent="0.2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ustomHeight="1" x14ac:dyDescent="0.25">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ustomHeight="1" x14ac:dyDescent="0.25">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ustomHeight="1" x14ac:dyDescent="0.25">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ustomHeight="1" x14ac:dyDescent="0.25">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ustomHeight="1" x14ac:dyDescent="0.25">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ustomHeight="1" x14ac:dyDescent="0.25">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ustomHeight="1" x14ac:dyDescent="0.25">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ustomHeight="1" x14ac:dyDescent="0.25">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ustomHeight="1" x14ac:dyDescent="0.25">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ustomHeight="1" x14ac:dyDescent="0.2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ustomHeight="1" x14ac:dyDescent="0.25">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ustomHeight="1" x14ac:dyDescent="0.25">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ustomHeight="1" x14ac:dyDescent="0.25">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ustomHeight="1" x14ac:dyDescent="0.25">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ustomHeight="1" x14ac:dyDescent="0.25">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ustomHeight="1" x14ac:dyDescent="0.25">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ustomHeight="1" x14ac:dyDescent="0.25">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ustomHeight="1" x14ac:dyDescent="0.25">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ustomHeight="1" x14ac:dyDescent="0.25">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ustomHeight="1" x14ac:dyDescent="0.2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ustomHeight="1" x14ac:dyDescent="0.25">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ustomHeight="1" x14ac:dyDescent="0.25">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ustomHeight="1" x14ac:dyDescent="0.25">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ustomHeight="1" x14ac:dyDescent="0.25">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ustomHeight="1" x14ac:dyDescent="0.25">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ustomHeight="1" x14ac:dyDescent="0.25">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ustomHeight="1" x14ac:dyDescent="0.25">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ustomHeight="1" x14ac:dyDescent="0.25">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ustomHeight="1" x14ac:dyDescent="0.25">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ustomHeight="1" x14ac:dyDescent="0.2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ustomHeight="1" x14ac:dyDescent="0.25">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ustomHeight="1" x14ac:dyDescent="0.25">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ustomHeight="1" x14ac:dyDescent="0.25">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ustomHeight="1" x14ac:dyDescent="0.25">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ustomHeight="1" x14ac:dyDescent="0.25">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ustomHeight="1" x14ac:dyDescent="0.25">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ustomHeight="1" x14ac:dyDescent="0.25">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ustomHeight="1" x14ac:dyDescent="0.25">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ustomHeight="1" x14ac:dyDescent="0.25">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ustomHeight="1" x14ac:dyDescent="0.2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ustomHeight="1" x14ac:dyDescent="0.25">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ustomHeight="1" x14ac:dyDescent="0.25">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ustomHeight="1" x14ac:dyDescent="0.25">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ustomHeight="1" x14ac:dyDescent="0.25">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ustomHeight="1" x14ac:dyDescent="0.25">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ustomHeight="1" x14ac:dyDescent="0.25">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ustomHeight="1" x14ac:dyDescent="0.25">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5.75" customHeight="1" x14ac:dyDescent="0.25">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5.75" customHeight="1" x14ac:dyDescent="0.25">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5.75" customHeight="1" x14ac:dyDescent="0.2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5.75" customHeight="1" x14ac:dyDescent="0.25">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5.75" customHeight="1" x14ac:dyDescent="0.25">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5.75" customHeight="1" x14ac:dyDescent="0.25">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5.75" customHeight="1" x14ac:dyDescent="0.25">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5.75" customHeight="1" x14ac:dyDescent="0.25">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
    <mergeCell ref="A1:G1"/>
    <mergeCell ref="A2:G2"/>
    <mergeCell ref="B4:B5"/>
    <mergeCell ref="C4:C5"/>
    <mergeCell ref="D4:D5"/>
    <mergeCell ref="F4:G4"/>
    <mergeCell ref="A4:A5"/>
  </mergeCells>
  <pageMargins left="0.7" right="0.7" top="0.75" bottom="0.75" header="0" footer="0"/>
  <pageSetup paperSize="9" scale="95" orientation="landscape" horizontalDpi="4294967295" verticalDpi="4294967295" r:id="rId1"/>
  <ignoredErrors>
    <ignoredError sqref="D7:D15"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R63"/>
  <sheetViews>
    <sheetView view="pageBreakPreview" zoomScale="60" zoomScaleNormal="100" workbookViewId="0">
      <selection activeCell="Q53" sqref="Q53"/>
    </sheetView>
  </sheetViews>
  <sheetFormatPr defaultColWidth="14.42578125" defaultRowHeight="15" customHeight="1" x14ac:dyDescent="0.25"/>
  <cols>
    <col min="1" max="1" width="10.42578125" customWidth="1"/>
    <col min="2" max="10" width="11" customWidth="1"/>
    <col min="11" max="11" width="6.7109375" hidden="1" customWidth="1"/>
    <col min="12" max="13" width="8" hidden="1" customWidth="1"/>
    <col min="14" max="14" width="1.140625" customWidth="1"/>
    <col min="15" max="44" width="8" customWidth="1"/>
  </cols>
  <sheetData>
    <row r="1" spans="1:44" ht="21" customHeight="1" x14ac:dyDescent="0.55000000000000004">
      <c r="A1" s="796" t="s">
        <v>136</v>
      </c>
      <c r="B1" s="797"/>
      <c r="C1" s="797"/>
      <c r="D1" s="797"/>
      <c r="E1" s="797"/>
      <c r="F1" s="797"/>
      <c r="G1" s="797"/>
      <c r="H1" s="797"/>
      <c r="I1" s="797"/>
      <c r="J1" s="798"/>
      <c r="K1" s="1"/>
      <c r="L1" s="1"/>
      <c r="M1" s="8"/>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804" t="s">
        <v>137</v>
      </c>
      <c r="B2" s="797"/>
      <c r="C2" s="797"/>
      <c r="D2" s="797"/>
      <c r="E2" s="797"/>
      <c r="F2" s="797"/>
      <c r="G2" s="797"/>
      <c r="H2" s="797"/>
      <c r="I2" s="797"/>
      <c r="J2" s="798"/>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x14ac:dyDescent="0.25">
      <c r="A4" s="805" t="s">
        <v>120</v>
      </c>
      <c r="B4" s="3"/>
      <c r="C4" s="12" t="s">
        <v>121</v>
      </c>
      <c r="D4" s="14"/>
      <c r="E4" s="801" t="s">
        <v>138</v>
      </c>
      <c r="F4" s="808"/>
      <c r="G4" s="800"/>
      <c r="H4" s="15"/>
      <c r="I4" s="16" t="s">
        <v>23</v>
      </c>
      <c r="J4" s="16"/>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x14ac:dyDescent="0.25">
      <c r="A5" s="806"/>
      <c r="B5" s="17" t="s">
        <v>111</v>
      </c>
      <c r="C5" s="17" t="s">
        <v>24</v>
      </c>
      <c r="D5" s="18" t="s">
        <v>25</v>
      </c>
      <c r="E5" s="17" t="s">
        <v>111</v>
      </c>
      <c r="F5" s="17" t="s">
        <v>24</v>
      </c>
      <c r="G5" s="18" t="s">
        <v>25</v>
      </c>
      <c r="H5" s="17" t="s">
        <v>111</v>
      </c>
      <c r="I5" s="17" t="s">
        <v>24</v>
      </c>
      <c r="J5" s="17" t="s">
        <v>25</v>
      </c>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spans="1:44" ht="21" customHeight="1" x14ac:dyDescent="0.55000000000000004">
      <c r="A6" s="807"/>
      <c r="B6" s="19" t="s">
        <v>13</v>
      </c>
      <c r="C6" s="19" t="s">
        <v>15</v>
      </c>
      <c r="D6" s="20" t="s">
        <v>139</v>
      </c>
      <c r="E6" s="19" t="s">
        <v>13</v>
      </c>
      <c r="F6" s="19" t="s">
        <v>15</v>
      </c>
      <c r="G6" s="20" t="s">
        <v>139</v>
      </c>
      <c r="H6" s="19" t="s">
        <v>13</v>
      </c>
      <c r="I6" s="19" t="s">
        <v>15</v>
      </c>
      <c r="J6" s="21" t="s">
        <v>139</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row>
    <row r="7" spans="1:44" ht="26.25" customHeight="1" x14ac:dyDescent="0.25">
      <c r="A7" s="11">
        <v>2010</v>
      </c>
      <c r="B7" s="2">
        <f t="shared" ref="B7:B15" si="0">SUM(C7:D7)</f>
        <v>30269</v>
      </c>
      <c r="C7" s="2">
        <v>19298</v>
      </c>
      <c r="D7" s="22">
        <v>10971</v>
      </c>
      <c r="E7" s="23">
        <f t="shared" ref="E7:E15" si="1">SUM(F7:G7)</f>
        <v>252</v>
      </c>
      <c r="F7" s="2">
        <v>119</v>
      </c>
      <c r="G7" s="22">
        <v>133</v>
      </c>
      <c r="H7" s="23">
        <f t="shared" ref="H7:J7" si="2">B7+E7</f>
        <v>30521</v>
      </c>
      <c r="I7" s="2">
        <f t="shared" si="2"/>
        <v>19417</v>
      </c>
      <c r="J7" s="24">
        <f t="shared" si="2"/>
        <v>11104</v>
      </c>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row>
    <row r="8" spans="1:44" ht="26.25" customHeight="1" x14ac:dyDescent="0.25">
      <c r="A8" s="11">
        <v>2011</v>
      </c>
      <c r="B8" s="2">
        <f t="shared" si="0"/>
        <v>21053</v>
      </c>
      <c r="C8" s="2">
        <v>13667</v>
      </c>
      <c r="D8" s="22">
        <v>7386</v>
      </c>
      <c r="E8" s="25">
        <f t="shared" si="1"/>
        <v>37950</v>
      </c>
      <c r="F8" s="2">
        <v>29781</v>
      </c>
      <c r="G8" s="22">
        <v>8169</v>
      </c>
      <c r="H8" s="25">
        <f t="shared" ref="H8:J8" si="3">B8+E8</f>
        <v>59003</v>
      </c>
      <c r="I8" s="2">
        <f t="shared" si="3"/>
        <v>43448</v>
      </c>
      <c r="J8" s="2">
        <f t="shared" si="3"/>
        <v>15555</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spans="1:44" ht="26.25" customHeight="1" x14ac:dyDescent="0.25">
      <c r="A9" s="11">
        <v>2012</v>
      </c>
      <c r="B9" s="2">
        <f t="shared" si="0"/>
        <v>31653</v>
      </c>
      <c r="C9" s="2">
        <v>18242</v>
      </c>
      <c r="D9" s="22">
        <v>13411</v>
      </c>
      <c r="E9" s="25">
        <f t="shared" si="1"/>
        <v>37152</v>
      </c>
      <c r="F9" s="2">
        <v>30036</v>
      </c>
      <c r="G9" s="22">
        <v>7116</v>
      </c>
      <c r="H9" s="25">
        <f t="shared" ref="H9:J9" si="4">B9+E9</f>
        <v>68805</v>
      </c>
      <c r="I9" s="2">
        <f t="shared" si="4"/>
        <v>48278</v>
      </c>
      <c r="J9" s="2">
        <f t="shared" si="4"/>
        <v>20527</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row>
    <row r="10" spans="1:44" ht="26.25" customHeight="1" x14ac:dyDescent="0.25">
      <c r="A10" s="11">
        <v>2013</v>
      </c>
      <c r="B10" s="2">
        <f t="shared" si="0"/>
        <v>30162</v>
      </c>
      <c r="C10" s="2">
        <v>17816</v>
      </c>
      <c r="D10" s="22">
        <v>12346</v>
      </c>
      <c r="E10" s="25">
        <f t="shared" si="1"/>
        <v>39299</v>
      </c>
      <c r="F10" s="2">
        <v>31644</v>
      </c>
      <c r="G10" s="22">
        <v>7655</v>
      </c>
      <c r="H10" s="25">
        <f t="shared" ref="H10:J10" si="5">B10+E10</f>
        <v>69461</v>
      </c>
      <c r="I10" s="2">
        <f t="shared" si="5"/>
        <v>49460</v>
      </c>
      <c r="J10" s="2">
        <f t="shared" si="5"/>
        <v>20001</v>
      </c>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row>
    <row r="11" spans="1:44" ht="26.25" customHeight="1" x14ac:dyDescent="0.25">
      <c r="A11" s="11">
        <v>2014</v>
      </c>
      <c r="B11" s="2">
        <f t="shared" si="0"/>
        <v>32279</v>
      </c>
      <c r="C11" s="2">
        <v>18475</v>
      </c>
      <c r="D11" s="22">
        <v>13804</v>
      </c>
      <c r="E11" s="25">
        <f t="shared" si="1"/>
        <v>42570</v>
      </c>
      <c r="F11" s="2">
        <v>34087</v>
      </c>
      <c r="G11" s="22">
        <v>8483</v>
      </c>
      <c r="H11" s="25">
        <f t="shared" ref="H11:J11" si="6">B11+E11</f>
        <v>74849</v>
      </c>
      <c r="I11" s="2">
        <f t="shared" si="6"/>
        <v>52562</v>
      </c>
      <c r="J11" s="2">
        <f t="shared" si="6"/>
        <v>22287</v>
      </c>
      <c r="K11" s="1"/>
      <c r="L11" s="1"/>
      <c r="M11" s="1"/>
      <c r="N11" s="1"/>
      <c r="O11" s="1"/>
      <c r="P11" s="1"/>
      <c r="Q11" s="1"/>
      <c r="R11" s="1"/>
      <c r="S11" s="1"/>
      <c r="T11" s="1"/>
      <c r="U11" s="1"/>
      <c r="V11" s="1"/>
      <c r="W11" s="1"/>
      <c r="X11" s="1"/>
      <c r="Y11" s="1"/>
      <c r="Z11" s="1"/>
      <c r="AA11" s="1"/>
      <c r="AB11" s="1"/>
      <c r="AC11" s="1"/>
      <c r="AD11" s="1"/>
      <c r="AE11" s="1"/>
      <c r="AF11" s="1">
        <v>18475</v>
      </c>
      <c r="AG11" s="1">
        <v>13804</v>
      </c>
      <c r="AH11" s="1">
        <v>34087</v>
      </c>
      <c r="AI11" s="1">
        <v>8483</v>
      </c>
      <c r="AJ11" s="1">
        <v>52562</v>
      </c>
      <c r="AK11" s="1">
        <v>22287</v>
      </c>
      <c r="AL11" s="1"/>
      <c r="AM11" s="1"/>
      <c r="AN11" s="1"/>
      <c r="AO11" s="1"/>
      <c r="AP11" s="1"/>
      <c r="AQ11" s="1"/>
      <c r="AR11" s="1"/>
    </row>
    <row r="12" spans="1:44" ht="26.25" customHeight="1" x14ac:dyDescent="0.25">
      <c r="A12" s="11">
        <v>2015</v>
      </c>
      <c r="B12" s="2">
        <f t="shared" si="0"/>
        <v>35813</v>
      </c>
      <c r="C12" s="2">
        <v>19810</v>
      </c>
      <c r="D12" s="22">
        <v>16003</v>
      </c>
      <c r="E12" s="25">
        <f t="shared" si="1"/>
        <v>46109</v>
      </c>
      <c r="F12" s="2">
        <v>36441</v>
      </c>
      <c r="G12" s="22">
        <v>9668</v>
      </c>
      <c r="H12" s="25">
        <f t="shared" ref="H12:J12" si="7">B12+E12</f>
        <v>81922</v>
      </c>
      <c r="I12" s="2">
        <f t="shared" si="7"/>
        <v>56251</v>
      </c>
      <c r="J12" s="2">
        <f t="shared" si="7"/>
        <v>25671</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spans="1:44" ht="26.25" customHeight="1" x14ac:dyDescent="0.25">
      <c r="A13" s="11">
        <v>2016</v>
      </c>
      <c r="B13" s="2">
        <f t="shared" si="0"/>
        <v>31447</v>
      </c>
      <c r="C13" s="2">
        <v>16984</v>
      </c>
      <c r="D13" s="22">
        <v>14463</v>
      </c>
      <c r="E13" s="25">
        <f t="shared" si="1"/>
        <v>48282</v>
      </c>
      <c r="F13" s="2">
        <v>37995</v>
      </c>
      <c r="G13" s="22">
        <v>10287</v>
      </c>
      <c r="H13" s="25">
        <f t="shared" ref="H13:J13" si="8">B13+E13</f>
        <v>79729</v>
      </c>
      <c r="I13" s="2">
        <f t="shared" si="8"/>
        <v>54979</v>
      </c>
      <c r="J13" s="2">
        <f t="shared" si="8"/>
        <v>24750</v>
      </c>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26.25" customHeight="1" x14ac:dyDescent="0.25">
      <c r="A14" s="11">
        <v>2017</v>
      </c>
      <c r="B14" s="2">
        <f t="shared" si="0"/>
        <v>36625</v>
      </c>
      <c r="C14" s="2">
        <v>19661</v>
      </c>
      <c r="D14" s="22">
        <v>16964</v>
      </c>
      <c r="E14" s="25">
        <f t="shared" si="1"/>
        <v>52091</v>
      </c>
      <c r="F14" s="2">
        <v>40679</v>
      </c>
      <c r="G14" s="22">
        <v>11412</v>
      </c>
      <c r="H14" s="25">
        <f t="shared" ref="H14:J14" si="9">B14+E14</f>
        <v>88716</v>
      </c>
      <c r="I14" s="2">
        <f t="shared" si="9"/>
        <v>60340</v>
      </c>
      <c r="J14" s="2">
        <f t="shared" si="9"/>
        <v>28376</v>
      </c>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26.25" customHeight="1" x14ac:dyDescent="0.25">
      <c r="A15" s="13">
        <v>2018</v>
      </c>
      <c r="B15" s="4">
        <f t="shared" si="0"/>
        <v>40066</v>
      </c>
      <c r="C15" s="93">
        <v>20879</v>
      </c>
      <c r="D15" s="312">
        <v>19187</v>
      </c>
      <c r="E15" s="313">
        <f t="shared" si="1"/>
        <v>55021</v>
      </c>
      <c r="F15" s="93">
        <v>42475</v>
      </c>
      <c r="G15" s="312">
        <v>12546</v>
      </c>
      <c r="H15" s="313">
        <f t="shared" ref="H15:J15" si="10">B15+E15</f>
        <v>95087</v>
      </c>
      <c r="I15" s="4">
        <f t="shared" si="10"/>
        <v>63354</v>
      </c>
      <c r="J15" s="4">
        <f t="shared" si="10"/>
        <v>31733</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row>
    <row r="16" spans="1:44" ht="18" customHeight="1" x14ac:dyDescent="0.45">
      <c r="A16" s="5" t="s">
        <v>57</v>
      </c>
      <c r="B16" s="5"/>
      <c r="C16" s="1"/>
      <c r="D16" s="1"/>
      <c r="E16" s="1"/>
      <c r="F16" s="1"/>
      <c r="G16" s="1"/>
      <c r="H16" s="1"/>
      <c r="I16" s="1"/>
      <c r="J16" s="6" t="s">
        <v>58</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row>
    <row r="17" spans="1:44" x14ac:dyDescent="0.25">
      <c r="A17" s="1"/>
      <c r="B17" s="1"/>
      <c r="C17" s="1"/>
      <c r="D17" s="7"/>
      <c r="E17" s="7"/>
      <c r="F17" s="1"/>
      <c r="G17" s="7"/>
      <c r="H17" s="7"/>
      <c r="I17" s="1"/>
      <c r="J17" s="7"/>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row>
    <row r="18" spans="1:44" x14ac:dyDescent="0.25">
      <c r="A18" s="1"/>
      <c r="B18" s="1"/>
      <c r="C18" s="1"/>
      <c r="D18" s="10"/>
      <c r="E18" s="10"/>
      <c r="F18" s="1"/>
      <c r="G18" s="10"/>
      <c r="H18" s="10"/>
      <c r="I18" s="1"/>
      <c r="J18" s="10"/>
      <c r="K18" s="1"/>
      <c r="L18" s="1"/>
      <c r="M18" s="1"/>
      <c r="N18" s="1"/>
      <c r="O18" s="1"/>
      <c r="P18" s="1"/>
      <c r="Q18" s="1"/>
      <c r="R18" s="1"/>
      <c r="S18" s="314"/>
      <c r="T18" s="1"/>
      <c r="U18" s="1"/>
      <c r="V18" s="1"/>
      <c r="W18" s="1"/>
      <c r="X18" s="1"/>
      <c r="Y18" s="1"/>
      <c r="Z18" s="1"/>
      <c r="AA18" s="1"/>
      <c r="AB18" s="1"/>
      <c r="AC18" s="1"/>
      <c r="AD18" s="1"/>
      <c r="AE18" s="1"/>
      <c r="AF18" s="1"/>
      <c r="AG18" s="1">
        <v>2018</v>
      </c>
      <c r="AH18" s="1"/>
      <c r="AI18" s="1"/>
      <c r="AJ18" s="1"/>
      <c r="AK18" s="1"/>
      <c r="AL18" s="1"/>
      <c r="AM18" s="1"/>
      <c r="AN18" s="1"/>
      <c r="AO18" s="1"/>
      <c r="AP18" s="1"/>
      <c r="AQ18" s="1"/>
      <c r="AR18" s="1"/>
    </row>
    <row r="19" spans="1:44"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799" t="s">
        <v>121</v>
      </c>
      <c r="AH19" s="800"/>
      <c r="AI19" s="801" t="s">
        <v>138</v>
      </c>
      <c r="AJ19" s="800"/>
      <c r="AK19" s="802" t="s">
        <v>23</v>
      </c>
      <c r="AL19" s="803"/>
      <c r="AM19" s="1"/>
      <c r="AN19" s="1"/>
      <c r="AO19" s="1"/>
      <c r="AP19" s="1"/>
      <c r="AQ19" s="1"/>
      <c r="AR19" s="1"/>
    </row>
    <row r="20" spans="1:44"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7" t="s">
        <v>140</v>
      </c>
      <c r="AH20" s="26" t="s">
        <v>141</v>
      </c>
      <c r="AI20" s="17" t="s">
        <v>140</v>
      </c>
      <c r="AJ20" s="26" t="s">
        <v>141</v>
      </c>
      <c r="AK20" s="17" t="s">
        <v>140</v>
      </c>
      <c r="AL20" s="27" t="s">
        <v>141</v>
      </c>
      <c r="AM20" s="1"/>
      <c r="AN20" s="1"/>
      <c r="AO20" s="1"/>
      <c r="AP20" s="1"/>
      <c r="AQ20" s="1" t="s">
        <v>24</v>
      </c>
      <c r="AR20" s="1" t="s">
        <v>25</v>
      </c>
    </row>
    <row r="21" spans="1:4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7">
        <f>C15</f>
        <v>20879</v>
      </c>
      <c r="AH21" s="7">
        <f>D15</f>
        <v>19187</v>
      </c>
      <c r="AI21" s="7">
        <f>F15</f>
        <v>42475</v>
      </c>
      <c r="AJ21" s="7">
        <f>G15</f>
        <v>12546</v>
      </c>
      <c r="AK21" s="7">
        <f>I15</f>
        <v>63354</v>
      </c>
      <c r="AL21" s="7">
        <f>J15</f>
        <v>31733</v>
      </c>
      <c r="AM21" s="1"/>
      <c r="AN21" s="1"/>
      <c r="AO21" s="1"/>
      <c r="AP21" s="1"/>
      <c r="AQ21" s="9">
        <f>AK21/AL22*100</f>
        <v>66.627404377044186</v>
      </c>
      <c r="AR21" s="9">
        <f>AL21/AL22*100</f>
        <v>33.372595622955821</v>
      </c>
    </row>
    <row r="22" spans="1:4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t="s">
        <v>142</v>
      </c>
      <c r="AH22" s="7">
        <f>SUM(AG21:AH21)</f>
        <v>40066</v>
      </c>
      <c r="AI22" s="1"/>
      <c r="AJ22" s="7">
        <f>SUM(AI21:AJ21)</f>
        <v>55021</v>
      </c>
      <c r="AK22" s="1"/>
      <c r="AL22" s="7">
        <f>SUM(AK21:AL21)</f>
        <v>95087</v>
      </c>
      <c r="AM22" s="1"/>
      <c r="AN22" s="1"/>
      <c r="AO22" s="1"/>
      <c r="AP22" s="1"/>
      <c r="AQ22" s="1"/>
      <c r="AR22" s="1"/>
    </row>
    <row r="23" spans="1:4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t="s">
        <v>143</v>
      </c>
      <c r="AH23" s="28">
        <f>AH21/AH22*100</f>
        <v>47.8884840013977</v>
      </c>
      <c r="AI23" s="28"/>
      <c r="AJ23" s="28">
        <f>AJ21/AJ22*100</f>
        <v>22.802202795296342</v>
      </c>
      <c r="AK23" s="28"/>
      <c r="AL23" s="28">
        <f>AL21/AL22*100</f>
        <v>33.372595622955821</v>
      </c>
      <c r="AM23" s="1"/>
      <c r="AN23" s="1"/>
      <c r="AO23" s="1"/>
      <c r="AP23" s="1"/>
      <c r="AQ23" s="1"/>
      <c r="AR23" s="1"/>
    </row>
    <row r="24" spans="1:4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t="s">
        <v>144</v>
      </c>
      <c r="AI24" s="1"/>
      <c r="AJ24" s="1"/>
      <c r="AK24" s="1"/>
      <c r="AL24" s="1"/>
      <c r="AM24" s="1"/>
      <c r="AN24" s="1"/>
      <c r="AO24" s="1"/>
      <c r="AP24" s="1"/>
      <c r="AQ24" s="1"/>
      <c r="AR24" s="1"/>
    </row>
    <row r="25" spans="1:4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t="s">
        <v>121</v>
      </c>
      <c r="AH25" s="10">
        <f>AH23</f>
        <v>47.8884840013977</v>
      </c>
      <c r="AI25" s="1"/>
      <c r="AJ25" s="1"/>
      <c r="AK25" s="1"/>
      <c r="AL25" s="1"/>
      <c r="AM25" s="1"/>
      <c r="AN25" s="1"/>
      <c r="AO25" s="1"/>
      <c r="AP25" s="1"/>
      <c r="AQ25" s="1"/>
      <c r="AR25" s="1"/>
    </row>
    <row r="26" spans="1:4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t="s">
        <v>138</v>
      </c>
      <c r="AH26" s="10">
        <f>AJ23</f>
        <v>22.802202795296342</v>
      </c>
      <c r="AI26" s="1"/>
      <c r="AJ26" s="1"/>
      <c r="AK26" s="1"/>
      <c r="AL26" s="1"/>
      <c r="AM26" s="1"/>
      <c r="AN26" s="1"/>
      <c r="AO26" s="1"/>
      <c r="AP26" s="1"/>
      <c r="AQ26" s="1"/>
      <c r="AR26" s="1"/>
    </row>
    <row r="27" spans="1:4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t="s">
        <v>23</v>
      </c>
      <c r="AH27" s="28">
        <f>AL23</f>
        <v>33.372595622955821</v>
      </c>
      <c r="AI27" s="1"/>
      <c r="AJ27" s="1"/>
      <c r="AK27" s="1"/>
      <c r="AL27" s="1"/>
      <c r="AM27" s="1"/>
      <c r="AN27" s="1"/>
      <c r="AO27" s="1"/>
      <c r="AP27" s="1"/>
      <c r="AQ27" s="1"/>
      <c r="AR27" s="1"/>
    </row>
    <row r="28" spans="1:4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spans="1:4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spans="1:4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spans="1:4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spans="1:44"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spans="1:44"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spans="1:44"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spans="1:44"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spans="1:4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spans="1:4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spans="1:4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spans="1:4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spans="1:4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spans="1:4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spans="1:4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spans="1:4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44"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spans="1:44"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spans="1:44"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spans="1:44"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spans="1:44"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spans="1:44"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spans="1:44"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spans="1:44"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spans="1:44"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spans="1:44"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spans="1:44"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spans="1:44"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spans="1:44"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spans="1:44"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spans="1:44"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row>
  </sheetData>
  <mergeCells count="7">
    <mergeCell ref="A1:J1"/>
    <mergeCell ref="AG19:AH19"/>
    <mergeCell ref="AI19:AJ19"/>
    <mergeCell ref="AK19:AL19"/>
    <mergeCell ref="A2:J2"/>
    <mergeCell ref="A4:A6"/>
    <mergeCell ref="E4:G4"/>
  </mergeCells>
  <pageMargins left="0.7" right="0.7" top="0.75" bottom="0.75" header="0" footer="0"/>
  <pageSetup paperSize="9" scale="83" orientation="landscape" horizontalDpi="4294967295" verticalDpi="4294967295" r:id="rId1"/>
  <rowBreaks count="1" manualBreakCount="1">
    <brk id="32" max="1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72"/>
  <sheetViews>
    <sheetView zoomScaleNormal="100" zoomScaleSheetLayoutView="35" workbookViewId="0">
      <selection activeCell="S69" sqref="S69"/>
    </sheetView>
  </sheetViews>
  <sheetFormatPr defaultColWidth="14.42578125" defaultRowHeight="15" customHeight="1" x14ac:dyDescent="0.25"/>
  <cols>
    <col min="1" max="1" width="37.28515625" style="31" customWidth="1"/>
    <col min="2" max="2" width="8" style="31" customWidth="1"/>
    <col min="3" max="3" width="8.5703125" style="31" customWidth="1"/>
    <col min="4" max="4" width="10.140625" style="31" customWidth="1"/>
    <col min="5" max="5" width="9.7109375" style="31" customWidth="1"/>
    <col min="6" max="8" width="8.85546875" style="31" customWidth="1"/>
    <col min="9" max="9" width="41.7109375" style="31" customWidth="1"/>
    <col min="10" max="10" width="4.140625" style="31" customWidth="1"/>
    <col min="11" max="24" width="8" style="31" customWidth="1"/>
    <col min="25" max="25" width="40.28515625" style="31" customWidth="1"/>
    <col min="26" max="34" width="8" style="31" customWidth="1"/>
    <col min="35" max="16384" width="14.42578125" style="31"/>
  </cols>
  <sheetData>
    <row r="1" spans="1:34" ht="17.25" customHeight="1" x14ac:dyDescent="0.25">
      <c r="A1" s="730" t="s">
        <v>145</v>
      </c>
      <c r="B1" s="699"/>
      <c r="C1" s="699"/>
      <c r="D1" s="699"/>
      <c r="E1" s="699"/>
      <c r="F1" s="699"/>
      <c r="G1" s="699"/>
      <c r="H1" s="699"/>
      <c r="I1" s="700"/>
      <c r="J1" s="42"/>
      <c r="K1" s="42"/>
      <c r="L1" s="42"/>
      <c r="M1" s="42"/>
      <c r="N1" s="42"/>
      <c r="O1" s="42"/>
      <c r="P1" s="42"/>
      <c r="Q1" s="42"/>
      <c r="R1" s="42"/>
      <c r="S1" s="42"/>
      <c r="T1" s="42"/>
      <c r="U1" s="42"/>
      <c r="V1" s="42"/>
      <c r="W1" s="42"/>
      <c r="X1" s="42"/>
      <c r="Y1" s="42"/>
      <c r="Z1" s="42"/>
      <c r="AA1" s="42"/>
      <c r="AB1" s="42"/>
      <c r="AC1" s="42"/>
      <c r="AD1" s="30"/>
      <c r="AE1" s="30"/>
      <c r="AF1" s="30"/>
      <c r="AG1" s="30"/>
      <c r="AH1" s="30"/>
    </row>
    <row r="2" spans="1:34" ht="17.25" customHeight="1" x14ac:dyDescent="0.25">
      <c r="A2" s="731" t="s">
        <v>146</v>
      </c>
      <c r="B2" s="699"/>
      <c r="C2" s="699"/>
      <c r="D2" s="699"/>
      <c r="E2" s="699"/>
      <c r="F2" s="699"/>
      <c r="G2" s="699"/>
      <c r="H2" s="699"/>
      <c r="I2" s="700"/>
      <c r="J2" s="30"/>
      <c r="K2" s="30"/>
      <c r="L2" s="30"/>
      <c r="M2" s="30"/>
      <c r="N2" s="30"/>
      <c r="O2" s="30"/>
      <c r="P2" s="30"/>
      <c r="Q2" s="30"/>
      <c r="R2" s="30"/>
      <c r="S2" s="30"/>
      <c r="T2" s="30"/>
      <c r="U2" s="30"/>
      <c r="V2" s="30"/>
      <c r="W2" s="30"/>
      <c r="X2" s="30"/>
      <c r="Y2" s="30"/>
      <c r="Z2" s="30"/>
      <c r="AA2" s="30"/>
      <c r="AB2" s="30"/>
      <c r="AC2" s="30"/>
      <c r="AD2" s="30"/>
      <c r="AE2" s="30"/>
      <c r="AF2" s="30"/>
      <c r="AG2" s="30"/>
      <c r="AH2" s="30"/>
    </row>
    <row r="3" spans="1:34" ht="13.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row>
    <row r="4" spans="1:34" ht="13.5" customHeight="1" x14ac:dyDescent="0.25">
      <c r="A4" s="718" t="s">
        <v>147</v>
      </c>
      <c r="B4" s="704" t="s">
        <v>148</v>
      </c>
      <c r="C4" s="705"/>
      <c r="D4" s="705"/>
      <c r="E4" s="705"/>
      <c r="F4" s="705"/>
      <c r="G4" s="717"/>
      <c r="H4" s="795" t="s">
        <v>18</v>
      </c>
      <c r="I4" s="714" t="s">
        <v>149</v>
      </c>
      <c r="J4" s="38"/>
      <c r="K4" s="38"/>
      <c r="L4" s="38"/>
      <c r="M4" s="38"/>
      <c r="N4" s="38"/>
      <c r="O4" s="38"/>
      <c r="P4" s="38"/>
      <c r="Q4" s="38"/>
      <c r="R4" s="38"/>
      <c r="S4" s="38"/>
      <c r="T4" s="38"/>
      <c r="U4" s="38"/>
      <c r="V4" s="38"/>
      <c r="W4" s="38"/>
      <c r="X4" s="38"/>
      <c r="Y4" s="38"/>
      <c r="Z4" s="38"/>
      <c r="AA4" s="38"/>
      <c r="AB4" s="38"/>
      <c r="AC4" s="38"/>
      <c r="AD4" s="30"/>
      <c r="AE4" s="30"/>
      <c r="AF4" s="30"/>
      <c r="AG4" s="30"/>
      <c r="AH4" s="30"/>
    </row>
    <row r="5" spans="1:34" ht="15" customHeight="1" x14ac:dyDescent="0.25">
      <c r="A5" s="765"/>
      <c r="B5" s="315" t="s">
        <v>150</v>
      </c>
      <c r="C5" s="315" t="s">
        <v>151</v>
      </c>
      <c r="D5" s="315" t="s">
        <v>152</v>
      </c>
      <c r="E5" s="315" t="s">
        <v>153</v>
      </c>
      <c r="F5" s="316" t="s">
        <v>154</v>
      </c>
      <c r="G5" s="315" t="s">
        <v>23</v>
      </c>
      <c r="H5" s="716"/>
      <c r="I5" s="716"/>
      <c r="J5" s="38"/>
      <c r="K5" s="38"/>
      <c r="L5" s="38"/>
      <c r="M5" s="38"/>
      <c r="N5" s="38"/>
      <c r="O5" s="38"/>
      <c r="P5" s="38"/>
      <c r="Q5" s="38"/>
      <c r="R5" s="38"/>
      <c r="S5" s="38"/>
      <c r="T5" s="38"/>
      <c r="U5" s="38"/>
      <c r="V5" s="38"/>
      <c r="W5" s="38"/>
      <c r="X5" s="38"/>
      <c r="Y5" s="38"/>
      <c r="Z5" s="38"/>
      <c r="AA5" s="38"/>
      <c r="AB5" s="38"/>
      <c r="AC5" s="38"/>
      <c r="AD5" s="30"/>
      <c r="AE5" s="30"/>
      <c r="AF5" s="30"/>
      <c r="AG5" s="30"/>
      <c r="AH5" s="30"/>
    </row>
    <row r="6" spans="1:34" ht="21" customHeight="1" x14ac:dyDescent="0.55000000000000004">
      <c r="A6" s="317" t="s">
        <v>23</v>
      </c>
      <c r="B6" s="318">
        <f t="shared" ref="B6:H6" si="0">SUM(B7:B31)</f>
        <v>1109</v>
      </c>
      <c r="C6" s="318">
        <f t="shared" si="0"/>
        <v>582</v>
      </c>
      <c r="D6" s="318">
        <f t="shared" si="0"/>
        <v>149</v>
      </c>
      <c r="E6" s="318">
        <f t="shared" si="0"/>
        <v>160</v>
      </c>
      <c r="F6" s="318">
        <f t="shared" si="0"/>
        <v>55</v>
      </c>
      <c r="G6" s="318">
        <f>SUM(G7:G31)</f>
        <v>2055</v>
      </c>
      <c r="H6" s="318">
        <f t="shared" si="0"/>
        <v>100</v>
      </c>
      <c r="I6" s="74" t="s">
        <v>13</v>
      </c>
      <c r="J6" s="37"/>
      <c r="K6" s="37"/>
      <c r="L6" s="37"/>
      <c r="M6" s="37"/>
      <c r="N6" s="37"/>
      <c r="O6" s="37"/>
      <c r="P6" s="37"/>
      <c r="Q6" s="37"/>
      <c r="R6" s="37"/>
      <c r="S6" s="37"/>
      <c r="T6" s="37"/>
      <c r="U6" s="37"/>
      <c r="V6" s="37"/>
      <c r="W6" s="37"/>
      <c r="X6" s="37"/>
      <c r="Y6" s="37"/>
      <c r="Z6" s="37"/>
      <c r="AA6" s="37"/>
      <c r="AB6" s="37"/>
      <c r="AC6" s="37"/>
      <c r="AD6" s="30"/>
      <c r="AE6" s="30"/>
      <c r="AF6" s="30"/>
      <c r="AG6" s="30"/>
      <c r="AH6" s="30"/>
    </row>
    <row r="7" spans="1:34" ht="21" customHeight="1" x14ac:dyDescent="0.55000000000000004">
      <c r="A7" s="133" t="s">
        <v>155</v>
      </c>
      <c r="B7" s="140">
        <v>8</v>
      </c>
      <c r="C7" s="140">
        <v>2</v>
      </c>
      <c r="D7" s="140">
        <v>2</v>
      </c>
      <c r="E7" s="140">
        <v>0</v>
      </c>
      <c r="F7" s="140">
        <v>0</v>
      </c>
      <c r="G7" s="139">
        <f t="shared" ref="G7:G31" si="1">B7+C7+D7+E7+F7</f>
        <v>12</v>
      </c>
      <c r="H7" s="319">
        <f t="shared" ref="H7:H31" si="2">G7/$G$6*100</f>
        <v>0.58394160583941601</v>
      </c>
      <c r="I7" s="86" t="s">
        <v>156</v>
      </c>
      <c r="J7" s="30"/>
      <c r="K7" s="30"/>
      <c r="L7" s="30"/>
      <c r="M7" s="30"/>
      <c r="N7" s="30"/>
      <c r="O7" s="30"/>
      <c r="P7" s="30"/>
      <c r="Q7" s="30"/>
      <c r="R7" s="30"/>
      <c r="S7" s="30"/>
      <c r="T7" s="30"/>
      <c r="U7" s="30"/>
      <c r="V7" s="30"/>
      <c r="W7" s="30"/>
      <c r="X7" s="30"/>
      <c r="Y7" s="30"/>
      <c r="Z7" s="30"/>
      <c r="AA7" s="30"/>
      <c r="AB7" s="30"/>
      <c r="AC7" s="30"/>
      <c r="AD7" s="30"/>
      <c r="AE7" s="30"/>
      <c r="AF7" s="30"/>
      <c r="AG7" s="30"/>
      <c r="AH7" s="30"/>
    </row>
    <row r="8" spans="1:34" ht="21" customHeight="1" x14ac:dyDescent="0.55000000000000004">
      <c r="A8" s="133" t="s">
        <v>157</v>
      </c>
      <c r="B8" s="140">
        <v>9</v>
      </c>
      <c r="C8" s="140">
        <v>3</v>
      </c>
      <c r="D8" s="140">
        <v>1</v>
      </c>
      <c r="E8" s="140">
        <v>2</v>
      </c>
      <c r="F8" s="140">
        <v>2</v>
      </c>
      <c r="G8" s="139">
        <f t="shared" si="1"/>
        <v>17</v>
      </c>
      <c r="H8" s="319">
        <f t="shared" si="2"/>
        <v>0.82725060827250596</v>
      </c>
      <c r="I8" s="86" t="s">
        <v>158</v>
      </c>
      <c r="J8" s="30"/>
      <c r="K8" s="30"/>
      <c r="L8" s="110"/>
      <c r="M8" s="30"/>
      <c r="N8" s="30"/>
      <c r="O8" s="30"/>
      <c r="P8" s="30"/>
      <c r="Q8" s="30"/>
      <c r="R8" s="30"/>
      <c r="S8" s="30"/>
      <c r="T8" s="30"/>
      <c r="U8" s="30"/>
      <c r="V8" s="30"/>
      <c r="W8" s="30"/>
      <c r="X8" s="30"/>
      <c r="Y8" s="30"/>
      <c r="Z8" s="30"/>
      <c r="AA8" s="30"/>
      <c r="AB8" s="30"/>
      <c r="AC8" s="30"/>
      <c r="AD8" s="30"/>
      <c r="AE8" s="30"/>
      <c r="AF8" s="30"/>
      <c r="AG8" s="30"/>
      <c r="AH8" s="30"/>
    </row>
    <row r="9" spans="1:34" ht="21" customHeight="1" x14ac:dyDescent="0.55000000000000004">
      <c r="A9" s="133" t="s">
        <v>159</v>
      </c>
      <c r="B9" s="140">
        <v>2</v>
      </c>
      <c r="C9" s="140">
        <v>1</v>
      </c>
      <c r="D9" s="140">
        <v>0</v>
      </c>
      <c r="E9" s="140">
        <v>0</v>
      </c>
      <c r="F9" s="140">
        <v>0</v>
      </c>
      <c r="G9" s="139">
        <f t="shared" si="1"/>
        <v>3</v>
      </c>
      <c r="H9" s="319">
        <f t="shared" si="2"/>
        <v>0.145985401459854</v>
      </c>
      <c r="I9" s="86" t="s">
        <v>160</v>
      </c>
      <c r="J9" s="30"/>
      <c r="K9" s="30"/>
      <c r="L9" s="30"/>
      <c r="M9" s="30"/>
      <c r="N9" s="30"/>
      <c r="O9" s="30"/>
      <c r="P9" s="30"/>
      <c r="Q9" s="30"/>
      <c r="R9" s="30"/>
      <c r="S9" s="30"/>
      <c r="T9" s="30"/>
      <c r="U9" s="30"/>
      <c r="V9" s="30"/>
      <c r="W9" s="30"/>
      <c r="X9" s="30"/>
      <c r="Y9" s="30"/>
      <c r="Z9" s="30"/>
      <c r="AA9" s="30"/>
      <c r="AB9" s="30"/>
      <c r="AC9" s="30"/>
      <c r="AD9" s="30"/>
      <c r="AE9" s="30"/>
      <c r="AF9" s="30"/>
      <c r="AG9" s="30"/>
      <c r="AH9" s="30"/>
    </row>
    <row r="10" spans="1:34" ht="21" customHeight="1" x14ac:dyDescent="0.55000000000000004">
      <c r="A10" s="133" t="s">
        <v>161</v>
      </c>
      <c r="B10" s="140">
        <v>14</v>
      </c>
      <c r="C10" s="140">
        <v>0</v>
      </c>
      <c r="D10" s="140">
        <v>0</v>
      </c>
      <c r="E10" s="140">
        <v>0</v>
      </c>
      <c r="F10" s="140">
        <v>0</v>
      </c>
      <c r="G10" s="139">
        <f t="shared" si="1"/>
        <v>14</v>
      </c>
      <c r="H10" s="319">
        <f t="shared" si="2"/>
        <v>0.68126520681265212</v>
      </c>
      <c r="I10" s="86" t="s">
        <v>162</v>
      </c>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spans="1:34" ht="21" customHeight="1" x14ac:dyDescent="0.55000000000000004">
      <c r="A11" s="133" t="s">
        <v>163</v>
      </c>
      <c r="B11" s="140">
        <v>105</v>
      </c>
      <c r="C11" s="140">
        <v>33</v>
      </c>
      <c r="D11" s="140">
        <v>4</v>
      </c>
      <c r="E11" s="140">
        <v>5</v>
      </c>
      <c r="F11" s="140">
        <v>1</v>
      </c>
      <c r="G11" s="139">
        <f t="shared" si="1"/>
        <v>148</v>
      </c>
      <c r="H11" s="319">
        <f t="shared" si="2"/>
        <v>7.2019464720194648</v>
      </c>
      <c r="I11" s="86" t="s">
        <v>164</v>
      </c>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row>
    <row r="12" spans="1:34" ht="21" customHeight="1" x14ac:dyDescent="0.55000000000000004">
      <c r="A12" s="133" t="s">
        <v>165</v>
      </c>
      <c r="B12" s="140">
        <v>13</v>
      </c>
      <c r="C12" s="140">
        <v>2</v>
      </c>
      <c r="D12" s="140">
        <v>0</v>
      </c>
      <c r="E12" s="140">
        <v>1</v>
      </c>
      <c r="F12" s="140">
        <v>0</v>
      </c>
      <c r="G12" s="139">
        <f t="shared" si="1"/>
        <v>16</v>
      </c>
      <c r="H12" s="319">
        <f t="shared" si="2"/>
        <v>0.77858880778588813</v>
      </c>
      <c r="I12" s="86" t="s">
        <v>166</v>
      </c>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row>
    <row r="13" spans="1:34" ht="44.25" customHeight="1" x14ac:dyDescent="0.25">
      <c r="A13" s="320" t="s">
        <v>167</v>
      </c>
      <c r="B13" s="321">
        <v>31</v>
      </c>
      <c r="C13" s="321">
        <v>31</v>
      </c>
      <c r="D13" s="321">
        <v>4</v>
      </c>
      <c r="E13" s="321">
        <v>5</v>
      </c>
      <c r="F13" s="321">
        <v>3</v>
      </c>
      <c r="G13" s="322">
        <f t="shared" si="1"/>
        <v>74</v>
      </c>
      <c r="H13" s="319">
        <f t="shared" si="2"/>
        <v>3.6009732360097324</v>
      </c>
      <c r="I13" s="323" t="s">
        <v>168</v>
      </c>
      <c r="J13" s="324"/>
      <c r="K13" s="324"/>
      <c r="L13" s="324"/>
      <c r="M13" s="324"/>
      <c r="N13" s="324"/>
      <c r="O13" s="324"/>
      <c r="P13" s="324"/>
      <c r="Q13" s="324"/>
      <c r="R13" s="324"/>
      <c r="S13" s="324"/>
      <c r="T13" s="324"/>
      <c r="U13" s="324"/>
      <c r="V13" s="324"/>
      <c r="W13" s="324"/>
      <c r="X13" s="324"/>
      <c r="Y13" s="324"/>
      <c r="Z13" s="324"/>
      <c r="AA13" s="324"/>
      <c r="AB13" s="324"/>
      <c r="AC13" s="324"/>
      <c r="AD13" s="30"/>
      <c r="AE13" s="30"/>
      <c r="AF13" s="30"/>
      <c r="AG13" s="30"/>
      <c r="AH13" s="30"/>
    </row>
    <row r="14" spans="1:34" ht="21" customHeight="1" x14ac:dyDescent="0.55000000000000004">
      <c r="A14" s="133" t="s">
        <v>169</v>
      </c>
      <c r="B14" s="140">
        <v>8</v>
      </c>
      <c r="C14" s="140">
        <v>5</v>
      </c>
      <c r="D14" s="140">
        <v>1</v>
      </c>
      <c r="E14" s="140">
        <v>1</v>
      </c>
      <c r="F14" s="140">
        <v>1</v>
      </c>
      <c r="G14" s="139">
        <f t="shared" si="1"/>
        <v>16</v>
      </c>
      <c r="H14" s="319">
        <f t="shared" si="2"/>
        <v>0.77858880778588813</v>
      </c>
      <c r="I14" s="86" t="s">
        <v>170</v>
      </c>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row>
    <row r="15" spans="1:34" ht="21" customHeight="1" x14ac:dyDescent="0.55000000000000004">
      <c r="A15" s="133" t="s">
        <v>171</v>
      </c>
      <c r="B15" s="140">
        <v>1</v>
      </c>
      <c r="C15" s="140">
        <v>2</v>
      </c>
      <c r="D15" s="140">
        <v>1</v>
      </c>
      <c r="E15" s="140">
        <v>0</v>
      </c>
      <c r="F15" s="140">
        <v>0</v>
      </c>
      <c r="G15" s="139">
        <f t="shared" si="1"/>
        <v>4</v>
      </c>
      <c r="H15" s="319">
        <f t="shared" si="2"/>
        <v>0.19464720194647203</v>
      </c>
      <c r="I15" s="86" t="s">
        <v>172</v>
      </c>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spans="1:34" ht="21" customHeight="1" x14ac:dyDescent="0.55000000000000004">
      <c r="A16" s="133" t="s">
        <v>173</v>
      </c>
      <c r="B16" s="140">
        <v>65</v>
      </c>
      <c r="C16" s="140">
        <v>198</v>
      </c>
      <c r="D16" s="140">
        <v>64</v>
      </c>
      <c r="E16" s="140">
        <v>63</v>
      </c>
      <c r="F16" s="140">
        <v>28</v>
      </c>
      <c r="G16" s="139">
        <f t="shared" si="1"/>
        <v>418</v>
      </c>
      <c r="H16" s="319">
        <f t="shared" si="2"/>
        <v>20.340632603406323</v>
      </c>
      <c r="I16" s="86" t="s">
        <v>174</v>
      </c>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row>
    <row r="17" spans="1:40" ht="21" customHeight="1" x14ac:dyDescent="0.55000000000000004">
      <c r="A17" s="133" t="s">
        <v>175</v>
      </c>
      <c r="B17" s="140">
        <v>29</v>
      </c>
      <c r="C17" s="140">
        <v>13</v>
      </c>
      <c r="D17" s="140">
        <v>1</v>
      </c>
      <c r="E17" s="140">
        <v>3</v>
      </c>
      <c r="F17" s="140">
        <v>0</v>
      </c>
      <c r="G17" s="139">
        <f t="shared" si="1"/>
        <v>46</v>
      </c>
      <c r="H17" s="319">
        <f t="shared" si="2"/>
        <v>2.2384428223844282</v>
      </c>
      <c r="I17" s="86" t="s">
        <v>176</v>
      </c>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row>
    <row r="18" spans="1:40" ht="21" customHeight="1" x14ac:dyDescent="0.55000000000000004">
      <c r="A18" s="133" t="s">
        <v>177</v>
      </c>
      <c r="B18" s="140">
        <v>170</v>
      </c>
      <c r="C18" s="140">
        <v>84</v>
      </c>
      <c r="D18" s="140">
        <v>32</v>
      </c>
      <c r="E18" s="140">
        <v>62</v>
      </c>
      <c r="F18" s="140">
        <v>11</v>
      </c>
      <c r="G18" s="139">
        <f t="shared" si="1"/>
        <v>359</v>
      </c>
      <c r="H18" s="319">
        <f t="shared" si="2"/>
        <v>17.469586374695865</v>
      </c>
      <c r="I18" s="86" t="s">
        <v>178</v>
      </c>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row>
    <row r="19" spans="1:40" ht="21" customHeight="1" x14ac:dyDescent="0.55000000000000004">
      <c r="A19" s="133" t="s">
        <v>179</v>
      </c>
      <c r="B19" s="140">
        <v>1</v>
      </c>
      <c r="C19" s="140">
        <v>1</v>
      </c>
      <c r="D19" s="140">
        <v>0</v>
      </c>
      <c r="E19" s="140">
        <v>0</v>
      </c>
      <c r="F19" s="140">
        <v>0</v>
      </c>
      <c r="G19" s="139">
        <f t="shared" si="1"/>
        <v>2</v>
      </c>
      <c r="H19" s="319">
        <f t="shared" si="2"/>
        <v>9.7323600973236016E-2</v>
      </c>
      <c r="I19" s="86" t="s">
        <v>180</v>
      </c>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row>
    <row r="20" spans="1:40" ht="21" customHeight="1" x14ac:dyDescent="0.55000000000000004">
      <c r="A20" s="133" t="s">
        <v>181</v>
      </c>
      <c r="B20" s="140">
        <v>4</v>
      </c>
      <c r="C20" s="140">
        <v>1</v>
      </c>
      <c r="D20" s="140">
        <v>0</v>
      </c>
      <c r="E20" s="140">
        <v>0</v>
      </c>
      <c r="F20" s="140">
        <v>1</v>
      </c>
      <c r="G20" s="139">
        <f t="shared" si="1"/>
        <v>6</v>
      </c>
      <c r="H20" s="319">
        <f t="shared" si="2"/>
        <v>0.29197080291970801</v>
      </c>
      <c r="I20" s="86" t="s">
        <v>182</v>
      </c>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row>
    <row r="21" spans="1:40" ht="21" customHeight="1" x14ac:dyDescent="0.55000000000000004">
      <c r="A21" s="133" t="s">
        <v>183</v>
      </c>
      <c r="B21" s="140">
        <v>1</v>
      </c>
      <c r="C21" s="140">
        <v>0</v>
      </c>
      <c r="D21" s="140">
        <v>0</v>
      </c>
      <c r="E21" s="140">
        <v>0</v>
      </c>
      <c r="F21" s="140">
        <v>0</v>
      </c>
      <c r="G21" s="139">
        <f t="shared" si="1"/>
        <v>1</v>
      </c>
      <c r="H21" s="319">
        <f t="shared" si="2"/>
        <v>4.8661800486618008E-2</v>
      </c>
      <c r="I21" s="86" t="s">
        <v>184</v>
      </c>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row>
    <row r="22" spans="1:40" ht="21" customHeight="1" x14ac:dyDescent="0.55000000000000004">
      <c r="A22" s="133" t="s">
        <v>185</v>
      </c>
      <c r="B22" s="140">
        <v>4</v>
      </c>
      <c r="C22" s="140">
        <v>2</v>
      </c>
      <c r="D22" s="140">
        <v>0</v>
      </c>
      <c r="E22" s="140">
        <v>0</v>
      </c>
      <c r="F22" s="140">
        <v>0</v>
      </c>
      <c r="G22" s="139">
        <f t="shared" si="1"/>
        <v>6</v>
      </c>
      <c r="H22" s="319">
        <f t="shared" si="2"/>
        <v>0.29197080291970801</v>
      </c>
      <c r="I22" s="86" t="s">
        <v>186</v>
      </c>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row>
    <row r="23" spans="1:40" ht="21" customHeight="1" x14ac:dyDescent="0.55000000000000004">
      <c r="A23" s="133" t="s">
        <v>187</v>
      </c>
      <c r="B23" s="140">
        <v>18</v>
      </c>
      <c r="C23" s="140">
        <v>8</v>
      </c>
      <c r="D23" s="140">
        <v>0</v>
      </c>
      <c r="E23" s="140">
        <v>0</v>
      </c>
      <c r="F23" s="140">
        <v>0</v>
      </c>
      <c r="G23" s="139">
        <f t="shared" si="1"/>
        <v>26</v>
      </c>
      <c r="H23" s="319">
        <f t="shared" si="2"/>
        <v>1.2652068126520681</v>
      </c>
      <c r="I23" s="86" t="s">
        <v>188</v>
      </c>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row>
    <row r="24" spans="1:40" ht="21" customHeight="1" x14ac:dyDescent="0.55000000000000004">
      <c r="A24" s="133" t="s">
        <v>189</v>
      </c>
      <c r="B24" s="140">
        <v>0</v>
      </c>
      <c r="C24" s="140">
        <v>1</v>
      </c>
      <c r="D24" s="140">
        <v>1</v>
      </c>
      <c r="E24" s="140">
        <v>0</v>
      </c>
      <c r="F24" s="140">
        <v>0</v>
      </c>
      <c r="G24" s="139">
        <f t="shared" si="1"/>
        <v>2</v>
      </c>
      <c r="H24" s="319">
        <f t="shared" si="2"/>
        <v>9.7323600973236016E-2</v>
      </c>
      <c r="I24" s="86" t="s">
        <v>190</v>
      </c>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spans="1:40" ht="21" customHeight="1" x14ac:dyDescent="0.55000000000000004">
      <c r="A25" s="133" t="s">
        <v>191</v>
      </c>
      <c r="B25" s="140">
        <v>26</v>
      </c>
      <c r="C25" s="140">
        <v>21</v>
      </c>
      <c r="D25" s="140">
        <v>9</v>
      </c>
      <c r="E25" s="140">
        <v>5</v>
      </c>
      <c r="F25" s="140">
        <v>0</v>
      </c>
      <c r="G25" s="139">
        <f t="shared" si="1"/>
        <v>61</v>
      </c>
      <c r="H25" s="319">
        <f t="shared" si="2"/>
        <v>2.9683698296836982</v>
      </c>
      <c r="I25" s="86" t="s">
        <v>192</v>
      </c>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row>
    <row r="26" spans="1:40" ht="21" customHeight="1" x14ac:dyDescent="0.55000000000000004">
      <c r="A26" s="133" t="s">
        <v>193</v>
      </c>
      <c r="B26" s="140">
        <v>39</v>
      </c>
      <c r="C26" s="140">
        <v>10</v>
      </c>
      <c r="D26" s="140">
        <v>3</v>
      </c>
      <c r="E26" s="140">
        <v>1</v>
      </c>
      <c r="F26" s="140">
        <v>2</v>
      </c>
      <c r="G26" s="139">
        <f t="shared" si="1"/>
        <v>55</v>
      </c>
      <c r="H26" s="319">
        <f t="shared" si="2"/>
        <v>2.6763990267639901</v>
      </c>
      <c r="I26" s="86" t="s">
        <v>194</v>
      </c>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row>
    <row r="27" spans="1:40" ht="21" customHeight="1" x14ac:dyDescent="0.55000000000000004">
      <c r="A27" s="133" t="s">
        <v>195</v>
      </c>
      <c r="B27" s="140">
        <v>221</v>
      </c>
      <c r="C27" s="140">
        <v>66</v>
      </c>
      <c r="D27" s="140">
        <v>10</v>
      </c>
      <c r="E27" s="140">
        <v>5</v>
      </c>
      <c r="F27" s="140">
        <v>0</v>
      </c>
      <c r="G27" s="139">
        <f t="shared" si="1"/>
        <v>302</v>
      </c>
      <c r="H27" s="319">
        <f t="shared" si="2"/>
        <v>14.695863746958636</v>
      </c>
      <c r="I27" s="86" t="s">
        <v>196</v>
      </c>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row>
    <row r="28" spans="1:40" ht="21" customHeight="1" x14ac:dyDescent="0.55000000000000004">
      <c r="A28" s="133" t="s">
        <v>197</v>
      </c>
      <c r="B28" s="140">
        <v>9</v>
      </c>
      <c r="C28" s="140">
        <v>5</v>
      </c>
      <c r="D28" s="140">
        <v>5</v>
      </c>
      <c r="E28" s="140">
        <v>2</v>
      </c>
      <c r="F28" s="140">
        <v>2</v>
      </c>
      <c r="G28" s="139">
        <f t="shared" si="1"/>
        <v>23</v>
      </c>
      <c r="H28" s="319">
        <f t="shared" si="2"/>
        <v>1.1192214111922141</v>
      </c>
      <c r="I28" s="86" t="s">
        <v>198</v>
      </c>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row>
    <row r="29" spans="1:40" ht="21" customHeight="1" x14ac:dyDescent="0.55000000000000004">
      <c r="A29" s="133" t="s">
        <v>199</v>
      </c>
      <c r="B29" s="140">
        <v>2</v>
      </c>
      <c r="C29" s="140">
        <v>2</v>
      </c>
      <c r="D29" s="140">
        <v>0</v>
      </c>
      <c r="E29" s="140">
        <v>0</v>
      </c>
      <c r="F29" s="140">
        <v>0</v>
      </c>
      <c r="G29" s="139">
        <f t="shared" si="1"/>
        <v>4</v>
      </c>
      <c r="H29" s="319">
        <f t="shared" si="2"/>
        <v>0.19464720194647203</v>
      </c>
      <c r="I29" s="86" t="s">
        <v>200</v>
      </c>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row>
    <row r="30" spans="1:40" ht="21" customHeight="1" x14ac:dyDescent="0.55000000000000004">
      <c r="A30" s="133" t="s">
        <v>201</v>
      </c>
      <c r="B30" s="140">
        <v>95</v>
      </c>
      <c r="C30" s="140">
        <v>24</v>
      </c>
      <c r="D30" s="140">
        <v>6</v>
      </c>
      <c r="E30" s="140">
        <v>1</v>
      </c>
      <c r="F30" s="140">
        <v>2</v>
      </c>
      <c r="G30" s="139">
        <f t="shared" si="1"/>
        <v>128</v>
      </c>
      <c r="H30" s="319">
        <f t="shared" si="2"/>
        <v>6.228710462287105</v>
      </c>
      <c r="I30" s="86" t="s">
        <v>202</v>
      </c>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row>
    <row r="31" spans="1:40" ht="21" customHeight="1" x14ac:dyDescent="0.55000000000000004">
      <c r="A31" s="147" t="s">
        <v>203</v>
      </c>
      <c r="B31" s="154">
        <v>234</v>
      </c>
      <c r="C31" s="154">
        <v>67</v>
      </c>
      <c r="D31" s="154">
        <v>5</v>
      </c>
      <c r="E31" s="154">
        <v>4</v>
      </c>
      <c r="F31" s="154">
        <v>2</v>
      </c>
      <c r="G31" s="153">
        <f t="shared" si="1"/>
        <v>312</v>
      </c>
      <c r="H31" s="325">
        <f t="shared" si="2"/>
        <v>15.182481751824817</v>
      </c>
      <c r="I31" s="99" t="s">
        <v>204</v>
      </c>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row>
    <row r="32" spans="1:40" ht="17.25" customHeight="1" x14ac:dyDescent="0.45">
      <c r="A32" s="101" t="s">
        <v>57</v>
      </c>
      <c r="B32" s="157"/>
      <c r="C32" s="157"/>
      <c r="D32" s="157"/>
      <c r="E32" s="157"/>
      <c r="F32" s="157"/>
      <c r="G32" s="157"/>
      <c r="H32" s="157"/>
      <c r="I32" s="162" t="s">
        <v>58</v>
      </c>
      <c r="J32" s="157"/>
      <c r="K32" s="157"/>
      <c r="L32" s="157"/>
      <c r="M32" s="157"/>
      <c r="N32" s="157"/>
      <c r="O32" s="157"/>
      <c r="P32" s="157"/>
      <c r="Q32" s="157"/>
      <c r="R32" s="157"/>
      <c r="S32" s="157"/>
      <c r="T32" s="157"/>
      <c r="U32" s="157"/>
      <c r="V32" s="157"/>
      <c r="W32" s="157"/>
      <c r="X32" s="157"/>
      <c r="Y32" s="157"/>
      <c r="Z32" s="157"/>
      <c r="AA32" s="157"/>
      <c r="AB32" s="157"/>
      <c r="AC32" s="157"/>
      <c r="AD32" s="157"/>
      <c r="AE32" s="157"/>
      <c r="AF32" s="157"/>
      <c r="AG32" s="157"/>
      <c r="AH32" s="157"/>
      <c r="AL32" s="30" t="s">
        <v>173</v>
      </c>
      <c r="AM32" s="30">
        <v>418</v>
      </c>
      <c r="AN32" s="30"/>
    </row>
    <row r="33" spans="1:40" ht="12" customHeight="1" x14ac:dyDescent="0.25">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7"/>
      <c r="AB33" s="157">
        <v>515</v>
      </c>
      <c r="AC33" s="157">
        <v>455</v>
      </c>
      <c r="AD33" s="157">
        <v>127</v>
      </c>
      <c r="AE33" s="157">
        <v>112</v>
      </c>
      <c r="AF33" s="157">
        <v>41</v>
      </c>
      <c r="AG33" s="157">
        <v>1250</v>
      </c>
      <c r="AH33" s="157">
        <v>100</v>
      </c>
      <c r="AL33" s="30" t="s">
        <v>177</v>
      </c>
      <c r="AM33" s="30">
        <v>359</v>
      </c>
      <c r="AN33" s="30"/>
    </row>
    <row r="34" spans="1:40" ht="15.75" customHeight="1" x14ac:dyDescent="0.25">
      <c r="A34" s="30"/>
      <c r="B34" s="30"/>
      <c r="C34" s="30"/>
      <c r="D34" s="326"/>
      <c r="E34" s="326"/>
      <c r="F34" s="326"/>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L34" s="30" t="s">
        <v>203</v>
      </c>
      <c r="AM34" s="30">
        <v>312</v>
      </c>
      <c r="AN34" s="30"/>
    </row>
    <row r="35" spans="1:40"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L35" s="30" t="s">
        <v>195</v>
      </c>
      <c r="AM35" s="30">
        <v>302</v>
      </c>
      <c r="AN35" s="30"/>
    </row>
    <row r="36" spans="1:40"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26" t="s">
        <v>150</v>
      </c>
      <c r="AC36" s="326" t="s">
        <v>151</v>
      </c>
      <c r="AD36" s="326" t="s">
        <v>152</v>
      </c>
      <c r="AE36" s="326" t="s">
        <v>153</v>
      </c>
      <c r="AF36" s="326" t="s">
        <v>154</v>
      </c>
      <c r="AG36" s="30" t="s">
        <v>23</v>
      </c>
      <c r="AH36" s="30"/>
      <c r="AL36" s="30" t="s">
        <v>163</v>
      </c>
      <c r="AM36" s="30">
        <v>148</v>
      </c>
      <c r="AN36" s="30"/>
    </row>
    <row r="37" spans="1:40"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t="s">
        <v>205</v>
      </c>
      <c r="AB37" s="143">
        <f t="shared" ref="AB37:AF37" si="3">B6</f>
        <v>1109</v>
      </c>
      <c r="AC37" s="143">
        <f t="shared" si="3"/>
        <v>582</v>
      </c>
      <c r="AD37" s="143">
        <f t="shared" si="3"/>
        <v>149</v>
      </c>
      <c r="AE37" s="143">
        <f t="shared" si="3"/>
        <v>160</v>
      </c>
      <c r="AF37" s="143">
        <f t="shared" si="3"/>
        <v>55</v>
      </c>
      <c r="AG37" s="143">
        <f>SUM(AB37:AF37)</f>
        <v>2055</v>
      </c>
      <c r="AH37" s="30"/>
      <c r="AL37" s="30" t="s">
        <v>201</v>
      </c>
      <c r="AM37" s="30">
        <v>128</v>
      </c>
      <c r="AN37" s="30"/>
    </row>
    <row r="38" spans="1:40"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L38" s="30" t="s">
        <v>167</v>
      </c>
      <c r="AM38" s="30">
        <v>74</v>
      </c>
      <c r="AN38" s="30"/>
    </row>
    <row r="39" spans="1:40"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L39" s="30" t="s">
        <v>191</v>
      </c>
      <c r="AM39" s="30">
        <v>61</v>
      </c>
      <c r="AN39" s="30"/>
    </row>
    <row r="40" spans="1:40"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L40" s="30" t="s">
        <v>193</v>
      </c>
      <c r="AM40" s="30">
        <v>55</v>
      </c>
      <c r="AN40" s="30"/>
    </row>
    <row r="41" spans="1:40"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L41" s="30" t="s">
        <v>175</v>
      </c>
      <c r="AM41" s="30">
        <v>46</v>
      </c>
      <c r="AN41" s="30"/>
    </row>
    <row r="42" spans="1:40"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L42" s="30" t="s">
        <v>187</v>
      </c>
      <c r="AM42" s="30">
        <v>26</v>
      </c>
      <c r="AN42" s="30"/>
    </row>
    <row r="43" spans="1:40"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L43" s="30" t="s">
        <v>197</v>
      </c>
      <c r="AM43" s="30">
        <v>23</v>
      </c>
      <c r="AN43" s="30"/>
    </row>
    <row r="44" spans="1:40"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L44" s="30" t="s">
        <v>157</v>
      </c>
      <c r="AM44" s="30">
        <v>17</v>
      </c>
      <c r="AN44" s="30"/>
    </row>
    <row r="45" spans="1:40"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L45" s="30" t="s">
        <v>165</v>
      </c>
      <c r="AM45" s="30">
        <v>16</v>
      </c>
      <c r="AN45" s="30"/>
    </row>
    <row r="46" spans="1:40"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L46" s="30" t="s">
        <v>169</v>
      </c>
      <c r="AM46" s="30">
        <v>16</v>
      </c>
      <c r="AN46" s="30"/>
    </row>
    <row r="47" spans="1:40"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L47" s="30" t="s">
        <v>161</v>
      </c>
      <c r="AM47" s="30">
        <v>14</v>
      </c>
      <c r="AN47" s="30"/>
    </row>
    <row r="48" spans="1:40"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L48" s="30" t="s">
        <v>155</v>
      </c>
      <c r="AM48" s="30">
        <v>12</v>
      </c>
      <c r="AN48" s="30"/>
    </row>
    <row r="49" spans="1:40"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L49" s="30" t="s">
        <v>181</v>
      </c>
      <c r="AM49" s="30">
        <v>6</v>
      </c>
      <c r="AN49" s="30"/>
    </row>
    <row r="50" spans="1:40"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L50" s="30" t="s">
        <v>185</v>
      </c>
      <c r="AM50" s="30">
        <v>6</v>
      </c>
      <c r="AN50" s="30"/>
    </row>
    <row r="51" spans="1:40"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L51" s="30" t="s">
        <v>171</v>
      </c>
      <c r="AM51" s="30">
        <v>4</v>
      </c>
      <c r="AN51" s="30"/>
    </row>
    <row r="52" spans="1:40"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L52" s="30" t="s">
        <v>199</v>
      </c>
      <c r="AM52" s="30">
        <v>4</v>
      </c>
      <c r="AN52" s="30"/>
    </row>
    <row r="53" spans="1:40" ht="15.7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L53" s="30" t="s">
        <v>159</v>
      </c>
      <c r="AM53" s="30">
        <v>3</v>
      </c>
      <c r="AN53" s="30"/>
    </row>
    <row r="54" spans="1:40"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L54" s="30" t="s">
        <v>179</v>
      </c>
      <c r="AM54" s="30">
        <v>2</v>
      </c>
      <c r="AN54" s="30"/>
    </row>
    <row r="55" spans="1:40" ht="15.7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L55" s="30" t="s">
        <v>189</v>
      </c>
      <c r="AM55" s="30">
        <v>2</v>
      </c>
      <c r="AN55" s="30"/>
    </row>
    <row r="56" spans="1:40" ht="15.7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L56" s="30" t="s">
        <v>183</v>
      </c>
      <c r="AM56" s="30">
        <v>1</v>
      </c>
      <c r="AN56" s="30"/>
    </row>
    <row r="57" spans="1:40" ht="15.7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L57" s="30"/>
      <c r="AM57" s="30"/>
      <c r="AN57" s="30"/>
    </row>
    <row r="58" spans="1:40" ht="15.7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L58" s="30"/>
      <c r="AM58" s="30"/>
      <c r="AN58" s="30"/>
    </row>
    <row r="59" spans="1:40" ht="15.7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row>
    <row r="60" spans="1:40" ht="15.7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row>
    <row r="61" spans="1:40"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row>
    <row r="62" spans="1:40" ht="15.7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row>
    <row r="63" spans="1:40" ht="15.7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row>
    <row r="64" spans="1:40" ht="15.7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row>
    <row r="65" spans="1:34" ht="15.7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row>
    <row r="66" spans="1:34" ht="15.7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row>
    <row r="67" spans="1:34" ht="15.7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row>
    <row r="68" spans="1:34" ht="15.7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row>
    <row r="69" spans="1:34" ht="15.7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row>
    <row r="70" spans="1:34" ht="15.7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row>
    <row r="71" spans="1:34" ht="15.7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row>
    <row r="72" spans="1:34" ht="15.7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row>
  </sheetData>
  <sortState ref="A145:B169">
    <sortCondition descending="1" ref="B145:B169"/>
  </sortState>
  <mergeCells count="6">
    <mergeCell ref="A1:I1"/>
    <mergeCell ref="A2:I2"/>
    <mergeCell ref="A4:A5"/>
    <mergeCell ref="B4:G4"/>
    <mergeCell ref="I4:I5"/>
    <mergeCell ref="H4:H5"/>
  </mergeCells>
  <pageMargins left="0.7" right="0.7" top="0.75" bottom="0.75" header="0" footer="0"/>
  <pageSetup paperSize="9" scale="76" orientation="landscape" horizontalDpi="4294967295" verticalDpi="4294967295" r:id="rId1"/>
  <rowBreaks count="2" manualBreakCount="2">
    <brk id="32" max="9" man="1"/>
    <brk id="71" max="9" man="1"/>
  </rowBreaks>
  <ignoredErrors>
    <ignoredError sqref="C5" twoDigitTextYear="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54"/>
  <sheetViews>
    <sheetView view="pageBreakPreview" topLeftCell="A9" zoomScale="60" zoomScaleNormal="100" workbookViewId="0">
      <selection activeCell="A55" sqref="A55:XFD1001"/>
    </sheetView>
  </sheetViews>
  <sheetFormatPr defaultColWidth="14.42578125" defaultRowHeight="15" customHeight="1" x14ac:dyDescent="0.25"/>
  <cols>
    <col min="1" max="1" width="35.42578125" style="31" customWidth="1"/>
    <col min="2" max="7" width="10.5703125" style="31" customWidth="1"/>
    <col min="8" max="8" width="9" style="31" customWidth="1"/>
    <col min="9" max="9" width="35.28515625" style="31" customWidth="1"/>
    <col min="10" max="10" width="2.5703125" style="31" customWidth="1"/>
    <col min="11" max="26" width="8" style="31" customWidth="1"/>
    <col min="27" max="29" width="15.140625" style="31" customWidth="1"/>
    <col min="30" max="16384" width="14.42578125" style="31"/>
  </cols>
  <sheetData>
    <row r="1" spans="1:29" ht="21" customHeight="1" x14ac:dyDescent="0.55000000000000004">
      <c r="A1" s="722" t="s">
        <v>206</v>
      </c>
      <c r="B1" s="699"/>
      <c r="C1" s="699"/>
      <c r="D1" s="699"/>
      <c r="E1" s="699"/>
      <c r="F1" s="699"/>
      <c r="G1" s="699"/>
      <c r="H1" s="699"/>
      <c r="I1" s="700"/>
      <c r="J1" s="30"/>
      <c r="K1" s="30"/>
      <c r="L1" s="30"/>
      <c r="M1" s="30"/>
      <c r="N1" s="30"/>
      <c r="O1" s="30"/>
      <c r="P1" s="30"/>
      <c r="Q1" s="30"/>
      <c r="R1" s="30"/>
      <c r="S1" s="30"/>
      <c r="T1" s="30"/>
      <c r="U1" s="30"/>
      <c r="V1" s="30"/>
      <c r="W1" s="30"/>
      <c r="X1" s="30"/>
      <c r="Y1" s="30"/>
      <c r="Z1" s="30"/>
      <c r="AA1" s="30"/>
      <c r="AB1" s="30"/>
      <c r="AC1" s="30"/>
    </row>
    <row r="2" spans="1:29" x14ac:dyDescent="0.25">
      <c r="A2" s="731" t="s">
        <v>207</v>
      </c>
      <c r="B2" s="699"/>
      <c r="C2" s="699"/>
      <c r="D2" s="699"/>
      <c r="E2" s="699"/>
      <c r="F2" s="699"/>
      <c r="G2" s="699"/>
      <c r="H2" s="699"/>
      <c r="I2" s="700"/>
      <c r="J2" s="30"/>
      <c r="K2" s="30"/>
      <c r="L2" s="30"/>
      <c r="M2" s="30"/>
      <c r="N2" s="30"/>
      <c r="O2" s="30"/>
      <c r="P2" s="30"/>
      <c r="Q2" s="30"/>
      <c r="R2" s="30"/>
      <c r="S2" s="30"/>
      <c r="T2" s="30"/>
      <c r="U2" s="30"/>
      <c r="V2" s="30"/>
      <c r="W2" s="30"/>
      <c r="X2" s="30"/>
      <c r="Y2" s="30"/>
      <c r="Z2" s="30"/>
      <c r="AA2" s="30"/>
      <c r="AB2" s="30"/>
      <c r="AC2" s="30"/>
    </row>
    <row r="3" spans="1:29"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row>
    <row r="4" spans="1:29" ht="15" customHeight="1" x14ac:dyDescent="0.25">
      <c r="A4" s="718" t="s">
        <v>147</v>
      </c>
      <c r="B4" s="704" t="s">
        <v>208</v>
      </c>
      <c r="C4" s="705"/>
      <c r="D4" s="705"/>
      <c r="E4" s="705"/>
      <c r="F4" s="705"/>
      <c r="G4" s="717"/>
      <c r="H4" s="795" t="s">
        <v>18</v>
      </c>
      <c r="I4" s="714" t="s">
        <v>149</v>
      </c>
      <c r="J4" s="38"/>
      <c r="K4" s="38"/>
      <c r="L4" s="38"/>
      <c r="M4" s="38"/>
      <c r="N4" s="38"/>
      <c r="O4" s="38"/>
      <c r="P4" s="38"/>
      <c r="Q4" s="38"/>
      <c r="R4" s="38"/>
      <c r="S4" s="38"/>
      <c r="T4" s="38"/>
      <c r="U4" s="38"/>
      <c r="V4" s="38"/>
      <c r="W4" s="38"/>
      <c r="X4" s="38"/>
      <c r="Y4" s="38"/>
      <c r="Z4" s="38"/>
      <c r="AA4" s="30"/>
      <c r="AB4" s="30"/>
      <c r="AC4" s="30"/>
    </row>
    <row r="5" spans="1:29" ht="15" customHeight="1" x14ac:dyDescent="0.25">
      <c r="A5" s="765"/>
      <c r="B5" s="315" t="s">
        <v>150</v>
      </c>
      <c r="C5" s="315" t="s">
        <v>151</v>
      </c>
      <c r="D5" s="315" t="s">
        <v>152</v>
      </c>
      <c r="E5" s="315" t="s">
        <v>153</v>
      </c>
      <c r="F5" s="316" t="s">
        <v>154</v>
      </c>
      <c r="G5" s="316" t="s">
        <v>23</v>
      </c>
      <c r="H5" s="716"/>
      <c r="I5" s="716"/>
      <c r="J5" s="38"/>
      <c r="K5" s="38"/>
      <c r="L5" s="38"/>
      <c r="M5" s="38"/>
      <c r="N5" s="38"/>
      <c r="O5" s="38"/>
      <c r="P5" s="38"/>
      <c r="Q5" s="38"/>
      <c r="R5" s="38"/>
      <c r="S5" s="38"/>
      <c r="T5" s="38"/>
      <c r="U5" s="38"/>
      <c r="V5" s="38"/>
      <c r="W5" s="38"/>
      <c r="X5" s="38"/>
      <c r="Y5" s="38"/>
      <c r="Z5" s="38"/>
      <c r="AA5" s="30"/>
      <c r="AB5" s="30"/>
      <c r="AC5" s="30"/>
    </row>
    <row r="6" spans="1:29" ht="21" customHeight="1" x14ac:dyDescent="0.55000000000000004">
      <c r="A6" s="317" t="s">
        <v>23</v>
      </c>
      <c r="B6" s="318">
        <f t="shared" ref="B6:G6" si="0">SUM(B7:B31)</f>
        <v>3975</v>
      </c>
      <c r="C6" s="318">
        <f t="shared" si="0"/>
        <v>11707</v>
      </c>
      <c r="D6" s="318">
        <f t="shared" si="0"/>
        <v>10474</v>
      </c>
      <c r="E6" s="318">
        <f t="shared" si="0"/>
        <v>26826</v>
      </c>
      <c r="F6" s="318">
        <f t="shared" si="0"/>
        <v>43335</v>
      </c>
      <c r="G6" s="318">
        <f t="shared" si="0"/>
        <v>96317</v>
      </c>
      <c r="H6" s="341">
        <f>G6/G6*100</f>
        <v>100</v>
      </c>
      <c r="I6" s="74" t="s">
        <v>13</v>
      </c>
      <c r="J6" s="37"/>
      <c r="K6" s="37"/>
      <c r="L6" s="37"/>
      <c r="M6" s="37"/>
      <c r="N6" s="37"/>
      <c r="O6" s="37"/>
      <c r="P6" s="37"/>
      <c r="Q6" s="37"/>
      <c r="R6" s="37"/>
      <c r="S6" s="37"/>
      <c r="T6" s="37"/>
      <c r="U6" s="37"/>
      <c r="V6" s="37"/>
      <c r="W6" s="37"/>
      <c r="X6" s="37"/>
      <c r="Y6" s="37"/>
      <c r="Z6" s="37"/>
      <c r="AA6" s="30"/>
      <c r="AB6" s="30"/>
      <c r="AC6" s="30"/>
    </row>
    <row r="7" spans="1:29" ht="21" customHeight="1" x14ac:dyDescent="0.55000000000000004">
      <c r="A7" s="133" t="s">
        <v>155</v>
      </c>
      <c r="B7" s="140">
        <v>27</v>
      </c>
      <c r="C7" s="140">
        <v>28</v>
      </c>
      <c r="D7" s="140">
        <v>137</v>
      </c>
      <c r="E7" s="140">
        <v>0</v>
      </c>
      <c r="F7" s="140">
        <v>0</v>
      </c>
      <c r="G7" s="139">
        <f t="shared" ref="G7:G20" si="1">SUM(B7:F7)</f>
        <v>192</v>
      </c>
      <c r="H7" s="319">
        <f t="shared" ref="H7:H31" si="2">G7/$G$6*100</f>
        <v>0.19934175690688041</v>
      </c>
      <c r="I7" s="86" t="s">
        <v>156</v>
      </c>
      <c r="J7" s="30"/>
      <c r="K7" s="30"/>
      <c r="L7" s="30"/>
      <c r="M7" s="30"/>
      <c r="N7" s="30"/>
      <c r="O7" s="30"/>
      <c r="P7" s="30"/>
      <c r="Q7" s="30"/>
      <c r="R7" s="30"/>
      <c r="S7" s="30"/>
      <c r="T7" s="30"/>
      <c r="U7" s="30"/>
      <c r="V7" s="30"/>
      <c r="W7" s="30"/>
      <c r="X7" s="30"/>
      <c r="Y7" s="30"/>
      <c r="Z7" s="30"/>
      <c r="AA7" s="30"/>
      <c r="AB7" s="30"/>
      <c r="AC7" s="30"/>
    </row>
    <row r="8" spans="1:29" ht="21" customHeight="1" x14ac:dyDescent="0.55000000000000004">
      <c r="A8" s="133" t="s">
        <v>157</v>
      </c>
      <c r="B8" s="140">
        <v>26</v>
      </c>
      <c r="C8" s="140">
        <v>43</v>
      </c>
      <c r="D8" s="140">
        <v>51</v>
      </c>
      <c r="E8" s="140">
        <v>425</v>
      </c>
      <c r="F8" s="140">
        <v>3761</v>
      </c>
      <c r="G8" s="139">
        <f t="shared" si="1"/>
        <v>4306</v>
      </c>
      <c r="H8" s="319">
        <f t="shared" si="2"/>
        <v>4.4706541939636821</v>
      </c>
      <c r="I8" s="86" t="s">
        <v>158</v>
      </c>
      <c r="J8" s="30"/>
      <c r="K8" s="30"/>
      <c r="L8" s="30"/>
      <c r="M8" s="30"/>
      <c r="N8" s="30"/>
      <c r="O8" s="30"/>
      <c r="P8" s="30"/>
      <c r="Q8" s="30"/>
      <c r="R8" s="30"/>
      <c r="S8" s="30"/>
      <c r="T8" s="30"/>
      <c r="U8" s="30"/>
      <c r="V8" s="30"/>
      <c r="W8" s="30"/>
      <c r="X8" s="30"/>
      <c r="Y8" s="30"/>
      <c r="Z8" s="30"/>
      <c r="AA8" s="30"/>
      <c r="AB8" s="30"/>
      <c r="AC8" s="30"/>
    </row>
    <row r="9" spans="1:29" ht="21" customHeight="1" x14ac:dyDescent="0.55000000000000004">
      <c r="A9" s="133" t="s">
        <v>159</v>
      </c>
      <c r="B9" s="140">
        <v>10</v>
      </c>
      <c r="C9" s="140">
        <v>12</v>
      </c>
      <c r="D9" s="140">
        <v>0</v>
      </c>
      <c r="E9" s="140">
        <v>0</v>
      </c>
      <c r="F9" s="140">
        <v>0</v>
      </c>
      <c r="G9" s="139">
        <f t="shared" si="1"/>
        <v>22</v>
      </c>
      <c r="H9" s="319">
        <f t="shared" si="2"/>
        <v>2.2841242978913379E-2</v>
      </c>
      <c r="I9" s="86" t="s">
        <v>160</v>
      </c>
      <c r="J9" s="30"/>
      <c r="K9" s="30"/>
      <c r="L9" s="30"/>
      <c r="M9" s="30"/>
      <c r="N9" s="30"/>
      <c r="O9" s="30"/>
      <c r="P9" s="30"/>
      <c r="Q9" s="30"/>
      <c r="R9" s="30"/>
      <c r="S9" s="30"/>
      <c r="T9" s="30"/>
      <c r="U9" s="30"/>
      <c r="V9" s="30"/>
      <c r="W9" s="30"/>
      <c r="X9" s="30"/>
      <c r="Y9" s="30"/>
      <c r="Z9" s="30"/>
      <c r="AA9" s="30"/>
      <c r="AB9" s="30"/>
      <c r="AC9" s="30"/>
    </row>
    <row r="10" spans="1:29" ht="21" customHeight="1" x14ac:dyDescent="0.55000000000000004">
      <c r="A10" s="133" t="s">
        <v>161</v>
      </c>
      <c r="B10" s="140">
        <v>39</v>
      </c>
      <c r="C10" s="140">
        <v>0</v>
      </c>
      <c r="D10" s="140">
        <v>0</v>
      </c>
      <c r="E10" s="140">
        <v>0</v>
      </c>
      <c r="F10" s="140">
        <v>0</v>
      </c>
      <c r="G10" s="139">
        <f t="shared" si="1"/>
        <v>39</v>
      </c>
      <c r="H10" s="319">
        <f t="shared" si="2"/>
        <v>4.0491294371710083E-2</v>
      </c>
      <c r="I10" s="86" t="s">
        <v>162</v>
      </c>
      <c r="J10" s="30"/>
      <c r="K10" s="30"/>
      <c r="L10" s="30"/>
      <c r="M10" s="30"/>
      <c r="N10" s="30"/>
      <c r="O10" s="30"/>
      <c r="P10" s="30"/>
      <c r="Q10" s="30"/>
      <c r="R10" s="30"/>
      <c r="S10" s="30"/>
      <c r="T10" s="30"/>
      <c r="U10" s="30"/>
      <c r="V10" s="30"/>
      <c r="W10" s="30"/>
      <c r="X10" s="30"/>
      <c r="Y10" s="30"/>
      <c r="Z10" s="30"/>
      <c r="AA10" s="30"/>
      <c r="AB10" s="30"/>
      <c r="AC10" s="30"/>
    </row>
    <row r="11" spans="1:29" ht="21" customHeight="1" x14ac:dyDescent="0.55000000000000004">
      <c r="A11" s="133" t="s">
        <v>163</v>
      </c>
      <c r="B11" s="140">
        <v>340</v>
      </c>
      <c r="C11" s="140">
        <v>650</v>
      </c>
      <c r="D11" s="140">
        <v>287</v>
      </c>
      <c r="E11" s="140">
        <v>710</v>
      </c>
      <c r="F11" s="140">
        <v>574</v>
      </c>
      <c r="G11" s="139">
        <f t="shared" si="1"/>
        <v>2561</v>
      </c>
      <c r="H11" s="319">
        <f t="shared" si="2"/>
        <v>2.6589283304089619</v>
      </c>
      <c r="I11" s="86" t="s">
        <v>164</v>
      </c>
      <c r="J11" s="30"/>
      <c r="K11" s="30"/>
      <c r="L11" s="30"/>
      <c r="M11" s="30"/>
      <c r="N11" s="30"/>
      <c r="O11" s="30"/>
      <c r="P11" s="30"/>
      <c r="Q11" s="30"/>
      <c r="R11" s="30"/>
      <c r="S11" s="30"/>
      <c r="T11" s="30"/>
      <c r="U11" s="30"/>
      <c r="V11" s="30"/>
      <c r="W11" s="30"/>
      <c r="X11" s="30"/>
      <c r="Y11" s="30"/>
      <c r="Z11" s="30"/>
      <c r="AA11" s="30"/>
      <c r="AB11" s="30"/>
      <c r="AC11" s="30"/>
    </row>
    <row r="12" spans="1:29" ht="21" customHeight="1" x14ac:dyDescent="0.55000000000000004">
      <c r="A12" s="133" t="s">
        <v>165</v>
      </c>
      <c r="B12" s="140">
        <v>54</v>
      </c>
      <c r="C12" s="140">
        <v>28</v>
      </c>
      <c r="D12" s="140">
        <v>0</v>
      </c>
      <c r="E12" s="140">
        <v>140</v>
      </c>
      <c r="F12" s="140">
        <v>0</v>
      </c>
      <c r="G12" s="139">
        <f t="shared" si="1"/>
        <v>222</v>
      </c>
      <c r="H12" s="319">
        <f t="shared" si="2"/>
        <v>0.23048890642358047</v>
      </c>
      <c r="I12" s="86" t="s">
        <v>166</v>
      </c>
      <c r="J12" s="30"/>
      <c r="K12" s="30"/>
      <c r="L12" s="30"/>
      <c r="M12" s="30"/>
      <c r="N12" s="30"/>
      <c r="O12" s="30"/>
      <c r="P12" s="30"/>
      <c r="Q12" s="30"/>
      <c r="R12" s="30"/>
      <c r="S12" s="30"/>
      <c r="T12" s="30"/>
      <c r="U12" s="30"/>
      <c r="V12" s="30"/>
      <c r="W12" s="30"/>
      <c r="X12" s="30"/>
      <c r="Y12" s="30"/>
      <c r="Z12" s="30"/>
      <c r="AA12" s="30"/>
      <c r="AB12" s="30"/>
      <c r="AC12" s="30"/>
    </row>
    <row r="13" spans="1:29" ht="39.75" customHeight="1" x14ac:dyDescent="0.25">
      <c r="A13" s="320" t="s">
        <v>167</v>
      </c>
      <c r="B13" s="321">
        <v>113</v>
      </c>
      <c r="C13" s="321">
        <v>617</v>
      </c>
      <c r="D13" s="321">
        <v>317</v>
      </c>
      <c r="E13" s="321">
        <v>1142</v>
      </c>
      <c r="F13" s="321">
        <v>2664</v>
      </c>
      <c r="G13" s="139">
        <f t="shared" si="1"/>
        <v>4853</v>
      </c>
      <c r="H13" s="319">
        <f t="shared" si="2"/>
        <v>5.0385705534848464</v>
      </c>
      <c r="I13" s="323" t="s">
        <v>168</v>
      </c>
      <c r="J13" s="30"/>
      <c r="K13" s="30"/>
      <c r="L13" s="30"/>
      <c r="M13" s="30"/>
      <c r="N13" s="30"/>
      <c r="O13" s="30"/>
      <c r="P13" s="30"/>
      <c r="Q13" s="30"/>
      <c r="R13" s="30"/>
      <c r="S13" s="30"/>
      <c r="T13" s="30"/>
      <c r="U13" s="30"/>
      <c r="V13" s="30"/>
      <c r="W13" s="30"/>
      <c r="X13" s="30"/>
      <c r="Y13" s="30"/>
      <c r="Z13" s="30"/>
      <c r="AA13" s="30"/>
      <c r="AB13" s="30"/>
      <c r="AC13" s="30"/>
    </row>
    <row r="14" spans="1:29" ht="23.25" customHeight="1" x14ac:dyDescent="0.55000000000000004">
      <c r="A14" s="133" t="s">
        <v>169</v>
      </c>
      <c r="B14" s="140">
        <v>36</v>
      </c>
      <c r="C14" s="140">
        <v>89</v>
      </c>
      <c r="D14" s="140">
        <v>61</v>
      </c>
      <c r="E14" s="140">
        <v>231</v>
      </c>
      <c r="F14" s="140">
        <v>910</v>
      </c>
      <c r="G14" s="139">
        <f t="shared" si="1"/>
        <v>1327</v>
      </c>
      <c r="H14" s="319">
        <f t="shared" si="2"/>
        <v>1.3777422469553662</v>
      </c>
      <c r="I14" s="86" t="s">
        <v>170</v>
      </c>
      <c r="J14" s="30"/>
      <c r="K14" s="30"/>
      <c r="L14" s="30"/>
      <c r="M14" s="30"/>
      <c r="N14" s="30"/>
      <c r="O14" s="30"/>
      <c r="P14" s="30"/>
      <c r="Q14" s="30"/>
      <c r="R14" s="30"/>
      <c r="S14" s="30"/>
      <c r="T14" s="30"/>
      <c r="U14" s="30"/>
      <c r="V14" s="30"/>
      <c r="W14" s="30"/>
      <c r="X14" s="30"/>
      <c r="Y14" s="30"/>
      <c r="Z14" s="30"/>
      <c r="AA14" s="30"/>
      <c r="AB14" s="30"/>
      <c r="AC14" s="30"/>
    </row>
    <row r="15" spans="1:29" ht="21" customHeight="1" x14ac:dyDescent="0.55000000000000004">
      <c r="A15" s="133" t="s">
        <v>171</v>
      </c>
      <c r="B15" s="140">
        <v>1</v>
      </c>
      <c r="C15" s="140">
        <v>51</v>
      </c>
      <c r="D15" s="140">
        <v>69</v>
      </c>
      <c r="E15" s="140">
        <v>0</v>
      </c>
      <c r="F15" s="140">
        <v>0</v>
      </c>
      <c r="G15" s="139">
        <f t="shared" si="1"/>
        <v>121</v>
      </c>
      <c r="H15" s="319">
        <f t="shared" si="2"/>
        <v>0.12562683638402361</v>
      </c>
      <c r="I15" s="86" t="s">
        <v>172</v>
      </c>
      <c r="J15" s="30"/>
      <c r="K15" s="30"/>
      <c r="L15" s="30"/>
      <c r="M15" s="30"/>
      <c r="N15" s="30"/>
      <c r="O15" s="30"/>
      <c r="P15" s="30"/>
      <c r="Q15" s="30"/>
      <c r="R15" s="30"/>
      <c r="S15" s="30"/>
      <c r="T15" s="30"/>
      <c r="U15" s="30"/>
      <c r="V15" s="30"/>
      <c r="W15" s="30"/>
      <c r="X15" s="30"/>
      <c r="Y15" s="30"/>
      <c r="Z15" s="30"/>
      <c r="AA15" s="30"/>
      <c r="AB15" s="30"/>
      <c r="AC15" s="30"/>
    </row>
    <row r="16" spans="1:29" ht="21" customHeight="1" x14ac:dyDescent="0.55000000000000004">
      <c r="A16" s="133" t="s">
        <v>173</v>
      </c>
      <c r="B16" s="140">
        <v>368</v>
      </c>
      <c r="C16" s="140">
        <v>3909</v>
      </c>
      <c r="D16" s="140">
        <v>4521</v>
      </c>
      <c r="E16" s="140">
        <v>10858</v>
      </c>
      <c r="F16" s="140">
        <v>20795</v>
      </c>
      <c r="G16" s="139">
        <f t="shared" si="1"/>
        <v>40451</v>
      </c>
      <c r="H16" s="319">
        <f t="shared" si="2"/>
        <v>41.997778170001141</v>
      </c>
      <c r="I16" s="86" t="s">
        <v>174</v>
      </c>
      <c r="J16" s="30"/>
      <c r="K16" s="30"/>
      <c r="L16" s="30"/>
      <c r="M16" s="30"/>
      <c r="N16" s="30"/>
      <c r="O16" s="30"/>
      <c r="P16" s="30"/>
      <c r="Q16" s="30"/>
      <c r="R16" s="30"/>
      <c r="S16" s="30"/>
      <c r="T16" s="30"/>
      <c r="U16" s="30"/>
      <c r="V16" s="30"/>
      <c r="W16" s="30"/>
      <c r="X16" s="30"/>
      <c r="Y16" s="30"/>
      <c r="Z16" s="30"/>
      <c r="AA16" s="30"/>
      <c r="AB16" s="30"/>
      <c r="AC16" s="30"/>
    </row>
    <row r="17" spans="1:29" ht="21" customHeight="1" x14ac:dyDescent="0.55000000000000004">
      <c r="A17" s="133" t="s">
        <v>175</v>
      </c>
      <c r="B17" s="140">
        <v>105</v>
      </c>
      <c r="C17" s="140">
        <v>288</v>
      </c>
      <c r="D17" s="140">
        <v>63</v>
      </c>
      <c r="E17" s="140">
        <v>662</v>
      </c>
      <c r="F17" s="140">
        <v>0</v>
      </c>
      <c r="G17" s="139">
        <f t="shared" si="1"/>
        <v>1118</v>
      </c>
      <c r="H17" s="319">
        <f t="shared" si="2"/>
        <v>1.1607504386556891</v>
      </c>
      <c r="I17" s="86" t="s">
        <v>176</v>
      </c>
      <c r="J17" s="30"/>
      <c r="K17" s="30"/>
      <c r="L17" s="30"/>
      <c r="M17" s="30"/>
      <c r="N17" s="30"/>
      <c r="O17" s="30"/>
      <c r="P17" s="30"/>
      <c r="Q17" s="30"/>
      <c r="R17" s="30"/>
      <c r="S17" s="30"/>
      <c r="T17" s="30"/>
      <c r="U17" s="30"/>
      <c r="V17" s="30"/>
      <c r="W17" s="30"/>
      <c r="X17" s="30"/>
      <c r="Y17" s="30"/>
      <c r="Z17" s="30"/>
      <c r="AA17" s="30"/>
      <c r="AB17" s="30"/>
      <c r="AC17" s="30"/>
    </row>
    <row r="18" spans="1:29" ht="21" customHeight="1" x14ac:dyDescent="0.55000000000000004">
      <c r="A18" s="133" t="s">
        <v>177</v>
      </c>
      <c r="B18" s="140">
        <v>603</v>
      </c>
      <c r="C18" s="140">
        <v>1911</v>
      </c>
      <c r="D18" s="140">
        <v>2319</v>
      </c>
      <c r="E18" s="140">
        <v>10163</v>
      </c>
      <c r="F18" s="140">
        <v>4276</v>
      </c>
      <c r="G18" s="139">
        <f t="shared" si="1"/>
        <v>19272</v>
      </c>
      <c r="H18" s="319">
        <f t="shared" si="2"/>
        <v>20.008928849528122</v>
      </c>
      <c r="I18" s="86" t="s">
        <v>178</v>
      </c>
      <c r="J18" s="30"/>
      <c r="K18" s="30"/>
      <c r="L18" s="30"/>
      <c r="M18" s="30"/>
      <c r="N18" s="30"/>
      <c r="O18" s="30"/>
      <c r="P18" s="30"/>
      <c r="Q18" s="30"/>
      <c r="R18" s="30"/>
      <c r="S18" s="30"/>
      <c r="T18" s="30"/>
      <c r="U18" s="30"/>
      <c r="V18" s="30"/>
      <c r="W18" s="30"/>
      <c r="X18" s="30"/>
      <c r="Y18" s="30"/>
      <c r="Z18" s="30"/>
      <c r="AA18" s="30"/>
      <c r="AB18" s="30"/>
      <c r="AC18" s="30"/>
    </row>
    <row r="19" spans="1:29" ht="21" customHeight="1" x14ac:dyDescent="0.55000000000000004">
      <c r="A19" s="133" t="s">
        <v>179</v>
      </c>
      <c r="B19" s="140">
        <v>2</v>
      </c>
      <c r="C19" s="140">
        <v>37</v>
      </c>
      <c r="D19" s="140">
        <v>0</v>
      </c>
      <c r="E19" s="140">
        <v>0</v>
      </c>
      <c r="F19" s="140">
        <v>0</v>
      </c>
      <c r="G19" s="139">
        <f t="shared" si="1"/>
        <v>39</v>
      </c>
      <c r="H19" s="319">
        <f t="shared" si="2"/>
        <v>4.0491294371710083E-2</v>
      </c>
      <c r="I19" s="86" t="s">
        <v>180</v>
      </c>
      <c r="J19" s="30"/>
      <c r="K19" s="30"/>
      <c r="L19" s="30"/>
      <c r="M19" s="30"/>
      <c r="N19" s="30"/>
      <c r="O19" s="30"/>
      <c r="P19" s="30"/>
      <c r="Q19" s="30"/>
      <c r="R19" s="30"/>
      <c r="S19" s="30"/>
      <c r="T19" s="30"/>
      <c r="U19" s="30"/>
      <c r="V19" s="30"/>
      <c r="W19" s="30"/>
      <c r="X19" s="30"/>
      <c r="Y19" s="30"/>
      <c r="Z19" s="30"/>
      <c r="AA19" s="30"/>
      <c r="AB19" s="30"/>
      <c r="AC19" s="30"/>
    </row>
    <row r="20" spans="1:29" ht="21" customHeight="1" x14ac:dyDescent="0.55000000000000004">
      <c r="A20" s="133" t="s">
        <v>181</v>
      </c>
      <c r="B20" s="140">
        <v>20</v>
      </c>
      <c r="C20" s="140">
        <v>16</v>
      </c>
      <c r="D20" s="140">
        <v>0</v>
      </c>
      <c r="E20" s="140">
        <v>0</v>
      </c>
      <c r="F20" s="140">
        <v>492</v>
      </c>
      <c r="G20" s="139">
        <f t="shared" si="1"/>
        <v>528</v>
      </c>
      <c r="H20" s="319">
        <f t="shared" si="2"/>
        <v>0.54818983149392109</v>
      </c>
      <c r="I20" s="86" t="s">
        <v>182</v>
      </c>
      <c r="J20" s="30"/>
      <c r="K20" s="30"/>
      <c r="L20" s="30"/>
      <c r="M20" s="30"/>
      <c r="N20" s="30"/>
      <c r="O20" s="30"/>
      <c r="P20" s="30"/>
      <c r="Q20" s="30"/>
      <c r="R20" s="30"/>
      <c r="S20" s="30"/>
      <c r="T20" s="30"/>
      <c r="U20" s="30"/>
      <c r="V20" s="30"/>
      <c r="W20" s="30"/>
      <c r="X20" s="30"/>
      <c r="Y20" s="30"/>
      <c r="Z20" s="30"/>
      <c r="AA20" s="30"/>
      <c r="AB20" s="30"/>
      <c r="AC20" s="30"/>
    </row>
    <row r="21" spans="1:29" ht="21" customHeight="1" x14ac:dyDescent="0.55000000000000004">
      <c r="A21" s="133" t="s">
        <v>183</v>
      </c>
      <c r="B21" s="140">
        <v>1</v>
      </c>
      <c r="C21" s="140">
        <v>0</v>
      </c>
      <c r="D21" s="140">
        <v>0</v>
      </c>
      <c r="E21" s="140">
        <v>0</v>
      </c>
      <c r="F21" s="140">
        <v>0</v>
      </c>
      <c r="G21" s="139">
        <f>B21+C21+D21+E21+F21</f>
        <v>1</v>
      </c>
      <c r="H21" s="319">
        <f t="shared" si="2"/>
        <v>1.0382383172233354E-3</v>
      </c>
      <c r="I21" s="86" t="s">
        <v>184</v>
      </c>
      <c r="J21" s="30"/>
      <c r="K21" s="30"/>
      <c r="L21" s="30"/>
      <c r="M21" s="30"/>
      <c r="N21" s="30"/>
      <c r="O21" s="30"/>
      <c r="P21" s="30"/>
      <c r="Q21" s="30"/>
      <c r="R21" s="30"/>
      <c r="S21" s="30"/>
      <c r="T21" s="30"/>
      <c r="U21" s="30"/>
      <c r="V21" s="30"/>
      <c r="W21" s="30"/>
      <c r="X21" s="30"/>
      <c r="Y21" s="30"/>
      <c r="Z21" s="30"/>
      <c r="AA21" s="30"/>
      <c r="AB21" s="30"/>
      <c r="AC21" s="30"/>
    </row>
    <row r="22" spans="1:29" ht="21" customHeight="1" x14ac:dyDescent="0.55000000000000004">
      <c r="A22" s="133" t="s">
        <v>185</v>
      </c>
      <c r="B22" s="140">
        <v>12</v>
      </c>
      <c r="C22" s="140">
        <v>31</v>
      </c>
      <c r="D22" s="140">
        <v>0</v>
      </c>
      <c r="E22" s="140">
        <v>0</v>
      </c>
      <c r="F22" s="140">
        <v>0</v>
      </c>
      <c r="G22" s="139">
        <f t="shared" ref="G22:G31" si="3">SUM(B22:F22)</f>
        <v>43</v>
      </c>
      <c r="H22" s="319">
        <f t="shared" si="2"/>
        <v>4.4644247640603422E-2</v>
      </c>
      <c r="I22" s="86" t="s">
        <v>186</v>
      </c>
      <c r="J22" s="30"/>
      <c r="K22" s="30"/>
      <c r="L22" s="30"/>
      <c r="M22" s="30"/>
      <c r="N22" s="30"/>
      <c r="O22" s="30"/>
      <c r="P22" s="30"/>
      <c r="Q22" s="30"/>
      <c r="R22" s="30"/>
      <c r="S22" s="30"/>
      <c r="T22" s="30"/>
      <c r="U22" s="30"/>
      <c r="V22" s="30"/>
      <c r="W22" s="30"/>
      <c r="X22" s="30"/>
      <c r="Y22" s="30"/>
      <c r="Z22" s="30"/>
      <c r="AA22" s="30"/>
      <c r="AB22" s="30"/>
      <c r="AC22" s="30"/>
    </row>
    <row r="23" spans="1:29" ht="21" customHeight="1" x14ac:dyDescent="0.55000000000000004">
      <c r="A23" s="133" t="s">
        <v>187</v>
      </c>
      <c r="B23" s="140">
        <v>69</v>
      </c>
      <c r="C23" s="140">
        <v>131</v>
      </c>
      <c r="D23" s="140">
        <v>0</v>
      </c>
      <c r="E23" s="140">
        <v>0</v>
      </c>
      <c r="F23" s="140">
        <v>0</v>
      </c>
      <c r="G23" s="139">
        <f t="shared" si="3"/>
        <v>200</v>
      </c>
      <c r="H23" s="319">
        <f t="shared" si="2"/>
        <v>0.20764766344466709</v>
      </c>
      <c r="I23" s="86" t="s">
        <v>188</v>
      </c>
      <c r="J23" s="30"/>
      <c r="K23" s="30"/>
      <c r="L23" s="30"/>
      <c r="M23" s="30"/>
      <c r="N23" s="30"/>
      <c r="O23" s="30"/>
      <c r="P23" s="30"/>
      <c r="Q23" s="30"/>
      <c r="R23" s="30"/>
      <c r="S23" s="30"/>
      <c r="T23" s="30"/>
      <c r="U23" s="30"/>
      <c r="V23" s="30"/>
      <c r="W23" s="30"/>
      <c r="X23" s="30"/>
      <c r="Y23" s="30"/>
      <c r="Z23" s="30"/>
      <c r="AA23" s="30"/>
      <c r="AB23" s="30"/>
      <c r="AC23" s="30"/>
    </row>
    <row r="24" spans="1:29" ht="21" customHeight="1" x14ac:dyDescent="0.55000000000000004">
      <c r="A24" s="133" t="s">
        <v>189</v>
      </c>
      <c r="B24" s="140">
        <v>0</v>
      </c>
      <c r="C24" s="140">
        <v>25</v>
      </c>
      <c r="D24" s="140">
        <v>64</v>
      </c>
      <c r="E24" s="140">
        <v>0</v>
      </c>
      <c r="F24" s="140">
        <v>0</v>
      </c>
      <c r="G24" s="139">
        <f t="shared" si="3"/>
        <v>89</v>
      </c>
      <c r="H24" s="319">
        <f t="shared" si="2"/>
        <v>9.2403210232876856E-2</v>
      </c>
      <c r="I24" s="86" t="s">
        <v>190</v>
      </c>
      <c r="J24" s="30"/>
      <c r="K24" s="30"/>
      <c r="L24" s="30"/>
      <c r="M24" s="30"/>
      <c r="N24" s="30"/>
      <c r="O24" s="30"/>
      <c r="P24" s="30"/>
      <c r="Q24" s="30"/>
      <c r="R24" s="30"/>
      <c r="S24" s="30"/>
      <c r="T24" s="30"/>
      <c r="U24" s="30"/>
      <c r="V24" s="30"/>
      <c r="W24" s="30"/>
      <c r="X24" s="30"/>
      <c r="Y24" s="30"/>
      <c r="Z24" s="30"/>
      <c r="AA24" s="30"/>
      <c r="AB24" s="30"/>
      <c r="AC24" s="30"/>
    </row>
    <row r="25" spans="1:29" ht="21" customHeight="1" x14ac:dyDescent="0.55000000000000004">
      <c r="A25" s="133" t="s">
        <v>191</v>
      </c>
      <c r="B25" s="140">
        <v>85</v>
      </c>
      <c r="C25" s="140">
        <v>497</v>
      </c>
      <c r="D25" s="140">
        <v>569</v>
      </c>
      <c r="E25" s="140">
        <v>668</v>
      </c>
      <c r="F25" s="140">
        <v>0</v>
      </c>
      <c r="G25" s="139">
        <f t="shared" si="3"/>
        <v>1819</v>
      </c>
      <c r="H25" s="319">
        <f t="shared" si="2"/>
        <v>1.8885554990292472</v>
      </c>
      <c r="I25" s="86" t="s">
        <v>192</v>
      </c>
      <c r="J25" s="30"/>
      <c r="K25" s="30"/>
      <c r="L25" s="30"/>
      <c r="M25" s="30"/>
      <c r="N25" s="30"/>
      <c r="O25" s="30"/>
      <c r="P25" s="30"/>
      <c r="Q25" s="30"/>
      <c r="R25" s="30"/>
      <c r="S25" s="30"/>
      <c r="T25" s="30"/>
      <c r="U25" s="30"/>
      <c r="V25" s="30"/>
      <c r="W25" s="30"/>
      <c r="X25" s="30"/>
      <c r="Y25" s="30"/>
      <c r="Z25" s="30"/>
      <c r="AA25" s="30"/>
      <c r="AB25" s="30"/>
      <c r="AC25" s="30"/>
    </row>
    <row r="26" spans="1:29" ht="21" customHeight="1" x14ac:dyDescent="0.55000000000000004">
      <c r="A26" s="133" t="s">
        <v>193</v>
      </c>
      <c r="B26" s="140">
        <v>122</v>
      </c>
      <c r="C26" s="140">
        <v>166</v>
      </c>
      <c r="D26" s="140">
        <v>188</v>
      </c>
      <c r="E26" s="140">
        <v>233</v>
      </c>
      <c r="F26" s="140">
        <v>2703</v>
      </c>
      <c r="G26" s="139">
        <f t="shared" si="3"/>
        <v>3412</v>
      </c>
      <c r="H26" s="319">
        <f t="shared" si="2"/>
        <v>3.5424691383660201</v>
      </c>
      <c r="I26" s="86" t="s">
        <v>194</v>
      </c>
      <c r="J26" s="30"/>
      <c r="K26" s="30"/>
      <c r="L26" s="30"/>
      <c r="M26" s="30"/>
      <c r="N26" s="30"/>
      <c r="O26" s="30"/>
      <c r="P26" s="30"/>
      <c r="Q26" s="30"/>
      <c r="R26" s="30"/>
      <c r="S26" s="30"/>
      <c r="T26" s="30"/>
      <c r="U26" s="30"/>
      <c r="V26" s="30"/>
      <c r="W26" s="30"/>
      <c r="X26" s="30"/>
      <c r="Y26" s="30"/>
      <c r="Z26" s="30"/>
      <c r="AA26" s="30"/>
      <c r="AB26" s="30"/>
      <c r="AC26" s="30"/>
    </row>
    <row r="27" spans="1:29" ht="21" customHeight="1" x14ac:dyDescent="0.55000000000000004">
      <c r="A27" s="133" t="s">
        <v>195</v>
      </c>
      <c r="B27" s="140">
        <v>747</v>
      </c>
      <c r="C27" s="140">
        <v>1333</v>
      </c>
      <c r="D27" s="140">
        <v>765</v>
      </c>
      <c r="E27" s="140">
        <v>641</v>
      </c>
      <c r="F27" s="140">
        <v>0</v>
      </c>
      <c r="G27" s="139">
        <f t="shared" si="3"/>
        <v>3486</v>
      </c>
      <c r="H27" s="319">
        <f t="shared" si="2"/>
        <v>3.6192987738405473</v>
      </c>
      <c r="I27" s="86" t="s">
        <v>196</v>
      </c>
      <c r="J27" s="30"/>
      <c r="K27" s="30"/>
      <c r="L27" s="30"/>
      <c r="M27" s="30"/>
      <c r="N27" s="30"/>
      <c r="O27" s="30"/>
      <c r="P27" s="30"/>
      <c r="Q27" s="30"/>
      <c r="R27" s="30"/>
      <c r="S27" s="30"/>
      <c r="T27" s="30"/>
      <c r="U27" s="30"/>
      <c r="V27" s="30"/>
      <c r="W27" s="30"/>
      <c r="X27" s="30"/>
      <c r="Y27" s="30"/>
      <c r="Z27" s="30"/>
      <c r="AA27" s="30"/>
      <c r="AB27" s="30"/>
      <c r="AC27" s="30"/>
    </row>
    <row r="28" spans="1:29" ht="21" customHeight="1" x14ac:dyDescent="0.55000000000000004">
      <c r="A28" s="133" t="s">
        <v>197</v>
      </c>
      <c r="B28" s="140">
        <v>33</v>
      </c>
      <c r="C28" s="140">
        <v>107</v>
      </c>
      <c r="D28" s="140">
        <v>319</v>
      </c>
      <c r="E28" s="140">
        <v>271</v>
      </c>
      <c r="F28" s="140">
        <v>1172</v>
      </c>
      <c r="G28" s="139">
        <f t="shared" si="3"/>
        <v>1902</v>
      </c>
      <c r="H28" s="319">
        <f t="shared" si="2"/>
        <v>1.9747292793587841</v>
      </c>
      <c r="I28" s="86" t="s">
        <v>198</v>
      </c>
      <c r="J28" s="30"/>
      <c r="K28" s="30"/>
      <c r="L28" s="30"/>
      <c r="M28" s="30"/>
      <c r="N28" s="30"/>
      <c r="O28" s="30"/>
      <c r="P28" s="30"/>
      <c r="Q28" s="30"/>
      <c r="R28" s="30"/>
      <c r="S28" s="30"/>
      <c r="T28" s="30"/>
      <c r="U28" s="30"/>
      <c r="V28" s="30"/>
      <c r="W28" s="30"/>
      <c r="X28" s="30"/>
      <c r="Y28" s="30"/>
      <c r="Z28" s="30"/>
      <c r="AA28" s="30"/>
      <c r="AB28" s="30"/>
      <c r="AC28" s="30"/>
    </row>
    <row r="29" spans="1:29" ht="21" customHeight="1" x14ac:dyDescent="0.55000000000000004">
      <c r="A29" s="133" t="s">
        <v>199</v>
      </c>
      <c r="B29" s="140">
        <v>9</v>
      </c>
      <c r="C29" s="140">
        <v>24</v>
      </c>
      <c r="D29" s="140">
        <v>0</v>
      </c>
      <c r="E29" s="140">
        <v>0</v>
      </c>
      <c r="F29" s="140">
        <v>0</v>
      </c>
      <c r="G29" s="139">
        <f t="shared" si="3"/>
        <v>33</v>
      </c>
      <c r="H29" s="319">
        <f t="shared" si="2"/>
        <v>3.4261864468370068E-2</v>
      </c>
      <c r="I29" s="86" t="s">
        <v>200</v>
      </c>
      <c r="J29" s="30"/>
      <c r="K29" s="30"/>
      <c r="L29" s="30"/>
      <c r="M29" s="30"/>
      <c r="N29" s="30"/>
      <c r="O29" s="30"/>
      <c r="P29" s="30"/>
      <c r="Q29" s="30"/>
      <c r="R29" s="30"/>
      <c r="S29" s="30"/>
      <c r="T29" s="30"/>
      <c r="U29" s="30"/>
      <c r="V29" s="30"/>
      <c r="W29" s="30"/>
      <c r="X29" s="30"/>
      <c r="Y29" s="30"/>
      <c r="Z29" s="30"/>
      <c r="AA29" s="30"/>
      <c r="AB29" s="30"/>
      <c r="AC29" s="30"/>
    </row>
    <row r="30" spans="1:29" ht="21" customHeight="1" x14ac:dyDescent="0.55000000000000004">
      <c r="A30" s="133" t="s">
        <v>201</v>
      </c>
      <c r="B30" s="140">
        <v>326</v>
      </c>
      <c r="C30" s="140">
        <v>465</v>
      </c>
      <c r="D30" s="140">
        <v>369</v>
      </c>
      <c r="E30" s="140">
        <v>165</v>
      </c>
      <c r="F30" s="140">
        <v>2123</v>
      </c>
      <c r="G30" s="139">
        <f t="shared" si="3"/>
        <v>3448</v>
      </c>
      <c r="H30" s="319">
        <f t="shared" si="2"/>
        <v>3.5798457177860605</v>
      </c>
      <c r="I30" s="86" t="s">
        <v>202</v>
      </c>
      <c r="J30" s="30"/>
      <c r="K30" s="30"/>
      <c r="L30" s="30"/>
      <c r="M30" s="30"/>
      <c r="N30" s="30"/>
      <c r="O30" s="30"/>
      <c r="P30" s="30"/>
      <c r="Q30" s="30"/>
      <c r="R30" s="30"/>
      <c r="S30" s="30"/>
      <c r="T30" s="30"/>
      <c r="U30" s="30"/>
      <c r="V30" s="30"/>
      <c r="W30" s="30"/>
      <c r="X30" s="30"/>
      <c r="Y30" s="30"/>
      <c r="Z30" s="30"/>
      <c r="AA30" s="30"/>
      <c r="AB30" s="30"/>
      <c r="AC30" s="30"/>
    </row>
    <row r="31" spans="1:29" ht="21" customHeight="1" x14ac:dyDescent="0.55000000000000004">
      <c r="A31" s="147" t="s">
        <v>203</v>
      </c>
      <c r="B31" s="154">
        <v>827</v>
      </c>
      <c r="C31" s="154">
        <v>1249</v>
      </c>
      <c r="D31" s="154">
        <v>375</v>
      </c>
      <c r="E31" s="154">
        <v>517</v>
      </c>
      <c r="F31" s="154">
        <v>3865</v>
      </c>
      <c r="G31" s="153">
        <f t="shared" si="3"/>
        <v>6833</v>
      </c>
      <c r="H31" s="325">
        <f t="shared" si="2"/>
        <v>7.0942824215870521</v>
      </c>
      <c r="I31" s="99" t="s">
        <v>204</v>
      </c>
      <c r="J31" s="30"/>
      <c r="K31" s="30"/>
      <c r="L31" s="30"/>
      <c r="M31" s="30"/>
      <c r="N31" s="30"/>
      <c r="O31" s="30"/>
      <c r="P31" s="30"/>
      <c r="Q31" s="30"/>
      <c r="R31" s="30"/>
      <c r="S31" s="30"/>
      <c r="T31" s="30"/>
      <c r="U31" s="30"/>
      <c r="V31" s="30"/>
      <c r="W31" s="30"/>
      <c r="X31" s="30"/>
      <c r="Y31" s="30"/>
      <c r="Z31" s="30"/>
      <c r="AA31" s="30"/>
      <c r="AB31" s="30"/>
      <c r="AC31" s="30"/>
    </row>
    <row r="32" spans="1:29" ht="21" customHeight="1" x14ac:dyDescent="0.55000000000000004">
      <c r="A32" s="342" t="s">
        <v>209</v>
      </c>
      <c r="B32" s="139"/>
      <c r="C32" s="139"/>
      <c r="D32" s="139"/>
      <c r="E32" s="139"/>
      <c r="F32" s="139"/>
      <c r="G32" s="139"/>
      <c r="H32" s="319"/>
      <c r="I32" s="87"/>
      <c r="J32" s="30"/>
      <c r="K32" s="30"/>
      <c r="L32" s="30"/>
      <c r="M32" s="30"/>
      <c r="N32" s="30"/>
      <c r="O32" s="30"/>
      <c r="P32" s="30"/>
      <c r="Q32" s="30"/>
      <c r="R32" s="30"/>
      <c r="S32" s="30"/>
      <c r="T32" s="30"/>
      <c r="U32" s="30"/>
      <c r="V32" s="30"/>
      <c r="W32" s="30"/>
      <c r="X32" s="30"/>
      <c r="Y32" s="30"/>
      <c r="Z32" s="30"/>
      <c r="AA32" s="30"/>
      <c r="AB32" s="30"/>
      <c r="AC32" s="30"/>
    </row>
    <row r="33" spans="1:29" ht="18.75" customHeight="1" x14ac:dyDescent="0.5">
      <c r="A33" s="231" t="s">
        <v>57</v>
      </c>
      <c r="B33" s="30"/>
      <c r="C33" s="30"/>
      <c r="D33" s="30"/>
      <c r="E33" s="30"/>
      <c r="F33" s="30"/>
      <c r="G33" s="30"/>
      <c r="H33" s="232"/>
      <c r="I33" s="162" t="s">
        <v>58</v>
      </c>
      <c r="J33" s="30"/>
      <c r="K33" s="30"/>
      <c r="L33" s="30"/>
      <c r="M33" s="30"/>
      <c r="N33" s="30"/>
      <c r="O33" s="30"/>
      <c r="P33" s="30"/>
      <c r="Q33" s="30"/>
      <c r="R33" s="30"/>
      <c r="S33" s="30"/>
      <c r="T33" s="30"/>
      <c r="U33" s="30"/>
      <c r="V33" s="30"/>
      <c r="W33" s="30"/>
      <c r="X33" s="30"/>
      <c r="Y33" s="30"/>
      <c r="Z33" s="30"/>
      <c r="AA33" s="30"/>
      <c r="AB33" s="30"/>
      <c r="AC33" s="30"/>
    </row>
    <row r="34" spans="1:29" ht="15.75" customHeight="1" x14ac:dyDescent="0.25">
      <c r="A34" s="30"/>
      <c r="B34" s="30"/>
      <c r="C34" s="30"/>
      <c r="D34" s="326"/>
      <c r="E34" s="326"/>
      <c r="F34" s="30"/>
      <c r="G34" s="30"/>
      <c r="H34" s="30"/>
      <c r="I34" s="30"/>
      <c r="J34" s="30"/>
      <c r="K34" s="30"/>
      <c r="L34" s="30"/>
      <c r="M34" s="30"/>
      <c r="N34" s="30"/>
      <c r="O34" s="30"/>
      <c r="P34" s="30"/>
      <c r="Q34" s="30"/>
      <c r="R34" s="30"/>
      <c r="S34" s="30"/>
      <c r="T34" s="30"/>
      <c r="U34" s="30"/>
      <c r="V34" s="30"/>
      <c r="W34" s="30"/>
      <c r="X34" s="30"/>
      <c r="Y34" s="30"/>
      <c r="Z34" s="30"/>
      <c r="AA34" s="30"/>
      <c r="AB34" s="30"/>
      <c r="AC34" s="30"/>
    </row>
    <row r="35" spans="1:29"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spans="1:29"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row>
    <row r="37" spans="1:29"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row>
    <row r="38" spans="1:29"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row>
    <row r="39" spans="1:29" ht="15.75" customHeight="1"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row>
    <row r="40" spans="1:29" ht="15.7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row>
    <row r="41" spans="1:29" ht="15.75" customHeight="1"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row>
    <row r="42" spans="1:29" ht="15.75" customHeight="1"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row>
    <row r="43" spans="1:29" ht="15.7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row>
    <row r="44" spans="1:29" ht="15.7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row>
    <row r="45" spans="1:29" ht="15.7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row>
    <row r="46" spans="1:29" ht="15.7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row>
    <row r="47" spans="1:29" ht="15.7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row>
    <row r="48" spans="1:29" ht="15.7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row>
    <row r="49" spans="1:29" ht="15.7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row>
    <row r="50" spans="1:29" ht="15.7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row>
    <row r="51" spans="1:29" ht="15.7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row>
    <row r="52" spans="1:29" ht="15.7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row>
    <row r="53" spans="1:29" ht="15" customHeight="1" x14ac:dyDescent="0.25">
      <c r="A53" s="30"/>
      <c r="B53" s="30"/>
      <c r="C53" s="30"/>
      <c r="D53" s="30"/>
      <c r="E53" s="30"/>
      <c r="F53" s="30"/>
      <c r="G53" s="30"/>
      <c r="H53" s="30"/>
      <c r="I53" s="343"/>
      <c r="J53" s="30"/>
      <c r="K53" s="30"/>
      <c r="L53" s="30"/>
      <c r="M53" s="30"/>
      <c r="N53" s="30"/>
      <c r="O53" s="30"/>
      <c r="P53" s="30"/>
      <c r="Q53" s="30"/>
      <c r="R53" s="30"/>
      <c r="S53" s="30"/>
      <c r="T53" s="30"/>
      <c r="U53" s="30"/>
      <c r="V53" s="30"/>
      <c r="W53" s="30"/>
      <c r="X53" s="30"/>
      <c r="Y53" s="30"/>
      <c r="Z53" s="30"/>
      <c r="AA53" s="30"/>
      <c r="AB53" s="30"/>
      <c r="AC53" s="30"/>
    </row>
    <row r="54" spans="1:29" ht="15.7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row>
  </sheetData>
  <mergeCells count="6">
    <mergeCell ref="A1:I1"/>
    <mergeCell ref="H4:H5"/>
    <mergeCell ref="I4:I5"/>
    <mergeCell ref="B4:G4"/>
    <mergeCell ref="A4:A5"/>
    <mergeCell ref="A2:I2"/>
  </mergeCells>
  <pageMargins left="0.7" right="0.7" top="0.75" bottom="0.75" header="0" footer="0"/>
  <pageSetup paperSize="9" scale="73" orientation="landscape" horizontalDpi="4294967295" verticalDpi="4294967295" r:id="rId1"/>
  <rowBreaks count="1" manualBreakCount="1">
    <brk id="33" max="9"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61"/>
  <sheetViews>
    <sheetView view="pageBreakPreview" topLeftCell="A22" zoomScale="60" zoomScaleNormal="100" workbookViewId="0">
      <selection activeCell="J65" sqref="J65"/>
    </sheetView>
  </sheetViews>
  <sheetFormatPr defaultColWidth="14.42578125" defaultRowHeight="15" customHeight="1" x14ac:dyDescent="0.25"/>
  <cols>
    <col min="1" max="1" width="50.140625" style="31" customWidth="1"/>
    <col min="2" max="2" width="16" style="31" customWidth="1"/>
    <col min="3" max="3" width="1.85546875" style="31" customWidth="1"/>
    <col min="4" max="5" width="16" style="31" customWidth="1"/>
    <col min="6" max="6" width="52.85546875" style="31" customWidth="1"/>
    <col min="7" max="9" width="8" style="31" customWidth="1"/>
    <col min="10" max="10" width="36.28515625" style="31" customWidth="1"/>
    <col min="11" max="11" width="12.85546875" style="31" customWidth="1"/>
    <col min="12" max="12" width="23.42578125" style="31" customWidth="1"/>
    <col min="13" max="14" width="8" style="31" customWidth="1"/>
    <col min="15" max="15" width="35.42578125" style="31" customWidth="1"/>
    <col min="16" max="26" width="8" style="31" customWidth="1"/>
    <col min="27" max="16384" width="14.42578125" style="31"/>
  </cols>
  <sheetData>
    <row r="1" spans="1:26" ht="21" customHeight="1" x14ac:dyDescent="0.25">
      <c r="A1" s="730" t="s">
        <v>211</v>
      </c>
      <c r="B1" s="699"/>
      <c r="C1" s="699"/>
      <c r="D1" s="699"/>
      <c r="E1" s="699"/>
      <c r="F1" s="700"/>
      <c r="G1" s="132"/>
      <c r="H1" s="132"/>
      <c r="I1" s="132"/>
      <c r="J1" s="133"/>
      <c r="K1" s="30"/>
      <c r="L1" s="30"/>
      <c r="M1" s="30"/>
      <c r="N1" s="30"/>
      <c r="O1" s="30"/>
      <c r="P1" s="30"/>
      <c r="Q1" s="30"/>
      <c r="R1" s="30"/>
      <c r="S1" s="30"/>
      <c r="T1" s="30"/>
      <c r="U1" s="30"/>
      <c r="V1" s="30"/>
      <c r="W1" s="30"/>
      <c r="X1" s="30"/>
      <c r="Y1" s="30"/>
      <c r="Z1" s="30"/>
    </row>
    <row r="2" spans="1:26" x14ac:dyDescent="0.25">
      <c r="A2" s="731" t="s">
        <v>212</v>
      </c>
      <c r="B2" s="699"/>
      <c r="C2" s="699"/>
      <c r="D2" s="699"/>
      <c r="E2" s="699"/>
      <c r="F2" s="700"/>
      <c r="G2" s="30"/>
      <c r="H2" s="30"/>
      <c r="I2" s="30"/>
      <c r="J2" s="133"/>
      <c r="K2" s="30"/>
      <c r="L2" s="30"/>
      <c r="M2" s="30"/>
      <c r="N2" s="30"/>
      <c r="O2" s="30"/>
      <c r="P2" s="30"/>
      <c r="Q2" s="30"/>
      <c r="R2" s="30"/>
      <c r="S2" s="30"/>
      <c r="T2" s="30"/>
      <c r="U2" s="30"/>
      <c r="V2" s="30"/>
      <c r="W2" s="30"/>
      <c r="X2" s="30"/>
      <c r="Y2" s="30"/>
      <c r="Z2" s="30"/>
    </row>
    <row r="3" spans="1:26" ht="5.25" customHeight="1" x14ac:dyDescent="0.25">
      <c r="A3" s="30"/>
      <c r="B3" s="30"/>
      <c r="C3" s="30"/>
      <c r="D3" s="30"/>
      <c r="E3" s="30"/>
      <c r="F3" s="30"/>
      <c r="G3" s="30"/>
      <c r="H3" s="30"/>
      <c r="I3" s="30"/>
      <c r="J3" s="133"/>
      <c r="K3" s="30"/>
      <c r="L3" s="30"/>
      <c r="M3" s="30"/>
      <c r="N3" s="30"/>
      <c r="O3" s="30"/>
      <c r="P3" s="30"/>
      <c r="Q3" s="30"/>
      <c r="R3" s="30"/>
      <c r="S3" s="30"/>
      <c r="T3" s="30"/>
      <c r="U3" s="30"/>
      <c r="V3" s="30"/>
      <c r="W3" s="30"/>
      <c r="X3" s="30"/>
      <c r="Y3" s="30"/>
      <c r="Z3" s="30"/>
    </row>
    <row r="4" spans="1:26" ht="15.75" customHeight="1" x14ac:dyDescent="0.25">
      <c r="A4" s="718" t="s">
        <v>213</v>
      </c>
      <c r="B4" s="344" t="s">
        <v>214</v>
      </c>
      <c r="C4" s="344"/>
      <c r="D4" s="344" t="s">
        <v>215</v>
      </c>
      <c r="E4" s="344" t="s">
        <v>18</v>
      </c>
      <c r="F4" s="714" t="s">
        <v>149</v>
      </c>
      <c r="G4" s="30"/>
      <c r="H4" s="30"/>
      <c r="I4" s="30"/>
      <c r="J4" s="320"/>
      <c r="K4" s="319"/>
      <c r="L4" s="38"/>
      <c r="M4" s="38"/>
      <c r="N4" s="38"/>
      <c r="O4" s="38"/>
      <c r="P4" s="38"/>
      <c r="Q4" s="38"/>
      <c r="R4" s="38"/>
      <c r="S4" s="38"/>
      <c r="T4" s="38"/>
      <c r="U4" s="38"/>
      <c r="V4" s="38"/>
      <c r="W4" s="38"/>
      <c r="X4" s="38"/>
      <c r="Y4" s="38"/>
      <c r="Z4" s="38"/>
    </row>
    <row r="5" spans="1:26" ht="17.25" customHeight="1" x14ac:dyDescent="0.25">
      <c r="A5" s="715"/>
      <c r="B5" s="345" t="s">
        <v>216</v>
      </c>
      <c r="C5" s="345"/>
      <c r="D5" s="809" t="s">
        <v>135</v>
      </c>
      <c r="E5" s="346" t="s">
        <v>217</v>
      </c>
      <c r="F5" s="715"/>
      <c r="G5" s="38"/>
      <c r="H5" s="38"/>
      <c r="I5" s="38"/>
      <c r="J5" s="133"/>
      <c r="K5" s="319"/>
      <c r="L5" s="38"/>
      <c r="M5" s="38"/>
      <c r="N5" s="38"/>
      <c r="O5" s="38"/>
      <c r="P5" s="38"/>
      <c r="Q5" s="38"/>
      <c r="R5" s="38"/>
      <c r="S5" s="38"/>
      <c r="T5" s="38"/>
      <c r="U5" s="38"/>
      <c r="V5" s="38"/>
      <c r="W5" s="38"/>
      <c r="X5" s="38"/>
      <c r="Y5" s="38"/>
      <c r="Z5" s="38"/>
    </row>
    <row r="6" spans="1:26" ht="17.25" customHeight="1" x14ac:dyDescent="0.25">
      <c r="A6" s="716"/>
      <c r="B6" s="347" t="s">
        <v>218</v>
      </c>
      <c r="C6" s="347"/>
      <c r="D6" s="716"/>
      <c r="E6" s="348" t="s">
        <v>2</v>
      </c>
      <c r="F6" s="716"/>
      <c r="G6" s="38"/>
      <c r="H6" s="38"/>
      <c r="I6" s="38"/>
      <c r="J6" s="133"/>
      <c r="K6" s="319"/>
      <c r="L6" s="38"/>
      <c r="M6" s="38"/>
      <c r="N6" s="38"/>
      <c r="O6" s="38"/>
      <c r="P6" s="38"/>
      <c r="Q6" s="38"/>
      <c r="R6" s="38"/>
      <c r="S6" s="38"/>
      <c r="T6" s="38"/>
      <c r="U6" s="38"/>
      <c r="V6" s="38"/>
      <c r="W6" s="38"/>
      <c r="X6" s="38"/>
      <c r="Y6" s="38"/>
      <c r="Z6" s="38"/>
    </row>
    <row r="7" spans="1:26" ht="21" customHeight="1" x14ac:dyDescent="0.25">
      <c r="A7" s="126" t="s">
        <v>23</v>
      </c>
      <c r="B7" s="349">
        <f>SUM(B8:B32)</f>
        <v>2055</v>
      </c>
      <c r="C7" s="349"/>
      <c r="D7" s="349">
        <f>SUM(D8:D32)</f>
        <v>96317</v>
      </c>
      <c r="E7" s="349">
        <f>D7/D7*100</f>
        <v>100</v>
      </c>
      <c r="F7" s="41" t="s">
        <v>13</v>
      </c>
      <c r="G7" s="38"/>
      <c r="H7" s="38"/>
      <c r="I7" s="38"/>
      <c r="J7" s="133"/>
      <c r="K7" s="319"/>
      <c r="L7" s="42"/>
      <c r="M7" s="42"/>
      <c r="N7" s="42"/>
      <c r="O7" s="42"/>
      <c r="P7" s="42"/>
      <c r="Q7" s="42"/>
      <c r="R7" s="42"/>
      <c r="S7" s="42"/>
      <c r="T7" s="42"/>
      <c r="U7" s="42"/>
      <c r="V7" s="42"/>
      <c r="W7" s="42"/>
      <c r="X7" s="42"/>
      <c r="Y7" s="42"/>
      <c r="Z7" s="42"/>
    </row>
    <row r="8" spans="1:26" ht="21" customHeight="1" x14ac:dyDescent="0.55000000000000004">
      <c r="A8" s="133" t="s">
        <v>155</v>
      </c>
      <c r="B8" s="140">
        <v>12</v>
      </c>
      <c r="C8" s="140"/>
      <c r="D8" s="140">
        <v>192</v>
      </c>
      <c r="E8" s="350">
        <f t="shared" ref="E8:E32" si="0">D8/$D$7*100</f>
        <v>0.19934175690688041</v>
      </c>
      <c r="F8" s="86" t="s">
        <v>156</v>
      </c>
      <c r="G8" s="42"/>
      <c r="H8" s="42"/>
      <c r="I8" s="42"/>
      <c r="L8" s="42"/>
      <c r="M8" s="42"/>
      <c r="N8" s="42"/>
      <c r="O8" s="42"/>
      <c r="P8" s="42"/>
      <c r="Q8" s="42"/>
      <c r="R8" s="42"/>
      <c r="S8" s="42"/>
      <c r="T8" s="42"/>
      <c r="U8" s="42"/>
      <c r="V8" s="42"/>
      <c r="W8" s="42"/>
      <c r="X8" s="42"/>
      <c r="Y8" s="42"/>
      <c r="Z8" s="42"/>
    </row>
    <row r="9" spans="1:26" ht="25.5" customHeight="1" x14ac:dyDescent="0.55000000000000004">
      <c r="A9" s="133" t="s">
        <v>157</v>
      </c>
      <c r="B9" s="140">
        <v>17</v>
      </c>
      <c r="C9" s="140"/>
      <c r="D9" s="140">
        <v>4306</v>
      </c>
      <c r="E9" s="350">
        <f t="shared" si="0"/>
        <v>4.4706541939636821</v>
      </c>
      <c r="F9" s="86" t="s">
        <v>158</v>
      </c>
      <c r="G9" s="42"/>
      <c r="H9" s="42"/>
      <c r="I9" s="42"/>
      <c r="L9" s="42"/>
      <c r="M9" s="42"/>
      <c r="N9" s="42"/>
      <c r="O9" s="42"/>
      <c r="P9" s="42"/>
      <c r="Q9" s="42"/>
      <c r="R9" s="42"/>
      <c r="S9" s="42"/>
      <c r="T9" s="42"/>
      <c r="U9" s="42"/>
      <c r="V9" s="42"/>
      <c r="W9" s="42"/>
      <c r="X9" s="42"/>
      <c r="Y9" s="42"/>
      <c r="Z9" s="42"/>
    </row>
    <row r="10" spans="1:26" ht="27.75" customHeight="1" x14ac:dyDescent="0.55000000000000004">
      <c r="A10" s="133" t="s">
        <v>159</v>
      </c>
      <c r="B10" s="140">
        <v>3</v>
      </c>
      <c r="C10" s="140"/>
      <c r="D10" s="140">
        <v>22</v>
      </c>
      <c r="E10" s="350">
        <f t="shared" si="0"/>
        <v>2.2841242978913379E-2</v>
      </c>
      <c r="F10" s="86" t="s">
        <v>160</v>
      </c>
      <c r="G10" s="42"/>
      <c r="H10" s="42"/>
      <c r="I10" s="42"/>
      <c r="L10" s="42"/>
      <c r="M10" s="42"/>
      <c r="N10" s="42"/>
      <c r="O10" s="42"/>
      <c r="P10" s="42"/>
      <c r="Q10" s="42"/>
      <c r="R10" s="42"/>
      <c r="S10" s="42"/>
      <c r="T10" s="42"/>
      <c r="U10" s="42"/>
      <c r="V10" s="42"/>
      <c r="W10" s="42"/>
      <c r="X10" s="42"/>
      <c r="Y10" s="42"/>
      <c r="Z10" s="42"/>
    </row>
    <row r="11" spans="1:26" ht="18.75" customHeight="1" x14ac:dyDescent="0.55000000000000004">
      <c r="A11" s="133" t="s">
        <v>161</v>
      </c>
      <c r="B11" s="140">
        <v>14</v>
      </c>
      <c r="C11" s="140"/>
      <c r="D11" s="140">
        <v>39</v>
      </c>
      <c r="E11" s="350">
        <f t="shared" si="0"/>
        <v>4.0491294371710083E-2</v>
      </c>
      <c r="F11" s="86" t="s">
        <v>162</v>
      </c>
      <c r="G11" s="42"/>
      <c r="H11" s="42"/>
      <c r="I11" s="42"/>
      <c r="L11" s="42"/>
      <c r="M11" s="42"/>
      <c r="N11" s="42"/>
      <c r="O11" s="42"/>
      <c r="P11" s="42"/>
      <c r="Q11" s="42"/>
      <c r="R11" s="42"/>
      <c r="S11" s="42"/>
      <c r="T11" s="42"/>
      <c r="U11" s="42"/>
      <c r="V11" s="42"/>
      <c r="W11" s="42"/>
      <c r="X11" s="42"/>
      <c r="Y11" s="42"/>
      <c r="Z11" s="42"/>
    </row>
    <row r="12" spans="1:26" ht="21" customHeight="1" x14ac:dyDescent="0.55000000000000004">
      <c r="A12" s="133" t="s">
        <v>163</v>
      </c>
      <c r="B12" s="140">
        <v>148</v>
      </c>
      <c r="C12" s="140"/>
      <c r="D12" s="140">
        <v>2561</v>
      </c>
      <c r="E12" s="350">
        <f t="shared" si="0"/>
        <v>2.6589283304089619</v>
      </c>
      <c r="F12" s="86" t="s">
        <v>164</v>
      </c>
      <c r="G12" s="42"/>
      <c r="H12" s="42"/>
      <c r="I12" s="42"/>
      <c r="L12" s="42"/>
      <c r="M12" s="42"/>
      <c r="N12" s="42"/>
      <c r="O12" s="42"/>
      <c r="P12" s="42"/>
      <c r="Q12" s="42"/>
      <c r="R12" s="42"/>
      <c r="S12" s="42"/>
      <c r="T12" s="42"/>
      <c r="U12" s="42"/>
      <c r="V12" s="42"/>
      <c r="W12" s="42"/>
      <c r="X12" s="42"/>
      <c r="Y12" s="42"/>
      <c r="Z12" s="42"/>
    </row>
    <row r="13" spans="1:26" ht="21" customHeight="1" x14ac:dyDescent="0.55000000000000004">
      <c r="A13" s="133" t="s">
        <v>165</v>
      </c>
      <c r="B13" s="140">
        <v>16</v>
      </c>
      <c r="C13" s="140"/>
      <c r="D13" s="140">
        <v>222</v>
      </c>
      <c r="E13" s="350">
        <f t="shared" si="0"/>
        <v>0.23048890642358047</v>
      </c>
      <c r="F13" s="86" t="s">
        <v>166</v>
      </c>
      <c r="G13" s="42"/>
      <c r="H13" s="42"/>
      <c r="I13" s="42"/>
      <c r="L13" s="42"/>
      <c r="M13" s="42"/>
      <c r="N13" s="42"/>
      <c r="O13" s="42"/>
      <c r="P13" s="42"/>
      <c r="Q13" s="42"/>
      <c r="R13" s="42"/>
      <c r="S13" s="42"/>
      <c r="T13" s="42"/>
      <c r="U13" s="42"/>
      <c r="V13" s="42"/>
      <c r="W13" s="42"/>
      <c r="X13" s="42"/>
      <c r="Y13" s="42"/>
      <c r="Z13" s="42"/>
    </row>
    <row r="14" spans="1:26" ht="25.5" customHeight="1" x14ac:dyDescent="0.25">
      <c r="A14" s="351" t="s">
        <v>222</v>
      </c>
      <c r="B14" s="140">
        <v>74</v>
      </c>
      <c r="C14" s="140"/>
      <c r="D14" s="140">
        <v>4853</v>
      </c>
      <c r="E14" s="350">
        <f t="shared" si="0"/>
        <v>5.0385705534848464</v>
      </c>
      <c r="F14" s="323" t="s">
        <v>223</v>
      </c>
      <c r="G14" s="42"/>
      <c r="H14" s="42"/>
      <c r="I14" s="42"/>
      <c r="L14" s="42"/>
      <c r="M14" s="42"/>
      <c r="N14" s="42"/>
      <c r="O14" s="42"/>
      <c r="P14" s="42"/>
      <c r="Q14" s="42"/>
      <c r="R14" s="42"/>
      <c r="S14" s="42"/>
      <c r="T14" s="42"/>
      <c r="U14" s="42"/>
      <c r="V14" s="42"/>
      <c r="W14" s="42"/>
      <c r="X14" s="42"/>
      <c r="Y14" s="42"/>
      <c r="Z14" s="42"/>
    </row>
    <row r="15" spans="1:26" ht="21" customHeight="1" x14ac:dyDescent="0.55000000000000004">
      <c r="A15" s="133" t="s">
        <v>169</v>
      </c>
      <c r="B15" s="140">
        <v>16</v>
      </c>
      <c r="C15" s="140"/>
      <c r="D15" s="140">
        <v>1327</v>
      </c>
      <c r="E15" s="350">
        <f t="shared" si="0"/>
        <v>1.3777422469553662</v>
      </c>
      <c r="F15" s="86" t="s">
        <v>170</v>
      </c>
      <c r="G15" s="42"/>
      <c r="H15" s="42"/>
      <c r="I15" s="42"/>
      <c r="L15" s="42"/>
      <c r="M15" s="42"/>
      <c r="N15" s="42"/>
      <c r="O15" s="42"/>
      <c r="P15" s="42"/>
      <c r="Q15" s="42"/>
      <c r="R15" s="42"/>
      <c r="S15" s="42"/>
      <c r="T15" s="42"/>
      <c r="U15" s="42"/>
      <c r="V15" s="42"/>
      <c r="W15" s="42"/>
      <c r="X15" s="42"/>
      <c r="Y15" s="42"/>
      <c r="Z15" s="42"/>
    </row>
    <row r="16" spans="1:26" ht="21" customHeight="1" x14ac:dyDescent="0.55000000000000004">
      <c r="A16" s="133" t="s">
        <v>171</v>
      </c>
      <c r="B16" s="140">
        <v>4</v>
      </c>
      <c r="C16" s="140"/>
      <c r="D16" s="140">
        <v>121</v>
      </c>
      <c r="E16" s="350">
        <f t="shared" si="0"/>
        <v>0.12562683638402361</v>
      </c>
      <c r="F16" s="86" t="s">
        <v>172</v>
      </c>
      <c r="G16" s="42"/>
      <c r="H16" s="42"/>
      <c r="I16" s="42"/>
      <c r="L16" s="42"/>
      <c r="M16" s="42"/>
      <c r="N16" s="42"/>
      <c r="O16" s="42"/>
      <c r="P16" s="42"/>
      <c r="Q16" s="42"/>
      <c r="R16" s="42"/>
      <c r="S16" s="42"/>
      <c r="T16" s="42"/>
      <c r="U16" s="42"/>
      <c r="V16" s="42"/>
      <c r="W16" s="42"/>
      <c r="X16" s="42"/>
      <c r="Y16" s="42"/>
      <c r="Z16" s="42"/>
    </row>
    <row r="17" spans="1:26" ht="21" customHeight="1" x14ac:dyDescent="0.55000000000000004">
      <c r="A17" s="133" t="s">
        <v>224</v>
      </c>
      <c r="B17" s="140">
        <v>418</v>
      </c>
      <c r="C17" s="140"/>
      <c r="D17" s="140">
        <v>40451</v>
      </c>
      <c r="E17" s="350">
        <f t="shared" si="0"/>
        <v>41.997778170001141</v>
      </c>
      <c r="F17" s="86" t="s">
        <v>174</v>
      </c>
      <c r="G17" s="42"/>
      <c r="H17" s="42"/>
      <c r="I17" s="42"/>
      <c r="L17" s="42"/>
      <c r="M17" s="42"/>
      <c r="N17" s="42"/>
      <c r="O17" s="42"/>
      <c r="P17" s="42"/>
      <c r="Q17" s="42"/>
      <c r="R17" s="42"/>
      <c r="S17" s="42"/>
      <c r="T17" s="42"/>
      <c r="U17" s="42"/>
      <c r="V17" s="42"/>
      <c r="W17" s="42"/>
      <c r="X17" s="42"/>
      <c r="Y17" s="42"/>
      <c r="Z17" s="42"/>
    </row>
    <row r="18" spans="1:26" ht="21" customHeight="1" x14ac:dyDescent="0.55000000000000004">
      <c r="A18" s="133" t="s">
        <v>175</v>
      </c>
      <c r="B18" s="140">
        <v>46</v>
      </c>
      <c r="C18" s="140"/>
      <c r="D18" s="140">
        <v>1118</v>
      </c>
      <c r="E18" s="350">
        <f t="shared" si="0"/>
        <v>1.1607504386556891</v>
      </c>
      <c r="F18" s="86" t="s">
        <v>176</v>
      </c>
      <c r="G18" s="42"/>
      <c r="H18" s="42"/>
      <c r="I18" s="42"/>
      <c r="L18" s="42"/>
      <c r="M18" s="42"/>
      <c r="N18" s="42"/>
      <c r="O18" s="42"/>
      <c r="P18" s="42"/>
      <c r="Q18" s="42"/>
      <c r="R18" s="42"/>
      <c r="S18" s="42"/>
      <c r="T18" s="42"/>
      <c r="U18" s="42"/>
      <c r="V18" s="42"/>
      <c r="W18" s="42"/>
      <c r="X18" s="42"/>
      <c r="Y18" s="42"/>
      <c r="Z18" s="42"/>
    </row>
    <row r="19" spans="1:26" ht="21" customHeight="1" x14ac:dyDescent="0.55000000000000004">
      <c r="A19" s="133" t="s">
        <v>177</v>
      </c>
      <c r="B19" s="140">
        <v>359</v>
      </c>
      <c r="C19" s="140"/>
      <c r="D19" s="140">
        <v>19272</v>
      </c>
      <c r="E19" s="350">
        <f t="shared" si="0"/>
        <v>20.008928849528122</v>
      </c>
      <c r="F19" s="86" t="s">
        <v>178</v>
      </c>
      <c r="G19" s="42"/>
      <c r="H19" s="42"/>
      <c r="I19" s="42"/>
      <c r="L19" s="42"/>
      <c r="M19" s="42"/>
      <c r="N19" s="42"/>
      <c r="O19" s="42"/>
      <c r="P19" s="42"/>
      <c r="Q19" s="42"/>
      <c r="R19" s="42"/>
      <c r="S19" s="42"/>
      <c r="T19" s="42"/>
      <c r="U19" s="42"/>
      <c r="V19" s="42"/>
      <c r="W19" s="42"/>
      <c r="X19" s="42"/>
      <c r="Y19" s="42"/>
      <c r="Z19" s="42"/>
    </row>
    <row r="20" spans="1:26" ht="21" customHeight="1" x14ac:dyDescent="0.55000000000000004">
      <c r="A20" s="133" t="s">
        <v>179</v>
      </c>
      <c r="B20" s="140">
        <v>2</v>
      </c>
      <c r="C20" s="140"/>
      <c r="D20" s="140">
        <v>39</v>
      </c>
      <c r="E20" s="350">
        <f t="shared" si="0"/>
        <v>4.0491294371710083E-2</v>
      </c>
      <c r="F20" s="86" t="s">
        <v>180</v>
      </c>
      <c r="G20" s="42"/>
      <c r="H20" s="42"/>
      <c r="I20" s="42"/>
      <c r="L20" s="42"/>
      <c r="M20" s="42"/>
      <c r="N20" s="42"/>
      <c r="O20" s="42"/>
      <c r="P20" s="42"/>
      <c r="Q20" s="42"/>
      <c r="R20" s="42"/>
      <c r="S20" s="42"/>
      <c r="T20" s="42"/>
      <c r="U20" s="42"/>
      <c r="V20" s="42"/>
      <c r="W20" s="42"/>
      <c r="X20" s="42"/>
      <c r="Y20" s="42"/>
      <c r="Z20" s="42"/>
    </row>
    <row r="21" spans="1:26" ht="21" customHeight="1" x14ac:dyDescent="0.55000000000000004">
      <c r="A21" s="133" t="s">
        <v>181</v>
      </c>
      <c r="B21" s="140">
        <v>6</v>
      </c>
      <c r="C21" s="140"/>
      <c r="D21" s="140">
        <v>528</v>
      </c>
      <c r="E21" s="350">
        <f t="shared" si="0"/>
        <v>0.54818983149392109</v>
      </c>
      <c r="F21" s="86" t="s">
        <v>182</v>
      </c>
      <c r="G21" s="42"/>
      <c r="H21" s="42"/>
      <c r="I21" s="42"/>
      <c r="L21" s="42"/>
      <c r="M21" s="42"/>
      <c r="N21" s="42"/>
      <c r="O21" s="42"/>
      <c r="P21" s="42"/>
      <c r="Q21" s="42"/>
      <c r="R21" s="42"/>
      <c r="S21" s="42"/>
      <c r="T21" s="42"/>
      <c r="U21" s="42"/>
      <c r="V21" s="42"/>
      <c r="W21" s="42"/>
      <c r="X21" s="42"/>
      <c r="Y21" s="42"/>
      <c r="Z21" s="42"/>
    </row>
    <row r="22" spans="1:26" ht="21" customHeight="1" x14ac:dyDescent="0.55000000000000004">
      <c r="A22" s="133" t="s">
        <v>183</v>
      </c>
      <c r="B22" s="140">
        <v>1</v>
      </c>
      <c r="C22" s="140"/>
      <c r="D22" s="140">
        <v>1</v>
      </c>
      <c r="E22" s="350">
        <f t="shared" si="0"/>
        <v>1.0382383172233354E-3</v>
      </c>
      <c r="F22" s="86" t="s">
        <v>184</v>
      </c>
      <c r="G22" s="42"/>
      <c r="H22" s="42"/>
      <c r="I22" s="42"/>
      <c r="L22" s="42"/>
      <c r="M22" s="42"/>
      <c r="N22" s="42"/>
      <c r="O22" s="133"/>
      <c r="P22" s="350"/>
      <c r="Q22" s="30"/>
      <c r="R22" s="42"/>
      <c r="S22" s="42"/>
      <c r="T22" s="42"/>
      <c r="U22" s="42"/>
      <c r="V22" s="42"/>
      <c r="W22" s="42"/>
      <c r="X22" s="42"/>
      <c r="Y22" s="42"/>
      <c r="Z22" s="42"/>
    </row>
    <row r="23" spans="1:26" ht="21" customHeight="1" x14ac:dyDescent="0.55000000000000004">
      <c r="A23" s="133" t="s">
        <v>203</v>
      </c>
      <c r="B23" s="140">
        <v>312</v>
      </c>
      <c r="C23" s="140"/>
      <c r="D23" s="140">
        <v>6833</v>
      </c>
      <c r="E23" s="350">
        <f t="shared" si="0"/>
        <v>7.0942824215870521</v>
      </c>
      <c r="F23" s="86" t="s">
        <v>204</v>
      </c>
      <c r="G23" s="42"/>
      <c r="H23" s="42"/>
      <c r="I23" s="42"/>
      <c r="L23" s="42"/>
      <c r="M23" s="42"/>
      <c r="N23" s="42"/>
      <c r="O23" s="42" t="s">
        <v>224</v>
      </c>
      <c r="P23" s="353">
        <v>41.997778170001141</v>
      </c>
      <c r="Q23" s="30"/>
      <c r="R23" s="42"/>
      <c r="S23" s="42"/>
      <c r="T23" s="42"/>
      <c r="U23" s="42"/>
      <c r="V23" s="42"/>
      <c r="W23" s="42"/>
      <c r="X23" s="42"/>
      <c r="Y23" s="42"/>
      <c r="Z23" s="42"/>
    </row>
    <row r="24" spans="1:26" ht="21" customHeight="1" x14ac:dyDescent="0.55000000000000004">
      <c r="A24" s="133" t="s">
        <v>185</v>
      </c>
      <c r="B24" s="140">
        <v>6</v>
      </c>
      <c r="C24" s="140"/>
      <c r="D24" s="140">
        <v>43</v>
      </c>
      <c r="E24" s="350">
        <f t="shared" si="0"/>
        <v>4.4644247640603422E-2</v>
      </c>
      <c r="F24" s="86" t="s">
        <v>186</v>
      </c>
      <c r="G24" s="42"/>
      <c r="H24" s="42"/>
      <c r="I24" s="42"/>
      <c r="L24" s="42"/>
      <c r="M24" s="42"/>
      <c r="N24" s="42"/>
      <c r="O24" s="42" t="s">
        <v>177</v>
      </c>
      <c r="P24" s="353">
        <v>20.008928849528122</v>
      </c>
      <c r="Q24" s="30"/>
      <c r="R24" s="42"/>
      <c r="S24" s="42"/>
      <c r="T24" s="42"/>
      <c r="U24" s="42"/>
      <c r="V24" s="42"/>
      <c r="W24" s="42"/>
      <c r="X24" s="42"/>
      <c r="Y24" s="42"/>
      <c r="Z24" s="42"/>
    </row>
    <row r="25" spans="1:26" ht="21" customHeight="1" x14ac:dyDescent="0.55000000000000004">
      <c r="A25" s="133" t="s">
        <v>187</v>
      </c>
      <c r="B25" s="140">
        <v>26</v>
      </c>
      <c r="C25" s="140"/>
      <c r="D25" s="140">
        <v>200</v>
      </c>
      <c r="E25" s="350">
        <f t="shared" si="0"/>
        <v>0.20764766344466709</v>
      </c>
      <c r="F25" s="86" t="s">
        <v>188</v>
      </c>
      <c r="G25" s="42"/>
      <c r="H25" s="42"/>
      <c r="I25" s="42"/>
      <c r="L25" s="42"/>
      <c r="M25" s="42"/>
      <c r="N25" s="42"/>
      <c r="O25" s="31" t="s">
        <v>203</v>
      </c>
      <c r="P25" s="358">
        <v>8.1335589771276116</v>
      </c>
      <c r="Q25" s="30"/>
      <c r="R25" s="42"/>
      <c r="S25" s="42"/>
      <c r="T25" s="42"/>
      <c r="U25" s="42"/>
      <c r="V25" s="42"/>
      <c r="W25" s="42"/>
      <c r="X25" s="42"/>
      <c r="Y25" s="42"/>
      <c r="Z25" s="42"/>
    </row>
    <row r="26" spans="1:26" ht="21" customHeight="1" x14ac:dyDescent="0.55000000000000004">
      <c r="A26" s="133" t="s">
        <v>189</v>
      </c>
      <c r="B26" s="140">
        <v>2</v>
      </c>
      <c r="C26" s="140"/>
      <c r="D26" s="140">
        <v>89</v>
      </c>
      <c r="E26" s="350">
        <f t="shared" si="0"/>
        <v>9.2403210232876856E-2</v>
      </c>
      <c r="F26" s="86" t="s">
        <v>190</v>
      </c>
      <c r="G26" s="42"/>
      <c r="H26" s="42"/>
      <c r="I26" s="42"/>
      <c r="L26" s="42"/>
      <c r="M26" s="42"/>
      <c r="N26" s="42"/>
      <c r="O26" s="42" t="s">
        <v>222</v>
      </c>
      <c r="P26" s="353">
        <v>5.0385705534848464</v>
      </c>
      <c r="Q26" s="30"/>
      <c r="R26" s="42"/>
      <c r="S26" s="42"/>
      <c r="T26" s="42"/>
      <c r="U26" s="42"/>
      <c r="V26" s="42"/>
      <c r="W26" s="42"/>
      <c r="X26" s="42"/>
      <c r="Y26" s="42"/>
      <c r="Z26" s="42"/>
    </row>
    <row r="27" spans="1:26" ht="21" customHeight="1" x14ac:dyDescent="0.55000000000000004">
      <c r="A27" s="133" t="s">
        <v>191</v>
      </c>
      <c r="B27" s="140">
        <v>61</v>
      </c>
      <c r="C27" s="140"/>
      <c r="D27" s="140">
        <v>1819</v>
      </c>
      <c r="E27" s="350">
        <f t="shared" si="0"/>
        <v>1.8885554990292472</v>
      </c>
      <c r="F27" s="86" t="s">
        <v>192</v>
      </c>
      <c r="G27" s="42"/>
      <c r="H27" s="42"/>
      <c r="I27" s="42"/>
      <c r="L27" s="42"/>
      <c r="M27" s="42"/>
      <c r="N27" s="42"/>
      <c r="O27" s="42" t="s">
        <v>157</v>
      </c>
      <c r="P27" s="353">
        <v>4.4706541939636821</v>
      </c>
      <c r="Q27" s="353"/>
      <c r="R27" s="42"/>
      <c r="S27" s="42"/>
      <c r="T27" s="42"/>
      <c r="U27" s="42"/>
      <c r="V27" s="42"/>
      <c r="W27" s="42"/>
      <c r="X27" s="42"/>
      <c r="Y27" s="42"/>
      <c r="Z27" s="42"/>
    </row>
    <row r="28" spans="1:26" ht="21" customHeight="1" x14ac:dyDescent="0.55000000000000004">
      <c r="A28" s="133" t="s">
        <v>193</v>
      </c>
      <c r="B28" s="140">
        <v>55</v>
      </c>
      <c r="C28" s="140"/>
      <c r="D28" s="140">
        <v>3412</v>
      </c>
      <c r="E28" s="350">
        <f t="shared" si="0"/>
        <v>3.5424691383660201</v>
      </c>
      <c r="F28" s="86" t="s">
        <v>194</v>
      </c>
      <c r="G28" s="42"/>
      <c r="H28" s="42"/>
      <c r="I28" s="42"/>
      <c r="L28" s="42"/>
      <c r="M28" s="42"/>
      <c r="N28" s="42"/>
      <c r="O28" s="42" t="s">
        <v>195</v>
      </c>
      <c r="P28" s="353">
        <v>3.6192987738405473</v>
      </c>
      <c r="Q28" s="30"/>
      <c r="R28" s="42"/>
      <c r="S28" s="42"/>
      <c r="T28" s="42"/>
      <c r="U28" s="42"/>
      <c r="V28" s="42"/>
      <c r="W28" s="42"/>
      <c r="X28" s="42"/>
      <c r="Y28" s="42"/>
      <c r="Z28" s="42"/>
    </row>
    <row r="29" spans="1:26" ht="21" customHeight="1" x14ac:dyDescent="0.55000000000000004">
      <c r="A29" s="133" t="s">
        <v>195</v>
      </c>
      <c r="B29" s="140">
        <v>302</v>
      </c>
      <c r="C29" s="140"/>
      <c r="D29" s="140">
        <v>3486</v>
      </c>
      <c r="E29" s="350">
        <f t="shared" si="0"/>
        <v>3.6192987738405473</v>
      </c>
      <c r="F29" s="86" t="s">
        <v>196</v>
      </c>
      <c r="G29" s="42"/>
      <c r="H29" s="42"/>
      <c r="I29" s="42"/>
      <c r="L29" s="42"/>
      <c r="M29" s="42"/>
      <c r="N29" s="42"/>
      <c r="O29" s="30" t="s">
        <v>201</v>
      </c>
      <c r="P29" s="235">
        <v>3.5798457177860605</v>
      </c>
      <c r="Q29" s="30"/>
      <c r="R29" s="42"/>
      <c r="S29" s="42"/>
      <c r="T29" s="42"/>
      <c r="U29" s="42"/>
      <c r="V29" s="42"/>
      <c r="W29" s="42"/>
      <c r="X29" s="42"/>
      <c r="Y29" s="42"/>
      <c r="Z29" s="42"/>
    </row>
    <row r="30" spans="1:26" ht="21" customHeight="1" x14ac:dyDescent="0.55000000000000004">
      <c r="A30" s="133" t="s">
        <v>197</v>
      </c>
      <c r="B30" s="140">
        <v>23</v>
      </c>
      <c r="C30" s="140"/>
      <c r="D30" s="140">
        <v>1902</v>
      </c>
      <c r="E30" s="350">
        <f t="shared" si="0"/>
        <v>1.9747292793587841</v>
      </c>
      <c r="F30" s="86" t="s">
        <v>198</v>
      </c>
      <c r="G30" s="42"/>
      <c r="H30" s="42"/>
      <c r="I30" s="42"/>
      <c r="L30" s="42"/>
      <c r="M30" s="42"/>
      <c r="N30" s="42"/>
      <c r="O30" s="42" t="s">
        <v>193</v>
      </c>
      <c r="P30" s="353">
        <v>3.5424691383660201</v>
      </c>
      <c r="Q30" s="30"/>
      <c r="R30" s="42"/>
      <c r="S30" s="42"/>
      <c r="T30" s="42"/>
      <c r="U30" s="42"/>
      <c r="V30" s="42"/>
      <c r="W30" s="42"/>
      <c r="X30" s="42"/>
      <c r="Y30" s="42"/>
      <c r="Z30" s="42"/>
    </row>
    <row r="31" spans="1:26" ht="21" customHeight="1" x14ac:dyDescent="0.55000000000000004">
      <c r="A31" s="133" t="s">
        <v>199</v>
      </c>
      <c r="B31" s="140">
        <v>4</v>
      </c>
      <c r="C31" s="140"/>
      <c r="D31" s="140">
        <v>33</v>
      </c>
      <c r="E31" s="350">
        <f t="shared" si="0"/>
        <v>3.4261864468370068E-2</v>
      </c>
      <c r="F31" s="86" t="s">
        <v>200</v>
      </c>
      <c r="G31" s="42"/>
      <c r="H31" s="42"/>
      <c r="I31" s="42"/>
      <c r="L31" s="42"/>
      <c r="M31" s="42"/>
      <c r="N31" s="42"/>
      <c r="O31" s="42" t="s">
        <v>163</v>
      </c>
      <c r="P31" s="353">
        <v>2.6589283304089619</v>
      </c>
      <c r="Q31" s="30"/>
      <c r="R31" s="42"/>
      <c r="S31" s="42"/>
      <c r="T31" s="42"/>
      <c r="U31" s="42"/>
      <c r="V31" s="42"/>
      <c r="W31" s="42"/>
      <c r="X31" s="42"/>
      <c r="Y31" s="42"/>
      <c r="Z31" s="42"/>
    </row>
    <row r="32" spans="1:26" ht="21" customHeight="1" x14ac:dyDescent="0.55000000000000004">
      <c r="A32" s="147" t="s">
        <v>201</v>
      </c>
      <c r="B32" s="154">
        <v>128</v>
      </c>
      <c r="C32" s="154"/>
      <c r="D32" s="154">
        <v>3448</v>
      </c>
      <c r="E32" s="352">
        <f t="shared" si="0"/>
        <v>3.5798457177860605</v>
      </c>
      <c r="F32" s="99" t="s">
        <v>202</v>
      </c>
      <c r="G32" s="42"/>
      <c r="H32" s="42"/>
      <c r="I32" s="42"/>
      <c r="L32" s="30"/>
      <c r="M32" s="30"/>
      <c r="N32" s="30"/>
      <c r="O32" s="42" t="s">
        <v>197</v>
      </c>
      <c r="P32" s="353">
        <v>1.9747292793587841</v>
      </c>
      <c r="Q32" s="30"/>
      <c r="R32" s="30"/>
      <c r="S32" s="30"/>
      <c r="T32" s="30"/>
      <c r="U32" s="30"/>
      <c r="V32" s="30"/>
      <c r="W32" s="30"/>
      <c r="X32" s="30"/>
      <c r="Y32" s="30"/>
      <c r="Z32" s="30"/>
    </row>
    <row r="33" spans="1:26" ht="21" customHeight="1" x14ac:dyDescent="0.25">
      <c r="A33" s="342" t="s">
        <v>210</v>
      </c>
      <c r="B33" s="291"/>
      <c r="C33" s="291"/>
      <c r="D33" s="291"/>
      <c r="E33" s="291"/>
      <c r="F33" s="291"/>
      <c r="G33" s="291"/>
      <c r="H33" s="291"/>
      <c r="I33" s="291"/>
      <c r="L33" s="291"/>
      <c r="M33" s="291"/>
      <c r="N33" s="291"/>
      <c r="O33" s="42" t="s">
        <v>191</v>
      </c>
      <c r="P33" s="353">
        <v>1.8885554990292472</v>
      </c>
      <c r="Q33" s="30"/>
      <c r="R33" s="291"/>
      <c r="S33" s="291"/>
      <c r="T33" s="291"/>
      <c r="U33" s="291"/>
      <c r="V33" s="291"/>
      <c r="W33" s="291"/>
      <c r="X33" s="291"/>
      <c r="Y33" s="291"/>
      <c r="Z33" s="291"/>
    </row>
    <row r="34" spans="1:26" ht="18.75" customHeight="1" x14ac:dyDescent="0.5">
      <c r="A34" s="231" t="s">
        <v>57</v>
      </c>
      <c r="B34" s="30"/>
      <c r="C34" s="30"/>
      <c r="D34" s="30"/>
      <c r="E34" s="30"/>
      <c r="F34" s="338" t="s">
        <v>58</v>
      </c>
      <c r="G34" s="30"/>
      <c r="H34" s="30"/>
      <c r="I34" s="30"/>
      <c r="L34" s="30"/>
      <c r="M34" s="30"/>
      <c r="N34" s="30"/>
      <c r="O34" s="42" t="s">
        <v>169</v>
      </c>
      <c r="P34" s="353">
        <v>1.3777422469553662</v>
      </c>
      <c r="Q34" s="30"/>
      <c r="R34" s="30"/>
      <c r="S34" s="30"/>
      <c r="T34" s="30"/>
      <c r="U34" s="30"/>
      <c r="V34" s="30"/>
      <c r="W34" s="30"/>
      <c r="X34" s="30"/>
      <c r="Y34" s="30"/>
      <c r="Z34" s="30"/>
    </row>
    <row r="35" spans="1:26" ht="15.75" customHeight="1" x14ac:dyDescent="0.25">
      <c r="A35" s="30"/>
      <c r="B35" s="30"/>
      <c r="C35" s="30"/>
      <c r="D35" s="30"/>
      <c r="E35" s="30"/>
      <c r="F35" s="30"/>
      <c r="G35" s="30"/>
      <c r="H35" s="30"/>
      <c r="I35" s="30"/>
      <c r="L35" s="30"/>
      <c r="M35" s="30"/>
      <c r="N35" s="30"/>
      <c r="O35" s="42" t="s">
        <v>175</v>
      </c>
      <c r="P35" s="353">
        <v>1.1607504386556891</v>
      </c>
      <c r="Q35" s="30"/>
      <c r="R35" s="30"/>
      <c r="S35" s="30"/>
      <c r="T35" s="30"/>
      <c r="U35" s="30"/>
      <c r="V35" s="30"/>
      <c r="W35" s="30"/>
      <c r="X35" s="30"/>
      <c r="Y35" s="30"/>
      <c r="Z35" s="30"/>
    </row>
    <row r="36" spans="1:26" ht="15.75" customHeight="1" x14ac:dyDescent="0.25">
      <c r="A36" s="30"/>
      <c r="B36" s="30"/>
      <c r="C36" s="30"/>
      <c r="D36" s="30"/>
      <c r="E36" s="30"/>
      <c r="F36" s="30"/>
      <c r="G36" s="30"/>
      <c r="H36" s="30"/>
      <c r="I36" s="30"/>
      <c r="L36" s="30"/>
      <c r="M36" s="30"/>
      <c r="N36" s="30"/>
      <c r="O36" s="42" t="s">
        <v>181</v>
      </c>
      <c r="P36" s="353">
        <v>0.54818983149392109</v>
      </c>
      <c r="Q36" s="30"/>
      <c r="R36" s="30"/>
      <c r="S36" s="30"/>
      <c r="T36" s="30"/>
      <c r="U36" s="30"/>
      <c r="V36" s="30"/>
      <c r="W36" s="30"/>
      <c r="X36" s="30"/>
      <c r="Y36" s="30"/>
      <c r="Z36" s="30"/>
    </row>
    <row r="37" spans="1:26" ht="36.75" customHeight="1" x14ac:dyDescent="0.25">
      <c r="A37" s="30"/>
      <c r="B37" s="30"/>
      <c r="C37" s="30"/>
      <c r="D37" s="30"/>
      <c r="E37" s="30"/>
      <c r="F37" s="30"/>
      <c r="G37" s="30"/>
      <c r="H37" s="30"/>
      <c r="I37" s="30"/>
      <c r="L37" s="30"/>
      <c r="M37" s="30"/>
      <c r="N37" s="30"/>
      <c r="Q37" s="30"/>
      <c r="R37" s="30"/>
      <c r="S37" s="30"/>
      <c r="T37" s="30"/>
      <c r="U37" s="30"/>
      <c r="V37" s="30"/>
      <c r="W37" s="30"/>
      <c r="X37" s="30"/>
      <c r="Y37" s="30"/>
      <c r="Z37" s="30"/>
    </row>
    <row r="38" spans="1:26" ht="15.75" customHeight="1" x14ac:dyDescent="0.25">
      <c r="A38" s="30"/>
      <c r="B38" s="30"/>
      <c r="C38" s="30"/>
      <c r="D38" s="30"/>
      <c r="E38" s="30"/>
      <c r="F38" s="30"/>
      <c r="G38" s="30"/>
      <c r="H38" s="30"/>
      <c r="I38" s="30"/>
      <c r="L38" s="30"/>
      <c r="M38" s="30"/>
      <c r="N38" s="30"/>
      <c r="P38" s="31">
        <f>SUM(P39:P51)</f>
        <v>8.1335589771276116</v>
      </c>
      <c r="Q38" s="30"/>
      <c r="R38" s="30"/>
      <c r="S38" s="30"/>
      <c r="T38" s="30"/>
      <c r="U38" s="30"/>
      <c r="V38" s="30"/>
      <c r="W38" s="30"/>
      <c r="X38" s="30"/>
      <c r="Y38" s="30"/>
      <c r="Z38" s="30"/>
    </row>
    <row r="39" spans="1:26" ht="15.75" customHeight="1" x14ac:dyDescent="0.25">
      <c r="A39" s="30"/>
      <c r="B39" s="30"/>
      <c r="C39" s="30"/>
      <c r="D39" s="30"/>
      <c r="E39" s="30"/>
      <c r="F39" s="30"/>
      <c r="G39" s="30"/>
      <c r="H39" s="30"/>
      <c r="I39" s="30"/>
      <c r="L39" s="30"/>
      <c r="M39" s="30"/>
      <c r="N39" s="30"/>
      <c r="O39" s="42" t="s">
        <v>165</v>
      </c>
      <c r="P39" s="42">
        <v>0.23048890642358047</v>
      </c>
      <c r="Q39" s="30"/>
      <c r="R39" s="30"/>
      <c r="S39" s="30"/>
      <c r="T39" s="30"/>
      <c r="U39" s="30"/>
      <c r="V39" s="30"/>
      <c r="W39" s="30"/>
      <c r="X39" s="30"/>
      <c r="Y39" s="30"/>
      <c r="Z39" s="30"/>
    </row>
    <row r="40" spans="1:26" ht="15.75" customHeight="1" x14ac:dyDescent="0.25">
      <c r="A40" s="30"/>
      <c r="B40" s="30"/>
      <c r="C40" s="30"/>
      <c r="D40" s="30"/>
      <c r="E40" s="30"/>
      <c r="F40" s="30"/>
      <c r="G40" s="30"/>
      <c r="H40" s="30"/>
      <c r="I40" s="30"/>
      <c r="L40" s="30"/>
      <c r="M40" s="30"/>
      <c r="N40" s="30"/>
      <c r="O40" s="42" t="s">
        <v>187</v>
      </c>
      <c r="P40" s="42">
        <v>0.20764766344466709</v>
      </c>
      <c r="Q40" s="30"/>
      <c r="R40" s="30"/>
      <c r="S40" s="30"/>
      <c r="T40" s="30"/>
      <c r="U40" s="30"/>
      <c r="V40" s="30"/>
      <c r="W40" s="30"/>
      <c r="X40" s="30"/>
      <c r="Y40" s="30"/>
      <c r="Z40" s="30"/>
    </row>
    <row r="41" spans="1:26" ht="15.75" customHeight="1" x14ac:dyDescent="0.25">
      <c r="A41" s="30"/>
      <c r="B41" s="30"/>
      <c r="C41" s="30"/>
      <c r="D41" s="30"/>
      <c r="E41" s="30"/>
      <c r="F41" s="30"/>
      <c r="G41" s="30"/>
      <c r="H41" s="30"/>
      <c r="I41" s="30"/>
      <c r="L41" s="30"/>
      <c r="M41" s="30"/>
      <c r="N41" s="30"/>
      <c r="O41" s="42" t="s">
        <v>155</v>
      </c>
      <c r="P41" s="42">
        <v>0.19934175690688041</v>
      </c>
      <c r="Q41" s="30"/>
      <c r="R41" s="30"/>
      <c r="S41" s="30"/>
      <c r="T41" s="30"/>
      <c r="U41" s="30"/>
      <c r="V41" s="30"/>
      <c r="W41" s="30"/>
      <c r="X41" s="30"/>
      <c r="Y41" s="30"/>
      <c r="Z41" s="30"/>
    </row>
    <row r="42" spans="1:26" ht="15.75" customHeight="1" x14ac:dyDescent="0.25">
      <c r="A42" s="30"/>
      <c r="B42" s="30"/>
      <c r="C42" s="30"/>
      <c r="D42" s="30"/>
      <c r="E42" s="30"/>
      <c r="F42" s="30"/>
      <c r="G42" s="30"/>
      <c r="H42" s="30"/>
      <c r="I42" s="30"/>
      <c r="L42" s="30"/>
      <c r="M42" s="30"/>
      <c r="N42" s="30"/>
      <c r="O42" s="42" t="s">
        <v>171</v>
      </c>
      <c r="P42" s="42">
        <v>0.12562683638402361</v>
      </c>
      <c r="Q42" s="30"/>
      <c r="R42" s="30"/>
      <c r="S42" s="30"/>
      <c r="T42" s="30"/>
      <c r="U42" s="30"/>
      <c r="V42" s="30"/>
      <c r="W42" s="30"/>
      <c r="X42" s="30"/>
      <c r="Y42" s="30"/>
      <c r="Z42" s="30"/>
    </row>
    <row r="43" spans="1:26" ht="15.75" customHeight="1" x14ac:dyDescent="0.25">
      <c r="A43" s="30"/>
      <c r="B43" s="30"/>
      <c r="C43" s="30"/>
      <c r="D43" s="30"/>
      <c r="E43" s="30"/>
      <c r="F43" s="30"/>
      <c r="G43" s="30"/>
      <c r="H43" s="30"/>
      <c r="I43" s="30"/>
      <c r="L43" s="30"/>
      <c r="M43" s="30"/>
      <c r="N43" s="30"/>
      <c r="O43" s="42" t="s">
        <v>189</v>
      </c>
      <c r="P43" s="42">
        <v>9.2403210232876856E-2</v>
      </c>
      <c r="Q43" s="30"/>
      <c r="R43" s="30"/>
      <c r="S43" s="30"/>
      <c r="T43" s="30"/>
      <c r="U43" s="30"/>
      <c r="V43" s="30"/>
      <c r="W43" s="30"/>
      <c r="X43" s="30"/>
      <c r="Y43" s="30"/>
      <c r="Z43" s="30"/>
    </row>
    <row r="44" spans="1:26" ht="15.75" customHeight="1" x14ac:dyDescent="0.25">
      <c r="A44" s="30"/>
      <c r="B44" s="30"/>
      <c r="C44" s="30"/>
      <c r="D44" s="30"/>
      <c r="E44" s="30"/>
      <c r="F44" s="30"/>
      <c r="G44" s="30"/>
      <c r="H44" s="30"/>
      <c r="I44" s="30"/>
      <c r="L44" s="30"/>
      <c r="M44" s="30"/>
      <c r="N44" s="30"/>
      <c r="O44" s="42" t="s">
        <v>185</v>
      </c>
      <c r="P44" s="42">
        <v>4.4644247640603422E-2</v>
      </c>
      <c r="Q44" s="30"/>
      <c r="R44" s="30"/>
      <c r="S44" s="30"/>
      <c r="T44" s="30"/>
      <c r="U44" s="30"/>
      <c r="V44" s="30"/>
      <c r="W44" s="30"/>
      <c r="X44" s="30"/>
      <c r="Y44" s="30"/>
      <c r="Z44" s="30"/>
    </row>
    <row r="45" spans="1:26" ht="15.75" customHeight="1" x14ac:dyDescent="0.25">
      <c r="A45" s="30"/>
      <c r="B45" s="30"/>
      <c r="C45" s="30"/>
      <c r="D45" s="30"/>
      <c r="E45" s="30"/>
      <c r="F45" s="30"/>
      <c r="G45" s="30"/>
      <c r="H45" s="30"/>
      <c r="I45" s="30"/>
      <c r="L45" s="30"/>
      <c r="M45" s="30"/>
      <c r="N45" s="30"/>
      <c r="O45" s="42" t="s">
        <v>161</v>
      </c>
      <c r="P45" s="42">
        <v>4.0491294371710083E-2</v>
      </c>
      <c r="Q45" s="30"/>
      <c r="R45" s="30"/>
      <c r="S45" s="30"/>
      <c r="T45" s="30"/>
      <c r="U45" s="30"/>
      <c r="V45" s="30"/>
      <c r="W45" s="30"/>
      <c r="X45" s="30"/>
      <c r="Y45" s="30"/>
      <c r="Z45" s="30"/>
    </row>
    <row r="46" spans="1:26" ht="15.75" customHeight="1" x14ac:dyDescent="0.25">
      <c r="A46" s="30"/>
      <c r="B46" s="30"/>
      <c r="C46" s="30"/>
      <c r="D46" s="30"/>
      <c r="E46" s="30"/>
      <c r="F46" s="30"/>
      <c r="G46" s="30"/>
      <c r="H46" s="30"/>
      <c r="I46" s="30"/>
      <c r="L46" s="30"/>
      <c r="M46" s="30"/>
      <c r="N46" s="30"/>
      <c r="O46" s="42" t="s">
        <v>179</v>
      </c>
      <c r="P46" s="42">
        <v>4.0491294371710083E-2</v>
      </c>
      <c r="Q46" s="30"/>
      <c r="R46" s="30"/>
      <c r="S46" s="30"/>
      <c r="T46" s="30"/>
      <c r="U46" s="30"/>
      <c r="V46" s="30"/>
      <c r="W46" s="30"/>
      <c r="X46" s="30"/>
      <c r="Y46" s="30"/>
      <c r="Z46" s="30"/>
    </row>
    <row r="47" spans="1:26" ht="15.75" customHeight="1" x14ac:dyDescent="0.25">
      <c r="A47" s="30"/>
      <c r="B47" s="30"/>
      <c r="C47" s="30"/>
      <c r="D47" s="30"/>
      <c r="E47" s="30"/>
      <c r="F47" s="30"/>
      <c r="G47" s="30"/>
      <c r="H47" s="30"/>
      <c r="I47" s="30"/>
      <c r="J47" s="30"/>
      <c r="K47" s="30"/>
      <c r="L47" s="30"/>
      <c r="M47" s="30"/>
      <c r="N47" s="30"/>
      <c r="O47" s="42" t="s">
        <v>199</v>
      </c>
      <c r="P47" s="42">
        <v>3.4261864468370068E-2</v>
      </c>
      <c r="Q47" s="30"/>
      <c r="R47" s="30"/>
      <c r="S47" s="30"/>
      <c r="T47" s="30"/>
      <c r="U47" s="30"/>
      <c r="V47" s="30"/>
      <c r="W47" s="30"/>
      <c r="X47" s="30"/>
      <c r="Y47" s="30"/>
      <c r="Z47" s="30"/>
    </row>
    <row r="48" spans="1:26" ht="15.75" customHeight="1" x14ac:dyDescent="0.25">
      <c r="A48" s="30"/>
      <c r="B48" s="30"/>
      <c r="C48" s="30"/>
      <c r="D48" s="30"/>
      <c r="E48" s="30"/>
      <c r="F48" s="30"/>
      <c r="G48" s="30"/>
      <c r="H48" s="30"/>
      <c r="I48" s="30"/>
      <c r="J48" s="30"/>
      <c r="K48" s="30"/>
      <c r="L48" s="30"/>
      <c r="M48" s="30"/>
      <c r="N48" s="30"/>
      <c r="O48" s="42" t="s">
        <v>159</v>
      </c>
      <c r="P48" s="42">
        <v>2.2841242978913379E-2</v>
      </c>
      <c r="Q48" s="30"/>
      <c r="R48" s="30"/>
      <c r="S48" s="30"/>
      <c r="T48" s="30"/>
      <c r="U48" s="30"/>
      <c r="V48" s="30"/>
      <c r="W48" s="30"/>
      <c r="X48" s="30"/>
      <c r="Y48" s="30"/>
      <c r="Z48" s="30"/>
    </row>
    <row r="49" spans="1:26" ht="15.75" customHeight="1" x14ac:dyDescent="0.25">
      <c r="A49" s="30"/>
      <c r="B49" s="30"/>
      <c r="C49" s="30"/>
      <c r="D49" s="30"/>
      <c r="E49" s="30"/>
      <c r="F49" s="30"/>
      <c r="G49" s="30"/>
      <c r="H49" s="30"/>
      <c r="I49" s="30"/>
      <c r="J49" s="30"/>
      <c r="K49" s="30"/>
      <c r="L49" s="30"/>
      <c r="M49" s="30"/>
      <c r="N49" s="30"/>
      <c r="O49" s="42" t="s">
        <v>183</v>
      </c>
      <c r="P49" s="42">
        <v>1.0382383172233354E-3</v>
      </c>
      <c r="Q49" s="30"/>
      <c r="R49" s="30"/>
      <c r="S49" s="30"/>
      <c r="T49" s="30"/>
      <c r="U49" s="30"/>
      <c r="V49" s="30"/>
      <c r="W49" s="30"/>
      <c r="X49" s="30"/>
      <c r="Y49" s="30"/>
      <c r="Z49" s="30"/>
    </row>
    <row r="50" spans="1:26" ht="15.75" customHeight="1" x14ac:dyDescent="0.25">
      <c r="A50" s="30"/>
      <c r="B50" s="30"/>
      <c r="C50" s="30"/>
      <c r="D50" s="30"/>
      <c r="E50" s="30"/>
      <c r="F50" s="30"/>
      <c r="G50" s="30"/>
      <c r="H50" s="30"/>
      <c r="I50" s="30"/>
      <c r="J50" s="30"/>
      <c r="K50" s="30"/>
      <c r="L50" s="30"/>
      <c r="M50" s="30"/>
      <c r="N50" s="30"/>
      <c r="O50" s="133"/>
      <c r="P50" s="30"/>
      <c r="Q50" s="30"/>
      <c r="R50" s="30"/>
      <c r="S50" s="30"/>
      <c r="T50" s="30"/>
      <c r="U50" s="30"/>
      <c r="V50" s="30"/>
      <c r="W50" s="30"/>
      <c r="X50" s="30"/>
      <c r="Y50" s="30"/>
      <c r="Z50" s="30"/>
    </row>
    <row r="51" spans="1:26" ht="19.5" customHeight="1" x14ac:dyDescent="0.25">
      <c r="A51" s="30"/>
      <c r="B51" s="30"/>
      <c r="C51" s="30"/>
      <c r="D51" s="30"/>
      <c r="E51" s="30"/>
      <c r="F51" s="30"/>
      <c r="G51" s="30"/>
      <c r="H51" s="30"/>
      <c r="I51" s="30"/>
      <c r="J51" s="30"/>
      <c r="K51" s="30"/>
      <c r="L51" s="30"/>
      <c r="M51" s="30"/>
      <c r="N51" s="30"/>
      <c r="O51" s="42" t="s">
        <v>203</v>
      </c>
      <c r="P51" s="42">
        <v>7.0942824215870521</v>
      </c>
      <c r="Q51" s="30"/>
      <c r="R51" s="30"/>
      <c r="S51" s="30"/>
      <c r="T51" s="30"/>
      <c r="U51" s="30"/>
      <c r="V51" s="30"/>
      <c r="W51" s="30"/>
      <c r="X51" s="30"/>
      <c r="Y51" s="30"/>
      <c r="Z51" s="30"/>
    </row>
    <row r="52" spans="1:26" ht="15.75" customHeight="1" x14ac:dyDescent="0.25">
      <c r="A52" s="30"/>
      <c r="B52" s="30"/>
      <c r="C52" s="30"/>
      <c r="D52" s="30"/>
      <c r="E52" s="30"/>
      <c r="F52" s="30"/>
      <c r="G52" s="30"/>
      <c r="H52" s="30"/>
      <c r="I52" s="30"/>
      <c r="J52" s="30"/>
      <c r="K52" s="30"/>
      <c r="L52" s="30"/>
      <c r="M52" s="30"/>
      <c r="N52" s="30"/>
      <c r="O52" s="133"/>
      <c r="P52" s="30"/>
      <c r="Q52" s="30"/>
      <c r="R52" s="30"/>
      <c r="S52" s="30"/>
      <c r="T52" s="30"/>
      <c r="U52" s="30"/>
      <c r="V52" s="30"/>
      <c r="W52" s="30"/>
      <c r="X52" s="30"/>
      <c r="Y52" s="30"/>
      <c r="Z52" s="30"/>
    </row>
    <row r="53" spans="1:26" ht="15.75" customHeight="1" x14ac:dyDescent="0.25">
      <c r="A53" s="30"/>
      <c r="B53" s="30"/>
      <c r="C53" s="30"/>
      <c r="D53" s="30"/>
      <c r="E53" s="30"/>
      <c r="F53" s="30"/>
      <c r="G53" s="30"/>
      <c r="H53" s="30"/>
      <c r="I53" s="30"/>
      <c r="J53" s="30"/>
      <c r="K53" s="30"/>
      <c r="L53" s="30"/>
      <c r="M53" s="30"/>
      <c r="N53" s="30"/>
      <c r="R53" s="30"/>
      <c r="S53" s="30"/>
      <c r="T53" s="30"/>
      <c r="U53" s="30"/>
      <c r="V53" s="30"/>
      <c r="W53" s="30"/>
      <c r="X53" s="30"/>
      <c r="Y53" s="30"/>
      <c r="Z53" s="30"/>
    </row>
    <row r="54" spans="1:26" ht="15.75" customHeight="1" x14ac:dyDescent="0.25">
      <c r="A54" s="30"/>
      <c r="B54" s="30"/>
      <c r="C54" s="30"/>
      <c r="D54" s="30"/>
      <c r="E54" s="30"/>
      <c r="F54" s="30"/>
      <c r="G54" s="30"/>
      <c r="H54" s="30"/>
      <c r="I54" s="30"/>
      <c r="J54" s="30"/>
      <c r="K54" s="30"/>
      <c r="L54" s="30"/>
      <c r="M54" s="30"/>
      <c r="N54" s="30"/>
      <c r="R54" s="30"/>
      <c r="S54" s="30"/>
      <c r="T54" s="30"/>
      <c r="U54" s="30"/>
      <c r="V54" s="30"/>
      <c r="W54" s="30"/>
      <c r="X54" s="30"/>
      <c r="Y54" s="30"/>
      <c r="Z54" s="30"/>
    </row>
    <row r="55" spans="1:26" ht="15.75" customHeight="1" x14ac:dyDescent="0.25">
      <c r="A55" s="30"/>
      <c r="B55" s="30"/>
      <c r="C55" s="30"/>
      <c r="D55" s="30"/>
      <c r="E55" s="30"/>
      <c r="F55" s="30"/>
      <c r="G55" s="30"/>
      <c r="H55" s="30"/>
      <c r="I55" s="30"/>
      <c r="J55" s="30"/>
      <c r="K55" s="30"/>
      <c r="L55" s="30"/>
      <c r="M55" s="30"/>
      <c r="N55" s="30"/>
      <c r="R55" s="30"/>
      <c r="S55" s="30"/>
      <c r="T55" s="30"/>
      <c r="U55" s="30"/>
      <c r="V55" s="30"/>
      <c r="W55" s="30"/>
      <c r="X55" s="30"/>
      <c r="Y55" s="30"/>
      <c r="Z55" s="30"/>
    </row>
    <row r="56" spans="1:26" ht="15.75" customHeight="1" x14ac:dyDescent="0.25">
      <c r="A56" s="30"/>
      <c r="B56" s="30"/>
      <c r="C56" s="30"/>
      <c r="D56" s="30"/>
      <c r="E56" s="30"/>
      <c r="F56" s="30"/>
      <c r="G56" s="30"/>
      <c r="H56" s="30"/>
      <c r="I56" s="30"/>
      <c r="J56" s="30"/>
      <c r="K56" s="30"/>
      <c r="L56" s="30"/>
      <c r="M56" s="30"/>
      <c r="N56" s="30"/>
      <c r="R56" s="235"/>
      <c r="S56" s="30"/>
      <c r="T56" s="30"/>
      <c r="U56" s="30"/>
      <c r="V56" s="30"/>
      <c r="W56" s="30"/>
      <c r="X56" s="30"/>
      <c r="Y56" s="30"/>
      <c r="Z56" s="30"/>
    </row>
    <row r="57" spans="1:26" ht="15.75" customHeight="1" x14ac:dyDescent="0.25">
      <c r="A57" s="30"/>
      <c r="B57" s="30"/>
      <c r="C57" s="30"/>
      <c r="D57" s="30"/>
      <c r="E57" s="30"/>
      <c r="F57" s="30"/>
      <c r="G57" s="30"/>
      <c r="H57" s="30"/>
      <c r="I57" s="30"/>
      <c r="J57" s="30"/>
      <c r="K57" s="30"/>
      <c r="L57" s="30"/>
      <c r="M57" s="30"/>
      <c r="N57" s="30"/>
      <c r="R57" s="30"/>
      <c r="S57" s="30"/>
      <c r="T57" s="30"/>
      <c r="U57" s="30"/>
      <c r="V57" s="30"/>
      <c r="W57" s="30"/>
      <c r="X57" s="30"/>
      <c r="Y57" s="30"/>
      <c r="Z57" s="30"/>
    </row>
    <row r="58" spans="1:26" ht="15.75" customHeight="1" x14ac:dyDescent="0.25">
      <c r="A58" s="30"/>
      <c r="B58" s="30"/>
      <c r="C58" s="30"/>
      <c r="D58" s="30"/>
      <c r="E58" s="30"/>
      <c r="F58" s="30"/>
      <c r="G58" s="30"/>
      <c r="H58" s="30"/>
      <c r="I58" s="30"/>
      <c r="J58" s="30"/>
      <c r="K58" s="30"/>
      <c r="L58" s="30"/>
      <c r="M58" s="30"/>
      <c r="N58" s="30"/>
      <c r="R58" s="30"/>
      <c r="S58" s="30"/>
      <c r="T58" s="30"/>
      <c r="U58" s="30"/>
      <c r="V58" s="30"/>
      <c r="W58" s="30"/>
      <c r="X58" s="30"/>
      <c r="Y58" s="30"/>
      <c r="Z58" s="30"/>
    </row>
    <row r="59" spans="1:26" ht="15.75" customHeight="1" x14ac:dyDescent="0.25">
      <c r="A59" s="30"/>
      <c r="B59" s="30"/>
      <c r="C59" s="30"/>
      <c r="D59" s="30"/>
      <c r="E59" s="30"/>
      <c r="F59" s="30"/>
      <c r="G59" s="30"/>
      <c r="H59" s="30"/>
      <c r="I59" s="30"/>
      <c r="J59" s="30"/>
      <c r="K59" s="30"/>
      <c r="L59" s="30"/>
      <c r="M59" s="30"/>
      <c r="N59" s="30"/>
      <c r="R59" s="30"/>
      <c r="S59" s="30"/>
      <c r="T59" s="30"/>
      <c r="U59" s="30"/>
      <c r="V59" s="30"/>
      <c r="W59" s="30"/>
      <c r="X59" s="30"/>
      <c r="Y59" s="30"/>
      <c r="Z59" s="30"/>
    </row>
    <row r="60" spans="1:26" ht="15.75" customHeight="1" x14ac:dyDescent="0.25">
      <c r="A60" s="30"/>
      <c r="B60" s="30"/>
      <c r="C60" s="30"/>
      <c r="D60" s="30"/>
      <c r="E60" s="30"/>
      <c r="F60" s="30"/>
      <c r="G60" s="30"/>
      <c r="H60" s="30"/>
      <c r="I60" s="30"/>
      <c r="J60" s="30"/>
      <c r="K60" s="30"/>
      <c r="L60" s="30"/>
      <c r="M60" s="30"/>
      <c r="N60" s="30"/>
      <c r="R60" s="30"/>
      <c r="S60" s="30"/>
      <c r="T60" s="30"/>
      <c r="U60" s="30"/>
      <c r="V60" s="30"/>
      <c r="W60" s="30"/>
      <c r="X60" s="30"/>
      <c r="Y60" s="30"/>
      <c r="Z60" s="30"/>
    </row>
    <row r="61" spans="1:26" ht="15.7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sheetData>
  <sortState ref="O23:P47">
    <sortCondition descending="1" ref="P8:P32"/>
  </sortState>
  <mergeCells count="5">
    <mergeCell ref="A1:F1"/>
    <mergeCell ref="A2:F2"/>
    <mergeCell ref="A4:A6"/>
    <mergeCell ref="F4:F6"/>
    <mergeCell ref="D5:D6"/>
  </mergeCells>
  <pageMargins left="0.7" right="0.7" top="0.75" bottom="0.75" header="0" footer="0"/>
  <pageSetup paperSize="9" scale="73" orientation="landscape" horizontalDpi="4294967295" verticalDpi="4294967295" r:id="rId1"/>
  <rowBreaks count="2" manualBreakCount="2">
    <brk id="34" max="5" man="1"/>
    <brk id="55" max="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38"/>
  <sheetViews>
    <sheetView zoomScaleNormal="100" workbookViewId="0">
      <selection activeCell="Y24" sqref="Y23:Y24"/>
    </sheetView>
  </sheetViews>
  <sheetFormatPr defaultColWidth="14.42578125" defaultRowHeight="15" customHeight="1" x14ac:dyDescent="0.25"/>
  <cols>
    <col min="1" max="1" width="25.28515625" style="31" customWidth="1"/>
    <col min="2" max="4" width="7.7109375" style="31" hidden="1" customWidth="1"/>
    <col min="5" max="7" width="7.7109375" style="31" customWidth="1"/>
    <col min="8" max="8" width="8.7109375" style="31" hidden="1" customWidth="1"/>
    <col min="9" max="11" width="7.7109375" style="31" customWidth="1"/>
    <col min="12" max="12" width="8.7109375" style="31" hidden="1" customWidth="1"/>
    <col min="13" max="14" width="8.7109375" style="31" customWidth="1"/>
    <col min="15" max="16" width="9.140625" style="31" customWidth="1"/>
    <col min="17" max="17" width="30.5703125" style="31" customWidth="1"/>
    <col min="18" max="18" width="4.140625" style="31" customWidth="1"/>
    <col min="19" max="32" width="8" style="31" customWidth="1"/>
    <col min="33" max="16384" width="14.42578125" style="31"/>
  </cols>
  <sheetData>
    <row r="1" spans="1:32" ht="19.5" customHeight="1" x14ac:dyDescent="0.55000000000000004">
      <c r="A1" s="722" t="s">
        <v>267</v>
      </c>
      <c r="B1" s="699"/>
      <c r="C1" s="699"/>
      <c r="D1" s="699"/>
      <c r="E1" s="699"/>
      <c r="F1" s="699"/>
      <c r="G1" s="699"/>
      <c r="H1" s="699"/>
      <c r="I1" s="699"/>
      <c r="J1" s="699"/>
      <c r="K1" s="699"/>
      <c r="L1" s="699"/>
      <c r="M1" s="699"/>
      <c r="N1" s="699"/>
      <c r="O1" s="699"/>
      <c r="P1" s="699"/>
      <c r="Q1" s="700"/>
      <c r="R1" s="30"/>
      <c r="S1" s="30"/>
      <c r="T1" s="30"/>
      <c r="U1" s="30"/>
      <c r="V1" s="30"/>
      <c r="W1" s="30"/>
      <c r="X1" s="30"/>
      <c r="Y1" s="30"/>
      <c r="Z1" s="30"/>
      <c r="AA1" s="30"/>
      <c r="AB1" s="30"/>
      <c r="AC1" s="30"/>
      <c r="AD1" s="30"/>
      <c r="AE1" s="30"/>
      <c r="AF1" s="30"/>
    </row>
    <row r="2" spans="1:32" ht="14.25" customHeight="1" x14ac:dyDescent="0.25">
      <c r="A2" s="731" t="s">
        <v>266</v>
      </c>
      <c r="B2" s="699"/>
      <c r="C2" s="699"/>
      <c r="D2" s="699"/>
      <c r="E2" s="699"/>
      <c r="F2" s="699"/>
      <c r="G2" s="699"/>
      <c r="H2" s="699"/>
      <c r="I2" s="699"/>
      <c r="J2" s="699"/>
      <c r="K2" s="699"/>
      <c r="L2" s="699"/>
      <c r="M2" s="699"/>
      <c r="N2" s="699"/>
      <c r="O2" s="699"/>
      <c r="P2" s="699"/>
      <c r="Q2" s="700"/>
      <c r="R2" s="30"/>
      <c r="S2" s="30"/>
      <c r="T2" s="30"/>
      <c r="U2" s="30"/>
      <c r="V2" s="30"/>
      <c r="W2" s="30"/>
      <c r="X2" s="30"/>
      <c r="Y2" s="30"/>
      <c r="Z2" s="30"/>
      <c r="AA2" s="30"/>
      <c r="AB2" s="30"/>
      <c r="AC2" s="30"/>
      <c r="AD2" s="30"/>
      <c r="AE2" s="30"/>
      <c r="AF2" s="30"/>
    </row>
    <row r="3" spans="1:32" ht="2.25" customHeight="1" x14ac:dyDescent="0.25">
      <c r="A3" s="30"/>
      <c r="B3" s="30"/>
      <c r="C3" s="30"/>
      <c r="D3" s="30"/>
      <c r="E3" s="30"/>
      <c r="F3" s="30"/>
      <c r="G3" s="30"/>
      <c r="H3" s="30"/>
      <c r="I3" s="30"/>
      <c r="J3" s="30"/>
      <c r="K3" s="30"/>
      <c r="L3" s="30"/>
      <c r="M3" s="327"/>
      <c r="N3" s="30"/>
      <c r="O3" s="30"/>
      <c r="P3" s="30"/>
      <c r="Q3" s="30"/>
      <c r="R3" s="30"/>
      <c r="S3" s="30"/>
      <c r="T3" s="30"/>
      <c r="U3" s="30"/>
      <c r="V3" s="30"/>
      <c r="W3" s="30"/>
      <c r="X3" s="30"/>
      <c r="Y3" s="30"/>
      <c r="Z3" s="30"/>
      <c r="AA3" s="30"/>
      <c r="AB3" s="30"/>
      <c r="AC3" s="30"/>
      <c r="AD3" s="30"/>
      <c r="AE3" s="30"/>
      <c r="AF3" s="30"/>
    </row>
    <row r="4" spans="1:32" ht="14.25" customHeight="1" x14ac:dyDescent="0.25">
      <c r="A4" s="718" t="s">
        <v>219</v>
      </c>
      <c r="B4" s="758">
        <v>2016</v>
      </c>
      <c r="C4" s="705"/>
      <c r="D4" s="706"/>
      <c r="E4" s="758">
        <v>2017</v>
      </c>
      <c r="F4" s="705"/>
      <c r="G4" s="706"/>
      <c r="H4" s="30"/>
      <c r="I4" s="758">
        <v>2018</v>
      </c>
      <c r="J4" s="705"/>
      <c r="K4" s="706"/>
      <c r="L4" s="123"/>
      <c r="M4" s="810" t="s">
        <v>220</v>
      </c>
      <c r="N4" s="811"/>
      <c r="O4" s="814" t="s">
        <v>20</v>
      </c>
      <c r="P4" s="814"/>
      <c r="Q4" s="714" t="s">
        <v>221</v>
      </c>
      <c r="R4" s="30"/>
      <c r="S4" s="30"/>
      <c r="T4" s="30"/>
      <c r="U4" s="30"/>
      <c r="V4" s="30"/>
      <c r="W4" s="30"/>
      <c r="X4" s="30"/>
      <c r="Y4" s="30"/>
      <c r="Z4" s="30"/>
      <c r="AA4" s="30"/>
      <c r="AB4" s="30"/>
      <c r="AC4" s="30"/>
      <c r="AD4" s="30"/>
      <c r="AE4" s="30"/>
      <c r="AF4" s="30"/>
    </row>
    <row r="5" spans="1:32" ht="18" customHeight="1" x14ac:dyDescent="0.55000000000000004">
      <c r="A5" s="715"/>
      <c r="B5" s="328" t="s">
        <v>23</v>
      </c>
      <c r="C5" s="328" t="s">
        <v>24</v>
      </c>
      <c r="D5" s="329" t="s">
        <v>25</v>
      </c>
      <c r="E5" s="328" t="s">
        <v>23</v>
      </c>
      <c r="F5" s="328" t="s">
        <v>24</v>
      </c>
      <c r="G5" s="329" t="s">
        <v>25</v>
      </c>
      <c r="H5" s="330"/>
      <c r="I5" s="328" t="s">
        <v>23</v>
      </c>
      <c r="J5" s="328" t="s">
        <v>24</v>
      </c>
      <c r="K5" s="329" t="s">
        <v>25</v>
      </c>
      <c r="L5" s="124"/>
      <c r="M5" s="812" t="s">
        <v>2</v>
      </c>
      <c r="N5" s="813"/>
      <c r="O5" s="815" t="s">
        <v>3</v>
      </c>
      <c r="P5" s="815"/>
      <c r="Q5" s="715"/>
      <c r="R5" s="30"/>
      <c r="S5" s="30"/>
      <c r="T5" s="30"/>
      <c r="U5" s="30"/>
      <c r="V5" s="30"/>
      <c r="W5" s="30"/>
      <c r="X5" s="30"/>
      <c r="Y5" s="30"/>
      <c r="Z5" s="30"/>
      <c r="AA5" s="30"/>
      <c r="AB5" s="30"/>
      <c r="AC5" s="30"/>
      <c r="AD5" s="30"/>
      <c r="AE5" s="30"/>
      <c r="AF5" s="30"/>
    </row>
    <row r="6" spans="1:32" ht="21" customHeight="1" x14ac:dyDescent="0.55000000000000004">
      <c r="A6" s="716"/>
      <c r="B6" s="331" t="s">
        <v>13</v>
      </c>
      <c r="C6" s="331" t="s">
        <v>15</v>
      </c>
      <c r="D6" s="332" t="s">
        <v>16</v>
      </c>
      <c r="E6" s="331" t="s">
        <v>13</v>
      </c>
      <c r="F6" s="331" t="s">
        <v>15</v>
      </c>
      <c r="G6" s="332" t="s">
        <v>16</v>
      </c>
      <c r="H6" s="333">
        <v>2013</v>
      </c>
      <c r="I6" s="331" t="s">
        <v>13</v>
      </c>
      <c r="J6" s="331" t="s">
        <v>15</v>
      </c>
      <c r="K6" s="332" t="s">
        <v>16</v>
      </c>
      <c r="L6" s="334">
        <v>2014</v>
      </c>
      <c r="M6" s="229">
        <v>2017</v>
      </c>
      <c r="N6" s="60">
        <v>2018</v>
      </c>
      <c r="O6" s="334">
        <v>2017</v>
      </c>
      <c r="P6" s="334">
        <v>2018</v>
      </c>
      <c r="Q6" s="716"/>
      <c r="R6" s="30"/>
      <c r="S6" s="30"/>
      <c r="T6" s="30"/>
      <c r="U6" s="30"/>
      <c r="V6" s="30"/>
      <c r="W6" s="30"/>
      <c r="X6" s="30"/>
      <c r="Y6" s="30"/>
      <c r="Z6" s="30"/>
      <c r="AA6" s="30"/>
      <c r="AB6" s="30"/>
      <c r="AC6" s="30"/>
      <c r="AD6" s="30"/>
      <c r="AE6" s="30"/>
      <c r="AF6" s="30"/>
    </row>
    <row r="7" spans="1:32" ht="21" customHeight="1" x14ac:dyDescent="0.55000000000000004">
      <c r="A7" s="126" t="s">
        <v>23</v>
      </c>
      <c r="B7" s="128">
        <f t="shared" ref="B7:G7" si="0">SUM(B8:B19)</f>
        <v>79995</v>
      </c>
      <c r="C7" s="128">
        <f t="shared" si="0"/>
        <v>55148</v>
      </c>
      <c r="D7" s="131">
        <f t="shared" si="0"/>
        <v>24847</v>
      </c>
      <c r="E7" s="128">
        <f t="shared" si="0"/>
        <v>89024</v>
      </c>
      <c r="F7" s="128">
        <f t="shared" si="0"/>
        <v>60536</v>
      </c>
      <c r="G7" s="131">
        <f t="shared" si="0"/>
        <v>28488</v>
      </c>
      <c r="H7" s="335" t="e">
        <f t="shared" ref="H7:H9" si="1">#REF!/#REF!*100</f>
        <v>#REF!</v>
      </c>
      <c r="I7" s="128">
        <f t="shared" ref="I7:K7" si="2">SUM(I8:I19)</f>
        <v>95475</v>
      </c>
      <c r="J7" s="128">
        <f t="shared" si="2"/>
        <v>63578</v>
      </c>
      <c r="K7" s="131">
        <f t="shared" si="2"/>
        <v>31897</v>
      </c>
      <c r="L7" s="318" t="e">
        <f t="shared" ref="L7:L9" si="3">#REF!/#REF!*100</f>
        <v>#REF!</v>
      </c>
      <c r="M7" s="354">
        <f>E7/$E$7*100</f>
        <v>100</v>
      </c>
      <c r="N7" s="355">
        <f>I7/$I$7*100</f>
        <v>100</v>
      </c>
      <c r="O7" s="188">
        <f>G7/E7*100</f>
        <v>32.00035945363048</v>
      </c>
      <c r="P7" s="356">
        <f>K7/I7*100</f>
        <v>33.408745744959411</v>
      </c>
      <c r="Q7" s="74" t="s">
        <v>13</v>
      </c>
      <c r="R7" s="37"/>
      <c r="S7" s="37"/>
      <c r="T7" s="37"/>
      <c r="U7" s="37"/>
      <c r="V7" s="37"/>
      <c r="W7" s="37"/>
      <c r="X7" s="37"/>
      <c r="Y7" s="37"/>
      <c r="Z7" s="37"/>
      <c r="AA7" s="37"/>
      <c r="AB7" s="37"/>
      <c r="AC7" s="37"/>
      <c r="AD7" s="37"/>
      <c r="AE7" s="37"/>
      <c r="AF7" s="37"/>
    </row>
    <row r="8" spans="1:32" ht="21" customHeight="1" x14ac:dyDescent="0.55000000000000004">
      <c r="A8" s="133" t="s">
        <v>225</v>
      </c>
      <c r="B8" s="134">
        <f t="shared" ref="B8:B19" si="4">SUM(C8:D8)</f>
        <v>9556</v>
      </c>
      <c r="C8" s="134">
        <v>4484</v>
      </c>
      <c r="D8" s="336">
        <v>5072</v>
      </c>
      <c r="E8" s="134">
        <f t="shared" ref="E8:E19" si="5">SUM(F8:G8)</f>
        <v>12994</v>
      </c>
      <c r="F8" s="134">
        <v>6570</v>
      </c>
      <c r="G8" s="336">
        <v>6424</v>
      </c>
      <c r="H8" s="145" t="e">
        <f t="shared" si="1"/>
        <v>#REF!</v>
      </c>
      <c r="I8" s="134">
        <f t="shared" ref="I8:I19" si="6">SUM(J8:K8)</f>
        <v>14209</v>
      </c>
      <c r="J8" s="135">
        <v>7092</v>
      </c>
      <c r="K8" s="137">
        <v>7117</v>
      </c>
      <c r="L8" s="139" t="e">
        <f t="shared" si="3"/>
        <v>#REF!</v>
      </c>
      <c r="M8" s="198">
        <f t="shared" ref="M8:M19" si="7">E8/$E$7*100</f>
        <v>14.596063982746227</v>
      </c>
      <c r="N8" s="339">
        <f>I8/$I$7*100</f>
        <v>14.88242995548573</v>
      </c>
      <c r="O8" s="198">
        <f t="shared" ref="O8:O19" si="8">G8/E8*100</f>
        <v>49.438202247191008</v>
      </c>
      <c r="P8" s="140">
        <f t="shared" ref="P8:P19" si="9">K8/I8*100</f>
        <v>50.087972411851645</v>
      </c>
      <c r="Q8" s="86" t="s">
        <v>226</v>
      </c>
      <c r="R8" s="30"/>
      <c r="S8" s="30"/>
      <c r="T8" s="30"/>
      <c r="U8" s="30"/>
      <c r="V8" s="30"/>
      <c r="W8" s="30"/>
      <c r="X8" s="30"/>
      <c r="Y8" s="30"/>
      <c r="Z8" s="30"/>
      <c r="AA8" s="30"/>
      <c r="AB8" s="30"/>
      <c r="AC8" s="30"/>
      <c r="AD8" s="30"/>
      <c r="AE8" s="30"/>
      <c r="AF8" s="30"/>
    </row>
    <row r="9" spans="1:32" ht="21" customHeight="1" x14ac:dyDescent="0.55000000000000004">
      <c r="A9" s="133" t="s">
        <v>227</v>
      </c>
      <c r="B9" s="134">
        <f t="shared" si="4"/>
        <v>2186</v>
      </c>
      <c r="C9" s="134">
        <v>1095</v>
      </c>
      <c r="D9" s="336">
        <v>1091</v>
      </c>
      <c r="E9" s="134">
        <f t="shared" si="5"/>
        <v>2161</v>
      </c>
      <c r="F9" s="134">
        <v>1089</v>
      </c>
      <c r="G9" s="336">
        <v>1072</v>
      </c>
      <c r="H9" s="145" t="e">
        <f t="shared" si="1"/>
        <v>#REF!</v>
      </c>
      <c r="I9" s="134">
        <f t="shared" si="6"/>
        <v>2235</v>
      </c>
      <c r="J9" s="135">
        <v>1128</v>
      </c>
      <c r="K9" s="137">
        <v>1107</v>
      </c>
      <c r="L9" s="139" t="e">
        <f t="shared" si="3"/>
        <v>#REF!</v>
      </c>
      <c r="M9" s="198">
        <f t="shared" si="7"/>
        <v>2.4274352983465133</v>
      </c>
      <c r="N9" s="339">
        <f>I9/$I$7*100</f>
        <v>2.3409269442262373</v>
      </c>
      <c r="O9" s="198">
        <f t="shared" si="8"/>
        <v>49.60666358167515</v>
      </c>
      <c r="P9" s="140">
        <f t="shared" si="9"/>
        <v>49.530201342281877</v>
      </c>
      <c r="Q9" s="86" t="s">
        <v>228</v>
      </c>
      <c r="R9" s="30"/>
      <c r="S9" s="30"/>
      <c r="T9" s="37"/>
      <c r="U9" s="37"/>
      <c r="V9" s="37"/>
      <c r="W9" s="30"/>
      <c r="X9" s="30"/>
      <c r="Y9" s="30"/>
      <c r="Z9" s="30"/>
      <c r="AA9" s="30"/>
      <c r="AB9" s="30"/>
      <c r="AC9" s="30"/>
      <c r="AD9" s="30"/>
      <c r="AE9" s="30"/>
      <c r="AF9" s="30"/>
    </row>
    <row r="10" spans="1:32" ht="21" customHeight="1" x14ac:dyDescent="0.55000000000000004">
      <c r="A10" s="133" t="s">
        <v>229</v>
      </c>
      <c r="B10" s="134">
        <f t="shared" si="4"/>
        <v>510</v>
      </c>
      <c r="C10" s="134">
        <v>226</v>
      </c>
      <c r="D10" s="336">
        <v>284</v>
      </c>
      <c r="E10" s="134">
        <f t="shared" si="5"/>
        <v>1741</v>
      </c>
      <c r="F10" s="134">
        <v>1040</v>
      </c>
      <c r="G10" s="336">
        <v>701</v>
      </c>
      <c r="H10" s="145">
        <v>0</v>
      </c>
      <c r="I10" s="134">
        <f t="shared" si="6"/>
        <v>1828</v>
      </c>
      <c r="J10" s="135">
        <v>1089</v>
      </c>
      <c r="K10" s="137">
        <v>739</v>
      </c>
      <c r="L10" s="139">
        <v>0</v>
      </c>
      <c r="M10" s="198">
        <f t="shared" si="7"/>
        <v>1.9556524083393243</v>
      </c>
      <c r="N10" s="339">
        <f t="shared" ref="N10:N19" si="10">I10/$I$7*100</f>
        <v>1.914637339617701</v>
      </c>
      <c r="O10" s="198">
        <f t="shared" si="8"/>
        <v>40.264215967834573</v>
      </c>
      <c r="P10" s="140">
        <f t="shared" si="9"/>
        <v>40.426695842450769</v>
      </c>
      <c r="Q10" s="86" t="s">
        <v>230</v>
      </c>
      <c r="R10" s="30"/>
      <c r="S10" s="30"/>
      <c r="T10" s="30"/>
      <c r="U10" s="30"/>
      <c r="V10" s="30"/>
      <c r="W10" s="30"/>
      <c r="X10" s="30"/>
      <c r="Y10" s="30"/>
      <c r="Z10" s="30"/>
      <c r="AA10" s="30"/>
      <c r="AB10" s="30"/>
      <c r="AC10" s="30"/>
      <c r="AD10" s="30"/>
      <c r="AE10" s="30"/>
      <c r="AF10" s="30"/>
    </row>
    <row r="11" spans="1:32" ht="21" customHeight="1" x14ac:dyDescent="0.55000000000000004">
      <c r="A11" s="133" t="s">
        <v>231</v>
      </c>
      <c r="B11" s="134">
        <f t="shared" si="4"/>
        <v>212</v>
      </c>
      <c r="C11" s="134">
        <v>75</v>
      </c>
      <c r="D11" s="336">
        <v>137</v>
      </c>
      <c r="E11" s="134">
        <f t="shared" si="5"/>
        <v>261</v>
      </c>
      <c r="F11" s="134">
        <v>103</v>
      </c>
      <c r="G11" s="336">
        <v>158</v>
      </c>
      <c r="H11" s="145">
        <v>0</v>
      </c>
      <c r="I11" s="134">
        <f t="shared" si="6"/>
        <v>218</v>
      </c>
      <c r="J11" s="135">
        <v>94</v>
      </c>
      <c r="K11" s="137">
        <v>124</v>
      </c>
      <c r="L11" s="139">
        <v>0</v>
      </c>
      <c r="M11" s="198">
        <f t="shared" si="7"/>
        <v>0.29317936736161038</v>
      </c>
      <c r="N11" s="339">
        <f t="shared" si="10"/>
        <v>0.22833202409007597</v>
      </c>
      <c r="O11" s="198">
        <f t="shared" si="8"/>
        <v>60.536398467432953</v>
      </c>
      <c r="P11" s="140">
        <f t="shared" si="9"/>
        <v>56.88073394495413</v>
      </c>
      <c r="Q11" s="86" t="s">
        <v>232</v>
      </c>
      <c r="R11" s="30"/>
      <c r="S11" s="30"/>
      <c r="T11" s="37"/>
      <c r="U11" s="37"/>
      <c r="V11" s="37"/>
      <c r="W11" s="30"/>
      <c r="X11" s="30"/>
      <c r="Y11" s="30"/>
      <c r="Z11" s="30"/>
      <c r="AA11" s="30"/>
      <c r="AB11" s="30"/>
      <c r="AC11" s="30"/>
      <c r="AD11" s="30"/>
      <c r="AE11" s="30"/>
      <c r="AF11" s="30"/>
    </row>
    <row r="12" spans="1:32" ht="21" customHeight="1" x14ac:dyDescent="0.55000000000000004">
      <c r="A12" s="133" t="s">
        <v>233</v>
      </c>
      <c r="B12" s="134">
        <f t="shared" si="4"/>
        <v>571</v>
      </c>
      <c r="C12" s="134">
        <v>374</v>
      </c>
      <c r="D12" s="336">
        <v>197</v>
      </c>
      <c r="E12" s="134">
        <f t="shared" si="5"/>
        <v>492</v>
      </c>
      <c r="F12" s="134">
        <v>315</v>
      </c>
      <c r="G12" s="336">
        <v>177</v>
      </c>
      <c r="H12" s="145" t="e">
        <f t="shared" ref="H12:H19" si="11">#REF!/#REF!*100</f>
        <v>#REF!</v>
      </c>
      <c r="I12" s="134">
        <f t="shared" si="6"/>
        <v>483</v>
      </c>
      <c r="J12" s="135">
        <v>310</v>
      </c>
      <c r="K12" s="137">
        <v>173</v>
      </c>
      <c r="L12" s="139" t="e">
        <f t="shared" ref="L12:L19" si="12">#REF!/#REF!*100</f>
        <v>#REF!</v>
      </c>
      <c r="M12" s="198">
        <f t="shared" si="7"/>
        <v>0.55265995686556435</v>
      </c>
      <c r="N12" s="339">
        <f t="shared" si="10"/>
        <v>0.50589159465828748</v>
      </c>
      <c r="O12" s="198">
        <f t="shared" si="8"/>
        <v>35.975609756097562</v>
      </c>
      <c r="P12" s="140">
        <f t="shared" si="9"/>
        <v>35.817805383022773</v>
      </c>
      <c r="Q12" s="86" t="s">
        <v>234</v>
      </c>
      <c r="R12" s="30"/>
      <c r="S12" s="30"/>
      <c r="T12" s="30"/>
      <c r="U12" s="30"/>
      <c r="V12" s="30"/>
      <c r="W12" s="30"/>
      <c r="X12" s="30"/>
      <c r="Y12" s="30"/>
      <c r="Z12" s="30"/>
      <c r="AA12" s="30"/>
      <c r="AB12" s="30"/>
      <c r="AC12" s="30"/>
      <c r="AD12" s="30"/>
      <c r="AE12" s="30"/>
      <c r="AF12" s="30"/>
    </row>
    <row r="13" spans="1:32" ht="21" customHeight="1" x14ac:dyDescent="0.55000000000000004">
      <c r="A13" s="133" t="s">
        <v>235</v>
      </c>
      <c r="B13" s="134">
        <f t="shared" si="4"/>
        <v>2560</v>
      </c>
      <c r="C13" s="134">
        <v>1854</v>
      </c>
      <c r="D13" s="336">
        <v>706</v>
      </c>
      <c r="E13" s="134">
        <f t="shared" si="5"/>
        <v>1895</v>
      </c>
      <c r="F13" s="134">
        <v>1306</v>
      </c>
      <c r="G13" s="336">
        <v>589</v>
      </c>
      <c r="H13" s="145" t="e">
        <f t="shared" si="11"/>
        <v>#REF!</v>
      </c>
      <c r="I13" s="134">
        <f t="shared" si="6"/>
        <v>2103</v>
      </c>
      <c r="J13" s="135">
        <v>1451</v>
      </c>
      <c r="K13" s="137">
        <v>652</v>
      </c>
      <c r="L13" s="139" t="e">
        <f t="shared" si="12"/>
        <v>#REF!</v>
      </c>
      <c r="M13" s="198">
        <f t="shared" si="7"/>
        <v>2.1286394680086267</v>
      </c>
      <c r="N13" s="339">
        <f t="shared" si="10"/>
        <v>2.2026708562450903</v>
      </c>
      <c r="O13" s="198">
        <f t="shared" si="8"/>
        <v>31.081794195250662</v>
      </c>
      <c r="P13" s="140">
        <f t="shared" si="9"/>
        <v>31.003328578221591</v>
      </c>
      <c r="Q13" s="86" t="s">
        <v>236</v>
      </c>
      <c r="R13" s="30"/>
      <c r="S13" s="30"/>
      <c r="T13" s="37"/>
      <c r="U13" s="37"/>
      <c r="V13" s="37"/>
      <c r="W13" s="30"/>
      <c r="X13" s="30"/>
      <c r="Y13" s="30"/>
      <c r="Z13" s="30"/>
      <c r="AA13" s="30"/>
      <c r="AB13" s="30"/>
      <c r="AC13" s="30"/>
      <c r="AD13" s="30"/>
      <c r="AE13" s="30"/>
      <c r="AF13" s="30"/>
    </row>
    <row r="14" spans="1:32" ht="21" customHeight="1" x14ac:dyDescent="0.55000000000000004">
      <c r="A14" s="133" t="s">
        <v>237</v>
      </c>
      <c r="B14" s="134">
        <f t="shared" si="4"/>
        <v>5016</v>
      </c>
      <c r="C14" s="134">
        <v>1518</v>
      </c>
      <c r="D14" s="336">
        <v>3498</v>
      </c>
      <c r="E14" s="134">
        <f t="shared" si="5"/>
        <v>5047</v>
      </c>
      <c r="F14" s="134">
        <v>1648</v>
      </c>
      <c r="G14" s="336">
        <v>3399</v>
      </c>
      <c r="H14" s="145" t="e">
        <f t="shared" si="11"/>
        <v>#REF!</v>
      </c>
      <c r="I14" s="134">
        <f t="shared" si="6"/>
        <v>6337</v>
      </c>
      <c r="J14" s="135">
        <v>1956</v>
      </c>
      <c r="K14" s="137">
        <v>4381</v>
      </c>
      <c r="L14" s="139" t="e">
        <f t="shared" si="12"/>
        <v>#REF!</v>
      </c>
      <c r="M14" s="198">
        <f t="shared" si="7"/>
        <v>5.6692577282530552</v>
      </c>
      <c r="N14" s="339">
        <f t="shared" si="10"/>
        <v>6.6373396177009685</v>
      </c>
      <c r="O14" s="198">
        <f t="shared" si="8"/>
        <v>67.346938775510196</v>
      </c>
      <c r="P14" s="140">
        <f t="shared" si="9"/>
        <v>69.133659460312444</v>
      </c>
      <c r="Q14" s="86" t="s">
        <v>238</v>
      </c>
      <c r="R14" s="30"/>
      <c r="S14" s="30"/>
      <c r="T14" s="30"/>
      <c r="U14" s="30"/>
      <c r="V14" s="30"/>
      <c r="W14" s="30"/>
      <c r="X14" s="30"/>
      <c r="Y14" s="30"/>
      <c r="Z14" s="30"/>
      <c r="AA14" s="30"/>
      <c r="AB14" s="30"/>
      <c r="AC14" s="30"/>
      <c r="AD14" s="30"/>
      <c r="AE14" s="30"/>
      <c r="AF14" s="30"/>
    </row>
    <row r="15" spans="1:32" ht="21" customHeight="1" x14ac:dyDescent="0.55000000000000004">
      <c r="A15" s="133" t="s">
        <v>239</v>
      </c>
      <c r="B15" s="134">
        <f t="shared" si="4"/>
        <v>5310</v>
      </c>
      <c r="C15" s="134">
        <v>1340</v>
      </c>
      <c r="D15" s="336">
        <v>3970</v>
      </c>
      <c r="E15" s="134">
        <f t="shared" si="5"/>
        <v>6657</v>
      </c>
      <c r="F15" s="134">
        <v>1697</v>
      </c>
      <c r="G15" s="336">
        <v>4960</v>
      </c>
      <c r="H15" s="145" t="e">
        <f t="shared" si="11"/>
        <v>#REF!</v>
      </c>
      <c r="I15" s="134">
        <f t="shared" si="6"/>
        <v>7297</v>
      </c>
      <c r="J15" s="135">
        <v>1778</v>
      </c>
      <c r="K15" s="137">
        <v>5519</v>
      </c>
      <c r="L15" s="139" t="e">
        <f t="shared" si="12"/>
        <v>#REF!</v>
      </c>
      <c r="M15" s="198">
        <f t="shared" si="7"/>
        <v>7.4777588066139478</v>
      </c>
      <c r="N15" s="339">
        <f t="shared" si="10"/>
        <v>7.6428384393820368</v>
      </c>
      <c r="O15" s="198">
        <f t="shared" si="8"/>
        <v>74.508036653147059</v>
      </c>
      <c r="P15" s="140">
        <f t="shared" si="9"/>
        <v>75.633822118678907</v>
      </c>
      <c r="Q15" s="86" t="s">
        <v>240</v>
      </c>
      <c r="R15" s="30"/>
      <c r="S15" s="30"/>
      <c r="T15" s="37"/>
      <c r="U15" s="37"/>
      <c r="V15" s="37"/>
      <c r="W15" s="30"/>
      <c r="X15" s="30"/>
      <c r="Y15" s="30"/>
      <c r="Z15" s="30"/>
      <c r="AA15" s="30"/>
      <c r="AB15" s="30"/>
      <c r="AC15" s="30"/>
      <c r="AD15" s="30"/>
      <c r="AE15" s="30"/>
      <c r="AF15" s="30"/>
    </row>
    <row r="16" spans="1:32" ht="21" customHeight="1" x14ac:dyDescent="0.55000000000000004">
      <c r="A16" s="133" t="s">
        <v>241</v>
      </c>
      <c r="B16" s="134">
        <f t="shared" si="4"/>
        <v>7458</v>
      </c>
      <c r="C16" s="134">
        <v>6777</v>
      </c>
      <c r="D16" s="336">
        <v>681</v>
      </c>
      <c r="E16" s="134">
        <f t="shared" si="5"/>
        <v>7491</v>
      </c>
      <c r="F16" s="134">
        <v>6762</v>
      </c>
      <c r="G16" s="336">
        <v>729</v>
      </c>
      <c r="H16" s="145" t="e">
        <f t="shared" si="11"/>
        <v>#REF!</v>
      </c>
      <c r="I16" s="134">
        <f t="shared" si="6"/>
        <v>7663</v>
      </c>
      <c r="J16" s="135">
        <v>6869</v>
      </c>
      <c r="K16" s="137">
        <v>794</v>
      </c>
      <c r="L16" s="139" t="e">
        <f t="shared" si="12"/>
        <v>#REF!</v>
      </c>
      <c r="M16" s="198">
        <f t="shared" si="7"/>
        <v>8.4145848310567946</v>
      </c>
      <c r="N16" s="339">
        <f t="shared" si="10"/>
        <v>8.026184865147945</v>
      </c>
      <c r="O16" s="198">
        <f t="shared" si="8"/>
        <v>9.7316780136163388</v>
      </c>
      <c r="P16" s="140">
        <f t="shared" si="9"/>
        <v>10.361477228239593</v>
      </c>
      <c r="Q16" s="86" t="s">
        <v>242</v>
      </c>
      <c r="R16" s="30"/>
      <c r="S16" s="30"/>
      <c r="T16" s="30"/>
      <c r="U16" s="30"/>
      <c r="V16" s="30"/>
      <c r="W16" s="30"/>
      <c r="X16" s="30"/>
      <c r="Y16" s="30"/>
      <c r="Z16" s="30"/>
      <c r="AA16" s="30"/>
      <c r="AB16" s="30"/>
      <c r="AC16" s="30"/>
      <c r="AD16" s="30"/>
      <c r="AE16" s="30"/>
      <c r="AF16" s="30"/>
    </row>
    <row r="17" spans="1:32" ht="21" customHeight="1" x14ac:dyDescent="0.55000000000000004">
      <c r="A17" s="133" t="s">
        <v>243</v>
      </c>
      <c r="B17" s="134">
        <f t="shared" si="4"/>
        <v>11190</v>
      </c>
      <c r="C17" s="134">
        <v>8394</v>
      </c>
      <c r="D17" s="336">
        <v>2796</v>
      </c>
      <c r="E17" s="134">
        <f t="shared" si="5"/>
        <v>11652</v>
      </c>
      <c r="F17" s="134">
        <v>8711</v>
      </c>
      <c r="G17" s="336">
        <v>2941</v>
      </c>
      <c r="H17" s="145" t="e">
        <f t="shared" si="11"/>
        <v>#REF!</v>
      </c>
      <c r="I17" s="134">
        <f t="shared" si="6"/>
        <v>12224</v>
      </c>
      <c r="J17" s="135">
        <v>9065</v>
      </c>
      <c r="K17" s="137">
        <v>3159</v>
      </c>
      <c r="L17" s="139" t="e">
        <f t="shared" si="12"/>
        <v>#REF!</v>
      </c>
      <c r="M17" s="198">
        <f t="shared" si="7"/>
        <v>13.088605319913732</v>
      </c>
      <c r="N17" s="339">
        <f t="shared" si="10"/>
        <v>12.803351662738937</v>
      </c>
      <c r="O17" s="198">
        <f t="shared" si="8"/>
        <v>25.240302094061107</v>
      </c>
      <c r="P17" s="140">
        <f t="shared" si="9"/>
        <v>25.842604712041883</v>
      </c>
      <c r="Q17" s="86" t="s">
        <v>244</v>
      </c>
      <c r="R17" s="30"/>
      <c r="S17" s="30"/>
      <c r="T17" s="37"/>
      <c r="U17" s="37"/>
      <c r="V17" s="37"/>
      <c r="W17" s="30"/>
      <c r="X17" s="30"/>
      <c r="Y17" s="30"/>
      <c r="Z17" s="30"/>
      <c r="AA17" s="30"/>
      <c r="AB17" s="30"/>
      <c r="AC17" s="30"/>
      <c r="AD17" s="30"/>
      <c r="AE17" s="30"/>
      <c r="AF17" s="30"/>
    </row>
    <row r="18" spans="1:32" ht="21" customHeight="1" x14ac:dyDescent="0.55000000000000004">
      <c r="A18" s="133" t="s">
        <v>245</v>
      </c>
      <c r="B18" s="134">
        <f t="shared" si="4"/>
        <v>35162</v>
      </c>
      <c r="C18" s="134">
        <v>28902</v>
      </c>
      <c r="D18" s="336">
        <v>6260</v>
      </c>
      <c r="E18" s="134">
        <f t="shared" si="5"/>
        <v>38447</v>
      </c>
      <c r="F18" s="134">
        <v>31207</v>
      </c>
      <c r="G18" s="336">
        <v>7240</v>
      </c>
      <c r="H18" s="145" t="e">
        <f t="shared" si="11"/>
        <v>#REF!</v>
      </c>
      <c r="I18" s="134">
        <f t="shared" si="6"/>
        <v>40611</v>
      </c>
      <c r="J18" s="135">
        <v>32650</v>
      </c>
      <c r="K18" s="137">
        <v>7961</v>
      </c>
      <c r="L18" s="139" t="e">
        <f t="shared" si="12"/>
        <v>#REF!</v>
      </c>
      <c r="M18" s="198">
        <f t="shared" si="7"/>
        <v>43.187230409777136</v>
      </c>
      <c r="N18" s="339">
        <f t="shared" si="10"/>
        <v>42.535742340926944</v>
      </c>
      <c r="O18" s="198">
        <f t="shared" si="8"/>
        <v>18.83111816266549</v>
      </c>
      <c r="P18" s="140">
        <f t="shared" si="9"/>
        <v>19.603063209475266</v>
      </c>
      <c r="Q18" s="86" t="s">
        <v>246</v>
      </c>
      <c r="R18" s="30"/>
      <c r="S18" s="30"/>
      <c r="T18" s="30"/>
      <c r="U18" s="30"/>
      <c r="V18" s="30"/>
      <c r="W18" s="30"/>
      <c r="X18" s="30"/>
      <c r="Y18" s="30"/>
      <c r="Z18" s="30"/>
      <c r="AA18" s="30"/>
      <c r="AB18" s="30"/>
      <c r="AC18" s="30"/>
      <c r="AD18" s="30"/>
      <c r="AE18" s="30"/>
      <c r="AF18" s="30"/>
    </row>
    <row r="19" spans="1:32" ht="21" customHeight="1" x14ac:dyDescent="0.55000000000000004">
      <c r="A19" s="147" t="s">
        <v>203</v>
      </c>
      <c r="B19" s="148">
        <f t="shared" si="4"/>
        <v>264</v>
      </c>
      <c r="C19" s="148">
        <v>109</v>
      </c>
      <c r="D19" s="230">
        <v>155</v>
      </c>
      <c r="E19" s="148">
        <f t="shared" si="5"/>
        <v>186</v>
      </c>
      <c r="F19" s="148">
        <v>88</v>
      </c>
      <c r="G19" s="230">
        <v>98</v>
      </c>
      <c r="H19" s="152" t="e">
        <f t="shared" si="11"/>
        <v>#REF!</v>
      </c>
      <c r="I19" s="148">
        <f t="shared" si="6"/>
        <v>267</v>
      </c>
      <c r="J19" s="149">
        <v>96</v>
      </c>
      <c r="K19" s="151">
        <v>171</v>
      </c>
      <c r="L19" s="153" t="e">
        <f t="shared" si="12"/>
        <v>#REF!</v>
      </c>
      <c r="M19" s="212">
        <f t="shared" si="7"/>
        <v>0.20893242271746945</v>
      </c>
      <c r="N19" s="337">
        <f t="shared" si="10"/>
        <v>0.27965435978004716</v>
      </c>
      <c r="O19" s="212">
        <f t="shared" si="8"/>
        <v>52.688172043010752</v>
      </c>
      <c r="P19" s="340">
        <f t="shared" si="9"/>
        <v>64.044943820224717</v>
      </c>
      <c r="Q19" s="99" t="s">
        <v>204</v>
      </c>
      <c r="R19" s="30"/>
      <c r="S19" s="30"/>
      <c r="T19" s="30"/>
      <c r="U19" s="30"/>
      <c r="V19" s="30"/>
      <c r="W19" s="30"/>
      <c r="X19" s="30"/>
      <c r="Y19" s="30"/>
      <c r="Z19" s="30"/>
      <c r="AA19" s="30"/>
      <c r="AB19" s="30"/>
      <c r="AC19" s="30"/>
      <c r="AD19" s="30"/>
      <c r="AE19" s="30"/>
      <c r="AF19" s="30"/>
    </row>
    <row r="20" spans="1:32" ht="18.75" customHeight="1" x14ac:dyDescent="0.5">
      <c r="A20" s="160" t="s">
        <v>57</v>
      </c>
      <c r="B20" s="30"/>
      <c r="C20" s="30"/>
      <c r="D20" s="30"/>
      <c r="E20" s="30"/>
      <c r="F20" s="30"/>
      <c r="G20" s="30"/>
      <c r="H20" s="30"/>
      <c r="I20" s="30"/>
      <c r="J20" s="30"/>
      <c r="K20" s="30"/>
      <c r="L20" s="30"/>
      <c r="M20" s="30"/>
      <c r="N20" s="30"/>
      <c r="O20" s="30"/>
      <c r="P20" s="30"/>
      <c r="Q20" s="338" t="s">
        <v>58</v>
      </c>
      <c r="R20" s="30"/>
      <c r="S20" s="30"/>
      <c r="T20" s="30"/>
      <c r="U20" s="30"/>
      <c r="V20" s="30"/>
      <c r="W20" s="30"/>
      <c r="X20" s="30"/>
      <c r="Y20" s="30"/>
      <c r="Z20" s="30"/>
      <c r="AA20" s="30"/>
      <c r="AB20" s="30"/>
      <c r="AC20" s="30"/>
      <c r="AD20" s="30"/>
      <c r="AE20" s="30"/>
      <c r="AF20" s="30"/>
    </row>
    <row r="21" spans="1:32" ht="18" customHeight="1" x14ac:dyDescent="0.25">
      <c r="A21" s="30"/>
      <c r="B21" s="143"/>
      <c r="C21" s="30"/>
      <c r="D21" s="30"/>
      <c r="E21" s="143"/>
      <c r="F21" s="30"/>
      <c r="G21" s="30"/>
      <c r="H21" s="30"/>
      <c r="I21" s="143"/>
      <c r="J21" s="30"/>
      <c r="K21" s="30"/>
      <c r="L21" s="30"/>
      <c r="M21" s="30"/>
      <c r="N21" s="30"/>
      <c r="O21" s="30"/>
      <c r="P21" s="30"/>
      <c r="Q21" s="30"/>
      <c r="R21" s="30"/>
      <c r="S21" s="30"/>
      <c r="T21" s="30"/>
      <c r="U21" s="30"/>
      <c r="V21" s="30"/>
      <c r="W21" s="30"/>
      <c r="X21" s="30"/>
      <c r="Y21" s="30"/>
      <c r="Z21" s="30"/>
      <c r="AA21" s="30"/>
      <c r="AB21" s="30"/>
      <c r="AC21" s="30"/>
      <c r="AD21" s="30"/>
      <c r="AE21" s="30"/>
      <c r="AF21" s="30"/>
    </row>
    <row r="22" spans="1:32" ht="15.75" customHeight="1" x14ac:dyDescent="0.25">
      <c r="A22" s="30"/>
      <c r="B22" s="143"/>
      <c r="C22" s="30"/>
      <c r="D22" s="30"/>
      <c r="E22" s="143"/>
      <c r="F22" s="30"/>
      <c r="G22" s="30"/>
      <c r="H22" s="30"/>
      <c r="I22" s="143"/>
      <c r="J22" s="30"/>
      <c r="K22" s="30"/>
      <c r="L22" s="30"/>
      <c r="M22" s="30"/>
      <c r="N22" s="30"/>
      <c r="O22" s="30"/>
      <c r="P22" s="30"/>
      <c r="Q22" s="30"/>
      <c r="R22" s="30"/>
      <c r="S22" s="30"/>
      <c r="T22" s="30"/>
      <c r="U22" s="30"/>
      <c r="V22" s="30"/>
      <c r="W22" s="30"/>
      <c r="X22" s="30"/>
      <c r="Y22" s="30"/>
      <c r="Z22" s="30"/>
      <c r="AA22" s="30"/>
      <c r="AB22" s="30"/>
      <c r="AC22" s="30"/>
      <c r="AD22" s="30"/>
      <c r="AE22" s="30"/>
      <c r="AF22" s="30"/>
    </row>
    <row r="23" spans="1:32" ht="15.75" customHeight="1" x14ac:dyDescent="0.25">
      <c r="A23" s="30"/>
      <c r="B23" s="143"/>
      <c r="C23" s="30"/>
      <c r="D23" s="30"/>
      <c r="E23" s="143"/>
      <c r="F23" s="30"/>
      <c r="G23" s="30"/>
      <c r="H23" s="30"/>
      <c r="I23" s="143"/>
      <c r="J23" s="30"/>
      <c r="K23" s="30"/>
      <c r="L23" s="30"/>
      <c r="M23" s="30"/>
      <c r="N23" s="30"/>
      <c r="O23" s="30"/>
      <c r="P23" s="30"/>
      <c r="Q23" s="30"/>
      <c r="R23" s="30"/>
      <c r="S23" s="30"/>
      <c r="T23" s="30"/>
      <c r="U23" s="30"/>
      <c r="V23" s="30"/>
      <c r="W23" s="30"/>
      <c r="X23" s="30"/>
      <c r="Y23" s="30"/>
      <c r="Z23" s="30"/>
      <c r="AA23" s="30"/>
      <c r="AB23" s="30"/>
      <c r="AC23" s="30"/>
      <c r="AD23" s="30"/>
      <c r="AE23" s="30"/>
      <c r="AF23" s="30"/>
    </row>
    <row r="24" spans="1:32" ht="15.75" customHeight="1" x14ac:dyDescent="0.25">
      <c r="A24" s="30"/>
      <c r="B24" s="143"/>
      <c r="C24" s="30"/>
      <c r="D24" s="30"/>
      <c r="E24" s="143"/>
      <c r="F24" s="30"/>
      <c r="G24" s="30"/>
      <c r="H24" s="30"/>
      <c r="I24" s="143"/>
      <c r="J24" s="30"/>
      <c r="K24" s="30"/>
      <c r="L24" s="30"/>
      <c r="M24" s="30"/>
      <c r="N24" s="30"/>
      <c r="O24" s="30"/>
      <c r="P24" s="30"/>
      <c r="Q24" s="30"/>
      <c r="R24" s="30"/>
      <c r="S24" s="30"/>
      <c r="T24" s="30"/>
      <c r="U24" s="30"/>
      <c r="V24" s="30"/>
      <c r="W24" s="30"/>
      <c r="X24" s="30"/>
      <c r="Y24" s="30"/>
      <c r="Z24" s="30"/>
      <c r="AA24" s="30"/>
      <c r="AB24" s="30"/>
      <c r="AC24" s="30"/>
      <c r="AD24" s="30"/>
      <c r="AE24" s="133" t="s">
        <v>231</v>
      </c>
      <c r="AF24" s="357">
        <v>218</v>
      </c>
    </row>
    <row r="25" spans="1:32" ht="15.75" customHeight="1"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133" t="s">
        <v>203</v>
      </c>
      <c r="AF25" s="357">
        <v>267</v>
      </c>
    </row>
    <row r="26" spans="1:32" ht="15.75" customHeight="1"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133" t="s">
        <v>233</v>
      </c>
      <c r="AF26" s="357">
        <v>483</v>
      </c>
    </row>
    <row r="27" spans="1:32" ht="15.75" customHeight="1"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133" t="s">
        <v>229</v>
      </c>
      <c r="AF27" s="357">
        <v>1828</v>
      </c>
    </row>
    <row r="28" spans="1:32" ht="15.75" customHeight="1"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133" t="s">
        <v>235</v>
      </c>
      <c r="AF28" s="357">
        <v>2103</v>
      </c>
    </row>
    <row r="29" spans="1:32" ht="15.75" customHeight="1"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133" t="s">
        <v>227</v>
      </c>
      <c r="AF29" s="357">
        <v>2235</v>
      </c>
    </row>
    <row r="30" spans="1:32" ht="15.75" customHeight="1"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133" t="s">
        <v>237</v>
      </c>
      <c r="AF30" s="357">
        <v>6337</v>
      </c>
    </row>
    <row r="31" spans="1:32" ht="15.75" customHeight="1"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133" t="s">
        <v>239</v>
      </c>
      <c r="AF31" s="357">
        <v>7297</v>
      </c>
    </row>
    <row r="32" spans="1:32" ht="15.75" customHeight="1"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133" t="s">
        <v>241</v>
      </c>
      <c r="AF32" s="357">
        <v>7663</v>
      </c>
    </row>
    <row r="33" spans="1:32" ht="15.75" customHeight="1" x14ac:dyDescent="0.25">
      <c r="A33" s="30"/>
      <c r="B33" s="30"/>
      <c r="C33" s="30"/>
      <c r="D33" s="30"/>
      <c r="E33" s="30"/>
      <c r="F33" s="30"/>
      <c r="G33" s="30"/>
      <c r="H33" s="30"/>
      <c r="I33" s="30"/>
      <c r="J33" s="30"/>
      <c r="K33" s="30"/>
      <c r="L33" s="30"/>
      <c r="M33" s="30"/>
      <c r="N33" s="30"/>
      <c r="O33" s="30"/>
      <c r="P33" s="30"/>
      <c r="Q33" s="30"/>
      <c r="R33" s="30"/>
      <c r="S33" s="30"/>
      <c r="T33" s="234"/>
      <c r="U33" s="30"/>
      <c r="V33" s="30"/>
      <c r="W33" s="30"/>
      <c r="X33" s="30"/>
      <c r="Y33" s="30"/>
      <c r="Z33" s="30"/>
      <c r="AA33" s="30"/>
      <c r="AB33" s="30"/>
      <c r="AC33" s="30"/>
      <c r="AD33" s="30"/>
      <c r="AE33" s="133" t="s">
        <v>243</v>
      </c>
      <c r="AF33" s="357">
        <v>12224</v>
      </c>
    </row>
    <row r="34" spans="1:32" ht="15.75" customHeight="1"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133" t="s">
        <v>225</v>
      </c>
      <c r="AF34" s="357">
        <v>14209</v>
      </c>
    </row>
    <row r="35" spans="1:32" ht="15.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147" t="s">
        <v>245</v>
      </c>
      <c r="AF35" s="357">
        <v>40611</v>
      </c>
    </row>
    <row r="36" spans="1:32" ht="15.75" customHeight="1"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row>
    <row r="37" spans="1:32" ht="15.75" customHeight="1"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row>
    <row r="38" spans="1:32" ht="15.7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row>
  </sheetData>
  <sortState ref="AE24:AF35">
    <sortCondition ref="AF24:AF35"/>
  </sortState>
  <mergeCells count="11">
    <mergeCell ref="Q4:Q6"/>
    <mergeCell ref="A1:Q1"/>
    <mergeCell ref="A2:Q2"/>
    <mergeCell ref="B4:D4"/>
    <mergeCell ref="A4:A6"/>
    <mergeCell ref="E4:G4"/>
    <mergeCell ref="I4:K4"/>
    <mergeCell ref="M4:N4"/>
    <mergeCell ref="M5:N5"/>
    <mergeCell ref="O4:P4"/>
    <mergeCell ref="O5:P5"/>
  </mergeCells>
  <pageMargins left="0.7" right="0.7" top="0.75" bottom="0.75" header="0" footer="0"/>
  <pageSetup paperSize="9" scale="75" orientation="landscape" horizontalDpi="4294967295" verticalDpi="4294967295" r:id="rId1"/>
  <ignoredErrors>
    <ignoredError sqref="E10:P19"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U70"/>
  <sheetViews>
    <sheetView zoomScale="98" zoomScaleNormal="98" workbookViewId="0">
      <selection activeCell="B9" sqref="B9"/>
    </sheetView>
  </sheetViews>
  <sheetFormatPr defaultColWidth="9.140625" defaultRowHeight="15" x14ac:dyDescent="0.25"/>
  <cols>
    <col min="1" max="1" width="26.28515625" style="388" customWidth="1"/>
    <col min="2" max="2" width="14.85546875" style="388" customWidth="1"/>
    <col min="3" max="4" width="14.140625" style="388" customWidth="1"/>
    <col min="5" max="5" width="13.42578125" style="388" customWidth="1"/>
    <col min="6" max="6" width="12.7109375" style="388" customWidth="1"/>
    <col min="7" max="7" width="13" style="388" customWidth="1"/>
    <col min="8" max="8" width="19.28515625" style="402" customWidth="1"/>
    <col min="9" max="9" width="18.140625" style="402" customWidth="1"/>
    <col min="10" max="10" width="25.28515625" style="388" customWidth="1"/>
    <col min="11" max="16384" width="9.140625" style="388"/>
  </cols>
  <sheetData>
    <row r="1" spans="1:14" s="364" customFormat="1" ht="21" x14ac:dyDescent="0.2">
      <c r="A1" s="816" t="s">
        <v>268</v>
      </c>
      <c r="B1" s="816"/>
      <c r="C1" s="816"/>
      <c r="D1" s="816"/>
      <c r="E1" s="816"/>
      <c r="F1" s="816"/>
      <c r="G1" s="816"/>
      <c r="H1" s="816"/>
      <c r="I1" s="816"/>
      <c r="J1" s="816"/>
    </row>
    <row r="2" spans="1:14" s="364" customFormat="1" x14ac:dyDescent="0.2">
      <c r="A2" s="817" t="s">
        <v>718</v>
      </c>
      <c r="B2" s="817"/>
      <c r="C2" s="817"/>
      <c r="D2" s="817"/>
      <c r="E2" s="817"/>
      <c r="F2" s="817"/>
      <c r="G2" s="817"/>
      <c r="H2" s="817"/>
      <c r="I2" s="817"/>
      <c r="J2" s="817"/>
    </row>
    <row r="3" spans="1:14" s="365" customFormat="1" x14ac:dyDescent="0.2">
      <c r="A3" s="689"/>
      <c r="B3" s="689"/>
      <c r="C3" s="689"/>
      <c r="D3" s="689"/>
      <c r="E3" s="689"/>
      <c r="F3" s="689"/>
      <c r="G3" s="689"/>
      <c r="H3" s="689"/>
      <c r="I3" s="689"/>
      <c r="J3" s="689"/>
    </row>
    <row r="4" spans="1:14" s="366" customFormat="1" ht="25.5" customHeight="1" x14ac:dyDescent="0.45">
      <c r="A4" s="818" t="s">
        <v>269</v>
      </c>
      <c r="B4" s="821" t="s">
        <v>270</v>
      </c>
      <c r="C4" s="823" t="s">
        <v>271</v>
      </c>
      <c r="D4" s="824"/>
      <c r="E4" s="827" t="s">
        <v>272</v>
      </c>
      <c r="F4" s="828"/>
      <c r="G4" s="831" t="s">
        <v>273</v>
      </c>
      <c r="H4" s="833" t="s">
        <v>274</v>
      </c>
      <c r="I4" s="835" t="s">
        <v>275</v>
      </c>
      <c r="J4" s="837" t="s">
        <v>276</v>
      </c>
    </row>
    <row r="5" spans="1:14" s="366" customFormat="1" ht="31.5" customHeight="1" x14ac:dyDescent="0.45">
      <c r="A5" s="819"/>
      <c r="B5" s="822"/>
      <c r="C5" s="825"/>
      <c r="D5" s="826"/>
      <c r="E5" s="829"/>
      <c r="F5" s="830"/>
      <c r="G5" s="832"/>
      <c r="H5" s="834"/>
      <c r="I5" s="836"/>
      <c r="J5" s="838"/>
    </row>
    <row r="6" spans="1:14" s="367" customFormat="1" ht="36" x14ac:dyDescent="0.25">
      <c r="A6" s="819"/>
      <c r="B6" s="500" t="s">
        <v>277</v>
      </c>
      <c r="C6" s="840" t="s">
        <v>278</v>
      </c>
      <c r="D6" s="841"/>
      <c r="E6" s="840" t="s">
        <v>719</v>
      </c>
      <c r="F6" s="841"/>
      <c r="G6" s="844" t="s">
        <v>279</v>
      </c>
      <c r="H6" s="842" t="s">
        <v>340</v>
      </c>
      <c r="I6" s="843" t="s">
        <v>703</v>
      </c>
      <c r="J6" s="838"/>
      <c r="N6" s="843"/>
    </row>
    <row r="7" spans="1:14" s="370" customFormat="1" ht="12.75" x14ac:dyDescent="0.15">
      <c r="A7" s="819"/>
      <c r="B7" s="501" t="s">
        <v>280</v>
      </c>
      <c r="C7" s="368" t="s">
        <v>281</v>
      </c>
      <c r="D7" s="369" t="s">
        <v>282</v>
      </c>
      <c r="E7" s="368" t="s">
        <v>281</v>
      </c>
      <c r="F7" s="369" t="s">
        <v>283</v>
      </c>
      <c r="G7" s="845"/>
      <c r="H7" s="842"/>
      <c r="I7" s="843"/>
      <c r="J7" s="838"/>
      <c r="N7" s="843"/>
    </row>
    <row r="8" spans="1:14" s="375" customFormat="1" ht="18.75" x14ac:dyDescent="0.25">
      <c r="A8" s="820"/>
      <c r="B8" s="502" t="s">
        <v>284</v>
      </c>
      <c r="C8" s="371" t="s">
        <v>285</v>
      </c>
      <c r="D8" s="372" t="s">
        <v>286</v>
      </c>
      <c r="E8" s="371" t="s">
        <v>287</v>
      </c>
      <c r="F8" s="372" t="s">
        <v>286</v>
      </c>
      <c r="G8" s="846"/>
      <c r="H8" s="373"/>
      <c r="I8" s="374"/>
      <c r="J8" s="839"/>
    </row>
    <row r="9" spans="1:14" s="381" customFormat="1" ht="18.75" x14ac:dyDescent="0.25">
      <c r="A9" s="376" t="s">
        <v>288</v>
      </c>
      <c r="B9" s="377">
        <f>SUM(B10:B11)</f>
        <v>339997</v>
      </c>
      <c r="C9" s="378">
        <f>SUM(C10:C11)</f>
        <v>2592</v>
      </c>
      <c r="D9" s="499">
        <f t="shared" ref="D9:I9" si="0">SUM(D10:D11)</f>
        <v>4359</v>
      </c>
      <c r="E9" s="431">
        <f t="shared" si="0"/>
        <v>107</v>
      </c>
      <c r="F9" s="379">
        <f t="shared" si="0"/>
        <v>147</v>
      </c>
      <c r="G9" s="378">
        <f t="shared" si="0"/>
        <v>5790</v>
      </c>
      <c r="H9" s="977">
        <f>SUM(H10:H11)</f>
        <v>7771</v>
      </c>
      <c r="I9" s="523">
        <f t="shared" si="0"/>
        <v>483</v>
      </c>
      <c r="J9" s="380" t="s">
        <v>289</v>
      </c>
      <c r="L9" s="379"/>
    </row>
    <row r="10" spans="1:14" s="383" customFormat="1" ht="18.75" x14ac:dyDescent="0.25">
      <c r="A10" s="382" t="s">
        <v>290</v>
      </c>
      <c r="B10" s="528">
        <v>57975</v>
      </c>
      <c r="C10" s="384">
        <v>745</v>
      </c>
      <c r="D10" s="524">
        <v>1117</v>
      </c>
      <c r="E10" s="524">
        <v>29</v>
      </c>
      <c r="F10" s="385">
        <v>33</v>
      </c>
      <c r="G10" s="413">
        <v>1015</v>
      </c>
      <c r="H10" s="496">
        <v>2295</v>
      </c>
      <c r="I10" s="495">
        <v>175</v>
      </c>
      <c r="J10" s="380" t="s">
        <v>291</v>
      </c>
    </row>
    <row r="11" spans="1:14" s="381" customFormat="1" ht="18.75" x14ac:dyDescent="0.25">
      <c r="A11" s="376" t="s">
        <v>292</v>
      </c>
      <c r="B11" s="385">
        <f>SUM(B12:B31)</f>
        <v>282022</v>
      </c>
      <c r="C11" s="378">
        <f t="shared" ref="C11:I11" si="1">SUM(C12:C31)</f>
        <v>1847</v>
      </c>
      <c r="D11" s="430">
        <f t="shared" si="1"/>
        <v>3242</v>
      </c>
      <c r="E11" s="524">
        <f t="shared" si="1"/>
        <v>78</v>
      </c>
      <c r="F11" s="385">
        <f t="shared" si="1"/>
        <v>114</v>
      </c>
      <c r="G11" s="413">
        <f t="shared" si="1"/>
        <v>4775</v>
      </c>
      <c r="H11" s="496">
        <f t="shared" si="1"/>
        <v>5476</v>
      </c>
      <c r="I11" s="495">
        <f t="shared" si="1"/>
        <v>308</v>
      </c>
      <c r="J11" s="380" t="s">
        <v>293</v>
      </c>
    </row>
    <row r="12" spans="1:14" s="381" customFormat="1" ht="15.75" x14ac:dyDescent="0.25">
      <c r="A12" s="386" t="s">
        <v>294</v>
      </c>
      <c r="B12" s="529">
        <v>20756</v>
      </c>
      <c r="C12" s="419">
        <v>98</v>
      </c>
      <c r="D12" s="492">
        <v>157</v>
      </c>
      <c r="E12" s="493">
        <v>2</v>
      </c>
      <c r="F12" s="417">
        <v>2</v>
      </c>
      <c r="G12" s="391">
        <v>528</v>
      </c>
      <c r="H12" s="497">
        <v>409</v>
      </c>
      <c r="I12" s="490">
        <v>24</v>
      </c>
      <c r="J12" s="387" t="s">
        <v>295</v>
      </c>
    </row>
    <row r="13" spans="1:14" s="381" customFormat="1" ht="15.75" x14ac:dyDescent="0.25">
      <c r="A13" s="386" t="s">
        <v>296</v>
      </c>
      <c r="B13" s="529">
        <v>24686</v>
      </c>
      <c r="C13" s="419">
        <v>198</v>
      </c>
      <c r="D13" s="492">
        <v>351</v>
      </c>
      <c r="E13" s="493">
        <v>4</v>
      </c>
      <c r="F13" s="417">
        <v>4</v>
      </c>
      <c r="G13" s="391">
        <v>236</v>
      </c>
      <c r="H13" s="497">
        <v>532</v>
      </c>
      <c r="I13" s="422">
        <v>48</v>
      </c>
      <c r="J13" s="387" t="s">
        <v>297</v>
      </c>
    </row>
    <row r="14" spans="1:14" s="381" customFormat="1" ht="15.75" x14ac:dyDescent="0.25">
      <c r="A14" s="386" t="s">
        <v>298</v>
      </c>
      <c r="B14" s="529">
        <v>16439</v>
      </c>
      <c r="C14" s="419">
        <v>76</v>
      </c>
      <c r="D14" s="492">
        <v>122</v>
      </c>
      <c r="E14" s="493">
        <v>0</v>
      </c>
      <c r="F14" s="417">
        <v>0</v>
      </c>
      <c r="G14" s="391">
        <v>293</v>
      </c>
      <c r="H14" s="497">
        <v>389</v>
      </c>
      <c r="I14" s="422">
        <v>6</v>
      </c>
      <c r="J14" s="387" t="s">
        <v>299</v>
      </c>
    </row>
    <row r="15" spans="1:14" s="381" customFormat="1" ht="15.75" x14ac:dyDescent="0.25">
      <c r="A15" s="386" t="s">
        <v>300</v>
      </c>
      <c r="B15" s="529">
        <v>15103</v>
      </c>
      <c r="C15" s="419">
        <v>119</v>
      </c>
      <c r="D15" s="492">
        <v>220</v>
      </c>
      <c r="E15" s="493">
        <v>6</v>
      </c>
      <c r="F15" s="417">
        <v>9</v>
      </c>
      <c r="G15" s="391">
        <v>173</v>
      </c>
      <c r="H15" s="497">
        <v>207</v>
      </c>
      <c r="I15" s="490">
        <v>2</v>
      </c>
      <c r="J15" s="387" t="s">
        <v>301</v>
      </c>
    </row>
    <row r="16" spans="1:14" s="381" customFormat="1" ht="15.75" x14ac:dyDescent="0.25">
      <c r="A16" s="386" t="s">
        <v>302</v>
      </c>
      <c r="B16" s="529">
        <v>21478</v>
      </c>
      <c r="C16" s="419">
        <v>126</v>
      </c>
      <c r="D16" s="492">
        <v>235</v>
      </c>
      <c r="E16" s="493">
        <v>7</v>
      </c>
      <c r="F16" s="417">
        <v>9</v>
      </c>
      <c r="G16" s="391">
        <v>358</v>
      </c>
      <c r="H16" s="497">
        <v>369</v>
      </c>
      <c r="I16" s="422">
        <v>8</v>
      </c>
      <c r="J16" s="387" t="s">
        <v>303</v>
      </c>
    </row>
    <row r="17" spans="1:255" s="381" customFormat="1" ht="15.75" x14ac:dyDescent="0.25">
      <c r="A17" s="386" t="s">
        <v>304</v>
      </c>
      <c r="B17" s="529">
        <v>13407</v>
      </c>
      <c r="C17" s="419">
        <v>64</v>
      </c>
      <c r="D17" s="492">
        <v>104</v>
      </c>
      <c r="E17" s="493">
        <v>2</v>
      </c>
      <c r="F17" s="417">
        <v>2</v>
      </c>
      <c r="G17" s="391">
        <v>229</v>
      </c>
      <c r="H17" s="497">
        <v>219</v>
      </c>
      <c r="I17" s="422">
        <v>12</v>
      </c>
      <c r="J17" s="387" t="s">
        <v>305</v>
      </c>
    </row>
    <row r="18" spans="1:255" s="381" customFormat="1" ht="18.75" customHeight="1" x14ac:dyDescent="0.25">
      <c r="A18" s="386" t="s">
        <v>306</v>
      </c>
      <c r="B18" s="529">
        <v>12008</v>
      </c>
      <c r="C18" s="419">
        <v>99</v>
      </c>
      <c r="D18" s="492">
        <v>139</v>
      </c>
      <c r="E18" s="493">
        <v>4</v>
      </c>
      <c r="F18" s="417">
        <v>4</v>
      </c>
      <c r="G18" s="391">
        <v>158</v>
      </c>
      <c r="H18" s="497">
        <v>234</v>
      </c>
      <c r="I18" s="490">
        <v>12</v>
      </c>
      <c r="J18" s="387" t="s">
        <v>307</v>
      </c>
    </row>
    <row r="19" spans="1:255" s="381" customFormat="1" ht="18.75" customHeight="1" x14ac:dyDescent="0.25">
      <c r="A19" s="386" t="s">
        <v>308</v>
      </c>
      <c r="B19" s="529">
        <v>12411</v>
      </c>
      <c r="C19" s="419">
        <v>84</v>
      </c>
      <c r="D19" s="492">
        <v>142</v>
      </c>
      <c r="E19" s="493">
        <v>1</v>
      </c>
      <c r="F19" s="417">
        <v>1</v>
      </c>
      <c r="G19" s="391">
        <v>274</v>
      </c>
      <c r="H19" s="497">
        <f>258+2</f>
        <v>260</v>
      </c>
      <c r="I19" s="422">
        <v>0</v>
      </c>
      <c r="J19" s="387" t="s">
        <v>309</v>
      </c>
    </row>
    <row r="20" spans="1:255" s="381" customFormat="1" ht="18.75" customHeight="1" x14ac:dyDescent="0.25">
      <c r="A20" s="386" t="s">
        <v>310</v>
      </c>
      <c r="B20" s="529">
        <v>7651</v>
      </c>
      <c r="C20" s="419">
        <v>41</v>
      </c>
      <c r="D20" s="492">
        <v>71</v>
      </c>
      <c r="E20" s="493">
        <v>1</v>
      </c>
      <c r="F20" s="417">
        <v>1</v>
      </c>
      <c r="G20" s="391">
        <v>193</v>
      </c>
      <c r="H20" s="497">
        <v>141</v>
      </c>
      <c r="I20" s="418">
        <v>6</v>
      </c>
      <c r="J20" s="387" t="s">
        <v>311</v>
      </c>
      <c r="Y20" s="388"/>
      <c r="Z20" s="389"/>
    </row>
    <row r="21" spans="1:255" s="381" customFormat="1" ht="15.75" x14ac:dyDescent="0.25">
      <c r="A21" s="386" t="s">
        <v>312</v>
      </c>
      <c r="B21" s="529">
        <v>10660</v>
      </c>
      <c r="C21" s="419">
        <v>31</v>
      </c>
      <c r="D21" s="492">
        <v>49</v>
      </c>
      <c r="E21" s="493">
        <v>4</v>
      </c>
      <c r="F21" s="417">
        <v>5</v>
      </c>
      <c r="G21" s="391">
        <v>179</v>
      </c>
      <c r="H21" s="497">
        <v>244</v>
      </c>
      <c r="I21" s="490">
        <v>0</v>
      </c>
      <c r="J21" s="387" t="s">
        <v>313</v>
      </c>
      <c r="Y21" s="388"/>
      <c r="Z21" s="389"/>
    </row>
    <row r="22" spans="1:255" s="381" customFormat="1" ht="18.75" customHeight="1" x14ac:dyDescent="0.25">
      <c r="A22" s="386" t="s">
        <v>314</v>
      </c>
      <c r="B22" s="529">
        <v>2282</v>
      </c>
      <c r="C22" s="419">
        <v>5</v>
      </c>
      <c r="D22" s="492">
        <v>10</v>
      </c>
      <c r="E22" s="493">
        <v>0</v>
      </c>
      <c r="F22" s="417">
        <v>0</v>
      </c>
      <c r="G22" s="391">
        <v>46</v>
      </c>
      <c r="H22" s="497">
        <v>29</v>
      </c>
      <c r="I22" s="491">
        <v>0</v>
      </c>
      <c r="J22" s="387" t="s">
        <v>315</v>
      </c>
      <c r="Y22" s="390"/>
      <c r="Z22" s="377"/>
    </row>
    <row r="23" spans="1:255" s="381" customFormat="1" ht="13.15" customHeight="1" x14ac:dyDescent="0.25">
      <c r="A23" s="386" t="s">
        <v>316</v>
      </c>
      <c r="B23" s="529">
        <v>6836</v>
      </c>
      <c r="C23" s="419">
        <v>26</v>
      </c>
      <c r="D23" s="492">
        <v>45</v>
      </c>
      <c r="E23" s="493">
        <v>1</v>
      </c>
      <c r="F23" s="417">
        <v>1</v>
      </c>
      <c r="G23" s="391">
        <v>100</v>
      </c>
      <c r="H23" s="497">
        <v>109</v>
      </c>
      <c r="I23" s="418">
        <v>5</v>
      </c>
      <c r="J23" s="387" t="s">
        <v>317</v>
      </c>
      <c r="Y23" s="386"/>
      <c r="Z23" s="391"/>
    </row>
    <row r="24" spans="1:255" s="381" customFormat="1" ht="18.75" customHeight="1" x14ac:dyDescent="0.25">
      <c r="A24" s="386" t="s">
        <v>318</v>
      </c>
      <c r="B24" s="529">
        <v>5776</v>
      </c>
      <c r="C24" s="419">
        <v>23</v>
      </c>
      <c r="D24" s="492">
        <v>38</v>
      </c>
      <c r="E24" s="493">
        <v>2</v>
      </c>
      <c r="F24" s="417">
        <v>7</v>
      </c>
      <c r="G24" s="391">
        <v>197</v>
      </c>
      <c r="H24" s="497">
        <v>120</v>
      </c>
      <c r="I24" s="490">
        <v>6</v>
      </c>
      <c r="J24" s="387" t="s">
        <v>319</v>
      </c>
      <c r="Y24" s="386"/>
      <c r="Z24" s="391"/>
    </row>
    <row r="25" spans="1:255" s="381" customFormat="1" ht="18.75" customHeight="1" x14ac:dyDescent="0.25">
      <c r="A25" s="386" t="s">
        <v>320</v>
      </c>
      <c r="B25" s="529">
        <v>7231</v>
      </c>
      <c r="C25" s="419">
        <v>43</v>
      </c>
      <c r="D25" s="492">
        <v>65</v>
      </c>
      <c r="E25" s="493">
        <v>1</v>
      </c>
      <c r="F25" s="417">
        <v>1</v>
      </c>
      <c r="G25" s="417">
        <v>277</v>
      </c>
      <c r="H25" s="489">
        <v>127</v>
      </c>
      <c r="I25" s="491">
        <v>7</v>
      </c>
      <c r="J25" s="387" t="s">
        <v>321</v>
      </c>
      <c r="Y25" s="386"/>
      <c r="Z25" s="391"/>
    </row>
    <row r="26" spans="1:255" s="381" customFormat="1" ht="18.75" customHeight="1" x14ac:dyDescent="0.25">
      <c r="A26" s="386" t="s">
        <v>322</v>
      </c>
      <c r="B26" s="529">
        <v>14896</v>
      </c>
      <c r="C26" s="419">
        <v>74</v>
      </c>
      <c r="D26" s="492">
        <v>133</v>
      </c>
      <c r="E26" s="493">
        <v>5</v>
      </c>
      <c r="F26" s="417">
        <v>6</v>
      </c>
      <c r="G26" s="417">
        <v>182</v>
      </c>
      <c r="H26" s="489">
        <v>215</v>
      </c>
      <c r="I26" s="418">
        <v>17</v>
      </c>
      <c r="J26" s="387" t="s">
        <v>323</v>
      </c>
      <c r="Y26" s="386"/>
      <c r="Z26" s="391"/>
    </row>
    <row r="27" spans="1:255" s="393" customFormat="1" ht="18.75" customHeight="1" x14ac:dyDescent="0.25">
      <c r="A27" s="392" t="s">
        <v>324</v>
      </c>
      <c r="B27" s="529">
        <v>16872</v>
      </c>
      <c r="C27" s="419">
        <v>172</v>
      </c>
      <c r="D27" s="492">
        <v>299</v>
      </c>
      <c r="E27" s="493">
        <v>5</v>
      </c>
      <c r="F27" s="417">
        <v>12</v>
      </c>
      <c r="G27" s="417">
        <v>180</v>
      </c>
      <c r="H27" s="489">
        <v>297</v>
      </c>
      <c r="I27" s="490">
        <v>0</v>
      </c>
      <c r="J27" s="387" t="s">
        <v>325</v>
      </c>
      <c r="Y27" s="386"/>
      <c r="Z27" s="391"/>
    </row>
    <row r="28" spans="1:255" s="394" customFormat="1" ht="18.75" customHeight="1" x14ac:dyDescent="0.25">
      <c r="A28" s="386" t="s">
        <v>326</v>
      </c>
      <c r="B28" s="529">
        <v>13407</v>
      </c>
      <c r="C28" s="419">
        <v>75</v>
      </c>
      <c r="D28" s="492">
        <v>148</v>
      </c>
      <c r="E28" s="493">
        <v>7</v>
      </c>
      <c r="F28" s="417">
        <v>7</v>
      </c>
      <c r="G28" s="417">
        <v>309</v>
      </c>
      <c r="H28" s="489">
        <v>317</v>
      </c>
      <c r="I28" s="491">
        <v>100</v>
      </c>
      <c r="J28" s="387" t="s">
        <v>327</v>
      </c>
      <c r="L28" s="381"/>
      <c r="M28" s="381"/>
      <c r="N28" s="381"/>
      <c r="O28" s="381"/>
      <c r="P28" s="381"/>
      <c r="Q28" s="381"/>
      <c r="R28" s="381"/>
      <c r="S28" s="381"/>
      <c r="T28" s="381"/>
      <c r="U28" s="381"/>
      <c r="V28" s="381"/>
      <c r="W28" s="381"/>
      <c r="X28" s="381"/>
      <c r="Y28" s="386"/>
      <c r="Z28" s="391"/>
      <c r="AA28" s="381"/>
      <c r="AB28" s="381"/>
      <c r="AC28" s="381"/>
      <c r="AD28" s="381"/>
      <c r="AE28" s="381"/>
      <c r="AF28" s="381"/>
      <c r="AG28" s="381"/>
      <c r="AH28" s="381"/>
      <c r="AI28" s="381"/>
      <c r="AJ28" s="381"/>
      <c r="AK28" s="381"/>
      <c r="AL28" s="381"/>
      <c r="AM28" s="381"/>
      <c r="AN28" s="381"/>
      <c r="AO28" s="381"/>
      <c r="AP28" s="381"/>
      <c r="AQ28" s="381"/>
      <c r="AR28" s="381"/>
      <c r="AS28" s="381"/>
      <c r="AT28" s="381"/>
      <c r="AU28" s="381"/>
      <c r="AV28" s="381"/>
      <c r="AW28" s="381"/>
      <c r="AX28" s="381"/>
      <c r="AY28" s="381"/>
      <c r="AZ28" s="381"/>
      <c r="BA28" s="381"/>
      <c r="BB28" s="381"/>
      <c r="BC28" s="381"/>
      <c r="BD28" s="381"/>
      <c r="BE28" s="381"/>
      <c r="BF28" s="381"/>
      <c r="BG28" s="381"/>
      <c r="BH28" s="381"/>
      <c r="BI28" s="381"/>
      <c r="BJ28" s="381"/>
      <c r="BK28" s="381"/>
      <c r="BL28" s="381"/>
      <c r="BM28" s="381"/>
      <c r="BN28" s="381"/>
      <c r="BO28" s="381"/>
      <c r="BP28" s="381"/>
      <c r="BQ28" s="381"/>
      <c r="BR28" s="381"/>
      <c r="BS28" s="381"/>
      <c r="BT28" s="381"/>
      <c r="BU28" s="381"/>
      <c r="BV28" s="381"/>
      <c r="BW28" s="381"/>
      <c r="BX28" s="381"/>
      <c r="BY28" s="381"/>
      <c r="BZ28" s="381"/>
      <c r="CA28" s="381"/>
      <c r="CB28" s="381"/>
      <c r="CC28" s="381"/>
      <c r="CD28" s="381"/>
      <c r="CE28" s="381"/>
      <c r="CF28" s="381"/>
      <c r="CG28" s="381"/>
      <c r="CH28" s="381"/>
      <c r="CI28" s="381"/>
      <c r="CJ28" s="381"/>
      <c r="CK28" s="381"/>
      <c r="CL28" s="381"/>
      <c r="CM28" s="381"/>
      <c r="CN28" s="381"/>
      <c r="CO28" s="381"/>
      <c r="CP28" s="381"/>
      <c r="CQ28" s="381"/>
      <c r="CR28" s="381"/>
      <c r="CS28" s="381"/>
      <c r="CT28" s="381"/>
      <c r="CU28" s="381"/>
      <c r="CV28" s="381"/>
      <c r="CW28" s="381"/>
      <c r="CX28" s="381"/>
      <c r="CY28" s="381"/>
      <c r="CZ28" s="381"/>
      <c r="DA28" s="381"/>
      <c r="DB28" s="381"/>
      <c r="DC28" s="381"/>
      <c r="DD28" s="381"/>
      <c r="DE28" s="381"/>
      <c r="DF28" s="381"/>
      <c r="DG28" s="381"/>
      <c r="DH28" s="381"/>
      <c r="DI28" s="381"/>
      <c r="DJ28" s="381"/>
      <c r="DK28" s="381"/>
      <c r="DL28" s="381"/>
      <c r="DM28" s="381"/>
      <c r="DN28" s="381"/>
      <c r="DO28" s="381"/>
      <c r="DP28" s="381"/>
      <c r="DQ28" s="381"/>
      <c r="DR28" s="381"/>
      <c r="DS28" s="381"/>
      <c r="DT28" s="381"/>
      <c r="DU28" s="381"/>
      <c r="DV28" s="381"/>
      <c r="DW28" s="381"/>
      <c r="DX28" s="381"/>
      <c r="DY28" s="381"/>
      <c r="DZ28" s="381"/>
      <c r="EA28" s="381"/>
      <c r="EB28" s="381"/>
      <c r="EC28" s="381"/>
      <c r="ED28" s="381"/>
      <c r="EE28" s="381"/>
      <c r="EF28" s="381"/>
      <c r="EG28" s="381"/>
      <c r="EH28" s="381"/>
      <c r="EI28" s="381"/>
      <c r="EJ28" s="381"/>
      <c r="EK28" s="381"/>
      <c r="EL28" s="381"/>
      <c r="EM28" s="381"/>
      <c r="EN28" s="381"/>
      <c r="EO28" s="381"/>
      <c r="EP28" s="381"/>
      <c r="EQ28" s="381"/>
      <c r="ER28" s="381"/>
      <c r="ES28" s="381"/>
      <c r="ET28" s="381"/>
      <c r="EU28" s="381"/>
      <c r="EV28" s="381"/>
      <c r="EW28" s="381"/>
      <c r="EX28" s="381"/>
      <c r="EY28" s="381"/>
      <c r="EZ28" s="381"/>
      <c r="FA28" s="381"/>
      <c r="FB28" s="381"/>
      <c r="FC28" s="381"/>
      <c r="FD28" s="381"/>
      <c r="FE28" s="381"/>
      <c r="FF28" s="381"/>
      <c r="FG28" s="381"/>
      <c r="FH28" s="381"/>
      <c r="FI28" s="381"/>
      <c r="FJ28" s="381"/>
      <c r="FK28" s="381"/>
      <c r="FL28" s="381"/>
      <c r="FM28" s="381"/>
      <c r="FN28" s="381"/>
      <c r="FO28" s="381"/>
      <c r="FP28" s="381"/>
      <c r="FQ28" s="381"/>
      <c r="FR28" s="381"/>
      <c r="FS28" s="381"/>
      <c r="FT28" s="381"/>
      <c r="FU28" s="381"/>
      <c r="FV28" s="381"/>
      <c r="FW28" s="381"/>
      <c r="FX28" s="381"/>
      <c r="FY28" s="381"/>
      <c r="FZ28" s="381"/>
      <c r="GA28" s="381"/>
      <c r="GB28" s="381"/>
      <c r="GC28" s="381"/>
      <c r="GD28" s="381"/>
      <c r="GE28" s="381"/>
      <c r="GF28" s="381"/>
      <c r="GG28" s="381"/>
      <c r="GH28" s="381"/>
      <c r="GI28" s="381"/>
      <c r="GJ28" s="381"/>
      <c r="GK28" s="381"/>
      <c r="GL28" s="381"/>
      <c r="GM28" s="381"/>
      <c r="GN28" s="381"/>
      <c r="GO28" s="381"/>
      <c r="GP28" s="381"/>
      <c r="GQ28" s="381"/>
      <c r="GR28" s="381"/>
      <c r="GS28" s="381"/>
      <c r="GT28" s="381"/>
      <c r="GU28" s="381"/>
      <c r="GV28" s="381"/>
      <c r="GW28" s="381"/>
      <c r="GX28" s="381"/>
      <c r="GY28" s="381"/>
      <c r="GZ28" s="381"/>
      <c r="HA28" s="381"/>
      <c r="HB28" s="381"/>
      <c r="HC28" s="381"/>
      <c r="HD28" s="381"/>
      <c r="HE28" s="381"/>
      <c r="HF28" s="381"/>
      <c r="HG28" s="381"/>
      <c r="HH28" s="381"/>
      <c r="HI28" s="381"/>
      <c r="HJ28" s="381"/>
      <c r="HK28" s="381"/>
      <c r="HL28" s="381"/>
      <c r="HM28" s="381"/>
      <c r="HN28" s="381"/>
      <c r="HO28" s="381"/>
      <c r="HP28" s="381"/>
      <c r="HQ28" s="381"/>
      <c r="HR28" s="381"/>
      <c r="HS28" s="381"/>
      <c r="HT28" s="381"/>
      <c r="HU28" s="381"/>
      <c r="HV28" s="381"/>
      <c r="HW28" s="381"/>
      <c r="HX28" s="381"/>
      <c r="HY28" s="381"/>
      <c r="HZ28" s="381"/>
      <c r="IA28" s="381"/>
      <c r="IB28" s="381"/>
      <c r="IC28" s="381"/>
      <c r="ID28" s="381"/>
      <c r="IE28" s="381"/>
      <c r="IF28" s="381"/>
      <c r="IG28" s="381"/>
      <c r="IH28" s="381"/>
      <c r="II28" s="381"/>
      <c r="IJ28" s="381"/>
      <c r="IK28" s="381"/>
      <c r="IL28" s="381"/>
      <c r="IM28" s="381"/>
      <c r="IN28" s="381"/>
      <c r="IO28" s="381"/>
      <c r="IP28" s="381"/>
      <c r="IQ28" s="381"/>
      <c r="IR28" s="381"/>
      <c r="IS28" s="381"/>
      <c r="IT28" s="381"/>
      <c r="IU28" s="381"/>
    </row>
    <row r="29" spans="1:255" s="395" customFormat="1" ht="18.75" customHeight="1" x14ac:dyDescent="0.25">
      <c r="A29" s="392" t="s">
        <v>328</v>
      </c>
      <c r="B29" s="529">
        <v>19336</v>
      </c>
      <c r="C29" s="419">
        <v>148</v>
      </c>
      <c r="D29" s="492">
        <v>292</v>
      </c>
      <c r="E29" s="493">
        <v>9</v>
      </c>
      <c r="F29" s="391">
        <v>17</v>
      </c>
      <c r="G29" s="492">
        <v>453</v>
      </c>
      <c r="H29" s="489">
        <v>411</v>
      </c>
      <c r="I29" s="418">
        <v>23</v>
      </c>
      <c r="J29" s="387" t="s">
        <v>329</v>
      </c>
      <c r="Y29" s="386"/>
      <c r="Z29" s="391"/>
    </row>
    <row r="30" spans="1:255" s="394" customFormat="1" ht="18.75" customHeight="1" x14ac:dyDescent="0.25">
      <c r="A30" s="392" t="s">
        <v>330</v>
      </c>
      <c r="B30" s="529">
        <v>11150</v>
      </c>
      <c r="C30" s="419">
        <v>121</v>
      </c>
      <c r="D30" s="492">
        <v>226</v>
      </c>
      <c r="E30" s="493">
        <v>11</v>
      </c>
      <c r="F30" s="421">
        <v>18</v>
      </c>
      <c r="G30" s="492">
        <v>108</v>
      </c>
      <c r="H30" s="489">
        <v>289</v>
      </c>
      <c r="I30" s="490">
        <v>29</v>
      </c>
      <c r="J30" s="387" t="s">
        <v>331</v>
      </c>
      <c r="Y30" s="386"/>
      <c r="Z30" s="391"/>
    </row>
    <row r="31" spans="1:255" s="394" customFormat="1" ht="18.75" customHeight="1" x14ac:dyDescent="0.25">
      <c r="A31" s="396" t="s">
        <v>332</v>
      </c>
      <c r="B31" s="530">
        <v>29637</v>
      </c>
      <c r="C31" s="420">
        <v>224</v>
      </c>
      <c r="D31" s="525">
        <v>396</v>
      </c>
      <c r="E31" s="494">
        <v>6</v>
      </c>
      <c r="F31" s="526">
        <v>8</v>
      </c>
      <c r="G31" s="525">
        <v>302</v>
      </c>
      <c r="H31" s="978">
        <v>558</v>
      </c>
      <c r="I31" s="498">
        <v>3</v>
      </c>
      <c r="J31" s="527" t="s">
        <v>333</v>
      </c>
      <c r="Y31" s="386"/>
      <c r="Z31" s="391"/>
    </row>
    <row r="32" spans="1:255" s="398" customFormat="1" ht="17.25" customHeight="1" x14ac:dyDescent="0.2">
      <c r="A32" s="397" t="s">
        <v>334</v>
      </c>
      <c r="H32" s="399"/>
      <c r="I32" s="399"/>
      <c r="Y32" s="386"/>
      <c r="Z32" s="391"/>
    </row>
    <row r="33" spans="1:27" s="398" customFormat="1" ht="17.25" x14ac:dyDescent="0.2">
      <c r="A33" s="400" t="s">
        <v>335</v>
      </c>
      <c r="F33" s="398" t="s">
        <v>336</v>
      </c>
      <c r="H33" s="399"/>
      <c r="I33" s="399"/>
      <c r="J33" s="401" t="s">
        <v>337</v>
      </c>
      <c r="Y33" s="386"/>
      <c r="Z33" s="391"/>
    </row>
    <row r="34" spans="1:27" x14ac:dyDescent="0.25">
      <c r="Y34" s="386"/>
      <c r="Z34" s="391"/>
    </row>
    <row r="35" spans="1:27" x14ac:dyDescent="0.25">
      <c r="A35" s="403"/>
      <c r="B35" s="403"/>
      <c r="C35" s="403"/>
      <c r="D35" s="403"/>
      <c r="E35" s="403"/>
      <c r="F35" s="403"/>
      <c r="G35" s="403"/>
      <c r="H35" s="404"/>
      <c r="I35" s="404"/>
      <c r="J35" s="403"/>
      <c r="Y35" s="386"/>
      <c r="Z35" s="391"/>
    </row>
    <row r="36" spans="1:27" ht="17.25" x14ac:dyDescent="0.25">
      <c r="A36" s="400"/>
      <c r="B36" s="403"/>
      <c r="C36" s="403"/>
      <c r="D36" s="403"/>
      <c r="E36" s="403"/>
      <c r="F36" s="403"/>
      <c r="G36" s="403"/>
      <c r="H36" s="404"/>
      <c r="I36" s="404"/>
      <c r="J36" s="405"/>
      <c r="Y36" s="386"/>
      <c r="Z36" s="391"/>
    </row>
    <row r="37" spans="1:27" s="406" customFormat="1" ht="21" x14ac:dyDescent="0.2">
      <c r="A37" s="848"/>
      <c r="B37" s="848"/>
      <c r="C37" s="848"/>
      <c r="D37" s="848"/>
      <c r="E37" s="848"/>
      <c r="F37" s="848"/>
      <c r="G37" s="848"/>
      <c r="H37" s="848"/>
      <c r="I37" s="848"/>
      <c r="J37" s="848"/>
    </row>
    <row r="38" spans="1:27" s="407" customFormat="1" x14ac:dyDescent="0.2">
      <c r="A38" s="817"/>
      <c r="B38" s="817"/>
      <c r="C38" s="817"/>
      <c r="D38" s="817"/>
      <c r="E38" s="817"/>
      <c r="F38" s="817"/>
      <c r="G38" s="817"/>
      <c r="H38" s="817"/>
      <c r="I38" s="817"/>
      <c r="J38" s="817"/>
    </row>
    <row r="39" spans="1:27" s="364" customFormat="1" x14ac:dyDescent="0.25">
      <c r="A39" s="689"/>
      <c r="B39" s="689"/>
      <c r="C39" s="689"/>
      <c r="D39" s="689"/>
      <c r="E39" s="689"/>
      <c r="F39" s="689"/>
      <c r="G39" s="689"/>
      <c r="H39" s="689"/>
      <c r="I39" s="689"/>
      <c r="J39" s="689"/>
      <c r="V39" s="388"/>
      <c r="W39" s="505">
        <v>2014</v>
      </c>
      <c r="X39" s="381">
        <v>2015</v>
      </c>
      <c r="Y39" s="505">
        <v>2016</v>
      </c>
      <c r="Z39" s="381">
        <v>2017</v>
      </c>
      <c r="AA39" s="505">
        <v>2018</v>
      </c>
    </row>
    <row r="40" spans="1:27" s="366" customFormat="1" ht="18" x14ac:dyDescent="0.45">
      <c r="A40" s="819"/>
      <c r="B40" s="849"/>
      <c r="C40" s="849"/>
      <c r="D40" s="849"/>
      <c r="E40" s="850"/>
      <c r="F40" s="850"/>
      <c r="G40" s="851"/>
      <c r="H40" s="852"/>
      <c r="I40" s="691"/>
      <c r="J40" s="838"/>
      <c r="V40" s="390" t="s">
        <v>290</v>
      </c>
      <c r="W40" s="377">
        <v>49489</v>
      </c>
      <c r="X40" s="381">
        <v>52253</v>
      </c>
      <c r="Y40" s="381">
        <v>54165</v>
      </c>
      <c r="Z40" s="381">
        <v>55899</v>
      </c>
      <c r="AA40" s="506">
        <f>B10</f>
        <v>57975</v>
      </c>
    </row>
    <row r="41" spans="1:27" s="366" customFormat="1" ht="18" x14ac:dyDescent="0.45">
      <c r="A41" s="819"/>
      <c r="B41" s="849"/>
      <c r="C41" s="849"/>
      <c r="D41" s="849"/>
      <c r="E41" s="850"/>
      <c r="F41" s="850"/>
      <c r="G41" s="851"/>
      <c r="H41" s="852"/>
      <c r="I41" s="691"/>
      <c r="J41" s="838"/>
      <c r="V41" s="386" t="s">
        <v>726</v>
      </c>
      <c r="W41" s="391">
        <v>18659</v>
      </c>
      <c r="X41" s="381">
        <v>19492</v>
      </c>
      <c r="Y41" s="381">
        <v>19947</v>
      </c>
      <c r="Z41" s="381">
        <v>20287</v>
      </c>
      <c r="AA41" s="506">
        <f>B12</f>
        <v>20756</v>
      </c>
    </row>
    <row r="42" spans="1:27" s="367" customFormat="1" ht="18" x14ac:dyDescent="0.45">
      <c r="A42" s="819"/>
      <c r="B42" s="687"/>
      <c r="C42" s="843"/>
      <c r="D42" s="843"/>
      <c r="E42" s="843"/>
      <c r="F42" s="843"/>
      <c r="G42" s="847"/>
      <c r="H42" s="843"/>
      <c r="I42" s="687"/>
      <c r="J42" s="838"/>
      <c r="V42" s="386" t="s">
        <v>727</v>
      </c>
      <c r="W42" s="391">
        <v>22166</v>
      </c>
      <c r="X42" s="381">
        <v>23057</v>
      </c>
      <c r="Y42" s="381">
        <v>23604</v>
      </c>
      <c r="Z42" s="381">
        <v>24162</v>
      </c>
      <c r="AA42" s="506">
        <f t="shared" ref="AA42:AA60" si="2">B13</f>
        <v>24686</v>
      </c>
    </row>
    <row r="43" spans="1:27" s="370" customFormat="1" ht="18" x14ac:dyDescent="0.45">
      <c r="A43" s="819"/>
      <c r="B43" s="695"/>
      <c r="C43" s="695"/>
      <c r="D43" s="695"/>
      <c r="E43" s="695"/>
      <c r="F43" s="695"/>
      <c r="G43" s="847"/>
      <c r="H43" s="843"/>
      <c r="I43" s="687"/>
      <c r="J43" s="838"/>
      <c r="V43" s="386" t="s">
        <v>728</v>
      </c>
      <c r="W43" s="391">
        <v>14630</v>
      </c>
      <c r="X43" s="381">
        <v>15572</v>
      </c>
      <c r="Y43" s="381">
        <v>15761</v>
      </c>
      <c r="Z43" s="381">
        <v>16192</v>
      </c>
      <c r="AA43" s="506">
        <f t="shared" si="2"/>
        <v>16439</v>
      </c>
    </row>
    <row r="44" spans="1:27" s="375" customFormat="1" ht="18.75" x14ac:dyDescent="0.45">
      <c r="A44" s="819"/>
      <c r="B44" s="408"/>
      <c r="C44" s="408"/>
      <c r="D44" s="408"/>
      <c r="E44" s="408"/>
      <c r="F44" s="408"/>
      <c r="G44" s="409"/>
      <c r="H44" s="410"/>
      <c r="I44" s="410"/>
      <c r="J44" s="838"/>
      <c r="V44" s="386" t="s">
        <v>729</v>
      </c>
      <c r="W44" s="391">
        <v>13115</v>
      </c>
      <c r="X44" s="381">
        <v>14154</v>
      </c>
      <c r="Y44" s="381">
        <v>14498</v>
      </c>
      <c r="Z44" s="381">
        <v>14727</v>
      </c>
      <c r="AA44" s="506">
        <f t="shared" si="2"/>
        <v>15103</v>
      </c>
    </row>
    <row r="45" spans="1:27" s="381" customFormat="1" ht="18.75" x14ac:dyDescent="0.45">
      <c r="A45" s="376"/>
      <c r="B45" s="377"/>
      <c r="C45" s="379"/>
      <c r="D45" s="379"/>
      <c r="E45" s="379"/>
      <c r="F45" s="379"/>
      <c r="G45" s="379"/>
      <c r="H45" s="411"/>
      <c r="I45" s="411"/>
      <c r="J45" s="380"/>
      <c r="V45" s="386" t="s">
        <v>730</v>
      </c>
      <c r="W45" s="391">
        <v>19277</v>
      </c>
      <c r="X45" s="393">
        <v>20204</v>
      </c>
      <c r="Y45" s="381">
        <v>20619</v>
      </c>
      <c r="Z45" s="381">
        <v>21032</v>
      </c>
      <c r="AA45" s="506">
        <f t="shared" si="2"/>
        <v>21478</v>
      </c>
    </row>
    <row r="46" spans="1:27" s="383" customFormat="1" ht="18.75" x14ac:dyDescent="0.45">
      <c r="A46" s="412"/>
      <c r="B46" s="377"/>
      <c r="C46" s="413"/>
      <c r="D46" s="413"/>
      <c r="E46" s="413"/>
      <c r="F46" s="413"/>
      <c r="G46" s="413"/>
      <c r="H46" s="411"/>
      <c r="I46" s="411"/>
      <c r="J46" s="380"/>
      <c r="V46" s="386" t="s">
        <v>731</v>
      </c>
      <c r="W46" s="391">
        <v>11950</v>
      </c>
      <c r="X46" s="381">
        <v>12455</v>
      </c>
      <c r="Y46" s="381">
        <v>12845</v>
      </c>
      <c r="Z46" s="381">
        <v>13091</v>
      </c>
      <c r="AA46" s="506">
        <f t="shared" si="2"/>
        <v>13407</v>
      </c>
    </row>
    <row r="47" spans="1:27" s="381" customFormat="1" ht="18.75" x14ac:dyDescent="0.45">
      <c r="A47" s="376"/>
      <c r="B47" s="379"/>
      <c r="C47" s="379"/>
      <c r="D47" s="379"/>
      <c r="E47" s="379"/>
      <c r="F47" s="379"/>
      <c r="G47" s="413"/>
      <c r="H47" s="411"/>
      <c r="I47" s="411"/>
      <c r="J47" s="380"/>
      <c r="V47" s="386" t="s">
        <v>732</v>
      </c>
      <c r="W47" s="391">
        <v>11097</v>
      </c>
      <c r="X47" s="395">
        <v>11405</v>
      </c>
      <c r="Y47" s="381">
        <v>11665</v>
      </c>
      <c r="Z47" s="381">
        <v>11895</v>
      </c>
      <c r="AA47" s="506">
        <f t="shared" si="2"/>
        <v>12008</v>
      </c>
    </row>
    <row r="48" spans="1:27" s="381" customFormat="1" ht="18" x14ac:dyDescent="0.45">
      <c r="A48" s="392"/>
      <c r="B48" s="391"/>
      <c r="C48" s="414"/>
      <c r="D48" s="414"/>
      <c r="E48" s="414"/>
      <c r="F48" s="414"/>
      <c r="G48" s="415"/>
      <c r="H48" s="416"/>
      <c r="I48" s="416"/>
      <c r="J48" s="387"/>
      <c r="V48" s="386" t="s">
        <v>733</v>
      </c>
      <c r="W48" s="391">
        <v>10660</v>
      </c>
      <c r="X48" s="394">
        <v>11458</v>
      </c>
      <c r="Y48" s="381">
        <v>11711</v>
      </c>
      <c r="Z48" s="381">
        <v>12010</v>
      </c>
      <c r="AA48" s="506">
        <f t="shared" si="2"/>
        <v>12411</v>
      </c>
    </row>
    <row r="49" spans="1:27" s="381" customFormat="1" ht="18" x14ac:dyDescent="0.45">
      <c r="A49" s="392"/>
      <c r="B49" s="391"/>
      <c r="C49" s="415"/>
      <c r="D49" s="415"/>
      <c r="E49" s="415"/>
      <c r="F49" s="415"/>
      <c r="G49" s="415"/>
      <c r="H49" s="416"/>
      <c r="I49" s="416"/>
      <c r="J49" s="387"/>
      <c r="V49" s="386" t="s">
        <v>734</v>
      </c>
      <c r="W49" s="391">
        <v>6537</v>
      </c>
      <c r="X49" s="394">
        <v>6994</v>
      </c>
      <c r="Y49" s="381">
        <v>7282</v>
      </c>
      <c r="Z49" s="381">
        <v>7248</v>
      </c>
      <c r="AA49" s="506">
        <f t="shared" si="2"/>
        <v>7651</v>
      </c>
    </row>
    <row r="50" spans="1:27" s="381" customFormat="1" ht="18" x14ac:dyDescent="0.45">
      <c r="A50" s="392"/>
      <c r="B50" s="391"/>
      <c r="C50" s="415"/>
      <c r="D50" s="415"/>
      <c r="E50" s="415"/>
      <c r="F50" s="415"/>
      <c r="G50" s="415"/>
      <c r="H50" s="416"/>
      <c r="I50" s="416"/>
      <c r="J50" s="387"/>
      <c r="V50" s="386" t="s">
        <v>735</v>
      </c>
      <c r="W50" s="391">
        <v>9570</v>
      </c>
      <c r="X50" s="398">
        <v>9969</v>
      </c>
      <c r="Y50" s="381">
        <v>10228</v>
      </c>
      <c r="Z50" s="381">
        <v>9714</v>
      </c>
      <c r="AA50" s="506">
        <f t="shared" si="2"/>
        <v>10660</v>
      </c>
    </row>
    <row r="51" spans="1:27" s="381" customFormat="1" ht="18" x14ac:dyDescent="0.45">
      <c r="A51" s="392"/>
      <c r="B51" s="391"/>
      <c r="C51" s="415"/>
      <c r="D51" s="415"/>
      <c r="E51" s="415"/>
      <c r="F51" s="415"/>
      <c r="G51" s="415"/>
      <c r="H51" s="416"/>
      <c r="I51" s="416"/>
      <c r="J51" s="387"/>
      <c r="V51" s="386" t="s">
        <v>736</v>
      </c>
      <c r="W51" s="391">
        <v>1770</v>
      </c>
      <c r="X51" s="398">
        <v>2099</v>
      </c>
      <c r="Y51" s="381">
        <v>2200</v>
      </c>
      <c r="Z51" s="381">
        <v>2241</v>
      </c>
      <c r="AA51" s="506">
        <f t="shared" si="2"/>
        <v>2282</v>
      </c>
    </row>
    <row r="52" spans="1:27" s="381" customFormat="1" ht="18" x14ac:dyDescent="0.45">
      <c r="A52" s="392"/>
      <c r="B52" s="391"/>
      <c r="C52" s="415"/>
      <c r="D52" s="415"/>
      <c r="E52" s="415"/>
      <c r="F52" s="415"/>
      <c r="G52" s="415"/>
      <c r="H52" s="416"/>
      <c r="I52" s="416"/>
      <c r="J52" s="387"/>
      <c r="V52" s="386" t="s">
        <v>737</v>
      </c>
      <c r="W52" s="391">
        <v>6247</v>
      </c>
      <c r="X52" s="388">
        <v>6489</v>
      </c>
      <c r="Y52" s="381">
        <v>6580</v>
      </c>
      <c r="Z52" s="381">
        <v>6504</v>
      </c>
      <c r="AA52" s="506">
        <f t="shared" si="2"/>
        <v>6836</v>
      </c>
    </row>
    <row r="53" spans="1:27" s="381" customFormat="1" ht="18" x14ac:dyDescent="0.45">
      <c r="A53" s="392"/>
      <c r="B53" s="391"/>
      <c r="C53" s="415"/>
      <c r="D53" s="415"/>
      <c r="E53" s="415"/>
      <c r="F53" s="415"/>
      <c r="G53" s="415"/>
      <c r="H53" s="416"/>
      <c r="I53" s="416"/>
      <c r="J53" s="387"/>
      <c r="V53" s="386" t="s">
        <v>738</v>
      </c>
      <c r="W53" s="391">
        <v>5176</v>
      </c>
      <c r="X53" s="388">
        <v>5469</v>
      </c>
      <c r="Y53" s="381">
        <v>5556</v>
      </c>
      <c r="Z53" s="381">
        <v>5477</v>
      </c>
      <c r="AA53" s="506">
        <f t="shared" si="2"/>
        <v>5776</v>
      </c>
    </row>
    <row r="54" spans="1:27" s="381" customFormat="1" ht="18" x14ac:dyDescent="0.45">
      <c r="A54" s="392"/>
      <c r="B54" s="391"/>
      <c r="C54" s="415"/>
      <c r="D54" s="415"/>
      <c r="E54" s="415"/>
      <c r="F54" s="415"/>
      <c r="G54" s="415"/>
      <c r="H54" s="416"/>
      <c r="I54" s="416"/>
      <c r="J54" s="387"/>
      <c r="V54" s="386" t="s">
        <v>739</v>
      </c>
      <c r="W54" s="391">
        <v>6497</v>
      </c>
      <c r="X54" s="388">
        <v>6822</v>
      </c>
      <c r="Y54" s="381">
        <v>6940</v>
      </c>
      <c r="Z54" s="381">
        <v>7084</v>
      </c>
      <c r="AA54" s="506">
        <f t="shared" si="2"/>
        <v>7231</v>
      </c>
    </row>
    <row r="55" spans="1:27" ht="18" x14ac:dyDescent="0.45">
      <c r="V55" s="386" t="s">
        <v>740</v>
      </c>
      <c r="W55" s="391">
        <v>13508</v>
      </c>
      <c r="X55" s="388">
        <v>14052</v>
      </c>
      <c r="Y55" s="381">
        <v>14312</v>
      </c>
      <c r="Z55" s="381">
        <v>14715</v>
      </c>
      <c r="AA55" s="506">
        <f t="shared" si="2"/>
        <v>14896</v>
      </c>
    </row>
    <row r="56" spans="1:27" ht="18" x14ac:dyDescent="0.45">
      <c r="V56" s="392" t="s">
        <v>741</v>
      </c>
      <c r="W56" s="391">
        <v>14567</v>
      </c>
      <c r="X56" s="388">
        <v>15563</v>
      </c>
      <c r="Y56" s="381">
        <v>16091</v>
      </c>
      <c r="Z56" s="381">
        <v>16392</v>
      </c>
      <c r="AA56" s="506">
        <f t="shared" si="2"/>
        <v>16872</v>
      </c>
    </row>
    <row r="57" spans="1:27" ht="18" x14ac:dyDescent="0.45">
      <c r="V57" s="386" t="s">
        <v>742</v>
      </c>
      <c r="W57" s="391">
        <v>12163</v>
      </c>
      <c r="X57" s="388">
        <v>12673</v>
      </c>
      <c r="Y57" s="381">
        <v>12885</v>
      </c>
      <c r="Z57" s="381">
        <v>13119</v>
      </c>
      <c r="AA57" s="506">
        <f t="shared" si="2"/>
        <v>13407</v>
      </c>
    </row>
    <row r="58" spans="1:27" ht="18" x14ac:dyDescent="0.45">
      <c r="V58" s="386" t="s">
        <v>743</v>
      </c>
      <c r="W58" s="391">
        <v>17520</v>
      </c>
      <c r="X58" s="388">
        <v>18440</v>
      </c>
      <c r="Y58" s="381">
        <v>18775</v>
      </c>
      <c r="Z58" s="381">
        <v>19003</v>
      </c>
      <c r="AA58" s="506">
        <f t="shared" si="2"/>
        <v>19336</v>
      </c>
    </row>
    <row r="59" spans="1:27" ht="18" x14ac:dyDescent="0.45">
      <c r="V59" s="386" t="s">
        <v>744</v>
      </c>
      <c r="W59" s="391">
        <v>10203</v>
      </c>
      <c r="X59" s="388">
        <v>10673</v>
      </c>
      <c r="Y59" s="381">
        <v>10892</v>
      </c>
      <c r="Z59" s="381">
        <v>10481</v>
      </c>
      <c r="AA59" s="506">
        <f t="shared" si="2"/>
        <v>11150</v>
      </c>
    </row>
    <row r="60" spans="1:27" ht="18" x14ac:dyDescent="0.45">
      <c r="V60" s="396" t="s">
        <v>745</v>
      </c>
      <c r="W60" s="391">
        <v>27303</v>
      </c>
      <c r="X60" s="388">
        <v>28252</v>
      </c>
      <c r="Y60" s="381">
        <v>28831</v>
      </c>
      <c r="Z60" s="381">
        <v>29131</v>
      </c>
      <c r="AA60" s="506">
        <f t="shared" si="2"/>
        <v>29637</v>
      </c>
    </row>
    <row r="70" spans="8:9" x14ac:dyDescent="0.25">
      <c r="H70" s="388"/>
      <c r="I70" s="388"/>
    </row>
  </sheetData>
  <mergeCells count="29">
    <mergeCell ref="N6:N7"/>
    <mergeCell ref="G6:G8"/>
    <mergeCell ref="E42:F42"/>
    <mergeCell ref="G42:G43"/>
    <mergeCell ref="H42:H43"/>
    <mergeCell ref="A37:J37"/>
    <mergeCell ref="A38:J38"/>
    <mergeCell ref="A40:A44"/>
    <mergeCell ref="B40:B41"/>
    <mergeCell ref="C40:D41"/>
    <mergeCell ref="E40:F41"/>
    <mergeCell ref="G40:G41"/>
    <mergeCell ref="H40:H41"/>
    <mergeCell ref="J40:J44"/>
    <mergeCell ref="C42:D42"/>
    <mergeCell ref="A1:J1"/>
    <mergeCell ref="A2:J2"/>
    <mergeCell ref="A4:A8"/>
    <mergeCell ref="B4:B5"/>
    <mergeCell ref="C4:D5"/>
    <mergeCell ref="E4:F5"/>
    <mergeCell ref="G4:G5"/>
    <mergeCell ref="H4:H5"/>
    <mergeCell ref="I4:I5"/>
    <mergeCell ref="J4:J8"/>
    <mergeCell ref="C6:D6"/>
    <mergeCell ref="E6:F6"/>
    <mergeCell ref="H6:H7"/>
    <mergeCell ref="I6:I7"/>
  </mergeCells>
  <pageMargins left="0.7" right="0.7" top="0.75" bottom="0.75" header="0.3" footer="0.3"/>
  <pageSetup paperSize="9" orientation="portrait" horizontalDpi="4294967295" verticalDpi="4294967295" r:id="rId1"/>
  <ignoredErrors>
    <ignoredError sqref="C11:G11 I11"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258"/>
  <sheetViews>
    <sheetView zoomScaleNormal="100" workbookViewId="0">
      <selection activeCell="I9" sqref="I9"/>
    </sheetView>
  </sheetViews>
  <sheetFormatPr defaultColWidth="9.140625" defaultRowHeight="15" x14ac:dyDescent="0.25"/>
  <cols>
    <col min="1" max="1" width="26.5703125" style="967" customWidth="1"/>
    <col min="2" max="2" width="12.140625" style="968" customWidth="1"/>
    <col min="3" max="3" width="17" style="967" customWidth="1"/>
    <col min="4" max="4" width="6.85546875" style="969" customWidth="1"/>
    <col min="5" max="7" width="11.85546875" style="969" customWidth="1"/>
    <col min="8" max="8" width="14.5703125" style="969" customWidth="1"/>
    <col min="9" max="9" width="19.7109375" style="971" customWidth="1"/>
    <col min="10" max="10" width="22.85546875" style="971" customWidth="1"/>
    <col min="11" max="11" width="27.42578125" style="967" customWidth="1"/>
    <col min="12" max="16384" width="9.140625" style="967"/>
  </cols>
  <sheetData>
    <row r="1" spans="1:11" s="902" customFormat="1" ht="12.75" x14ac:dyDescent="0.2">
      <c r="B1" s="903"/>
      <c r="D1" s="904"/>
      <c r="E1" s="904"/>
      <c r="H1" s="904"/>
      <c r="I1" s="905"/>
      <c r="J1" s="905"/>
    </row>
    <row r="2" spans="1:11" s="907" customFormat="1" ht="21" x14ac:dyDescent="0.2">
      <c r="A2" s="906" t="s">
        <v>338</v>
      </c>
      <c r="B2" s="906"/>
      <c r="C2" s="906"/>
      <c r="D2" s="906"/>
      <c r="E2" s="906"/>
      <c r="F2" s="906"/>
      <c r="G2" s="906"/>
      <c r="H2" s="906"/>
      <c r="I2" s="906"/>
      <c r="J2" s="906"/>
      <c r="K2" s="906"/>
    </row>
    <row r="3" spans="1:11" s="907" customFormat="1" x14ac:dyDescent="0.2">
      <c r="A3" s="908" t="s">
        <v>339</v>
      </c>
      <c r="B3" s="908"/>
      <c r="C3" s="908"/>
      <c r="D3" s="908"/>
      <c r="E3" s="908"/>
      <c r="F3" s="908"/>
      <c r="G3" s="908"/>
      <c r="H3" s="908"/>
      <c r="I3" s="908"/>
      <c r="J3" s="908"/>
      <c r="K3" s="908"/>
    </row>
    <row r="4" spans="1:11" s="915" customFormat="1" ht="17.25" customHeight="1" x14ac:dyDescent="0.45">
      <c r="A4" s="909"/>
      <c r="B4" s="854" t="s">
        <v>23</v>
      </c>
      <c r="C4" s="910" t="s">
        <v>270</v>
      </c>
      <c r="D4" s="911" t="s">
        <v>271</v>
      </c>
      <c r="E4" s="911"/>
      <c r="F4" s="912" t="s">
        <v>272</v>
      </c>
      <c r="G4" s="912"/>
      <c r="H4" s="911" t="s">
        <v>273</v>
      </c>
      <c r="I4" s="911" t="s">
        <v>274</v>
      </c>
      <c r="J4" s="913" t="s">
        <v>275</v>
      </c>
      <c r="K4" s="914" t="s">
        <v>276</v>
      </c>
    </row>
    <row r="5" spans="1:11" s="915" customFormat="1" ht="33.75" customHeight="1" x14ac:dyDescent="0.45">
      <c r="A5" s="916"/>
      <c r="B5" s="855"/>
      <c r="C5" s="917"/>
      <c r="D5" s="918"/>
      <c r="E5" s="918"/>
      <c r="F5" s="919"/>
      <c r="G5" s="919"/>
      <c r="H5" s="918"/>
      <c r="I5" s="918"/>
      <c r="J5" s="920"/>
      <c r="K5" s="921"/>
    </row>
    <row r="6" spans="1:11" s="424" customFormat="1" ht="25.5" x14ac:dyDescent="0.2">
      <c r="A6" s="423"/>
      <c r="B6" s="855"/>
      <c r="C6" s="696" t="s">
        <v>277</v>
      </c>
      <c r="D6" s="857" t="s">
        <v>278</v>
      </c>
      <c r="E6" s="857"/>
      <c r="F6" s="858" t="s">
        <v>719</v>
      </c>
      <c r="G6" s="859"/>
      <c r="H6" s="845" t="s">
        <v>279</v>
      </c>
      <c r="I6" s="860" t="s">
        <v>340</v>
      </c>
      <c r="J6" s="843" t="s">
        <v>703</v>
      </c>
      <c r="K6" s="921"/>
    </row>
    <row r="7" spans="1:11" s="425" customFormat="1" ht="12.75" x14ac:dyDescent="0.2">
      <c r="A7" s="922" t="s">
        <v>269</v>
      </c>
      <c r="B7" s="855"/>
      <c r="C7" s="695" t="s">
        <v>280</v>
      </c>
      <c r="D7" s="368" t="s">
        <v>281</v>
      </c>
      <c r="E7" s="369" t="s">
        <v>282</v>
      </c>
      <c r="F7" s="695" t="s">
        <v>281</v>
      </c>
      <c r="G7" s="369" t="s">
        <v>283</v>
      </c>
      <c r="H7" s="845"/>
      <c r="I7" s="861"/>
      <c r="J7" s="843"/>
      <c r="K7" s="921"/>
    </row>
    <row r="8" spans="1:11" s="924" customFormat="1" ht="18.75" x14ac:dyDescent="0.25">
      <c r="A8" s="426"/>
      <c r="B8" s="856"/>
      <c r="C8" s="427" t="s">
        <v>341</v>
      </c>
      <c r="D8" s="428" t="s">
        <v>285</v>
      </c>
      <c r="E8" s="429" t="s">
        <v>286</v>
      </c>
      <c r="F8" s="427" t="s">
        <v>287</v>
      </c>
      <c r="G8" s="429" t="s">
        <v>286</v>
      </c>
      <c r="H8" s="846"/>
      <c r="I8" s="857"/>
      <c r="J8" s="503"/>
      <c r="K8" s="923"/>
    </row>
    <row r="9" spans="1:11" s="926" customFormat="1" ht="18.75" x14ac:dyDescent="0.2">
      <c r="A9" s="376" t="s">
        <v>288</v>
      </c>
      <c r="B9" s="379">
        <f>SUM(C9:J9)</f>
        <v>361246</v>
      </c>
      <c r="C9" s="431">
        <f>SUM(C10:C11)</f>
        <v>339997</v>
      </c>
      <c r="D9" s="431">
        <f>D10+D11</f>
        <v>2592</v>
      </c>
      <c r="E9" s="431">
        <f>E10+E11</f>
        <v>4359</v>
      </c>
      <c r="F9" s="431">
        <f>SUM(F10:F11)</f>
        <v>107</v>
      </c>
      <c r="G9" s="431">
        <f>SUM(G10:G11)</f>
        <v>147</v>
      </c>
      <c r="H9" s="431">
        <f t="shared" ref="D9:J9" si="0">H10+H11</f>
        <v>5790</v>
      </c>
      <c r="I9" s="431">
        <f>+I10+I11</f>
        <v>7771</v>
      </c>
      <c r="J9" s="431">
        <f t="shared" si="0"/>
        <v>483</v>
      </c>
      <c r="K9" s="925" t="s">
        <v>289</v>
      </c>
    </row>
    <row r="10" spans="1:11" s="926" customFormat="1" ht="18.75" x14ac:dyDescent="0.25">
      <c r="A10" s="433" t="s">
        <v>290</v>
      </c>
      <c r="B10" s="379">
        <f>SUM(C10:J10)</f>
        <v>63384</v>
      </c>
      <c r="C10" s="972">
        <v>57975</v>
      </c>
      <c r="D10" s="927">
        <v>745</v>
      </c>
      <c r="E10" s="927">
        <v>1117</v>
      </c>
      <c r="F10" s="927">
        <v>29</v>
      </c>
      <c r="G10" s="927">
        <v>33</v>
      </c>
      <c r="H10" s="927">
        <v>1015</v>
      </c>
      <c r="I10" s="927">
        <f>2278+17</f>
        <v>2295</v>
      </c>
      <c r="J10" s="928">
        <v>175</v>
      </c>
      <c r="K10" s="925" t="s">
        <v>291</v>
      </c>
    </row>
    <row r="11" spans="1:11" s="926" customFormat="1" ht="18.75" x14ac:dyDescent="0.2">
      <c r="A11" s="376" t="s">
        <v>292</v>
      </c>
      <c r="B11" s="379">
        <f>SUM(C11:J11)</f>
        <v>297862</v>
      </c>
      <c r="C11" s="430">
        <f t="shared" ref="C11:G11" si="1">C12+C30+C48+C66+C82+C101+C116+C123+C134+C144+C156+C163+C174+C181+C191+C206+C220+C232+C243+C246</f>
        <v>282022</v>
      </c>
      <c r="D11" s="430">
        <f t="shared" si="1"/>
        <v>1847</v>
      </c>
      <c r="E11" s="430">
        <f t="shared" si="1"/>
        <v>3242</v>
      </c>
      <c r="F11" s="929">
        <f t="shared" si="1"/>
        <v>78</v>
      </c>
      <c r="G11" s="927">
        <f t="shared" si="1"/>
        <v>114</v>
      </c>
      <c r="H11" s="430">
        <f>H12+H30+H48+H66+H82+H101+H116+H123+H134+H144+H156+H163+H174+H181+H191+H206+H220+H232+H243+H246</f>
        <v>4775</v>
      </c>
      <c r="I11" s="430">
        <f>I12+I30+I48+I66+I82+I101+I116+I123+I134+I144+I156+I163+I174+I181+I191+I206+I220+I232+I243+I246</f>
        <v>5476</v>
      </c>
      <c r="J11" s="430">
        <f>J12+J30+J48+J66+J82+J101+J116+J123+J134+J144+J156+J163+J174+J181+J191+J206+J220+J232+J243+J246</f>
        <v>308</v>
      </c>
      <c r="K11" s="925" t="s">
        <v>293</v>
      </c>
    </row>
    <row r="12" spans="1:11" s="926" customFormat="1" ht="15.75" x14ac:dyDescent="0.2">
      <c r="A12" s="433" t="s">
        <v>294</v>
      </c>
      <c r="B12" s="379">
        <f t="shared" ref="B9:B12" si="2">SUM(C12:J12)</f>
        <v>21976</v>
      </c>
      <c r="C12" s="430">
        <f>SUM(C13:C28)</f>
        <v>20756</v>
      </c>
      <c r="D12" s="430">
        <f t="shared" ref="D12:E12" si="3">SUM(D13:D28)</f>
        <v>98</v>
      </c>
      <c r="E12" s="430">
        <f t="shared" si="3"/>
        <v>157</v>
      </c>
      <c r="F12" s="430">
        <f>SUM(F13:F28)</f>
        <v>2</v>
      </c>
      <c r="G12" s="430">
        <f>SUM(G13:G28)</f>
        <v>2</v>
      </c>
      <c r="H12" s="430">
        <f t="shared" ref="H12" si="4">SUM(H13:H28)</f>
        <v>528</v>
      </c>
      <c r="I12" s="430">
        <f>SUM(I13:I28)</f>
        <v>409</v>
      </c>
      <c r="J12" s="430">
        <f>SUM(J13:J28)</f>
        <v>24</v>
      </c>
      <c r="K12" s="930" t="s">
        <v>295</v>
      </c>
    </row>
    <row r="13" spans="1:11" s="934" customFormat="1" ht="15.75" x14ac:dyDescent="0.2">
      <c r="A13" s="931" t="s">
        <v>342</v>
      </c>
      <c r="B13" s="379">
        <f t="shared" ref="B13:B28" si="5">SUM(C13:J13)</f>
        <v>693</v>
      </c>
      <c r="C13" s="932">
        <v>639</v>
      </c>
      <c r="D13" s="432">
        <v>0</v>
      </c>
      <c r="E13" s="432">
        <v>0</v>
      </c>
      <c r="F13" s="432">
        <v>0</v>
      </c>
      <c r="G13" s="432">
        <v>0</v>
      </c>
      <c r="H13" s="432">
        <v>33</v>
      </c>
      <c r="I13" s="432">
        <v>21</v>
      </c>
      <c r="J13" s="432">
        <v>0</v>
      </c>
      <c r="K13" s="933" t="s">
        <v>343</v>
      </c>
    </row>
    <row r="14" spans="1:11" s="934" customFormat="1" ht="15.75" x14ac:dyDescent="0.2">
      <c r="A14" s="931" t="s">
        <v>344</v>
      </c>
      <c r="B14" s="379">
        <f t="shared" si="5"/>
        <v>527</v>
      </c>
      <c r="C14" s="932">
        <v>486</v>
      </c>
      <c r="D14" s="432">
        <v>7</v>
      </c>
      <c r="E14" s="432">
        <v>13</v>
      </c>
      <c r="F14" s="432">
        <v>0</v>
      </c>
      <c r="G14" s="432">
        <v>0</v>
      </c>
      <c r="H14" s="432">
        <v>7</v>
      </c>
      <c r="I14" s="432">
        <v>9</v>
      </c>
      <c r="J14" s="432">
        <v>5</v>
      </c>
      <c r="K14" s="933" t="s">
        <v>345</v>
      </c>
    </row>
    <row r="15" spans="1:11" s="934" customFormat="1" ht="19.5" x14ac:dyDescent="0.3">
      <c r="A15" s="931" t="s">
        <v>878</v>
      </c>
      <c r="B15" s="379">
        <f t="shared" si="5"/>
        <v>1</v>
      </c>
      <c r="C15" s="432"/>
      <c r="D15" s="432">
        <v>0</v>
      </c>
      <c r="E15" s="432">
        <v>0</v>
      </c>
      <c r="F15" s="432">
        <v>0</v>
      </c>
      <c r="G15" s="432">
        <v>0</v>
      </c>
      <c r="H15" s="432">
        <v>1</v>
      </c>
      <c r="I15" s="432">
        <v>0</v>
      </c>
      <c r="J15" s="432">
        <v>0</v>
      </c>
      <c r="K15" s="935" t="s">
        <v>720</v>
      </c>
    </row>
    <row r="16" spans="1:11" s="934" customFormat="1" ht="18.75" x14ac:dyDescent="0.2">
      <c r="A16" s="931" t="s">
        <v>346</v>
      </c>
      <c r="B16" s="379">
        <f t="shared" si="5"/>
        <v>3</v>
      </c>
      <c r="C16" s="432"/>
      <c r="D16" s="432">
        <v>0</v>
      </c>
      <c r="E16" s="432">
        <v>0</v>
      </c>
      <c r="F16" s="432">
        <v>0</v>
      </c>
      <c r="G16" s="432">
        <v>0</v>
      </c>
      <c r="H16" s="432">
        <v>3</v>
      </c>
      <c r="I16" s="432">
        <v>0</v>
      </c>
      <c r="J16" s="432">
        <v>0</v>
      </c>
      <c r="K16" s="935" t="s">
        <v>721</v>
      </c>
    </row>
    <row r="17" spans="1:21" s="934" customFormat="1" ht="15.75" x14ac:dyDescent="0.2">
      <c r="A17" s="931" t="s">
        <v>347</v>
      </c>
      <c r="B17" s="379">
        <f t="shared" si="5"/>
        <v>383</v>
      </c>
      <c r="C17" s="932">
        <v>363</v>
      </c>
      <c r="D17" s="432">
        <v>5</v>
      </c>
      <c r="E17" s="432">
        <v>6</v>
      </c>
      <c r="F17" s="432">
        <v>0</v>
      </c>
      <c r="G17" s="432">
        <v>0</v>
      </c>
      <c r="H17" s="432">
        <v>7</v>
      </c>
      <c r="I17" s="432">
        <v>2</v>
      </c>
      <c r="J17" s="432">
        <v>0</v>
      </c>
      <c r="K17" s="933" t="s">
        <v>348</v>
      </c>
    </row>
    <row r="18" spans="1:21" s="934" customFormat="1" ht="15.75" x14ac:dyDescent="0.2">
      <c r="A18" s="931" t="s">
        <v>349</v>
      </c>
      <c r="B18" s="379">
        <f t="shared" si="5"/>
        <v>3418</v>
      </c>
      <c r="C18" s="932">
        <v>3135</v>
      </c>
      <c r="D18" s="432">
        <v>19</v>
      </c>
      <c r="E18" s="432">
        <v>32</v>
      </c>
      <c r="F18" s="432">
        <v>0</v>
      </c>
      <c r="G18" s="432">
        <v>0</v>
      </c>
      <c r="H18" s="432">
        <v>161</v>
      </c>
      <c r="I18" s="432">
        <v>71</v>
      </c>
      <c r="J18" s="432">
        <v>0</v>
      </c>
      <c r="K18" s="933" t="s">
        <v>350</v>
      </c>
    </row>
    <row r="19" spans="1:21" s="934" customFormat="1" ht="15.75" x14ac:dyDescent="0.2">
      <c r="A19" s="931" t="s">
        <v>351</v>
      </c>
      <c r="B19" s="379">
        <f t="shared" si="5"/>
        <v>3353</v>
      </c>
      <c r="C19" s="932">
        <v>3101</v>
      </c>
      <c r="D19" s="432">
        <v>10</v>
      </c>
      <c r="E19" s="432">
        <v>19</v>
      </c>
      <c r="F19" s="432">
        <v>0</v>
      </c>
      <c r="G19" s="432">
        <v>0</v>
      </c>
      <c r="H19" s="432">
        <v>134</v>
      </c>
      <c r="I19" s="432">
        <v>89</v>
      </c>
      <c r="J19" s="432">
        <v>0</v>
      </c>
      <c r="K19" s="933" t="s">
        <v>352</v>
      </c>
    </row>
    <row r="20" spans="1:21" s="934" customFormat="1" ht="12.75" customHeight="1" x14ac:dyDescent="0.2">
      <c r="A20" s="931" t="s">
        <v>353</v>
      </c>
      <c r="B20" s="379">
        <f t="shared" si="5"/>
        <v>2116</v>
      </c>
      <c r="C20" s="932">
        <v>2037</v>
      </c>
      <c r="D20" s="432">
        <v>10</v>
      </c>
      <c r="E20" s="432">
        <v>16</v>
      </c>
      <c r="F20" s="432">
        <v>0</v>
      </c>
      <c r="G20" s="432">
        <v>0</v>
      </c>
      <c r="H20" s="432">
        <v>22</v>
      </c>
      <c r="I20" s="432">
        <v>31</v>
      </c>
      <c r="J20" s="432">
        <v>0</v>
      </c>
      <c r="K20" s="933" t="s">
        <v>354</v>
      </c>
    </row>
    <row r="21" spans="1:21" s="934" customFormat="1" ht="15.75" x14ac:dyDescent="0.2">
      <c r="A21" s="931" t="s">
        <v>355</v>
      </c>
      <c r="B21" s="379">
        <f t="shared" si="5"/>
        <v>841</v>
      </c>
      <c r="C21" s="932">
        <v>820</v>
      </c>
      <c r="D21" s="432">
        <v>1</v>
      </c>
      <c r="E21" s="432">
        <v>2</v>
      </c>
      <c r="F21" s="432">
        <v>0</v>
      </c>
      <c r="G21" s="432">
        <v>0</v>
      </c>
      <c r="H21" s="432">
        <v>5</v>
      </c>
      <c r="I21" s="432">
        <v>13</v>
      </c>
      <c r="J21" s="432">
        <v>0</v>
      </c>
      <c r="K21" s="933" t="s">
        <v>356</v>
      </c>
    </row>
    <row r="22" spans="1:21" s="934" customFormat="1" ht="15.75" x14ac:dyDescent="0.2">
      <c r="A22" s="931" t="s">
        <v>357</v>
      </c>
      <c r="B22" s="379">
        <f t="shared" si="5"/>
        <v>3958</v>
      </c>
      <c r="C22" s="932">
        <v>3780</v>
      </c>
      <c r="D22" s="432">
        <v>13</v>
      </c>
      <c r="E22" s="432">
        <v>20</v>
      </c>
      <c r="F22" s="432">
        <v>0</v>
      </c>
      <c r="G22" s="432">
        <v>0</v>
      </c>
      <c r="H22" s="432">
        <v>46</v>
      </c>
      <c r="I22" s="432">
        <v>97</v>
      </c>
      <c r="J22" s="432">
        <v>2</v>
      </c>
      <c r="K22" s="933" t="s">
        <v>358</v>
      </c>
    </row>
    <row r="23" spans="1:21" s="934" customFormat="1" ht="15.75" x14ac:dyDescent="0.2">
      <c r="A23" s="931" t="s">
        <v>359</v>
      </c>
      <c r="B23" s="379">
        <f t="shared" si="5"/>
        <v>1053</v>
      </c>
      <c r="C23" s="932">
        <v>1014</v>
      </c>
      <c r="D23" s="432">
        <v>6</v>
      </c>
      <c r="E23" s="432">
        <v>8</v>
      </c>
      <c r="F23" s="432">
        <v>0</v>
      </c>
      <c r="G23" s="432">
        <v>0</v>
      </c>
      <c r="H23" s="432">
        <v>13</v>
      </c>
      <c r="I23" s="432">
        <v>12</v>
      </c>
      <c r="J23" s="432">
        <v>0</v>
      </c>
      <c r="K23" s="933" t="s">
        <v>360</v>
      </c>
    </row>
    <row r="24" spans="1:21" s="934" customFormat="1" ht="15.75" x14ac:dyDescent="0.2">
      <c r="A24" s="931" t="s">
        <v>361</v>
      </c>
      <c r="B24" s="379">
        <f t="shared" si="5"/>
        <v>981</v>
      </c>
      <c r="C24" s="932">
        <v>952</v>
      </c>
      <c r="D24" s="432">
        <v>2</v>
      </c>
      <c r="E24" s="432">
        <v>3</v>
      </c>
      <c r="F24" s="432">
        <v>0</v>
      </c>
      <c r="G24" s="432">
        <v>0</v>
      </c>
      <c r="H24" s="432">
        <v>16</v>
      </c>
      <c r="I24" s="432">
        <v>8</v>
      </c>
      <c r="J24" s="432">
        <v>0</v>
      </c>
      <c r="K24" s="933" t="s">
        <v>362</v>
      </c>
    </row>
    <row r="25" spans="1:21" s="934" customFormat="1" ht="15.75" x14ac:dyDescent="0.2">
      <c r="A25" s="931" t="s">
        <v>363</v>
      </c>
      <c r="B25" s="379">
        <f t="shared" si="5"/>
        <v>876</v>
      </c>
      <c r="C25" s="932">
        <v>853</v>
      </c>
      <c r="D25" s="432">
        <v>3</v>
      </c>
      <c r="E25" s="432">
        <v>4</v>
      </c>
      <c r="F25" s="432">
        <v>0</v>
      </c>
      <c r="G25" s="432">
        <v>0</v>
      </c>
      <c r="H25" s="432">
        <v>12</v>
      </c>
      <c r="I25" s="432">
        <v>4</v>
      </c>
      <c r="J25" s="432">
        <v>0</v>
      </c>
      <c r="K25" s="933" t="s">
        <v>364</v>
      </c>
    </row>
    <row r="26" spans="1:21" s="934" customFormat="1" ht="15.75" x14ac:dyDescent="0.2">
      <c r="A26" s="931" t="s">
        <v>365</v>
      </c>
      <c r="B26" s="379">
        <f t="shared" si="5"/>
        <v>915</v>
      </c>
      <c r="C26" s="932">
        <v>869</v>
      </c>
      <c r="D26" s="432">
        <v>6</v>
      </c>
      <c r="E26" s="432">
        <v>7</v>
      </c>
      <c r="F26" s="432">
        <v>0</v>
      </c>
      <c r="G26" s="432">
        <v>0</v>
      </c>
      <c r="H26" s="432">
        <v>26</v>
      </c>
      <c r="I26" s="432">
        <v>7</v>
      </c>
      <c r="J26" s="432">
        <v>0</v>
      </c>
      <c r="K26" s="933" t="s">
        <v>366</v>
      </c>
    </row>
    <row r="27" spans="1:21" s="934" customFormat="1" ht="15.75" x14ac:dyDescent="0.2">
      <c r="A27" s="931" t="s">
        <v>367</v>
      </c>
      <c r="B27" s="379">
        <f t="shared" si="5"/>
        <v>860</v>
      </c>
      <c r="C27" s="932">
        <v>835</v>
      </c>
      <c r="D27" s="432">
        <v>2</v>
      </c>
      <c r="E27" s="432">
        <v>4</v>
      </c>
      <c r="F27" s="432">
        <v>0</v>
      </c>
      <c r="G27" s="432">
        <v>0</v>
      </c>
      <c r="H27" s="432">
        <v>7</v>
      </c>
      <c r="I27" s="432">
        <v>12</v>
      </c>
      <c r="J27" s="432">
        <v>0</v>
      </c>
      <c r="K27" s="933" t="s">
        <v>368</v>
      </c>
    </row>
    <row r="28" spans="1:21" s="934" customFormat="1" ht="15.75" x14ac:dyDescent="0.25">
      <c r="A28" s="936" t="s">
        <v>369</v>
      </c>
      <c r="B28" s="379">
        <f t="shared" si="5"/>
        <v>1998</v>
      </c>
      <c r="C28" s="932">
        <v>1872</v>
      </c>
      <c r="D28" s="432">
        <v>14</v>
      </c>
      <c r="E28" s="432">
        <v>23</v>
      </c>
      <c r="F28" s="432">
        <v>2</v>
      </c>
      <c r="G28" s="432">
        <v>2</v>
      </c>
      <c r="H28" s="432">
        <v>35</v>
      </c>
      <c r="I28" s="432">
        <v>33</v>
      </c>
      <c r="J28" s="937">
        <v>17</v>
      </c>
      <c r="K28" s="933" t="s">
        <v>370</v>
      </c>
    </row>
    <row r="29" spans="1:21" s="934" customFormat="1" ht="15.75" x14ac:dyDescent="0.2">
      <c r="A29" s="936"/>
      <c r="B29" s="938"/>
      <c r="C29" s="504"/>
      <c r="D29" s="432"/>
      <c r="E29" s="432"/>
      <c r="F29" s="939"/>
      <c r="G29" s="939"/>
      <c r="H29" s="432"/>
      <c r="I29" s="432"/>
      <c r="J29" s="927"/>
      <c r="K29" s="933"/>
    </row>
    <row r="30" spans="1:21" s="934" customFormat="1" ht="15.75" x14ac:dyDescent="0.2">
      <c r="A30" s="433" t="s">
        <v>296</v>
      </c>
      <c r="B30" s="379">
        <f t="shared" ref="B30:B46" si="6">SUM(C30:J30)</f>
        <v>26059</v>
      </c>
      <c r="C30" s="378">
        <f>SUM(C31:C46)</f>
        <v>24686</v>
      </c>
      <c r="D30" s="430">
        <f t="shared" ref="D30:E30" si="7">SUM(D31:D46)</f>
        <v>198</v>
      </c>
      <c r="E30" s="430">
        <f t="shared" si="7"/>
        <v>351</v>
      </c>
      <c r="F30" s="430">
        <f>SUM(F31:F46)</f>
        <v>4</v>
      </c>
      <c r="G30" s="430">
        <f>SUM(G31:G46)</f>
        <v>4</v>
      </c>
      <c r="H30" s="430">
        <f t="shared" ref="H30" si="8">SUM(H31:H46)</f>
        <v>236</v>
      </c>
      <c r="I30" s="430">
        <f>SUM(I31:I46)</f>
        <v>532</v>
      </c>
      <c r="J30" s="432">
        <f>SUM(J31:J46)</f>
        <v>48</v>
      </c>
      <c r="K30" s="930" t="s">
        <v>297</v>
      </c>
      <c r="L30" s="926"/>
      <c r="M30" s="926"/>
      <c r="N30" s="926"/>
      <c r="O30" s="926"/>
      <c r="P30" s="926"/>
      <c r="Q30" s="926"/>
      <c r="R30" s="926"/>
      <c r="S30" s="926"/>
      <c r="T30" s="926"/>
      <c r="U30" s="926"/>
    </row>
    <row r="31" spans="1:21" s="934" customFormat="1" ht="15.75" x14ac:dyDescent="0.2">
      <c r="A31" s="931" t="s">
        <v>371</v>
      </c>
      <c r="B31" s="379">
        <f t="shared" ref="B31:B45" si="9">SUM(C31:J31)</f>
        <v>2029</v>
      </c>
      <c r="C31" s="940">
        <v>1938</v>
      </c>
      <c r="D31" s="940">
        <v>18</v>
      </c>
      <c r="E31" s="940">
        <v>34</v>
      </c>
      <c r="F31" s="432">
        <v>0</v>
      </c>
      <c r="G31" s="432">
        <v>0</v>
      </c>
      <c r="H31" s="432">
        <v>4</v>
      </c>
      <c r="I31" s="432">
        <v>35</v>
      </c>
      <c r="J31" s="432">
        <v>0</v>
      </c>
      <c r="K31" s="933" t="s">
        <v>372</v>
      </c>
    </row>
    <row r="32" spans="1:21" s="934" customFormat="1" ht="15.75" x14ac:dyDescent="0.2">
      <c r="A32" s="931" t="s">
        <v>373</v>
      </c>
      <c r="B32" s="379">
        <f t="shared" si="9"/>
        <v>546</v>
      </c>
      <c r="C32" s="940">
        <v>519</v>
      </c>
      <c r="D32" s="940">
        <v>0</v>
      </c>
      <c r="E32" s="940">
        <v>0</v>
      </c>
      <c r="F32" s="432">
        <v>0</v>
      </c>
      <c r="G32" s="432">
        <v>0</v>
      </c>
      <c r="H32" s="432">
        <v>17</v>
      </c>
      <c r="I32" s="432">
        <v>10</v>
      </c>
      <c r="J32" s="432">
        <v>0</v>
      </c>
      <c r="K32" s="933" t="s">
        <v>374</v>
      </c>
    </row>
    <row r="33" spans="1:11" s="934" customFormat="1" ht="15.75" x14ac:dyDescent="0.2">
      <c r="A33" s="931" t="s">
        <v>375</v>
      </c>
      <c r="B33" s="379">
        <f t="shared" si="9"/>
        <v>816</v>
      </c>
      <c r="C33" s="940">
        <v>784</v>
      </c>
      <c r="D33" s="940">
        <v>1</v>
      </c>
      <c r="E33" s="940">
        <v>1</v>
      </c>
      <c r="F33" s="432">
        <v>0</v>
      </c>
      <c r="G33" s="432">
        <v>0</v>
      </c>
      <c r="H33" s="432">
        <v>17</v>
      </c>
      <c r="I33" s="432">
        <v>13</v>
      </c>
      <c r="J33" s="432">
        <v>0</v>
      </c>
      <c r="K33" s="933" t="s">
        <v>376</v>
      </c>
    </row>
    <row r="34" spans="1:11" s="934" customFormat="1" ht="15.75" x14ac:dyDescent="0.2">
      <c r="A34" s="931" t="s">
        <v>377</v>
      </c>
      <c r="B34" s="379">
        <f t="shared" si="9"/>
        <v>509</v>
      </c>
      <c r="C34" s="940">
        <v>487</v>
      </c>
      <c r="D34" s="940">
        <v>3</v>
      </c>
      <c r="E34" s="940">
        <v>5</v>
      </c>
      <c r="F34" s="432">
        <v>0</v>
      </c>
      <c r="G34" s="432">
        <v>0</v>
      </c>
      <c r="H34" s="432">
        <v>8</v>
      </c>
      <c r="I34" s="432">
        <v>6</v>
      </c>
      <c r="J34" s="432">
        <v>0</v>
      </c>
      <c r="K34" s="933" t="s">
        <v>378</v>
      </c>
    </row>
    <row r="35" spans="1:11" s="934" customFormat="1" ht="15.75" x14ac:dyDescent="0.2">
      <c r="A35" s="931" t="s">
        <v>379</v>
      </c>
      <c r="B35" s="379">
        <f t="shared" si="9"/>
        <v>1811</v>
      </c>
      <c r="C35" s="940">
        <v>1721</v>
      </c>
      <c r="D35" s="940">
        <v>12</v>
      </c>
      <c r="E35" s="940">
        <v>18</v>
      </c>
      <c r="F35" s="432">
        <v>0</v>
      </c>
      <c r="G35" s="432">
        <v>0</v>
      </c>
      <c r="H35" s="432">
        <v>18</v>
      </c>
      <c r="I35" s="432">
        <v>42</v>
      </c>
      <c r="J35" s="432">
        <v>0</v>
      </c>
      <c r="K35" s="933" t="s">
        <v>380</v>
      </c>
    </row>
    <row r="36" spans="1:11" s="934" customFormat="1" ht="15.75" x14ac:dyDescent="0.2">
      <c r="A36" s="931" t="s">
        <v>381</v>
      </c>
      <c r="B36" s="379">
        <f t="shared" si="9"/>
        <v>1236</v>
      </c>
      <c r="C36" s="940">
        <v>1194</v>
      </c>
      <c r="D36" s="940">
        <v>4</v>
      </c>
      <c r="E36" s="940">
        <v>8</v>
      </c>
      <c r="F36" s="432">
        <v>1</v>
      </c>
      <c r="G36" s="432">
        <v>1</v>
      </c>
      <c r="H36" s="432">
        <v>7</v>
      </c>
      <c r="I36" s="432">
        <v>21</v>
      </c>
      <c r="J36" s="432">
        <v>0</v>
      </c>
      <c r="K36" s="933" t="s">
        <v>382</v>
      </c>
    </row>
    <row r="37" spans="1:11" s="934" customFormat="1" ht="15.75" x14ac:dyDescent="0.2">
      <c r="A37" s="931" t="s">
        <v>383</v>
      </c>
      <c r="B37" s="379">
        <f t="shared" si="9"/>
        <v>2545</v>
      </c>
      <c r="C37" s="940">
        <v>2432</v>
      </c>
      <c r="D37" s="940">
        <v>17</v>
      </c>
      <c r="E37" s="940">
        <v>31</v>
      </c>
      <c r="F37" s="432">
        <v>0</v>
      </c>
      <c r="G37" s="432">
        <v>0</v>
      </c>
      <c r="H37" s="432">
        <v>11</v>
      </c>
      <c r="I37" s="432">
        <v>54</v>
      </c>
      <c r="J37" s="432">
        <v>0</v>
      </c>
      <c r="K37" s="933" t="s">
        <v>384</v>
      </c>
    </row>
    <row r="38" spans="1:11" s="934" customFormat="1" ht="15.75" x14ac:dyDescent="0.2">
      <c r="A38" s="936" t="s">
        <v>385</v>
      </c>
      <c r="B38" s="379">
        <f t="shared" si="9"/>
        <v>753</v>
      </c>
      <c r="C38" s="940">
        <v>707</v>
      </c>
      <c r="D38" s="940">
        <v>4</v>
      </c>
      <c r="E38" s="940">
        <v>7</v>
      </c>
      <c r="F38" s="432">
        <v>1</v>
      </c>
      <c r="G38" s="432">
        <v>1</v>
      </c>
      <c r="H38" s="432">
        <v>5</v>
      </c>
      <c r="I38" s="432">
        <v>20</v>
      </c>
      <c r="J38" s="432">
        <v>8</v>
      </c>
      <c r="K38" s="933" t="s">
        <v>386</v>
      </c>
    </row>
    <row r="39" spans="1:11" s="934" customFormat="1" ht="15.75" x14ac:dyDescent="0.2">
      <c r="A39" s="931" t="s">
        <v>387</v>
      </c>
      <c r="B39" s="379">
        <f t="shared" si="9"/>
        <v>20</v>
      </c>
      <c r="C39" s="940">
        <v>2</v>
      </c>
      <c r="D39" s="940">
        <v>0</v>
      </c>
      <c r="E39" s="940">
        <v>0</v>
      </c>
      <c r="F39" s="432">
        <v>0</v>
      </c>
      <c r="G39" s="432">
        <v>0</v>
      </c>
      <c r="H39" s="432">
        <v>7</v>
      </c>
      <c r="I39" s="432">
        <v>11</v>
      </c>
      <c r="J39" s="432">
        <v>0</v>
      </c>
      <c r="K39" s="933" t="s">
        <v>388</v>
      </c>
    </row>
    <row r="40" spans="1:11" s="934" customFormat="1" ht="15.75" x14ac:dyDescent="0.2">
      <c r="A40" s="931" t="s">
        <v>389</v>
      </c>
      <c r="B40" s="379">
        <f t="shared" si="9"/>
        <v>9475</v>
      </c>
      <c r="C40" s="940">
        <v>8915</v>
      </c>
      <c r="D40" s="940">
        <v>103</v>
      </c>
      <c r="E40" s="940">
        <v>179</v>
      </c>
      <c r="F40" s="432">
        <v>2</v>
      </c>
      <c r="G40" s="432">
        <v>2</v>
      </c>
      <c r="H40" s="432">
        <v>41</v>
      </c>
      <c r="I40" s="432">
        <v>209</v>
      </c>
      <c r="J40" s="432">
        <v>24</v>
      </c>
      <c r="K40" s="933" t="s">
        <v>390</v>
      </c>
    </row>
    <row r="41" spans="1:11" s="934" customFormat="1" ht="15.75" x14ac:dyDescent="0.2">
      <c r="A41" s="931" t="s">
        <v>391</v>
      </c>
      <c r="B41" s="379">
        <f t="shared" si="9"/>
        <v>1382</v>
      </c>
      <c r="C41" s="940">
        <v>1321</v>
      </c>
      <c r="D41" s="940">
        <v>5</v>
      </c>
      <c r="E41" s="940">
        <v>11</v>
      </c>
      <c r="F41" s="432">
        <v>0</v>
      </c>
      <c r="G41" s="432">
        <v>0</v>
      </c>
      <c r="H41" s="432">
        <v>11</v>
      </c>
      <c r="I41" s="432">
        <v>29</v>
      </c>
      <c r="J41" s="432">
        <v>5</v>
      </c>
      <c r="K41" s="933" t="s">
        <v>392</v>
      </c>
    </row>
    <row r="42" spans="1:11" s="934" customFormat="1" ht="15.75" x14ac:dyDescent="0.2">
      <c r="A42" s="931" t="s">
        <v>393</v>
      </c>
      <c r="B42" s="379">
        <f t="shared" si="9"/>
        <v>1361</v>
      </c>
      <c r="C42" s="940">
        <v>1294</v>
      </c>
      <c r="D42" s="940">
        <v>9</v>
      </c>
      <c r="E42" s="940">
        <v>14</v>
      </c>
      <c r="F42" s="432">
        <v>0</v>
      </c>
      <c r="G42" s="432">
        <v>0</v>
      </c>
      <c r="H42" s="432">
        <v>24</v>
      </c>
      <c r="I42" s="432">
        <v>20</v>
      </c>
      <c r="J42" s="432">
        <v>0</v>
      </c>
      <c r="K42" s="933" t="s">
        <v>394</v>
      </c>
    </row>
    <row r="43" spans="1:11" s="934" customFormat="1" ht="15.75" x14ac:dyDescent="0.2">
      <c r="A43" s="931" t="s">
        <v>395</v>
      </c>
      <c r="B43" s="379">
        <f t="shared" si="9"/>
        <v>1798</v>
      </c>
      <c r="C43" s="940">
        <v>1694</v>
      </c>
      <c r="D43" s="940">
        <v>14</v>
      </c>
      <c r="E43" s="940">
        <v>30</v>
      </c>
      <c r="F43" s="432">
        <v>0</v>
      </c>
      <c r="G43" s="432">
        <v>0</v>
      </c>
      <c r="H43" s="432">
        <v>16</v>
      </c>
      <c r="I43" s="432">
        <v>33</v>
      </c>
      <c r="J43" s="432">
        <v>11</v>
      </c>
      <c r="K43" s="933" t="s">
        <v>396</v>
      </c>
    </row>
    <row r="44" spans="1:11" s="934" customFormat="1" ht="15.75" x14ac:dyDescent="0.2">
      <c r="A44" s="931" t="s">
        <v>397</v>
      </c>
      <c r="B44" s="379">
        <f t="shared" si="9"/>
        <v>40</v>
      </c>
      <c r="C44" s="940">
        <v>31</v>
      </c>
      <c r="D44" s="940">
        <v>0</v>
      </c>
      <c r="E44" s="940">
        <v>0</v>
      </c>
      <c r="F44" s="432">
        <v>0</v>
      </c>
      <c r="G44" s="432">
        <v>0</v>
      </c>
      <c r="H44" s="432">
        <v>8</v>
      </c>
      <c r="I44" s="432">
        <v>1</v>
      </c>
      <c r="J44" s="432">
        <v>0</v>
      </c>
      <c r="K44" s="933" t="s">
        <v>398</v>
      </c>
    </row>
    <row r="45" spans="1:11" s="934" customFormat="1" ht="15.75" x14ac:dyDescent="0.2">
      <c r="A45" s="936" t="s">
        <v>399</v>
      </c>
      <c r="B45" s="379">
        <f t="shared" si="9"/>
        <v>1708</v>
      </c>
      <c r="C45" s="940">
        <v>1647</v>
      </c>
      <c r="D45" s="940">
        <v>0</v>
      </c>
      <c r="E45" s="940">
        <v>0</v>
      </c>
      <c r="F45" s="432">
        <v>0</v>
      </c>
      <c r="G45" s="432">
        <v>0</v>
      </c>
      <c r="H45" s="432">
        <v>33</v>
      </c>
      <c r="I45" s="432">
        <v>28</v>
      </c>
      <c r="J45" s="432">
        <v>0</v>
      </c>
      <c r="K45" s="933" t="s">
        <v>401</v>
      </c>
    </row>
    <row r="46" spans="1:11" s="934" customFormat="1" ht="18.75" x14ac:dyDescent="0.5">
      <c r="A46" s="934" t="s">
        <v>400</v>
      </c>
      <c r="B46" s="379">
        <f t="shared" si="6"/>
        <v>30</v>
      </c>
      <c r="C46" s="941">
        <v>0</v>
      </c>
      <c r="D46" s="940">
        <v>8</v>
      </c>
      <c r="E46" s="940">
        <v>13</v>
      </c>
      <c r="F46" s="432">
        <v>0</v>
      </c>
      <c r="G46" s="432">
        <v>0</v>
      </c>
      <c r="H46" s="432">
        <v>9</v>
      </c>
      <c r="I46" s="432">
        <v>0</v>
      </c>
      <c r="J46" s="432">
        <v>0</v>
      </c>
      <c r="K46" s="942" t="s">
        <v>722</v>
      </c>
    </row>
    <row r="47" spans="1:11" s="934" customFormat="1" ht="12.75" x14ac:dyDescent="0.2">
      <c r="A47" s="936"/>
      <c r="B47" s="943"/>
      <c r="C47" s="504"/>
      <c r="D47" s="432"/>
      <c r="E47" s="432"/>
      <c r="F47" s="432"/>
      <c r="G47" s="432"/>
      <c r="H47" s="432"/>
      <c r="I47" s="432"/>
      <c r="J47" s="927"/>
    </row>
    <row r="48" spans="1:11" s="934" customFormat="1" ht="15.75" x14ac:dyDescent="0.2">
      <c r="A48" s="433" t="s">
        <v>298</v>
      </c>
      <c r="B48" s="379">
        <f t="shared" ref="B48" si="10">SUM(C48:J48)</f>
        <v>17325</v>
      </c>
      <c r="C48" s="378">
        <f>SUM(C49:C64)</f>
        <v>16439</v>
      </c>
      <c r="D48" s="430">
        <f t="shared" ref="D48:E48" si="11">SUM(D49:D64)</f>
        <v>76</v>
      </c>
      <c r="E48" s="430">
        <f t="shared" si="11"/>
        <v>122</v>
      </c>
      <c r="F48" s="430">
        <f>SUM(F49:F64)</f>
        <v>0</v>
      </c>
      <c r="G48" s="430">
        <f>SUM(G49:G64)</f>
        <v>0</v>
      </c>
      <c r="H48" s="430">
        <f>SUM(H49:H64)</f>
        <v>293</v>
      </c>
      <c r="I48" s="430">
        <f>SUM(I49:I64)</f>
        <v>389</v>
      </c>
      <c r="J48" s="430">
        <f t="shared" ref="J48" si="12">SUM(J49:J64)</f>
        <v>6</v>
      </c>
      <c r="K48" s="930" t="s">
        <v>299</v>
      </c>
    </row>
    <row r="49" spans="1:11" s="934" customFormat="1" ht="15.75" x14ac:dyDescent="0.2">
      <c r="A49" s="931" t="s">
        <v>402</v>
      </c>
      <c r="B49" s="379">
        <f t="shared" ref="B49:B64" si="13">SUM(C49:J49)</f>
        <v>1508</v>
      </c>
      <c r="C49" s="932">
        <v>1459</v>
      </c>
      <c r="D49" s="432">
        <v>4</v>
      </c>
      <c r="E49" s="432">
        <v>6</v>
      </c>
      <c r="F49" s="432">
        <v>0</v>
      </c>
      <c r="G49" s="432">
        <v>0</v>
      </c>
      <c r="H49" s="432">
        <v>14</v>
      </c>
      <c r="I49" s="432">
        <v>19</v>
      </c>
      <c r="J49" s="432">
        <v>6</v>
      </c>
      <c r="K49" s="933" t="s">
        <v>403</v>
      </c>
    </row>
    <row r="50" spans="1:11" s="934" customFormat="1" ht="15.75" x14ac:dyDescent="0.2">
      <c r="A50" s="931" t="s">
        <v>404</v>
      </c>
      <c r="B50" s="379">
        <f t="shared" si="13"/>
        <v>499</v>
      </c>
      <c r="C50" s="932">
        <v>474</v>
      </c>
      <c r="D50" s="432">
        <v>3</v>
      </c>
      <c r="E50" s="432">
        <v>5</v>
      </c>
      <c r="F50" s="432">
        <v>0</v>
      </c>
      <c r="G50" s="432">
        <v>0</v>
      </c>
      <c r="H50" s="432">
        <v>8</v>
      </c>
      <c r="I50" s="432">
        <v>9</v>
      </c>
      <c r="J50" s="432">
        <v>0</v>
      </c>
      <c r="K50" s="933" t="s">
        <v>405</v>
      </c>
    </row>
    <row r="51" spans="1:11" s="934" customFormat="1" ht="15.75" x14ac:dyDescent="0.2">
      <c r="A51" s="931" t="s">
        <v>406</v>
      </c>
      <c r="B51" s="379">
        <f t="shared" si="13"/>
        <v>750</v>
      </c>
      <c r="C51" s="932">
        <v>722</v>
      </c>
      <c r="D51" s="432">
        <v>5</v>
      </c>
      <c r="E51" s="432">
        <v>7</v>
      </c>
      <c r="F51" s="432">
        <v>0</v>
      </c>
      <c r="G51" s="432">
        <v>0</v>
      </c>
      <c r="H51" s="432">
        <v>5</v>
      </c>
      <c r="I51" s="432">
        <v>11</v>
      </c>
      <c r="J51" s="432">
        <v>0</v>
      </c>
      <c r="K51" s="933" t="s">
        <v>407</v>
      </c>
    </row>
    <row r="52" spans="1:11" s="934" customFormat="1" ht="15.75" x14ac:dyDescent="0.2">
      <c r="A52" s="931" t="s">
        <v>408</v>
      </c>
      <c r="B52" s="379">
        <f t="shared" si="13"/>
        <v>1209</v>
      </c>
      <c r="C52" s="932">
        <v>1130</v>
      </c>
      <c r="D52" s="432">
        <v>9</v>
      </c>
      <c r="E52" s="432">
        <v>16</v>
      </c>
      <c r="F52" s="432">
        <v>0</v>
      </c>
      <c r="G52" s="432">
        <v>0</v>
      </c>
      <c r="H52" s="432">
        <v>28</v>
      </c>
      <c r="I52" s="432">
        <v>26</v>
      </c>
      <c r="J52" s="432">
        <v>0</v>
      </c>
      <c r="K52" s="933" t="s">
        <v>409</v>
      </c>
    </row>
    <row r="53" spans="1:11" s="934" customFormat="1" ht="15.75" x14ac:dyDescent="0.2">
      <c r="A53" s="931" t="s">
        <v>410</v>
      </c>
      <c r="B53" s="379">
        <f t="shared" si="13"/>
        <v>1006</v>
      </c>
      <c r="C53" s="932">
        <v>965</v>
      </c>
      <c r="D53" s="432">
        <v>3</v>
      </c>
      <c r="E53" s="432">
        <v>5</v>
      </c>
      <c r="F53" s="432">
        <v>0</v>
      </c>
      <c r="G53" s="432">
        <v>0</v>
      </c>
      <c r="H53" s="432">
        <v>11</v>
      </c>
      <c r="I53" s="432">
        <v>22</v>
      </c>
      <c r="J53" s="432">
        <v>0</v>
      </c>
      <c r="K53" s="933" t="s">
        <v>411</v>
      </c>
    </row>
    <row r="54" spans="1:11" s="934" customFormat="1" ht="15.75" x14ac:dyDescent="0.2">
      <c r="A54" s="931" t="s">
        <v>412</v>
      </c>
      <c r="B54" s="379">
        <f t="shared" si="13"/>
        <v>695</v>
      </c>
      <c r="C54" s="932">
        <v>639</v>
      </c>
      <c r="D54" s="432">
        <v>1</v>
      </c>
      <c r="E54" s="432">
        <v>2</v>
      </c>
      <c r="F54" s="432">
        <v>0</v>
      </c>
      <c r="G54" s="432">
        <v>0</v>
      </c>
      <c r="H54" s="432">
        <v>28</v>
      </c>
      <c r="I54" s="432">
        <v>25</v>
      </c>
      <c r="J54" s="432">
        <v>0</v>
      </c>
      <c r="K54" s="933" t="s">
        <v>413</v>
      </c>
    </row>
    <row r="55" spans="1:11" s="934" customFormat="1" ht="15.75" x14ac:dyDescent="0.2">
      <c r="A55" s="931" t="s">
        <v>414</v>
      </c>
      <c r="B55" s="379">
        <f t="shared" si="13"/>
        <v>1714</v>
      </c>
      <c r="C55" s="932">
        <v>1667</v>
      </c>
      <c r="D55" s="432">
        <v>5</v>
      </c>
      <c r="E55" s="432">
        <v>7</v>
      </c>
      <c r="F55" s="432">
        <v>0</v>
      </c>
      <c r="G55" s="432">
        <v>0</v>
      </c>
      <c r="H55" s="432">
        <v>6</v>
      </c>
      <c r="I55" s="432">
        <v>29</v>
      </c>
      <c r="J55" s="432">
        <v>0</v>
      </c>
      <c r="K55" s="933" t="s">
        <v>415</v>
      </c>
    </row>
    <row r="56" spans="1:11" s="934" customFormat="1" ht="15.75" x14ac:dyDescent="0.2">
      <c r="A56" s="931" t="s">
        <v>416</v>
      </c>
      <c r="B56" s="379">
        <f t="shared" si="13"/>
        <v>557</v>
      </c>
      <c r="C56" s="932">
        <v>534</v>
      </c>
      <c r="D56" s="940">
        <v>0</v>
      </c>
      <c r="E56" s="940">
        <v>0</v>
      </c>
      <c r="F56" s="432">
        <v>0</v>
      </c>
      <c r="G56" s="432">
        <v>0</v>
      </c>
      <c r="H56" s="432">
        <v>20</v>
      </c>
      <c r="I56" s="432">
        <v>3</v>
      </c>
      <c r="J56" s="432">
        <v>0</v>
      </c>
      <c r="K56" s="933" t="s">
        <v>417</v>
      </c>
    </row>
    <row r="57" spans="1:11" s="934" customFormat="1" ht="18.75" x14ac:dyDescent="0.2">
      <c r="A57" s="931" t="s">
        <v>418</v>
      </c>
      <c r="B57" s="379">
        <f t="shared" si="13"/>
        <v>8</v>
      </c>
      <c r="C57" s="932">
        <v>0</v>
      </c>
      <c r="D57" s="940">
        <v>0</v>
      </c>
      <c r="E57" s="940">
        <v>0</v>
      </c>
      <c r="F57" s="432">
        <v>0</v>
      </c>
      <c r="G57" s="432">
        <v>0</v>
      </c>
      <c r="H57" s="432">
        <v>8</v>
      </c>
      <c r="I57" s="432">
        <v>0</v>
      </c>
      <c r="J57" s="432">
        <v>0</v>
      </c>
      <c r="K57" s="935" t="s">
        <v>723</v>
      </c>
    </row>
    <row r="58" spans="1:11" s="934" customFormat="1" ht="15.75" x14ac:dyDescent="0.2">
      <c r="A58" s="931" t="s">
        <v>419</v>
      </c>
      <c r="B58" s="379">
        <f t="shared" si="13"/>
        <v>890</v>
      </c>
      <c r="C58" s="932">
        <v>846</v>
      </c>
      <c r="D58" s="432">
        <v>6</v>
      </c>
      <c r="E58" s="432">
        <v>11</v>
      </c>
      <c r="F58" s="432">
        <v>0</v>
      </c>
      <c r="G58" s="432">
        <v>0</v>
      </c>
      <c r="H58" s="432">
        <v>8</v>
      </c>
      <c r="I58" s="432">
        <v>19</v>
      </c>
      <c r="J58" s="432">
        <v>0</v>
      </c>
      <c r="K58" s="933" t="s">
        <v>420</v>
      </c>
    </row>
    <row r="59" spans="1:11" s="934" customFormat="1" ht="15.75" x14ac:dyDescent="0.2">
      <c r="A59" s="931" t="s">
        <v>421</v>
      </c>
      <c r="B59" s="379">
        <f t="shared" si="13"/>
        <v>750</v>
      </c>
      <c r="C59" s="932">
        <v>725</v>
      </c>
      <c r="D59" s="432">
        <v>2</v>
      </c>
      <c r="E59" s="432">
        <v>2</v>
      </c>
      <c r="F59" s="432">
        <v>0</v>
      </c>
      <c r="G59" s="432">
        <v>0</v>
      </c>
      <c r="H59" s="432">
        <v>16</v>
      </c>
      <c r="I59" s="432">
        <v>5</v>
      </c>
      <c r="J59" s="432">
        <v>0</v>
      </c>
      <c r="K59" s="933" t="s">
        <v>422</v>
      </c>
    </row>
    <row r="60" spans="1:11" s="934" customFormat="1" ht="18.75" x14ac:dyDescent="0.2">
      <c r="A60" s="931" t="s">
        <v>423</v>
      </c>
      <c r="B60" s="379">
        <f t="shared" si="13"/>
        <v>7</v>
      </c>
      <c r="C60" s="432">
        <v>0</v>
      </c>
      <c r="D60" s="940">
        <v>0</v>
      </c>
      <c r="E60" s="940">
        <v>0</v>
      </c>
      <c r="F60" s="432">
        <v>0</v>
      </c>
      <c r="G60" s="432">
        <v>0</v>
      </c>
      <c r="H60" s="432">
        <v>7</v>
      </c>
      <c r="I60" s="432">
        <v>0</v>
      </c>
      <c r="J60" s="432">
        <v>0</v>
      </c>
      <c r="K60" s="935" t="s">
        <v>724</v>
      </c>
    </row>
    <row r="61" spans="1:11" s="934" customFormat="1" ht="15.75" x14ac:dyDescent="0.2">
      <c r="A61" s="931" t="s">
        <v>424</v>
      </c>
      <c r="B61" s="379">
        <f t="shared" si="13"/>
        <v>1886</v>
      </c>
      <c r="C61" s="932">
        <v>1731</v>
      </c>
      <c r="D61" s="432">
        <v>2</v>
      </c>
      <c r="E61" s="432">
        <v>2</v>
      </c>
      <c r="F61" s="432">
        <v>0</v>
      </c>
      <c r="G61" s="432">
        <v>0</v>
      </c>
      <c r="H61" s="432">
        <v>82</v>
      </c>
      <c r="I61" s="432">
        <v>69</v>
      </c>
      <c r="J61" s="432">
        <v>0</v>
      </c>
      <c r="K61" s="933" t="s">
        <v>425</v>
      </c>
    </row>
    <row r="62" spans="1:11" s="934" customFormat="1" ht="15.75" x14ac:dyDescent="0.2">
      <c r="A62" s="931" t="s">
        <v>426</v>
      </c>
      <c r="B62" s="379">
        <f t="shared" si="13"/>
        <v>1075</v>
      </c>
      <c r="C62" s="932">
        <v>1040</v>
      </c>
      <c r="D62" s="432">
        <v>5</v>
      </c>
      <c r="E62" s="432">
        <v>7</v>
      </c>
      <c r="F62" s="432">
        <v>0</v>
      </c>
      <c r="G62" s="432">
        <v>0</v>
      </c>
      <c r="H62" s="432">
        <v>3</v>
      </c>
      <c r="I62" s="432">
        <v>20</v>
      </c>
      <c r="J62" s="432">
        <v>0</v>
      </c>
      <c r="K62" s="933" t="s">
        <v>427</v>
      </c>
    </row>
    <row r="63" spans="1:11" s="934" customFormat="1" ht="15.75" x14ac:dyDescent="0.2">
      <c r="A63" s="931" t="s">
        <v>428</v>
      </c>
      <c r="B63" s="379">
        <f t="shared" si="13"/>
        <v>2382</v>
      </c>
      <c r="C63" s="932">
        <v>2243</v>
      </c>
      <c r="D63" s="432">
        <v>19</v>
      </c>
      <c r="E63" s="432">
        <v>31</v>
      </c>
      <c r="F63" s="432">
        <v>0</v>
      </c>
      <c r="G63" s="432">
        <v>0</v>
      </c>
      <c r="H63" s="432">
        <v>29</v>
      </c>
      <c r="I63" s="432">
        <v>60</v>
      </c>
      <c r="J63" s="432">
        <v>0</v>
      </c>
      <c r="K63" s="933" t="s">
        <v>429</v>
      </c>
    </row>
    <row r="64" spans="1:11" s="934" customFormat="1" ht="15.75" x14ac:dyDescent="0.2">
      <c r="A64" s="931" t="s">
        <v>879</v>
      </c>
      <c r="B64" s="379">
        <f t="shared" si="13"/>
        <v>2389</v>
      </c>
      <c r="C64" s="932">
        <v>2264</v>
      </c>
      <c r="D64" s="432">
        <v>12</v>
      </c>
      <c r="E64" s="432">
        <v>21</v>
      </c>
      <c r="F64" s="432">
        <v>0</v>
      </c>
      <c r="G64" s="432">
        <v>0</v>
      </c>
      <c r="H64" s="432">
        <v>20</v>
      </c>
      <c r="I64" s="432">
        <v>72</v>
      </c>
      <c r="J64" s="432">
        <v>0</v>
      </c>
      <c r="K64" s="944" t="s">
        <v>880</v>
      </c>
    </row>
    <row r="65" spans="1:11" s="934" customFormat="1" ht="12.75" x14ac:dyDescent="0.2">
      <c r="A65" s="936"/>
      <c r="B65" s="938"/>
      <c r="C65" s="504"/>
      <c r="D65" s="432"/>
      <c r="E65" s="432"/>
      <c r="F65" s="432"/>
      <c r="G65" s="432"/>
      <c r="H65" s="939"/>
      <c r="I65" s="939"/>
      <c r="J65" s="927"/>
    </row>
    <row r="66" spans="1:11" s="934" customFormat="1" ht="15.75" x14ac:dyDescent="0.2">
      <c r="A66" s="433" t="s">
        <v>300</v>
      </c>
      <c r="B66" s="379">
        <f t="shared" ref="B66:B80" si="14">SUM(C66:J66)</f>
        <v>15839</v>
      </c>
      <c r="C66" s="378">
        <f>SUM(C67:C79)</f>
        <v>15103</v>
      </c>
      <c r="D66" s="430">
        <f t="shared" ref="D66:F66" si="15">SUM(D67:D79)</f>
        <v>119</v>
      </c>
      <c r="E66" s="430">
        <f t="shared" si="15"/>
        <v>220</v>
      </c>
      <c r="F66" s="430">
        <f t="shared" si="15"/>
        <v>6</v>
      </c>
      <c r="G66" s="430">
        <f>SUM(G67:G79)</f>
        <v>9</v>
      </c>
      <c r="H66" s="430">
        <f t="shared" ref="H66:J66" si="16">SUM(H67:H79)</f>
        <v>173</v>
      </c>
      <c r="I66" s="430">
        <f>SUM(I67:I79)</f>
        <v>207</v>
      </c>
      <c r="J66" s="430">
        <f t="shared" si="16"/>
        <v>2</v>
      </c>
      <c r="K66" s="930" t="s">
        <v>301</v>
      </c>
    </row>
    <row r="67" spans="1:11" s="934" customFormat="1" ht="15.75" x14ac:dyDescent="0.2">
      <c r="A67" s="931" t="s">
        <v>430</v>
      </c>
      <c r="B67" s="379">
        <f t="shared" ref="B67:B79" si="17">SUM(C67:J67)</f>
        <v>679</v>
      </c>
      <c r="C67" s="932">
        <v>648</v>
      </c>
      <c r="D67" s="432">
        <v>6</v>
      </c>
      <c r="E67" s="432">
        <v>12</v>
      </c>
      <c r="F67" s="432">
        <v>0</v>
      </c>
      <c r="G67" s="432">
        <v>0</v>
      </c>
      <c r="H67" s="432">
        <v>1</v>
      </c>
      <c r="I67" s="432">
        <v>12</v>
      </c>
      <c r="J67" s="432">
        <v>0</v>
      </c>
      <c r="K67" s="933" t="s">
        <v>431</v>
      </c>
    </row>
    <row r="68" spans="1:11" s="934" customFormat="1" ht="15.75" x14ac:dyDescent="0.2">
      <c r="A68" s="931" t="s">
        <v>432</v>
      </c>
      <c r="B68" s="379">
        <f t="shared" si="17"/>
        <v>1715</v>
      </c>
      <c r="C68" s="932">
        <v>1644</v>
      </c>
      <c r="D68" s="432">
        <v>13</v>
      </c>
      <c r="E68" s="432">
        <v>24</v>
      </c>
      <c r="F68" s="432">
        <v>0</v>
      </c>
      <c r="G68" s="432">
        <v>0</v>
      </c>
      <c r="H68" s="432">
        <v>10</v>
      </c>
      <c r="I68" s="432">
        <v>22</v>
      </c>
      <c r="J68" s="432">
        <v>2</v>
      </c>
      <c r="K68" s="933" t="s">
        <v>433</v>
      </c>
    </row>
    <row r="69" spans="1:11" s="934" customFormat="1" ht="15.75" x14ac:dyDescent="0.2">
      <c r="A69" s="931" t="s">
        <v>434</v>
      </c>
      <c r="B69" s="379">
        <f t="shared" si="17"/>
        <v>889</v>
      </c>
      <c r="C69" s="932">
        <v>831</v>
      </c>
      <c r="D69" s="432">
        <v>6</v>
      </c>
      <c r="E69" s="432">
        <v>14</v>
      </c>
      <c r="F69" s="432">
        <v>0</v>
      </c>
      <c r="G69" s="432">
        <v>0</v>
      </c>
      <c r="H69" s="432">
        <v>21</v>
      </c>
      <c r="I69" s="432">
        <v>17</v>
      </c>
      <c r="J69" s="432">
        <v>0</v>
      </c>
      <c r="K69" s="933" t="s">
        <v>435</v>
      </c>
    </row>
    <row r="70" spans="1:11" s="934" customFormat="1" ht="15.75" x14ac:dyDescent="0.2">
      <c r="A70" s="931" t="s">
        <v>436</v>
      </c>
      <c r="B70" s="379">
        <f t="shared" si="17"/>
        <v>773</v>
      </c>
      <c r="C70" s="932">
        <v>743</v>
      </c>
      <c r="D70" s="432">
        <v>2</v>
      </c>
      <c r="E70" s="432">
        <v>7</v>
      </c>
      <c r="F70" s="432">
        <v>0</v>
      </c>
      <c r="G70" s="432">
        <v>0</v>
      </c>
      <c r="H70" s="432">
        <v>12</v>
      </c>
      <c r="I70" s="432">
        <v>9</v>
      </c>
      <c r="J70" s="432">
        <v>0</v>
      </c>
      <c r="K70" s="933" t="s">
        <v>437</v>
      </c>
    </row>
    <row r="71" spans="1:11" s="934" customFormat="1" ht="15" customHeight="1" x14ac:dyDescent="0.2">
      <c r="A71" s="931" t="s">
        <v>438</v>
      </c>
      <c r="B71" s="379">
        <f t="shared" si="17"/>
        <v>1032</v>
      </c>
      <c r="C71" s="932">
        <v>983</v>
      </c>
      <c r="D71" s="432">
        <v>8</v>
      </c>
      <c r="E71" s="432">
        <v>16</v>
      </c>
      <c r="F71" s="432">
        <v>1</v>
      </c>
      <c r="G71" s="432">
        <v>1</v>
      </c>
      <c r="H71" s="432">
        <v>10</v>
      </c>
      <c r="I71" s="432">
        <v>13</v>
      </c>
      <c r="J71" s="432">
        <v>0</v>
      </c>
      <c r="K71" s="933" t="s">
        <v>439</v>
      </c>
    </row>
    <row r="72" spans="1:11" s="934" customFormat="1" ht="15.75" x14ac:dyDescent="0.2">
      <c r="A72" s="931" t="s">
        <v>440</v>
      </c>
      <c r="B72" s="379">
        <f t="shared" si="17"/>
        <v>1137</v>
      </c>
      <c r="C72" s="932">
        <v>1065</v>
      </c>
      <c r="D72" s="432">
        <v>15</v>
      </c>
      <c r="E72" s="432">
        <v>26</v>
      </c>
      <c r="F72" s="432">
        <v>0</v>
      </c>
      <c r="G72" s="432">
        <v>0</v>
      </c>
      <c r="H72" s="432">
        <v>18</v>
      </c>
      <c r="I72" s="432">
        <v>13</v>
      </c>
      <c r="J72" s="432">
        <v>0</v>
      </c>
      <c r="K72" s="933" t="s">
        <v>441</v>
      </c>
    </row>
    <row r="73" spans="1:11" s="934" customFormat="1" ht="15.75" x14ac:dyDescent="0.2">
      <c r="A73" s="931" t="s">
        <v>442</v>
      </c>
      <c r="B73" s="379">
        <f t="shared" si="17"/>
        <v>903</v>
      </c>
      <c r="C73" s="932">
        <v>859</v>
      </c>
      <c r="D73" s="432">
        <v>10</v>
      </c>
      <c r="E73" s="432">
        <v>20</v>
      </c>
      <c r="F73" s="432">
        <v>0</v>
      </c>
      <c r="G73" s="432">
        <v>0</v>
      </c>
      <c r="H73" s="432">
        <v>9</v>
      </c>
      <c r="I73" s="432">
        <v>5</v>
      </c>
      <c r="J73" s="432">
        <v>0</v>
      </c>
      <c r="K73" s="933" t="s">
        <v>443</v>
      </c>
    </row>
    <row r="74" spans="1:11" s="934" customFormat="1" ht="15.75" x14ac:dyDescent="0.2">
      <c r="A74" s="931" t="s">
        <v>444</v>
      </c>
      <c r="B74" s="379">
        <f t="shared" si="17"/>
        <v>1388</v>
      </c>
      <c r="C74" s="932">
        <v>1320</v>
      </c>
      <c r="D74" s="432">
        <v>10</v>
      </c>
      <c r="E74" s="432">
        <v>18</v>
      </c>
      <c r="F74" s="432">
        <v>0</v>
      </c>
      <c r="G74" s="432">
        <v>0</v>
      </c>
      <c r="H74" s="432">
        <v>16</v>
      </c>
      <c r="I74" s="432">
        <v>24</v>
      </c>
      <c r="J74" s="432">
        <v>0</v>
      </c>
      <c r="K74" s="933" t="s">
        <v>445</v>
      </c>
    </row>
    <row r="75" spans="1:11" s="934" customFormat="1" ht="15.75" x14ac:dyDescent="0.2">
      <c r="A75" s="931" t="s">
        <v>446</v>
      </c>
      <c r="B75" s="379">
        <f t="shared" si="17"/>
        <v>423</v>
      </c>
      <c r="C75" s="932">
        <v>403</v>
      </c>
      <c r="D75" s="432">
        <v>1</v>
      </c>
      <c r="E75" s="432">
        <v>2</v>
      </c>
      <c r="F75" s="432">
        <v>0</v>
      </c>
      <c r="G75" s="432">
        <v>0</v>
      </c>
      <c r="H75" s="432">
        <v>14</v>
      </c>
      <c r="I75" s="432">
        <v>3</v>
      </c>
      <c r="J75" s="432">
        <v>0</v>
      </c>
      <c r="K75" s="933" t="s">
        <v>447</v>
      </c>
    </row>
    <row r="76" spans="1:11" s="934" customFormat="1" ht="15.75" x14ac:dyDescent="0.2">
      <c r="A76" s="931" t="s">
        <v>448</v>
      </c>
      <c r="B76" s="379">
        <f t="shared" si="17"/>
        <v>1836</v>
      </c>
      <c r="C76" s="932">
        <v>1753</v>
      </c>
      <c r="D76" s="432">
        <v>16</v>
      </c>
      <c r="E76" s="432">
        <v>28</v>
      </c>
      <c r="F76" s="432">
        <v>2</v>
      </c>
      <c r="G76" s="432">
        <v>3</v>
      </c>
      <c r="H76" s="432">
        <v>6</v>
      </c>
      <c r="I76" s="432">
        <v>28</v>
      </c>
      <c r="J76" s="432">
        <v>0</v>
      </c>
      <c r="K76" s="933" t="s">
        <v>449</v>
      </c>
    </row>
    <row r="77" spans="1:11" s="934" customFormat="1" ht="15.75" x14ac:dyDescent="0.2">
      <c r="A77" s="931" t="s">
        <v>450</v>
      </c>
      <c r="B77" s="379">
        <f t="shared" si="17"/>
        <v>2099</v>
      </c>
      <c r="C77" s="932">
        <v>2028</v>
      </c>
      <c r="D77" s="432">
        <v>8</v>
      </c>
      <c r="E77" s="432">
        <v>16</v>
      </c>
      <c r="F77" s="432">
        <v>0</v>
      </c>
      <c r="G77" s="432">
        <v>0</v>
      </c>
      <c r="H77" s="432">
        <v>25</v>
      </c>
      <c r="I77" s="432">
        <v>22</v>
      </c>
      <c r="J77" s="432">
        <v>0</v>
      </c>
      <c r="K77" s="933" t="s">
        <v>451</v>
      </c>
    </row>
    <row r="78" spans="1:11" s="934" customFormat="1" ht="15.75" x14ac:dyDescent="0.2">
      <c r="A78" s="936" t="s">
        <v>452</v>
      </c>
      <c r="B78" s="379">
        <f t="shared" si="17"/>
        <v>462</v>
      </c>
      <c r="C78" s="932">
        <v>448</v>
      </c>
      <c r="D78" s="432">
        <v>3</v>
      </c>
      <c r="E78" s="432">
        <v>4</v>
      </c>
      <c r="F78" s="432">
        <v>0</v>
      </c>
      <c r="G78" s="432">
        <v>0</v>
      </c>
      <c r="H78" s="432">
        <v>5</v>
      </c>
      <c r="I78" s="432">
        <v>2</v>
      </c>
      <c r="J78" s="432">
        <v>0</v>
      </c>
      <c r="K78" s="933" t="s">
        <v>453</v>
      </c>
    </row>
    <row r="79" spans="1:11" s="945" customFormat="1" ht="15.75" x14ac:dyDescent="0.2">
      <c r="A79" s="936" t="s">
        <v>454</v>
      </c>
      <c r="B79" s="379">
        <f t="shared" si="17"/>
        <v>2503</v>
      </c>
      <c r="C79" s="932">
        <v>2378</v>
      </c>
      <c r="D79" s="432">
        <v>21</v>
      </c>
      <c r="E79" s="432">
        <v>33</v>
      </c>
      <c r="F79" s="432">
        <v>3</v>
      </c>
      <c r="G79" s="432">
        <v>5</v>
      </c>
      <c r="H79" s="432">
        <v>26</v>
      </c>
      <c r="I79" s="432">
        <v>37</v>
      </c>
      <c r="J79" s="432">
        <v>0</v>
      </c>
      <c r="K79" s="933" t="s">
        <v>455</v>
      </c>
    </row>
    <row r="80" spans="1:11" s="945" customFormat="1" ht="15.75" x14ac:dyDescent="0.2">
      <c r="A80" s="936" t="s">
        <v>456</v>
      </c>
      <c r="B80" s="379">
        <f t="shared" si="14"/>
        <v>6</v>
      </c>
      <c r="C80" s="504">
        <v>0</v>
      </c>
      <c r="D80" s="432">
        <v>0</v>
      </c>
      <c r="E80" s="432">
        <v>0</v>
      </c>
      <c r="F80" s="432">
        <v>0</v>
      </c>
      <c r="G80" s="432">
        <v>0</v>
      </c>
      <c r="H80" s="432">
        <v>6</v>
      </c>
      <c r="I80" s="432">
        <v>0</v>
      </c>
      <c r="J80" s="432">
        <v>0</v>
      </c>
      <c r="K80" s="933"/>
    </row>
    <row r="81" spans="1:11" s="934" customFormat="1" ht="12.75" x14ac:dyDescent="0.2">
      <c r="A81" s="936"/>
      <c r="B81" s="943"/>
      <c r="C81" s="504"/>
      <c r="D81" s="432"/>
      <c r="E81" s="432"/>
      <c r="F81" s="432"/>
      <c r="G81" s="432"/>
      <c r="H81" s="432"/>
      <c r="I81" s="432"/>
      <c r="J81" s="927"/>
    </row>
    <row r="82" spans="1:11" s="934" customFormat="1" ht="15.75" x14ac:dyDescent="0.2">
      <c r="A82" s="433" t="s">
        <v>302</v>
      </c>
      <c r="B82" s="379">
        <f t="shared" ref="B82" si="18">SUM(C82:J82)</f>
        <v>22593</v>
      </c>
      <c r="C82" s="378">
        <f>SUM(C83:C98)</f>
        <v>21478</v>
      </c>
      <c r="D82" s="430">
        <f t="shared" ref="D82:J82" si="19">SUM(D83:D98)</f>
        <v>126</v>
      </c>
      <c r="E82" s="430">
        <f t="shared" si="19"/>
        <v>235</v>
      </c>
      <c r="F82" s="430">
        <f t="shared" si="19"/>
        <v>7</v>
      </c>
      <c r="G82" s="430">
        <f t="shared" si="19"/>
        <v>9</v>
      </c>
      <c r="H82" s="430">
        <f t="shared" si="19"/>
        <v>358</v>
      </c>
      <c r="I82" s="430">
        <f>SUM(I83:I98)</f>
        <v>369</v>
      </c>
      <c r="J82" s="430">
        <f t="shared" si="19"/>
        <v>11</v>
      </c>
      <c r="K82" s="930" t="s">
        <v>303</v>
      </c>
    </row>
    <row r="83" spans="1:11" s="934" customFormat="1" ht="15.75" x14ac:dyDescent="0.2">
      <c r="A83" s="931" t="s">
        <v>457</v>
      </c>
      <c r="B83" s="379">
        <f t="shared" ref="B83:B98" si="20">SUM(C83:J83)</f>
        <v>2679</v>
      </c>
      <c r="C83" s="932">
        <v>2551</v>
      </c>
      <c r="D83" s="432">
        <v>15</v>
      </c>
      <c r="E83" s="432">
        <v>31</v>
      </c>
      <c r="F83" s="432">
        <v>1</v>
      </c>
      <c r="G83" s="432">
        <v>1</v>
      </c>
      <c r="H83" s="432">
        <v>41</v>
      </c>
      <c r="I83" s="432">
        <v>39</v>
      </c>
      <c r="J83" s="432">
        <v>0</v>
      </c>
      <c r="K83" s="933" t="s">
        <v>458</v>
      </c>
    </row>
    <row r="84" spans="1:11" s="934" customFormat="1" ht="15.75" x14ac:dyDescent="0.2">
      <c r="A84" s="931" t="s">
        <v>459</v>
      </c>
      <c r="B84" s="379">
        <f t="shared" si="20"/>
        <v>576</v>
      </c>
      <c r="C84" s="932">
        <v>566</v>
      </c>
      <c r="D84" s="432">
        <v>1</v>
      </c>
      <c r="E84" s="432">
        <v>1</v>
      </c>
      <c r="F84" s="432">
        <v>0</v>
      </c>
      <c r="G84" s="432">
        <v>0</v>
      </c>
      <c r="H84" s="432">
        <v>2</v>
      </c>
      <c r="I84" s="432">
        <v>6</v>
      </c>
      <c r="J84" s="432">
        <v>0</v>
      </c>
      <c r="K84" s="933" t="s">
        <v>460</v>
      </c>
    </row>
    <row r="85" spans="1:11" s="934" customFormat="1" ht="15.75" x14ac:dyDescent="0.2">
      <c r="A85" s="931" t="s">
        <v>461</v>
      </c>
      <c r="B85" s="379">
        <f t="shared" si="20"/>
        <v>899</v>
      </c>
      <c r="C85" s="932">
        <v>866</v>
      </c>
      <c r="D85" s="432">
        <v>4</v>
      </c>
      <c r="E85" s="432">
        <v>11</v>
      </c>
      <c r="F85" s="432">
        <v>0</v>
      </c>
      <c r="G85" s="432">
        <v>0</v>
      </c>
      <c r="H85" s="432">
        <v>7</v>
      </c>
      <c r="I85" s="432">
        <v>11</v>
      </c>
      <c r="J85" s="432">
        <v>0</v>
      </c>
      <c r="K85" s="933" t="s">
        <v>462</v>
      </c>
    </row>
    <row r="86" spans="1:11" s="934" customFormat="1" ht="15.75" x14ac:dyDescent="0.2">
      <c r="A86" s="931" t="s">
        <v>463</v>
      </c>
      <c r="B86" s="379">
        <f t="shared" si="20"/>
        <v>523</v>
      </c>
      <c r="C86" s="932">
        <v>477</v>
      </c>
      <c r="D86" s="432">
        <v>5</v>
      </c>
      <c r="E86" s="432">
        <v>7</v>
      </c>
      <c r="F86" s="432">
        <v>0</v>
      </c>
      <c r="G86" s="432">
        <v>0</v>
      </c>
      <c r="H86" s="432">
        <v>23</v>
      </c>
      <c r="I86" s="432">
        <v>11</v>
      </c>
      <c r="J86" s="432">
        <v>0</v>
      </c>
      <c r="K86" s="933" t="s">
        <v>464</v>
      </c>
    </row>
    <row r="87" spans="1:11" s="934" customFormat="1" ht="15.75" x14ac:dyDescent="0.2">
      <c r="A87" s="931" t="s">
        <v>465</v>
      </c>
      <c r="B87" s="379">
        <f t="shared" si="20"/>
        <v>1680</v>
      </c>
      <c r="C87" s="932">
        <v>1566</v>
      </c>
      <c r="D87" s="432">
        <v>11</v>
      </c>
      <c r="E87" s="432">
        <v>23</v>
      </c>
      <c r="F87" s="432">
        <v>1</v>
      </c>
      <c r="G87" s="432">
        <v>1</v>
      </c>
      <c r="H87" s="432">
        <v>32</v>
      </c>
      <c r="I87" s="432">
        <v>46</v>
      </c>
      <c r="J87" s="432">
        <v>0</v>
      </c>
      <c r="K87" s="933" t="s">
        <v>466</v>
      </c>
    </row>
    <row r="88" spans="1:11" s="934" customFormat="1" ht="15.75" x14ac:dyDescent="0.2">
      <c r="A88" s="931" t="s">
        <v>881</v>
      </c>
      <c r="B88" s="379">
        <f t="shared" si="20"/>
        <v>4300</v>
      </c>
      <c r="C88" s="932">
        <v>4258</v>
      </c>
      <c r="D88" s="940">
        <v>0</v>
      </c>
      <c r="E88" s="940">
        <v>0</v>
      </c>
      <c r="F88" s="432">
        <v>0</v>
      </c>
      <c r="G88" s="432">
        <v>0</v>
      </c>
      <c r="H88" s="432">
        <v>38</v>
      </c>
      <c r="I88" s="432">
        <v>4</v>
      </c>
      <c r="J88" s="432">
        <v>0</v>
      </c>
      <c r="K88" s="944" t="s">
        <v>882</v>
      </c>
    </row>
    <row r="89" spans="1:11" s="934" customFormat="1" ht="15.75" x14ac:dyDescent="0.2">
      <c r="A89" s="931" t="s">
        <v>877</v>
      </c>
      <c r="B89" s="379">
        <f t="shared" si="20"/>
        <v>146</v>
      </c>
      <c r="C89" s="932">
        <v>0</v>
      </c>
      <c r="D89" s="432">
        <v>25</v>
      </c>
      <c r="E89" s="432">
        <v>52</v>
      </c>
      <c r="F89" s="432">
        <v>0</v>
      </c>
      <c r="G89" s="432">
        <v>0</v>
      </c>
      <c r="H89" s="432">
        <v>9</v>
      </c>
      <c r="I89" s="432">
        <v>58</v>
      </c>
      <c r="J89" s="432">
        <v>2</v>
      </c>
      <c r="K89" s="933" t="s">
        <v>467</v>
      </c>
    </row>
    <row r="90" spans="1:11" s="934" customFormat="1" ht="15.75" x14ac:dyDescent="0.2">
      <c r="A90" s="931" t="s">
        <v>468</v>
      </c>
      <c r="B90" s="379">
        <f t="shared" si="20"/>
        <v>1195</v>
      </c>
      <c r="C90" s="932">
        <v>1152</v>
      </c>
      <c r="D90" s="432">
        <v>10</v>
      </c>
      <c r="E90" s="432">
        <v>16</v>
      </c>
      <c r="F90" s="432">
        <v>1</v>
      </c>
      <c r="G90" s="432">
        <v>3</v>
      </c>
      <c r="H90" s="432">
        <v>4</v>
      </c>
      <c r="I90" s="432">
        <v>9</v>
      </c>
      <c r="J90" s="432">
        <v>0</v>
      </c>
      <c r="K90" s="933" t="s">
        <v>469</v>
      </c>
    </row>
    <row r="91" spans="1:11" s="934" customFormat="1" ht="15.75" x14ac:dyDescent="0.2">
      <c r="A91" s="931" t="s">
        <v>470</v>
      </c>
      <c r="B91" s="379">
        <f t="shared" si="20"/>
        <v>860</v>
      </c>
      <c r="C91" s="932">
        <v>810</v>
      </c>
      <c r="D91" s="432">
        <v>4</v>
      </c>
      <c r="E91" s="432">
        <v>8</v>
      </c>
      <c r="F91" s="432">
        <v>0</v>
      </c>
      <c r="G91" s="432">
        <v>0</v>
      </c>
      <c r="H91" s="432">
        <v>26</v>
      </c>
      <c r="I91" s="432">
        <v>12</v>
      </c>
      <c r="J91" s="432">
        <v>0</v>
      </c>
      <c r="K91" s="933" t="s">
        <v>471</v>
      </c>
    </row>
    <row r="92" spans="1:11" s="934" customFormat="1" ht="15.75" x14ac:dyDescent="0.2">
      <c r="A92" s="931" t="s">
        <v>472</v>
      </c>
      <c r="B92" s="379">
        <f t="shared" si="20"/>
        <v>902</v>
      </c>
      <c r="C92" s="932">
        <v>833</v>
      </c>
      <c r="D92" s="432">
        <v>6</v>
      </c>
      <c r="E92" s="432">
        <v>9</v>
      </c>
      <c r="F92" s="432">
        <v>1</v>
      </c>
      <c r="G92" s="432">
        <v>1</v>
      </c>
      <c r="H92" s="432">
        <v>39</v>
      </c>
      <c r="I92" s="432">
        <v>13</v>
      </c>
      <c r="J92" s="432">
        <v>0</v>
      </c>
      <c r="K92" s="933" t="s">
        <v>473</v>
      </c>
    </row>
    <row r="93" spans="1:11" s="934" customFormat="1" ht="15.75" x14ac:dyDescent="0.2">
      <c r="A93" s="931" t="s">
        <v>474</v>
      </c>
      <c r="B93" s="379">
        <f t="shared" si="20"/>
        <v>2331</v>
      </c>
      <c r="C93" s="932">
        <v>2244</v>
      </c>
      <c r="D93" s="432">
        <v>10</v>
      </c>
      <c r="E93" s="432">
        <v>12</v>
      </c>
      <c r="F93" s="432">
        <v>2</v>
      </c>
      <c r="G93" s="432">
        <v>2</v>
      </c>
      <c r="H93" s="432">
        <v>27</v>
      </c>
      <c r="I93" s="432">
        <v>34</v>
      </c>
      <c r="J93" s="432">
        <v>0</v>
      </c>
      <c r="K93" s="933" t="s">
        <v>475</v>
      </c>
    </row>
    <row r="94" spans="1:11" s="934" customFormat="1" ht="15.75" x14ac:dyDescent="0.2">
      <c r="A94" s="931" t="s">
        <v>476</v>
      </c>
      <c r="B94" s="379">
        <f t="shared" si="20"/>
        <v>1937</v>
      </c>
      <c r="C94" s="932">
        <v>1841</v>
      </c>
      <c r="D94" s="432">
        <v>5</v>
      </c>
      <c r="E94" s="432">
        <v>6</v>
      </c>
      <c r="F94" s="432">
        <v>0</v>
      </c>
      <c r="G94" s="432">
        <v>0</v>
      </c>
      <c r="H94" s="432">
        <v>31</v>
      </c>
      <c r="I94" s="432">
        <v>54</v>
      </c>
      <c r="J94" s="432">
        <v>0</v>
      </c>
      <c r="K94" s="933" t="s">
        <v>477</v>
      </c>
    </row>
    <row r="95" spans="1:11" s="934" customFormat="1" ht="15.75" x14ac:dyDescent="0.2">
      <c r="A95" s="931" t="s">
        <v>478</v>
      </c>
      <c r="B95" s="379">
        <f t="shared" si="20"/>
        <v>425</v>
      </c>
      <c r="C95" s="932">
        <v>415</v>
      </c>
      <c r="D95" s="432">
        <v>1</v>
      </c>
      <c r="E95" s="432">
        <v>1</v>
      </c>
      <c r="F95" s="432">
        <v>0</v>
      </c>
      <c r="G95" s="432">
        <v>0</v>
      </c>
      <c r="H95" s="432">
        <v>5</v>
      </c>
      <c r="I95" s="432">
        <v>3</v>
      </c>
      <c r="J95" s="432">
        <v>0</v>
      </c>
      <c r="K95" s="933" t="s">
        <v>479</v>
      </c>
    </row>
    <row r="96" spans="1:11" s="934" customFormat="1" ht="15.75" x14ac:dyDescent="0.2">
      <c r="A96" s="931" t="s">
        <v>480</v>
      </c>
      <c r="B96" s="379">
        <f t="shared" si="20"/>
        <v>2040</v>
      </c>
      <c r="C96" s="932">
        <v>1922</v>
      </c>
      <c r="D96" s="432">
        <v>8</v>
      </c>
      <c r="E96" s="432">
        <v>17</v>
      </c>
      <c r="F96" s="432">
        <v>1</v>
      </c>
      <c r="G96" s="432">
        <v>1</v>
      </c>
      <c r="H96" s="432">
        <v>56</v>
      </c>
      <c r="I96" s="432">
        <v>32</v>
      </c>
      <c r="J96" s="432">
        <v>3</v>
      </c>
      <c r="K96" s="933" t="s">
        <v>481</v>
      </c>
    </row>
    <row r="97" spans="1:11" s="934" customFormat="1" ht="15.75" x14ac:dyDescent="0.2">
      <c r="A97" s="931" t="s">
        <v>482</v>
      </c>
      <c r="B97" s="379">
        <f t="shared" si="20"/>
        <v>615</v>
      </c>
      <c r="C97" s="932">
        <v>580</v>
      </c>
      <c r="D97" s="432">
        <v>3</v>
      </c>
      <c r="E97" s="432">
        <v>8</v>
      </c>
      <c r="F97" s="432">
        <v>0</v>
      </c>
      <c r="G97" s="432">
        <v>0</v>
      </c>
      <c r="H97" s="432">
        <v>14</v>
      </c>
      <c r="I97" s="432">
        <v>10</v>
      </c>
      <c r="J97" s="432">
        <v>0</v>
      </c>
      <c r="K97" s="933" t="s">
        <v>483</v>
      </c>
    </row>
    <row r="98" spans="1:11" s="934" customFormat="1" ht="15.75" x14ac:dyDescent="0.2">
      <c r="A98" s="931" t="s">
        <v>484</v>
      </c>
      <c r="B98" s="379">
        <f t="shared" si="20"/>
        <v>1485</v>
      </c>
      <c r="C98" s="932">
        <v>1397</v>
      </c>
      <c r="D98" s="432">
        <v>18</v>
      </c>
      <c r="E98" s="432">
        <v>33</v>
      </c>
      <c r="F98" s="432">
        <v>0</v>
      </c>
      <c r="G98" s="432">
        <v>0</v>
      </c>
      <c r="H98" s="432">
        <v>4</v>
      </c>
      <c r="I98" s="432">
        <v>27</v>
      </c>
      <c r="J98" s="432">
        <v>6</v>
      </c>
      <c r="K98" s="933" t="s">
        <v>485</v>
      </c>
    </row>
    <row r="99" spans="1:11" s="934" customFormat="1" ht="15.75" x14ac:dyDescent="0.2">
      <c r="A99" s="931" t="s">
        <v>486</v>
      </c>
      <c r="B99" s="379"/>
      <c r="C99" s="504"/>
      <c r="D99" s="432"/>
      <c r="E99" s="432"/>
      <c r="F99" s="432"/>
      <c r="G99" s="432"/>
      <c r="H99" s="432">
        <v>1</v>
      </c>
      <c r="I99" s="432"/>
      <c r="J99" s="432"/>
      <c r="K99" s="933"/>
    </row>
    <row r="100" spans="1:11" s="934" customFormat="1" ht="12.75" x14ac:dyDescent="0.2">
      <c r="A100" s="936"/>
      <c r="B100" s="943"/>
      <c r="C100" s="504"/>
      <c r="D100" s="432"/>
      <c r="E100" s="432"/>
      <c r="F100" s="432"/>
      <c r="G100" s="432"/>
      <c r="H100" s="432"/>
      <c r="I100" s="432"/>
      <c r="J100" s="927"/>
    </row>
    <row r="101" spans="1:11" s="934" customFormat="1" ht="15.75" x14ac:dyDescent="0.2">
      <c r="A101" s="433" t="s">
        <v>304</v>
      </c>
      <c r="B101" s="379">
        <f t="shared" ref="B101" si="21">SUM(C101:J101)</f>
        <v>14039</v>
      </c>
      <c r="C101" s="378">
        <f>SUM(C102:C114)</f>
        <v>13407</v>
      </c>
      <c r="D101" s="430">
        <f t="shared" ref="D101:J101" si="22">SUM(D102:D114)</f>
        <v>64</v>
      </c>
      <c r="E101" s="430">
        <f t="shared" si="22"/>
        <v>104</v>
      </c>
      <c r="F101" s="430">
        <f t="shared" si="22"/>
        <v>2</v>
      </c>
      <c r="G101" s="430">
        <f t="shared" si="22"/>
        <v>2</v>
      </c>
      <c r="H101" s="430">
        <f t="shared" si="22"/>
        <v>229</v>
      </c>
      <c r="I101" s="430">
        <f>SUM(I102:I114)</f>
        <v>219</v>
      </c>
      <c r="J101" s="430">
        <f t="shared" si="22"/>
        <v>12</v>
      </c>
      <c r="K101" s="930" t="s">
        <v>725</v>
      </c>
    </row>
    <row r="102" spans="1:11" s="934" customFormat="1" ht="15.75" x14ac:dyDescent="0.2">
      <c r="A102" s="936" t="s">
        <v>487</v>
      </c>
      <c r="B102" s="379">
        <f t="shared" ref="B102:B114" si="23">SUM(C102:J102)</f>
        <v>627</v>
      </c>
      <c r="C102" s="932">
        <v>614</v>
      </c>
      <c r="D102" s="432">
        <v>0</v>
      </c>
      <c r="E102" s="432">
        <v>0</v>
      </c>
      <c r="F102" s="432">
        <v>0</v>
      </c>
      <c r="G102" s="432">
        <v>0</v>
      </c>
      <c r="H102" s="432">
        <v>8</v>
      </c>
      <c r="I102" s="432">
        <v>5</v>
      </c>
      <c r="J102" s="432">
        <v>0</v>
      </c>
      <c r="K102" s="933" t="s">
        <v>488</v>
      </c>
    </row>
    <row r="103" spans="1:11" s="934" customFormat="1" ht="15.75" x14ac:dyDescent="0.2">
      <c r="A103" s="936" t="s">
        <v>489</v>
      </c>
      <c r="B103" s="379">
        <f t="shared" si="23"/>
        <v>525</v>
      </c>
      <c r="C103" s="932">
        <v>494</v>
      </c>
      <c r="D103" s="432">
        <v>7</v>
      </c>
      <c r="E103" s="432">
        <v>11</v>
      </c>
      <c r="F103" s="432">
        <v>0</v>
      </c>
      <c r="G103" s="432">
        <v>0</v>
      </c>
      <c r="H103" s="432">
        <v>8</v>
      </c>
      <c r="I103" s="432">
        <v>5</v>
      </c>
      <c r="J103" s="432">
        <v>0</v>
      </c>
      <c r="K103" s="933" t="s">
        <v>490</v>
      </c>
    </row>
    <row r="104" spans="1:11" s="934" customFormat="1" ht="15.75" x14ac:dyDescent="0.2">
      <c r="A104" s="936" t="s">
        <v>491</v>
      </c>
      <c r="B104" s="379">
        <f t="shared" si="23"/>
        <v>1255</v>
      </c>
      <c r="C104" s="932">
        <v>1196</v>
      </c>
      <c r="D104" s="432">
        <v>5</v>
      </c>
      <c r="E104" s="432">
        <v>10</v>
      </c>
      <c r="F104" s="432">
        <v>0</v>
      </c>
      <c r="G104" s="432">
        <v>0</v>
      </c>
      <c r="H104" s="432">
        <v>19</v>
      </c>
      <c r="I104" s="432">
        <v>25</v>
      </c>
      <c r="J104" s="432">
        <v>0</v>
      </c>
      <c r="K104" s="933" t="s">
        <v>492</v>
      </c>
    </row>
    <row r="105" spans="1:11" s="934" customFormat="1" ht="15.75" x14ac:dyDescent="0.2">
      <c r="A105" s="936" t="s">
        <v>493</v>
      </c>
      <c r="B105" s="379">
        <f t="shared" si="23"/>
        <v>507</v>
      </c>
      <c r="C105" s="932">
        <v>460</v>
      </c>
      <c r="D105" s="432">
        <v>4</v>
      </c>
      <c r="E105" s="432">
        <v>7</v>
      </c>
      <c r="F105" s="432">
        <v>0</v>
      </c>
      <c r="G105" s="432">
        <v>0</v>
      </c>
      <c r="H105" s="432">
        <v>27</v>
      </c>
      <c r="I105" s="432">
        <v>9</v>
      </c>
      <c r="J105" s="432">
        <v>0</v>
      </c>
      <c r="K105" s="933" t="s">
        <v>494</v>
      </c>
    </row>
    <row r="106" spans="1:11" s="934" customFormat="1" ht="15.75" x14ac:dyDescent="0.2">
      <c r="A106" s="936" t="s">
        <v>495</v>
      </c>
      <c r="B106" s="379">
        <f t="shared" si="23"/>
        <v>521</v>
      </c>
      <c r="C106" s="932">
        <v>488</v>
      </c>
      <c r="D106" s="432">
        <v>0</v>
      </c>
      <c r="E106" s="432">
        <v>0</v>
      </c>
      <c r="F106" s="432">
        <v>0</v>
      </c>
      <c r="G106" s="432">
        <v>0</v>
      </c>
      <c r="H106" s="432">
        <v>17</v>
      </c>
      <c r="I106" s="432">
        <v>10</v>
      </c>
      <c r="J106" s="432">
        <v>6</v>
      </c>
      <c r="K106" s="933" t="s">
        <v>496</v>
      </c>
    </row>
    <row r="107" spans="1:11" s="934" customFormat="1" ht="15.75" x14ac:dyDescent="0.2">
      <c r="A107" s="936" t="s">
        <v>497</v>
      </c>
      <c r="B107" s="379">
        <f t="shared" si="23"/>
        <v>1138</v>
      </c>
      <c r="C107" s="932">
        <v>1070</v>
      </c>
      <c r="D107" s="432">
        <v>7</v>
      </c>
      <c r="E107" s="432">
        <v>11</v>
      </c>
      <c r="F107" s="432">
        <v>0</v>
      </c>
      <c r="G107" s="432">
        <v>0</v>
      </c>
      <c r="H107" s="432">
        <v>22</v>
      </c>
      <c r="I107" s="432">
        <v>22</v>
      </c>
      <c r="J107" s="432">
        <v>6</v>
      </c>
      <c r="K107" s="933" t="s">
        <v>498</v>
      </c>
    </row>
    <row r="108" spans="1:11" s="934" customFormat="1" ht="15.75" x14ac:dyDescent="0.2">
      <c r="A108" s="936" t="s">
        <v>499</v>
      </c>
      <c r="B108" s="379">
        <f t="shared" si="23"/>
        <v>684</v>
      </c>
      <c r="C108" s="932">
        <v>664</v>
      </c>
      <c r="D108" s="432">
        <v>2</v>
      </c>
      <c r="E108" s="432">
        <v>3</v>
      </c>
      <c r="F108" s="432">
        <v>0</v>
      </c>
      <c r="G108" s="432">
        <v>0</v>
      </c>
      <c r="H108" s="432">
        <v>8</v>
      </c>
      <c r="I108" s="432">
        <v>7</v>
      </c>
      <c r="J108" s="432">
        <v>0</v>
      </c>
      <c r="K108" s="933" t="s">
        <v>500</v>
      </c>
    </row>
    <row r="109" spans="1:11" s="934" customFormat="1" ht="15.75" x14ac:dyDescent="0.2">
      <c r="A109" s="936" t="s">
        <v>501</v>
      </c>
      <c r="B109" s="379">
        <f t="shared" si="23"/>
        <v>3140</v>
      </c>
      <c r="C109" s="932">
        <v>3009</v>
      </c>
      <c r="D109" s="432">
        <v>16</v>
      </c>
      <c r="E109" s="432">
        <v>24</v>
      </c>
      <c r="F109" s="432">
        <v>1</v>
      </c>
      <c r="G109" s="432">
        <v>1</v>
      </c>
      <c r="H109" s="432">
        <v>35</v>
      </c>
      <c r="I109" s="432">
        <v>54</v>
      </c>
      <c r="J109" s="432">
        <v>0</v>
      </c>
      <c r="K109" s="933" t="s">
        <v>502</v>
      </c>
    </row>
    <row r="110" spans="1:11" s="934" customFormat="1" ht="15.75" x14ac:dyDescent="0.2">
      <c r="A110" s="936" t="s">
        <v>503</v>
      </c>
      <c r="B110" s="379">
        <f t="shared" si="23"/>
        <v>2855</v>
      </c>
      <c r="C110" s="932">
        <v>2739</v>
      </c>
      <c r="D110" s="432">
        <v>9</v>
      </c>
      <c r="E110" s="432">
        <v>15</v>
      </c>
      <c r="F110" s="432">
        <v>1</v>
      </c>
      <c r="G110" s="432">
        <v>1</v>
      </c>
      <c r="H110" s="432">
        <v>39</v>
      </c>
      <c r="I110" s="432">
        <v>51</v>
      </c>
      <c r="J110" s="432">
        <v>0</v>
      </c>
      <c r="K110" s="933" t="s">
        <v>504</v>
      </c>
    </row>
    <row r="111" spans="1:11" s="934" customFormat="1" ht="15.75" x14ac:dyDescent="0.2">
      <c r="A111" s="936" t="s">
        <v>505</v>
      </c>
      <c r="B111" s="379">
        <f t="shared" si="23"/>
        <v>1384</v>
      </c>
      <c r="C111" s="932">
        <v>1309</v>
      </c>
      <c r="D111" s="432">
        <v>9</v>
      </c>
      <c r="E111" s="432">
        <v>16</v>
      </c>
      <c r="F111" s="432">
        <v>0</v>
      </c>
      <c r="G111" s="432">
        <v>0</v>
      </c>
      <c r="H111" s="432">
        <v>26</v>
      </c>
      <c r="I111" s="432">
        <v>24</v>
      </c>
      <c r="J111" s="432">
        <v>0</v>
      </c>
      <c r="K111" s="933" t="s">
        <v>506</v>
      </c>
    </row>
    <row r="112" spans="1:11" s="934" customFormat="1" ht="15.75" x14ac:dyDescent="0.2">
      <c r="A112" s="936" t="s">
        <v>507</v>
      </c>
      <c r="B112" s="379">
        <f t="shared" si="23"/>
        <v>345</v>
      </c>
      <c r="C112" s="932">
        <v>337</v>
      </c>
      <c r="D112" s="432">
        <v>1</v>
      </c>
      <c r="E112" s="432">
        <v>1</v>
      </c>
      <c r="F112" s="432">
        <v>0</v>
      </c>
      <c r="G112" s="432">
        <v>0</v>
      </c>
      <c r="H112" s="432">
        <v>4</v>
      </c>
      <c r="I112" s="432">
        <v>2</v>
      </c>
      <c r="J112" s="432">
        <v>0</v>
      </c>
      <c r="K112" s="933" t="s">
        <v>508</v>
      </c>
    </row>
    <row r="113" spans="1:13" s="934" customFormat="1" ht="15.75" x14ac:dyDescent="0.2">
      <c r="A113" s="936" t="s">
        <v>509</v>
      </c>
      <c r="B113" s="379">
        <f t="shared" si="23"/>
        <v>284</v>
      </c>
      <c r="C113" s="932">
        <v>273</v>
      </c>
      <c r="D113" s="432">
        <v>1</v>
      </c>
      <c r="E113" s="432">
        <v>1</v>
      </c>
      <c r="F113" s="432">
        <v>0</v>
      </c>
      <c r="G113" s="432">
        <v>0</v>
      </c>
      <c r="H113" s="432">
        <v>8</v>
      </c>
      <c r="I113" s="432">
        <v>1</v>
      </c>
      <c r="J113" s="432">
        <v>0</v>
      </c>
      <c r="K113" s="933" t="s">
        <v>510</v>
      </c>
    </row>
    <row r="114" spans="1:13" s="934" customFormat="1" ht="15.75" x14ac:dyDescent="0.2">
      <c r="A114" s="936" t="s">
        <v>406</v>
      </c>
      <c r="B114" s="379">
        <f t="shared" si="23"/>
        <v>774</v>
      </c>
      <c r="C114" s="932">
        <v>754</v>
      </c>
      <c r="D114" s="432">
        <v>3</v>
      </c>
      <c r="E114" s="432">
        <v>5</v>
      </c>
      <c r="F114" s="432">
        <v>0</v>
      </c>
      <c r="G114" s="432">
        <v>0</v>
      </c>
      <c r="H114" s="432">
        <v>8</v>
      </c>
      <c r="I114" s="432">
        <v>4</v>
      </c>
      <c r="J114" s="432">
        <v>0</v>
      </c>
      <c r="K114" s="933" t="s">
        <v>407</v>
      </c>
    </row>
    <row r="115" spans="1:13" s="945" customFormat="1" ht="12.75" x14ac:dyDescent="0.2">
      <c r="A115" s="936"/>
      <c r="B115" s="943"/>
      <c r="C115" s="504"/>
      <c r="D115" s="432"/>
      <c r="E115" s="432"/>
      <c r="F115" s="432"/>
      <c r="G115" s="432"/>
      <c r="H115" s="432"/>
      <c r="I115" s="432"/>
      <c r="J115" s="927"/>
    </row>
    <row r="116" spans="1:13" s="934" customFormat="1" ht="15.75" x14ac:dyDescent="0.2">
      <c r="A116" s="433" t="s">
        <v>306</v>
      </c>
      <c r="B116" s="379">
        <f t="shared" ref="B116" si="24">SUM(C116:J116)</f>
        <v>12658</v>
      </c>
      <c r="C116" s="378">
        <f>SUM(C117:C121)</f>
        <v>12008</v>
      </c>
      <c r="D116" s="430">
        <f t="shared" ref="D116:J116" si="25">SUM(D117:D121)</f>
        <v>99</v>
      </c>
      <c r="E116" s="430">
        <f t="shared" si="25"/>
        <v>139</v>
      </c>
      <c r="F116" s="430">
        <f t="shared" si="25"/>
        <v>4</v>
      </c>
      <c r="G116" s="430">
        <f t="shared" si="25"/>
        <v>4</v>
      </c>
      <c r="H116" s="430">
        <f t="shared" si="25"/>
        <v>158</v>
      </c>
      <c r="I116" s="430">
        <f>SUM(I117:I121)</f>
        <v>234</v>
      </c>
      <c r="J116" s="430">
        <f t="shared" si="25"/>
        <v>12</v>
      </c>
      <c r="K116" s="930" t="s">
        <v>307</v>
      </c>
    </row>
    <row r="117" spans="1:13" s="934" customFormat="1" ht="15.75" x14ac:dyDescent="0.2">
      <c r="A117" s="931" t="s">
        <v>511</v>
      </c>
      <c r="B117" s="379">
        <f>SUM(C117:J117)</f>
        <v>4634</v>
      </c>
      <c r="C117" s="932">
        <v>4402</v>
      </c>
      <c r="D117" s="432">
        <v>31</v>
      </c>
      <c r="E117" s="432">
        <v>43</v>
      </c>
      <c r="F117" s="432">
        <v>1</v>
      </c>
      <c r="G117" s="432">
        <v>1</v>
      </c>
      <c r="H117" s="432">
        <v>80</v>
      </c>
      <c r="I117" s="432">
        <v>72</v>
      </c>
      <c r="J117" s="432">
        <v>4</v>
      </c>
      <c r="K117" s="933" t="s">
        <v>512</v>
      </c>
    </row>
    <row r="118" spans="1:13" s="934" customFormat="1" ht="15.75" x14ac:dyDescent="0.2">
      <c r="A118" s="931" t="s">
        <v>513</v>
      </c>
      <c r="B118" s="379">
        <f>SUM(C118:J118)</f>
        <v>5386</v>
      </c>
      <c r="C118" s="932">
        <v>5074</v>
      </c>
      <c r="D118" s="432">
        <v>55</v>
      </c>
      <c r="E118" s="432">
        <v>80</v>
      </c>
      <c r="F118" s="432">
        <v>2</v>
      </c>
      <c r="G118" s="432">
        <v>2</v>
      </c>
      <c r="H118" s="432">
        <v>47</v>
      </c>
      <c r="I118" s="432">
        <v>118</v>
      </c>
      <c r="J118" s="432">
        <v>8</v>
      </c>
      <c r="K118" s="933" t="s">
        <v>514</v>
      </c>
    </row>
    <row r="119" spans="1:13" s="934" customFormat="1" ht="15.75" x14ac:dyDescent="0.2">
      <c r="A119" s="931" t="s">
        <v>515</v>
      </c>
      <c r="B119" s="379">
        <f>SUM(C119:J119)</f>
        <v>1922</v>
      </c>
      <c r="C119" s="932">
        <v>1848</v>
      </c>
      <c r="D119" s="432">
        <v>12</v>
      </c>
      <c r="E119" s="432">
        <v>15</v>
      </c>
      <c r="F119" s="432">
        <v>1</v>
      </c>
      <c r="G119" s="432">
        <v>1</v>
      </c>
      <c r="H119" s="432">
        <v>22</v>
      </c>
      <c r="I119" s="432">
        <v>23</v>
      </c>
      <c r="J119" s="432">
        <v>0</v>
      </c>
      <c r="K119" s="933" t="s">
        <v>516</v>
      </c>
    </row>
    <row r="120" spans="1:13" s="934" customFormat="1" ht="15.75" x14ac:dyDescent="0.2">
      <c r="A120" s="931" t="s">
        <v>517</v>
      </c>
      <c r="B120" s="379">
        <f>SUM(C120:J120)</f>
        <v>713</v>
      </c>
      <c r="C120" s="932">
        <v>684</v>
      </c>
      <c r="D120" s="432">
        <v>1</v>
      </c>
      <c r="E120" s="432">
        <v>1</v>
      </c>
      <c r="F120" s="432">
        <v>0</v>
      </c>
      <c r="G120" s="432">
        <v>0</v>
      </c>
      <c r="H120" s="432">
        <v>9</v>
      </c>
      <c r="I120" s="432">
        <v>18</v>
      </c>
      <c r="J120" s="432">
        <v>0</v>
      </c>
      <c r="K120" s="933" t="s">
        <v>518</v>
      </c>
    </row>
    <row r="121" spans="1:13" s="934" customFormat="1" ht="15.75" x14ac:dyDescent="0.2">
      <c r="A121" s="931" t="s">
        <v>519</v>
      </c>
      <c r="B121" s="379">
        <f>SUM(C121:J121)</f>
        <v>3</v>
      </c>
      <c r="C121" s="932">
        <v>0</v>
      </c>
      <c r="D121" s="940">
        <v>0</v>
      </c>
      <c r="E121" s="940">
        <v>0</v>
      </c>
      <c r="F121" s="432">
        <v>0</v>
      </c>
      <c r="G121" s="432">
        <v>0</v>
      </c>
      <c r="H121" s="432">
        <v>0</v>
      </c>
      <c r="I121" s="432">
        <v>3</v>
      </c>
      <c r="J121" s="432">
        <v>0</v>
      </c>
      <c r="K121" s="933" t="s">
        <v>520</v>
      </c>
    </row>
    <row r="122" spans="1:13" s="934" customFormat="1" ht="12.75" x14ac:dyDescent="0.2">
      <c r="A122" s="936"/>
      <c r="B122" s="943"/>
      <c r="C122" s="504"/>
      <c r="D122" s="432"/>
      <c r="E122" s="432"/>
      <c r="F122" s="432"/>
      <c r="G122" s="432"/>
      <c r="H122" s="432"/>
      <c r="I122" s="432"/>
      <c r="J122" s="432">
        <v>0</v>
      </c>
    </row>
    <row r="123" spans="1:13" s="934" customFormat="1" ht="15.75" x14ac:dyDescent="0.2">
      <c r="A123" s="433" t="s">
        <v>308</v>
      </c>
      <c r="B123" s="379">
        <f t="shared" ref="B123" si="26">SUM(C123:J123)</f>
        <v>13173</v>
      </c>
      <c r="C123" s="378">
        <f>SUM(C124:C132)</f>
        <v>12411</v>
      </c>
      <c r="D123" s="430">
        <f t="shared" ref="D123:J123" si="27">SUM(D124:D132)</f>
        <v>84</v>
      </c>
      <c r="E123" s="430">
        <f t="shared" si="27"/>
        <v>142</v>
      </c>
      <c r="F123" s="430">
        <f t="shared" si="27"/>
        <v>1</v>
      </c>
      <c r="G123" s="430">
        <f t="shared" si="27"/>
        <v>1</v>
      </c>
      <c r="H123" s="430">
        <f t="shared" si="27"/>
        <v>274</v>
      </c>
      <c r="I123" s="430">
        <f>SUM(I124:I132)</f>
        <v>260</v>
      </c>
      <c r="J123" s="430">
        <f t="shared" si="27"/>
        <v>0</v>
      </c>
      <c r="K123" s="930" t="s">
        <v>309</v>
      </c>
      <c r="M123" s="430"/>
    </row>
    <row r="124" spans="1:13" s="934" customFormat="1" ht="15.75" x14ac:dyDescent="0.2">
      <c r="A124" s="931" t="s">
        <v>521</v>
      </c>
      <c r="B124" s="379">
        <f t="shared" ref="B124:B132" si="28">SUM(C124:J124)</f>
        <v>2363</v>
      </c>
      <c r="C124" s="932">
        <v>2198</v>
      </c>
      <c r="D124" s="432">
        <v>27</v>
      </c>
      <c r="E124" s="432">
        <v>41</v>
      </c>
      <c r="F124" s="432">
        <v>0</v>
      </c>
      <c r="G124" s="432">
        <v>0</v>
      </c>
      <c r="H124" s="432">
        <v>22</v>
      </c>
      <c r="I124" s="432">
        <v>75</v>
      </c>
      <c r="J124" s="432">
        <v>0</v>
      </c>
      <c r="K124" s="933" t="s">
        <v>522</v>
      </c>
    </row>
    <row r="125" spans="1:13" s="934" customFormat="1" ht="15.75" x14ac:dyDescent="0.2">
      <c r="A125" s="931" t="s">
        <v>523</v>
      </c>
      <c r="B125" s="379">
        <f t="shared" si="28"/>
        <v>1431</v>
      </c>
      <c r="C125" s="932">
        <v>1335</v>
      </c>
      <c r="D125" s="432">
        <v>10</v>
      </c>
      <c r="E125" s="432">
        <v>15</v>
      </c>
      <c r="F125" s="432">
        <v>0</v>
      </c>
      <c r="G125" s="432">
        <v>0</v>
      </c>
      <c r="H125" s="432">
        <v>46</v>
      </c>
      <c r="I125" s="432">
        <v>25</v>
      </c>
      <c r="J125" s="432">
        <v>0</v>
      </c>
      <c r="K125" s="933" t="s">
        <v>524</v>
      </c>
    </row>
    <row r="126" spans="1:13" s="934" customFormat="1" ht="15.75" x14ac:dyDescent="0.2">
      <c r="A126" s="931" t="s">
        <v>525</v>
      </c>
      <c r="B126" s="379">
        <f t="shared" si="28"/>
        <v>1188</v>
      </c>
      <c r="C126" s="932">
        <v>1156</v>
      </c>
      <c r="D126" s="432">
        <v>4</v>
      </c>
      <c r="E126" s="432">
        <v>7</v>
      </c>
      <c r="F126" s="432">
        <v>0</v>
      </c>
      <c r="G126" s="432">
        <v>0</v>
      </c>
      <c r="H126" s="432">
        <v>10</v>
      </c>
      <c r="I126" s="432">
        <v>11</v>
      </c>
      <c r="J126" s="432">
        <v>0</v>
      </c>
      <c r="K126" s="933" t="s">
        <v>526</v>
      </c>
    </row>
    <row r="127" spans="1:13" s="934" customFormat="1" ht="15.75" x14ac:dyDescent="0.2">
      <c r="A127" s="931" t="s">
        <v>527</v>
      </c>
      <c r="B127" s="379">
        <f t="shared" si="28"/>
        <v>1472</v>
      </c>
      <c r="C127" s="932">
        <v>1386</v>
      </c>
      <c r="D127" s="432">
        <v>10</v>
      </c>
      <c r="E127" s="432">
        <v>15</v>
      </c>
      <c r="F127" s="432">
        <v>0</v>
      </c>
      <c r="G127" s="432">
        <v>0</v>
      </c>
      <c r="H127" s="432">
        <v>24</v>
      </c>
      <c r="I127" s="432">
        <v>37</v>
      </c>
      <c r="J127" s="432">
        <v>0</v>
      </c>
      <c r="K127" s="933" t="s">
        <v>528</v>
      </c>
    </row>
    <row r="128" spans="1:13" s="934" customFormat="1" ht="15.75" x14ac:dyDescent="0.2">
      <c r="A128" s="931" t="s">
        <v>529</v>
      </c>
      <c r="B128" s="379">
        <f t="shared" si="28"/>
        <v>1037</v>
      </c>
      <c r="C128" s="932">
        <v>1009</v>
      </c>
      <c r="D128" s="432">
        <v>3</v>
      </c>
      <c r="E128" s="432">
        <v>4</v>
      </c>
      <c r="F128" s="432">
        <v>0</v>
      </c>
      <c r="G128" s="432">
        <v>0</v>
      </c>
      <c r="H128" s="432">
        <v>3</v>
      </c>
      <c r="I128" s="432">
        <v>18</v>
      </c>
      <c r="J128" s="432">
        <v>0</v>
      </c>
      <c r="K128" s="933" t="s">
        <v>530</v>
      </c>
    </row>
    <row r="129" spans="1:11" s="934" customFormat="1" ht="15.75" x14ac:dyDescent="0.2">
      <c r="A129" s="931" t="s">
        <v>531</v>
      </c>
      <c r="B129" s="379">
        <f t="shared" si="28"/>
        <v>1122</v>
      </c>
      <c r="C129" s="932">
        <v>1037</v>
      </c>
      <c r="D129" s="432">
        <v>11</v>
      </c>
      <c r="E129" s="432">
        <v>23</v>
      </c>
      <c r="F129" s="432">
        <v>0</v>
      </c>
      <c r="G129" s="432">
        <v>0</v>
      </c>
      <c r="H129" s="432">
        <v>39</v>
      </c>
      <c r="I129" s="432">
        <v>12</v>
      </c>
      <c r="J129" s="432">
        <v>0</v>
      </c>
      <c r="K129" s="933" t="s">
        <v>532</v>
      </c>
    </row>
    <row r="130" spans="1:11" s="934" customFormat="1" ht="15.75" x14ac:dyDescent="0.2">
      <c r="A130" s="931" t="s">
        <v>533</v>
      </c>
      <c r="B130" s="379">
        <f t="shared" si="28"/>
        <v>888</v>
      </c>
      <c r="C130" s="932">
        <v>852</v>
      </c>
      <c r="D130" s="432">
        <v>2</v>
      </c>
      <c r="E130" s="432">
        <v>2</v>
      </c>
      <c r="F130" s="432">
        <v>0</v>
      </c>
      <c r="G130" s="432">
        <v>0</v>
      </c>
      <c r="H130" s="432">
        <v>24</v>
      </c>
      <c r="I130" s="432">
        <v>8</v>
      </c>
      <c r="J130" s="432">
        <v>0</v>
      </c>
      <c r="K130" s="933" t="s">
        <v>534</v>
      </c>
    </row>
    <row r="131" spans="1:11" s="934" customFormat="1" ht="15.75" x14ac:dyDescent="0.2">
      <c r="A131" s="931" t="s">
        <v>535</v>
      </c>
      <c r="B131" s="379">
        <f t="shared" si="28"/>
        <v>1762</v>
      </c>
      <c r="C131" s="932">
        <v>1644</v>
      </c>
      <c r="D131" s="432">
        <v>6</v>
      </c>
      <c r="E131" s="432">
        <v>12</v>
      </c>
      <c r="F131" s="432">
        <v>1</v>
      </c>
      <c r="G131" s="432">
        <v>1</v>
      </c>
      <c r="H131" s="432">
        <v>72</v>
      </c>
      <c r="I131" s="432">
        <v>26</v>
      </c>
      <c r="J131" s="432">
        <v>0</v>
      </c>
      <c r="K131" s="933" t="s">
        <v>536</v>
      </c>
    </row>
    <row r="132" spans="1:11" s="934" customFormat="1" ht="15.75" x14ac:dyDescent="0.2">
      <c r="A132" s="931" t="s">
        <v>537</v>
      </c>
      <c r="B132" s="379">
        <f t="shared" si="28"/>
        <v>1910</v>
      </c>
      <c r="C132" s="932">
        <v>1794</v>
      </c>
      <c r="D132" s="432">
        <v>11</v>
      </c>
      <c r="E132" s="432">
        <v>23</v>
      </c>
      <c r="F132" s="432">
        <v>0</v>
      </c>
      <c r="G132" s="432">
        <v>0</v>
      </c>
      <c r="H132" s="432">
        <v>34</v>
      </c>
      <c r="I132" s="432">
        <v>48</v>
      </c>
      <c r="J132" s="432">
        <v>0</v>
      </c>
      <c r="K132" s="933" t="s">
        <v>538</v>
      </c>
    </row>
    <row r="133" spans="1:11" s="934" customFormat="1" ht="12.75" x14ac:dyDescent="0.2">
      <c r="A133" s="936"/>
      <c r="B133" s="943"/>
      <c r="C133" s="504"/>
      <c r="D133" s="432"/>
      <c r="E133" s="432"/>
      <c r="F133" s="432"/>
      <c r="G133" s="432"/>
      <c r="H133" s="432"/>
      <c r="I133" s="432"/>
      <c r="J133" s="927"/>
    </row>
    <row r="134" spans="1:11" s="934" customFormat="1" ht="15.75" x14ac:dyDescent="0.2">
      <c r="A134" s="433" t="s">
        <v>310</v>
      </c>
      <c r="B134" s="379">
        <f t="shared" ref="B134" si="29">SUM(C134:J134)</f>
        <v>8105</v>
      </c>
      <c r="C134" s="378">
        <f>SUM(C135:C142)</f>
        <v>7651</v>
      </c>
      <c r="D134" s="430">
        <f t="shared" ref="D134:J134" si="30">SUM(D135:D142)</f>
        <v>41</v>
      </c>
      <c r="E134" s="430">
        <f t="shared" si="30"/>
        <v>71</v>
      </c>
      <c r="F134" s="430">
        <f t="shared" si="30"/>
        <v>1</v>
      </c>
      <c r="G134" s="430">
        <f t="shared" si="30"/>
        <v>1</v>
      </c>
      <c r="H134" s="430">
        <f t="shared" si="30"/>
        <v>193</v>
      </c>
      <c r="I134" s="430">
        <f>SUM(I135:I142)</f>
        <v>141</v>
      </c>
      <c r="J134" s="430">
        <f t="shared" si="30"/>
        <v>6</v>
      </c>
      <c r="K134" s="930" t="s">
        <v>311</v>
      </c>
    </row>
    <row r="135" spans="1:11" s="934" customFormat="1" ht="15.75" x14ac:dyDescent="0.2">
      <c r="A135" s="931" t="s">
        <v>539</v>
      </c>
      <c r="B135" s="379">
        <f t="shared" ref="B135:B142" si="31">SUM(C135:J135)</f>
        <v>1770</v>
      </c>
      <c r="C135" s="932">
        <v>1688</v>
      </c>
      <c r="D135" s="432">
        <v>9</v>
      </c>
      <c r="E135" s="432">
        <v>14</v>
      </c>
      <c r="F135" s="432">
        <v>0</v>
      </c>
      <c r="G135" s="432">
        <v>0</v>
      </c>
      <c r="H135" s="432">
        <v>20</v>
      </c>
      <c r="I135" s="432">
        <v>39</v>
      </c>
      <c r="J135" s="432">
        <v>0</v>
      </c>
      <c r="K135" s="933" t="s">
        <v>540</v>
      </c>
    </row>
    <row r="136" spans="1:11" s="934" customFormat="1" ht="15.75" x14ac:dyDescent="0.2">
      <c r="A136" s="931" t="s">
        <v>541</v>
      </c>
      <c r="B136" s="379">
        <f t="shared" si="31"/>
        <v>1179</v>
      </c>
      <c r="C136" s="932">
        <v>1126</v>
      </c>
      <c r="D136" s="432">
        <v>7</v>
      </c>
      <c r="E136" s="432">
        <v>11</v>
      </c>
      <c r="F136" s="432">
        <v>0</v>
      </c>
      <c r="G136" s="432">
        <v>0</v>
      </c>
      <c r="H136" s="432">
        <v>20</v>
      </c>
      <c r="I136" s="432">
        <v>15</v>
      </c>
      <c r="J136" s="432">
        <v>0</v>
      </c>
      <c r="K136" s="933" t="s">
        <v>542</v>
      </c>
    </row>
    <row r="137" spans="1:11" s="934" customFormat="1" ht="15.75" x14ac:dyDescent="0.2">
      <c r="A137" s="931" t="s">
        <v>543</v>
      </c>
      <c r="B137" s="379">
        <f t="shared" si="31"/>
        <v>1067</v>
      </c>
      <c r="C137" s="932">
        <v>973</v>
      </c>
      <c r="D137" s="432">
        <v>10</v>
      </c>
      <c r="E137" s="432">
        <v>20</v>
      </c>
      <c r="F137" s="432">
        <v>0</v>
      </c>
      <c r="G137" s="432">
        <v>0</v>
      </c>
      <c r="H137" s="432">
        <v>33</v>
      </c>
      <c r="I137" s="432">
        <v>31</v>
      </c>
      <c r="J137" s="432">
        <v>0</v>
      </c>
      <c r="K137" s="933" t="s">
        <v>544</v>
      </c>
    </row>
    <row r="138" spans="1:11" s="934" customFormat="1" ht="15.75" x14ac:dyDescent="0.2">
      <c r="A138" s="931" t="s">
        <v>545</v>
      </c>
      <c r="B138" s="379">
        <f t="shared" si="31"/>
        <v>968</v>
      </c>
      <c r="C138" s="932">
        <v>894</v>
      </c>
      <c r="D138" s="432">
        <v>4</v>
      </c>
      <c r="E138" s="432">
        <v>5</v>
      </c>
      <c r="F138" s="432">
        <v>1</v>
      </c>
      <c r="G138" s="432">
        <v>1</v>
      </c>
      <c r="H138" s="432">
        <v>38</v>
      </c>
      <c r="I138" s="432">
        <v>19</v>
      </c>
      <c r="J138" s="432">
        <v>6</v>
      </c>
      <c r="K138" s="933" t="s">
        <v>546</v>
      </c>
    </row>
    <row r="139" spans="1:11" s="934" customFormat="1" ht="15.75" x14ac:dyDescent="0.2">
      <c r="A139" s="946" t="s">
        <v>547</v>
      </c>
      <c r="B139" s="379">
        <f t="shared" si="31"/>
        <v>794</v>
      </c>
      <c r="C139" s="932">
        <v>744</v>
      </c>
      <c r="D139" s="432">
        <v>3</v>
      </c>
      <c r="E139" s="432">
        <v>7</v>
      </c>
      <c r="F139" s="432">
        <v>0</v>
      </c>
      <c r="G139" s="432">
        <v>0</v>
      </c>
      <c r="H139" s="432">
        <v>32</v>
      </c>
      <c r="I139" s="432">
        <v>8</v>
      </c>
      <c r="J139" s="432">
        <v>0</v>
      </c>
      <c r="K139" s="947" t="s">
        <v>548</v>
      </c>
    </row>
    <row r="140" spans="1:11" s="934" customFormat="1" ht="15.75" x14ac:dyDescent="0.2">
      <c r="A140" s="931" t="s">
        <v>549</v>
      </c>
      <c r="B140" s="379">
        <f t="shared" si="31"/>
        <v>812</v>
      </c>
      <c r="C140" s="932">
        <v>753</v>
      </c>
      <c r="D140" s="432">
        <v>7</v>
      </c>
      <c r="E140" s="432">
        <v>12</v>
      </c>
      <c r="F140" s="432">
        <v>0</v>
      </c>
      <c r="G140" s="432">
        <v>0</v>
      </c>
      <c r="H140" s="432">
        <v>30</v>
      </c>
      <c r="I140" s="432">
        <v>10</v>
      </c>
      <c r="J140" s="432">
        <v>0</v>
      </c>
      <c r="K140" s="933" t="s">
        <v>550</v>
      </c>
    </row>
    <row r="141" spans="1:11" s="934" customFormat="1" ht="15.75" x14ac:dyDescent="0.2">
      <c r="A141" s="936" t="s">
        <v>499</v>
      </c>
      <c r="B141" s="379">
        <f t="shared" si="31"/>
        <v>727</v>
      </c>
      <c r="C141" s="932">
        <v>698</v>
      </c>
      <c r="D141" s="432">
        <v>1</v>
      </c>
      <c r="E141" s="432">
        <v>2</v>
      </c>
      <c r="F141" s="432">
        <v>0</v>
      </c>
      <c r="G141" s="432">
        <v>0</v>
      </c>
      <c r="H141" s="432">
        <v>15</v>
      </c>
      <c r="I141" s="432">
        <v>11</v>
      </c>
      <c r="J141" s="432">
        <v>0</v>
      </c>
      <c r="K141" s="933" t="s">
        <v>500</v>
      </c>
    </row>
    <row r="142" spans="1:11" s="934" customFormat="1" ht="15.75" x14ac:dyDescent="0.2">
      <c r="A142" s="936" t="s">
        <v>551</v>
      </c>
      <c r="B142" s="379">
        <f t="shared" si="31"/>
        <v>788</v>
      </c>
      <c r="C142" s="932">
        <v>775</v>
      </c>
      <c r="D142" s="432">
        <v>0</v>
      </c>
      <c r="E142" s="432">
        <v>0</v>
      </c>
      <c r="F142" s="432">
        <v>0</v>
      </c>
      <c r="G142" s="432">
        <v>0</v>
      </c>
      <c r="H142" s="432">
        <v>5</v>
      </c>
      <c r="I142" s="432">
        <v>8</v>
      </c>
      <c r="J142" s="432">
        <v>0</v>
      </c>
      <c r="K142" s="933" t="s">
        <v>552</v>
      </c>
    </row>
    <row r="143" spans="1:11" s="945" customFormat="1" ht="12.75" x14ac:dyDescent="0.2">
      <c r="A143" s="936"/>
      <c r="B143" s="943"/>
      <c r="C143" s="504"/>
      <c r="D143" s="432"/>
      <c r="E143" s="432"/>
      <c r="F143" s="432"/>
      <c r="G143" s="432"/>
      <c r="H143" s="432"/>
      <c r="I143" s="432"/>
      <c r="J143" s="927"/>
    </row>
    <row r="144" spans="1:11" s="934" customFormat="1" ht="15.75" x14ac:dyDescent="0.2">
      <c r="A144" s="433" t="s">
        <v>312</v>
      </c>
      <c r="B144" s="379">
        <f t="shared" ref="B144" si="32">SUM(C144:J144)</f>
        <v>11172</v>
      </c>
      <c r="C144" s="378">
        <f>SUM(C145:C154)</f>
        <v>10660</v>
      </c>
      <c r="D144" s="430">
        <f t="shared" ref="D144:J144" si="33">SUM(D145:D154)</f>
        <v>31</v>
      </c>
      <c r="E144" s="430">
        <f t="shared" si="33"/>
        <v>49</v>
      </c>
      <c r="F144" s="430">
        <f t="shared" si="33"/>
        <v>4</v>
      </c>
      <c r="G144" s="430">
        <f t="shared" si="33"/>
        <v>5</v>
      </c>
      <c r="H144" s="430">
        <f t="shared" si="33"/>
        <v>179</v>
      </c>
      <c r="I144" s="430">
        <f>SUM(I145:I154)</f>
        <v>244</v>
      </c>
      <c r="J144" s="430">
        <f t="shared" si="33"/>
        <v>0</v>
      </c>
      <c r="K144" s="930" t="s">
        <v>313</v>
      </c>
    </row>
    <row r="145" spans="1:11" s="934" customFormat="1" ht="15.75" x14ac:dyDescent="0.2">
      <c r="A145" s="931" t="s">
        <v>553</v>
      </c>
      <c r="B145" s="379">
        <f t="shared" ref="B145:B154" si="34">SUM(C145:J145)</f>
        <v>719</v>
      </c>
      <c r="C145" s="932">
        <v>684</v>
      </c>
      <c r="D145" s="432">
        <v>3</v>
      </c>
      <c r="E145" s="432">
        <v>5</v>
      </c>
      <c r="F145" s="432">
        <v>0</v>
      </c>
      <c r="G145" s="432">
        <v>0</v>
      </c>
      <c r="H145" s="432">
        <v>18</v>
      </c>
      <c r="I145" s="432">
        <v>9</v>
      </c>
      <c r="J145" s="432">
        <v>0</v>
      </c>
      <c r="K145" s="933" t="s">
        <v>554</v>
      </c>
    </row>
    <row r="146" spans="1:11" s="934" customFormat="1" ht="15.75" x14ac:dyDescent="0.2">
      <c r="A146" s="931" t="s">
        <v>555</v>
      </c>
      <c r="B146" s="379">
        <f t="shared" si="34"/>
        <v>1200</v>
      </c>
      <c r="C146" s="932">
        <v>1041</v>
      </c>
      <c r="D146" s="432">
        <v>7</v>
      </c>
      <c r="E146" s="432">
        <v>10</v>
      </c>
      <c r="F146" s="432">
        <v>0</v>
      </c>
      <c r="G146" s="432">
        <v>0</v>
      </c>
      <c r="H146" s="432">
        <v>78</v>
      </c>
      <c r="I146" s="432">
        <v>64</v>
      </c>
      <c r="J146" s="432">
        <v>0</v>
      </c>
      <c r="K146" s="933" t="s">
        <v>556</v>
      </c>
    </row>
    <row r="147" spans="1:11" s="934" customFormat="1" ht="15.75" x14ac:dyDescent="0.2">
      <c r="A147" s="931" t="s">
        <v>557</v>
      </c>
      <c r="B147" s="379">
        <f t="shared" si="34"/>
        <v>592</v>
      </c>
      <c r="C147" s="932">
        <v>562</v>
      </c>
      <c r="D147" s="432">
        <v>2</v>
      </c>
      <c r="E147" s="432">
        <v>3</v>
      </c>
      <c r="F147" s="432">
        <v>0</v>
      </c>
      <c r="G147" s="432">
        <v>0</v>
      </c>
      <c r="H147" s="432">
        <v>6</v>
      </c>
      <c r="I147" s="432">
        <v>19</v>
      </c>
      <c r="J147" s="432">
        <v>0</v>
      </c>
      <c r="K147" s="933" t="s">
        <v>388</v>
      </c>
    </row>
    <row r="148" spans="1:11" s="934" customFormat="1" ht="15.75" x14ac:dyDescent="0.2">
      <c r="A148" s="931" t="s">
        <v>558</v>
      </c>
      <c r="B148" s="379">
        <f t="shared" si="34"/>
        <v>2394</v>
      </c>
      <c r="C148" s="932">
        <v>2321</v>
      </c>
      <c r="D148" s="432">
        <v>6</v>
      </c>
      <c r="E148" s="432">
        <v>9</v>
      </c>
      <c r="F148" s="432">
        <v>0</v>
      </c>
      <c r="G148" s="432">
        <v>0</v>
      </c>
      <c r="H148" s="432">
        <v>24</v>
      </c>
      <c r="I148" s="432">
        <v>34</v>
      </c>
      <c r="J148" s="432">
        <v>0</v>
      </c>
      <c r="K148" s="933" t="s">
        <v>559</v>
      </c>
    </row>
    <row r="149" spans="1:11" s="934" customFormat="1" ht="15.75" x14ac:dyDescent="0.2">
      <c r="A149" s="931" t="s">
        <v>560</v>
      </c>
      <c r="B149" s="379">
        <f t="shared" si="34"/>
        <v>455</v>
      </c>
      <c r="C149" s="932">
        <v>443</v>
      </c>
      <c r="D149" s="940">
        <v>0</v>
      </c>
      <c r="E149" s="940">
        <v>0</v>
      </c>
      <c r="F149" s="432">
        <v>0</v>
      </c>
      <c r="G149" s="432">
        <v>0</v>
      </c>
      <c r="H149" s="432">
        <v>4</v>
      </c>
      <c r="I149" s="432">
        <v>8</v>
      </c>
      <c r="J149" s="432">
        <v>0</v>
      </c>
      <c r="K149" s="933" t="s">
        <v>449</v>
      </c>
    </row>
    <row r="150" spans="1:11" s="934" customFormat="1" ht="15.75" x14ac:dyDescent="0.2">
      <c r="A150" s="946" t="s">
        <v>561</v>
      </c>
      <c r="B150" s="379">
        <f t="shared" si="34"/>
        <v>1012</v>
      </c>
      <c r="C150" s="932">
        <v>974</v>
      </c>
      <c r="D150" s="432">
        <v>1</v>
      </c>
      <c r="E150" s="432">
        <v>3</v>
      </c>
      <c r="F150" s="432">
        <v>0</v>
      </c>
      <c r="G150" s="432">
        <v>0</v>
      </c>
      <c r="H150" s="432">
        <v>17</v>
      </c>
      <c r="I150" s="432">
        <v>17</v>
      </c>
      <c r="J150" s="432">
        <v>0</v>
      </c>
      <c r="K150" s="933" t="s">
        <v>562</v>
      </c>
    </row>
    <row r="151" spans="1:11" s="934" customFormat="1" ht="15.75" x14ac:dyDescent="0.2">
      <c r="A151" s="946" t="s">
        <v>563</v>
      </c>
      <c r="B151" s="379">
        <f t="shared" si="34"/>
        <v>656</v>
      </c>
      <c r="C151" s="932">
        <v>625</v>
      </c>
      <c r="D151" s="432">
        <v>4</v>
      </c>
      <c r="E151" s="432">
        <v>7</v>
      </c>
      <c r="F151" s="432">
        <v>0</v>
      </c>
      <c r="G151" s="432">
        <v>0</v>
      </c>
      <c r="H151" s="432">
        <v>7</v>
      </c>
      <c r="I151" s="432">
        <v>13</v>
      </c>
      <c r="J151" s="432">
        <v>0</v>
      </c>
      <c r="K151" s="947" t="s">
        <v>564</v>
      </c>
    </row>
    <row r="152" spans="1:11" s="934" customFormat="1" ht="15.75" x14ac:dyDescent="0.2">
      <c r="A152" s="931" t="s">
        <v>565</v>
      </c>
      <c r="B152" s="379">
        <f t="shared" si="34"/>
        <v>1039</v>
      </c>
      <c r="C152" s="932">
        <v>1001</v>
      </c>
      <c r="D152" s="432">
        <v>3</v>
      </c>
      <c r="E152" s="432">
        <v>4</v>
      </c>
      <c r="F152" s="432">
        <v>3</v>
      </c>
      <c r="G152" s="432">
        <v>3</v>
      </c>
      <c r="H152" s="432">
        <v>14</v>
      </c>
      <c r="I152" s="432">
        <v>11</v>
      </c>
      <c r="J152" s="432">
        <v>0</v>
      </c>
      <c r="K152" s="933" t="s">
        <v>566</v>
      </c>
    </row>
    <row r="153" spans="1:11" s="934" customFormat="1" ht="15.75" x14ac:dyDescent="0.2">
      <c r="A153" s="931" t="s">
        <v>357</v>
      </c>
      <c r="B153" s="379">
        <f t="shared" si="34"/>
        <v>212</v>
      </c>
      <c r="C153" s="932">
        <v>196</v>
      </c>
      <c r="D153" s="432">
        <v>2</v>
      </c>
      <c r="E153" s="432">
        <v>3</v>
      </c>
      <c r="F153" s="432">
        <v>0</v>
      </c>
      <c r="G153" s="432">
        <v>0</v>
      </c>
      <c r="H153" s="432">
        <v>3</v>
      </c>
      <c r="I153" s="432">
        <v>8</v>
      </c>
      <c r="J153" s="432">
        <v>0</v>
      </c>
      <c r="K153" s="933" t="s">
        <v>358</v>
      </c>
    </row>
    <row r="154" spans="1:11" s="934" customFormat="1" ht="15.75" x14ac:dyDescent="0.2">
      <c r="A154" s="931" t="s">
        <v>567</v>
      </c>
      <c r="B154" s="379">
        <f t="shared" si="34"/>
        <v>2893</v>
      </c>
      <c r="C154" s="932">
        <v>2813</v>
      </c>
      <c r="D154" s="432">
        <v>3</v>
      </c>
      <c r="E154" s="432">
        <v>5</v>
      </c>
      <c r="F154" s="432">
        <v>1</v>
      </c>
      <c r="G154" s="432">
        <v>2</v>
      </c>
      <c r="H154" s="432">
        <v>8</v>
      </c>
      <c r="I154" s="432">
        <v>61</v>
      </c>
      <c r="J154" s="432">
        <v>0</v>
      </c>
      <c r="K154" s="933" t="s">
        <v>568</v>
      </c>
    </row>
    <row r="155" spans="1:11" s="934" customFormat="1" ht="12.75" x14ac:dyDescent="0.2">
      <c r="A155" s="931"/>
      <c r="B155" s="938"/>
      <c r="C155" s="504"/>
      <c r="D155" s="432"/>
      <c r="E155" s="432"/>
      <c r="F155" s="432"/>
      <c r="G155" s="432"/>
      <c r="H155" s="432"/>
      <c r="I155" s="432"/>
      <c r="J155" s="927"/>
    </row>
    <row r="156" spans="1:11" s="934" customFormat="1" ht="15.75" x14ac:dyDescent="0.2">
      <c r="A156" s="433" t="s">
        <v>314</v>
      </c>
      <c r="B156" s="379">
        <f t="shared" ref="B156" si="35">SUM(C156:J156)</f>
        <v>2372</v>
      </c>
      <c r="C156" s="378">
        <f>SUM(C157:C161)</f>
        <v>2282</v>
      </c>
      <c r="D156" s="430">
        <f t="shared" ref="D156:J156" si="36">SUM(D157:D161)</f>
        <v>5</v>
      </c>
      <c r="E156" s="430">
        <f t="shared" si="36"/>
        <v>10</v>
      </c>
      <c r="F156" s="430">
        <f t="shared" si="36"/>
        <v>0</v>
      </c>
      <c r="G156" s="430">
        <f t="shared" si="36"/>
        <v>0</v>
      </c>
      <c r="H156" s="430">
        <f t="shared" si="36"/>
        <v>46</v>
      </c>
      <c r="I156" s="430">
        <f>SUM(I157:I161)</f>
        <v>29</v>
      </c>
      <c r="J156" s="430">
        <f t="shared" si="36"/>
        <v>0</v>
      </c>
      <c r="K156" s="930" t="s">
        <v>315</v>
      </c>
    </row>
    <row r="157" spans="1:11" s="934" customFormat="1" ht="15.75" x14ac:dyDescent="0.2">
      <c r="A157" s="931" t="s">
        <v>569</v>
      </c>
      <c r="B157" s="379">
        <f>SUM(C157:J157)</f>
        <v>454</v>
      </c>
      <c r="C157" s="932">
        <v>433</v>
      </c>
      <c r="D157" s="940">
        <v>0</v>
      </c>
      <c r="E157" s="940">
        <v>0</v>
      </c>
      <c r="F157" s="940">
        <v>0</v>
      </c>
      <c r="G157" s="940">
        <v>0</v>
      </c>
      <c r="H157" s="432">
        <v>12</v>
      </c>
      <c r="I157" s="432">
        <v>9</v>
      </c>
      <c r="J157" s="432">
        <v>0</v>
      </c>
      <c r="K157" s="933" t="s">
        <v>570</v>
      </c>
    </row>
    <row r="158" spans="1:11" s="934" customFormat="1" ht="15.75" x14ac:dyDescent="0.2">
      <c r="A158" s="931" t="s">
        <v>571</v>
      </c>
      <c r="B158" s="379">
        <f>SUM(C158:J158)</f>
        <v>145</v>
      </c>
      <c r="C158" s="932">
        <v>139</v>
      </c>
      <c r="D158" s="940">
        <v>0</v>
      </c>
      <c r="E158" s="940">
        <v>0</v>
      </c>
      <c r="F158" s="940">
        <v>0</v>
      </c>
      <c r="G158" s="940">
        <v>0</v>
      </c>
      <c r="H158" s="432">
        <v>5</v>
      </c>
      <c r="I158" s="432">
        <v>1</v>
      </c>
      <c r="J158" s="432">
        <v>0</v>
      </c>
      <c r="K158" s="933" t="s">
        <v>572</v>
      </c>
    </row>
    <row r="159" spans="1:11" s="934" customFormat="1" ht="15.75" x14ac:dyDescent="0.2">
      <c r="A159" s="931" t="s">
        <v>573</v>
      </c>
      <c r="B159" s="379">
        <f>SUM(C159:J159)</f>
        <v>635</v>
      </c>
      <c r="C159" s="932">
        <v>606</v>
      </c>
      <c r="D159" s="940">
        <v>0</v>
      </c>
      <c r="E159" s="940">
        <v>0</v>
      </c>
      <c r="F159" s="940">
        <v>0</v>
      </c>
      <c r="G159" s="940">
        <v>0</v>
      </c>
      <c r="H159" s="432">
        <v>21</v>
      </c>
      <c r="I159" s="432">
        <v>8</v>
      </c>
      <c r="J159" s="432">
        <v>0</v>
      </c>
      <c r="K159" s="933" t="s">
        <v>574</v>
      </c>
    </row>
    <row r="160" spans="1:11" s="934" customFormat="1" ht="15.75" x14ac:dyDescent="0.2">
      <c r="A160" s="931" t="s">
        <v>575</v>
      </c>
      <c r="B160" s="379">
        <f>SUM(C160:J160)</f>
        <v>784</v>
      </c>
      <c r="C160" s="932">
        <v>758</v>
      </c>
      <c r="D160" s="432">
        <v>5</v>
      </c>
      <c r="E160" s="432">
        <v>10</v>
      </c>
      <c r="F160" s="940">
        <v>0</v>
      </c>
      <c r="G160" s="432">
        <v>0</v>
      </c>
      <c r="H160" s="432">
        <v>1</v>
      </c>
      <c r="I160" s="432">
        <v>10</v>
      </c>
      <c r="J160" s="432">
        <v>0</v>
      </c>
      <c r="K160" s="933" t="s">
        <v>576</v>
      </c>
    </row>
    <row r="161" spans="1:11" s="934" customFormat="1" ht="15.75" x14ac:dyDescent="0.2">
      <c r="A161" s="931" t="s">
        <v>577</v>
      </c>
      <c r="B161" s="379">
        <f>SUM(C161:J161)</f>
        <v>354</v>
      </c>
      <c r="C161" s="932">
        <v>346</v>
      </c>
      <c r="D161" s="940">
        <v>0</v>
      </c>
      <c r="E161" s="940">
        <v>0</v>
      </c>
      <c r="F161" s="940">
        <v>0</v>
      </c>
      <c r="G161" s="940">
        <v>0</v>
      </c>
      <c r="H161" s="432">
        <v>7</v>
      </c>
      <c r="I161" s="432">
        <v>1</v>
      </c>
      <c r="J161" s="432">
        <v>0</v>
      </c>
      <c r="K161" s="933" t="s">
        <v>578</v>
      </c>
    </row>
    <row r="162" spans="1:11" s="934" customFormat="1" ht="12.75" x14ac:dyDescent="0.2">
      <c r="A162" s="936"/>
      <c r="B162" s="943"/>
      <c r="C162" s="504"/>
      <c r="D162" s="432"/>
      <c r="E162" s="432"/>
      <c r="F162" s="432"/>
      <c r="G162" s="432"/>
      <c r="H162" s="432"/>
      <c r="I162" s="432"/>
      <c r="J162" s="927"/>
    </row>
    <row r="163" spans="1:11" s="934" customFormat="1" ht="15.75" x14ac:dyDescent="0.2">
      <c r="A163" s="433" t="s">
        <v>316</v>
      </c>
      <c r="B163" s="379">
        <f t="shared" ref="B163" si="37">SUM(C163:J163)</f>
        <v>7123</v>
      </c>
      <c r="C163" s="378">
        <f>SUM(C164:C172)</f>
        <v>6836</v>
      </c>
      <c r="D163" s="430">
        <f>SUM(D164:D172)</f>
        <v>26</v>
      </c>
      <c r="E163" s="430">
        <f>SUM(E164:E172)</f>
        <v>45</v>
      </c>
      <c r="F163" s="430">
        <f t="shared" ref="F163:G163" si="38">SUM(F164:F172)</f>
        <v>1</v>
      </c>
      <c r="G163" s="430">
        <f t="shared" si="38"/>
        <v>1</v>
      </c>
      <c r="H163" s="430">
        <f>SUM(H164:H172)</f>
        <v>100</v>
      </c>
      <c r="I163" s="430">
        <f>SUM(I164:I172)</f>
        <v>109</v>
      </c>
      <c r="J163" s="430">
        <f>SUM(J164:J172)</f>
        <v>5</v>
      </c>
      <c r="K163" s="930" t="s">
        <v>317</v>
      </c>
    </row>
    <row r="164" spans="1:11" s="934" customFormat="1" ht="15.75" x14ac:dyDescent="0.2">
      <c r="A164" s="936" t="s">
        <v>579</v>
      </c>
      <c r="B164" s="379">
        <f t="shared" ref="B164:B172" si="39">SUM(C164:J164)</f>
        <v>226</v>
      </c>
      <c r="C164" s="932">
        <v>221</v>
      </c>
      <c r="D164" s="940">
        <v>0</v>
      </c>
      <c r="E164" s="940">
        <v>0</v>
      </c>
      <c r="F164" s="940">
        <v>0</v>
      </c>
      <c r="G164" s="940">
        <v>0</v>
      </c>
      <c r="H164" s="432">
        <v>1</v>
      </c>
      <c r="I164" s="432">
        <v>4</v>
      </c>
      <c r="J164" s="432">
        <v>0</v>
      </c>
      <c r="K164" s="933" t="s">
        <v>580</v>
      </c>
    </row>
    <row r="165" spans="1:11" s="934" customFormat="1" ht="15.75" x14ac:dyDescent="0.2">
      <c r="A165" s="936" t="s">
        <v>581</v>
      </c>
      <c r="B165" s="379">
        <f t="shared" si="39"/>
        <v>4</v>
      </c>
      <c r="C165" s="932"/>
      <c r="D165" s="940">
        <v>0</v>
      </c>
      <c r="E165" s="940">
        <v>0</v>
      </c>
      <c r="F165" s="940">
        <v>0</v>
      </c>
      <c r="G165" s="940">
        <v>0</v>
      </c>
      <c r="H165" s="432">
        <v>4</v>
      </c>
      <c r="I165" s="432">
        <v>0</v>
      </c>
      <c r="J165" s="432">
        <v>0</v>
      </c>
      <c r="K165" s="933"/>
    </row>
    <row r="166" spans="1:11" s="934" customFormat="1" ht="15.75" x14ac:dyDescent="0.2">
      <c r="A166" s="936" t="s">
        <v>582</v>
      </c>
      <c r="B166" s="379">
        <f t="shared" si="39"/>
        <v>313</v>
      </c>
      <c r="C166" s="932">
        <v>298</v>
      </c>
      <c r="D166" s="432">
        <v>1</v>
      </c>
      <c r="E166" s="432">
        <v>2</v>
      </c>
      <c r="F166" s="940">
        <v>0</v>
      </c>
      <c r="G166" s="940">
        <v>0</v>
      </c>
      <c r="H166" s="432">
        <v>5</v>
      </c>
      <c r="I166" s="432">
        <v>7</v>
      </c>
      <c r="J166" s="432">
        <v>0</v>
      </c>
      <c r="K166" s="933" t="s">
        <v>583</v>
      </c>
    </row>
    <row r="167" spans="1:11" s="934" customFormat="1" ht="15.75" x14ac:dyDescent="0.2">
      <c r="A167" s="936" t="s">
        <v>584</v>
      </c>
      <c r="B167" s="379">
        <f t="shared" si="39"/>
        <v>1800</v>
      </c>
      <c r="C167" s="932">
        <v>1688</v>
      </c>
      <c r="D167" s="432">
        <v>8</v>
      </c>
      <c r="E167" s="432">
        <v>10</v>
      </c>
      <c r="F167" s="940">
        <v>0</v>
      </c>
      <c r="G167" s="940">
        <v>0</v>
      </c>
      <c r="H167" s="432">
        <v>37</v>
      </c>
      <c r="I167" s="432">
        <v>57</v>
      </c>
      <c r="J167" s="432">
        <v>0</v>
      </c>
      <c r="K167" s="933" t="s">
        <v>585</v>
      </c>
    </row>
    <row r="168" spans="1:11" s="934" customFormat="1" ht="15.75" x14ac:dyDescent="0.2">
      <c r="A168" s="936" t="s">
        <v>586</v>
      </c>
      <c r="B168" s="379">
        <f t="shared" si="39"/>
        <v>976</v>
      </c>
      <c r="C168" s="932">
        <v>934</v>
      </c>
      <c r="D168" s="432">
        <v>6</v>
      </c>
      <c r="E168" s="432">
        <v>13</v>
      </c>
      <c r="F168" s="940">
        <v>0</v>
      </c>
      <c r="G168" s="940">
        <v>0</v>
      </c>
      <c r="H168" s="432">
        <v>15</v>
      </c>
      <c r="I168" s="432">
        <v>8</v>
      </c>
      <c r="J168" s="432">
        <v>0</v>
      </c>
      <c r="K168" s="933" t="s">
        <v>587</v>
      </c>
    </row>
    <row r="169" spans="1:11" s="934" customFormat="1" ht="15.75" x14ac:dyDescent="0.2">
      <c r="A169" s="936" t="s">
        <v>588</v>
      </c>
      <c r="B169" s="379">
        <f t="shared" si="39"/>
        <v>503</v>
      </c>
      <c r="C169" s="932">
        <v>490</v>
      </c>
      <c r="D169" s="940">
        <v>0</v>
      </c>
      <c r="E169" s="940">
        <v>0</v>
      </c>
      <c r="F169" s="940">
        <v>0</v>
      </c>
      <c r="G169" s="940">
        <v>0</v>
      </c>
      <c r="H169" s="432">
        <v>5</v>
      </c>
      <c r="I169" s="432">
        <v>8</v>
      </c>
      <c r="J169" s="432">
        <v>0</v>
      </c>
      <c r="K169" s="933" t="s">
        <v>589</v>
      </c>
    </row>
    <row r="170" spans="1:11" s="934" customFormat="1" ht="15.75" x14ac:dyDescent="0.2">
      <c r="A170" s="936" t="s">
        <v>590</v>
      </c>
      <c r="B170" s="379">
        <f t="shared" si="39"/>
        <v>1337</v>
      </c>
      <c r="C170" s="932">
        <v>1306</v>
      </c>
      <c r="D170" s="432">
        <v>5</v>
      </c>
      <c r="E170" s="432">
        <v>7</v>
      </c>
      <c r="F170" s="432">
        <v>1</v>
      </c>
      <c r="G170" s="432">
        <v>1</v>
      </c>
      <c r="H170" s="432">
        <v>8</v>
      </c>
      <c r="I170" s="432">
        <v>9</v>
      </c>
      <c r="J170" s="432">
        <v>0</v>
      </c>
      <c r="K170" s="933" t="s">
        <v>591</v>
      </c>
    </row>
    <row r="171" spans="1:11" s="934" customFormat="1" ht="15.75" x14ac:dyDescent="0.2">
      <c r="A171" s="936" t="s">
        <v>592</v>
      </c>
      <c r="B171" s="379">
        <f t="shared" si="39"/>
        <v>1267</v>
      </c>
      <c r="C171" s="932">
        <v>1229</v>
      </c>
      <c r="D171" s="432">
        <v>4</v>
      </c>
      <c r="E171" s="432">
        <v>8</v>
      </c>
      <c r="F171" s="940">
        <v>0</v>
      </c>
      <c r="G171" s="940">
        <v>0</v>
      </c>
      <c r="H171" s="432">
        <v>17</v>
      </c>
      <c r="I171" s="432">
        <v>9</v>
      </c>
      <c r="J171" s="432">
        <v>0</v>
      </c>
      <c r="K171" s="933" t="s">
        <v>593</v>
      </c>
    </row>
    <row r="172" spans="1:11" s="934" customFormat="1" ht="15.75" x14ac:dyDescent="0.2">
      <c r="A172" s="936" t="s">
        <v>474</v>
      </c>
      <c r="B172" s="379">
        <f t="shared" si="39"/>
        <v>697</v>
      </c>
      <c r="C172" s="932">
        <v>670</v>
      </c>
      <c r="D172" s="432">
        <v>2</v>
      </c>
      <c r="E172" s="432">
        <v>5</v>
      </c>
      <c r="F172" s="940">
        <v>0</v>
      </c>
      <c r="G172" s="940">
        <v>0</v>
      </c>
      <c r="H172" s="432">
        <v>8</v>
      </c>
      <c r="I172" s="432">
        <v>7</v>
      </c>
      <c r="J172" s="432">
        <v>5</v>
      </c>
      <c r="K172" s="933" t="s">
        <v>475</v>
      </c>
    </row>
    <row r="173" spans="1:11" s="945" customFormat="1" ht="12.75" x14ac:dyDescent="0.2">
      <c r="A173" s="936"/>
      <c r="B173" s="943"/>
      <c r="D173" s="948"/>
      <c r="E173" s="948"/>
      <c r="F173" s="432"/>
      <c r="G173" s="432"/>
      <c r="H173" s="939"/>
      <c r="I173" s="939"/>
      <c r="J173" s="927"/>
    </row>
    <row r="174" spans="1:11" s="934" customFormat="1" ht="15.75" x14ac:dyDescent="0.2">
      <c r="A174" s="433" t="s">
        <v>318</v>
      </c>
      <c r="B174" s="379">
        <f t="shared" ref="B174" si="40">SUM(C174:J174)</f>
        <v>6169</v>
      </c>
      <c r="C174" s="378">
        <f>SUM(C175:C179)</f>
        <v>5776</v>
      </c>
      <c r="D174" s="430">
        <f t="shared" ref="D174:J174" si="41">SUM(D175:D179)</f>
        <v>23</v>
      </c>
      <c r="E174" s="430">
        <f t="shared" si="41"/>
        <v>38</v>
      </c>
      <c r="F174" s="430">
        <f t="shared" si="41"/>
        <v>2</v>
      </c>
      <c r="G174" s="430">
        <f t="shared" si="41"/>
        <v>7</v>
      </c>
      <c r="H174" s="430">
        <f t="shared" si="41"/>
        <v>197</v>
      </c>
      <c r="I174" s="430">
        <f>SUM(I175:I179)</f>
        <v>120</v>
      </c>
      <c r="J174" s="430">
        <f t="shared" si="41"/>
        <v>6</v>
      </c>
      <c r="K174" s="930" t="s">
        <v>319</v>
      </c>
    </row>
    <row r="175" spans="1:11" s="934" customFormat="1" ht="15" customHeight="1" x14ac:dyDescent="0.2">
      <c r="A175" s="931" t="s">
        <v>594</v>
      </c>
      <c r="B175" s="379">
        <f>SUM(C175:J175)</f>
        <v>1293</v>
      </c>
      <c r="C175" s="932">
        <v>1167</v>
      </c>
      <c r="D175" s="432">
        <v>6</v>
      </c>
      <c r="E175" s="432">
        <v>7</v>
      </c>
      <c r="F175" s="940">
        <v>0</v>
      </c>
      <c r="G175" s="940">
        <v>0</v>
      </c>
      <c r="H175" s="432">
        <v>81</v>
      </c>
      <c r="I175" s="432">
        <v>26</v>
      </c>
      <c r="J175" s="432">
        <v>6</v>
      </c>
      <c r="K175" s="933" t="s">
        <v>595</v>
      </c>
    </row>
    <row r="176" spans="1:11" s="934" customFormat="1" ht="15.75" x14ac:dyDescent="0.2">
      <c r="A176" s="931" t="s">
        <v>596</v>
      </c>
      <c r="B176" s="379">
        <f>SUM(C176:J176)</f>
        <v>1334</v>
      </c>
      <c r="C176" s="932">
        <v>1270</v>
      </c>
      <c r="D176" s="432">
        <v>3</v>
      </c>
      <c r="E176" s="432">
        <v>5</v>
      </c>
      <c r="F176" s="432">
        <v>2</v>
      </c>
      <c r="G176" s="432">
        <v>7</v>
      </c>
      <c r="H176" s="432">
        <v>24</v>
      </c>
      <c r="I176" s="432">
        <v>23</v>
      </c>
      <c r="J176" s="432">
        <v>0</v>
      </c>
      <c r="K176" s="933" t="s">
        <v>597</v>
      </c>
    </row>
    <row r="177" spans="1:11" s="934" customFormat="1" ht="15.75" x14ac:dyDescent="0.2">
      <c r="A177" s="931" t="s">
        <v>446</v>
      </c>
      <c r="B177" s="379">
        <f>SUM(C177:J177)</f>
        <v>843</v>
      </c>
      <c r="C177" s="932">
        <v>795</v>
      </c>
      <c r="D177" s="432">
        <v>2</v>
      </c>
      <c r="E177" s="432">
        <v>2</v>
      </c>
      <c r="F177" s="940">
        <v>0</v>
      </c>
      <c r="G177" s="940">
        <v>0</v>
      </c>
      <c r="H177" s="432">
        <v>34</v>
      </c>
      <c r="I177" s="432">
        <v>10</v>
      </c>
      <c r="J177" s="432">
        <v>0</v>
      </c>
      <c r="K177" s="933" t="s">
        <v>447</v>
      </c>
    </row>
    <row r="178" spans="1:11" s="934" customFormat="1" ht="15.75" x14ac:dyDescent="0.2">
      <c r="A178" s="931" t="s">
        <v>598</v>
      </c>
      <c r="B178" s="379">
        <f>SUM(C178:J178)</f>
        <v>583</v>
      </c>
      <c r="C178" s="932">
        <v>540</v>
      </c>
      <c r="D178" s="432">
        <v>4</v>
      </c>
      <c r="E178" s="432">
        <v>6</v>
      </c>
      <c r="F178" s="940">
        <v>0</v>
      </c>
      <c r="G178" s="940">
        <v>0</v>
      </c>
      <c r="H178" s="432">
        <v>20</v>
      </c>
      <c r="I178" s="432">
        <v>13</v>
      </c>
      <c r="J178" s="432">
        <v>0</v>
      </c>
      <c r="K178" s="933" t="s">
        <v>599</v>
      </c>
    </row>
    <row r="179" spans="1:11" s="934" customFormat="1" ht="15.75" x14ac:dyDescent="0.2">
      <c r="A179" s="931" t="s">
        <v>600</v>
      </c>
      <c r="B179" s="379">
        <f>SUM(C179:J179)</f>
        <v>2116</v>
      </c>
      <c r="C179" s="932">
        <v>2004</v>
      </c>
      <c r="D179" s="432">
        <v>8</v>
      </c>
      <c r="E179" s="432">
        <v>18</v>
      </c>
      <c r="F179" s="940">
        <v>0</v>
      </c>
      <c r="G179" s="940">
        <v>0</v>
      </c>
      <c r="H179" s="432">
        <v>38</v>
      </c>
      <c r="I179" s="432">
        <v>48</v>
      </c>
      <c r="J179" s="432">
        <v>0</v>
      </c>
      <c r="K179" s="933" t="s">
        <v>601</v>
      </c>
    </row>
    <row r="180" spans="1:11" s="934" customFormat="1" ht="12.75" x14ac:dyDescent="0.2">
      <c r="A180" s="936"/>
      <c r="B180" s="943"/>
      <c r="C180" s="504"/>
      <c r="D180" s="432"/>
      <c r="E180" s="432"/>
      <c r="F180" s="432"/>
      <c r="G180" s="432"/>
      <c r="H180" s="432"/>
      <c r="I180" s="432"/>
      <c r="J180" s="927"/>
    </row>
    <row r="181" spans="1:11" s="934" customFormat="1" ht="15.75" x14ac:dyDescent="0.2">
      <c r="A181" s="433" t="s">
        <v>320</v>
      </c>
      <c r="B181" s="379">
        <f t="shared" ref="B181" si="42">SUM(C181:J181)</f>
        <v>7752</v>
      </c>
      <c r="C181" s="378">
        <f>SUM(C182:C189)</f>
        <v>7231</v>
      </c>
      <c r="D181" s="430">
        <f t="shared" ref="D181:J181" si="43">SUM(D182:D189)</f>
        <v>43</v>
      </c>
      <c r="E181" s="430">
        <f t="shared" si="43"/>
        <v>65</v>
      </c>
      <c r="F181" s="430">
        <f t="shared" si="43"/>
        <v>1</v>
      </c>
      <c r="G181" s="430">
        <f t="shared" si="43"/>
        <v>1</v>
      </c>
      <c r="H181" s="430">
        <f t="shared" si="43"/>
        <v>277</v>
      </c>
      <c r="I181" s="430">
        <f t="shared" si="43"/>
        <v>127</v>
      </c>
      <c r="J181" s="430">
        <f t="shared" si="43"/>
        <v>7</v>
      </c>
      <c r="K181" s="930" t="s">
        <v>321</v>
      </c>
    </row>
    <row r="182" spans="1:11" s="934" customFormat="1" ht="15.75" x14ac:dyDescent="0.2">
      <c r="A182" s="931" t="s">
        <v>480</v>
      </c>
      <c r="B182" s="379">
        <f t="shared" ref="B182:B189" si="44">SUM(C182:J182)</f>
        <v>1403</v>
      </c>
      <c r="C182" s="932">
        <v>1326</v>
      </c>
      <c r="D182" s="432">
        <v>2</v>
      </c>
      <c r="E182" s="432">
        <v>5</v>
      </c>
      <c r="F182" s="940">
        <v>0</v>
      </c>
      <c r="G182" s="940">
        <v>0</v>
      </c>
      <c r="H182" s="432">
        <v>42</v>
      </c>
      <c r="I182" s="432">
        <v>28</v>
      </c>
      <c r="J182" s="432">
        <v>0</v>
      </c>
      <c r="K182" s="933" t="s">
        <v>481</v>
      </c>
    </row>
    <row r="183" spans="1:11" s="934" customFormat="1" ht="15.75" x14ac:dyDescent="0.2">
      <c r="A183" s="931" t="s">
        <v>602</v>
      </c>
      <c r="B183" s="379">
        <f t="shared" si="44"/>
        <v>1055</v>
      </c>
      <c r="C183" s="932">
        <v>877</v>
      </c>
      <c r="D183" s="432">
        <v>6</v>
      </c>
      <c r="E183" s="432">
        <v>10</v>
      </c>
      <c r="F183" s="940">
        <v>0</v>
      </c>
      <c r="G183" s="940">
        <v>0</v>
      </c>
      <c r="H183" s="432">
        <v>146</v>
      </c>
      <c r="I183" s="432">
        <v>16</v>
      </c>
      <c r="J183" s="432">
        <v>0</v>
      </c>
      <c r="K183" s="933" t="s">
        <v>603</v>
      </c>
    </row>
    <row r="184" spans="1:11" s="934" customFormat="1" ht="15.75" x14ac:dyDescent="0.2">
      <c r="A184" s="931" t="s">
        <v>604</v>
      </c>
      <c r="B184" s="379">
        <f t="shared" si="44"/>
        <v>403</v>
      </c>
      <c r="C184" s="932">
        <v>376</v>
      </c>
      <c r="D184" s="432">
        <v>4</v>
      </c>
      <c r="E184" s="432">
        <v>5</v>
      </c>
      <c r="F184" s="940">
        <v>0</v>
      </c>
      <c r="G184" s="940">
        <v>0</v>
      </c>
      <c r="H184" s="432">
        <v>4</v>
      </c>
      <c r="I184" s="432">
        <v>14</v>
      </c>
      <c r="J184" s="432">
        <v>0</v>
      </c>
      <c r="K184" s="933" t="s">
        <v>605</v>
      </c>
    </row>
    <row r="185" spans="1:11" s="934" customFormat="1" ht="15.75" x14ac:dyDescent="0.2">
      <c r="A185" s="931" t="s">
        <v>606</v>
      </c>
      <c r="B185" s="379">
        <f t="shared" si="44"/>
        <v>933</v>
      </c>
      <c r="C185" s="932">
        <v>878</v>
      </c>
      <c r="D185" s="432">
        <v>7</v>
      </c>
      <c r="E185" s="432">
        <v>8</v>
      </c>
      <c r="F185" s="940">
        <v>0</v>
      </c>
      <c r="G185" s="940">
        <v>0</v>
      </c>
      <c r="H185" s="432">
        <v>26</v>
      </c>
      <c r="I185" s="432">
        <v>14</v>
      </c>
      <c r="J185" s="432">
        <v>0</v>
      </c>
      <c r="K185" s="933" t="s">
        <v>607</v>
      </c>
    </row>
    <row r="186" spans="1:11" s="934" customFormat="1" ht="15.75" x14ac:dyDescent="0.2">
      <c r="A186" s="931" t="s">
        <v>883</v>
      </c>
      <c r="B186" s="379">
        <f t="shared" si="44"/>
        <v>1</v>
      </c>
      <c r="C186" s="932">
        <v>0</v>
      </c>
      <c r="D186" s="940">
        <v>0</v>
      </c>
      <c r="E186" s="940">
        <v>0</v>
      </c>
      <c r="F186" s="940">
        <v>0</v>
      </c>
      <c r="G186" s="940">
        <v>0</v>
      </c>
      <c r="H186" s="432">
        <v>1</v>
      </c>
      <c r="I186" s="432"/>
      <c r="J186" s="432">
        <v>0</v>
      </c>
      <c r="K186" s="944" t="s">
        <v>884</v>
      </c>
    </row>
    <row r="187" spans="1:11" s="934" customFormat="1" ht="15.75" x14ac:dyDescent="0.2">
      <c r="A187" s="931" t="s">
        <v>608</v>
      </c>
      <c r="B187" s="379">
        <f t="shared" si="44"/>
        <v>45</v>
      </c>
      <c r="C187" s="932">
        <v>39</v>
      </c>
      <c r="D187" s="940">
        <v>0</v>
      </c>
      <c r="E187" s="940">
        <v>0</v>
      </c>
      <c r="F187" s="940">
        <v>0</v>
      </c>
      <c r="G187" s="940">
        <v>0</v>
      </c>
      <c r="H187" s="432">
        <v>6</v>
      </c>
      <c r="I187" s="432"/>
      <c r="J187" s="432">
        <v>0</v>
      </c>
      <c r="K187" s="933" t="s">
        <v>609</v>
      </c>
    </row>
    <row r="188" spans="1:11" s="934" customFormat="1" ht="15.75" x14ac:dyDescent="0.2">
      <c r="A188" s="931" t="s">
        <v>610</v>
      </c>
      <c r="B188" s="379">
        <f t="shared" si="44"/>
        <v>998</v>
      </c>
      <c r="C188" s="932">
        <v>953</v>
      </c>
      <c r="D188" s="432">
        <v>4</v>
      </c>
      <c r="E188" s="432">
        <v>6</v>
      </c>
      <c r="F188" s="940">
        <v>0</v>
      </c>
      <c r="G188" s="940">
        <v>0</v>
      </c>
      <c r="H188" s="432">
        <v>19</v>
      </c>
      <c r="I188" s="432">
        <v>16</v>
      </c>
      <c r="J188" s="432">
        <v>0</v>
      </c>
      <c r="K188" s="933" t="s">
        <v>611</v>
      </c>
    </row>
    <row r="189" spans="1:11" s="934" customFormat="1" ht="15.75" x14ac:dyDescent="0.2">
      <c r="A189" s="931" t="s">
        <v>612</v>
      </c>
      <c r="B189" s="379">
        <f t="shared" si="44"/>
        <v>2914</v>
      </c>
      <c r="C189" s="932">
        <v>2782</v>
      </c>
      <c r="D189" s="432">
        <v>20</v>
      </c>
      <c r="E189" s="432">
        <v>31</v>
      </c>
      <c r="F189" s="432">
        <v>1</v>
      </c>
      <c r="G189" s="432">
        <v>1</v>
      </c>
      <c r="H189" s="432">
        <v>33</v>
      </c>
      <c r="I189" s="432">
        <v>39</v>
      </c>
      <c r="J189" s="432">
        <v>7</v>
      </c>
      <c r="K189" s="933" t="s">
        <v>613</v>
      </c>
    </row>
    <row r="190" spans="1:11" s="934" customFormat="1" ht="12.75" x14ac:dyDescent="0.2">
      <c r="A190" s="931"/>
      <c r="B190" s="938"/>
      <c r="C190" s="504"/>
      <c r="D190" s="432"/>
      <c r="E190" s="432"/>
      <c r="F190" s="432"/>
      <c r="G190" s="432"/>
      <c r="H190" s="432"/>
      <c r="I190" s="432"/>
      <c r="J190" s="927"/>
    </row>
    <row r="191" spans="1:11" s="934" customFormat="1" ht="15.75" x14ac:dyDescent="0.2">
      <c r="A191" s="433" t="s">
        <v>322</v>
      </c>
      <c r="B191" s="379">
        <f t="shared" ref="B191" si="45">SUM(C191:J191)</f>
        <v>15528</v>
      </c>
      <c r="C191" s="378">
        <f>SUM(C192:C204)</f>
        <v>14896</v>
      </c>
      <c r="D191" s="430">
        <f t="shared" ref="D191:H191" si="46">SUM(D192:D204)</f>
        <v>74</v>
      </c>
      <c r="E191" s="430">
        <f t="shared" si="46"/>
        <v>133</v>
      </c>
      <c r="F191" s="430">
        <f t="shared" si="46"/>
        <v>5</v>
      </c>
      <c r="G191" s="430">
        <f t="shared" si="46"/>
        <v>6</v>
      </c>
      <c r="H191" s="430">
        <f t="shared" si="46"/>
        <v>182</v>
      </c>
      <c r="I191" s="430">
        <f>SUM(I192:I204)</f>
        <v>215</v>
      </c>
      <c r="J191" s="430">
        <f>SUM(J192:J204)</f>
        <v>17</v>
      </c>
      <c r="K191" s="930" t="s">
        <v>323</v>
      </c>
    </row>
    <row r="192" spans="1:11" s="934" customFormat="1" ht="15.75" x14ac:dyDescent="0.2">
      <c r="A192" s="931" t="s">
        <v>614</v>
      </c>
      <c r="B192" s="379">
        <f t="shared" ref="B192:B204" si="47">SUM(C192:J192)</f>
        <v>609</v>
      </c>
      <c r="C192" s="932">
        <v>571</v>
      </c>
      <c r="D192" s="432">
        <v>3</v>
      </c>
      <c r="E192" s="432">
        <v>6</v>
      </c>
      <c r="F192" s="940">
        <v>0</v>
      </c>
      <c r="G192" s="940">
        <v>0</v>
      </c>
      <c r="H192" s="432">
        <v>12</v>
      </c>
      <c r="I192" s="432">
        <v>12</v>
      </c>
      <c r="J192" s="432">
        <v>5</v>
      </c>
      <c r="K192" s="933" t="s">
        <v>615</v>
      </c>
    </row>
    <row r="193" spans="1:11" s="934" customFormat="1" ht="15.75" x14ac:dyDescent="0.2">
      <c r="A193" s="931" t="s">
        <v>885</v>
      </c>
      <c r="B193" s="379">
        <f t="shared" si="47"/>
        <v>1976</v>
      </c>
      <c r="C193" s="932">
        <v>1899</v>
      </c>
      <c r="D193" s="432">
        <v>9</v>
      </c>
      <c r="E193" s="432">
        <v>18</v>
      </c>
      <c r="F193" s="432">
        <v>1</v>
      </c>
      <c r="G193" s="432">
        <v>1</v>
      </c>
      <c r="H193" s="432">
        <v>36</v>
      </c>
      <c r="I193" s="432">
        <v>12</v>
      </c>
      <c r="J193" s="432">
        <v>0</v>
      </c>
      <c r="K193" s="944" t="s">
        <v>886</v>
      </c>
    </row>
    <row r="194" spans="1:11" s="934" customFormat="1" ht="15.75" x14ac:dyDescent="0.2">
      <c r="A194" s="931" t="s">
        <v>581</v>
      </c>
      <c r="B194" s="379">
        <f t="shared" si="47"/>
        <v>1260</v>
      </c>
      <c r="C194" s="932">
        <v>1223</v>
      </c>
      <c r="D194" s="432">
        <v>4</v>
      </c>
      <c r="E194" s="432">
        <v>5</v>
      </c>
      <c r="F194" s="940">
        <v>0</v>
      </c>
      <c r="G194" s="940">
        <v>0</v>
      </c>
      <c r="H194" s="432">
        <v>10</v>
      </c>
      <c r="I194" s="432">
        <v>15</v>
      </c>
      <c r="J194" s="432">
        <v>3</v>
      </c>
      <c r="K194" s="933" t="s">
        <v>616</v>
      </c>
    </row>
    <row r="195" spans="1:11" s="934" customFormat="1" ht="15.75" x14ac:dyDescent="0.2">
      <c r="A195" s="931" t="s">
        <v>617</v>
      </c>
      <c r="B195" s="379">
        <f t="shared" si="47"/>
        <v>870</v>
      </c>
      <c r="C195" s="932">
        <v>824</v>
      </c>
      <c r="D195" s="432">
        <v>4</v>
      </c>
      <c r="E195" s="432">
        <v>11</v>
      </c>
      <c r="F195" s="940">
        <v>0</v>
      </c>
      <c r="G195" s="940">
        <v>0</v>
      </c>
      <c r="H195" s="432">
        <v>12</v>
      </c>
      <c r="I195" s="432">
        <v>19</v>
      </c>
      <c r="J195" s="432">
        <v>0</v>
      </c>
      <c r="K195" s="933" t="s">
        <v>618</v>
      </c>
    </row>
    <row r="196" spans="1:11" s="934" customFormat="1" ht="15.75" x14ac:dyDescent="0.2">
      <c r="A196" s="931" t="s">
        <v>537</v>
      </c>
      <c r="B196" s="379">
        <f t="shared" si="47"/>
        <v>1961</v>
      </c>
      <c r="C196" s="932">
        <v>1904</v>
      </c>
      <c r="D196" s="432">
        <v>13</v>
      </c>
      <c r="E196" s="432">
        <v>20</v>
      </c>
      <c r="F196" s="432">
        <v>1</v>
      </c>
      <c r="G196" s="432">
        <v>2</v>
      </c>
      <c r="H196" s="432">
        <v>8</v>
      </c>
      <c r="I196" s="432">
        <v>13</v>
      </c>
      <c r="J196" s="432">
        <v>0</v>
      </c>
      <c r="K196" s="933" t="s">
        <v>538</v>
      </c>
    </row>
    <row r="197" spans="1:11" s="934" customFormat="1" ht="15.75" x14ac:dyDescent="0.2">
      <c r="A197" s="931" t="s">
        <v>619</v>
      </c>
      <c r="B197" s="379">
        <f t="shared" si="47"/>
        <v>659</v>
      </c>
      <c r="C197" s="932">
        <v>640</v>
      </c>
      <c r="D197" s="432">
        <v>1</v>
      </c>
      <c r="E197" s="432">
        <v>2</v>
      </c>
      <c r="F197" s="940">
        <v>0</v>
      </c>
      <c r="G197" s="940">
        <v>0</v>
      </c>
      <c r="H197" s="432">
        <v>6</v>
      </c>
      <c r="I197" s="432">
        <v>10</v>
      </c>
      <c r="J197" s="432">
        <v>0</v>
      </c>
      <c r="K197" s="933" t="s">
        <v>620</v>
      </c>
    </row>
    <row r="198" spans="1:11" s="934" customFormat="1" ht="15.75" x14ac:dyDescent="0.2">
      <c r="A198" s="931" t="s">
        <v>621</v>
      </c>
      <c r="B198" s="379">
        <f t="shared" si="47"/>
        <v>390</v>
      </c>
      <c r="C198" s="932">
        <v>376</v>
      </c>
      <c r="D198" s="940">
        <v>0</v>
      </c>
      <c r="E198" s="940">
        <v>0</v>
      </c>
      <c r="F198" s="940">
        <v>0</v>
      </c>
      <c r="G198" s="940">
        <v>0</v>
      </c>
      <c r="H198" s="432">
        <v>6</v>
      </c>
      <c r="I198" s="432">
        <v>8</v>
      </c>
      <c r="J198" s="432">
        <v>0</v>
      </c>
      <c r="K198" s="933" t="s">
        <v>622</v>
      </c>
    </row>
    <row r="199" spans="1:11" s="934" customFormat="1" ht="15.75" x14ac:dyDescent="0.2">
      <c r="A199" s="931" t="s">
        <v>623</v>
      </c>
      <c r="B199" s="379">
        <f t="shared" si="47"/>
        <v>1187</v>
      </c>
      <c r="C199" s="932">
        <v>1119</v>
      </c>
      <c r="D199" s="432">
        <v>10</v>
      </c>
      <c r="E199" s="432">
        <v>17</v>
      </c>
      <c r="F199" s="940">
        <v>0</v>
      </c>
      <c r="G199" s="940">
        <v>0</v>
      </c>
      <c r="H199" s="432">
        <v>18</v>
      </c>
      <c r="I199" s="432">
        <v>21</v>
      </c>
      <c r="J199" s="432">
        <v>2</v>
      </c>
      <c r="K199" s="933" t="s">
        <v>624</v>
      </c>
    </row>
    <row r="200" spans="1:11" s="934" customFormat="1" ht="15.75" x14ac:dyDescent="0.2">
      <c r="A200" s="931" t="s">
        <v>625</v>
      </c>
      <c r="B200" s="379">
        <f t="shared" si="47"/>
        <v>628</v>
      </c>
      <c r="C200" s="932">
        <v>610</v>
      </c>
      <c r="D200" s="432">
        <v>1</v>
      </c>
      <c r="E200" s="432">
        <v>1</v>
      </c>
      <c r="F200" s="940">
        <v>0</v>
      </c>
      <c r="G200" s="940">
        <v>0</v>
      </c>
      <c r="H200" s="432">
        <v>6</v>
      </c>
      <c r="I200" s="432">
        <v>10</v>
      </c>
      <c r="J200" s="432">
        <v>0</v>
      </c>
      <c r="K200" s="933" t="s">
        <v>626</v>
      </c>
    </row>
    <row r="201" spans="1:11" s="934" customFormat="1" ht="15.75" x14ac:dyDescent="0.2">
      <c r="A201" s="931" t="s">
        <v>627</v>
      </c>
      <c r="B201" s="379">
        <f t="shared" si="47"/>
        <v>2474</v>
      </c>
      <c r="C201" s="932">
        <v>2372</v>
      </c>
      <c r="D201" s="432">
        <v>9</v>
      </c>
      <c r="E201" s="432">
        <v>15</v>
      </c>
      <c r="F201" s="940">
        <v>2</v>
      </c>
      <c r="G201" s="940">
        <v>2</v>
      </c>
      <c r="H201" s="432">
        <v>33</v>
      </c>
      <c r="I201" s="432">
        <v>41</v>
      </c>
      <c r="J201" s="432">
        <v>0</v>
      </c>
      <c r="K201" s="933" t="s">
        <v>628</v>
      </c>
    </row>
    <row r="202" spans="1:11" s="934" customFormat="1" ht="15.75" x14ac:dyDescent="0.2">
      <c r="A202" s="936" t="s">
        <v>629</v>
      </c>
      <c r="B202" s="379">
        <f t="shared" si="47"/>
        <v>1320</v>
      </c>
      <c r="C202" s="932">
        <v>1253</v>
      </c>
      <c r="D202" s="432">
        <v>10</v>
      </c>
      <c r="E202" s="432">
        <v>17</v>
      </c>
      <c r="F202" s="940">
        <v>0</v>
      </c>
      <c r="G202" s="940">
        <v>0</v>
      </c>
      <c r="H202" s="432">
        <v>18</v>
      </c>
      <c r="I202" s="432">
        <v>22</v>
      </c>
      <c r="J202" s="432">
        <v>0</v>
      </c>
      <c r="K202" s="933" t="s">
        <v>630</v>
      </c>
    </row>
    <row r="203" spans="1:11" s="934" customFormat="1" ht="15.75" x14ac:dyDescent="0.2">
      <c r="A203" s="936" t="s">
        <v>631</v>
      </c>
      <c r="B203" s="379">
        <f t="shared" si="47"/>
        <v>1464</v>
      </c>
      <c r="C203" s="932">
        <v>1390</v>
      </c>
      <c r="D203" s="432">
        <v>8</v>
      </c>
      <c r="E203" s="432">
        <v>19</v>
      </c>
      <c r="F203" s="940">
        <v>1</v>
      </c>
      <c r="G203" s="940">
        <v>1</v>
      </c>
      <c r="H203" s="432">
        <v>16</v>
      </c>
      <c r="I203" s="432">
        <v>22</v>
      </c>
      <c r="J203" s="432">
        <v>7</v>
      </c>
      <c r="K203" s="933" t="s">
        <v>632</v>
      </c>
    </row>
    <row r="204" spans="1:11" s="934" customFormat="1" ht="15.75" x14ac:dyDescent="0.2">
      <c r="A204" s="936" t="s">
        <v>555</v>
      </c>
      <c r="B204" s="379">
        <f t="shared" si="47"/>
        <v>730</v>
      </c>
      <c r="C204" s="932">
        <v>715</v>
      </c>
      <c r="D204" s="432">
        <v>2</v>
      </c>
      <c r="E204" s="432">
        <v>2</v>
      </c>
      <c r="F204" s="940">
        <v>0</v>
      </c>
      <c r="G204" s="940">
        <v>0</v>
      </c>
      <c r="H204" s="432">
        <v>1</v>
      </c>
      <c r="I204" s="432">
        <v>10</v>
      </c>
      <c r="J204" s="432">
        <v>0</v>
      </c>
      <c r="K204" s="933" t="s">
        <v>556</v>
      </c>
    </row>
    <row r="205" spans="1:11" s="934" customFormat="1" ht="15.75" x14ac:dyDescent="0.2">
      <c r="A205" s="936"/>
      <c r="B205" s="379"/>
      <c r="C205" s="504"/>
      <c r="D205" s="432"/>
      <c r="E205" s="432"/>
      <c r="F205" s="432"/>
      <c r="G205" s="432"/>
      <c r="H205" s="432"/>
      <c r="I205" s="432"/>
      <c r="J205" s="927"/>
      <c r="K205" s="933"/>
    </row>
    <row r="206" spans="1:11" s="945" customFormat="1" ht="15.75" x14ac:dyDescent="0.2">
      <c r="A206" s="949" t="s">
        <v>324</v>
      </c>
      <c r="B206" s="379">
        <f t="shared" ref="B206" si="48">SUM(C206:J206)</f>
        <v>17837</v>
      </c>
      <c r="C206" s="378">
        <f>SUM(C207:C218)</f>
        <v>16872</v>
      </c>
      <c r="D206" s="430">
        <f t="shared" ref="D206:J206" si="49">SUM(D207:D218)</f>
        <v>172</v>
      </c>
      <c r="E206" s="430">
        <f t="shared" si="49"/>
        <v>299</v>
      </c>
      <c r="F206" s="430">
        <f t="shared" si="49"/>
        <v>5</v>
      </c>
      <c r="G206" s="430">
        <f t="shared" si="49"/>
        <v>12</v>
      </c>
      <c r="H206" s="430">
        <f t="shared" si="49"/>
        <v>180</v>
      </c>
      <c r="I206" s="430">
        <f t="shared" si="49"/>
        <v>297</v>
      </c>
      <c r="J206" s="430">
        <f t="shared" si="49"/>
        <v>0</v>
      </c>
      <c r="K206" s="930" t="s">
        <v>325</v>
      </c>
    </row>
    <row r="207" spans="1:11" s="934" customFormat="1" ht="15.75" x14ac:dyDescent="0.2">
      <c r="A207" s="936" t="s">
        <v>633</v>
      </c>
      <c r="B207" s="379">
        <f t="shared" ref="B207:B218" si="50">SUM(C207:J207)</f>
        <v>1371</v>
      </c>
      <c r="C207" s="932">
        <v>1308</v>
      </c>
      <c r="D207" s="432">
        <v>7</v>
      </c>
      <c r="E207" s="432">
        <v>11</v>
      </c>
      <c r="F207" s="432">
        <v>1</v>
      </c>
      <c r="G207" s="432">
        <v>2</v>
      </c>
      <c r="H207" s="432">
        <v>15</v>
      </c>
      <c r="I207" s="432">
        <v>27</v>
      </c>
      <c r="J207" s="432">
        <v>0</v>
      </c>
      <c r="K207" s="933" t="s">
        <v>634</v>
      </c>
    </row>
    <row r="208" spans="1:11" s="934" customFormat="1" ht="15.75" x14ac:dyDescent="0.2">
      <c r="A208" s="936" t="s">
        <v>635</v>
      </c>
      <c r="B208" s="379">
        <f t="shared" si="50"/>
        <v>1045</v>
      </c>
      <c r="C208" s="932">
        <v>988</v>
      </c>
      <c r="D208" s="432">
        <v>7</v>
      </c>
      <c r="E208" s="432">
        <v>16</v>
      </c>
      <c r="F208" s="940">
        <v>0</v>
      </c>
      <c r="G208" s="940">
        <v>0</v>
      </c>
      <c r="H208" s="432">
        <v>17</v>
      </c>
      <c r="I208" s="432">
        <v>17</v>
      </c>
      <c r="J208" s="432">
        <v>0</v>
      </c>
      <c r="K208" s="933" t="s">
        <v>636</v>
      </c>
    </row>
    <row r="209" spans="1:21" s="934" customFormat="1" ht="15.75" x14ac:dyDescent="0.2">
      <c r="A209" s="931" t="s">
        <v>637</v>
      </c>
      <c r="B209" s="379">
        <f t="shared" si="50"/>
        <v>1081</v>
      </c>
      <c r="C209" s="932">
        <v>1035</v>
      </c>
      <c r="D209" s="432">
        <v>1</v>
      </c>
      <c r="E209" s="432">
        <v>3</v>
      </c>
      <c r="F209" s="940">
        <v>0</v>
      </c>
      <c r="G209" s="940">
        <v>0</v>
      </c>
      <c r="H209" s="432">
        <v>16</v>
      </c>
      <c r="I209" s="432">
        <v>26</v>
      </c>
      <c r="J209" s="432">
        <v>0</v>
      </c>
      <c r="K209" s="933" t="s">
        <v>638</v>
      </c>
    </row>
    <row r="210" spans="1:21" s="934" customFormat="1" ht="15.75" x14ac:dyDescent="0.2">
      <c r="A210" s="931" t="s">
        <v>639</v>
      </c>
      <c r="B210" s="379">
        <f t="shared" si="50"/>
        <v>292</v>
      </c>
      <c r="C210" s="932">
        <v>274</v>
      </c>
      <c r="D210" s="432">
        <v>3</v>
      </c>
      <c r="E210" s="432">
        <v>6</v>
      </c>
      <c r="F210" s="940">
        <v>0</v>
      </c>
      <c r="G210" s="940">
        <v>0</v>
      </c>
      <c r="H210" s="432">
        <v>2</v>
      </c>
      <c r="I210" s="432">
        <v>7</v>
      </c>
      <c r="J210" s="432">
        <v>0</v>
      </c>
      <c r="K210" s="933" t="s">
        <v>640</v>
      </c>
    </row>
    <row r="211" spans="1:21" s="934" customFormat="1" ht="15.75" x14ac:dyDescent="0.2">
      <c r="A211" s="931" t="s">
        <v>641</v>
      </c>
      <c r="B211" s="379">
        <f t="shared" si="50"/>
        <v>1042</v>
      </c>
      <c r="C211" s="932">
        <v>1002</v>
      </c>
      <c r="D211" s="432">
        <v>11</v>
      </c>
      <c r="E211" s="432">
        <v>14</v>
      </c>
      <c r="F211" s="940">
        <v>0</v>
      </c>
      <c r="G211" s="940">
        <v>0</v>
      </c>
      <c r="H211" s="432">
        <v>9</v>
      </c>
      <c r="I211" s="432">
        <v>6</v>
      </c>
      <c r="J211" s="432">
        <v>0</v>
      </c>
      <c r="K211" s="933" t="s">
        <v>642</v>
      </c>
    </row>
    <row r="212" spans="1:21" s="934" customFormat="1" ht="15.75" x14ac:dyDescent="0.2">
      <c r="A212" s="931" t="s">
        <v>643</v>
      </c>
      <c r="B212" s="379">
        <f t="shared" si="50"/>
        <v>4772</v>
      </c>
      <c r="C212" s="932">
        <v>4468</v>
      </c>
      <c r="D212" s="432">
        <v>61</v>
      </c>
      <c r="E212" s="432">
        <v>103</v>
      </c>
      <c r="F212" s="432">
        <v>4</v>
      </c>
      <c r="G212" s="432">
        <v>10</v>
      </c>
      <c r="H212" s="432">
        <v>30</v>
      </c>
      <c r="I212" s="432">
        <v>96</v>
      </c>
      <c r="J212" s="432">
        <v>0</v>
      </c>
      <c r="K212" s="933" t="s">
        <v>644</v>
      </c>
    </row>
    <row r="213" spans="1:21" s="934" customFormat="1" ht="15.75" x14ac:dyDescent="0.2">
      <c r="A213" s="931" t="s">
        <v>645</v>
      </c>
      <c r="B213" s="379">
        <f t="shared" si="50"/>
        <v>2004</v>
      </c>
      <c r="C213" s="932">
        <v>1891</v>
      </c>
      <c r="D213" s="432">
        <v>15</v>
      </c>
      <c r="E213" s="432">
        <v>25</v>
      </c>
      <c r="F213" s="940">
        <v>0</v>
      </c>
      <c r="G213" s="940">
        <v>0</v>
      </c>
      <c r="H213" s="432">
        <v>37</v>
      </c>
      <c r="I213" s="432">
        <v>36</v>
      </c>
      <c r="J213" s="432">
        <v>0</v>
      </c>
      <c r="K213" s="933" t="s">
        <v>646</v>
      </c>
    </row>
    <row r="214" spans="1:21" s="934" customFormat="1" ht="15.75" x14ac:dyDescent="0.2">
      <c r="A214" s="931" t="s">
        <v>647</v>
      </c>
      <c r="B214" s="379">
        <f t="shared" si="50"/>
        <v>2616</v>
      </c>
      <c r="C214" s="932">
        <v>2518</v>
      </c>
      <c r="D214" s="432">
        <v>21</v>
      </c>
      <c r="E214" s="432">
        <v>40</v>
      </c>
      <c r="F214" s="940">
        <v>0</v>
      </c>
      <c r="G214" s="940">
        <v>0</v>
      </c>
      <c r="H214" s="432">
        <v>16</v>
      </c>
      <c r="I214" s="432">
        <v>21</v>
      </c>
      <c r="J214" s="432">
        <v>0</v>
      </c>
      <c r="K214" s="933" t="s">
        <v>648</v>
      </c>
    </row>
    <row r="215" spans="1:21" s="934" customFormat="1" ht="15.75" x14ac:dyDescent="0.2">
      <c r="A215" s="931" t="s">
        <v>649</v>
      </c>
      <c r="B215" s="379">
        <f t="shared" si="50"/>
        <v>160</v>
      </c>
      <c r="C215" s="932">
        <v>143</v>
      </c>
      <c r="D215" s="432">
        <v>2</v>
      </c>
      <c r="E215" s="432">
        <v>2</v>
      </c>
      <c r="F215" s="940">
        <v>0</v>
      </c>
      <c r="G215" s="940">
        <v>0</v>
      </c>
      <c r="H215" s="432">
        <v>0</v>
      </c>
      <c r="I215" s="432">
        <v>13</v>
      </c>
      <c r="J215" s="432">
        <v>0</v>
      </c>
      <c r="K215" s="933" t="s">
        <v>650</v>
      </c>
    </row>
    <row r="216" spans="1:21" s="934" customFormat="1" ht="15.75" x14ac:dyDescent="0.2">
      <c r="A216" s="931" t="s">
        <v>651</v>
      </c>
      <c r="B216" s="379">
        <f t="shared" si="50"/>
        <v>1310</v>
      </c>
      <c r="C216" s="932">
        <v>1228</v>
      </c>
      <c r="D216" s="432">
        <v>17</v>
      </c>
      <c r="E216" s="432">
        <v>29</v>
      </c>
      <c r="F216" s="940">
        <v>0</v>
      </c>
      <c r="G216" s="940">
        <v>0</v>
      </c>
      <c r="H216" s="432">
        <v>17</v>
      </c>
      <c r="I216" s="432">
        <v>19</v>
      </c>
      <c r="J216" s="432">
        <v>0</v>
      </c>
      <c r="K216" s="933" t="s">
        <v>652</v>
      </c>
    </row>
    <row r="217" spans="1:21" s="934" customFormat="1" ht="15.75" x14ac:dyDescent="0.2">
      <c r="A217" s="931" t="s">
        <v>653</v>
      </c>
      <c r="B217" s="379">
        <f t="shared" si="50"/>
        <v>1260</v>
      </c>
      <c r="C217" s="932">
        <v>1173</v>
      </c>
      <c r="D217" s="432">
        <v>23</v>
      </c>
      <c r="E217" s="432">
        <v>44</v>
      </c>
      <c r="F217" s="940">
        <v>0</v>
      </c>
      <c r="G217" s="940">
        <v>0</v>
      </c>
      <c r="H217" s="432">
        <v>7</v>
      </c>
      <c r="I217" s="432">
        <v>13</v>
      </c>
      <c r="J217" s="432">
        <v>0</v>
      </c>
      <c r="K217" s="933" t="s">
        <v>654</v>
      </c>
    </row>
    <row r="218" spans="1:21" s="934" customFormat="1" ht="15.75" x14ac:dyDescent="0.2">
      <c r="A218" s="936" t="s">
        <v>655</v>
      </c>
      <c r="B218" s="379">
        <f t="shared" si="50"/>
        <v>884</v>
      </c>
      <c r="C218" s="932">
        <v>844</v>
      </c>
      <c r="D218" s="432">
        <v>4</v>
      </c>
      <c r="E218" s="432">
        <v>6</v>
      </c>
      <c r="F218" s="940">
        <v>0</v>
      </c>
      <c r="G218" s="940">
        <v>0</v>
      </c>
      <c r="H218" s="432">
        <v>14</v>
      </c>
      <c r="I218" s="432">
        <v>16</v>
      </c>
      <c r="J218" s="432">
        <v>0</v>
      </c>
      <c r="K218" s="933" t="s">
        <v>656</v>
      </c>
    </row>
    <row r="219" spans="1:21" s="902" customFormat="1" ht="12.75" x14ac:dyDescent="0.2">
      <c r="A219" s="950"/>
      <c r="B219" s="951"/>
      <c r="C219" s="504"/>
      <c r="D219" s="432"/>
      <c r="E219" s="432"/>
      <c r="F219" s="432"/>
      <c r="G219" s="432"/>
      <c r="H219" s="432"/>
      <c r="I219" s="432"/>
      <c r="J219" s="927"/>
      <c r="K219" s="934"/>
      <c r="L219" s="934"/>
      <c r="M219" s="934"/>
      <c r="N219" s="934"/>
      <c r="O219" s="934"/>
      <c r="P219" s="934"/>
      <c r="Q219" s="934"/>
      <c r="R219" s="934"/>
      <c r="S219" s="934"/>
      <c r="T219" s="934"/>
      <c r="U219" s="934"/>
    </row>
    <row r="220" spans="1:21" s="902" customFormat="1" ht="15.75" x14ac:dyDescent="0.2">
      <c r="A220" s="433" t="s">
        <v>326</v>
      </c>
      <c r="B220" s="379">
        <f t="shared" ref="B220" si="51">SUM(C220:J220)</f>
        <v>14370</v>
      </c>
      <c r="C220" s="378">
        <f>SUM(C221:C230)</f>
        <v>13407</v>
      </c>
      <c r="D220" s="430">
        <f>SUM(D221:D230)</f>
        <v>75</v>
      </c>
      <c r="E220" s="430">
        <f t="shared" ref="E220:J220" si="52">SUM(E221:E230)</f>
        <v>148</v>
      </c>
      <c r="F220" s="430">
        <f t="shared" si="52"/>
        <v>7</v>
      </c>
      <c r="G220" s="430">
        <f t="shared" si="52"/>
        <v>7</v>
      </c>
      <c r="H220" s="430">
        <f t="shared" si="52"/>
        <v>309</v>
      </c>
      <c r="I220" s="430">
        <f t="shared" si="52"/>
        <v>317</v>
      </c>
      <c r="J220" s="430">
        <f t="shared" si="52"/>
        <v>100</v>
      </c>
      <c r="K220" s="930" t="s">
        <v>327</v>
      </c>
      <c r="L220" s="934"/>
      <c r="M220" s="934"/>
      <c r="N220" s="934"/>
      <c r="O220" s="934"/>
      <c r="P220" s="934"/>
      <c r="Q220" s="934"/>
      <c r="R220" s="934"/>
      <c r="S220" s="934"/>
      <c r="T220" s="934"/>
      <c r="U220" s="934"/>
    </row>
    <row r="221" spans="1:21" s="902" customFormat="1" ht="15.75" x14ac:dyDescent="0.2">
      <c r="A221" s="936" t="s">
        <v>657</v>
      </c>
      <c r="B221" s="379">
        <f t="shared" ref="B221:B230" si="53">SUM(C221:J221)</f>
        <v>1623</v>
      </c>
      <c r="C221" s="932">
        <v>1570</v>
      </c>
      <c r="D221" s="432">
        <v>4</v>
      </c>
      <c r="E221" s="432">
        <v>8</v>
      </c>
      <c r="F221" s="432">
        <v>1</v>
      </c>
      <c r="G221" s="432">
        <v>1</v>
      </c>
      <c r="H221" s="432">
        <v>15</v>
      </c>
      <c r="I221" s="432">
        <v>24</v>
      </c>
      <c r="J221" s="432">
        <v>0</v>
      </c>
      <c r="K221" s="933" t="s">
        <v>658</v>
      </c>
    </row>
    <row r="222" spans="1:21" s="902" customFormat="1" ht="15.75" x14ac:dyDescent="0.2">
      <c r="A222" s="936" t="s">
        <v>659</v>
      </c>
      <c r="B222" s="379">
        <f t="shared" si="53"/>
        <v>3612</v>
      </c>
      <c r="C222" s="932">
        <v>3395</v>
      </c>
      <c r="D222" s="432">
        <v>19</v>
      </c>
      <c r="E222" s="432">
        <v>36</v>
      </c>
      <c r="F222" s="432">
        <v>2</v>
      </c>
      <c r="G222" s="432">
        <v>2</v>
      </c>
      <c r="H222" s="432">
        <v>80</v>
      </c>
      <c r="I222" s="432">
        <v>69</v>
      </c>
      <c r="J222" s="432">
        <v>9</v>
      </c>
      <c r="K222" s="933" t="s">
        <v>660</v>
      </c>
    </row>
    <row r="223" spans="1:21" s="902" customFormat="1" ht="15.75" x14ac:dyDescent="0.2">
      <c r="A223" s="936" t="s">
        <v>651</v>
      </c>
      <c r="B223" s="379">
        <f t="shared" si="53"/>
        <v>1588</v>
      </c>
      <c r="C223" s="932">
        <v>1427</v>
      </c>
      <c r="D223" s="432">
        <v>7</v>
      </c>
      <c r="E223" s="432">
        <v>13</v>
      </c>
      <c r="F223" s="940">
        <v>0</v>
      </c>
      <c r="G223" s="940">
        <v>0</v>
      </c>
      <c r="H223" s="432">
        <v>13</v>
      </c>
      <c r="I223" s="432">
        <v>52</v>
      </c>
      <c r="J223" s="432">
        <v>76</v>
      </c>
      <c r="K223" s="933" t="s">
        <v>652</v>
      </c>
    </row>
    <row r="224" spans="1:21" s="902" customFormat="1" ht="15.75" x14ac:dyDescent="0.2">
      <c r="A224" s="936" t="s">
        <v>600</v>
      </c>
      <c r="B224" s="379">
        <f t="shared" si="53"/>
        <v>869</v>
      </c>
      <c r="C224" s="932">
        <v>823</v>
      </c>
      <c r="D224" s="432">
        <v>6</v>
      </c>
      <c r="E224" s="432">
        <v>13</v>
      </c>
      <c r="F224" s="432">
        <v>2</v>
      </c>
      <c r="G224" s="432">
        <v>2</v>
      </c>
      <c r="H224" s="432">
        <v>3</v>
      </c>
      <c r="I224" s="432">
        <v>20</v>
      </c>
      <c r="J224" s="432">
        <v>0</v>
      </c>
      <c r="K224" s="933" t="s">
        <v>601</v>
      </c>
    </row>
    <row r="225" spans="1:11" s="902" customFormat="1" ht="15.75" x14ac:dyDescent="0.2">
      <c r="A225" s="936" t="s">
        <v>661</v>
      </c>
      <c r="B225" s="379">
        <f t="shared" si="53"/>
        <v>2101</v>
      </c>
      <c r="C225" s="932">
        <v>1875</v>
      </c>
      <c r="D225" s="432">
        <v>15</v>
      </c>
      <c r="E225" s="432">
        <v>28</v>
      </c>
      <c r="F225" s="940">
        <v>0</v>
      </c>
      <c r="G225" s="940">
        <v>0</v>
      </c>
      <c r="H225" s="432">
        <v>94</v>
      </c>
      <c r="I225" s="432">
        <v>74</v>
      </c>
      <c r="J225" s="432">
        <v>15</v>
      </c>
      <c r="K225" s="933" t="s">
        <v>662</v>
      </c>
    </row>
    <row r="226" spans="1:11" s="902" customFormat="1" ht="15.75" x14ac:dyDescent="0.2">
      <c r="A226" s="936" t="s">
        <v>663</v>
      </c>
      <c r="B226" s="379">
        <f t="shared" si="53"/>
        <v>1286</v>
      </c>
      <c r="C226" s="932">
        <v>1211</v>
      </c>
      <c r="D226" s="432">
        <v>1</v>
      </c>
      <c r="E226" s="432">
        <v>1</v>
      </c>
      <c r="F226" s="940">
        <v>0</v>
      </c>
      <c r="G226" s="940">
        <v>0</v>
      </c>
      <c r="H226" s="432">
        <v>47</v>
      </c>
      <c r="I226" s="432">
        <v>26</v>
      </c>
      <c r="J226" s="432">
        <v>0</v>
      </c>
      <c r="K226" s="933" t="s">
        <v>664</v>
      </c>
    </row>
    <row r="227" spans="1:11" s="902" customFormat="1" ht="15.75" x14ac:dyDescent="0.2">
      <c r="A227" s="936" t="s">
        <v>665</v>
      </c>
      <c r="B227" s="379">
        <f t="shared" si="53"/>
        <v>536</v>
      </c>
      <c r="C227" s="932">
        <v>510</v>
      </c>
      <c r="D227" s="432">
        <v>4</v>
      </c>
      <c r="E227" s="432">
        <v>9</v>
      </c>
      <c r="F227" s="940">
        <v>0</v>
      </c>
      <c r="G227" s="940">
        <v>0</v>
      </c>
      <c r="H227" s="432">
        <v>6</v>
      </c>
      <c r="I227" s="432">
        <v>7</v>
      </c>
      <c r="J227" s="432">
        <v>0</v>
      </c>
      <c r="K227" s="933" t="s">
        <v>666</v>
      </c>
    </row>
    <row r="228" spans="1:11" s="902" customFormat="1" ht="15.75" x14ac:dyDescent="0.2">
      <c r="A228" s="936" t="s">
        <v>667</v>
      </c>
      <c r="B228" s="379">
        <f t="shared" si="53"/>
        <v>20</v>
      </c>
      <c r="C228" s="932">
        <v>16</v>
      </c>
      <c r="D228" s="940">
        <v>0</v>
      </c>
      <c r="E228" s="940">
        <v>0</v>
      </c>
      <c r="F228" s="940">
        <v>0</v>
      </c>
      <c r="G228" s="940">
        <v>0</v>
      </c>
      <c r="H228" s="432">
        <v>4</v>
      </c>
      <c r="I228" s="432">
        <v>0</v>
      </c>
      <c r="J228" s="432">
        <v>0</v>
      </c>
      <c r="K228" s="933" t="s">
        <v>668</v>
      </c>
    </row>
    <row r="229" spans="1:11" s="902" customFormat="1" ht="15.75" x14ac:dyDescent="0.2">
      <c r="A229" s="936" t="s">
        <v>669</v>
      </c>
      <c r="B229" s="379">
        <f t="shared" si="53"/>
        <v>1763</v>
      </c>
      <c r="C229" s="932">
        <v>1666</v>
      </c>
      <c r="D229" s="432">
        <v>13</v>
      </c>
      <c r="E229" s="432">
        <v>27</v>
      </c>
      <c r="F229" s="432">
        <v>2</v>
      </c>
      <c r="G229" s="432">
        <v>2</v>
      </c>
      <c r="H229" s="432">
        <v>27</v>
      </c>
      <c r="I229" s="432">
        <v>26</v>
      </c>
      <c r="J229" s="432">
        <v>0</v>
      </c>
      <c r="K229" s="933" t="s">
        <v>670</v>
      </c>
    </row>
    <row r="230" spans="1:11" s="902" customFormat="1" ht="15.75" x14ac:dyDescent="0.2">
      <c r="A230" s="936" t="s">
        <v>671</v>
      </c>
      <c r="B230" s="379">
        <f t="shared" si="53"/>
        <v>972</v>
      </c>
      <c r="C230" s="932">
        <v>914</v>
      </c>
      <c r="D230" s="432">
        <v>6</v>
      </c>
      <c r="E230" s="432">
        <v>13</v>
      </c>
      <c r="F230" s="940">
        <v>0</v>
      </c>
      <c r="G230" s="940">
        <v>0</v>
      </c>
      <c r="H230" s="432">
        <v>20</v>
      </c>
      <c r="I230" s="432">
        <v>19</v>
      </c>
      <c r="J230" s="432">
        <v>0</v>
      </c>
      <c r="K230" s="933" t="s">
        <v>672</v>
      </c>
    </row>
    <row r="231" spans="1:11" s="902" customFormat="1" ht="15.75" x14ac:dyDescent="0.2">
      <c r="A231" s="936"/>
      <c r="B231" s="379"/>
      <c r="C231" s="504"/>
      <c r="D231" s="432"/>
      <c r="E231" s="432"/>
      <c r="F231" s="432"/>
      <c r="G231" s="432"/>
      <c r="H231" s="432"/>
      <c r="I231" s="432"/>
      <c r="J231" s="927"/>
      <c r="K231" s="933"/>
    </row>
    <row r="232" spans="1:11" s="952" customFormat="1" ht="15.75" x14ac:dyDescent="0.2">
      <c r="A232" s="949" t="s">
        <v>328</v>
      </c>
      <c r="B232" s="379">
        <f t="shared" ref="B232" si="54">SUM(C232:J232)</f>
        <v>20689</v>
      </c>
      <c r="C232" s="378">
        <f>SUM(C233:C241)</f>
        <v>19336</v>
      </c>
      <c r="D232" s="430">
        <f t="shared" ref="D232:J232" si="55">SUM(D233:D241)</f>
        <v>148</v>
      </c>
      <c r="E232" s="430">
        <f t="shared" si="55"/>
        <v>292</v>
      </c>
      <c r="F232" s="430">
        <f t="shared" si="55"/>
        <v>9</v>
      </c>
      <c r="G232" s="430">
        <f t="shared" si="55"/>
        <v>17</v>
      </c>
      <c r="H232" s="430">
        <f t="shared" si="55"/>
        <v>453</v>
      </c>
      <c r="I232" s="430">
        <f>SUM(I233:I241)</f>
        <v>411</v>
      </c>
      <c r="J232" s="430">
        <f t="shared" si="55"/>
        <v>23</v>
      </c>
      <c r="K232" s="930" t="s">
        <v>329</v>
      </c>
    </row>
    <row r="233" spans="1:11" s="952" customFormat="1" ht="15.75" x14ac:dyDescent="0.2">
      <c r="A233" s="936" t="s">
        <v>673</v>
      </c>
      <c r="B233" s="379">
        <f t="shared" ref="B233:B241" si="56">SUM(C233:J233)</f>
        <v>1982</v>
      </c>
      <c r="C233" s="932">
        <v>1852</v>
      </c>
      <c r="D233" s="432">
        <v>15</v>
      </c>
      <c r="E233" s="432">
        <v>26</v>
      </c>
      <c r="F233" s="432">
        <v>0</v>
      </c>
      <c r="G233" s="432">
        <v>0</v>
      </c>
      <c r="H233" s="432">
        <v>9</v>
      </c>
      <c r="I233" s="432">
        <v>67</v>
      </c>
      <c r="J233" s="432">
        <v>13</v>
      </c>
      <c r="K233" s="933" t="s">
        <v>674</v>
      </c>
    </row>
    <row r="234" spans="1:11" s="952" customFormat="1" ht="15.75" x14ac:dyDescent="0.2">
      <c r="A234" s="936" t="s">
        <v>675</v>
      </c>
      <c r="B234" s="379">
        <f t="shared" si="56"/>
        <v>1292</v>
      </c>
      <c r="C234" s="932">
        <v>1220</v>
      </c>
      <c r="D234" s="432">
        <v>10</v>
      </c>
      <c r="E234" s="432">
        <v>20</v>
      </c>
      <c r="F234" s="432">
        <v>0</v>
      </c>
      <c r="G234" s="432">
        <v>0</v>
      </c>
      <c r="H234" s="432">
        <v>19</v>
      </c>
      <c r="I234" s="432">
        <v>23</v>
      </c>
      <c r="J234" s="432">
        <v>0</v>
      </c>
      <c r="K234" s="933" t="s">
        <v>676</v>
      </c>
    </row>
    <row r="235" spans="1:11" s="952" customFormat="1" ht="15.75" x14ac:dyDescent="0.2">
      <c r="A235" s="936" t="s">
        <v>677</v>
      </c>
      <c r="B235" s="379">
        <f t="shared" si="56"/>
        <v>1143</v>
      </c>
      <c r="C235" s="932">
        <v>1074</v>
      </c>
      <c r="D235" s="432">
        <v>8</v>
      </c>
      <c r="E235" s="432">
        <v>15</v>
      </c>
      <c r="F235" s="432">
        <v>1</v>
      </c>
      <c r="G235" s="432">
        <v>1</v>
      </c>
      <c r="H235" s="432">
        <v>14</v>
      </c>
      <c r="I235" s="432">
        <v>28</v>
      </c>
      <c r="J235" s="432">
        <v>2</v>
      </c>
      <c r="K235" s="933" t="s">
        <v>678</v>
      </c>
    </row>
    <row r="236" spans="1:11" s="952" customFormat="1" ht="15.75" x14ac:dyDescent="0.2">
      <c r="A236" s="936" t="s">
        <v>679</v>
      </c>
      <c r="B236" s="379">
        <f t="shared" si="56"/>
        <v>2942</v>
      </c>
      <c r="C236" s="932">
        <v>2803</v>
      </c>
      <c r="D236" s="432">
        <v>18</v>
      </c>
      <c r="E236" s="432">
        <v>34</v>
      </c>
      <c r="F236" s="432">
        <v>1</v>
      </c>
      <c r="G236" s="432">
        <v>2</v>
      </c>
      <c r="H236" s="432">
        <v>37</v>
      </c>
      <c r="I236" s="432">
        <v>47</v>
      </c>
      <c r="J236" s="432">
        <v>0</v>
      </c>
      <c r="K236" s="933" t="s">
        <v>680</v>
      </c>
    </row>
    <row r="237" spans="1:11" s="952" customFormat="1" ht="15.75" x14ac:dyDescent="0.2">
      <c r="A237" s="936" t="s">
        <v>681</v>
      </c>
      <c r="B237" s="379">
        <f t="shared" si="56"/>
        <v>1347</v>
      </c>
      <c r="C237" s="932">
        <v>1291</v>
      </c>
      <c r="D237" s="432">
        <v>6</v>
      </c>
      <c r="E237" s="432">
        <v>15</v>
      </c>
      <c r="F237" s="432">
        <v>1</v>
      </c>
      <c r="G237" s="432">
        <v>1</v>
      </c>
      <c r="H237" s="432">
        <v>15</v>
      </c>
      <c r="I237" s="432">
        <v>18</v>
      </c>
      <c r="J237" s="432">
        <v>0</v>
      </c>
      <c r="K237" s="933" t="s">
        <v>682</v>
      </c>
    </row>
    <row r="238" spans="1:11" s="902" customFormat="1" ht="15.75" x14ac:dyDescent="0.2">
      <c r="A238" s="931" t="s">
        <v>459</v>
      </c>
      <c r="B238" s="379">
        <f t="shared" si="56"/>
        <v>1566</v>
      </c>
      <c r="C238" s="932">
        <v>1319</v>
      </c>
      <c r="D238" s="432">
        <v>5</v>
      </c>
      <c r="E238" s="432">
        <v>13</v>
      </c>
      <c r="F238" s="432">
        <v>0</v>
      </c>
      <c r="G238" s="432">
        <v>0</v>
      </c>
      <c r="H238" s="432">
        <v>209</v>
      </c>
      <c r="I238" s="432">
        <v>20</v>
      </c>
      <c r="J238" s="432">
        <v>0</v>
      </c>
      <c r="K238" s="933" t="s">
        <v>460</v>
      </c>
    </row>
    <row r="239" spans="1:11" s="902" customFormat="1" ht="15.75" x14ac:dyDescent="0.2">
      <c r="A239" s="931" t="s">
        <v>683</v>
      </c>
      <c r="B239" s="379">
        <f t="shared" si="56"/>
        <v>1467</v>
      </c>
      <c r="C239" s="932">
        <v>1401</v>
      </c>
      <c r="D239" s="432">
        <v>10</v>
      </c>
      <c r="E239" s="432">
        <v>27</v>
      </c>
      <c r="F239" s="432">
        <v>0</v>
      </c>
      <c r="G239" s="432">
        <v>0</v>
      </c>
      <c r="H239" s="432">
        <v>16</v>
      </c>
      <c r="I239" s="432">
        <v>13</v>
      </c>
      <c r="J239" s="432">
        <v>0</v>
      </c>
      <c r="K239" s="933" t="s">
        <v>684</v>
      </c>
    </row>
    <row r="240" spans="1:11" s="902" customFormat="1" ht="15.75" x14ac:dyDescent="0.2">
      <c r="A240" s="931" t="s">
        <v>685</v>
      </c>
      <c r="B240" s="379">
        <f t="shared" si="56"/>
        <v>1786</v>
      </c>
      <c r="C240" s="932">
        <v>1633</v>
      </c>
      <c r="D240" s="432">
        <v>16</v>
      </c>
      <c r="E240" s="432">
        <v>30</v>
      </c>
      <c r="F240" s="432">
        <v>0</v>
      </c>
      <c r="G240" s="432">
        <v>0</v>
      </c>
      <c r="H240" s="432">
        <v>59</v>
      </c>
      <c r="I240" s="432">
        <v>48</v>
      </c>
      <c r="J240" s="432">
        <v>0</v>
      </c>
      <c r="K240" s="933" t="s">
        <v>686</v>
      </c>
    </row>
    <row r="241" spans="1:11" s="902" customFormat="1" ht="15.75" x14ac:dyDescent="0.2">
      <c r="A241" s="931" t="s">
        <v>571</v>
      </c>
      <c r="B241" s="379">
        <f t="shared" si="56"/>
        <v>7164</v>
      </c>
      <c r="C241" s="932">
        <v>6743</v>
      </c>
      <c r="D241" s="432">
        <v>60</v>
      </c>
      <c r="E241" s="432">
        <v>112</v>
      </c>
      <c r="F241" s="432">
        <v>6</v>
      </c>
      <c r="G241" s="432">
        <v>13</v>
      </c>
      <c r="H241" s="432">
        <v>75</v>
      </c>
      <c r="I241" s="432">
        <v>147</v>
      </c>
      <c r="J241" s="432">
        <v>8</v>
      </c>
      <c r="K241" s="933" t="s">
        <v>572</v>
      </c>
    </row>
    <row r="242" spans="1:11" s="902" customFormat="1" ht="12.75" x14ac:dyDescent="0.2">
      <c r="A242" s="936"/>
      <c r="B242" s="943"/>
      <c r="C242" s="504"/>
      <c r="D242" s="432"/>
      <c r="E242" s="432"/>
      <c r="F242" s="432"/>
      <c r="G242" s="432"/>
      <c r="H242" s="432"/>
      <c r="I242" s="432"/>
      <c r="J242" s="927"/>
      <c r="K242" s="934"/>
    </row>
    <row r="243" spans="1:11" s="902" customFormat="1" ht="15.75" x14ac:dyDescent="0.2">
      <c r="A243" s="949" t="s">
        <v>330</v>
      </c>
      <c r="B243" s="379">
        <f>SUM(C243:J243)</f>
        <v>11952</v>
      </c>
      <c r="C243" s="378">
        <f>SUM(C244)</f>
        <v>11150</v>
      </c>
      <c r="D243" s="430">
        <f t="shared" ref="D243:J243" si="57">SUM(D244)</f>
        <v>121</v>
      </c>
      <c r="E243" s="430">
        <f t="shared" si="57"/>
        <v>226</v>
      </c>
      <c r="F243" s="430">
        <f t="shared" si="57"/>
        <v>11</v>
      </c>
      <c r="G243" s="430">
        <f t="shared" si="57"/>
        <v>18</v>
      </c>
      <c r="H243" s="430">
        <f t="shared" si="57"/>
        <v>108</v>
      </c>
      <c r="I243" s="430">
        <f>SUM(I244)</f>
        <v>289</v>
      </c>
      <c r="J243" s="430">
        <f t="shared" si="57"/>
        <v>29</v>
      </c>
      <c r="K243" s="930" t="s">
        <v>331</v>
      </c>
    </row>
    <row r="244" spans="1:11" s="902" customFormat="1" ht="15.75" x14ac:dyDescent="0.2">
      <c r="A244" s="936" t="s">
        <v>687</v>
      </c>
      <c r="B244" s="379">
        <f>SUM(C244:J244)</f>
        <v>11952</v>
      </c>
      <c r="C244" s="932">
        <v>11150</v>
      </c>
      <c r="D244" s="432">
        <v>121</v>
      </c>
      <c r="E244" s="432">
        <v>226</v>
      </c>
      <c r="F244" s="432">
        <v>11</v>
      </c>
      <c r="G244" s="432">
        <v>18</v>
      </c>
      <c r="H244" s="432">
        <v>108</v>
      </c>
      <c r="I244" s="432">
        <v>289</v>
      </c>
      <c r="J244" s="432">
        <v>29</v>
      </c>
      <c r="K244" s="933" t="s">
        <v>688</v>
      </c>
    </row>
    <row r="245" spans="1:11" s="902" customFormat="1" ht="12.75" x14ac:dyDescent="0.2">
      <c r="A245" s="936"/>
      <c r="B245" s="943"/>
      <c r="C245" s="504"/>
      <c r="D245" s="432"/>
      <c r="E245" s="432"/>
      <c r="F245" s="432"/>
      <c r="G245" s="432"/>
      <c r="H245" s="432"/>
      <c r="I245" s="432"/>
      <c r="J245" s="432">
        <v>0</v>
      </c>
      <c r="K245" s="934"/>
    </row>
    <row r="246" spans="1:11" s="902" customFormat="1" ht="15.75" x14ac:dyDescent="0.2">
      <c r="A246" s="949" t="s">
        <v>332</v>
      </c>
      <c r="B246" s="379">
        <f>SUM(C246:J246)</f>
        <v>31131</v>
      </c>
      <c r="C246" s="378">
        <f>SUM(C247:C252)</f>
        <v>29637</v>
      </c>
      <c r="D246" s="430">
        <f t="shared" ref="D246:J246" si="58">SUM(D247:D252)</f>
        <v>224</v>
      </c>
      <c r="E246" s="430">
        <f t="shared" si="58"/>
        <v>396</v>
      </c>
      <c r="F246" s="430">
        <f t="shared" si="58"/>
        <v>6</v>
      </c>
      <c r="G246" s="430">
        <f t="shared" si="58"/>
        <v>8</v>
      </c>
      <c r="H246" s="430">
        <f t="shared" si="58"/>
        <v>302</v>
      </c>
      <c r="I246" s="430">
        <f>SUM(I247:I252)</f>
        <v>558</v>
      </c>
      <c r="J246" s="430">
        <f t="shared" si="58"/>
        <v>0</v>
      </c>
      <c r="K246" s="930" t="s">
        <v>333</v>
      </c>
    </row>
    <row r="247" spans="1:11" s="902" customFormat="1" ht="15.75" x14ac:dyDescent="0.2">
      <c r="A247" s="936" t="s">
        <v>480</v>
      </c>
      <c r="B247" s="379">
        <f>SUM(C247:J247)</f>
        <v>2781</v>
      </c>
      <c r="C247" s="932">
        <v>2642</v>
      </c>
      <c r="D247" s="432">
        <v>27</v>
      </c>
      <c r="E247" s="432">
        <v>46</v>
      </c>
      <c r="F247" s="432">
        <v>0</v>
      </c>
      <c r="G247" s="432">
        <v>0</v>
      </c>
      <c r="H247" s="432">
        <v>13</v>
      </c>
      <c r="I247" s="432">
        <v>53</v>
      </c>
      <c r="J247" s="432">
        <v>0</v>
      </c>
      <c r="K247" s="933" t="s">
        <v>481</v>
      </c>
    </row>
    <row r="248" spans="1:11" s="902" customFormat="1" ht="15.75" x14ac:dyDescent="0.2">
      <c r="A248" s="936" t="s">
        <v>653</v>
      </c>
      <c r="B248" s="379">
        <f t="shared" ref="B246:B252" si="59">SUM(C248:J248)</f>
        <v>14692</v>
      </c>
      <c r="C248" s="932">
        <v>14001</v>
      </c>
      <c r="D248" s="432">
        <v>109</v>
      </c>
      <c r="E248" s="432">
        <v>190</v>
      </c>
      <c r="F248" s="432">
        <v>3</v>
      </c>
      <c r="G248" s="432">
        <v>4</v>
      </c>
      <c r="H248" s="432">
        <v>90</v>
      </c>
      <c r="I248" s="432">
        <v>295</v>
      </c>
      <c r="J248" s="432">
        <v>0</v>
      </c>
      <c r="K248" s="933" t="s">
        <v>654</v>
      </c>
    </row>
    <row r="249" spans="1:11" s="902" customFormat="1" ht="15.75" x14ac:dyDescent="0.2">
      <c r="A249" s="936" t="s">
        <v>689</v>
      </c>
      <c r="B249" s="379">
        <f t="shared" si="59"/>
        <v>3431</v>
      </c>
      <c r="C249" s="932">
        <v>3246</v>
      </c>
      <c r="D249" s="432">
        <v>20</v>
      </c>
      <c r="E249" s="432">
        <v>40</v>
      </c>
      <c r="F249" s="432">
        <v>2</v>
      </c>
      <c r="G249" s="432">
        <v>2</v>
      </c>
      <c r="H249" s="432">
        <v>48</v>
      </c>
      <c r="I249" s="432">
        <v>73</v>
      </c>
      <c r="J249" s="432">
        <v>0</v>
      </c>
      <c r="K249" s="933" t="s">
        <v>690</v>
      </c>
    </row>
    <row r="250" spans="1:11" s="902" customFormat="1" ht="15.75" x14ac:dyDescent="0.2">
      <c r="A250" s="936" t="s">
        <v>408</v>
      </c>
      <c r="B250" s="379">
        <f t="shared" si="59"/>
        <v>5093</v>
      </c>
      <c r="C250" s="932">
        <v>4850</v>
      </c>
      <c r="D250" s="432">
        <v>35</v>
      </c>
      <c r="E250" s="432">
        <v>66</v>
      </c>
      <c r="F250" s="432">
        <v>1</v>
      </c>
      <c r="G250" s="432">
        <v>2</v>
      </c>
      <c r="H250" s="432">
        <v>65</v>
      </c>
      <c r="I250" s="432">
        <v>74</v>
      </c>
      <c r="J250" s="432">
        <v>0</v>
      </c>
      <c r="K250" s="933" t="s">
        <v>409</v>
      </c>
    </row>
    <row r="251" spans="1:11" s="902" customFormat="1" ht="15.75" x14ac:dyDescent="0.2">
      <c r="A251" s="936" t="s">
        <v>691</v>
      </c>
      <c r="B251" s="379">
        <f t="shared" si="59"/>
        <v>1750</v>
      </c>
      <c r="C251" s="932">
        <v>1650</v>
      </c>
      <c r="D251" s="432">
        <v>16</v>
      </c>
      <c r="E251" s="432">
        <v>22</v>
      </c>
      <c r="F251" s="432">
        <v>0</v>
      </c>
      <c r="G251" s="432">
        <v>0</v>
      </c>
      <c r="H251" s="432">
        <v>32</v>
      </c>
      <c r="I251" s="432">
        <v>30</v>
      </c>
      <c r="J251" s="432">
        <v>0</v>
      </c>
      <c r="K251" s="933" t="s">
        <v>692</v>
      </c>
    </row>
    <row r="252" spans="1:11" s="902" customFormat="1" ht="15.75" x14ac:dyDescent="0.2">
      <c r="A252" s="953" t="s">
        <v>693</v>
      </c>
      <c r="B252" s="434">
        <f t="shared" si="59"/>
        <v>3384</v>
      </c>
      <c r="C252" s="954">
        <v>3248</v>
      </c>
      <c r="D252" s="435">
        <v>17</v>
      </c>
      <c r="E252" s="435">
        <v>32</v>
      </c>
      <c r="F252" s="435">
        <v>0</v>
      </c>
      <c r="G252" s="435">
        <v>0</v>
      </c>
      <c r="H252" s="435">
        <v>54</v>
      </c>
      <c r="I252" s="435">
        <v>33</v>
      </c>
      <c r="J252" s="435">
        <v>0</v>
      </c>
      <c r="K252" s="955" t="s">
        <v>694</v>
      </c>
    </row>
    <row r="253" spans="1:11" s="962" customFormat="1" ht="16.5" x14ac:dyDescent="0.2">
      <c r="A253" s="956" t="s">
        <v>887</v>
      </c>
      <c r="B253" s="957"/>
      <c r="C253" s="958"/>
      <c r="D253" s="959"/>
      <c r="E253" s="959"/>
      <c r="F253" s="959"/>
      <c r="G253" s="959"/>
      <c r="H253" s="959"/>
      <c r="I253" s="959"/>
      <c r="J253" s="960"/>
      <c r="K253" s="961" t="s">
        <v>888</v>
      </c>
    </row>
    <row r="254" spans="1:11" s="962" customFormat="1" ht="16.5" x14ac:dyDescent="0.2">
      <c r="A254" s="956" t="s">
        <v>889</v>
      </c>
      <c r="B254" s="957"/>
      <c r="D254" s="963"/>
      <c r="E254" s="963"/>
      <c r="F254" s="963"/>
      <c r="G254" s="963"/>
      <c r="H254" s="963"/>
      <c r="I254" s="963"/>
      <c r="J254" s="964"/>
      <c r="K254" s="961" t="s">
        <v>890</v>
      </c>
    </row>
    <row r="255" spans="1:11" s="962" customFormat="1" ht="16.5" x14ac:dyDescent="0.2">
      <c r="A255" s="956" t="s">
        <v>891</v>
      </c>
      <c r="B255" s="957"/>
      <c r="D255" s="963"/>
      <c r="E255" s="963"/>
      <c r="F255" s="963"/>
      <c r="G255" s="963"/>
      <c r="H255" s="963"/>
      <c r="I255" s="963"/>
      <c r="J255" s="964"/>
      <c r="K255" s="961" t="s">
        <v>892</v>
      </c>
    </row>
    <row r="256" spans="1:11" s="962" customFormat="1" ht="17.25" x14ac:dyDescent="0.2">
      <c r="A256" s="400" t="s">
        <v>335</v>
      </c>
      <c r="B256" s="957"/>
      <c r="D256" s="963"/>
      <c r="E256" s="963"/>
      <c r="F256" s="963"/>
      <c r="G256" s="963"/>
      <c r="H256" s="963"/>
      <c r="I256" s="963"/>
      <c r="J256" s="964"/>
      <c r="K256" s="965" t="s">
        <v>337</v>
      </c>
    </row>
    <row r="257" spans="2:10" s="902" customFormat="1" ht="12.75" x14ac:dyDescent="0.2">
      <c r="B257" s="903"/>
      <c r="D257" s="904"/>
      <c r="E257" s="904"/>
      <c r="F257" s="904"/>
      <c r="G257" s="904"/>
      <c r="H257" s="904"/>
      <c r="I257" s="904"/>
      <c r="J257" s="966"/>
    </row>
    <row r="258" spans="2:10" x14ac:dyDescent="0.25">
      <c r="I258" s="969"/>
      <c r="J258" s="970"/>
    </row>
  </sheetData>
  <autoFilter ref="A8:U28"/>
  <mergeCells count="15">
    <mergeCell ref="A2:K2"/>
    <mergeCell ref="A3:K3"/>
    <mergeCell ref="B4:B8"/>
    <mergeCell ref="C4:C5"/>
    <mergeCell ref="D4:E5"/>
    <mergeCell ref="F4:G5"/>
    <mergeCell ref="H4:H5"/>
    <mergeCell ref="I4:I5"/>
    <mergeCell ref="J4:J5"/>
    <mergeCell ref="K4:K8"/>
    <mergeCell ref="D6:E6"/>
    <mergeCell ref="F6:G6"/>
    <mergeCell ref="H6:H8"/>
    <mergeCell ref="I6:I8"/>
    <mergeCell ref="J6:J7"/>
  </mergeCells>
  <pageMargins left="0.7" right="0.7" top="0.75" bottom="0.75" header="0.3" footer="0.3"/>
  <pageSetup paperSize="9"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52"/>
  <sheetViews>
    <sheetView tabSelected="1" zoomScale="96" zoomScaleNormal="96" workbookViewId="0">
      <selection activeCell="G6" sqref="G6"/>
    </sheetView>
  </sheetViews>
  <sheetFormatPr defaultColWidth="9.140625" defaultRowHeight="15" x14ac:dyDescent="0.25"/>
  <cols>
    <col min="1" max="1" width="10.85546875" style="437" customWidth="1"/>
    <col min="2" max="2" width="15.7109375" style="437" bestFit="1" customWidth="1"/>
    <col min="3" max="3" width="17.140625" style="458" customWidth="1"/>
    <col min="4" max="4" width="16.85546875" style="437" customWidth="1"/>
    <col min="5" max="5" width="17.85546875" style="437" customWidth="1"/>
    <col min="6" max="8" width="19" style="437" customWidth="1"/>
    <col min="9" max="9" width="14.5703125" style="485" customWidth="1"/>
    <col min="10" max="10" width="5.7109375" style="437" customWidth="1"/>
    <col min="11" max="11" width="26.28515625" style="437" bestFit="1" customWidth="1"/>
    <col min="12" max="12" width="13.5703125" style="437" bestFit="1" customWidth="1"/>
    <col min="13" max="13" width="9.42578125" style="437" customWidth="1"/>
    <col min="14" max="17" width="15.28515625" style="437" customWidth="1"/>
    <col min="18" max="22" width="12" style="437" customWidth="1"/>
    <col min="23" max="23" width="10.140625" style="437" customWidth="1"/>
    <col min="24" max="16384" width="9.140625" style="437"/>
  </cols>
  <sheetData>
    <row r="1" spans="1:9" ht="21" x14ac:dyDescent="0.25">
      <c r="A1" s="862" t="s">
        <v>696</v>
      </c>
      <c r="B1" s="862"/>
      <c r="C1" s="862"/>
      <c r="D1" s="862"/>
      <c r="E1" s="862"/>
      <c r="F1" s="862"/>
      <c r="G1" s="862"/>
      <c r="H1" s="862"/>
      <c r="I1" s="862"/>
    </row>
    <row r="2" spans="1:9" x14ac:dyDescent="0.25">
      <c r="A2" s="863" t="s">
        <v>697</v>
      </c>
      <c r="B2" s="863"/>
      <c r="C2" s="863"/>
      <c r="D2" s="863"/>
      <c r="E2" s="863"/>
      <c r="F2" s="863"/>
      <c r="G2" s="863"/>
      <c r="H2" s="863"/>
      <c r="I2" s="863"/>
    </row>
    <row r="3" spans="1:9" ht="15" customHeight="1" x14ac:dyDescent="0.25">
      <c r="A3" s="438"/>
      <c r="B3" s="864" t="s">
        <v>698</v>
      </c>
      <c r="C3" s="865" t="s">
        <v>699</v>
      </c>
      <c r="D3" s="865" t="s">
        <v>700</v>
      </c>
      <c r="E3" s="865" t="s">
        <v>701</v>
      </c>
      <c r="F3" s="865" t="s">
        <v>702</v>
      </c>
      <c r="G3" s="865" t="s">
        <v>340</v>
      </c>
      <c r="H3" s="865" t="s">
        <v>703</v>
      </c>
      <c r="I3" s="692"/>
    </row>
    <row r="4" spans="1:9" ht="18.75" x14ac:dyDescent="0.25">
      <c r="A4" s="439" t="s">
        <v>6</v>
      </c>
      <c r="B4" s="864"/>
      <c r="C4" s="866"/>
      <c r="D4" s="866"/>
      <c r="E4" s="866"/>
      <c r="F4" s="867"/>
      <c r="G4" s="868"/>
      <c r="H4" s="868"/>
      <c r="I4" s="440" t="s">
        <v>12</v>
      </c>
    </row>
    <row r="5" spans="1:9" ht="56.25" x14ac:dyDescent="0.25">
      <c r="A5" s="441"/>
      <c r="B5" s="864"/>
      <c r="C5" s="442" t="s">
        <v>341</v>
      </c>
      <c r="D5" s="442" t="s">
        <v>704</v>
      </c>
      <c r="E5" s="442" t="s">
        <v>272</v>
      </c>
      <c r="F5" s="443" t="s">
        <v>273</v>
      </c>
      <c r="G5" s="442" t="s">
        <v>274</v>
      </c>
      <c r="H5" s="444" t="s">
        <v>275</v>
      </c>
      <c r="I5" s="445"/>
    </row>
    <row r="6" spans="1:9" ht="18.75" x14ac:dyDescent="0.25">
      <c r="A6" s="446" t="s">
        <v>23</v>
      </c>
      <c r="B6" s="447">
        <f>SUM(B7:B18)</f>
        <v>2465619562.9419999</v>
      </c>
      <c r="C6" s="448">
        <f t="shared" ref="C6:E6" si="0">SUM(C7:C18)</f>
        <v>2164672440.9019995</v>
      </c>
      <c r="D6" s="448">
        <f t="shared" si="0"/>
        <v>51465000</v>
      </c>
      <c r="E6" s="449">
        <f t="shared" si="0"/>
        <v>2386000</v>
      </c>
      <c r="F6" s="449">
        <f>SUM(F7:F18)</f>
        <v>70179122.040000007</v>
      </c>
      <c r="G6" s="450">
        <f>SUM(G7:G18)</f>
        <v>176688000</v>
      </c>
      <c r="H6" s="450">
        <f t="shared" ref="G6:H6" si="1">SUM(H7:H18)</f>
        <v>229000</v>
      </c>
      <c r="I6" s="451" t="s">
        <v>13</v>
      </c>
    </row>
    <row r="7" spans="1:9" ht="18.75" x14ac:dyDescent="0.25">
      <c r="A7" s="452" t="s">
        <v>705</v>
      </c>
      <c r="B7" s="453">
        <f>SUM(C7:H7)</f>
        <v>195897895.6837</v>
      </c>
      <c r="C7" s="973">
        <v>174976376.3037</v>
      </c>
      <c r="D7" s="474">
        <v>4336000</v>
      </c>
      <c r="E7" s="475">
        <v>189500</v>
      </c>
      <c r="F7" s="475">
        <v>2496699.38</v>
      </c>
      <c r="G7" s="475">
        <v>13880000</v>
      </c>
      <c r="H7" s="476">
        <v>19320</v>
      </c>
      <c r="I7" s="454" t="s">
        <v>28</v>
      </c>
    </row>
    <row r="8" spans="1:9" ht="18.75" x14ac:dyDescent="0.25">
      <c r="A8" s="452" t="s">
        <v>706</v>
      </c>
      <c r="B8" s="453">
        <f t="shared" ref="B8:B18" si="2">SUM(C8:H8)</f>
        <v>182284474.1974</v>
      </c>
      <c r="C8" s="973">
        <v>159926713.7974</v>
      </c>
      <c r="D8" s="474">
        <v>4322000</v>
      </c>
      <c r="E8" s="476">
        <v>194000</v>
      </c>
      <c r="F8" s="475">
        <v>3692440.4</v>
      </c>
      <c r="G8" s="475">
        <v>14130000</v>
      </c>
      <c r="H8" s="474">
        <v>19320</v>
      </c>
      <c r="I8" s="454" t="s">
        <v>31</v>
      </c>
    </row>
    <row r="9" spans="1:9" ht="18.75" x14ac:dyDescent="0.25">
      <c r="A9" s="452" t="s">
        <v>707</v>
      </c>
      <c r="B9" s="453">
        <f t="shared" si="2"/>
        <v>204381979.9937</v>
      </c>
      <c r="C9" s="973">
        <v>180719533.54370001</v>
      </c>
      <c r="D9" s="474">
        <v>4298000</v>
      </c>
      <c r="E9" s="476">
        <v>192500</v>
      </c>
      <c r="F9" s="475">
        <v>4902626.45</v>
      </c>
      <c r="G9" s="475">
        <v>14250000</v>
      </c>
      <c r="H9" s="474">
        <v>19320</v>
      </c>
      <c r="I9" s="454" t="s">
        <v>708</v>
      </c>
    </row>
    <row r="10" spans="1:9" ht="18.75" x14ac:dyDescent="0.25">
      <c r="A10" s="452" t="s">
        <v>709</v>
      </c>
      <c r="B10" s="453">
        <f t="shared" si="2"/>
        <v>204209215.25010002</v>
      </c>
      <c r="C10" s="973">
        <v>179438942.68010002</v>
      </c>
      <c r="D10" s="474">
        <v>4325000</v>
      </c>
      <c r="E10" s="476">
        <v>197500</v>
      </c>
      <c r="F10" s="475">
        <v>5956452.5700000003</v>
      </c>
      <c r="G10" s="475">
        <v>14272000</v>
      </c>
      <c r="H10" s="474">
        <v>19320</v>
      </c>
      <c r="I10" s="454" t="s">
        <v>710</v>
      </c>
    </row>
    <row r="11" spans="1:9" ht="18.75" x14ac:dyDescent="0.25">
      <c r="A11" s="452" t="s">
        <v>36</v>
      </c>
      <c r="B11" s="453">
        <f t="shared" si="2"/>
        <v>189653332.73349997</v>
      </c>
      <c r="C11" s="973">
        <v>166285653.22349998</v>
      </c>
      <c r="D11" s="474">
        <v>4279000</v>
      </c>
      <c r="E11" s="476">
        <v>199000</v>
      </c>
      <c r="F11" s="475">
        <v>4448759.51</v>
      </c>
      <c r="G11" s="475">
        <v>14422000</v>
      </c>
      <c r="H11" s="474">
        <v>18920</v>
      </c>
      <c r="I11" s="454" t="s">
        <v>37</v>
      </c>
    </row>
    <row r="12" spans="1:9" ht="18.75" x14ac:dyDescent="0.25">
      <c r="A12" s="452" t="s">
        <v>711</v>
      </c>
      <c r="B12" s="453">
        <f t="shared" si="2"/>
        <v>169141008.87990001</v>
      </c>
      <c r="C12" s="973">
        <v>146017377.0099</v>
      </c>
      <c r="D12" s="479">
        <v>4279000</v>
      </c>
      <c r="E12" s="476">
        <v>199000</v>
      </c>
      <c r="F12" s="475">
        <v>4157071.87</v>
      </c>
      <c r="G12" s="475">
        <v>14470000</v>
      </c>
      <c r="H12" s="474">
        <v>18560</v>
      </c>
      <c r="I12" s="454" t="s">
        <v>39</v>
      </c>
    </row>
    <row r="13" spans="1:9" ht="18.75" x14ac:dyDescent="0.25">
      <c r="A13" s="452" t="s">
        <v>712</v>
      </c>
      <c r="B13" s="453">
        <f t="shared" si="2"/>
        <v>223314646.00189999</v>
      </c>
      <c r="C13" s="973">
        <v>196267780.44189999</v>
      </c>
      <c r="D13" s="474">
        <v>4277000</v>
      </c>
      <c r="E13" s="476">
        <v>202000</v>
      </c>
      <c r="F13" s="475">
        <v>7789105.5599999996</v>
      </c>
      <c r="G13" s="475">
        <v>14760000</v>
      </c>
      <c r="H13" s="481">
        <v>18760</v>
      </c>
      <c r="I13" s="454" t="s">
        <v>42</v>
      </c>
    </row>
    <row r="14" spans="1:9" ht="18.75" x14ac:dyDescent="0.25">
      <c r="A14" s="452" t="s">
        <v>713</v>
      </c>
      <c r="B14" s="453">
        <f t="shared" si="2"/>
        <v>206541145.30450001</v>
      </c>
      <c r="C14" s="973">
        <v>180866275.87450001</v>
      </c>
      <c r="D14" s="474">
        <v>4259000</v>
      </c>
      <c r="E14" s="476">
        <v>203500</v>
      </c>
      <c r="F14" s="475">
        <v>6349649.4299999997</v>
      </c>
      <c r="G14" s="475">
        <v>14844000</v>
      </c>
      <c r="H14" s="474">
        <v>18720</v>
      </c>
      <c r="I14" s="454" t="s">
        <v>44</v>
      </c>
    </row>
    <row r="15" spans="1:9" ht="18.75" x14ac:dyDescent="0.25">
      <c r="A15" s="452" t="s">
        <v>714</v>
      </c>
      <c r="B15" s="453">
        <f t="shared" si="2"/>
        <v>202809293.94009998</v>
      </c>
      <c r="C15" s="973">
        <v>173737076.2701</v>
      </c>
      <c r="D15" s="474">
        <v>4279000</v>
      </c>
      <c r="E15" s="476">
        <v>204500</v>
      </c>
      <c r="F15" s="475">
        <v>9313797.6699999999</v>
      </c>
      <c r="G15" s="475">
        <v>15256000</v>
      </c>
      <c r="H15" s="474">
        <v>18920</v>
      </c>
      <c r="I15" s="454" t="s">
        <v>47</v>
      </c>
    </row>
    <row r="16" spans="1:9" ht="18.75" x14ac:dyDescent="0.25">
      <c r="A16" s="452" t="s">
        <v>715</v>
      </c>
      <c r="B16" s="453">
        <f t="shared" si="2"/>
        <v>226651418.19319999</v>
      </c>
      <c r="C16" s="973">
        <v>197367618.9032</v>
      </c>
      <c r="D16" s="474">
        <v>4255000</v>
      </c>
      <c r="E16" s="476">
        <v>202000</v>
      </c>
      <c r="F16" s="475">
        <v>9417599.2899999991</v>
      </c>
      <c r="G16" s="475">
        <v>15390000</v>
      </c>
      <c r="H16" s="474">
        <v>19200</v>
      </c>
      <c r="I16" s="454" t="s">
        <v>50</v>
      </c>
    </row>
    <row r="17" spans="1:26" ht="18.75" x14ac:dyDescent="0.25">
      <c r="A17" s="452" t="s">
        <v>716</v>
      </c>
      <c r="B17" s="453">
        <f t="shared" si="2"/>
        <v>210789509.43020001</v>
      </c>
      <c r="C17" s="973">
        <v>186737981.71020001</v>
      </c>
      <c r="D17" s="474">
        <v>4277000</v>
      </c>
      <c r="E17" s="476">
        <v>202000</v>
      </c>
      <c r="F17" s="475">
        <v>4095207.72</v>
      </c>
      <c r="G17" s="475">
        <v>15458000</v>
      </c>
      <c r="H17" s="479">
        <v>19320</v>
      </c>
      <c r="I17" s="454" t="s">
        <v>52</v>
      </c>
    </row>
    <row r="18" spans="1:26" ht="18.75" x14ac:dyDescent="0.25">
      <c r="A18" s="455" t="s">
        <v>717</v>
      </c>
      <c r="B18" s="456">
        <f t="shared" si="2"/>
        <v>249945643.33379999</v>
      </c>
      <c r="C18" s="974">
        <v>222331111.14379999</v>
      </c>
      <c r="D18" s="482">
        <v>4279000</v>
      </c>
      <c r="E18" s="483">
        <v>200500</v>
      </c>
      <c r="F18" s="484">
        <v>7559712.1900000004</v>
      </c>
      <c r="G18" s="484">
        <v>15556000</v>
      </c>
      <c r="H18" s="482">
        <v>19320</v>
      </c>
      <c r="I18" s="457" t="s">
        <v>54</v>
      </c>
    </row>
    <row r="19" spans="1:26" ht="17.25" x14ac:dyDescent="0.25">
      <c r="A19" s="400" t="s">
        <v>335</v>
      </c>
      <c r="G19" s="401"/>
      <c r="H19" s="401"/>
      <c r="I19" s="401" t="s">
        <v>337</v>
      </c>
    </row>
    <row r="20" spans="1:26" ht="17.25" x14ac:dyDescent="0.25">
      <c r="A20" s="400"/>
      <c r="G20" s="401"/>
      <c r="H20" s="401"/>
      <c r="I20" s="401"/>
    </row>
    <row r="21" spans="1:26" ht="17.25" x14ac:dyDescent="0.25">
      <c r="A21" s="400"/>
      <c r="G21" s="401"/>
      <c r="H21" s="401"/>
      <c r="I21" s="401"/>
    </row>
    <row r="22" spans="1:26" ht="17.25" x14ac:dyDescent="0.25">
      <c r="A22" s="400"/>
      <c r="G22" s="401"/>
      <c r="H22" s="401"/>
      <c r="I22" s="401"/>
      <c r="Q22" s="459"/>
      <c r="R22" s="459"/>
      <c r="S22" s="459"/>
      <c r="T22" s="459"/>
      <c r="U22" s="459"/>
      <c r="V22" s="459"/>
      <c r="W22" s="459"/>
      <c r="X22" s="459"/>
      <c r="Y22" s="459"/>
      <c r="Z22" s="459"/>
    </row>
    <row r="23" spans="1:26" ht="17.25" x14ac:dyDescent="0.25">
      <c r="A23" s="400"/>
      <c r="B23" s="460"/>
      <c r="C23" s="461"/>
      <c r="D23" s="460"/>
      <c r="E23" s="460"/>
      <c r="F23" s="460"/>
      <c r="G23" s="405"/>
      <c r="H23" s="405"/>
      <c r="I23" s="405"/>
      <c r="J23" s="460"/>
      <c r="Q23" s="459"/>
      <c r="R23" s="459"/>
      <c r="S23" s="459"/>
      <c r="T23" s="459"/>
      <c r="U23" s="459"/>
      <c r="V23" s="459"/>
      <c r="W23" s="459"/>
      <c r="X23" s="459"/>
      <c r="Y23" s="459"/>
      <c r="Z23" s="459"/>
    </row>
    <row r="24" spans="1:26" s="463" customFormat="1" ht="21" x14ac:dyDescent="0.25">
      <c r="A24" s="869"/>
      <c r="B24" s="869"/>
      <c r="C24" s="869"/>
      <c r="D24" s="869"/>
      <c r="E24" s="869"/>
      <c r="F24" s="869"/>
      <c r="G24" s="869"/>
      <c r="H24" s="869"/>
      <c r="I24" s="869"/>
      <c r="J24" s="462"/>
      <c r="K24" s="437"/>
      <c r="Q24" s="459"/>
      <c r="R24" s="459"/>
      <c r="S24" s="459"/>
      <c r="T24" s="459"/>
      <c r="U24" s="459"/>
      <c r="V24" s="459"/>
      <c r="W24" s="459"/>
      <c r="X24" s="459"/>
      <c r="Y24" s="459"/>
      <c r="Z24" s="459"/>
    </row>
    <row r="25" spans="1:26" s="463" customFormat="1" ht="15" customHeight="1" x14ac:dyDescent="0.25">
      <c r="A25" s="870"/>
      <c r="B25" s="870"/>
      <c r="C25" s="870"/>
      <c r="D25" s="870"/>
      <c r="E25" s="870"/>
      <c r="F25" s="870"/>
      <c r="G25" s="870"/>
      <c r="H25" s="870"/>
      <c r="I25" s="870"/>
      <c r="J25" s="462"/>
      <c r="K25" s="437"/>
      <c r="Q25" s="459"/>
      <c r="R25" s="464" t="s">
        <v>699</v>
      </c>
      <c r="S25" s="464" t="s">
        <v>700</v>
      </c>
      <c r="T25" s="464" t="s">
        <v>701</v>
      </c>
      <c r="U25" s="464" t="s">
        <v>702</v>
      </c>
      <c r="V25" s="464" t="s">
        <v>340</v>
      </c>
      <c r="W25" s="465" t="s">
        <v>703</v>
      </c>
      <c r="X25" s="459"/>
      <c r="Y25" s="459"/>
      <c r="Z25" s="459"/>
    </row>
    <row r="26" spans="1:26" s="467" customFormat="1" ht="12.75" x14ac:dyDescent="0.2">
      <c r="A26" s="438"/>
      <c r="B26" s="864"/>
      <c r="C26" s="871"/>
      <c r="D26" s="871"/>
      <c r="E26" s="871"/>
      <c r="F26" s="871"/>
      <c r="G26" s="871"/>
      <c r="H26" s="692"/>
      <c r="I26" s="692"/>
      <c r="J26" s="466"/>
      <c r="K26" s="466"/>
      <c r="Q26" s="459">
        <v>2014</v>
      </c>
      <c r="R26" s="459">
        <v>1400609841.9112999</v>
      </c>
      <c r="S26" s="459">
        <v>62871000</v>
      </c>
      <c r="T26" s="459">
        <v>2464500</v>
      </c>
      <c r="U26" s="459">
        <v>51002563.189999998</v>
      </c>
      <c r="V26" s="459">
        <v>154048000</v>
      </c>
      <c r="W26" s="468"/>
      <c r="X26" s="459"/>
      <c r="Y26" s="459"/>
      <c r="Z26" s="459"/>
    </row>
    <row r="27" spans="1:26" s="466" customFormat="1" ht="18.75" x14ac:dyDescent="0.2">
      <c r="A27" s="439"/>
      <c r="B27" s="864"/>
      <c r="C27" s="871"/>
      <c r="D27" s="871"/>
      <c r="E27" s="871"/>
      <c r="F27" s="872"/>
      <c r="G27" s="873"/>
      <c r="H27" s="693"/>
      <c r="I27" s="440"/>
      <c r="Q27" s="459">
        <v>2015</v>
      </c>
      <c r="R27" s="459">
        <v>1063054680.1289001</v>
      </c>
      <c r="S27" s="459">
        <v>70378000</v>
      </c>
      <c r="T27" s="459">
        <v>1807000</v>
      </c>
      <c r="U27" s="459">
        <v>35665347.009999998</v>
      </c>
      <c r="V27" s="459">
        <v>127918000</v>
      </c>
      <c r="W27" s="459"/>
      <c r="X27" s="459"/>
      <c r="Y27" s="459"/>
      <c r="Z27" s="459"/>
    </row>
    <row r="28" spans="1:26" ht="18.75" x14ac:dyDescent="0.25">
      <c r="A28" s="441"/>
      <c r="B28" s="864"/>
      <c r="C28" s="469"/>
      <c r="D28" s="469"/>
      <c r="E28" s="469"/>
      <c r="F28" s="470"/>
      <c r="G28" s="469"/>
      <c r="H28" s="469"/>
      <c r="I28" s="445"/>
      <c r="J28" s="460"/>
      <c r="K28" s="460"/>
      <c r="Q28" s="459">
        <v>2016</v>
      </c>
      <c r="R28" s="437">
        <v>1675199186.7771001</v>
      </c>
      <c r="S28" s="437">
        <v>58122000</v>
      </c>
      <c r="T28" s="437">
        <v>2416000</v>
      </c>
      <c r="U28" s="437">
        <v>75254785.549999997</v>
      </c>
      <c r="V28" s="437">
        <v>155797000</v>
      </c>
      <c r="W28" s="459">
        <v>34800</v>
      </c>
      <c r="X28" s="459"/>
      <c r="Y28" s="459"/>
      <c r="Z28" s="459"/>
    </row>
    <row r="29" spans="1:26" s="459" customFormat="1" ht="18.75" x14ac:dyDescent="0.2">
      <c r="A29" s="441"/>
      <c r="B29" s="471"/>
      <c r="C29" s="448"/>
      <c r="D29" s="448"/>
      <c r="E29" s="449"/>
      <c r="F29" s="449"/>
      <c r="G29" s="450"/>
      <c r="H29" s="450"/>
      <c r="I29" s="454"/>
      <c r="J29" s="472"/>
      <c r="K29" s="472"/>
      <c r="Q29" s="459">
        <v>2017</v>
      </c>
      <c r="R29" s="459">
        <v>1797290685.4338</v>
      </c>
      <c r="S29" s="459">
        <v>55411000</v>
      </c>
      <c r="T29" s="459">
        <v>2330000</v>
      </c>
      <c r="U29" s="459">
        <v>55406665.420000002</v>
      </c>
      <c r="V29" s="459">
        <v>161688000</v>
      </c>
      <c r="W29" s="459">
        <v>225080</v>
      </c>
    </row>
    <row r="30" spans="1:26" s="459" customFormat="1" ht="18.75" x14ac:dyDescent="0.2">
      <c r="A30" s="452"/>
      <c r="B30" s="473"/>
      <c r="C30" s="474"/>
      <c r="D30" s="474"/>
      <c r="E30" s="475"/>
      <c r="F30" s="475"/>
      <c r="G30" s="476"/>
      <c r="H30" s="476"/>
      <c r="I30" s="454"/>
      <c r="J30" s="472"/>
      <c r="K30" s="472"/>
      <c r="Q30" s="459">
        <v>2018</v>
      </c>
      <c r="R30" s="459">
        <f>C6</f>
        <v>2164672440.9019995</v>
      </c>
      <c r="S30" s="459">
        <f t="shared" ref="S30:W30" si="3">D6</f>
        <v>51465000</v>
      </c>
      <c r="T30" s="459">
        <f t="shared" si="3"/>
        <v>2386000</v>
      </c>
      <c r="U30" s="459">
        <f t="shared" si="3"/>
        <v>70179122.040000007</v>
      </c>
      <c r="V30" s="459">
        <f t="shared" si="3"/>
        <v>176688000</v>
      </c>
      <c r="W30" s="459">
        <f t="shared" si="3"/>
        <v>229000</v>
      </c>
    </row>
    <row r="31" spans="1:26" s="459" customFormat="1" ht="18.75" x14ac:dyDescent="0.2">
      <c r="A31" s="452"/>
      <c r="B31" s="473"/>
      <c r="C31" s="474"/>
      <c r="D31" s="474"/>
      <c r="E31" s="476"/>
      <c r="F31" s="475"/>
      <c r="G31" s="474"/>
      <c r="H31" s="474"/>
      <c r="I31" s="454"/>
      <c r="J31" s="472"/>
      <c r="K31" s="477"/>
      <c r="L31" s="448"/>
    </row>
    <row r="32" spans="1:26" s="459" customFormat="1" ht="25.5" x14ac:dyDescent="0.2">
      <c r="A32" s="452"/>
      <c r="B32" s="473"/>
      <c r="C32" s="474"/>
      <c r="D32" s="474"/>
      <c r="E32" s="476"/>
      <c r="F32" s="475"/>
      <c r="G32" s="474"/>
      <c r="H32" s="474"/>
      <c r="I32" s="454"/>
      <c r="J32" s="472"/>
      <c r="K32" s="477"/>
      <c r="L32" s="448"/>
      <c r="R32" s="464" t="s">
        <v>699</v>
      </c>
      <c r="S32" s="464" t="s">
        <v>700</v>
      </c>
      <c r="T32" s="464" t="s">
        <v>701</v>
      </c>
      <c r="U32" s="464" t="s">
        <v>702</v>
      </c>
      <c r="V32" s="464" t="s">
        <v>340</v>
      </c>
      <c r="W32" s="465" t="s">
        <v>703</v>
      </c>
    </row>
    <row r="33" spans="1:23" s="459" customFormat="1" ht="18.75" x14ac:dyDescent="0.2">
      <c r="A33" s="452"/>
      <c r="B33" s="473"/>
      <c r="C33" s="474"/>
      <c r="D33" s="474"/>
      <c r="E33" s="476"/>
      <c r="F33" s="475"/>
      <c r="G33" s="474"/>
      <c r="H33" s="474"/>
      <c r="I33" s="454"/>
      <c r="J33" s="472"/>
      <c r="K33" s="477"/>
      <c r="L33" s="449"/>
      <c r="Q33" s="459">
        <v>2014</v>
      </c>
      <c r="R33" s="478">
        <f t="shared" ref="R33:V37" si="4">R26/1000000</f>
        <v>1400.6098419113</v>
      </c>
      <c r="S33" s="478">
        <f t="shared" si="4"/>
        <v>62.871000000000002</v>
      </c>
      <c r="T33" s="478">
        <f t="shared" si="4"/>
        <v>2.4645000000000001</v>
      </c>
      <c r="U33" s="478">
        <f t="shared" si="4"/>
        <v>51.002563189999996</v>
      </c>
      <c r="V33" s="478">
        <f t="shared" si="4"/>
        <v>154.048</v>
      </c>
    </row>
    <row r="34" spans="1:23" s="459" customFormat="1" ht="18.75" x14ac:dyDescent="0.2">
      <c r="A34" s="452"/>
      <c r="B34" s="473"/>
      <c r="C34" s="474"/>
      <c r="D34" s="474"/>
      <c r="E34" s="476"/>
      <c r="F34" s="475"/>
      <c r="G34" s="474"/>
      <c r="H34" s="474"/>
      <c r="I34" s="454"/>
      <c r="J34" s="472"/>
      <c r="K34" s="477"/>
      <c r="L34" s="449"/>
      <c r="Q34" s="459">
        <v>2015</v>
      </c>
      <c r="R34" s="478">
        <f t="shared" si="4"/>
        <v>1063.0546801289001</v>
      </c>
      <c r="S34" s="478">
        <f t="shared" si="4"/>
        <v>70.378</v>
      </c>
      <c r="T34" s="478">
        <f t="shared" si="4"/>
        <v>1.8069999999999999</v>
      </c>
      <c r="U34" s="478">
        <f t="shared" si="4"/>
        <v>35.665347009999998</v>
      </c>
      <c r="V34" s="478">
        <f t="shared" si="4"/>
        <v>127.91800000000001</v>
      </c>
    </row>
    <row r="35" spans="1:23" s="459" customFormat="1" ht="18.75" x14ac:dyDescent="0.2">
      <c r="A35" s="452"/>
      <c r="B35" s="473"/>
      <c r="C35" s="474"/>
      <c r="D35" s="479"/>
      <c r="E35" s="476"/>
      <c r="F35" s="475"/>
      <c r="G35" s="474"/>
      <c r="H35" s="474"/>
      <c r="I35" s="454"/>
      <c r="J35" s="472"/>
      <c r="K35" s="477"/>
      <c r="L35" s="450"/>
      <c r="Q35" s="459">
        <v>2016</v>
      </c>
      <c r="R35" s="478">
        <f t="shared" si="4"/>
        <v>1675.1991867771001</v>
      </c>
      <c r="S35" s="478">
        <f t="shared" si="4"/>
        <v>58.122</v>
      </c>
      <c r="T35" s="478">
        <f t="shared" si="4"/>
        <v>2.4159999999999999</v>
      </c>
      <c r="U35" s="478">
        <f t="shared" si="4"/>
        <v>75.254785549999994</v>
      </c>
      <c r="V35" s="478">
        <f t="shared" si="4"/>
        <v>155.797</v>
      </c>
      <c r="W35" s="478">
        <f>W28/1000000</f>
        <v>3.4799999999999998E-2</v>
      </c>
    </row>
    <row r="36" spans="1:23" s="459" customFormat="1" ht="18.75" x14ac:dyDescent="0.2">
      <c r="A36" s="452"/>
      <c r="B36" s="473"/>
      <c r="C36" s="474"/>
      <c r="D36" s="474"/>
      <c r="E36" s="476"/>
      <c r="F36" s="475"/>
      <c r="G36" s="474"/>
      <c r="H36" s="474"/>
      <c r="I36" s="454"/>
      <c r="J36" s="472"/>
      <c r="K36" s="472"/>
      <c r="Q36" s="459">
        <v>2017</v>
      </c>
      <c r="R36" s="478">
        <f t="shared" si="4"/>
        <v>1797.2906854338</v>
      </c>
      <c r="S36" s="478">
        <f t="shared" si="4"/>
        <v>55.411000000000001</v>
      </c>
      <c r="T36" s="478">
        <f t="shared" si="4"/>
        <v>2.33</v>
      </c>
      <c r="U36" s="478">
        <f t="shared" si="4"/>
        <v>55.406665420000003</v>
      </c>
      <c r="V36" s="478">
        <f t="shared" si="4"/>
        <v>161.68799999999999</v>
      </c>
      <c r="W36" s="478">
        <f>W29/1000000</f>
        <v>0.22508</v>
      </c>
    </row>
    <row r="37" spans="1:23" s="459" customFormat="1" ht="18.75" x14ac:dyDescent="0.2">
      <c r="A37" s="452"/>
      <c r="B37" s="473"/>
      <c r="C37" s="474"/>
      <c r="D37" s="474"/>
      <c r="E37" s="476"/>
      <c r="F37" s="475"/>
      <c r="G37" s="480"/>
      <c r="H37" s="480"/>
      <c r="I37" s="454"/>
      <c r="J37" s="472"/>
      <c r="K37" s="472"/>
      <c r="Q37" s="459">
        <v>2018</v>
      </c>
      <c r="R37" s="478">
        <f t="shared" si="4"/>
        <v>2164.6724409019994</v>
      </c>
      <c r="S37" s="478">
        <f t="shared" si="4"/>
        <v>51.465000000000003</v>
      </c>
      <c r="T37" s="478">
        <f t="shared" si="4"/>
        <v>2.3860000000000001</v>
      </c>
      <c r="U37" s="478">
        <f t="shared" si="4"/>
        <v>70.17912204000001</v>
      </c>
      <c r="V37" s="478">
        <f t="shared" si="4"/>
        <v>176.68799999999999</v>
      </c>
      <c r="W37" s="478">
        <f>W30/1000000</f>
        <v>0.22900000000000001</v>
      </c>
    </row>
    <row r="38" spans="1:23" s="459" customFormat="1" ht="18.75" x14ac:dyDescent="0.2">
      <c r="A38" s="452"/>
      <c r="B38" s="473"/>
      <c r="C38" s="474"/>
      <c r="D38" s="474"/>
      <c r="E38" s="476"/>
      <c r="F38" s="475"/>
      <c r="G38" s="474"/>
      <c r="H38" s="474"/>
      <c r="I38" s="454"/>
      <c r="J38" s="472"/>
      <c r="K38" s="472"/>
    </row>
    <row r="39" spans="1:23" s="459" customFormat="1" ht="18.75" x14ac:dyDescent="0.2">
      <c r="A39" s="452"/>
      <c r="B39" s="473"/>
      <c r="C39" s="474"/>
      <c r="D39" s="474"/>
      <c r="E39" s="476"/>
      <c r="F39" s="475"/>
      <c r="G39" s="474"/>
      <c r="H39" s="474"/>
      <c r="I39" s="454"/>
      <c r="J39" s="472"/>
      <c r="K39" s="472"/>
    </row>
    <row r="40" spans="1:23" s="459" customFormat="1" ht="18.75" x14ac:dyDescent="0.2">
      <c r="A40" s="452"/>
      <c r="B40" s="473"/>
      <c r="C40" s="474"/>
      <c r="D40" s="474"/>
      <c r="E40" s="476"/>
      <c r="F40" s="475"/>
      <c r="G40" s="474"/>
      <c r="H40" s="474"/>
      <c r="I40" s="454"/>
      <c r="J40" s="472"/>
      <c r="K40" s="472"/>
    </row>
    <row r="41" spans="1:23" s="459" customFormat="1" ht="18.75" x14ac:dyDescent="0.2">
      <c r="A41" s="452"/>
      <c r="B41" s="473"/>
      <c r="C41" s="474"/>
      <c r="D41" s="474"/>
      <c r="E41" s="479"/>
      <c r="F41" s="475"/>
      <c r="G41" s="479"/>
      <c r="H41" s="479"/>
      <c r="I41" s="454"/>
      <c r="J41" s="472"/>
      <c r="K41" s="472"/>
    </row>
    <row r="42" spans="1:23" ht="17.25" x14ac:dyDescent="0.25">
      <c r="A42" s="400"/>
      <c r="B42" s="460"/>
      <c r="C42" s="461"/>
      <c r="D42" s="460"/>
      <c r="E42" s="460"/>
      <c r="F42" s="460"/>
      <c r="G42" s="405"/>
      <c r="H42" s="405"/>
      <c r="I42" s="405"/>
      <c r="J42" s="460"/>
      <c r="K42" s="460"/>
    </row>
    <row r="43" spans="1:23" ht="17.25" x14ac:dyDescent="0.25">
      <c r="A43" s="400"/>
      <c r="B43" s="460"/>
      <c r="C43" s="461"/>
      <c r="D43" s="460"/>
      <c r="E43" s="460"/>
      <c r="F43" s="460"/>
      <c r="G43" s="405"/>
      <c r="H43" s="405"/>
      <c r="I43" s="405"/>
      <c r="J43" s="460"/>
      <c r="K43" s="460"/>
    </row>
    <row r="44" spans="1:23" ht="17.25" x14ac:dyDescent="0.25">
      <c r="A44" s="400"/>
      <c r="G44" s="401"/>
      <c r="H44" s="401"/>
      <c r="I44" s="401"/>
    </row>
    <row r="48" spans="1:23" x14ac:dyDescent="0.25">
      <c r="O48" s="486"/>
      <c r="P48" s="487"/>
    </row>
    <row r="49" spans="11:16" x14ac:dyDescent="0.25">
      <c r="O49" s="486"/>
      <c r="P49" s="487"/>
    </row>
    <row r="50" spans="11:16" x14ac:dyDescent="0.25">
      <c r="O50" s="486"/>
      <c r="P50" s="487"/>
    </row>
    <row r="51" spans="11:16" x14ac:dyDescent="0.25">
      <c r="O51" s="486"/>
      <c r="P51" s="487"/>
    </row>
    <row r="52" spans="11:16" x14ac:dyDescent="0.25">
      <c r="K52" s="488"/>
      <c r="O52" s="486"/>
      <c r="P52" s="487"/>
    </row>
  </sheetData>
  <mergeCells count="17">
    <mergeCell ref="A24:I24"/>
    <mergeCell ref="A25:I25"/>
    <mergeCell ref="B26:B28"/>
    <mergeCell ref="C26:C27"/>
    <mergeCell ref="D26:D27"/>
    <mergeCell ref="E26:E27"/>
    <mergeCell ref="F26:F27"/>
    <mergeCell ref="G26:G27"/>
    <mergeCell ref="A1:I1"/>
    <mergeCell ref="A2:I2"/>
    <mergeCell ref="B3:B5"/>
    <mergeCell ref="C3:C4"/>
    <mergeCell ref="D3:D4"/>
    <mergeCell ref="E3:E4"/>
    <mergeCell ref="F3:F4"/>
    <mergeCell ref="G3:G4"/>
    <mergeCell ref="H3:H4"/>
  </mergeCells>
  <conditionalFormatting sqref="C29">
    <cfRule type="duplicateValues" dxfId="7" priority="9"/>
    <cfRule type="duplicateValues" dxfId="6" priority="10"/>
  </conditionalFormatting>
  <conditionalFormatting sqref="C30:C41">
    <cfRule type="duplicateValues" dxfId="5" priority="7"/>
    <cfRule type="duplicateValues" dxfId="4" priority="8"/>
  </conditionalFormatting>
  <conditionalFormatting sqref="L31">
    <cfRule type="duplicateValues" dxfId="3" priority="5"/>
    <cfRule type="duplicateValues" dxfId="2" priority="6"/>
  </conditionalFormatting>
  <conditionalFormatting sqref="C6">
    <cfRule type="duplicateValues" dxfId="1" priority="3"/>
    <cfRule type="duplicateValues" dxfId="0" priority="4"/>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S40"/>
  <sheetViews>
    <sheetView workbookViewId="0">
      <selection activeCell="R22" sqref="R22"/>
    </sheetView>
  </sheetViews>
  <sheetFormatPr defaultColWidth="9.140625" defaultRowHeight="18.75" customHeight="1" x14ac:dyDescent="0.25"/>
  <cols>
    <col min="1" max="1" width="11.7109375" style="388" customWidth="1"/>
    <col min="2" max="2" width="16.42578125" style="388" customWidth="1"/>
    <col min="3" max="8" width="14.7109375" style="388" customWidth="1"/>
    <col min="9" max="9" width="15.85546875" style="388" customWidth="1"/>
    <col min="10" max="13" width="9.140625" style="388"/>
    <col min="14" max="15" width="14.7109375" style="388" customWidth="1"/>
    <col min="16" max="16" width="13.85546875" style="388" customWidth="1"/>
    <col min="17" max="17" width="15.140625" style="388" bestFit="1" customWidth="1"/>
    <col min="18" max="18" width="15.7109375" style="388" customWidth="1"/>
    <col min="19" max="19" width="20.5703125" style="388" customWidth="1"/>
    <col min="20" max="16384" width="9.140625" style="388"/>
  </cols>
  <sheetData>
    <row r="2" spans="1:19" ht="21" x14ac:dyDescent="0.25">
      <c r="A2" s="816" t="s">
        <v>758</v>
      </c>
      <c r="B2" s="816"/>
      <c r="C2" s="816"/>
      <c r="D2" s="816"/>
      <c r="E2" s="816"/>
      <c r="F2" s="816"/>
      <c r="G2" s="816"/>
      <c r="H2" s="816"/>
      <c r="I2" s="816"/>
    </row>
    <row r="3" spans="1:19" ht="15" x14ac:dyDescent="0.25">
      <c r="A3" s="817" t="s">
        <v>759</v>
      </c>
      <c r="B3" s="817"/>
      <c r="C3" s="817"/>
      <c r="D3" s="817"/>
      <c r="E3" s="817"/>
      <c r="F3" s="817"/>
      <c r="G3" s="817"/>
      <c r="H3" s="817"/>
      <c r="I3" s="817"/>
    </row>
    <row r="4" spans="1:19" s="535" customFormat="1" ht="45" x14ac:dyDescent="0.25">
      <c r="A4" s="874" t="s">
        <v>269</v>
      </c>
      <c r="B4" s="531" t="s">
        <v>760</v>
      </c>
      <c r="C4" s="532" t="s">
        <v>761</v>
      </c>
      <c r="D4" s="532" t="s">
        <v>185</v>
      </c>
      <c r="E4" s="532" t="s">
        <v>762</v>
      </c>
      <c r="F4" s="532" t="s">
        <v>763</v>
      </c>
      <c r="G4" s="533" t="s">
        <v>764</v>
      </c>
      <c r="H4" s="534" t="s">
        <v>765</v>
      </c>
      <c r="I4" s="876" t="s">
        <v>221</v>
      </c>
    </row>
    <row r="5" spans="1:19" s="535" customFormat="1" ht="37.5" x14ac:dyDescent="0.25">
      <c r="A5" s="875"/>
      <c r="B5" s="536" t="s">
        <v>766</v>
      </c>
      <c r="C5" s="537" t="s">
        <v>767</v>
      </c>
      <c r="D5" s="537" t="s">
        <v>768</v>
      </c>
      <c r="E5" s="537" t="s">
        <v>769</v>
      </c>
      <c r="F5" s="537" t="s">
        <v>770</v>
      </c>
      <c r="G5" s="536" t="s">
        <v>771</v>
      </c>
      <c r="H5" s="536" t="s">
        <v>772</v>
      </c>
      <c r="I5" s="877"/>
    </row>
    <row r="6" spans="1:19" s="541" customFormat="1" x14ac:dyDescent="0.25">
      <c r="A6" s="538" t="s">
        <v>288</v>
      </c>
      <c r="B6" s="539">
        <f>SUM(C6:H6)</f>
        <v>2164672441.0613999</v>
      </c>
      <c r="C6" s="539">
        <f>C7+C8+C9</f>
        <v>1320874859.6515</v>
      </c>
      <c r="D6" s="539">
        <f>D7+D8+D9</f>
        <v>658680682.4799</v>
      </c>
      <c r="E6" s="539">
        <f>E7+E8+E9</f>
        <v>35443183.07</v>
      </c>
      <c r="F6" s="539">
        <f t="shared" ref="F6:G6" si="0">F7+F8+F9</f>
        <v>68544780.200000003</v>
      </c>
      <c r="G6" s="539">
        <f t="shared" si="0"/>
        <v>40462865.200000003</v>
      </c>
      <c r="H6" s="539">
        <f>H7+H8+H9</f>
        <v>40666070.460000001</v>
      </c>
      <c r="I6" s="540" t="s">
        <v>773</v>
      </c>
      <c r="K6" s="542"/>
    </row>
    <row r="7" spans="1:19" s="545" customFormat="1" x14ac:dyDescent="0.25">
      <c r="A7" s="543" t="s">
        <v>290</v>
      </c>
      <c r="B7" s="539">
        <f>SUM(C7:H7)</f>
        <v>1255240833.9584999</v>
      </c>
      <c r="C7" s="572">
        <v>748699468.29859996</v>
      </c>
      <c r="D7" s="572">
        <v>348300594.94989997</v>
      </c>
      <c r="E7" s="572">
        <v>33804943.020000003</v>
      </c>
      <c r="F7" s="572">
        <v>49027610.200000003</v>
      </c>
      <c r="G7" s="572">
        <v>40462865.200000003</v>
      </c>
      <c r="H7" s="572">
        <v>34945352.289999999</v>
      </c>
      <c r="I7" s="544" t="s">
        <v>291</v>
      </c>
      <c r="K7" s="542"/>
    </row>
    <row r="8" spans="1:19" s="545" customFormat="1" x14ac:dyDescent="0.25">
      <c r="A8" s="543" t="s">
        <v>292</v>
      </c>
      <c r="B8" s="546">
        <f>SUM(C8:H8)</f>
        <v>642497891.10289991</v>
      </c>
      <c r="C8" s="572">
        <v>305241675.35289997</v>
      </c>
      <c r="D8" s="572">
        <v>310380087.53000003</v>
      </c>
      <c r="E8" s="572">
        <v>1638240.0499999998</v>
      </c>
      <c r="F8" s="572">
        <v>19517170</v>
      </c>
      <c r="G8" s="610">
        <v>0</v>
      </c>
      <c r="H8" s="572">
        <v>5720718.1699999999</v>
      </c>
      <c r="I8" s="547" t="s">
        <v>293</v>
      </c>
      <c r="K8" s="542"/>
    </row>
    <row r="9" spans="1:19" s="545" customFormat="1" x14ac:dyDescent="0.25">
      <c r="A9" s="548" t="s">
        <v>695</v>
      </c>
      <c r="B9" s="549">
        <f>SUM(C9:H9)</f>
        <v>266933716</v>
      </c>
      <c r="C9" s="573">
        <v>266933716</v>
      </c>
      <c r="D9" s="974">
        <v>0</v>
      </c>
      <c r="E9" s="974">
        <v>0</v>
      </c>
      <c r="F9" s="974">
        <v>0</v>
      </c>
      <c r="G9" s="974">
        <v>0</v>
      </c>
      <c r="H9" s="974">
        <v>0</v>
      </c>
      <c r="I9" s="550" t="s">
        <v>774</v>
      </c>
    </row>
    <row r="10" spans="1:19" ht="17.25" x14ac:dyDescent="0.25">
      <c r="A10" s="551" t="s">
        <v>775</v>
      </c>
      <c r="I10" s="401" t="s">
        <v>776</v>
      </c>
    </row>
    <row r="11" spans="1:19" ht="17.25" x14ac:dyDescent="0.25">
      <c r="A11" s="552" t="s">
        <v>777</v>
      </c>
      <c r="I11" s="401" t="s">
        <v>778</v>
      </c>
      <c r="O11" s="388">
        <v>2014</v>
      </c>
      <c r="P11" s="388">
        <v>2015</v>
      </c>
      <c r="Q11" s="388">
        <v>2016</v>
      </c>
      <c r="R11" s="388">
        <v>2017</v>
      </c>
      <c r="S11" s="388">
        <v>2018</v>
      </c>
    </row>
    <row r="12" spans="1:19" s="507" customFormat="1" ht="15" x14ac:dyDescent="0.25">
      <c r="B12" s="553"/>
      <c r="C12" s="554"/>
      <c r="D12" s="555"/>
      <c r="E12" s="555"/>
      <c r="F12" s="555"/>
      <c r="G12" s="555"/>
      <c r="H12" s="555"/>
      <c r="N12" s="507" t="s">
        <v>288</v>
      </c>
      <c r="O12" s="556">
        <v>1063054680.1288999</v>
      </c>
      <c r="P12" s="556">
        <v>1400609841.8314998</v>
      </c>
      <c r="Q12" s="556">
        <v>1675199187.0308001</v>
      </c>
      <c r="R12" s="556">
        <v>1797290685.4405</v>
      </c>
      <c r="S12" s="556">
        <f>B6</f>
        <v>2164672441.0613999</v>
      </c>
    </row>
    <row r="13" spans="1:19" ht="18.75" customHeight="1" x14ac:dyDescent="0.25">
      <c r="N13" s="388" t="s">
        <v>290</v>
      </c>
      <c r="O13" s="556">
        <v>529844339.34140003</v>
      </c>
      <c r="P13" s="556">
        <v>694778647.7112</v>
      </c>
      <c r="Q13" s="556">
        <v>899761456.92000008</v>
      </c>
      <c r="R13" s="556">
        <v>1040187042.5204999</v>
      </c>
      <c r="S13" s="556">
        <f t="shared" ref="S13:S15" si="1">B7</f>
        <v>1255240833.9584999</v>
      </c>
    </row>
    <row r="14" spans="1:19" ht="18.75" customHeight="1" x14ac:dyDescent="0.25">
      <c r="N14" s="388" t="s">
        <v>292</v>
      </c>
      <c r="O14" s="556">
        <v>364203693.46629995</v>
      </c>
      <c r="P14" s="556">
        <v>483525096.47310001</v>
      </c>
      <c r="Q14" s="556">
        <v>552084045.86000001</v>
      </c>
      <c r="R14" s="556">
        <v>582040521.91999996</v>
      </c>
      <c r="S14" s="556">
        <f t="shared" si="1"/>
        <v>642497891.10289991</v>
      </c>
    </row>
    <row r="15" spans="1:19" ht="15" x14ac:dyDescent="0.25">
      <c r="A15" s="403"/>
      <c r="B15" s="403"/>
      <c r="C15" s="403"/>
      <c r="D15" s="403"/>
      <c r="E15" s="403"/>
      <c r="F15" s="403"/>
      <c r="G15" s="403"/>
      <c r="H15" s="403"/>
      <c r="I15" s="403"/>
      <c r="N15" s="388" t="s">
        <v>695</v>
      </c>
      <c r="O15" s="556">
        <v>169006647.32120001</v>
      </c>
      <c r="P15" s="556">
        <v>222306097.64719999</v>
      </c>
      <c r="Q15" s="556">
        <v>223353684.25080001</v>
      </c>
      <c r="R15" s="556">
        <v>175063121</v>
      </c>
      <c r="S15" s="556">
        <f t="shared" si="1"/>
        <v>266933716</v>
      </c>
    </row>
    <row r="16" spans="1:19" ht="21" x14ac:dyDescent="0.25">
      <c r="A16" s="848"/>
      <c r="B16" s="848"/>
      <c r="C16" s="848"/>
      <c r="D16" s="848"/>
      <c r="E16" s="848"/>
      <c r="F16" s="848"/>
      <c r="G16" s="848"/>
      <c r="H16" s="848"/>
      <c r="I16" s="848"/>
    </row>
    <row r="17" spans="1:9" s="535" customFormat="1" ht="15" x14ac:dyDescent="0.25">
      <c r="A17" s="817"/>
      <c r="B17" s="817"/>
      <c r="C17" s="817"/>
      <c r="D17" s="817"/>
      <c r="E17" s="817"/>
      <c r="F17" s="817"/>
      <c r="G17" s="817"/>
      <c r="H17" s="817"/>
      <c r="I17" s="817"/>
    </row>
    <row r="18" spans="1:9" s="535" customFormat="1" ht="15" x14ac:dyDescent="0.25">
      <c r="A18" s="878"/>
      <c r="B18" s="557"/>
      <c r="C18" s="558"/>
      <c r="D18" s="558"/>
      <c r="E18" s="558"/>
      <c r="F18" s="558"/>
      <c r="G18" s="559"/>
      <c r="H18" s="560"/>
      <c r="I18" s="879"/>
    </row>
    <row r="19" spans="1:9" s="541" customFormat="1" x14ac:dyDescent="0.25">
      <c r="A19" s="878"/>
      <c r="B19" s="408"/>
      <c r="C19" s="561"/>
      <c r="D19" s="561"/>
      <c r="E19" s="561"/>
      <c r="F19" s="561"/>
      <c r="G19" s="408"/>
      <c r="H19" s="408"/>
      <c r="I19" s="879"/>
    </row>
    <row r="20" spans="1:9" s="545" customFormat="1" x14ac:dyDescent="0.25">
      <c r="A20" s="562"/>
      <c r="B20" s="546"/>
      <c r="C20" s="546"/>
      <c r="D20" s="546"/>
      <c r="E20" s="546"/>
      <c r="F20" s="546"/>
      <c r="G20" s="546"/>
      <c r="H20" s="546"/>
      <c r="I20" s="563"/>
    </row>
    <row r="21" spans="1:9" s="545" customFormat="1" x14ac:dyDescent="0.25">
      <c r="A21" s="543"/>
      <c r="B21" s="546"/>
      <c r="C21" s="564"/>
      <c r="D21" s="564"/>
      <c r="E21" s="564"/>
      <c r="F21" s="564"/>
      <c r="G21" s="564"/>
      <c r="H21" s="564"/>
      <c r="I21" s="547"/>
    </row>
    <row r="22" spans="1:9" s="545" customFormat="1" x14ac:dyDescent="0.25">
      <c r="A22" s="543"/>
      <c r="B22" s="546"/>
      <c r="C22" s="564"/>
      <c r="D22" s="564"/>
      <c r="E22" s="564"/>
      <c r="F22" s="564"/>
      <c r="G22" s="564"/>
      <c r="H22" s="564"/>
      <c r="I22" s="547"/>
    </row>
    <row r="23" spans="1:9" x14ac:dyDescent="0.25">
      <c r="A23" s="543"/>
      <c r="B23" s="546"/>
      <c r="C23" s="564"/>
      <c r="D23" s="564"/>
      <c r="E23" s="564"/>
      <c r="F23" s="564"/>
      <c r="G23" s="564"/>
      <c r="H23" s="564"/>
      <c r="I23" s="547"/>
    </row>
    <row r="24" spans="1:9" ht="17.25" x14ac:dyDescent="0.25">
      <c r="A24" s="565"/>
      <c r="B24" s="403"/>
      <c r="C24" s="403"/>
      <c r="D24" s="403"/>
      <c r="E24" s="403"/>
      <c r="F24" s="403"/>
      <c r="G24" s="403"/>
      <c r="H24" s="403"/>
      <c r="I24" s="405"/>
    </row>
    <row r="25" spans="1:9" s="507" customFormat="1" ht="17.25" x14ac:dyDescent="0.25">
      <c r="A25" s="400"/>
      <c r="B25" s="403"/>
      <c r="C25" s="403"/>
      <c r="D25" s="403"/>
      <c r="E25" s="403"/>
      <c r="F25" s="403"/>
      <c r="G25" s="403"/>
      <c r="H25" s="403"/>
      <c r="I25" s="405"/>
    </row>
    <row r="26" spans="1:9" ht="17.25" x14ac:dyDescent="0.25">
      <c r="A26" s="552"/>
      <c r="B26" s="553"/>
      <c r="C26" s="554"/>
      <c r="D26" s="555"/>
      <c r="E26" s="555"/>
      <c r="F26" s="555"/>
      <c r="G26" s="555"/>
      <c r="H26" s="555"/>
      <c r="I26" s="405"/>
    </row>
    <row r="27" spans="1:9" ht="18.75" customHeight="1" x14ac:dyDescent="0.25">
      <c r="A27" s="403"/>
      <c r="B27" s="403"/>
      <c r="C27" s="403"/>
      <c r="D27" s="403"/>
      <c r="E27" s="403"/>
      <c r="F27" s="403"/>
      <c r="G27" s="403"/>
      <c r="H27" s="403"/>
      <c r="I27" s="403"/>
    </row>
    <row r="28" spans="1:9" ht="18.75" customHeight="1" x14ac:dyDescent="0.25">
      <c r="A28" s="403"/>
      <c r="B28" s="403"/>
      <c r="C28" s="403"/>
      <c r="D28" s="403"/>
      <c r="E28" s="403"/>
      <c r="F28" s="403"/>
      <c r="G28" s="403"/>
      <c r="H28" s="403"/>
      <c r="I28" s="403"/>
    </row>
    <row r="29" spans="1:9" ht="21" x14ac:dyDescent="0.25">
      <c r="A29" s="848"/>
      <c r="B29" s="848"/>
      <c r="C29" s="848"/>
      <c r="D29" s="848"/>
      <c r="E29" s="848"/>
      <c r="F29" s="848"/>
      <c r="G29" s="848"/>
      <c r="H29" s="848"/>
      <c r="I29" s="566"/>
    </row>
    <row r="30" spans="1:9" ht="15" x14ac:dyDescent="0.25">
      <c r="A30" s="817"/>
      <c r="B30" s="817"/>
      <c r="C30" s="817"/>
      <c r="D30" s="817"/>
      <c r="E30" s="817"/>
      <c r="F30" s="817"/>
      <c r="G30" s="817"/>
      <c r="H30" s="817"/>
      <c r="I30" s="567"/>
    </row>
    <row r="31" spans="1:9" ht="15" x14ac:dyDescent="0.25">
      <c r="A31" s="878"/>
      <c r="B31" s="557"/>
      <c r="C31" s="558"/>
      <c r="D31" s="558"/>
      <c r="E31" s="558"/>
      <c r="F31" s="558"/>
      <c r="G31" s="559"/>
      <c r="H31" s="879"/>
      <c r="I31" s="568"/>
    </row>
    <row r="32" spans="1:9" x14ac:dyDescent="0.25">
      <c r="A32" s="878"/>
      <c r="B32" s="408"/>
      <c r="C32" s="561"/>
      <c r="D32" s="561"/>
      <c r="E32" s="561"/>
      <c r="F32" s="561"/>
      <c r="G32" s="408"/>
      <c r="H32" s="879"/>
      <c r="I32" s="568"/>
    </row>
    <row r="33" spans="1:9" ht="18.75" customHeight="1" x14ac:dyDescent="0.25">
      <c r="A33" s="562"/>
      <c r="B33" s="546"/>
      <c r="C33" s="546"/>
      <c r="D33" s="546"/>
      <c r="E33" s="546"/>
      <c r="F33" s="546"/>
      <c r="G33" s="546"/>
      <c r="H33" s="563"/>
      <c r="I33" s="569"/>
    </row>
    <row r="34" spans="1:9" ht="18.75" customHeight="1" x14ac:dyDescent="0.25">
      <c r="A34" s="543"/>
      <c r="B34" s="546"/>
      <c r="C34" s="564"/>
      <c r="D34" s="564"/>
      <c r="E34" s="564"/>
      <c r="F34" s="564"/>
      <c r="G34" s="564"/>
      <c r="H34" s="547"/>
      <c r="I34" s="570"/>
    </row>
    <row r="35" spans="1:9" ht="18.75" customHeight="1" x14ac:dyDescent="0.25">
      <c r="A35" s="543"/>
      <c r="B35" s="546"/>
      <c r="C35" s="564"/>
      <c r="D35" s="564"/>
      <c r="E35" s="564"/>
      <c r="F35" s="564"/>
      <c r="G35" s="564"/>
      <c r="H35" s="547"/>
      <c r="I35" s="570"/>
    </row>
    <row r="36" spans="1:9" ht="18.75" customHeight="1" x14ac:dyDescent="0.25">
      <c r="A36" s="543"/>
      <c r="B36" s="546"/>
      <c r="C36" s="564"/>
      <c r="D36" s="564"/>
      <c r="E36" s="564"/>
      <c r="F36" s="564"/>
      <c r="G36" s="564"/>
      <c r="H36" s="547"/>
      <c r="I36" s="570"/>
    </row>
    <row r="37" spans="1:9" ht="17.25" x14ac:dyDescent="0.25">
      <c r="A37" s="565"/>
      <c r="B37" s="403"/>
      <c r="C37" s="403"/>
      <c r="D37" s="403"/>
      <c r="E37" s="403"/>
      <c r="F37" s="403"/>
      <c r="G37" s="403"/>
      <c r="H37" s="405"/>
      <c r="I37" s="403"/>
    </row>
    <row r="38" spans="1:9" ht="17.25" x14ac:dyDescent="0.25">
      <c r="A38" s="400"/>
      <c r="B38" s="403"/>
      <c r="C38" s="403"/>
      <c r="D38" s="403"/>
      <c r="E38" s="403"/>
      <c r="F38" s="403"/>
      <c r="G38" s="403"/>
      <c r="H38" s="405"/>
      <c r="I38" s="403"/>
    </row>
    <row r="39" spans="1:9" ht="17.25" x14ac:dyDescent="0.25">
      <c r="A39" s="552"/>
      <c r="B39" s="553"/>
      <c r="C39" s="554"/>
      <c r="D39" s="555"/>
      <c r="E39" s="555"/>
      <c r="F39" s="555"/>
      <c r="G39" s="555"/>
      <c r="H39" s="405"/>
      <c r="I39" s="571"/>
    </row>
    <row r="40" spans="1:9" ht="18.75" customHeight="1" x14ac:dyDescent="0.25">
      <c r="A40" s="403"/>
      <c r="B40" s="403"/>
      <c r="C40" s="403"/>
      <c r="D40" s="403"/>
      <c r="E40" s="403"/>
      <c r="F40" s="403"/>
      <c r="G40" s="403"/>
      <c r="H40" s="403"/>
      <c r="I40" s="403"/>
    </row>
  </sheetData>
  <mergeCells count="12">
    <mergeCell ref="A18:A19"/>
    <mergeCell ref="I18:I19"/>
    <mergeCell ref="A29:H29"/>
    <mergeCell ref="A30:H30"/>
    <mergeCell ref="A31:A32"/>
    <mergeCell ref="H31:H32"/>
    <mergeCell ref="A17:I17"/>
    <mergeCell ref="A2:I2"/>
    <mergeCell ref="A3:I3"/>
    <mergeCell ref="A4:A5"/>
    <mergeCell ref="I4:I5"/>
    <mergeCell ref="A16:I1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T52"/>
  <sheetViews>
    <sheetView topLeftCell="A5" zoomScale="89" zoomScaleNormal="89" workbookViewId="0">
      <selection activeCell="B6" sqref="B6"/>
    </sheetView>
  </sheetViews>
  <sheetFormatPr defaultColWidth="9.140625" defaultRowHeight="15" x14ac:dyDescent="0.25"/>
  <cols>
    <col min="1" max="1" width="28.7109375" style="388" customWidth="1"/>
    <col min="2" max="2" width="18.28515625" style="388" customWidth="1"/>
    <col min="3" max="3" width="16.7109375" style="388" bestFit="1" customWidth="1"/>
    <col min="4" max="6" width="15.7109375" style="388" customWidth="1"/>
    <col min="7" max="8" width="18.28515625" style="388" customWidth="1"/>
    <col min="9" max="9" width="22" style="388" bestFit="1" customWidth="1"/>
    <col min="10" max="10" width="9.140625" style="388"/>
    <col min="11" max="11" width="14.28515625" style="388" bestFit="1" customWidth="1"/>
    <col min="12" max="12" width="9.140625" style="388"/>
    <col min="13" max="13" width="10.7109375" style="388" customWidth="1"/>
    <col min="14" max="14" width="9.85546875" style="388" customWidth="1"/>
    <col min="15" max="15" width="15.28515625" style="388" customWidth="1"/>
    <col min="16" max="17" width="9.7109375" style="388" customWidth="1"/>
    <col min="18" max="18" width="8.85546875" style="388" customWidth="1"/>
    <col min="19" max="19" width="11.28515625" style="388" bestFit="1" customWidth="1"/>
    <col min="20" max="20" width="11" style="388" bestFit="1" customWidth="1"/>
    <col min="21" max="16384" width="9.140625" style="388"/>
  </cols>
  <sheetData>
    <row r="1" spans="1:19" ht="21" x14ac:dyDescent="0.55000000000000004">
      <c r="A1" s="882" t="s">
        <v>779</v>
      </c>
      <c r="B1" s="882"/>
      <c r="C1" s="882"/>
      <c r="D1" s="882"/>
      <c r="E1" s="882"/>
      <c r="F1" s="882"/>
      <c r="G1" s="882"/>
      <c r="H1" s="882"/>
      <c r="I1" s="882"/>
    </row>
    <row r="2" spans="1:19" s="568" customFormat="1" x14ac:dyDescent="0.25">
      <c r="A2" s="883" t="s">
        <v>780</v>
      </c>
      <c r="B2" s="883"/>
      <c r="C2" s="883"/>
      <c r="D2" s="883"/>
      <c r="E2" s="883"/>
      <c r="F2" s="883"/>
      <c r="G2" s="883"/>
      <c r="H2" s="883"/>
      <c r="I2" s="883"/>
    </row>
    <row r="3" spans="1:19" s="535" customFormat="1" x14ac:dyDescent="0.25">
      <c r="A3" s="694"/>
      <c r="B3" s="694"/>
      <c r="C3" s="694"/>
      <c r="D3" s="694"/>
      <c r="E3" s="694"/>
      <c r="F3" s="694"/>
      <c r="G3" s="694"/>
      <c r="H3" s="694"/>
      <c r="I3" s="694"/>
    </row>
    <row r="4" spans="1:19" s="535" customFormat="1" ht="30" x14ac:dyDescent="0.25">
      <c r="A4" s="874" t="s">
        <v>269</v>
      </c>
      <c r="B4" s="531" t="s">
        <v>760</v>
      </c>
      <c r="C4" s="532" t="s">
        <v>761</v>
      </c>
      <c r="D4" s="532" t="s">
        <v>185</v>
      </c>
      <c r="E4" s="532" t="s">
        <v>762</v>
      </c>
      <c r="F4" s="532" t="s">
        <v>763</v>
      </c>
      <c r="G4" s="533" t="s">
        <v>893</v>
      </c>
      <c r="H4" s="534" t="s">
        <v>781</v>
      </c>
      <c r="I4" s="880" t="s">
        <v>221</v>
      </c>
    </row>
    <row r="5" spans="1:19" s="535" customFormat="1" ht="18.75" x14ac:dyDescent="0.25">
      <c r="A5" s="875"/>
      <c r="B5" s="536" t="s">
        <v>766</v>
      </c>
      <c r="C5" s="537" t="s">
        <v>767</v>
      </c>
      <c r="D5" s="537" t="s">
        <v>768</v>
      </c>
      <c r="E5" s="537" t="s">
        <v>769</v>
      </c>
      <c r="F5" s="537" t="s">
        <v>770</v>
      </c>
      <c r="G5" s="536" t="s">
        <v>771</v>
      </c>
      <c r="H5" s="536" t="s">
        <v>772</v>
      </c>
      <c r="I5" s="881"/>
    </row>
    <row r="6" spans="1:19" s="541" customFormat="1" ht="18.75" x14ac:dyDescent="0.25">
      <c r="A6" s="538" t="s">
        <v>288</v>
      </c>
      <c r="B6" s="574">
        <f>B7+B8+B29</f>
        <v>2164672441.0613999</v>
      </c>
      <c r="C6" s="574">
        <f>SUM(C7:C8)+C29</f>
        <v>1320874859.6515</v>
      </c>
      <c r="D6" s="574">
        <f>SUM(D7:D8)+D29</f>
        <v>658680682.47990012</v>
      </c>
      <c r="E6" s="574">
        <f>SUM(E7:E8)</f>
        <v>35443183.07</v>
      </c>
      <c r="F6" s="574">
        <f>SUM(F7:F8)</f>
        <v>68544780.200000003</v>
      </c>
      <c r="G6" s="574">
        <f>SUM(G7:G8)</f>
        <v>40462865.200000003</v>
      </c>
      <c r="H6" s="574">
        <f>SUM(H7:H8)</f>
        <v>40666070.460000001</v>
      </c>
      <c r="I6" s="575" t="s">
        <v>773</v>
      </c>
      <c r="K6" s="576"/>
    </row>
    <row r="7" spans="1:19" s="436" customFormat="1" ht="18.75" x14ac:dyDescent="0.25">
      <c r="A7" s="577" t="s">
        <v>290</v>
      </c>
      <c r="B7" s="578">
        <f>SUM(C7:H7)</f>
        <v>1255240833.9584999</v>
      </c>
      <c r="C7" s="578">
        <v>748699468.29859996</v>
      </c>
      <c r="D7" s="578">
        <v>348300594.94990003</v>
      </c>
      <c r="E7" s="578">
        <v>33804943.020000003</v>
      </c>
      <c r="F7" s="578">
        <v>49027610.200000003</v>
      </c>
      <c r="G7" s="578">
        <v>40462865.200000003</v>
      </c>
      <c r="H7" s="578">
        <v>34945352.289999999</v>
      </c>
      <c r="I7" s="575" t="s">
        <v>291</v>
      </c>
    </row>
    <row r="8" spans="1:19" s="436" customFormat="1" ht="18.75" x14ac:dyDescent="0.25">
      <c r="A8" s="577" t="s">
        <v>292</v>
      </c>
      <c r="B8" s="578">
        <f>SUM(C8:H8)</f>
        <v>642497891.10289991</v>
      </c>
      <c r="C8" s="578">
        <f>SUM(C9:C28)</f>
        <v>305241675.35290003</v>
      </c>
      <c r="D8" s="578">
        <f t="shared" ref="D8:H8" si="0">SUM(D9:D28)</f>
        <v>310380087.53000003</v>
      </c>
      <c r="E8" s="578">
        <f t="shared" si="0"/>
        <v>1638240.0499999998</v>
      </c>
      <c r="F8" s="578">
        <f t="shared" si="0"/>
        <v>19517170</v>
      </c>
      <c r="G8" s="578">
        <f t="shared" si="0"/>
        <v>0</v>
      </c>
      <c r="H8" s="578">
        <f t="shared" si="0"/>
        <v>5720718.1699999999</v>
      </c>
      <c r="I8" s="575" t="s">
        <v>293</v>
      </c>
    </row>
    <row r="9" spans="1:19" ht="16.5" x14ac:dyDescent="0.25">
      <c r="A9" s="579" t="s">
        <v>294</v>
      </c>
      <c r="B9" s="580">
        <f t="shared" ref="B9:B28" si="1">SUM(C9:H9)</f>
        <v>37849375.519999996</v>
      </c>
      <c r="C9" s="572">
        <v>17075193.219999999</v>
      </c>
      <c r="D9" s="601">
        <v>20515842.050000001</v>
      </c>
      <c r="E9" s="610">
        <v>0</v>
      </c>
      <c r="F9" s="610">
        <v>0</v>
      </c>
      <c r="G9" s="610">
        <v>0</v>
      </c>
      <c r="H9" s="572">
        <v>258340.25000000003</v>
      </c>
      <c r="I9" s="581" t="s">
        <v>782</v>
      </c>
    </row>
    <row r="10" spans="1:19" ht="16.5" x14ac:dyDescent="0.25">
      <c r="A10" s="579" t="s">
        <v>296</v>
      </c>
      <c r="B10" s="580">
        <f t="shared" si="1"/>
        <v>73741273.560000002</v>
      </c>
      <c r="C10" s="572">
        <v>44243449.519999996</v>
      </c>
      <c r="D10" s="601">
        <v>28849717.729999997</v>
      </c>
      <c r="E10" s="601">
        <v>133585.10999999999</v>
      </c>
      <c r="F10" s="610">
        <v>0</v>
      </c>
      <c r="G10" s="610">
        <v>0</v>
      </c>
      <c r="H10" s="572">
        <v>514521.2</v>
      </c>
      <c r="I10" s="581" t="s">
        <v>783</v>
      </c>
    </row>
    <row r="11" spans="1:19" ht="16.5" x14ac:dyDescent="0.25">
      <c r="A11" s="579" t="s">
        <v>298</v>
      </c>
      <c r="B11" s="580">
        <f t="shared" si="1"/>
        <v>24133600.373999998</v>
      </c>
      <c r="C11" s="572">
        <v>11518823.794</v>
      </c>
      <c r="D11" s="601">
        <v>11748876.579999998</v>
      </c>
      <c r="E11" s="610">
        <v>0</v>
      </c>
      <c r="F11" s="610">
        <v>0</v>
      </c>
      <c r="G11" s="610">
        <v>0</v>
      </c>
      <c r="H11" s="572">
        <v>865900</v>
      </c>
      <c r="I11" s="581" t="s">
        <v>745</v>
      </c>
      <c r="J11" s="582"/>
    </row>
    <row r="12" spans="1:19" ht="16.5" x14ac:dyDescent="0.25">
      <c r="A12" s="579" t="s">
        <v>300</v>
      </c>
      <c r="B12" s="580">
        <f t="shared" si="1"/>
        <v>18665154.07</v>
      </c>
      <c r="C12" s="572">
        <v>8910182.0099999979</v>
      </c>
      <c r="D12" s="601">
        <v>9009372.0600000005</v>
      </c>
      <c r="E12" s="610">
        <v>0</v>
      </c>
      <c r="F12" s="610">
        <v>0</v>
      </c>
      <c r="G12" s="610">
        <v>0</v>
      </c>
      <c r="H12" s="572">
        <v>745600</v>
      </c>
      <c r="I12" s="581" t="s">
        <v>784</v>
      </c>
    </row>
    <row r="13" spans="1:19" ht="16.5" x14ac:dyDescent="0.25">
      <c r="A13" s="579" t="s">
        <v>302</v>
      </c>
      <c r="B13" s="580">
        <f t="shared" si="1"/>
        <v>49456949.840000004</v>
      </c>
      <c r="C13" s="572">
        <v>26353714.620000001</v>
      </c>
      <c r="D13" s="601">
        <v>22417920.220000003</v>
      </c>
      <c r="E13" s="610">
        <v>0</v>
      </c>
      <c r="F13" s="610">
        <v>0</v>
      </c>
      <c r="G13" s="610">
        <v>0</v>
      </c>
      <c r="H13" s="572">
        <v>685315</v>
      </c>
      <c r="I13" s="581" t="s">
        <v>785</v>
      </c>
    </row>
    <row r="14" spans="1:19" ht="16.5" x14ac:dyDescent="0.25">
      <c r="A14" s="579" t="s">
        <v>304</v>
      </c>
      <c r="B14" s="580">
        <f t="shared" si="1"/>
        <v>33634879.120000005</v>
      </c>
      <c r="C14" s="572">
        <v>12423530.75</v>
      </c>
      <c r="D14" s="601">
        <v>20509797.370000001</v>
      </c>
      <c r="E14" s="610">
        <v>0</v>
      </c>
      <c r="F14" s="610">
        <v>0</v>
      </c>
      <c r="G14" s="610">
        <v>0</v>
      </c>
      <c r="H14" s="572">
        <v>701551</v>
      </c>
      <c r="I14" s="581" t="s">
        <v>786</v>
      </c>
      <c r="L14" s="403"/>
      <c r="M14" s="403"/>
      <c r="N14" s="403"/>
      <c r="O14" s="403"/>
      <c r="P14" s="403"/>
      <c r="Q14" s="403"/>
      <c r="R14" s="403"/>
      <c r="S14" s="403"/>
    </row>
    <row r="15" spans="1:19" ht="16.5" x14ac:dyDescent="0.25">
      <c r="A15" s="579" t="s">
        <v>306</v>
      </c>
      <c r="B15" s="580">
        <f t="shared" si="1"/>
        <v>35692529.050000004</v>
      </c>
      <c r="C15" s="572">
        <v>11800623.790000001</v>
      </c>
      <c r="D15" s="601">
        <v>23806405.260000002</v>
      </c>
      <c r="E15" s="610">
        <v>0</v>
      </c>
      <c r="F15" s="610">
        <v>0</v>
      </c>
      <c r="G15" s="610">
        <v>0</v>
      </c>
      <c r="H15" s="572">
        <v>85500</v>
      </c>
      <c r="I15" s="581" t="s">
        <v>741</v>
      </c>
      <c r="L15" s="403"/>
      <c r="M15" s="403"/>
      <c r="N15" s="403"/>
      <c r="O15" s="403"/>
      <c r="P15" s="403"/>
      <c r="Q15" s="403"/>
      <c r="R15" s="403"/>
      <c r="S15" s="403"/>
    </row>
    <row r="16" spans="1:19" ht="16.5" x14ac:dyDescent="0.25">
      <c r="A16" s="579" t="s">
        <v>787</v>
      </c>
      <c r="B16" s="580">
        <f t="shared" si="1"/>
        <v>15019880.84</v>
      </c>
      <c r="C16" s="572">
        <v>7546711.7300000004</v>
      </c>
      <c r="D16" s="601">
        <v>7379769.1100000003</v>
      </c>
      <c r="E16" s="610">
        <v>0</v>
      </c>
      <c r="F16" s="610">
        <v>0</v>
      </c>
      <c r="G16" s="610">
        <v>0</v>
      </c>
      <c r="H16" s="572">
        <v>93400</v>
      </c>
      <c r="I16" s="581" t="s">
        <v>788</v>
      </c>
      <c r="L16" s="403"/>
      <c r="M16" s="583"/>
      <c r="N16" s="583"/>
      <c r="O16" s="583"/>
      <c r="P16" s="583"/>
      <c r="Q16" s="583"/>
      <c r="R16" s="583"/>
      <c r="S16" s="403"/>
    </row>
    <row r="17" spans="1:19" ht="16.5" x14ac:dyDescent="0.25">
      <c r="A17" s="584" t="s">
        <v>310</v>
      </c>
      <c r="B17" s="580">
        <f t="shared" si="1"/>
        <v>10990868.449999999</v>
      </c>
      <c r="C17" s="572">
        <v>6099505</v>
      </c>
      <c r="D17" s="601">
        <v>4766863.4499999993</v>
      </c>
      <c r="E17" s="610">
        <v>0</v>
      </c>
      <c r="F17" s="610">
        <v>0</v>
      </c>
      <c r="G17" s="610">
        <v>0</v>
      </c>
      <c r="H17" s="572">
        <v>124500</v>
      </c>
      <c r="I17" s="581" t="s">
        <v>789</v>
      </c>
      <c r="L17" s="403"/>
      <c r="M17" s="585"/>
      <c r="N17" s="688"/>
      <c r="O17" s="688"/>
      <c r="P17" s="688"/>
      <c r="Q17" s="688"/>
      <c r="R17" s="586"/>
      <c r="S17" s="586"/>
    </row>
    <row r="18" spans="1:19" ht="16.5" x14ac:dyDescent="0.25">
      <c r="A18" s="579" t="s">
        <v>312</v>
      </c>
      <c r="B18" s="580">
        <f t="shared" si="1"/>
        <v>25909086.93</v>
      </c>
      <c r="C18" s="572">
        <v>11079055</v>
      </c>
      <c r="D18" s="601">
        <v>13602641.930000002</v>
      </c>
      <c r="E18" s="610">
        <v>0</v>
      </c>
      <c r="F18" s="602">
        <v>823990</v>
      </c>
      <c r="G18" s="610">
        <v>0</v>
      </c>
      <c r="H18" s="572">
        <v>403400</v>
      </c>
      <c r="I18" s="581" t="s">
        <v>790</v>
      </c>
      <c r="L18" s="403"/>
      <c r="M18" s="587"/>
      <c r="N18" s="587"/>
      <c r="O18" s="587"/>
      <c r="P18" s="587"/>
      <c r="Q18" s="588"/>
      <c r="R18" s="589"/>
      <c r="S18" s="590"/>
    </row>
    <row r="19" spans="1:19" ht="16.5" x14ac:dyDescent="0.25">
      <c r="A19" s="579" t="s">
        <v>314</v>
      </c>
      <c r="B19" s="580">
        <f t="shared" si="1"/>
        <v>2433263.37</v>
      </c>
      <c r="C19" s="572">
        <v>1104706.75</v>
      </c>
      <c r="D19" s="602">
        <v>1312056.6199999999</v>
      </c>
      <c r="E19" s="610">
        <v>0</v>
      </c>
      <c r="F19" s="610">
        <v>0</v>
      </c>
      <c r="G19" s="610">
        <v>0</v>
      </c>
      <c r="H19" s="572">
        <v>16500</v>
      </c>
      <c r="I19" s="581" t="s">
        <v>791</v>
      </c>
      <c r="L19" s="403"/>
      <c r="M19" s="583"/>
      <c r="N19" s="583"/>
      <c r="O19" s="583"/>
      <c r="P19" s="583"/>
      <c r="Q19" s="583"/>
      <c r="R19" s="583"/>
      <c r="S19" s="403"/>
    </row>
    <row r="20" spans="1:19" ht="16.5" x14ac:dyDescent="0.25">
      <c r="A20" s="579" t="s">
        <v>316</v>
      </c>
      <c r="B20" s="580">
        <f t="shared" si="1"/>
        <v>11312990.07</v>
      </c>
      <c r="C20" s="572">
        <v>5212737</v>
      </c>
      <c r="D20" s="601">
        <v>6071753.0700000003</v>
      </c>
      <c r="E20" s="610">
        <v>0</v>
      </c>
      <c r="F20" s="610">
        <v>0</v>
      </c>
      <c r="G20" s="610">
        <v>0</v>
      </c>
      <c r="H20" s="572">
        <v>28500</v>
      </c>
      <c r="I20" s="581" t="s">
        <v>792</v>
      </c>
      <c r="L20" s="403"/>
      <c r="M20" s="403"/>
      <c r="N20" s="403"/>
      <c r="O20" s="403"/>
      <c r="P20" s="403"/>
      <c r="Q20" s="403"/>
      <c r="R20" s="403"/>
      <c r="S20" s="403"/>
    </row>
    <row r="21" spans="1:19" ht="16.5" x14ac:dyDescent="0.25">
      <c r="A21" s="579" t="s">
        <v>318</v>
      </c>
      <c r="B21" s="580">
        <f t="shared" si="1"/>
        <v>13465688.68</v>
      </c>
      <c r="C21" s="572">
        <v>5509695</v>
      </c>
      <c r="D21" s="601">
        <v>7907993.6799999997</v>
      </c>
      <c r="E21" s="610">
        <v>0</v>
      </c>
      <c r="F21" s="610">
        <v>0</v>
      </c>
      <c r="G21" s="610">
        <v>0</v>
      </c>
      <c r="H21" s="572">
        <v>48000</v>
      </c>
      <c r="I21" s="581" t="s">
        <v>793</v>
      </c>
      <c r="L21" s="403"/>
      <c r="M21" s="403"/>
      <c r="N21" s="403"/>
      <c r="O21" s="403"/>
      <c r="P21" s="403"/>
      <c r="Q21" s="403"/>
      <c r="R21" s="403"/>
      <c r="S21" s="403"/>
    </row>
    <row r="22" spans="1:19" ht="16.5" x14ac:dyDescent="0.25">
      <c r="A22" s="579" t="s">
        <v>320</v>
      </c>
      <c r="B22" s="580">
        <f t="shared" si="1"/>
        <v>15100490.25</v>
      </c>
      <c r="C22" s="572">
        <v>8248997.5000000009</v>
      </c>
      <c r="D22" s="601">
        <v>6851492.75</v>
      </c>
      <c r="E22" s="610">
        <v>0</v>
      </c>
      <c r="F22" s="610">
        <v>0</v>
      </c>
      <c r="G22" s="610">
        <v>0</v>
      </c>
      <c r="H22" s="572">
        <v>0</v>
      </c>
      <c r="I22" s="581" t="s">
        <v>794</v>
      </c>
      <c r="L22" s="403"/>
      <c r="M22" s="403"/>
      <c r="N22" s="403"/>
      <c r="O22" s="403"/>
      <c r="P22" s="403"/>
      <c r="Q22" s="403"/>
      <c r="R22" s="403"/>
      <c r="S22" s="403"/>
    </row>
    <row r="23" spans="1:19" ht="16.5" x14ac:dyDescent="0.25">
      <c r="A23" s="579" t="s">
        <v>322</v>
      </c>
      <c r="B23" s="580">
        <f t="shared" si="1"/>
        <v>21574058.689999998</v>
      </c>
      <c r="C23" s="572">
        <v>12683692.93</v>
      </c>
      <c r="D23" s="601">
        <v>8262050.7599999979</v>
      </c>
      <c r="E23" s="610">
        <v>0</v>
      </c>
      <c r="F23" s="610">
        <v>0</v>
      </c>
      <c r="G23" s="610">
        <v>0</v>
      </c>
      <c r="H23" s="572">
        <v>628315</v>
      </c>
      <c r="I23" s="581" t="s">
        <v>795</v>
      </c>
      <c r="L23" s="403"/>
      <c r="M23" s="403"/>
      <c r="N23" s="403"/>
      <c r="O23" s="403"/>
      <c r="P23" s="403"/>
      <c r="Q23" s="403"/>
      <c r="R23" s="403"/>
      <c r="S23" s="403"/>
    </row>
    <row r="24" spans="1:19" ht="16.5" x14ac:dyDescent="0.25">
      <c r="A24" s="579" t="s">
        <v>324</v>
      </c>
      <c r="B24" s="580">
        <f t="shared" si="1"/>
        <v>34810489.399999999</v>
      </c>
      <c r="C24" s="572">
        <v>20665546.879999999</v>
      </c>
      <c r="D24" s="601">
        <v>14125942.520000001</v>
      </c>
      <c r="E24" s="610">
        <v>0</v>
      </c>
      <c r="F24" s="610">
        <v>0</v>
      </c>
      <c r="G24" s="610">
        <v>0</v>
      </c>
      <c r="H24" s="572">
        <v>19000</v>
      </c>
      <c r="I24" s="581" t="s">
        <v>796</v>
      </c>
      <c r="L24" s="403"/>
      <c r="M24" s="403"/>
      <c r="N24" s="403"/>
      <c r="O24" s="403"/>
      <c r="P24" s="403"/>
      <c r="Q24" s="403"/>
      <c r="R24" s="403"/>
      <c r="S24" s="403"/>
    </row>
    <row r="25" spans="1:19" ht="16.5" x14ac:dyDescent="0.25">
      <c r="A25" s="579" t="s">
        <v>326</v>
      </c>
      <c r="B25" s="580">
        <f t="shared" si="1"/>
        <v>27993704.789999999</v>
      </c>
      <c r="C25" s="572">
        <v>12742660.959999999</v>
      </c>
      <c r="D25" s="601">
        <v>15001925.779999999</v>
      </c>
      <c r="E25" s="610">
        <v>0</v>
      </c>
      <c r="F25" s="610">
        <v>0</v>
      </c>
      <c r="G25" s="610">
        <v>0</v>
      </c>
      <c r="H25" s="572">
        <v>249118.04999999996</v>
      </c>
      <c r="I25" s="581" t="s">
        <v>797</v>
      </c>
      <c r="L25" s="403"/>
      <c r="M25" s="403"/>
      <c r="N25" s="403"/>
      <c r="O25" s="403"/>
      <c r="P25" s="403"/>
      <c r="Q25" s="403"/>
      <c r="R25" s="403"/>
      <c r="S25" s="403"/>
    </row>
    <row r="26" spans="1:19" ht="16.5" x14ac:dyDescent="0.25">
      <c r="A26" s="579" t="s">
        <v>328</v>
      </c>
      <c r="B26" s="580">
        <f t="shared" si="1"/>
        <v>46107004.269999996</v>
      </c>
      <c r="C26" s="572">
        <v>25841171.419999998</v>
      </c>
      <c r="D26" s="601">
        <v>19965580.179999996</v>
      </c>
      <c r="E26" s="572">
        <v>55995</v>
      </c>
      <c r="F26" s="610">
        <v>0</v>
      </c>
      <c r="G26" s="610">
        <v>0</v>
      </c>
      <c r="H26" s="572">
        <v>244257.67</v>
      </c>
      <c r="I26" s="581" t="s">
        <v>798</v>
      </c>
      <c r="L26" s="403"/>
      <c r="M26" s="403"/>
      <c r="N26" s="403"/>
      <c r="O26" s="403"/>
      <c r="P26" s="403"/>
      <c r="Q26" s="403"/>
      <c r="R26" s="403"/>
      <c r="S26" s="403"/>
    </row>
    <row r="27" spans="1:19" ht="16.5" x14ac:dyDescent="0.25">
      <c r="A27" s="579" t="s">
        <v>330</v>
      </c>
      <c r="B27" s="580">
        <f t="shared" si="1"/>
        <v>23428238.91</v>
      </c>
      <c r="C27" s="572">
        <v>11208108</v>
      </c>
      <c r="D27" s="601">
        <v>11008842.91</v>
      </c>
      <c r="E27" s="602">
        <v>295513</v>
      </c>
      <c r="F27" s="602">
        <v>915775</v>
      </c>
      <c r="G27" s="610">
        <v>0</v>
      </c>
      <c r="H27" s="572">
        <v>0</v>
      </c>
      <c r="I27" s="581" t="s">
        <v>729</v>
      </c>
      <c r="L27" s="403"/>
      <c r="M27" s="403"/>
      <c r="N27" s="403"/>
      <c r="O27" s="403"/>
      <c r="P27" s="403"/>
      <c r="Q27" s="403"/>
      <c r="R27" s="403"/>
      <c r="S27" s="403"/>
    </row>
    <row r="28" spans="1:19" ht="16.5" x14ac:dyDescent="0.25">
      <c r="A28" s="579" t="s">
        <v>332</v>
      </c>
      <c r="B28" s="580">
        <f t="shared" si="1"/>
        <v>121178364.9189</v>
      </c>
      <c r="C28" s="572">
        <v>44973569.4789</v>
      </c>
      <c r="D28" s="601">
        <v>57265243.5</v>
      </c>
      <c r="E28" s="601">
        <v>1153146.94</v>
      </c>
      <c r="F28" s="602">
        <v>17777405</v>
      </c>
      <c r="G28" s="610">
        <v>0</v>
      </c>
      <c r="H28" s="572">
        <v>9000</v>
      </c>
      <c r="I28" s="581" t="s">
        <v>799</v>
      </c>
      <c r="L28" s="403"/>
      <c r="M28" s="403"/>
      <c r="N28" s="403"/>
      <c r="O28" s="403"/>
      <c r="P28" s="403"/>
      <c r="Q28" s="403"/>
      <c r="R28" s="403"/>
      <c r="S28" s="403"/>
    </row>
    <row r="29" spans="1:19" ht="18.75" x14ac:dyDescent="0.25">
      <c r="A29" s="591" t="s">
        <v>800</v>
      </c>
      <c r="B29" s="975">
        <f>SUM(C29:H29)</f>
        <v>266933716</v>
      </c>
      <c r="C29" s="603">
        <v>266933716</v>
      </c>
      <c r="D29" s="974">
        <v>0</v>
      </c>
      <c r="E29" s="974">
        <v>0</v>
      </c>
      <c r="F29" s="974">
        <v>0</v>
      </c>
      <c r="G29" s="974">
        <v>0</v>
      </c>
      <c r="H29" s="573"/>
      <c r="I29" s="592" t="s">
        <v>801</v>
      </c>
      <c r="L29" s="403"/>
      <c r="M29" s="403"/>
      <c r="N29" s="403"/>
      <c r="O29" s="403"/>
      <c r="P29" s="403"/>
      <c r="Q29" s="403"/>
      <c r="R29" s="403"/>
      <c r="S29" s="403"/>
    </row>
    <row r="30" spans="1:19" s="594" customFormat="1" ht="17.25" x14ac:dyDescent="0.25">
      <c r="A30" s="593" t="s">
        <v>802</v>
      </c>
      <c r="I30" s="595"/>
      <c r="L30" s="596"/>
      <c r="M30" s="596"/>
      <c r="N30" s="596"/>
      <c r="O30" s="596"/>
      <c r="P30" s="596"/>
      <c r="Q30" s="596"/>
      <c r="R30" s="596"/>
      <c r="S30" s="596"/>
    </row>
    <row r="31" spans="1:19" s="594" customFormat="1" ht="17.25" x14ac:dyDescent="0.25">
      <c r="A31" s="597" t="s">
        <v>803</v>
      </c>
      <c r="I31" s="595"/>
      <c r="L31" s="596"/>
      <c r="M31" s="596"/>
      <c r="N31" s="596"/>
      <c r="O31" s="596"/>
      <c r="P31" s="596"/>
      <c r="Q31" s="596"/>
      <c r="R31" s="596"/>
      <c r="S31" s="596"/>
    </row>
    <row r="32" spans="1:19" s="594" customFormat="1" ht="17.25" x14ac:dyDescent="0.25">
      <c r="A32" s="593"/>
      <c r="I32" s="595"/>
      <c r="L32" s="596"/>
      <c r="M32" s="596"/>
      <c r="N32" s="596"/>
      <c r="O32" s="596"/>
      <c r="P32" s="596"/>
      <c r="Q32" s="596"/>
      <c r="R32" s="596"/>
      <c r="S32" s="596"/>
    </row>
    <row r="33" spans="1:20" s="594" customFormat="1" ht="17.25" x14ac:dyDescent="0.25">
      <c r="A33" s="593"/>
      <c r="I33" s="595"/>
      <c r="L33" s="596"/>
      <c r="M33" s="596"/>
      <c r="N33" s="596"/>
      <c r="O33" s="596"/>
      <c r="P33" s="596"/>
      <c r="Q33" s="596"/>
      <c r="R33" s="596"/>
      <c r="S33" s="596"/>
    </row>
    <row r="34" spans="1:20" ht="17.25" x14ac:dyDescent="0.25">
      <c r="A34" s="593"/>
      <c r="B34" s="594"/>
      <c r="C34" s="594"/>
      <c r="D34" s="594"/>
      <c r="E34" s="594"/>
      <c r="F34" s="594"/>
      <c r="G34" s="594"/>
      <c r="H34" s="594"/>
      <c r="I34" s="595"/>
    </row>
    <row r="38" spans="1:20" ht="38.25" x14ac:dyDescent="0.25">
      <c r="O38" s="532" t="s">
        <v>761</v>
      </c>
      <c r="P38" s="532" t="s">
        <v>185</v>
      </c>
      <c r="Q38" s="532" t="s">
        <v>762</v>
      </c>
      <c r="R38" s="532" t="s">
        <v>763</v>
      </c>
      <c r="S38" s="533" t="s">
        <v>804</v>
      </c>
      <c r="T38" s="534" t="s">
        <v>765</v>
      </c>
    </row>
    <row r="39" spans="1:20" x14ac:dyDescent="0.25">
      <c r="O39" s="976">
        <f>C6</f>
        <v>1320874859.6515</v>
      </c>
      <c r="P39" s="976">
        <f t="shared" ref="P39:T39" si="2">D6</f>
        <v>658680682.47990012</v>
      </c>
      <c r="Q39" s="976">
        <f t="shared" si="2"/>
        <v>35443183.07</v>
      </c>
      <c r="R39" s="976">
        <f t="shared" si="2"/>
        <v>68544780.200000003</v>
      </c>
      <c r="S39" s="976">
        <f t="shared" si="2"/>
        <v>40462865.200000003</v>
      </c>
      <c r="T39" s="976">
        <f t="shared" si="2"/>
        <v>40666070.460000001</v>
      </c>
    </row>
    <row r="42" spans="1:20" x14ac:dyDescent="0.25">
      <c r="A42" s="598"/>
      <c r="C42" s="599"/>
      <c r="D42" s="599"/>
      <c r="E42" s="599"/>
      <c r="F42" s="599"/>
      <c r="G42" s="599"/>
      <c r="H42" s="599"/>
    </row>
    <row r="43" spans="1:20" x14ac:dyDescent="0.25">
      <c r="A43" s="598"/>
      <c r="B43" s="600"/>
      <c r="C43" s="599"/>
      <c r="D43" s="599"/>
      <c r="E43" s="599"/>
      <c r="F43" s="599"/>
      <c r="G43" s="599"/>
      <c r="H43" s="599"/>
    </row>
    <row r="45" spans="1:20" x14ac:dyDescent="0.25">
      <c r="A45" s="598"/>
      <c r="B45" s="600"/>
      <c r="C45" s="599"/>
      <c r="D45" s="599"/>
      <c r="E45" s="599"/>
      <c r="F45" s="599"/>
      <c r="G45" s="599"/>
      <c r="H45" s="599"/>
    </row>
    <row r="46" spans="1:20" x14ac:dyDescent="0.25">
      <c r="G46" s="599"/>
      <c r="H46" s="599"/>
    </row>
    <row r="47" spans="1:20" x14ac:dyDescent="0.25">
      <c r="G47" s="599"/>
      <c r="H47" s="599"/>
    </row>
    <row r="48" spans="1:20" x14ac:dyDescent="0.25">
      <c r="G48" s="599"/>
      <c r="H48" s="599"/>
    </row>
    <row r="49" spans="7:8" x14ac:dyDescent="0.25">
      <c r="G49" s="599"/>
      <c r="H49" s="599"/>
    </row>
    <row r="50" spans="7:8" x14ac:dyDescent="0.25">
      <c r="G50" s="599"/>
      <c r="H50" s="599"/>
    </row>
    <row r="51" spans="7:8" x14ac:dyDescent="0.25">
      <c r="G51" s="599"/>
      <c r="H51" s="599"/>
    </row>
    <row r="52" spans="7:8" x14ac:dyDescent="0.25">
      <c r="G52" s="599"/>
      <c r="H52" s="599"/>
    </row>
  </sheetData>
  <mergeCells count="4">
    <mergeCell ref="A1:I1"/>
    <mergeCell ref="A2:I2"/>
    <mergeCell ref="A4:A5"/>
    <mergeCell ref="I4:I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N20"/>
  <sheetViews>
    <sheetView workbookViewId="0">
      <selection activeCell="L6" sqref="L6"/>
    </sheetView>
  </sheetViews>
  <sheetFormatPr defaultColWidth="9.140625" defaultRowHeight="23.25" customHeight="1" x14ac:dyDescent="0.25"/>
  <cols>
    <col min="1" max="1" width="32.28515625" style="604" customWidth="1"/>
    <col min="2" max="2" width="16.140625" style="604" hidden="1" customWidth="1"/>
    <col min="3" max="4" width="14" style="619" hidden="1" customWidth="1"/>
    <col min="5" max="9" width="14" style="619" customWidth="1"/>
    <col min="10" max="10" width="45.7109375" style="604" customWidth="1"/>
    <col min="11" max="11" width="13.85546875" style="604" bestFit="1" customWidth="1"/>
    <col min="12" max="12" width="16.28515625" style="604" bestFit="1" customWidth="1"/>
    <col min="13" max="13" width="9.140625" style="604"/>
    <col min="14" max="14" width="13.85546875" style="604" bestFit="1" customWidth="1"/>
    <col min="15" max="16384" width="9.140625" style="604"/>
  </cols>
  <sheetData>
    <row r="1" spans="1:14" ht="21" x14ac:dyDescent="0.25">
      <c r="A1" s="884" t="s">
        <v>805</v>
      </c>
      <c r="B1" s="884"/>
      <c r="C1" s="884"/>
      <c r="D1" s="884"/>
      <c r="E1" s="884"/>
      <c r="F1" s="884"/>
      <c r="G1" s="884"/>
      <c r="H1" s="884"/>
      <c r="I1" s="884"/>
      <c r="J1" s="884"/>
    </row>
    <row r="2" spans="1:14" ht="23.25" customHeight="1" x14ac:dyDescent="0.25">
      <c r="A2" s="885" t="s">
        <v>806</v>
      </c>
      <c r="B2" s="885"/>
      <c r="C2" s="885"/>
      <c r="D2" s="885"/>
      <c r="E2" s="885"/>
      <c r="F2" s="885"/>
      <c r="G2" s="885"/>
      <c r="H2" s="885"/>
      <c r="I2" s="885"/>
      <c r="J2" s="885"/>
    </row>
    <row r="3" spans="1:14" ht="26.25" customHeight="1" x14ac:dyDescent="0.25">
      <c r="A3" s="886" t="s">
        <v>807</v>
      </c>
      <c r="B3" s="979" t="s">
        <v>808</v>
      </c>
      <c r="C3" s="979"/>
      <c r="D3" s="979"/>
      <c r="E3" s="979"/>
      <c r="F3" s="979"/>
      <c r="G3" s="979"/>
      <c r="H3" s="979"/>
      <c r="I3" s="979"/>
      <c r="J3" s="888" t="s">
        <v>809</v>
      </c>
    </row>
    <row r="4" spans="1:14" s="398" customFormat="1" ht="17.25" customHeight="1" x14ac:dyDescent="0.2">
      <c r="A4" s="887"/>
      <c r="B4" s="605">
        <v>2011</v>
      </c>
      <c r="C4" s="605">
        <v>2012</v>
      </c>
      <c r="D4" s="605">
        <v>2013</v>
      </c>
      <c r="E4" s="605">
        <v>2014</v>
      </c>
      <c r="F4" s="605">
        <v>2015</v>
      </c>
      <c r="G4" s="605">
        <v>2016</v>
      </c>
      <c r="H4" s="605">
        <v>2017</v>
      </c>
      <c r="I4" s="605">
        <v>2018</v>
      </c>
      <c r="J4" s="889"/>
    </row>
    <row r="5" spans="1:14" s="609" customFormat="1" ht="19.5" x14ac:dyDescent="0.25">
      <c r="A5" s="606" t="s">
        <v>23</v>
      </c>
      <c r="B5" s="539">
        <f t="shared" ref="B5:D5" si="0">SUM(B6:B16)</f>
        <v>212673291.11021137</v>
      </c>
      <c r="C5" s="539">
        <f t="shared" si="0"/>
        <v>930532145</v>
      </c>
      <c r="D5" s="539">
        <f t="shared" si="0"/>
        <v>730301988.74000394</v>
      </c>
      <c r="E5" s="539">
        <f>SUM(E6:E14)</f>
        <v>1063054680.1289001</v>
      </c>
      <c r="F5" s="539">
        <f>SUM(F6:F16)</f>
        <v>1400609841.9157999</v>
      </c>
      <c r="G5" s="539">
        <f>SUM(G6:G16)</f>
        <v>1675199186.7768998</v>
      </c>
      <c r="H5" s="539">
        <f>SUM(H6:H16)</f>
        <v>1797290685.4334998</v>
      </c>
      <c r="I5" s="539">
        <f>SUM(I6:I14)</f>
        <v>2164672440.9014001</v>
      </c>
      <c r="J5" s="607" t="s">
        <v>13</v>
      </c>
      <c r="K5" s="608"/>
    </row>
    <row r="6" spans="1:14" s="609" customFormat="1" ht="19.5" x14ac:dyDescent="0.25">
      <c r="A6" s="980" t="s">
        <v>810</v>
      </c>
      <c r="B6" s="610">
        <v>76552839.618887112</v>
      </c>
      <c r="C6" s="610">
        <v>542798715</v>
      </c>
      <c r="D6" s="610">
        <v>358842048</v>
      </c>
      <c r="E6" s="610">
        <v>457978292.29900002</v>
      </c>
      <c r="F6" s="610">
        <v>616252278.55999994</v>
      </c>
      <c r="G6" s="610">
        <v>741101647.34019995</v>
      </c>
      <c r="H6" s="610">
        <v>792942707.92209995</v>
      </c>
      <c r="I6" s="610">
        <v>940356931.62420011</v>
      </c>
      <c r="J6" s="983" t="s">
        <v>811</v>
      </c>
    </row>
    <row r="7" spans="1:14" s="609" customFormat="1" ht="19.5" x14ac:dyDescent="0.25">
      <c r="A7" s="980" t="s">
        <v>812</v>
      </c>
      <c r="B7" s="610">
        <v>56966349.493858904</v>
      </c>
      <c r="C7" s="610">
        <v>186005894</v>
      </c>
      <c r="D7" s="610">
        <v>152115805</v>
      </c>
      <c r="E7" s="610">
        <v>241051042.8951</v>
      </c>
      <c r="F7" s="610">
        <v>309109177.51999998</v>
      </c>
      <c r="G7" s="610">
        <v>341829709.91359997</v>
      </c>
      <c r="H7" s="610">
        <v>345179817.91179997</v>
      </c>
      <c r="I7" s="610">
        <v>410945636.96390003</v>
      </c>
      <c r="J7" s="983" t="s">
        <v>813</v>
      </c>
    </row>
    <row r="8" spans="1:14" s="609" customFormat="1" ht="19.5" x14ac:dyDescent="0.25">
      <c r="A8" s="981" t="s">
        <v>814</v>
      </c>
      <c r="B8" s="610">
        <f>19+52853747.0612086</f>
        <v>52853766.061208598</v>
      </c>
      <c r="C8" s="610">
        <v>138378283</v>
      </c>
      <c r="D8" s="610">
        <v>153659227.365554</v>
      </c>
      <c r="E8" s="610">
        <v>221737345.31999999</v>
      </c>
      <c r="F8" s="610">
        <v>318890471.87</v>
      </c>
      <c r="G8" s="610">
        <v>427478177.30970001</v>
      </c>
      <c r="H8" s="610">
        <v>515631590.76959997</v>
      </c>
      <c r="I8" s="610">
        <v>642262006.27949989</v>
      </c>
      <c r="J8" s="983" t="s">
        <v>815</v>
      </c>
      <c r="N8" s="611"/>
    </row>
    <row r="9" spans="1:14" s="609" customFormat="1" ht="19.5" x14ac:dyDescent="0.25">
      <c r="A9" s="981" t="s">
        <v>816</v>
      </c>
      <c r="B9" s="610">
        <v>11795556.6332568</v>
      </c>
      <c r="C9" s="610">
        <v>26140297</v>
      </c>
      <c r="D9" s="610">
        <v>24841950.904449899</v>
      </c>
      <c r="E9" s="610">
        <v>29752803.379999999</v>
      </c>
      <c r="F9" s="610">
        <v>36724829.030000001</v>
      </c>
      <c r="G9" s="610">
        <v>43797163.390000001</v>
      </c>
      <c r="H9" s="610">
        <v>44291494.829999998</v>
      </c>
      <c r="I9" s="610">
        <v>50577201.25</v>
      </c>
      <c r="J9" s="983" t="s">
        <v>817</v>
      </c>
      <c r="N9" s="611"/>
    </row>
    <row r="10" spans="1:14" s="609" customFormat="1" ht="19.5" x14ac:dyDescent="0.25">
      <c r="A10" s="980" t="s">
        <v>818</v>
      </c>
      <c r="B10" s="610">
        <v>5856988.8499999903</v>
      </c>
      <c r="C10" s="610">
        <v>18017991</v>
      </c>
      <c r="D10" s="610">
        <v>19691381.16</v>
      </c>
      <c r="E10" s="610">
        <v>28912582.77</v>
      </c>
      <c r="F10" s="610">
        <v>33979840.740000002</v>
      </c>
      <c r="G10" s="610">
        <v>36732648.099999994</v>
      </c>
      <c r="H10" s="610">
        <v>31235071.669999998</v>
      </c>
      <c r="I10" s="610">
        <v>40666070.459999993</v>
      </c>
      <c r="J10" s="983" t="s">
        <v>819</v>
      </c>
    </row>
    <row r="11" spans="1:14" s="609" customFormat="1" ht="19.5" x14ac:dyDescent="0.25">
      <c r="A11" s="980" t="s">
        <v>820</v>
      </c>
      <c r="B11" s="610">
        <v>1807798.1729999899</v>
      </c>
      <c r="C11" s="610">
        <v>4318216</v>
      </c>
      <c r="D11" s="610">
        <v>5262395.2199999895</v>
      </c>
      <c r="E11" s="610">
        <v>4354880.8285999997</v>
      </c>
      <c r="F11" s="610">
        <v>1597653.1602</v>
      </c>
      <c r="G11" s="610">
        <v>2087098.2034</v>
      </c>
      <c r="H11" s="610">
        <v>2785785.32</v>
      </c>
      <c r="I11" s="610">
        <v>3958546.0537999999</v>
      </c>
      <c r="J11" s="983" t="s">
        <v>821</v>
      </c>
    </row>
    <row r="12" spans="1:14" s="609" customFormat="1" ht="19.5" x14ac:dyDescent="0.25">
      <c r="A12" s="980" t="s">
        <v>822</v>
      </c>
      <c r="B12" s="610">
        <v>6839992.2800000003</v>
      </c>
      <c r="C12" s="610">
        <v>14872749</v>
      </c>
      <c r="D12" s="610">
        <v>15889181.09</v>
      </c>
      <c r="E12" s="610">
        <v>25939088.800000001</v>
      </c>
      <c r="F12" s="610">
        <v>22435986.039999999</v>
      </c>
      <c r="G12" s="610">
        <v>33165876.93</v>
      </c>
      <c r="H12" s="610">
        <v>26149755.969999999</v>
      </c>
      <c r="I12" s="610">
        <v>35443183.07</v>
      </c>
      <c r="J12" s="983" t="s">
        <v>823</v>
      </c>
    </row>
    <row r="13" spans="1:14" s="609" customFormat="1" ht="19.5" x14ac:dyDescent="0.25">
      <c r="A13" s="980" t="s">
        <v>824</v>
      </c>
      <c r="B13" s="610" t="s">
        <v>117</v>
      </c>
      <c r="C13" s="610" t="s">
        <v>117</v>
      </c>
      <c r="D13" s="610" t="s">
        <v>117</v>
      </c>
      <c r="E13" s="610">
        <v>1563</v>
      </c>
      <c r="F13" s="610">
        <v>7861.8544000000002</v>
      </c>
      <c r="G13" s="610">
        <v>36891.79</v>
      </c>
      <c r="H13" s="610">
        <v>30</v>
      </c>
      <c r="I13" s="610">
        <v>0</v>
      </c>
      <c r="J13" s="983" t="s">
        <v>825</v>
      </c>
      <c r="N13" s="611"/>
    </row>
    <row r="14" spans="1:14" s="609" customFormat="1" ht="19.5" x14ac:dyDescent="0.25">
      <c r="A14" s="982" t="s">
        <v>826</v>
      </c>
      <c r="B14" s="974" t="s">
        <v>117</v>
      </c>
      <c r="C14" s="974" t="s">
        <v>117</v>
      </c>
      <c r="D14" s="974" t="s">
        <v>117</v>
      </c>
      <c r="E14" s="974">
        <v>53327080.836199999</v>
      </c>
      <c r="F14" s="974">
        <v>61611743.141199999</v>
      </c>
      <c r="G14" s="974">
        <v>48969973.799999997</v>
      </c>
      <c r="H14" s="974">
        <v>39074431.039999999</v>
      </c>
      <c r="I14" s="974">
        <v>40462865.200000003</v>
      </c>
      <c r="J14" s="984" t="s">
        <v>827</v>
      </c>
      <c r="N14" s="507"/>
    </row>
    <row r="15" spans="1:14" s="609" customFormat="1" ht="17.25" x14ac:dyDescent="0.25">
      <c r="A15" s="612" t="s">
        <v>777</v>
      </c>
      <c r="B15" s="612"/>
      <c r="C15" s="611"/>
      <c r="D15" s="611"/>
      <c r="E15" s="611"/>
      <c r="F15" s="611"/>
      <c r="G15" s="611"/>
      <c r="H15" s="611"/>
      <c r="I15" s="611"/>
      <c r="J15" s="613" t="s">
        <v>828</v>
      </c>
    </row>
    <row r="16" spans="1:14" ht="17.25" x14ac:dyDescent="0.25">
      <c r="A16" s="614" t="s">
        <v>829</v>
      </c>
      <c r="B16" s="614"/>
      <c r="C16" s="615"/>
      <c r="D16" s="615"/>
      <c r="E16" s="615"/>
      <c r="F16" s="615"/>
      <c r="G16" s="615"/>
      <c r="H16" s="615"/>
      <c r="I16" s="615"/>
      <c r="J16" s="613" t="s">
        <v>830</v>
      </c>
      <c r="N16" s="609"/>
    </row>
    <row r="17" spans="1:14" ht="17.25" x14ac:dyDescent="0.25">
      <c r="A17" s="616"/>
      <c r="B17" s="616"/>
      <c r="C17" s="617"/>
      <c r="D17" s="617"/>
      <c r="E17" s="617"/>
      <c r="F17" s="617"/>
      <c r="G17" s="617"/>
      <c r="H17" s="617"/>
      <c r="I17" s="617"/>
      <c r="J17" s="613"/>
      <c r="N17" s="618"/>
    </row>
    <row r="19" spans="1:14" ht="15" x14ac:dyDescent="0.25">
      <c r="N19" s="611"/>
    </row>
    <row r="20" spans="1:14" ht="15" x14ac:dyDescent="0.25">
      <c r="N20" s="619"/>
    </row>
  </sheetData>
  <mergeCells count="5">
    <mergeCell ref="A1:J1"/>
    <mergeCell ref="A2:J2"/>
    <mergeCell ref="A3:A4"/>
    <mergeCell ref="J3:J4"/>
    <mergeCell ref="B3:I3"/>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Q57"/>
  <sheetViews>
    <sheetView workbookViewId="0">
      <selection activeCell="J41" sqref="J41"/>
    </sheetView>
  </sheetViews>
  <sheetFormatPr defaultColWidth="9.140625" defaultRowHeight="15" x14ac:dyDescent="0.25"/>
  <cols>
    <col min="1" max="1" width="25" style="375" customWidth="1"/>
    <col min="2" max="3" width="20.7109375" style="642" hidden="1" customWidth="1"/>
    <col min="4" max="8" width="20.7109375" style="642" customWidth="1"/>
    <col min="9" max="9" width="30.5703125" style="375" customWidth="1"/>
    <col min="10" max="10" width="28.7109375" style="643" customWidth="1"/>
    <col min="11" max="11" width="27.140625" style="643" customWidth="1"/>
    <col min="12" max="12" width="11.28515625" style="375" customWidth="1"/>
    <col min="13" max="13" width="13.7109375" style="375" customWidth="1"/>
    <col min="14" max="14" width="13.5703125" style="375" customWidth="1"/>
    <col min="15" max="15" width="11.28515625" style="375" customWidth="1"/>
    <col min="16" max="16" width="9.140625" style="375"/>
    <col min="17" max="17" width="12.140625" style="375" customWidth="1"/>
    <col min="18" max="16384" width="9.140625" style="375"/>
  </cols>
  <sheetData>
    <row r="1" spans="1:11" s="364" customFormat="1" ht="21" x14ac:dyDescent="0.2">
      <c r="A1" s="816" t="s">
        <v>831</v>
      </c>
      <c r="B1" s="816"/>
      <c r="C1" s="816"/>
      <c r="D1" s="816"/>
      <c r="E1" s="816"/>
      <c r="F1" s="816"/>
      <c r="G1" s="816"/>
      <c r="H1" s="816"/>
      <c r="I1" s="816"/>
    </row>
    <row r="2" spans="1:11" s="364" customFormat="1" x14ac:dyDescent="0.2">
      <c r="A2" s="853" t="s">
        <v>832</v>
      </c>
      <c r="B2" s="853"/>
      <c r="C2" s="853"/>
      <c r="D2" s="853"/>
      <c r="E2" s="853"/>
      <c r="F2" s="853"/>
      <c r="G2" s="853"/>
      <c r="H2" s="853"/>
      <c r="I2" s="853"/>
    </row>
    <row r="3" spans="1:11" s="620" customFormat="1" ht="21" x14ac:dyDescent="0.55000000000000004">
      <c r="A3" s="819" t="s">
        <v>269</v>
      </c>
      <c r="B3" s="892" t="s">
        <v>833</v>
      </c>
      <c r="C3" s="892"/>
      <c r="D3" s="892"/>
      <c r="E3" s="892"/>
      <c r="F3" s="892"/>
      <c r="G3" s="892"/>
      <c r="H3" s="690"/>
      <c r="I3" s="893" t="s">
        <v>221</v>
      </c>
    </row>
    <row r="4" spans="1:11" s="621" customFormat="1" ht="12" customHeight="1" x14ac:dyDescent="0.15">
      <c r="A4" s="819"/>
      <c r="B4" s="890">
        <v>2012</v>
      </c>
      <c r="C4" s="890">
        <v>2013</v>
      </c>
      <c r="D4" s="890">
        <v>2014</v>
      </c>
      <c r="E4" s="890">
        <v>2015</v>
      </c>
      <c r="F4" s="890">
        <v>2016</v>
      </c>
      <c r="G4" s="890">
        <v>2017</v>
      </c>
      <c r="H4" s="890">
        <v>2018</v>
      </c>
      <c r="I4" s="893"/>
    </row>
    <row r="5" spans="1:11" s="370" customFormat="1" ht="12" customHeight="1" x14ac:dyDescent="0.15">
      <c r="A5" s="820"/>
      <c r="B5" s="891"/>
      <c r="C5" s="891"/>
      <c r="D5" s="891"/>
      <c r="E5" s="891"/>
      <c r="F5" s="891"/>
      <c r="G5" s="891"/>
      <c r="H5" s="891"/>
      <c r="I5" s="894"/>
    </row>
    <row r="6" spans="1:11" s="625" customFormat="1" ht="19.5" x14ac:dyDescent="0.25">
      <c r="A6" s="622" t="s">
        <v>288</v>
      </c>
      <c r="B6" s="623">
        <f t="shared" ref="B6:G6" si="0">B7+B8+B29</f>
        <v>782126477</v>
      </c>
      <c r="C6" s="623">
        <f t="shared" si="0"/>
        <v>744921544.64999926</v>
      </c>
      <c r="D6" s="623">
        <f t="shared" si="0"/>
        <v>1063054680.1289002</v>
      </c>
      <c r="E6" s="623">
        <f t="shared" si="0"/>
        <v>1400609841.9116001</v>
      </c>
      <c r="F6" s="623">
        <f t="shared" si="0"/>
        <v>1675199186.7772999</v>
      </c>
      <c r="G6" s="623">
        <f t="shared" si="0"/>
        <v>1797290685.4303999</v>
      </c>
      <c r="H6" s="623">
        <f>H7+H8+H29</f>
        <v>2164672440.9014001</v>
      </c>
      <c r="I6" s="624" t="s">
        <v>289</v>
      </c>
      <c r="J6" s="608"/>
    </row>
    <row r="7" spans="1:11" s="628" customFormat="1" ht="19.5" x14ac:dyDescent="0.25">
      <c r="A7" s="622" t="s">
        <v>834</v>
      </c>
      <c r="B7" s="623">
        <v>448843963</v>
      </c>
      <c r="C7" s="623">
        <v>403043430</v>
      </c>
      <c r="D7" s="623">
        <v>529844339.34140003</v>
      </c>
      <c r="E7" s="623">
        <v>694778647.79130006</v>
      </c>
      <c r="F7" s="623">
        <v>899761456.66649997</v>
      </c>
      <c r="G7" s="623">
        <v>1040187042.5204</v>
      </c>
      <c r="H7" s="623">
        <v>1255240833.7985001</v>
      </c>
      <c r="I7" s="624" t="s">
        <v>291</v>
      </c>
      <c r="J7" s="626"/>
      <c r="K7" s="627"/>
    </row>
    <row r="8" spans="1:11" s="628" customFormat="1" ht="19.5" x14ac:dyDescent="0.25">
      <c r="A8" s="622" t="s">
        <v>292</v>
      </c>
      <c r="B8" s="623">
        <f t="shared" ref="B8:C8" si="1">SUM(B9:B28)</f>
        <v>264760139</v>
      </c>
      <c r="C8" s="623">
        <f t="shared" si="1"/>
        <v>267510730.38999927</v>
      </c>
      <c r="D8" s="623">
        <f>SUM(D9:D28)</f>
        <v>364203693.46630007</v>
      </c>
      <c r="E8" s="623">
        <f t="shared" ref="E8:H8" si="2">SUM(E9:E28)</f>
        <v>483525096.47309995</v>
      </c>
      <c r="F8" s="623">
        <f t="shared" si="2"/>
        <v>552084045.86000001</v>
      </c>
      <c r="G8" s="623">
        <f t="shared" si="2"/>
        <v>582040521.90999997</v>
      </c>
      <c r="H8" s="623">
        <f t="shared" si="2"/>
        <v>642497891.10289991</v>
      </c>
      <c r="I8" s="624" t="s">
        <v>293</v>
      </c>
      <c r="J8" s="626"/>
      <c r="K8" s="629"/>
    </row>
    <row r="9" spans="1:11" s="636" customFormat="1" ht="17.25" x14ac:dyDescent="0.25">
      <c r="A9" s="630" t="s">
        <v>294</v>
      </c>
      <c r="B9" s="631">
        <v>15101822</v>
      </c>
      <c r="C9" s="631">
        <v>16574727.689999968</v>
      </c>
      <c r="D9" s="631">
        <v>21476572.449999999</v>
      </c>
      <c r="E9" s="631">
        <v>28247167.650000002</v>
      </c>
      <c r="F9" s="631">
        <v>30277717.990000002</v>
      </c>
      <c r="G9" s="631">
        <v>34032071.780000001</v>
      </c>
      <c r="H9" s="632">
        <v>37849375.519999996</v>
      </c>
      <c r="I9" s="633" t="s">
        <v>295</v>
      </c>
      <c r="J9" s="634"/>
      <c r="K9" s="635"/>
    </row>
    <row r="10" spans="1:11" s="636" customFormat="1" ht="17.25" x14ac:dyDescent="0.25">
      <c r="A10" s="630" t="s">
        <v>296</v>
      </c>
      <c r="B10" s="631">
        <v>41415958</v>
      </c>
      <c r="C10" s="631">
        <v>40695134.079999633</v>
      </c>
      <c r="D10" s="631">
        <v>47757008.690000005</v>
      </c>
      <c r="E10" s="631">
        <v>55532820.670000002</v>
      </c>
      <c r="F10" s="631">
        <v>60034554.979999997</v>
      </c>
      <c r="G10" s="631">
        <v>69991758.379999995</v>
      </c>
      <c r="H10" s="632">
        <v>73741273.559999987</v>
      </c>
      <c r="I10" s="633" t="s">
        <v>297</v>
      </c>
      <c r="J10" s="635"/>
      <c r="K10" s="635"/>
    </row>
    <row r="11" spans="1:11" s="636" customFormat="1" ht="17.25" x14ac:dyDescent="0.25">
      <c r="A11" s="630" t="s">
        <v>298</v>
      </c>
      <c r="B11" s="631">
        <v>13338409</v>
      </c>
      <c r="C11" s="631">
        <v>13893985.419999985</v>
      </c>
      <c r="D11" s="631">
        <v>18573633.770000003</v>
      </c>
      <c r="E11" s="631">
        <v>22929493.010000002</v>
      </c>
      <c r="F11" s="631">
        <v>21043099.035</v>
      </c>
      <c r="G11" s="631">
        <v>22385644.167000003</v>
      </c>
      <c r="H11" s="632">
        <v>24133600.373999998</v>
      </c>
      <c r="I11" s="633" t="s">
        <v>299</v>
      </c>
      <c r="J11" s="637"/>
      <c r="K11" s="635"/>
    </row>
    <row r="12" spans="1:11" s="636" customFormat="1" ht="17.25" x14ac:dyDescent="0.25">
      <c r="A12" s="630" t="s">
        <v>300</v>
      </c>
      <c r="B12" s="631">
        <v>9433955</v>
      </c>
      <c r="C12" s="631">
        <v>8314019.0199999837</v>
      </c>
      <c r="D12" s="631">
        <v>11788026.339999998</v>
      </c>
      <c r="E12" s="631">
        <v>16282824.6</v>
      </c>
      <c r="F12" s="631">
        <v>16255000.77</v>
      </c>
      <c r="G12" s="631">
        <v>17119918.760000002</v>
      </c>
      <c r="H12" s="632">
        <v>18665154.07</v>
      </c>
      <c r="I12" s="633" t="s">
        <v>301</v>
      </c>
      <c r="J12" s="637"/>
      <c r="K12" s="635"/>
    </row>
    <row r="13" spans="1:11" s="636" customFormat="1" ht="17.25" x14ac:dyDescent="0.25">
      <c r="A13" s="630" t="s">
        <v>302</v>
      </c>
      <c r="B13" s="631">
        <v>19126765</v>
      </c>
      <c r="C13" s="631">
        <v>20668283.129999995</v>
      </c>
      <c r="D13" s="631">
        <v>29304498.352999996</v>
      </c>
      <c r="E13" s="631">
        <v>40394300.450999998</v>
      </c>
      <c r="F13" s="631">
        <v>43959957.414999999</v>
      </c>
      <c r="G13" s="631">
        <v>47021244.049999997</v>
      </c>
      <c r="H13" s="632">
        <v>49456949.840000004</v>
      </c>
      <c r="I13" s="633" t="s">
        <v>303</v>
      </c>
      <c r="J13" s="637"/>
      <c r="K13" s="635"/>
    </row>
    <row r="14" spans="1:11" s="636" customFormat="1" ht="17.25" x14ac:dyDescent="0.25">
      <c r="A14" s="630" t="s">
        <v>304</v>
      </c>
      <c r="B14" s="631">
        <v>10273872</v>
      </c>
      <c r="C14" s="631">
        <v>9666175.0999999773</v>
      </c>
      <c r="D14" s="631">
        <v>15482386.66</v>
      </c>
      <c r="E14" s="631">
        <v>21675172.101000004</v>
      </c>
      <c r="F14" s="631">
        <v>26651220.369999997</v>
      </c>
      <c r="G14" s="631">
        <v>30149104.175999999</v>
      </c>
      <c r="H14" s="632">
        <v>33634879.120000005</v>
      </c>
      <c r="I14" s="633" t="s">
        <v>305</v>
      </c>
      <c r="J14" s="637"/>
      <c r="K14" s="635"/>
    </row>
    <row r="15" spans="1:11" s="636" customFormat="1" ht="17.25" x14ac:dyDescent="0.25">
      <c r="A15" s="630" t="s">
        <v>306</v>
      </c>
      <c r="B15" s="631">
        <v>19693974</v>
      </c>
      <c r="C15" s="631">
        <v>17144245.799999915</v>
      </c>
      <c r="D15" s="631">
        <v>23688972.940000001</v>
      </c>
      <c r="E15" s="631">
        <v>27147750.810000002</v>
      </c>
      <c r="F15" s="631">
        <v>31816789.559999999</v>
      </c>
      <c r="G15" s="631">
        <v>38642931.219999999</v>
      </c>
      <c r="H15" s="632">
        <v>35692529.049999997</v>
      </c>
      <c r="I15" s="633" t="s">
        <v>307</v>
      </c>
      <c r="J15" s="635"/>
      <c r="K15" s="635"/>
    </row>
    <row r="16" spans="1:11" s="636" customFormat="1" ht="17.25" x14ac:dyDescent="0.25">
      <c r="A16" s="630" t="s">
        <v>308</v>
      </c>
      <c r="B16" s="631">
        <v>4089031</v>
      </c>
      <c r="C16" s="631">
        <v>4086512.3099999996</v>
      </c>
      <c r="D16" s="631">
        <v>7724957.6299999999</v>
      </c>
      <c r="E16" s="631">
        <v>12281541.290000001</v>
      </c>
      <c r="F16" s="631">
        <v>14543865.745000001</v>
      </c>
      <c r="G16" s="631">
        <v>15450866.840299999</v>
      </c>
      <c r="H16" s="632">
        <v>15019880.84</v>
      </c>
      <c r="I16" s="633" t="s">
        <v>309</v>
      </c>
      <c r="J16" s="637"/>
      <c r="K16" s="635"/>
    </row>
    <row r="17" spans="1:12" s="636" customFormat="1" ht="17.25" x14ac:dyDescent="0.25">
      <c r="A17" s="630" t="s">
        <v>310</v>
      </c>
      <c r="B17" s="631">
        <v>4155717</v>
      </c>
      <c r="C17" s="631">
        <v>3627549.2800000003</v>
      </c>
      <c r="D17" s="631">
        <v>3540685.44</v>
      </c>
      <c r="E17" s="631">
        <v>7471919.1500000004</v>
      </c>
      <c r="F17" s="631">
        <v>8698613.1500000004</v>
      </c>
      <c r="G17" s="631">
        <v>5947100.96</v>
      </c>
      <c r="H17" s="632">
        <v>10990868.449999999</v>
      </c>
      <c r="I17" s="633" t="s">
        <v>311</v>
      </c>
      <c r="J17" s="637"/>
      <c r="K17" s="635"/>
    </row>
    <row r="18" spans="1:12" s="636" customFormat="1" ht="17.25" x14ac:dyDescent="0.25">
      <c r="A18" s="630" t="s">
        <v>312</v>
      </c>
      <c r="B18" s="631">
        <v>8195340</v>
      </c>
      <c r="C18" s="631">
        <v>11106707.47999998</v>
      </c>
      <c r="D18" s="631">
        <v>13156080.83</v>
      </c>
      <c r="E18" s="631">
        <v>17498120.029999997</v>
      </c>
      <c r="F18" s="631">
        <v>21983644.324999999</v>
      </c>
      <c r="G18" s="631">
        <v>9181590.7400000021</v>
      </c>
      <c r="H18" s="632">
        <v>25909086.93</v>
      </c>
      <c r="I18" s="633" t="s">
        <v>313</v>
      </c>
      <c r="J18" s="635"/>
      <c r="K18" s="635"/>
    </row>
    <row r="19" spans="1:12" s="636" customFormat="1" ht="17.25" x14ac:dyDescent="0.25">
      <c r="A19" s="630" t="s">
        <v>314</v>
      </c>
      <c r="B19" s="631">
        <v>409251</v>
      </c>
      <c r="C19" s="631">
        <v>543378.02999999898</v>
      </c>
      <c r="D19" s="631">
        <v>563786.18999999994</v>
      </c>
      <c r="E19" s="631">
        <v>1773766.73</v>
      </c>
      <c r="F19" s="631">
        <v>2451686.34</v>
      </c>
      <c r="G19" s="631">
        <v>2580520.0900000003</v>
      </c>
      <c r="H19" s="632">
        <v>2433263.37</v>
      </c>
      <c r="I19" s="633" t="s">
        <v>315</v>
      </c>
      <c r="J19" s="635"/>
      <c r="K19" s="635"/>
      <c r="L19" s="635"/>
    </row>
    <row r="20" spans="1:12" s="636" customFormat="1" ht="17.25" x14ac:dyDescent="0.25">
      <c r="A20" s="630" t="s">
        <v>316</v>
      </c>
      <c r="B20" s="631">
        <v>4320592</v>
      </c>
      <c r="C20" s="631">
        <v>4438872.0499999886</v>
      </c>
      <c r="D20" s="631">
        <v>9125266.5999999996</v>
      </c>
      <c r="E20" s="631">
        <v>12610137.149999999</v>
      </c>
      <c r="F20" s="631">
        <v>11946502.880000001</v>
      </c>
      <c r="G20" s="631">
        <v>7909169.9100000001</v>
      </c>
      <c r="H20" s="632">
        <v>11312990.07</v>
      </c>
      <c r="I20" s="633" t="s">
        <v>317</v>
      </c>
      <c r="J20" s="635"/>
      <c r="K20" s="635"/>
    </row>
    <row r="21" spans="1:12" s="636" customFormat="1" ht="17.25" x14ac:dyDescent="0.25">
      <c r="A21" s="630" t="s">
        <v>318</v>
      </c>
      <c r="B21" s="631">
        <v>5387983</v>
      </c>
      <c r="C21" s="631">
        <v>4886885.8999999873</v>
      </c>
      <c r="D21" s="631">
        <v>6589192.25</v>
      </c>
      <c r="E21" s="631">
        <v>9723321.2799999993</v>
      </c>
      <c r="F21" s="631">
        <v>10153645.829999998</v>
      </c>
      <c r="G21" s="631">
        <v>6358160.0700000003</v>
      </c>
      <c r="H21" s="632">
        <v>13465688.68</v>
      </c>
      <c r="I21" s="633" t="s">
        <v>319</v>
      </c>
      <c r="J21" s="635"/>
      <c r="K21" s="635"/>
    </row>
    <row r="22" spans="1:12" s="636" customFormat="1" ht="17.25" x14ac:dyDescent="0.25">
      <c r="A22" s="630" t="s">
        <v>320</v>
      </c>
      <c r="B22" s="631">
        <v>9032373</v>
      </c>
      <c r="C22" s="631">
        <v>9196467.5899999663</v>
      </c>
      <c r="D22" s="631">
        <v>9874084.1600000001</v>
      </c>
      <c r="E22" s="631">
        <v>12434694.649999999</v>
      </c>
      <c r="F22" s="631">
        <v>11807838.66</v>
      </c>
      <c r="G22" s="631">
        <v>13061458.859999999</v>
      </c>
      <c r="H22" s="632">
        <v>15100490.25</v>
      </c>
      <c r="I22" s="633" t="s">
        <v>321</v>
      </c>
      <c r="J22" s="637"/>
      <c r="K22" s="635"/>
    </row>
    <row r="23" spans="1:12" s="636" customFormat="1" ht="17.25" x14ac:dyDescent="0.25">
      <c r="A23" s="630" t="s">
        <v>322</v>
      </c>
      <c r="B23" s="631">
        <v>10105484</v>
      </c>
      <c r="C23" s="631">
        <v>10945367.059999999</v>
      </c>
      <c r="D23" s="631">
        <v>15424283.250000004</v>
      </c>
      <c r="E23" s="631">
        <v>20505081.599999994</v>
      </c>
      <c r="F23" s="631">
        <v>22462983.789999999</v>
      </c>
      <c r="G23" s="631">
        <v>23683245.52</v>
      </c>
      <c r="H23" s="632">
        <v>21574058.689999998</v>
      </c>
      <c r="I23" s="633" t="s">
        <v>323</v>
      </c>
      <c r="J23" s="635"/>
      <c r="K23" s="635"/>
    </row>
    <row r="24" spans="1:12" s="636" customFormat="1" ht="17.25" x14ac:dyDescent="0.25">
      <c r="A24" s="630" t="s">
        <v>324</v>
      </c>
      <c r="B24" s="631">
        <v>12373132</v>
      </c>
      <c r="C24" s="631">
        <v>11644595.34999999</v>
      </c>
      <c r="D24" s="631">
        <v>19121149.300000001</v>
      </c>
      <c r="E24" s="631">
        <v>27347316.960000001</v>
      </c>
      <c r="F24" s="631">
        <v>30750547.939999998</v>
      </c>
      <c r="G24" s="631">
        <v>32945144.069999997</v>
      </c>
      <c r="H24" s="632">
        <v>34810489.399999999</v>
      </c>
      <c r="I24" s="633" t="s">
        <v>325</v>
      </c>
      <c r="J24" s="637"/>
      <c r="K24" s="635"/>
    </row>
    <row r="25" spans="1:12" s="636" customFormat="1" ht="17.25" x14ac:dyDescent="0.25">
      <c r="A25" s="630" t="s">
        <v>326</v>
      </c>
      <c r="B25" s="631">
        <v>12513632</v>
      </c>
      <c r="C25" s="631">
        <v>11341319.889999969</v>
      </c>
      <c r="D25" s="631">
        <v>14483951.450000001</v>
      </c>
      <c r="E25" s="631">
        <v>21910210.289999999</v>
      </c>
      <c r="F25" s="631">
        <v>25050862.829999998</v>
      </c>
      <c r="G25" s="631">
        <v>28968304</v>
      </c>
      <c r="H25" s="632">
        <v>27993704.789999999</v>
      </c>
      <c r="I25" s="633" t="s">
        <v>327</v>
      </c>
      <c r="J25" s="637"/>
      <c r="K25" s="635"/>
    </row>
    <row r="26" spans="1:12" s="636" customFormat="1" ht="17.25" x14ac:dyDescent="0.25">
      <c r="A26" s="630" t="s">
        <v>328</v>
      </c>
      <c r="B26" s="631">
        <v>21084401</v>
      </c>
      <c r="C26" s="631">
        <v>22821907.67999997</v>
      </c>
      <c r="D26" s="631">
        <v>27642128.069999993</v>
      </c>
      <c r="E26" s="631">
        <v>34260241.729999997</v>
      </c>
      <c r="F26" s="631">
        <v>39536598.640000008</v>
      </c>
      <c r="G26" s="631">
        <v>44492550.350000001</v>
      </c>
      <c r="H26" s="632">
        <v>46107004.269999996</v>
      </c>
      <c r="I26" s="633" t="s">
        <v>329</v>
      </c>
      <c r="J26" s="637"/>
      <c r="K26" s="635"/>
    </row>
    <row r="27" spans="1:12" s="636" customFormat="1" ht="17.25" x14ac:dyDescent="0.25">
      <c r="A27" s="630" t="s">
        <v>330</v>
      </c>
      <c r="B27" s="631">
        <v>12733438</v>
      </c>
      <c r="C27" s="631">
        <v>10712175.139999989</v>
      </c>
      <c r="D27" s="631">
        <v>12905259.859999999</v>
      </c>
      <c r="E27" s="631">
        <v>19379941.390000001</v>
      </c>
      <c r="F27" s="631">
        <v>20312685.899999999</v>
      </c>
      <c r="G27" s="631">
        <v>15456736.35</v>
      </c>
      <c r="H27" s="632">
        <v>23428238.91</v>
      </c>
      <c r="I27" s="633" t="s">
        <v>331</v>
      </c>
      <c r="J27" s="635"/>
      <c r="K27" s="635"/>
    </row>
    <row r="28" spans="1:12" s="636" customFormat="1" ht="17.25" x14ac:dyDescent="0.25">
      <c r="A28" s="630" t="s">
        <v>332</v>
      </c>
      <c r="B28" s="631">
        <v>31975010</v>
      </c>
      <c r="C28" s="631">
        <v>35202422.390000001</v>
      </c>
      <c r="D28" s="631">
        <v>55981769.233300008</v>
      </c>
      <c r="E28" s="631">
        <v>74119274.931099996</v>
      </c>
      <c r="F28" s="631">
        <v>102346229.71000001</v>
      </c>
      <c r="G28" s="631">
        <v>116663001.61669999</v>
      </c>
      <c r="H28" s="632">
        <v>121178364.9189</v>
      </c>
      <c r="I28" s="633" t="s">
        <v>333</v>
      </c>
      <c r="J28" s="635"/>
      <c r="K28" s="635"/>
    </row>
    <row r="29" spans="1:12" s="636" customFormat="1" ht="19.5" x14ac:dyDescent="0.25">
      <c r="A29" s="638" t="s">
        <v>835</v>
      </c>
      <c r="B29" s="639">
        <v>68522375</v>
      </c>
      <c r="C29" s="639">
        <v>74367384.260000005</v>
      </c>
      <c r="D29" s="639">
        <v>169006647.32120001</v>
      </c>
      <c r="E29" s="639">
        <v>222306097.64719999</v>
      </c>
      <c r="F29" s="639">
        <v>223353684.25080001</v>
      </c>
      <c r="G29" s="639">
        <v>175063121</v>
      </c>
      <c r="H29" s="640">
        <v>266933716</v>
      </c>
      <c r="I29" s="641" t="s">
        <v>836</v>
      </c>
      <c r="J29" s="635"/>
      <c r="K29" s="635"/>
    </row>
    <row r="30" spans="1:12" ht="17.25" x14ac:dyDescent="0.25">
      <c r="A30" s="612" t="s">
        <v>777</v>
      </c>
      <c r="I30" s="613" t="s">
        <v>828</v>
      </c>
    </row>
    <row r="31" spans="1:12" ht="17.25" x14ac:dyDescent="0.25">
      <c r="A31" s="400" t="s">
        <v>829</v>
      </c>
      <c r="I31" s="401" t="s">
        <v>830</v>
      </c>
    </row>
    <row r="32" spans="1:12" ht="17.25" x14ac:dyDescent="0.25">
      <c r="A32" s="400"/>
      <c r="I32" s="401"/>
    </row>
    <row r="33" spans="1:17" ht="17.25" x14ac:dyDescent="0.25">
      <c r="A33" s="644"/>
      <c r="I33" s="401"/>
    </row>
    <row r="35" spans="1:17" x14ac:dyDescent="0.25">
      <c r="B35" s="375"/>
      <c r="C35" s="375"/>
      <c r="D35" s="375"/>
      <c r="E35" s="375"/>
      <c r="F35" s="375"/>
      <c r="G35" s="375"/>
      <c r="H35" s="375"/>
      <c r="J35" s="375"/>
      <c r="K35" s="375"/>
      <c r="M35" s="645"/>
    </row>
    <row r="36" spans="1:17" x14ac:dyDescent="0.25">
      <c r="B36" s="375"/>
      <c r="C36" s="375"/>
      <c r="D36" s="375"/>
      <c r="E36" s="375"/>
      <c r="F36" s="375"/>
      <c r="G36" s="375"/>
      <c r="H36" s="375"/>
      <c r="J36" s="375"/>
      <c r="K36" s="375"/>
      <c r="L36" s="390"/>
      <c r="M36" s="623"/>
    </row>
    <row r="37" spans="1:17" x14ac:dyDescent="0.25">
      <c r="B37" s="375"/>
      <c r="C37" s="375"/>
      <c r="D37" s="375"/>
      <c r="E37" s="375"/>
      <c r="F37" s="375"/>
      <c r="G37" s="375"/>
      <c r="H37" s="375"/>
      <c r="J37" s="375"/>
      <c r="K37" s="375"/>
      <c r="M37" s="375">
        <v>2014</v>
      </c>
      <c r="N37" s="375">
        <v>2015</v>
      </c>
      <c r="O37" s="375">
        <v>2016</v>
      </c>
      <c r="P37" s="375">
        <v>2017</v>
      </c>
      <c r="Q37" s="375">
        <v>2018</v>
      </c>
    </row>
    <row r="38" spans="1:17" x14ac:dyDescent="0.25">
      <c r="B38" s="375"/>
      <c r="C38" s="375"/>
      <c r="D38" s="375"/>
      <c r="E38" s="375"/>
      <c r="F38" s="375"/>
      <c r="G38" s="375"/>
      <c r="H38" s="375"/>
      <c r="J38" s="375"/>
      <c r="K38" s="375"/>
      <c r="L38" s="386" t="s">
        <v>726</v>
      </c>
      <c r="M38" s="375">
        <v>21476572.449999999</v>
      </c>
      <c r="N38" s="631">
        <v>28247167.650000002</v>
      </c>
      <c r="O38" s="375">
        <f>F9</f>
        <v>30277717.990000002</v>
      </c>
      <c r="P38" s="375">
        <f>G9</f>
        <v>34032071.780000001</v>
      </c>
      <c r="Q38" s="375">
        <f>H9</f>
        <v>37849375.519999996</v>
      </c>
    </row>
    <row r="39" spans="1:17" x14ac:dyDescent="0.25">
      <c r="B39" s="375"/>
      <c r="C39" s="375"/>
      <c r="D39" s="375"/>
      <c r="E39" s="375"/>
      <c r="F39" s="375"/>
      <c r="G39" s="375"/>
      <c r="H39" s="375"/>
      <c r="J39" s="375"/>
      <c r="K39" s="375"/>
      <c r="L39" s="386" t="s">
        <v>727</v>
      </c>
      <c r="M39" s="375">
        <v>47757008.690000005</v>
      </c>
      <c r="N39" s="631">
        <v>55532820.670000002</v>
      </c>
      <c r="O39" s="375">
        <f t="shared" ref="O39:Q57" si="3">F10</f>
        <v>60034554.979999997</v>
      </c>
      <c r="P39" s="375">
        <f t="shared" si="3"/>
        <v>69991758.379999995</v>
      </c>
      <c r="Q39" s="375">
        <f t="shared" si="3"/>
        <v>73741273.559999987</v>
      </c>
    </row>
    <row r="40" spans="1:17" x14ac:dyDescent="0.25">
      <c r="B40" s="375"/>
      <c r="C40" s="375"/>
      <c r="D40" s="375"/>
      <c r="E40" s="375"/>
      <c r="F40" s="375"/>
      <c r="G40" s="375"/>
      <c r="H40" s="375"/>
      <c r="J40" s="375"/>
      <c r="K40" s="375"/>
      <c r="L40" s="386" t="s">
        <v>728</v>
      </c>
      <c r="M40" s="375">
        <v>18573633.770000003</v>
      </c>
      <c r="N40" s="631">
        <v>22929493.010000002</v>
      </c>
      <c r="O40" s="375">
        <f t="shared" si="3"/>
        <v>21043099.035</v>
      </c>
      <c r="P40" s="375">
        <f t="shared" si="3"/>
        <v>22385644.167000003</v>
      </c>
      <c r="Q40" s="375">
        <f t="shared" si="3"/>
        <v>24133600.373999998</v>
      </c>
    </row>
    <row r="41" spans="1:17" x14ac:dyDescent="0.25">
      <c r="B41" s="375"/>
      <c r="C41" s="375"/>
      <c r="D41" s="375"/>
      <c r="E41" s="375"/>
      <c r="F41" s="375"/>
      <c r="G41" s="375"/>
      <c r="H41" s="375"/>
      <c r="J41" s="375"/>
      <c r="K41" s="375"/>
      <c r="L41" s="386" t="s">
        <v>729</v>
      </c>
      <c r="M41" s="375">
        <v>11788026.339999998</v>
      </c>
      <c r="N41" s="631">
        <v>16282824.6</v>
      </c>
      <c r="O41" s="375">
        <f t="shared" si="3"/>
        <v>16255000.77</v>
      </c>
      <c r="P41" s="375">
        <f t="shared" si="3"/>
        <v>17119918.760000002</v>
      </c>
      <c r="Q41" s="375">
        <f t="shared" si="3"/>
        <v>18665154.07</v>
      </c>
    </row>
    <row r="42" spans="1:17" x14ac:dyDescent="0.25">
      <c r="B42" s="375"/>
      <c r="C42" s="375"/>
      <c r="D42" s="375"/>
      <c r="E42" s="375"/>
      <c r="F42" s="375"/>
      <c r="G42" s="375"/>
      <c r="H42" s="375"/>
      <c r="J42" s="375"/>
      <c r="K42" s="375"/>
      <c r="L42" s="386" t="s">
        <v>730</v>
      </c>
      <c r="M42" s="375">
        <v>29304498.352999996</v>
      </c>
      <c r="N42" s="631">
        <v>40394300.450999998</v>
      </c>
      <c r="O42" s="375">
        <f t="shared" si="3"/>
        <v>43959957.414999999</v>
      </c>
      <c r="P42" s="375">
        <f t="shared" si="3"/>
        <v>47021244.049999997</v>
      </c>
      <c r="Q42" s="375">
        <f t="shared" si="3"/>
        <v>49456949.840000004</v>
      </c>
    </row>
    <row r="43" spans="1:17" x14ac:dyDescent="0.25">
      <c r="B43" s="375"/>
      <c r="C43" s="375"/>
      <c r="D43" s="375"/>
      <c r="E43" s="375"/>
      <c r="F43" s="375"/>
      <c r="G43" s="375"/>
      <c r="H43" s="375"/>
      <c r="J43" s="375"/>
      <c r="K43" s="375"/>
      <c r="L43" s="386" t="s">
        <v>731</v>
      </c>
      <c r="M43" s="375">
        <v>15482386.66</v>
      </c>
      <c r="N43" s="631">
        <v>21675172.101000004</v>
      </c>
      <c r="O43" s="375">
        <f t="shared" si="3"/>
        <v>26651220.369999997</v>
      </c>
      <c r="P43" s="375">
        <f t="shared" si="3"/>
        <v>30149104.175999999</v>
      </c>
      <c r="Q43" s="375">
        <f t="shared" si="3"/>
        <v>33634879.120000005</v>
      </c>
    </row>
    <row r="44" spans="1:17" x14ac:dyDescent="0.25">
      <c r="B44" s="375"/>
      <c r="C44" s="375"/>
      <c r="D44" s="375"/>
      <c r="E44" s="375"/>
      <c r="F44" s="375"/>
      <c r="G44" s="375"/>
      <c r="H44" s="375"/>
      <c r="J44" s="375"/>
      <c r="K44" s="375"/>
      <c r="L44" s="386" t="s">
        <v>732</v>
      </c>
      <c r="M44" s="375">
        <v>23688972.940000001</v>
      </c>
      <c r="N44" s="631">
        <v>27147750.810000002</v>
      </c>
      <c r="O44" s="375">
        <f t="shared" si="3"/>
        <v>31816789.559999999</v>
      </c>
      <c r="P44" s="375">
        <f t="shared" si="3"/>
        <v>38642931.219999999</v>
      </c>
      <c r="Q44" s="375">
        <f t="shared" si="3"/>
        <v>35692529.049999997</v>
      </c>
    </row>
    <row r="45" spans="1:17" x14ac:dyDescent="0.25">
      <c r="B45" s="375"/>
      <c r="C45" s="375"/>
      <c r="D45" s="375"/>
      <c r="E45" s="375"/>
      <c r="F45" s="375"/>
      <c r="G45" s="375"/>
      <c r="H45" s="375"/>
      <c r="J45" s="375"/>
      <c r="K45" s="375"/>
      <c r="L45" s="386" t="s">
        <v>733</v>
      </c>
      <c r="M45" s="375">
        <v>7724957.6299999999</v>
      </c>
      <c r="N45" s="631">
        <v>12281541.290000001</v>
      </c>
      <c r="O45" s="375">
        <f t="shared" si="3"/>
        <v>14543865.745000001</v>
      </c>
      <c r="P45" s="375">
        <f t="shared" si="3"/>
        <v>15450866.840299999</v>
      </c>
      <c r="Q45" s="375">
        <f t="shared" si="3"/>
        <v>15019880.84</v>
      </c>
    </row>
    <row r="46" spans="1:17" x14ac:dyDescent="0.25">
      <c r="B46" s="375"/>
      <c r="C46" s="375"/>
      <c r="D46" s="375"/>
      <c r="E46" s="375"/>
      <c r="F46" s="375"/>
      <c r="G46" s="375"/>
      <c r="H46" s="375"/>
      <c r="J46" s="375"/>
      <c r="K46" s="375"/>
      <c r="L46" s="386" t="s">
        <v>734</v>
      </c>
      <c r="M46" s="375">
        <v>3540685.44</v>
      </c>
      <c r="N46" s="631">
        <v>7471919.1500000004</v>
      </c>
      <c r="O46" s="375">
        <f t="shared" si="3"/>
        <v>8698613.1500000004</v>
      </c>
      <c r="P46" s="375">
        <f t="shared" si="3"/>
        <v>5947100.96</v>
      </c>
      <c r="Q46" s="375">
        <f t="shared" si="3"/>
        <v>10990868.449999999</v>
      </c>
    </row>
    <row r="47" spans="1:17" x14ac:dyDescent="0.25">
      <c r="B47" s="375"/>
      <c r="C47" s="375"/>
      <c r="D47" s="375"/>
      <c r="E47" s="375"/>
      <c r="F47" s="375"/>
      <c r="G47" s="375"/>
      <c r="H47" s="375"/>
      <c r="J47" s="375"/>
      <c r="K47" s="375"/>
      <c r="L47" s="386" t="s">
        <v>735</v>
      </c>
      <c r="M47" s="375">
        <v>13156080.83</v>
      </c>
      <c r="N47" s="631">
        <v>17498120.029999997</v>
      </c>
      <c r="O47" s="375">
        <f t="shared" si="3"/>
        <v>21983644.324999999</v>
      </c>
      <c r="P47" s="375">
        <f t="shared" si="3"/>
        <v>9181590.7400000021</v>
      </c>
      <c r="Q47" s="375">
        <f t="shared" si="3"/>
        <v>25909086.93</v>
      </c>
    </row>
    <row r="48" spans="1:17" x14ac:dyDescent="0.25">
      <c r="B48" s="375"/>
      <c r="C48" s="375"/>
      <c r="D48" s="375"/>
      <c r="E48" s="375"/>
      <c r="F48" s="375"/>
      <c r="G48" s="375"/>
      <c r="H48" s="375"/>
      <c r="J48" s="375"/>
      <c r="K48" s="375"/>
      <c r="L48" s="386" t="s">
        <v>736</v>
      </c>
      <c r="M48" s="375">
        <v>563786.18999999994</v>
      </c>
      <c r="N48" s="631">
        <v>1773766.73</v>
      </c>
      <c r="O48" s="375">
        <f t="shared" si="3"/>
        <v>2451686.34</v>
      </c>
      <c r="P48" s="375">
        <f t="shared" si="3"/>
        <v>2580520.0900000003</v>
      </c>
      <c r="Q48" s="375">
        <f t="shared" si="3"/>
        <v>2433263.37</v>
      </c>
    </row>
    <row r="49" spans="2:17" x14ac:dyDescent="0.25">
      <c r="B49" s="375"/>
      <c r="C49" s="375"/>
      <c r="D49" s="375"/>
      <c r="E49" s="375"/>
      <c r="F49" s="375"/>
      <c r="G49" s="375"/>
      <c r="H49" s="375"/>
      <c r="J49" s="375"/>
      <c r="K49" s="375"/>
      <c r="L49" s="386" t="s">
        <v>737</v>
      </c>
      <c r="M49" s="375">
        <v>9125266.5999999996</v>
      </c>
      <c r="N49" s="631">
        <v>12610137.149999999</v>
      </c>
      <c r="O49" s="375">
        <f t="shared" si="3"/>
        <v>11946502.880000001</v>
      </c>
      <c r="P49" s="375">
        <f t="shared" si="3"/>
        <v>7909169.9100000001</v>
      </c>
      <c r="Q49" s="375">
        <f t="shared" si="3"/>
        <v>11312990.07</v>
      </c>
    </row>
    <row r="50" spans="2:17" x14ac:dyDescent="0.25">
      <c r="B50" s="375"/>
      <c r="C50" s="375"/>
      <c r="D50" s="375"/>
      <c r="E50" s="375"/>
      <c r="F50" s="375"/>
      <c r="G50" s="375"/>
      <c r="H50" s="375"/>
      <c r="J50" s="375"/>
      <c r="K50" s="375"/>
      <c r="L50" s="386" t="s">
        <v>738</v>
      </c>
      <c r="M50" s="375">
        <v>6589192.25</v>
      </c>
      <c r="N50" s="631">
        <v>9723321.2799999993</v>
      </c>
      <c r="O50" s="375">
        <f t="shared" si="3"/>
        <v>10153645.829999998</v>
      </c>
      <c r="P50" s="375">
        <f t="shared" si="3"/>
        <v>6358160.0700000003</v>
      </c>
      <c r="Q50" s="375">
        <f t="shared" si="3"/>
        <v>13465688.68</v>
      </c>
    </row>
    <row r="51" spans="2:17" x14ac:dyDescent="0.25">
      <c r="B51" s="375"/>
      <c r="C51" s="375"/>
      <c r="D51" s="375"/>
      <c r="E51" s="375"/>
      <c r="F51" s="375"/>
      <c r="G51" s="375"/>
      <c r="H51" s="375"/>
      <c r="J51" s="375"/>
      <c r="K51" s="375"/>
      <c r="L51" s="386" t="s">
        <v>739</v>
      </c>
      <c r="M51" s="375">
        <v>9874084.1600000001</v>
      </c>
      <c r="N51" s="631">
        <v>12434694.649999999</v>
      </c>
      <c r="O51" s="375">
        <f t="shared" si="3"/>
        <v>11807838.66</v>
      </c>
      <c r="P51" s="375">
        <f t="shared" si="3"/>
        <v>13061458.859999999</v>
      </c>
      <c r="Q51" s="375">
        <f t="shared" si="3"/>
        <v>15100490.25</v>
      </c>
    </row>
    <row r="52" spans="2:17" x14ac:dyDescent="0.25">
      <c r="B52" s="375"/>
      <c r="C52" s="375"/>
      <c r="D52" s="375"/>
      <c r="E52" s="375"/>
      <c r="F52" s="375"/>
      <c r="G52" s="375"/>
      <c r="H52" s="375"/>
      <c r="J52" s="375"/>
      <c r="K52" s="375"/>
      <c r="L52" s="386" t="s">
        <v>740</v>
      </c>
      <c r="M52" s="375">
        <v>15424283.250000004</v>
      </c>
      <c r="N52" s="631">
        <v>20505081.599999994</v>
      </c>
      <c r="O52" s="375">
        <f t="shared" si="3"/>
        <v>22462983.789999999</v>
      </c>
      <c r="P52" s="375">
        <f t="shared" si="3"/>
        <v>23683245.52</v>
      </c>
      <c r="Q52" s="375">
        <f t="shared" si="3"/>
        <v>21574058.689999998</v>
      </c>
    </row>
    <row r="53" spans="2:17" x14ac:dyDescent="0.25">
      <c r="B53" s="375"/>
      <c r="C53" s="375"/>
      <c r="D53" s="375"/>
      <c r="E53" s="375"/>
      <c r="F53" s="375"/>
      <c r="G53" s="375"/>
      <c r="H53" s="375"/>
      <c r="J53" s="375"/>
      <c r="K53" s="375"/>
      <c r="L53" s="392" t="s">
        <v>741</v>
      </c>
      <c r="M53" s="375">
        <v>19121149.300000001</v>
      </c>
      <c r="N53" s="631">
        <v>27347316.960000001</v>
      </c>
      <c r="O53" s="375">
        <f t="shared" si="3"/>
        <v>30750547.939999998</v>
      </c>
      <c r="P53" s="375">
        <f t="shared" si="3"/>
        <v>32945144.069999997</v>
      </c>
      <c r="Q53" s="375">
        <f t="shared" si="3"/>
        <v>34810489.399999999</v>
      </c>
    </row>
    <row r="54" spans="2:17" x14ac:dyDescent="0.25">
      <c r="B54" s="375"/>
      <c r="C54" s="375"/>
      <c r="D54" s="375"/>
      <c r="E54" s="375"/>
      <c r="F54" s="375"/>
      <c r="G54" s="375"/>
      <c r="H54" s="375"/>
      <c r="J54" s="375"/>
      <c r="K54" s="375"/>
      <c r="L54" s="386" t="s">
        <v>742</v>
      </c>
      <c r="M54" s="375">
        <v>14483951.450000001</v>
      </c>
      <c r="N54" s="631">
        <v>21910210.289999999</v>
      </c>
      <c r="O54" s="375">
        <f t="shared" si="3"/>
        <v>25050862.829999998</v>
      </c>
      <c r="P54" s="375">
        <f t="shared" si="3"/>
        <v>28968304</v>
      </c>
      <c r="Q54" s="375">
        <f t="shared" si="3"/>
        <v>27993704.789999999</v>
      </c>
    </row>
    <row r="55" spans="2:17" x14ac:dyDescent="0.25">
      <c r="B55" s="375"/>
      <c r="C55" s="375"/>
      <c r="D55" s="375"/>
      <c r="E55" s="375"/>
      <c r="F55" s="375"/>
      <c r="G55" s="375"/>
      <c r="H55" s="375"/>
      <c r="J55" s="375"/>
      <c r="K55" s="375"/>
      <c r="L55" s="386" t="s">
        <v>743</v>
      </c>
      <c r="M55" s="375">
        <v>27642128.069999993</v>
      </c>
      <c r="N55" s="631">
        <v>34260241.729999997</v>
      </c>
      <c r="O55" s="375">
        <f t="shared" si="3"/>
        <v>39536598.640000008</v>
      </c>
      <c r="P55" s="375">
        <f t="shared" si="3"/>
        <v>44492550.350000001</v>
      </c>
      <c r="Q55" s="375">
        <f t="shared" si="3"/>
        <v>46107004.269999996</v>
      </c>
    </row>
    <row r="56" spans="2:17" x14ac:dyDescent="0.25">
      <c r="B56" s="375"/>
      <c r="C56" s="375"/>
      <c r="D56" s="375"/>
      <c r="E56" s="375"/>
      <c r="F56" s="375"/>
      <c r="G56" s="375"/>
      <c r="H56" s="375"/>
      <c r="J56" s="375"/>
      <c r="K56" s="375"/>
      <c r="L56" s="386" t="s">
        <v>744</v>
      </c>
      <c r="M56" s="375">
        <v>12905259.859999999</v>
      </c>
      <c r="N56" s="631">
        <v>19379941.390000001</v>
      </c>
      <c r="O56" s="375">
        <f t="shared" si="3"/>
        <v>20312685.899999999</v>
      </c>
      <c r="P56" s="375">
        <f t="shared" si="3"/>
        <v>15456736.35</v>
      </c>
      <c r="Q56" s="375">
        <f t="shared" si="3"/>
        <v>23428238.91</v>
      </c>
    </row>
    <row r="57" spans="2:17" x14ac:dyDescent="0.25">
      <c r="B57" s="375"/>
      <c r="C57" s="375"/>
      <c r="D57" s="375"/>
      <c r="E57" s="375"/>
      <c r="F57" s="375"/>
      <c r="G57" s="375"/>
      <c r="H57" s="375"/>
      <c r="J57" s="375"/>
      <c r="K57" s="375"/>
      <c r="L57" s="396" t="s">
        <v>745</v>
      </c>
      <c r="M57" s="375">
        <v>55981769.233300008</v>
      </c>
      <c r="N57" s="631">
        <v>74119274.931099996</v>
      </c>
      <c r="O57" s="375">
        <f t="shared" si="3"/>
        <v>102346229.71000001</v>
      </c>
      <c r="P57" s="375">
        <f t="shared" si="3"/>
        <v>116663001.61669999</v>
      </c>
      <c r="Q57" s="375">
        <f t="shared" si="3"/>
        <v>121178364.9189</v>
      </c>
    </row>
  </sheetData>
  <mergeCells count="12">
    <mergeCell ref="G4:G5"/>
    <mergeCell ref="H4:H5"/>
    <mergeCell ref="A1:I1"/>
    <mergeCell ref="A2:I2"/>
    <mergeCell ref="A3:A5"/>
    <mergeCell ref="B3:G3"/>
    <mergeCell ref="I3:I5"/>
    <mergeCell ref="B4:B5"/>
    <mergeCell ref="C4:C5"/>
    <mergeCell ref="D4:D5"/>
    <mergeCell ref="E4:E5"/>
    <mergeCell ref="F4:F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V257"/>
  <sheetViews>
    <sheetView topLeftCell="A180" workbookViewId="0">
      <selection activeCell="T240" sqref="T240"/>
    </sheetView>
  </sheetViews>
  <sheetFormatPr defaultRowHeight="15" x14ac:dyDescent="0.25"/>
  <cols>
    <col min="1" max="1" width="27.140625" style="660" customWidth="1"/>
    <col min="2" max="2" width="19.5703125" style="683" hidden="1" customWidth="1"/>
    <col min="3" max="3" width="19.7109375" style="660" hidden="1" customWidth="1"/>
    <col min="4" max="4" width="0.28515625" style="660" hidden="1" customWidth="1"/>
    <col min="5" max="5" width="12" style="660" hidden="1" customWidth="1"/>
    <col min="6" max="6" width="15.140625" style="660" hidden="1" customWidth="1"/>
    <col min="7" max="7" width="15.42578125" style="683" hidden="1" customWidth="1"/>
    <col min="8" max="8" width="15.42578125" style="619" hidden="1" customWidth="1"/>
    <col min="9" max="9" width="1.7109375" style="660" hidden="1" customWidth="1"/>
    <col min="10" max="10" width="14.7109375" style="683" hidden="1" customWidth="1"/>
    <col min="11" max="11" width="15.7109375" style="683" hidden="1" customWidth="1"/>
    <col min="12" max="16" width="18.140625" style="683" customWidth="1"/>
    <col min="17" max="17" width="27.7109375" style="660" customWidth="1"/>
    <col min="18" max="19" width="9.140625" style="676"/>
    <col min="20" max="20" width="23.140625" style="660" customWidth="1"/>
    <col min="21" max="21" width="21.42578125" style="676" customWidth="1"/>
    <col min="22" max="22" width="22.140625" style="660" customWidth="1"/>
    <col min="23" max="23" width="14.7109375" style="660" customWidth="1"/>
    <col min="24" max="16384" width="9.140625" style="660"/>
  </cols>
  <sheetData>
    <row r="1" spans="1:22" s="646" customFormat="1" ht="21" x14ac:dyDescent="0.2">
      <c r="A1" s="862" t="s">
        <v>837</v>
      </c>
      <c r="B1" s="862"/>
      <c r="C1" s="862"/>
      <c r="D1" s="862"/>
      <c r="E1" s="862"/>
      <c r="F1" s="862"/>
      <c r="G1" s="862"/>
      <c r="H1" s="862"/>
      <c r="I1" s="862"/>
      <c r="J1" s="862"/>
      <c r="K1" s="862"/>
      <c r="L1" s="862"/>
      <c r="M1" s="862"/>
      <c r="N1" s="862"/>
      <c r="O1" s="862"/>
      <c r="P1" s="862"/>
      <c r="Q1" s="862"/>
    </row>
    <row r="2" spans="1:22" s="646" customFormat="1" x14ac:dyDescent="0.25">
      <c r="A2" s="895" t="s">
        <v>838</v>
      </c>
      <c r="B2" s="895"/>
      <c r="C2" s="895"/>
      <c r="D2" s="895"/>
      <c r="E2" s="895"/>
      <c r="F2" s="895"/>
      <c r="G2" s="895"/>
      <c r="H2" s="895"/>
      <c r="I2" s="895"/>
      <c r="J2" s="895"/>
      <c r="K2" s="895"/>
      <c r="L2" s="895"/>
      <c r="M2" s="895"/>
      <c r="N2" s="895"/>
      <c r="O2" s="895"/>
      <c r="P2" s="895"/>
      <c r="Q2" s="895"/>
    </row>
    <row r="3" spans="1:22" s="620" customFormat="1" ht="21" customHeight="1" x14ac:dyDescent="0.55000000000000004">
      <c r="A3" s="896" t="s">
        <v>269</v>
      </c>
      <c r="B3" s="647" t="s">
        <v>13</v>
      </c>
      <c r="C3" s="647" t="s">
        <v>839</v>
      </c>
      <c r="D3" s="648" t="s">
        <v>840</v>
      </c>
      <c r="E3" s="648"/>
      <c r="F3" s="647" t="s">
        <v>13</v>
      </c>
      <c r="G3" s="647" t="s">
        <v>839</v>
      </c>
      <c r="H3" s="649" t="s">
        <v>840</v>
      </c>
      <c r="I3" s="648"/>
      <c r="J3" s="647" t="s">
        <v>341</v>
      </c>
      <c r="K3" s="647" t="s">
        <v>341</v>
      </c>
      <c r="L3" s="898" t="s">
        <v>841</v>
      </c>
      <c r="M3" s="898"/>
      <c r="N3" s="898"/>
      <c r="O3" s="898"/>
      <c r="P3" s="697"/>
      <c r="Q3" s="899" t="s">
        <v>276</v>
      </c>
    </row>
    <row r="4" spans="1:22" s="654" customFormat="1" ht="18.75" customHeight="1" x14ac:dyDescent="0.15">
      <c r="A4" s="897"/>
      <c r="B4" s="650"/>
      <c r="C4" s="651"/>
      <c r="D4" s="651"/>
      <c r="E4" s="651"/>
      <c r="F4" s="650"/>
      <c r="G4" s="651"/>
      <c r="H4" s="652"/>
      <c r="I4" s="651"/>
      <c r="J4" s="651"/>
      <c r="K4" s="651"/>
      <c r="L4" s="653">
        <v>2014</v>
      </c>
      <c r="M4" s="653">
        <v>2015</v>
      </c>
      <c r="N4" s="653">
        <v>2016</v>
      </c>
      <c r="O4" s="653">
        <v>2017</v>
      </c>
      <c r="P4" s="653">
        <v>2018</v>
      </c>
      <c r="Q4" s="900"/>
    </row>
    <row r="5" spans="1:22" ht="17.25" x14ac:dyDescent="0.25">
      <c r="A5" s="655" t="s">
        <v>288</v>
      </c>
      <c r="B5" s="656">
        <f>SUM(C5:D5)</f>
        <v>127107179.7202</v>
      </c>
      <c r="C5" s="657">
        <f>C6+C7</f>
        <v>111065180.43000001</v>
      </c>
      <c r="D5" s="657">
        <f>SUM(D6:D7)</f>
        <v>16041999.290200001</v>
      </c>
      <c r="E5" s="657"/>
      <c r="F5" s="658">
        <f>SUM(G5:H5)</f>
        <v>212774081.04740971</v>
      </c>
      <c r="G5" s="657">
        <f>SUM(G6:G7)</f>
        <v>187281445.89584973</v>
      </c>
      <c r="H5" s="657">
        <f>SUM(H6:H7)</f>
        <v>25492635.151559971</v>
      </c>
      <c r="I5" s="657"/>
      <c r="J5" s="657">
        <f t="shared" ref="J5:O5" si="0">SUM(J6:J7)+J251</f>
        <v>782126477</v>
      </c>
      <c r="K5" s="657">
        <f t="shared" si="0"/>
        <v>744921544.64999926</v>
      </c>
      <c r="L5" s="657">
        <f t="shared" si="0"/>
        <v>1063054680.1289001</v>
      </c>
      <c r="M5" s="657">
        <f t="shared" si="0"/>
        <v>1400609841.9116001</v>
      </c>
      <c r="N5" s="657">
        <f t="shared" si="0"/>
        <v>1675199186.7923002</v>
      </c>
      <c r="O5" s="657">
        <f t="shared" si="0"/>
        <v>1797290685.4303999</v>
      </c>
      <c r="P5" s="657">
        <f>SUM(P6:P7)+P251</f>
        <v>2164672441.0654001</v>
      </c>
      <c r="Q5" s="659" t="s">
        <v>289</v>
      </c>
      <c r="R5" s="660"/>
      <c r="S5" s="660"/>
      <c r="U5" s="660"/>
    </row>
    <row r="6" spans="1:22" s="663" customFormat="1" ht="17.25" x14ac:dyDescent="0.25">
      <c r="A6" s="655" t="s">
        <v>834</v>
      </c>
      <c r="B6" s="656">
        <f t="shared" ref="B6:B69" si="1">SUM(C6:D6)</f>
        <v>27547473.469999999</v>
      </c>
      <c r="C6" s="657">
        <v>23078892.969999999</v>
      </c>
      <c r="D6" s="657">
        <v>4468580.5</v>
      </c>
      <c r="E6" s="657"/>
      <c r="F6" s="658">
        <f t="shared" ref="F6:F69" si="2">SUM(G6:H6)</f>
        <v>42996360.71682369</v>
      </c>
      <c r="G6" s="657">
        <v>35973854.842263699</v>
      </c>
      <c r="H6" s="657">
        <v>7022505.8745599901</v>
      </c>
      <c r="I6" s="657"/>
      <c r="J6" s="657">
        <v>448843963</v>
      </c>
      <c r="K6" s="657">
        <v>403043430</v>
      </c>
      <c r="L6" s="657">
        <v>529844339.34140003</v>
      </c>
      <c r="M6" s="657">
        <v>694778647.79130006</v>
      </c>
      <c r="N6" s="657">
        <v>899761456.66649997</v>
      </c>
      <c r="O6" s="657">
        <v>1040187042.5204</v>
      </c>
      <c r="P6" s="985">
        <v>1255240833.9584999</v>
      </c>
      <c r="Q6" s="659" t="s">
        <v>291</v>
      </c>
      <c r="R6" s="661"/>
      <c r="S6" s="662"/>
      <c r="U6" s="662"/>
    </row>
    <row r="7" spans="1:22" s="663" customFormat="1" ht="17.25" x14ac:dyDescent="0.25">
      <c r="A7" s="655" t="s">
        <v>292</v>
      </c>
      <c r="B7" s="656">
        <f t="shared" si="1"/>
        <v>99559706.250200003</v>
      </c>
      <c r="C7" s="657">
        <f t="shared" ref="C7:P7" si="3">C8+C26+C44+C62+C77+C96+C111+C118+C129+C139+C151+C158+C169+C176+C186+C201+C215+C227+C240+C243</f>
        <v>87986287.460000008</v>
      </c>
      <c r="D7" s="657">
        <f t="shared" si="3"/>
        <v>11573418.790200001</v>
      </c>
      <c r="E7" s="657"/>
      <c r="F7" s="658">
        <f t="shared" si="2"/>
        <v>169777720.33058602</v>
      </c>
      <c r="G7" s="657">
        <f t="shared" si="3"/>
        <v>151307591.05358604</v>
      </c>
      <c r="H7" s="657">
        <f t="shared" si="3"/>
        <v>18470129.27699998</v>
      </c>
      <c r="I7" s="657">
        <f t="shared" si="3"/>
        <v>0</v>
      </c>
      <c r="J7" s="657">
        <f t="shared" si="3"/>
        <v>264760139</v>
      </c>
      <c r="K7" s="657">
        <f t="shared" si="3"/>
        <v>267510730.38999927</v>
      </c>
      <c r="L7" s="657">
        <f t="shared" si="3"/>
        <v>364203693.46630001</v>
      </c>
      <c r="M7" s="657">
        <f t="shared" si="3"/>
        <v>483525096.47310001</v>
      </c>
      <c r="N7" s="657">
        <f t="shared" si="3"/>
        <v>552084045.875</v>
      </c>
      <c r="O7" s="657">
        <f t="shared" si="3"/>
        <v>582040521.90999997</v>
      </c>
      <c r="P7" s="657">
        <f t="shared" si="3"/>
        <v>642497891.10689998</v>
      </c>
      <c r="Q7" s="659" t="s">
        <v>293</v>
      </c>
      <c r="R7" s="661"/>
      <c r="S7" s="664"/>
      <c r="U7" s="665"/>
      <c r="V7" s="666"/>
    </row>
    <row r="8" spans="1:22" s="663" customFormat="1" x14ac:dyDescent="0.25">
      <c r="A8" s="667" t="s">
        <v>294</v>
      </c>
      <c r="B8" s="656">
        <f t="shared" si="1"/>
        <v>6769324.1445000004</v>
      </c>
      <c r="C8" s="546">
        <f>SUM(C9:C24)</f>
        <v>6095622.9400000004</v>
      </c>
      <c r="D8" s="546">
        <f>SUM(D9:D24)</f>
        <v>673701.20449999999</v>
      </c>
      <c r="E8" s="546"/>
      <c r="F8" s="658">
        <f t="shared" si="2"/>
        <v>11709674.216652982</v>
      </c>
      <c r="G8" s="546">
        <f>SUM(G9:G24)</f>
        <v>10045464.276652981</v>
      </c>
      <c r="H8" s="546">
        <f>SUM(H9:H24)</f>
        <v>1664209.9400000004</v>
      </c>
      <c r="I8" s="546"/>
      <c r="J8" s="546">
        <f t="shared" ref="J8:O8" si="4">SUM(J9:J24)</f>
        <v>15101822</v>
      </c>
      <c r="K8" s="546">
        <f t="shared" si="4"/>
        <v>16574727.689999968</v>
      </c>
      <c r="L8" s="546">
        <f t="shared" si="4"/>
        <v>21476572.449999999</v>
      </c>
      <c r="M8" s="546">
        <f t="shared" si="4"/>
        <v>28247167.650000002</v>
      </c>
      <c r="N8" s="546">
        <f t="shared" si="4"/>
        <v>30277717.990000006</v>
      </c>
      <c r="O8" s="546">
        <f t="shared" si="4"/>
        <v>34032071.780000001</v>
      </c>
      <c r="P8" s="546">
        <f>SUM(P9:P24)</f>
        <v>37849375.520000003</v>
      </c>
      <c r="Q8" s="668" t="s">
        <v>295</v>
      </c>
      <c r="R8" s="664"/>
      <c r="S8" s="662"/>
      <c r="U8" s="665"/>
      <c r="V8" s="666"/>
    </row>
    <row r="9" spans="1:22" s="663" customFormat="1" x14ac:dyDescent="0.25">
      <c r="A9" s="669" t="s">
        <v>342</v>
      </c>
      <c r="B9" s="656">
        <f t="shared" si="1"/>
        <v>176859.8</v>
      </c>
      <c r="C9" s="564">
        <v>176859.8</v>
      </c>
      <c r="D9" s="564" t="s">
        <v>117</v>
      </c>
      <c r="E9" s="564"/>
      <c r="F9" s="658">
        <f t="shared" si="2"/>
        <v>386827.68</v>
      </c>
      <c r="G9" s="564">
        <v>277673.48</v>
      </c>
      <c r="H9" s="564">
        <v>109154.2</v>
      </c>
      <c r="I9" s="564"/>
      <c r="J9" s="564">
        <v>112222</v>
      </c>
      <c r="K9" s="564">
        <v>87669.930000000008</v>
      </c>
      <c r="L9" s="564">
        <v>110392</v>
      </c>
      <c r="M9" s="564">
        <v>303486.27</v>
      </c>
      <c r="N9" s="564">
        <v>451313.77</v>
      </c>
      <c r="O9" s="564">
        <v>362834.89</v>
      </c>
      <c r="P9" s="572">
        <v>512466.27</v>
      </c>
      <c r="Q9" s="670" t="s">
        <v>343</v>
      </c>
      <c r="R9" s="661"/>
      <c r="S9" s="662"/>
      <c r="U9" s="665"/>
      <c r="V9" s="666"/>
    </row>
    <row r="10" spans="1:22" s="663" customFormat="1" x14ac:dyDescent="0.25">
      <c r="A10" s="669" t="s">
        <v>344</v>
      </c>
      <c r="B10" s="656">
        <f t="shared" si="1"/>
        <v>68634.59</v>
      </c>
      <c r="C10" s="564">
        <v>68634.59</v>
      </c>
      <c r="D10" s="564" t="s">
        <v>117</v>
      </c>
      <c r="E10" s="564"/>
      <c r="F10" s="658">
        <f t="shared" si="2"/>
        <v>143225.93879999997</v>
      </c>
      <c r="G10" s="564">
        <v>143123.54999999999</v>
      </c>
      <c r="H10" s="564">
        <v>102.3888</v>
      </c>
      <c r="I10" s="564"/>
      <c r="J10" s="564">
        <v>323391</v>
      </c>
      <c r="K10" s="564">
        <v>255617.09</v>
      </c>
      <c r="L10" s="564">
        <v>411540.03</v>
      </c>
      <c r="M10" s="564">
        <v>677867.32</v>
      </c>
      <c r="N10" s="564">
        <v>611016.87</v>
      </c>
      <c r="O10" s="564">
        <v>652813.66</v>
      </c>
      <c r="P10" s="572">
        <v>629205.62</v>
      </c>
      <c r="Q10" s="670" t="s">
        <v>345</v>
      </c>
      <c r="R10" s="661"/>
      <c r="S10" s="662"/>
      <c r="T10" s="630"/>
      <c r="U10" s="665"/>
      <c r="V10" s="666"/>
    </row>
    <row r="11" spans="1:22" s="663" customFormat="1" x14ac:dyDescent="0.25">
      <c r="A11" s="669" t="s">
        <v>842</v>
      </c>
      <c r="B11" s="656">
        <f t="shared" si="1"/>
        <v>5506.5</v>
      </c>
      <c r="C11" s="564">
        <v>5506.5</v>
      </c>
      <c r="D11" s="564" t="s">
        <v>117</v>
      </c>
      <c r="E11" s="564"/>
      <c r="F11" s="658">
        <f t="shared" si="2"/>
        <v>4468.97</v>
      </c>
      <c r="G11" s="564">
        <v>4468.97</v>
      </c>
      <c r="H11" s="564" t="s">
        <v>117</v>
      </c>
      <c r="I11" s="564"/>
      <c r="J11" s="564">
        <v>0</v>
      </c>
      <c r="K11" s="564">
        <v>0</v>
      </c>
      <c r="L11" s="564">
        <v>0</v>
      </c>
      <c r="M11" s="564">
        <v>0</v>
      </c>
      <c r="N11" s="564">
        <v>0</v>
      </c>
      <c r="O11" s="564">
        <v>0</v>
      </c>
      <c r="P11" s="572">
        <v>0</v>
      </c>
      <c r="Q11" s="671" t="s">
        <v>843</v>
      </c>
      <c r="R11" s="661"/>
      <c r="S11" s="662"/>
      <c r="T11" s="630"/>
      <c r="U11" s="665"/>
      <c r="V11" s="666"/>
    </row>
    <row r="12" spans="1:22" s="663" customFormat="1" x14ac:dyDescent="0.25">
      <c r="A12" s="669" t="s">
        <v>844</v>
      </c>
      <c r="B12" s="656">
        <f t="shared" si="1"/>
        <v>23352.75</v>
      </c>
      <c r="C12" s="564">
        <v>23352.75</v>
      </c>
      <c r="D12" s="564" t="s">
        <v>117</v>
      </c>
      <c r="E12" s="564"/>
      <c r="F12" s="658">
        <f t="shared" si="2"/>
        <v>33046.019999999997</v>
      </c>
      <c r="G12" s="564">
        <v>33046.019999999997</v>
      </c>
      <c r="H12" s="564" t="s">
        <v>117</v>
      </c>
      <c r="I12" s="564"/>
      <c r="J12" s="564">
        <v>0</v>
      </c>
      <c r="K12" s="564">
        <v>0</v>
      </c>
      <c r="L12" s="564">
        <v>0</v>
      </c>
      <c r="M12" s="564">
        <v>0</v>
      </c>
      <c r="N12" s="564">
        <v>0</v>
      </c>
      <c r="O12" s="564">
        <v>0</v>
      </c>
      <c r="P12" s="572">
        <v>0</v>
      </c>
      <c r="Q12" s="670" t="s">
        <v>845</v>
      </c>
      <c r="R12" s="661"/>
      <c r="S12" s="662"/>
      <c r="T12" s="630"/>
      <c r="U12" s="665"/>
      <c r="V12" s="666"/>
    </row>
    <row r="13" spans="1:22" s="663" customFormat="1" x14ac:dyDescent="0.25">
      <c r="A13" s="669" t="s">
        <v>347</v>
      </c>
      <c r="B13" s="656">
        <f t="shared" si="1"/>
        <v>79889.64</v>
      </c>
      <c r="C13" s="564">
        <v>79889.64</v>
      </c>
      <c r="D13" s="564" t="s">
        <v>117</v>
      </c>
      <c r="E13" s="564"/>
      <c r="F13" s="658">
        <f t="shared" si="2"/>
        <v>178770.93</v>
      </c>
      <c r="G13" s="564">
        <v>178770.93</v>
      </c>
      <c r="H13" s="564" t="s">
        <v>117</v>
      </c>
      <c r="I13" s="564"/>
      <c r="J13" s="564">
        <v>81426</v>
      </c>
      <c r="K13" s="564">
        <v>75261.3</v>
      </c>
      <c r="L13" s="564">
        <v>81191.06</v>
      </c>
      <c r="M13" s="564">
        <v>204972.37</v>
      </c>
      <c r="N13" s="564">
        <v>234280.72</v>
      </c>
      <c r="O13" s="564">
        <v>213846.87</v>
      </c>
      <c r="P13" s="572">
        <v>274333.94</v>
      </c>
      <c r="Q13" s="670" t="s">
        <v>348</v>
      </c>
      <c r="R13" s="661"/>
      <c r="S13" s="662"/>
      <c r="T13" s="630"/>
      <c r="U13" s="665"/>
      <c r="V13" s="666"/>
    </row>
    <row r="14" spans="1:22" s="663" customFormat="1" x14ac:dyDescent="0.25">
      <c r="A14" s="669" t="s">
        <v>349</v>
      </c>
      <c r="B14" s="656">
        <f t="shared" si="1"/>
        <v>1298390.7024999999</v>
      </c>
      <c r="C14" s="564">
        <v>1150753.93</v>
      </c>
      <c r="D14" s="564">
        <v>147636.77249999999</v>
      </c>
      <c r="E14" s="564"/>
      <c r="F14" s="658">
        <f t="shared" si="2"/>
        <v>2664887.5546000004</v>
      </c>
      <c r="G14" s="564">
        <v>1943818.36</v>
      </c>
      <c r="H14" s="564">
        <v>721069.19460000005</v>
      </c>
      <c r="I14" s="564"/>
      <c r="J14" s="564">
        <v>1088883</v>
      </c>
      <c r="K14" s="564">
        <v>1582362.189999999</v>
      </c>
      <c r="L14" s="564">
        <v>3352948.96</v>
      </c>
      <c r="M14" s="564">
        <v>4703349.18</v>
      </c>
      <c r="N14" s="564">
        <v>4215672.88</v>
      </c>
      <c r="O14" s="564">
        <v>5485853.6100000003</v>
      </c>
      <c r="P14" s="572">
        <v>5729946.75</v>
      </c>
      <c r="Q14" s="670" t="s">
        <v>350</v>
      </c>
      <c r="R14" s="661"/>
      <c r="S14" s="662"/>
      <c r="T14" s="630"/>
      <c r="U14" s="665"/>
      <c r="V14" s="666"/>
    </row>
    <row r="15" spans="1:22" s="663" customFormat="1" x14ac:dyDescent="0.25">
      <c r="A15" s="669" t="s">
        <v>351</v>
      </c>
      <c r="B15" s="656">
        <f t="shared" si="1"/>
        <v>351380.13</v>
      </c>
      <c r="C15" s="564">
        <v>351380.13</v>
      </c>
      <c r="D15" s="564" t="s">
        <v>117</v>
      </c>
      <c r="E15" s="564"/>
      <c r="F15" s="658">
        <f t="shared" si="2"/>
        <v>1034159.728999999</v>
      </c>
      <c r="G15" s="564">
        <v>838992.81299999903</v>
      </c>
      <c r="H15" s="564">
        <v>195166.916</v>
      </c>
      <c r="I15" s="564"/>
      <c r="J15" s="564">
        <v>2953756</v>
      </c>
      <c r="K15" s="564">
        <v>3143087.8599999901</v>
      </c>
      <c r="L15" s="564">
        <v>3699111.32</v>
      </c>
      <c r="M15" s="564">
        <v>4411492.28</v>
      </c>
      <c r="N15" s="564">
        <v>4981885.9800000004</v>
      </c>
      <c r="O15" s="564">
        <v>5767293.3099999996</v>
      </c>
      <c r="P15" s="572">
        <v>6517718.9299999997</v>
      </c>
      <c r="Q15" s="670" t="s">
        <v>352</v>
      </c>
      <c r="R15" s="661"/>
      <c r="S15" s="662"/>
      <c r="T15" s="630"/>
      <c r="U15" s="665"/>
      <c r="V15" s="666"/>
    </row>
    <row r="16" spans="1:22" s="663" customFormat="1" x14ac:dyDescent="0.25">
      <c r="A16" s="669" t="s">
        <v>353</v>
      </c>
      <c r="B16" s="656">
        <f t="shared" si="1"/>
        <v>741781.37</v>
      </c>
      <c r="C16" s="564">
        <v>709437.02</v>
      </c>
      <c r="D16" s="564">
        <v>32344.35</v>
      </c>
      <c r="E16" s="564"/>
      <c r="F16" s="658">
        <f t="shared" si="2"/>
        <v>1157487.4705000001</v>
      </c>
      <c r="G16" s="564">
        <v>1031577.2825000001</v>
      </c>
      <c r="H16" s="564">
        <v>125910.18799999999</v>
      </c>
      <c r="I16" s="564"/>
      <c r="J16" s="564">
        <v>807570</v>
      </c>
      <c r="K16" s="564">
        <v>756694.43999999901</v>
      </c>
      <c r="L16" s="564">
        <v>1145015.6200000001</v>
      </c>
      <c r="M16" s="564">
        <v>1305014.24</v>
      </c>
      <c r="N16" s="564">
        <v>1410016.69</v>
      </c>
      <c r="O16" s="564">
        <v>1653736.76</v>
      </c>
      <c r="P16" s="572">
        <v>1617353.81</v>
      </c>
      <c r="Q16" s="670" t="s">
        <v>354</v>
      </c>
      <c r="R16" s="661"/>
      <c r="S16" s="662"/>
      <c r="T16" s="630"/>
      <c r="U16" s="665"/>
      <c r="V16" s="666"/>
    </row>
    <row r="17" spans="1:22" s="663" customFormat="1" x14ac:dyDescent="0.25">
      <c r="A17" s="669" t="s">
        <v>355</v>
      </c>
      <c r="B17" s="656">
        <f t="shared" si="1"/>
        <v>294653.87</v>
      </c>
      <c r="C17" s="564">
        <v>256130.61</v>
      </c>
      <c r="D17" s="564">
        <v>38523.26</v>
      </c>
      <c r="E17" s="564"/>
      <c r="F17" s="658">
        <f t="shared" si="2"/>
        <v>276735.34999999998</v>
      </c>
      <c r="G17" s="564">
        <v>276735.34999999998</v>
      </c>
      <c r="H17" s="564" t="s">
        <v>117</v>
      </c>
      <c r="I17" s="564"/>
      <c r="J17" s="564">
        <v>94094</v>
      </c>
      <c r="K17" s="564">
        <v>166718.16999999899</v>
      </c>
      <c r="L17" s="564">
        <v>223033.25</v>
      </c>
      <c r="M17" s="564">
        <v>206227.25</v>
      </c>
      <c r="N17" s="564">
        <v>280469.34000000003</v>
      </c>
      <c r="O17" s="564">
        <v>274281.78000000003</v>
      </c>
      <c r="P17" s="572">
        <v>388069</v>
      </c>
      <c r="Q17" s="670" t="s">
        <v>356</v>
      </c>
      <c r="R17" s="662"/>
      <c r="S17" s="662"/>
      <c r="T17" s="630"/>
      <c r="U17" s="665"/>
      <c r="V17" s="666"/>
    </row>
    <row r="18" spans="1:22" s="663" customFormat="1" x14ac:dyDescent="0.25">
      <c r="A18" s="669" t="s">
        <v>357</v>
      </c>
      <c r="B18" s="656">
        <f t="shared" si="1"/>
        <v>1773084.3860000002</v>
      </c>
      <c r="C18" s="564">
        <v>1459030.85</v>
      </c>
      <c r="D18" s="564">
        <v>314053.53600000002</v>
      </c>
      <c r="E18" s="564"/>
      <c r="F18" s="658">
        <f t="shared" si="2"/>
        <v>2453377.6535999998</v>
      </c>
      <c r="G18" s="564">
        <v>2331551.2799999998</v>
      </c>
      <c r="H18" s="564">
        <v>121826.37360000001</v>
      </c>
      <c r="I18" s="564"/>
      <c r="J18" s="564">
        <v>8179745</v>
      </c>
      <c r="K18" s="564">
        <v>9098526.7899999805</v>
      </c>
      <c r="L18" s="564">
        <v>10578885.48</v>
      </c>
      <c r="M18" s="564">
        <v>13362402.58</v>
      </c>
      <c r="N18" s="564">
        <v>14253200.630000001</v>
      </c>
      <c r="O18" s="564">
        <v>16222916.25</v>
      </c>
      <c r="P18" s="572">
        <v>18704374.280000001</v>
      </c>
      <c r="Q18" s="670" t="s">
        <v>358</v>
      </c>
      <c r="R18" s="662"/>
      <c r="S18" s="662"/>
      <c r="T18" s="630"/>
      <c r="U18" s="665"/>
      <c r="V18" s="666"/>
    </row>
    <row r="19" spans="1:22" s="663" customFormat="1" x14ac:dyDescent="0.25">
      <c r="A19" s="669" t="s">
        <v>359</v>
      </c>
      <c r="B19" s="656">
        <f t="shared" si="1"/>
        <v>175538.826</v>
      </c>
      <c r="C19" s="564">
        <v>170473.36</v>
      </c>
      <c r="D19" s="564">
        <v>5065.4660000000003</v>
      </c>
      <c r="E19" s="564"/>
      <c r="F19" s="658">
        <f t="shared" si="2"/>
        <v>345699.15179999999</v>
      </c>
      <c r="G19" s="564">
        <v>273976.26</v>
      </c>
      <c r="H19" s="564">
        <v>71722.891799999998</v>
      </c>
      <c r="I19" s="564"/>
      <c r="J19" s="564">
        <v>121701</v>
      </c>
      <c r="K19" s="564">
        <v>107401.38</v>
      </c>
      <c r="L19" s="564">
        <v>242342.2</v>
      </c>
      <c r="M19" s="564">
        <v>514528.94</v>
      </c>
      <c r="N19" s="564">
        <v>493447.92</v>
      </c>
      <c r="O19" s="564">
        <v>656082.69999999995</v>
      </c>
      <c r="P19" s="572">
        <v>562171.93999999994</v>
      </c>
      <c r="Q19" s="670" t="s">
        <v>360</v>
      </c>
      <c r="R19" s="662"/>
      <c r="S19" s="662"/>
      <c r="T19" s="630"/>
      <c r="U19" s="665"/>
      <c r="V19" s="666"/>
    </row>
    <row r="20" spans="1:22" s="663" customFormat="1" x14ac:dyDescent="0.25">
      <c r="A20" s="669" t="s">
        <v>361</v>
      </c>
      <c r="B20" s="656">
        <f t="shared" si="1"/>
        <v>261619.57</v>
      </c>
      <c r="C20" s="564">
        <v>214945.93</v>
      </c>
      <c r="D20" s="564">
        <v>46673.64</v>
      </c>
      <c r="E20" s="564"/>
      <c r="F20" s="658">
        <f t="shared" si="2"/>
        <v>334453.19999999902</v>
      </c>
      <c r="G20" s="564">
        <v>304453.19999999902</v>
      </c>
      <c r="H20" s="564">
        <v>30000</v>
      </c>
      <c r="I20" s="564"/>
      <c r="J20" s="564">
        <v>200319</v>
      </c>
      <c r="K20" s="564">
        <v>212756.69</v>
      </c>
      <c r="L20" s="564">
        <v>387950.96</v>
      </c>
      <c r="M20" s="564">
        <v>717320.22</v>
      </c>
      <c r="N20" s="564">
        <v>832886.51</v>
      </c>
      <c r="O20" s="564">
        <v>757849.11</v>
      </c>
      <c r="P20" s="572">
        <v>748890.07</v>
      </c>
      <c r="Q20" s="670" t="s">
        <v>362</v>
      </c>
      <c r="R20" s="662"/>
      <c r="S20" s="662"/>
      <c r="T20" s="630"/>
      <c r="U20" s="665"/>
      <c r="V20" s="666"/>
    </row>
    <row r="21" spans="1:22" s="663" customFormat="1" x14ac:dyDescent="0.25">
      <c r="A21" s="669" t="s">
        <v>363</v>
      </c>
      <c r="B21" s="656">
        <f t="shared" si="1"/>
        <v>579951.42000000004</v>
      </c>
      <c r="C21" s="564">
        <v>490886.95</v>
      </c>
      <c r="D21" s="564">
        <v>89064.47</v>
      </c>
      <c r="E21" s="564"/>
      <c r="F21" s="658">
        <f t="shared" si="2"/>
        <v>825601.955752988</v>
      </c>
      <c r="G21" s="564">
        <v>746262.240152988</v>
      </c>
      <c r="H21" s="564">
        <v>79339.715599999996</v>
      </c>
      <c r="I21" s="564"/>
      <c r="J21" s="564">
        <v>101465</v>
      </c>
      <c r="K21" s="564">
        <v>96374.569999999992</v>
      </c>
      <c r="L21" s="564">
        <v>112240.23</v>
      </c>
      <c r="M21" s="564">
        <v>164197.39000000001</v>
      </c>
      <c r="N21" s="564">
        <v>337649.41</v>
      </c>
      <c r="O21" s="564">
        <v>317806.12</v>
      </c>
      <c r="P21" s="572">
        <v>288762.71999999997</v>
      </c>
      <c r="Q21" s="670" t="s">
        <v>364</v>
      </c>
      <c r="R21" s="662"/>
      <c r="S21" s="662"/>
      <c r="T21" s="630"/>
      <c r="U21" s="665"/>
      <c r="V21" s="666"/>
    </row>
    <row r="22" spans="1:22" s="663" customFormat="1" x14ac:dyDescent="0.25">
      <c r="A22" s="669" t="s">
        <v>365</v>
      </c>
      <c r="B22" s="656">
        <f t="shared" si="1"/>
        <v>302499.87</v>
      </c>
      <c r="C22" s="564">
        <v>302499.87</v>
      </c>
      <c r="D22" s="564" t="s">
        <v>117</v>
      </c>
      <c r="E22" s="564"/>
      <c r="F22" s="658">
        <f t="shared" si="2"/>
        <v>412799.74719999899</v>
      </c>
      <c r="G22" s="564">
        <v>408317.76999999897</v>
      </c>
      <c r="H22" s="564">
        <v>4481.9772000000003</v>
      </c>
      <c r="I22" s="564"/>
      <c r="J22" s="564">
        <v>39570</v>
      </c>
      <c r="K22" s="564">
        <v>54484.880000000005</v>
      </c>
      <c r="L22" s="564">
        <v>94363.97</v>
      </c>
      <c r="M22" s="564">
        <v>138161.99</v>
      </c>
      <c r="N22" s="564">
        <v>322104.03000000003</v>
      </c>
      <c r="O22" s="564">
        <v>363643</v>
      </c>
      <c r="P22" s="572">
        <v>386207.13</v>
      </c>
      <c r="Q22" s="670" t="s">
        <v>366</v>
      </c>
      <c r="R22" s="661"/>
      <c r="S22" s="662"/>
      <c r="T22" s="630"/>
      <c r="U22" s="665"/>
      <c r="V22" s="666"/>
    </row>
    <row r="23" spans="1:22" s="663" customFormat="1" x14ac:dyDescent="0.25">
      <c r="A23" s="669" t="s">
        <v>367</v>
      </c>
      <c r="B23" s="656">
        <f t="shared" si="1"/>
        <v>292081.84999999998</v>
      </c>
      <c r="C23" s="564">
        <v>292081.84999999998</v>
      </c>
      <c r="D23" s="564" t="s">
        <v>117</v>
      </c>
      <c r="E23" s="564"/>
      <c r="F23" s="658">
        <f t="shared" si="2"/>
        <v>513973.05439999897</v>
      </c>
      <c r="G23" s="564">
        <v>437241.40999999898</v>
      </c>
      <c r="H23" s="564">
        <v>76731.644400000005</v>
      </c>
      <c r="I23" s="564"/>
      <c r="J23" s="564">
        <v>101744</v>
      </c>
      <c r="K23" s="564">
        <v>92398.15</v>
      </c>
      <c r="L23" s="564">
        <v>126094.5</v>
      </c>
      <c r="M23" s="564">
        <v>148149.85999999999</v>
      </c>
      <c r="N23" s="564">
        <v>388530.81</v>
      </c>
      <c r="O23" s="564">
        <v>460771.71</v>
      </c>
      <c r="P23" s="572">
        <v>425730.96</v>
      </c>
      <c r="Q23" s="670" t="s">
        <v>368</v>
      </c>
      <c r="R23" s="661"/>
      <c r="S23" s="662"/>
      <c r="T23" s="630"/>
      <c r="U23" s="665"/>
      <c r="V23" s="666"/>
    </row>
    <row r="24" spans="1:22" s="663" customFormat="1" x14ac:dyDescent="0.25">
      <c r="A24" s="669" t="s">
        <v>369</v>
      </c>
      <c r="B24" s="656">
        <f t="shared" si="1"/>
        <v>344098.87</v>
      </c>
      <c r="C24" s="564">
        <v>343759.16</v>
      </c>
      <c r="D24" s="564">
        <v>339.71</v>
      </c>
      <c r="E24" s="564"/>
      <c r="F24" s="658">
        <f t="shared" si="2"/>
        <v>944159.81099999801</v>
      </c>
      <c r="G24" s="564">
        <v>815455.36099999805</v>
      </c>
      <c r="H24" s="564">
        <v>128704.45</v>
      </c>
      <c r="I24" s="564"/>
      <c r="J24" s="564">
        <v>895936</v>
      </c>
      <c r="K24" s="564">
        <v>845374.24999999988</v>
      </c>
      <c r="L24" s="564">
        <v>911462.87</v>
      </c>
      <c r="M24" s="564">
        <v>1389997.76</v>
      </c>
      <c r="N24" s="564">
        <v>1465242.43</v>
      </c>
      <c r="O24" s="564">
        <v>842342.01</v>
      </c>
      <c r="P24" s="572">
        <v>1064144.1000000001</v>
      </c>
      <c r="Q24" s="670" t="s">
        <v>370</v>
      </c>
      <c r="R24" s="662"/>
      <c r="S24" s="662"/>
      <c r="T24" s="630"/>
      <c r="U24" s="665"/>
      <c r="V24" s="666"/>
    </row>
    <row r="25" spans="1:22" s="663" customFormat="1" ht="5.25" customHeight="1" x14ac:dyDescent="0.25">
      <c r="A25" s="669"/>
      <c r="B25" s="656"/>
      <c r="C25" s="564"/>
      <c r="D25" s="564"/>
      <c r="E25" s="564"/>
      <c r="F25" s="658"/>
      <c r="G25" s="564"/>
      <c r="H25" s="564"/>
      <c r="I25" s="564"/>
      <c r="J25" s="564"/>
      <c r="K25" s="564"/>
      <c r="L25" s="564"/>
      <c r="M25" s="564"/>
      <c r="N25" s="564"/>
      <c r="O25" s="564"/>
      <c r="P25" s="564"/>
      <c r="Q25" s="670"/>
      <c r="R25" s="662"/>
      <c r="S25" s="662"/>
      <c r="T25" s="630"/>
      <c r="U25" s="665"/>
    </row>
    <row r="26" spans="1:22" s="663" customFormat="1" x14ac:dyDescent="0.25">
      <c r="A26" s="667" t="s">
        <v>296</v>
      </c>
      <c r="B26" s="656">
        <f t="shared" si="1"/>
        <v>7106429.0500000007</v>
      </c>
      <c r="C26" s="546">
        <f>SUM(C27:C42)</f>
        <v>6284627.4500000011</v>
      </c>
      <c r="D26" s="546">
        <f>SUM(D27:D42)</f>
        <v>821801.59999999986</v>
      </c>
      <c r="E26" s="546"/>
      <c r="F26" s="658">
        <f t="shared" si="2"/>
        <v>12000238.148601541</v>
      </c>
      <c r="G26" s="546">
        <f>SUM(G27:G42)</f>
        <v>9809041.0949015506</v>
      </c>
      <c r="H26" s="546">
        <f>SUM(H27:H42)</f>
        <v>2191197.0536999903</v>
      </c>
      <c r="I26" s="546"/>
      <c r="J26" s="546">
        <f t="shared" ref="J26:P26" si="5">SUM(J27:J42)</f>
        <v>41415958</v>
      </c>
      <c r="K26" s="546">
        <f t="shared" si="5"/>
        <v>40695134.079999633</v>
      </c>
      <c r="L26" s="546">
        <f t="shared" si="5"/>
        <v>47757008.690000013</v>
      </c>
      <c r="M26" s="546">
        <f t="shared" si="5"/>
        <v>55532820.669999994</v>
      </c>
      <c r="N26" s="546">
        <f t="shared" si="5"/>
        <v>60034554.979999997</v>
      </c>
      <c r="O26" s="546">
        <f t="shared" si="5"/>
        <v>69991758.379999995</v>
      </c>
      <c r="P26" s="546">
        <f t="shared" si="5"/>
        <v>73741273.559999987</v>
      </c>
      <c r="Q26" s="668" t="s">
        <v>297</v>
      </c>
      <c r="R26" s="662"/>
      <c r="S26" s="662"/>
      <c r="T26" s="630"/>
      <c r="U26" s="665"/>
    </row>
    <row r="27" spans="1:22" s="663" customFormat="1" x14ac:dyDescent="0.25">
      <c r="A27" s="669" t="s">
        <v>400</v>
      </c>
      <c r="B27" s="656">
        <f t="shared" si="1"/>
        <v>95314.95</v>
      </c>
      <c r="C27" s="564">
        <v>95314.95</v>
      </c>
      <c r="D27" s="564" t="s">
        <v>117</v>
      </c>
      <c r="E27" s="564"/>
      <c r="F27" s="658">
        <f t="shared" si="2"/>
        <v>63500.449999999903</v>
      </c>
      <c r="G27" s="564">
        <v>63500.449999999903</v>
      </c>
      <c r="H27" s="564" t="s">
        <v>117</v>
      </c>
      <c r="I27" s="564"/>
      <c r="J27" s="564">
        <v>0</v>
      </c>
      <c r="K27" s="564">
        <v>0</v>
      </c>
      <c r="L27" s="564">
        <v>0</v>
      </c>
      <c r="M27" s="564">
        <v>0</v>
      </c>
      <c r="N27" s="564">
        <v>0</v>
      </c>
      <c r="O27" s="564">
        <v>0</v>
      </c>
      <c r="P27" s="572">
        <v>0</v>
      </c>
      <c r="Q27" s="670" t="s">
        <v>846</v>
      </c>
      <c r="R27" s="661"/>
      <c r="S27" s="662"/>
      <c r="T27" s="630"/>
      <c r="U27" s="665"/>
    </row>
    <row r="28" spans="1:22" s="663" customFormat="1" x14ac:dyDescent="0.25">
      <c r="A28" s="669" t="s">
        <v>371</v>
      </c>
      <c r="B28" s="656">
        <f t="shared" si="1"/>
        <v>452032.37</v>
      </c>
      <c r="C28" s="564">
        <v>367593.98</v>
      </c>
      <c r="D28" s="564">
        <v>84438.39</v>
      </c>
      <c r="E28" s="564"/>
      <c r="F28" s="658">
        <f t="shared" si="2"/>
        <v>694259.26839999901</v>
      </c>
      <c r="G28" s="564">
        <v>683395.56999999902</v>
      </c>
      <c r="H28" s="564">
        <v>10863.698399999999</v>
      </c>
      <c r="I28" s="564"/>
      <c r="J28" s="564">
        <v>682594</v>
      </c>
      <c r="K28" s="564">
        <v>745573.58</v>
      </c>
      <c r="L28" s="564">
        <v>1156690.17</v>
      </c>
      <c r="M28" s="564">
        <v>2103689.0299999998</v>
      </c>
      <c r="N28" s="564">
        <v>1787015.55</v>
      </c>
      <c r="O28" s="564">
        <v>2133482.8199999998</v>
      </c>
      <c r="P28" s="572">
        <v>2460138.5</v>
      </c>
      <c r="Q28" s="670" t="s">
        <v>372</v>
      </c>
      <c r="R28" s="661"/>
      <c r="S28" s="662"/>
      <c r="T28" s="630"/>
      <c r="U28" s="665"/>
    </row>
    <row r="29" spans="1:22" s="663" customFormat="1" x14ac:dyDescent="0.25">
      <c r="A29" s="669" t="s">
        <v>373</v>
      </c>
      <c r="B29" s="656">
        <f t="shared" si="1"/>
        <v>110033.47</v>
      </c>
      <c r="C29" s="564">
        <v>110033.47</v>
      </c>
      <c r="D29" s="564" t="s">
        <v>117</v>
      </c>
      <c r="E29" s="564"/>
      <c r="F29" s="658">
        <f t="shared" si="2"/>
        <v>192094.84999999902</v>
      </c>
      <c r="G29" s="564">
        <v>174370.71999999901</v>
      </c>
      <c r="H29" s="564">
        <v>17724.13</v>
      </c>
      <c r="I29" s="564"/>
      <c r="J29" s="564">
        <v>52867</v>
      </c>
      <c r="K29" s="564">
        <v>59868.97</v>
      </c>
      <c r="L29" s="564">
        <v>83180.509999999995</v>
      </c>
      <c r="M29" s="564">
        <v>183434.67</v>
      </c>
      <c r="N29" s="564">
        <v>259759.1</v>
      </c>
      <c r="O29" s="564">
        <v>330386.62</v>
      </c>
      <c r="P29" s="572">
        <v>277371.86</v>
      </c>
      <c r="Q29" s="670" t="s">
        <v>374</v>
      </c>
      <c r="R29" s="661"/>
      <c r="S29" s="662"/>
      <c r="T29" s="630"/>
      <c r="U29" s="665"/>
    </row>
    <row r="30" spans="1:22" s="663" customFormat="1" x14ac:dyDescent="0.25">
      <c r="A30" s="669" t="s">
        <v>375</v>
      </c>
      <c r="B30" s="656">
        <f t="shared" si="1"/>
        <v>256222.99</v>
      </c>
      <c r="C30" s="564">
        <v>206592.87</v>
      </c>
      <c r="D30" s="564">
        <v>49630.12</v>
      </c>
      <c r="E30" s="564"/>
      <c r="F30" s="658">
        <f t="shared" si="2"/>
        <v>503303.03020154894</v>
      </c>
      <c r="G30" s="564">
        <v>325417.06020154897</v>
      </c>
      <c r="H30" s="564">
        <v>177885.97</v>
      </c>
      <c r="I30" s="564"/>
      <c r="J30" s="564">
        <v>79964</v>
      </c>
      <c r="K30" s="564">
        <v>78356.459999999992</v>
      </c>
      <c r="L30" s="564">
        <v>78203.05</v>
      </c>
      <c r="M30" s="564">
        <v>71519.429999999993</v>
      </c>
      <c r="N30" s="564">
        <v>267006.81</v>
      </c>
      <c r="O30" s="564">
        <v>252820.28</v>
      </c>
      <c r="P30" s="572">
        <v>396676.23</v>
      </c>
      <c r="Q30" s="670" t="s">
        <v>376</v>
      </c>
      <c r="R30" s="661"/>
      <c r="S30" s="662"/>
      <c r="U30" s="665"/>
      <c r="V30" s="666"/>
    </row>
    <row r="31" spans="1:22" s="663" customFormat="1" x14ac:dyDescent="0.25">
      <c r="A31" s="669" t="s">
        <v>377</v>
      </c>
      <c r="B31" s="656">
        <f t="shared" si="1"/>
        <v>167705.93</v>
      </c>
      <c r="C31" s="564">
        <v>167705.93</v>
      </c>
      <c r="D31" s="564" t="s">
        <v>117</v>
      </c>
      <c r="E31" s="564"/>
      <c r="F31" s="658">
        <f t="shared" si="2"/>
        <v>102189.14</v>
      </c>
      <c r="G31" s="564">
        <v>102189.14</v>
      </c>
      <c r="H31" s="564" t="s">
        <v>117</v>
      </c>
      <c r="I31" s="564"/>
      <c r="J31" s="564">
        <v>91451</v>
      </c>
      <c r="K31" s="564">
        <v>99870</v>
      </c>
      <c r="L31" s="564">
        <v>153295</v>
      </c>
      <c r="M31" s="564">
        <v>215791.45</v>
      </c>
      <c r="N31" s="564">
        <v>259951.67</v>
      </c>
      <c r="O31" s="564">
        <v>266597.32</v>
      </c>
      <c r="P31" s="572">
        <v>213079.28</v>
      </c>
      <c r="Q31" s="670" t="s">
        <v>378</v>
      </c>
      <c r="R31" s="661"/>
      <c r="S31" s="662"/>
      <c r="U31" s="662"/>
    </row>
    <row r="32" spans="1:22" s="663" customFormat="1" x14ac:dyDescent="0.25">
      <c r="A32" s="669" t="s">
        <v>379</v>
      </c>
      <c r="B32" s="656">
        <f t="shared" si="1"/>
        <v>104294.02</v>
      </c>
      <c r="C32" s="564">
        <v>104294.02</v>
      </c>
      <c r="D32" s="564" t="s">
        <v>117</v>
      </c>
      <c r="E32" s="564"/>
      <c r="F32" s="658">
        <f t="shared" si="2"/>
        <v>255633.66</v>
      </c>
      <c r="G32" s="564">
        <v>250403.66</v>
      </c>
      <c r="H32" s="564">
        <v>5230</v>
      </c>
      <c r="I32" s="564"/>
      <c r="J32" s="564">
        <v>228855</v>
      </c>
      <c r="K32" s="564">
        <v>308510.25</v>
      </c>
      <c r="L32" s="564">
        <v>334725</v>
      </c>
      <c r="M32" s="564">
        <v>589297.11</v>
      </c>
      <c r="N32" s="564">
        <v>1009854</v>
      </c>
      <c r="O32" s="564">
        <v>851744.11</v>
      </c>
      <c r="P32" s="572">
        <v>1151602.6399999999</v>
      </c>
      <c r="Q32" s="670" t="s">
        <v>380</v>
      </c>
      <c r="R32" s="661"/>
      <c r="S32" s="662"/>
      <c r="U32" s="662"/>
    </row>
    <row r="33" spans="1:21" s="663" customFormat="1" x14ac:dyDescent="0.25">
      <c r="A33" s="669" t="s">
        <v>381</v>
      </c>
      <c r="B33" s="656">
        <f t="shared" si="1"/>
        <v>214683.41999999998</v>
      </c>
      <c r="C33" s="564">
        <v>194455</v>
      </c>
      <c r="D33" s="564">
        <v>20228.419999999998</v>
      </c>
      <c r="E33" s="564"/>
      <c r="F33" s="658">
        <f t="shared" si="2"/>
        <v>387826.4</v>
      </c>
      <c r="G33" s="564">
        <v>357826.4</v>
      </c>
      <c r="H33" s="564">
        <v>30000</v>
      </c>
      <c r="I33" s="564"/>
      <c r="J33" s="564">
        <v>367892</v>
      </c>
      <c r="K33" s="564">
        <v>316773</v>
      </c>
      <c r="L33" s="564">
        <v>537847.75</v>
      </c>
      <c r="M33" s="564">
        <v>737642.33</v>
      </c>
      <c r="N33" s="564">
        <v>897913.32</v>
      </c>
      <c r="O33" s="564">
        <v>1130631.79</v>
      </c>
      <c r="P33" s="572">
        <v>966143.65</v>
      </c>
      <c r="Q33" s="670" t="s">
        <v>382</v>
      </c>
      <c r="R33" s="661"/>
      <c r="S33" s="662"/>
      <c r="U33" s="662"/>
    </row>
    <row r="34" spans="1:21" s="663" customFormat="1" x14ac:dyDescent="0.25">
      <c r="A34" s="669" t="s">
        <v>383</v>
      </c>
      <c r="B34" s="656">
        <f t="shared" si="1"/>
        <v>455976.73</v>
      </c>
      <c r="C34" s="564">
        <v>437107.68</v>
      </c>
      <c r="D34" s="564">
        <v>18869.05</v>
      </c>
      <c r="E34" s="564"/>
      <c r="F34" s="658">
        <f t="shared" si="2"/>
        <v>798275.07999999903</v>
      </c>
      <c r="G34" s="564">
        <v>662817.30999999901</v>
      </c>
      <c r="H34" s="564">
        <v>135457.76999999999</v>
      </c>
      <c r="I34" s="564"/>
      <c r="J34" s="564">
        <v>835174</v>
      </c>
      <c r="K34" s="564">
        <v>616901.66999999899</v>
      </c>
      <c r="L34" s="564">
        <v>857834.76</v>
      </c>
      <c r="M34" s="564">
        <v>1580819.32</v>
      </c>
      <c r="N34" s="564">
        <v>1737050.39</v>
      </c>
      <c r="O34" s="564">
        <v>1871299.52</v>
      </c>
      <c r="P34" s="572">
        <v>1762448.98</v>
      </c>
      <c r="Q34" s="670" t="s">
        <v>384</v>
      </c>
      <c r="R34" s="661"/>
      <c r="S34" s="662"/>
      <c r="U34" s="662"/>
    </row>
    <row r="35" spans="1:21" s="663" customFormat="1" x14ac:dyDescent="0.25">
      <c r="A35" s="669" t="s">
        <v>385</v>
      </c>
      <c r="B35" s="656">
        <f t="shared" si="1"/>
        <v>192051.53</v>
      </c>
      <c r="C35" s="564">
        <v>192051.53</v>
      </c>
      <c r="D35" s="564" t="s">
        <v>117</v>
      </c>
      <c r="E35" s="564"/>
      <c r="F35" s="658">
        <f t="shared" si="2"/>
        <v>354499.43299999897</v>
      </c>
      <c r="G35" s="564">
        <v>350700.83999999898</v>
      </c>
      <c r="H35" s="564">
        <v>3798.5929999999998</v>
      </c>
      <c r="I35" s="564"/>
      <c r="J35" s="564">
        <v>130348</v>
      </c>
      <c r="K35" s="564">
        <v>117230.5</v>
      </c>
      <c r="L35" s="564">
        <v>118700</v>
      </c>
      <c r="M35" s="564">
        <v>191866.23999999999</v>
      </c>
      <c r="N35" s="564">
        <v>468932.15</v>
      </c>
      <c r="O35" s="564">
        <v>638696.17000000004</v>
      </c>
      <c r="P35" s="572">
        <v>679510.68</v>
      </c>
      <c r="Q35" s="670" t="s">
        <v>386</v>
      </c>
      <c r="R35" s="661"/>
      <c r="S35" s="662"/>
      <c r="U35" s="662"/>
    </row>
    <row r="36" spans="1:21" s="663" customFormat="1" x14ac:dyDescent="0.25">
      <c r="A36" s="669" t="s">
        <v>387</v>
      </c>
      <c r="B36" s="656">
        <f t="shared" si="1"/>
        <v>91988.78</v>
      </c>
      <c r="C36" s="564">
        <v>91988.78</v>
      </c>
      <c r="D36" s="564" t="s">
        <v>117</v>
      </c>
      <c r="E36" s="564"/>
      <c r="F36" s="658">
        <f t="shared" si="2"/>
        <v>91237.419999999896</v>
      </c>
      <c r="G36" s="564">
        <v>56412.729999999901</v>
      </c>
      <c r="H36" s="564">
        <v>34824.69</v>
      </c>
      <c r="I36" s="564"/>
      <c r="J36" s="564">
        <v>0</v>
      </c>
      <c r="K36" s="564">
        <v>0</v>
      </c>
      <c r="L36" s="564">
        <v>0</v>
      </c>
      <c r="M36" s="564">
        <v>0</v>
      </c>
      <c r="N36" s="564">
        <v>0</v>
      </c>
      <c r="O36" s="564">
        <v>0</v>
      </c>
      <c r="P36" s="572">
        <v>0</v>
      </c>
      <c r="Q36" s="670" t="s">
        <v>388</v>
      </c>
      <c r="R36" s="662"/>
      <c r="S36" s="662"/>
      <c r="U36" s="662"/>
    </row>
    <row r="37" spans="1:21" s="663" customFormat="1" x14ac:dyDescent="0.25">
      <c r="A37" s="669" t="s">
        <v>389</v>
      </c>
      <c r="B37" s="656">
        <f t="shared" si="1"/>
        <v>3403955.4699999997</v>
      </c>
      <c r="C37" s="564">
        <v>2925725.28</v>
      </c>
      <c r="D37" s="564">
        <v>478230.19</v>
      </c>
      <c r="E37" s="564"/>
      <c r="F37" s="658">
        <f t="shared" si="2"/>
        <v>5494395.033499999</v>
      </c>
      <c r="G37" s="564">
        <v>4397129.5527000092</v>
      </c>
      <c r="H37" s="564">
        <v>1097265.48079999</v>
      </c>
      <c r="I37" s="564"/>
      <c r="J37" s="564">
        <v>37017744</v>
      </c>
      <c r="K37" s="564">
        <v>36509577.75999964</v>
      </c>
      <c r="L37" s="564">
        <v>42500703.460000001</v>
      </c>
      <c r="M37" s="564">
        <v>46939884.149999999</v>
      </c>
      <c r="N37" s="564">
        <v>49614847.119999997</v>
      </c>
      <c r="O37" s="564">
        <v>58400381.670000002</v>
      </c>
      <c r="P37" s="572">
        <v>61174426.289999999</v>
      </c>
      <c r="Q37" s="670" t="s">
        <v>390</v>
      </c>
      <c r="R37" s="661"/>
      <c r="S37" s="662"/>
      <c r="U37" s="662"/>
    </row>
    <row r="38" spans="1:21" s="663" customFormat="1" x14ac:dyDescent="0.25">
      <c r="A38" s="669" t="s">
        <v>391</v>
      </c>
      <c r="B38" s="656">
        <f t="shared" si="1"/>
        <v>198563.24</v>
      </c>
      <c r="C38" s="564">
        <v>197573.66</v>
      </c>
      <c r="D38" s="564">
        <v>989.58</v>
      </c>
      <c r="E38" s="564"/>
      <c r="F38" s="658">
        <f t="shared" si="2"/>
        <v>633238.87170000002</v>
      </c>
      <c r="G38" s="564">
        <v>451452.56</v>
      </c>
      <c r="H38" s="564">
        <v>181786.31169999999</v>
      </c>
      <c r="I38" s="564"/>
      <c r="J38" s="564">
        <v>248590</v>
      </c>
      <c r="K38" s="564">
        <v>243955.98</v>
      </c>
      <c r="L38" s="564">
        <v>290414.17</v>
      </c>
      <c r="M38" s="564">
        <v>460509.17</v>
      </c>
      <c r="N38" s="564">
        <v>828111.26</v>
      </c>
      <c r="O38" s="564">
        <v>785594.33</v>
      </c>
      <c r="P38" s="572">
        <v>769185.3</v>
      </c>
      <c r="Q38" s="670" t="s">
        <v>392</v>
      </c>
      <c r="R38" s="661"/>
      <c r="S38" s="662"/>
      <c r="U38" s="662"/>
    </row>
    <row r="39" spans="1:21" s="663" customFormat="1" x14ac:dyDescent="0.25">
      <c r="A39" s="669" t="s">
        <v>393</v>
      </c>
      <c r="B39" s="656">
        <f t="shared" si="1"/>
        <v>189081.41</v>
      </c>
      <c r="C39" s="564">
        <v>189081.41</v>
      </c>
      <c r="D39" s="564" t="s">
        <v>117</v>
      </c>
      <c r="E39" s="564"/>
      <c r="F39" s="658">
        <f t="shared" si="2"/>
        <v>495462.94019999902</v>
      </c>
      <c r="G39" s="564">
        <v>359949.97199999902</v>
      </c>
      <c r="H39" s="564">
        <v>135512.9682</v>
      </c>
      <c r="I39" s="564"/>
      <c r="J39" s="564">
        <v>554206</v>
      </c>
      <c r="K39" s="564">
        <v>246971.9</v>
      </c>
      <c r="L39" s="564">
        <v>190844.34</v>
      </c>
      <c r="M39" s="564">
        <v>371840.32</v>
      </c>
      <c r="N39" s="564">
        <v>474984.73</v>
      </c>
      <c r="O39" s="564">
        <v>468786.28</v>
      </c>
      <c r="P39" s="572">
        <v>861263.74</v>
      </c>
      <c r="Q39" s="670" t="s">
        <v>394</v>
      </c>
      <c r="R39" s="662"/>
      <c r="S39" s="662"/>
      <c r="U39" s="662"/>
    </row>
    <row r="40" spans="1:21" s="663" customFormat="1" x14ac:dyDescent="0.25">
      <c r="A40" s="669" t="s">
        <v>395</v>
      </c>
      <c r="B40" s="656">
        <f t="shared" si="1"/>
        <v>662232.36</v>
      </c>
      <c r="C40" s="564">
        <v>608307.62</v>
      </c>
      <c r="D40" s="564">
        <v>53924.74</v>
      </c>
      <c r="E40" s="564"/>
      <c r="F40" s="658">
        <f t="shared" si="2"/>
        <v>1251462.2147999979</v>
      </c>
      <c r="G40" s="564">
        <v>904769.56999999797</v>
      </c>
      <c r="H40" s="564">
        <v>346692.64480000001</v>
      </c>
      <c r="I40" s="564"/>
      <c r="J40" s="564">
        <v>243895</v>
      </c>
      <c r="K40" s="564">
        <v>405834.62</v>
      </c>
      <c r="L40" s="564">
        <v>362644.81</v>
      </c>
      <c r="M40" s="564">
        <v>668781.98</v>
      </c>
      <c r="N40" s="564">
        <v>813192.78</v>
      </c>
      <c r="O40" s="564">
        <v>812709.25</v>
      </c>
      <c r="P40" s="572">
        <v>950747.17</v>
      </c>
      <c r="Q40" s="670" t="s">
        <v>396</v>
      </c>
      <c r="R40" s="662"/>
      <c r="S40" s="662"/>
      <c r="U40" s="662"/>
    </row>
    <row r="41" spans="1:21" s="663" customFormat="1" x14ac:dyDescent="0.25">
      <c r="A41" s="669" t="s">
        <v>397</v>
      </c>
      <c r="B41" s="656">
        <f t="shared" si="1"/>
        <v>107899.87</v>
      </c>
      <c r="C41" s="564">
        <v>107899.87</v>
      </c>
      <c r="D41" s="564" t="s">
        <v>117</v>
      </c>
      <c r="E41" s="564"/>
      <c r="F41" s="658">
        <f t="shared" si="2"/>
        <v>165431.25</v>
      </c>
      <c r="G41" s="564">
        <v>165431.25</v>
      </c>
      <c r="H41" s="564" t="s">
        <v>117</v>
      </c>
      <c r="I41" s="564"/>
      <c r="J41" s="564">
        <v>0</v>
      </c>
      <c r="K41" s="564">
        <v>0</v>
      </c>
      <c r="L41" s="564">
        <v>0</v>
      </c>
      <c r="M41" s="564">
        <v>0</v>
      </c>
      <c r="N41" s="564">
        <v>0</v>
      </c>
      <c r="O41" s="564">
        <v>0</v>
      </c>
      <c r="P41" s="572">
        <v>0</v>
      </c>
      <c r="Q41" s="670" t="s">
        <v>398</v>
      </c>
      <c r="R41" s="662"/>
      <c r="S41" s="662"/>
      <c r="U41" s="662"/>
    </row>
    <row r="42" spans="1:21" s="663" customFormat="1" x14ac:dyDescent="0.25">
      <c r="A42" s="669" t="s">
        <v>399</v>
      </c>
      <c r="B42" s="656">
        <f t="shared" si="1"/>
        <v>404392.51</v>
      </c>
      <c r="C42" s="564">
        <v>288901.40000000002</v>
      </c>
      <c r="D42" s="564">
        <v>115491.11</v>
      </c>
      <c r="E42" s="564"/>
      <c r="F42" s="658">
        <f t="shared" si="2"/>
        <v>517429.10680000001</v>
      </c>
      <c r="G42" s="564">
        <v>503274.31</v>
      </c>
      <c r="H42" s="564">
        <v>14154.7968</v>
      </c>
      <c r="I42" s="564"/>
      <c r="J42" s="564">
        <v>882378</v>
      </c>
      <c r="K42" s="564">
        <v>945709.39</v>
      </c>
      <c r="L42" s="564">
        <v>1091925.67</v>
      </c>
      <c r="M42" s="564">
        <v>1417745.47</v>
      </c>
      <c r="N42" s="564">
        <v>1615936.1</v>
      </c>
      <c r="O42" s="564">
        <v>2048628.22</v>
      </c>
      <c r="P42" s="572">
        <v>2078679.24</v>
      </c>
      <c r="Q42" s="670" t="s">
        <v>401</v>
      </c>
      <c r="R42" s="662"/>
      <c r="S42" s="662"/>
      <c r="U42" s="662"/>
    </row>
    <row r="43" spans="1:21" s="663" customFormat="1" ht="9.75" customHeight="1" x14ac:dyDescent="0.25">
      <c r="A43" s="669"/>
      <c r="B43" s="656"/>
      <c r="C43" s="564"/>
      <c r="D43" s="564"/>
      <c r="E43" s="564"/>
      <c r="F43" s="658"/>
      <c r="G43" s="564"/>
      <c r="H43" s="564"/>
      <c r="I43" s="564"/>
      <c r="J43" s="564"/>
      <c r="K43" s="564"/>
      <c r="L43" s="564"/>
      <c r="M43" s="564"/>
      <c r="N43" s="564"/>
      <c r="O43" s="564"/>
      <c r="P43" s="564"/>
      <c r="Q43" s="670"/>
      <c r="R43" s="662"/>
      <c r="S43" s="662"/>
      <c r="U43" s="662"/>
    </row>
    <row r="44" spans="1:21" s="663" customFormat="1" x14ac:dyDescent="0.25">
      <c r="A44" s="667" t="s">
        <v>298</v>
      </c>
      <c r="B44" s="656">
        <f t="shared" si="1"/>
        <v>3439443.8099999996</v>
      </c>
      <c r="C44" s="546">
        <f>SUM(C45:C60)</f>
        <v>3087992.8899999997</v>
      </c>
      <c r="D44" s="546">
        <f>SUM(D45:D60)</f>
        <v>351450.92</v>
      </c>
      <c r="E44" s="546"/>
      <c r="F44" s="658">
        <f t="shared" si="2"/>
        <v>5706671.2631579963</v>
      </c>
      <c r="G44" s="546">
        <f>SUM(G45:G60)</f>
        <v>4973565.9746579966</v>
      </c>
      <c r="H44" s="546">
        <f>SUM(H45:H60)</f>
        <v>733105.28850000002</v>
      </c>
      <c r="I44" s="546"/>
      <c r="J44" s="546">
        <f t="shared" ref="J44:P44" si="6">SUM(J45:J60)</f>
        <v>13338409</v>
      </c>
      <c r="K44" s="546">
        <f t="shared" si="6"/>
        <v>13893985.419999983</v>
      </c>
      <c r="L44" s="546">
        <f t="shared" si="6"/>
        <v>18573633.77</v>
      </c>
      <c r="M44" s="546">
        <f t="shared" si="6"/>
        <v>22929493.009999998</v>
      </c>
      <c r="N44" s="546">
        <f t="shared" si="6"/>
        <v>21043099.035</v>
      </c>
      <c r="O44" s="546">
        <f t="shared" si="6"/>
        <v>22385644.167000003</v>
      </c>
      <c r="P44" s="546">
        <f t="shared" si="6"/>
        <v>24133600.374000002</v>
      </c>
      <c r="Q44" s="668" t="s">
        <v>299</v>
      </c>
      <c r="R44" s="661"/>
      <c r="S44" s="662"/>
      <c r="U44" s="662"/>
    </row>
    <row r="45" spans="1:21" s="663" customFormat="1" x14ac:dyDescent="0.25">
      <c r="A45" s="669" t="s">
        <v>402</v>
      </c>
      <c r="B45" s="656">
        <f t="shared" si="1"/>
        <v>325198.41000000003</v>
      </c>
      <c r="C45" s="564">
        <v>283675.89</v>
      </c>
      <c r="D45" s="564">
        <v>41522.519999999997</v>
      </c>
      <c r="E45" s="564"/>
      <c r="F45" s="658">
        <f t="shared" si="2"/>
        <v>496255.66079999891</v>
      </c>
      <c r="G45" s="564">
        <v>437757.27999999892</v>
      </c>
      <c r="H45" s="564">
        <v>58498.380799999999</v>
      </c>
      <c r="I45" s="564"/>
      <c r="J45" s="564">
        <v>1086023</v>
      </c>
      <c r="K45" s="564">
        <v>1247248.399999998</v>
      </c>
      <c r="L45" s="564">
        <v>1916814.11</v>
      </c>
      <c r="M45" s="564">
        <v>2005957.3</v>
      </c>
      <c r="N45" s="564">
        <v>1443174.78</v>
      </c>
      <c r="O45" s="564">
        <v>1630262.93</v>
      </c>
      <c r="P45" s="572">
        <v>1812646.6440000001</v>
      </c>
      <c r="Q45" s="670" t="s">
        <v>403</v>
      </c>
      <c r="R45" s="661"/>
      <c r="S45" s="662"/>
      <c r="U45" s="662"/>
    </row>
    <row r="46" spans="1:21" s="663" customFormat="1" x14ac:dyDescent="0.25">
      <c r="A46" s="669" t="s">
        <v>404</v>
      </c>
      <c r="B46" s="656">
        <f t="shared" si="1"/>
        <v>99181.01</v>
      </c>
      <c r="C46" s="564">
        <v>99181.01</v>
      </c>
      <c r="D46" s="564" t="s">
        <v>117</v>
      </c>
      <c r="E46" s="564"/>
      <c r="F46" s="658">
        <f t="shared" si="2"/>
        <v>72402.23000000001</v>
      </c>
      <c r="G46" s="564">
        <v>72402.23000000001</v>
      </c>
      <c r="H46" s="564" t="s">
        <v>117</v>
      </c>
      <c r="I46" s="564"/>
      <c r="J46" s="564">
        <v>0</v>
      </c>
      <c r="K46" s="564">
        <v>0</v>
      </c>
      <c r="L46" s="564">
        <v>0</v>
      </c>
      <c r="M46" s="564">
        <v>146172.37</v>
      </c>
      <c r="N46" s="564">
        <v>149908.75</v>
      </c>
      <c r="O46" s="564">
        <v>148612.51999999999</v>
      </c>
      <c r="P46" s="572">
        <v>160738.84</v>
      </c>
      <c r="Q46" s="670" t="s">
        <v>405</v>
      </c>
      <c r="R46" s="661"/>
      <c r="S46" s="662"/>
      <c r="U46" s="662"/>
    </row>
    <row r="47" spans="1:21" s="663" customFormat="1" x14ac:dyDescent="0.25">
      <c r="A47" s="669" t="s">
        <v>406</v>
      </c>
      <c r="B47" s="656">
        <f t="shared" si="1"/>
        <v>125736.98</v>
      </c>
      <c r="C47" s="564">
        <v>125736.98</v>
      </c>
      <c r="D47" s="564" t="s">
        <v>117</v>
      </c>
      <c r="E47" s="564"/>
      <c r="F47" s="658">
        <f t="shared" si="2"/>
        <v>286547.14110000001</v>
      </c>
      <c r="G47" s="564">
        <v>238433.61</v>
      </c>
      <c r="H47" s="564">
        <v>48113.5311</v>
      </c>
      <c r="I47" s="564"/>
      <c r="J47" s="564">
        <v>143620</v>
      </c>
      <c r="K47" s="564">
        <v>60400</v>
      </c>
      <c r="L47" s="564">
        <v>162856.45000000001</v>
      </c>
      <c r="M47" s="564">
        <v>566642.56000000006</v>
      </c>
      <c r="N47" s="564">
        <v>511234.82</v>
      </c>
      <c r="O47" s="564">
        <v>650941.06999999995</v>
      </c>
      <c r="P47" s="572">
        <v>665654.6</v>
      </c>
      <c r="Q47" s="670" t="s">
        <v>407</v>
      </c>
      <c r="R47" s="661"/>
      <c r="S47" s="662"/>
      <c r="U47" s="662"/>
    </row>
    <row r="48" spans="1:21" s="663" customFormat="1" x14ac:dyDescent="0.25">
      <c r="A48" s="669" t="s">
        <v>408</v>
      </c>
      <c r="B48" s="656">
        <f t="shared" si="1"/>
        <v>217112.57</v>
      </c>
      <c r="C48" s="564">
        <v>198753.71</v>
      </c>
      <c r="D48" s="564">
        <v>18358.86</v>
      </c>
      <c r="E48" s="564"/>
      <c r="F48" s="658">
        <f t="shared" si="2"/>
        <v>250205.03000000003</v>
      </c>
      <c r="G48" s="564">
        <v>219512.05000000002</v>
      </c>
      <c r="H48" s="564">
        <v>30692.98</v>
      </c>
      <c r="I48" s="564"/>
      <c r="J48" s="564">
        <v>307166</v>
      </c>
      <c r="K48" s="564">
        <v>301428.179999999</v>
      </c>
      <c r="L48" s="564">
        <v>376774.56</v>
      </c>
      <c r="M48" s="564">
        <v>929150.15</v>
      </c>
      <c r="N48" s="564">
        <v>917681.68</v>
      </c>
      <c r="O48" s="564">
        <v>980123.32</v>
      </c>
      <c r="P48" s="572">
        <v>1073354.96</v>
      </c>
      <c r="Q48" s="670" t="s">
        <v>409</v>
      </c>
      <c r="R48" s="661"/>
      <c r="S48" s="662"/>
      <c r="U48" s="662"/>
    </row>
    <row r="49" spans="1:21" s="663" customFormat="1" x14ac:dyDescent="0.25">
      <c r="A49" s="669" t="s">
        <v>410</v>
      </c>
      <c r="B49" s="656">
        <f t="shared" si="1"/>
        <v>192012.15</v>
      </c>
      <c r="C49" s="564">
        <v>192012.15</v>
      </c>
      <c r="D49" s="564" t="s">
        <v>117</v>
      </c>
      <c r="E49" s="564"/>
      <c r="F49" s="658">
        <f t="shared" si="2"/>
        <v>231132.389999999</v>
      </c>
      <c r="G49" s="564">
        <v>231132.389999999</v>
      </c>
      <c r="H49" s="564" t="s">
        <v>117</v>
      </c>
      <c r="I49" s="564"/>
      <c r="J49" s="564">
        <v>189933</v>
      </c>
      <c r="K49" s="564">
        <v>166399.39000000001</v>
      </c>
      <c r="L49" s="564">
        <v>438753.18</v>
      </c>
      <c r="M49" s="564">
        <v>424495.77</v>
      </c>
      <c r="N49" s="564">
        <v>346459.08</v>
      </c>
      <c r="O49" s="564">
        <v>417963.14</v>
      </c>
      <c r="P49" s="572">
        <v>386112.08</v>
      </c>
      <c r="Q49" s="670" t="s">
        <v>411</v>
      </c>
      <c r="R49" s="661"/>
      <c r="S49" s="662"/>
      <c r="U49" s="662"/>
    </row>
    <row r="50" spans="1:21" s="663" customFormat="1" x14ac:dyDescent="0.25">
      <c r="A50" s="669" t="s">
        <v>412</v>
      </c>
      <c r="B50" s="656">
        <f t="shared" si="1"/>
        <v>111720.7</v>
      </c>
      <c r="C50" s="564">
        <v>111720.7</v>
      </c>
      <c r="D50" s="564" t="s">
        <v>117</v>
      </c>
      <c r="E50" s="564"/>
      <c r="F50" s="658">
        <f t="shared" si="2"/>
        <v>304725.88219999999</v>
      </c>
      <c r="G50" s="564">
        <v>220927.28</v>
      </c>
      <c r="H50" s="564">
        <v>83798.602199999994</v>
      </c>
      <c r="I50" s="564"/>
      <c r="J50" s="564">
        <v>183294</v>
      </c>
      <c r="K50" s="564">
        <v>160865</v>
      </c>
      <c r="L50" s="564">
        <v>205963.96</v>
      </c>
      <c r="M50" s="564">
        <v>656631.29</v>
      </c>
      <c r="N50" s="564">
        <v>722529.7</v>
      </c>
      <c r="O50" s="564">
        <v>720896.40700000001</v>
      </c>
      <c r="P50" s="572">
        <v>870337.48</v>
      </c>
      <c r="Q50" s="670" t="s">
        <v>413</v>
      </c>
      <c r="R50" s="662"/>
      <c r="S50" s="662"/>
      <c r="U50" s="662"/>
    </row>
    <row r="51" spans="1:21" s="663" customFormat="1" x14ac:dyDescent="0.25">
      <c r="A51" s="669" t="s">
        <v>414</v>
      </c>
      <c r="B51" s="656">
        <f t="shared" si="1"/>
        <v>186580.43</v>
      </c>
      <c r="C51" s="564">
        <v>113420.44</v>
      </c>
      <c r="D51" s="564">
        <v>73159.990000000005</v>
      </c>
      <c r="E51" s="564"/>
      <c r="F51" s="658">
        <f t="shared" si="2"/>
        <v>300020.4942999999</v>
      </c>
      <c r="G51" s="564">
        <v>257836.22999999998</v>
      </c>
      <c r="H51" s="564">
        <v>42184.264299999901</v>
      </c>
      <c r="I51" s="564"/>
      <c r="J51" s="564">
        <v>634873</v>
      </c>
      <c r="K51" s="564">
        <v>984003.61</v>
      </c>
      <c r="L51" s="564">
        <v>1442908.87</v>
      </c>
      <c r="M51" s="564">
        <v>1660194.03</v>
      </c>
      <c r="N51" s="564">
        <v>1650789.19</v>
      </c>
      <c r="O51" s="564">
        <v>1929943.71</v>
      </c>
      <c r="P51" s="572">
        <v>1913496.75</v>
      </c>
      <c r="Q51" s="670" t="s">
        <v>415</v>
      </c>
      <c r="R51" s="662"/>
      <c r="S51" s="662"/>
      <c r="U51" s="662"/>
    </row>
    <row r="52" spans="1:21" s="663" customFormat="1" x14ac:dyDescent="0.25">
      <c r="A52" s="669" t="s">
        <v>416</v>
      </c>
      <c r="B52" s="656">
        <f t="shared" si="1"/>
        <v>42546.92</v>
      </c>
      <c r="C52" s="564">
        <v>42546.92</v>
      </c>
      <c r="D52" s="564" t="s">
        <v>117</v>
      </c>
      <c r="E52" s="564"/>
      <c r="F52" s="658">
        <f t="shared" si="2"/>
        <v>52669.2</v>
      </c>
      <c r="G52" s="564">
        <v>52669.2</v>
      </c>
      <c r="H52" s="564" t="s">
        <v>117</v>
      </c>
      <c r="I52" s="564"/>
      <c r="J52" s="564">
        <v>99001</v>
      </c>
      <c r="K52" s="564">
        <v>174935</v>
      </c>
      <c r="L52" s="564">
        <v>107673</v>
      </c>
      <c r="M52" s="564">
        <v>366538.72</v>
      </c>
      <c r="N52" s="564">
        <v>471272.28</v>
      </c>
      <c r="O52" s="564">
        <v>336028.48</v>
      </c>
      <c r="P52" s="572">
        <v>483079.25</v>
      </c>
      <c r="Q52" s="670" t="s">
        <v>417</v>
      </c>
      <c r="R52" s="662"/>
      <c r="S52" s="662"/>
      <c r="U52" s="662"/>
    </row>
    <row r="53" spans="1:21" s="663" customFormat="1" x14ac:dyDescent="0.25">
      <c r="A53" s="669" t="s">
        <v>847</v>
      </c>
      <c r="B53" s="656">
        <f t="shared" si="1"/>
        <v>17582.77</v>
      </c>
      <c r="C53" s="564">
        <v>17582.77</v>
      </c>
      <c r="D53" s="564" t="s">
        <v>117</v>
      </c>
      <c r="E53" s="564"/>
      <c r="F53" s="658">
        <f t="shared" si="2"/>
        <v>15962.33</v>
      </c>
      <c r="G53" s="564">
        <v>15962.33</v>
      </c>
      <c r="H53" s="564" t="s">
        <v>117</v>
      </c>
      <c r="I53" s="564"/>
      <c r="J53" s="564">
        <v>0</v>
      </c>
      <c r="K53" s="564">
        <v>0</v>
      </c>
      <c r="L53" s="564">
        <v>0</v>
      </c>
      <c r="M53" s="564">
        <v>0</v>
      </c>
      <c r="N53" s="564">
        <v>0</v>
      </c>
      <c r="O53" s="564">
        <v>0</v>
      </c>
      <c r="P53" s="572">
        <v>0</v>
      </c>
      <c r="Q53" s="670" t="s">
        <v>848</v>
      </c>
      <c r="R53" s="661"/>
      <c r="S53" s="662"/>
      <c r="U53" s="662"/>
    </row>
    <row r="54" spans="1:21" s="663" customFormat="1" x14ac:dyDescent="0.25">
      <c r="A54" s="669" t="s">
        <v>419</v>
      </c>
      <c r="B54" s="656">
        <f t="shared" si="1"/>
        <v>219464.63</v>
      </c>
      <c r="C54" s="564">
        <v>218483.44</v>
      </c>
      <c r="D54" s="564">
        <v>981.19</v>
      </c>
      <c r="E54" s="564"/>
      <c r="F54" s="658">
        <f t="shared" si="2"/>
        <v>361479.13189999899</v>
      </c>
      <c r="G54" s="564">
        <v>293144.05999999901</v>
      </c>
      <c r="H54" s="564">
        <v>68335.071899999995</v>
      </c>
      <c r="I54" s="564"/>
      <c r="J54" s="564">
        <v>69069</v>
      </c>
      <c r="K54" s="564">
        <v>116065.69999999901</v>
      </c>
      <c r="L54" s="564">
        <v>120150</v>
      </c>
      <c r="M54" s="564">
        <v>354031.05</v>
      </c>
      <c r="N54" s="564">
        <v>277678.78000000003</v>
      </c>
      <c r="O54" s="564">
        <v>238437.85</v>
      </c>
      <c r="P54" s="572">
        <v>324796.76</v>
      </c>
      <c r="Q54" s="670" t="s">
        <v>420</v>
      </c>
      <c r="R54" s="661"/>
      <c r="S54" s="662"/>
      <c r="U54" s="662"/>
    </row>
    <row r="55" spans="1:21" s="663" customFormat="1" x14ac:dyDescent="0.25">
      <c r="A55" s="669" t="s">
        <v>421</v>
      </c>
      <c r="B55" s="656">
        <f t="shared" si="1"/>
        <v>151416.26999999999</v>
      </c>
      <c r="C55" s="564">
        <v>151416.26999999999</v>
      </c>
      <c r="D55" s="564" t="s">
        <v>117</v>
      </c>
      <c r="E55" s="564"/>
      <c r="F55" s="658">
        <f t="shared" si="2"/>
        <v>176584.59000000003</v>
      </c>
      <c r="G55" s="564">
        <v>176584.59000000003</v>
      </c>
      <c r="H55" s="564" t="s">
        <v>117</v>
      </c>
      <c r="I55" s="564"/>
      <c r="J55" s="564">
        <v>138175</v>
      </c>
      <c r="K55" s="564">
        <v>118986.5</v>
      </c>
      <c r="L55" s="564">
        <v>158963.49</v>
      </c>
      <c r="M55" s="564">
        <v>275149.17</v>
      </c>
      <c r="N55" s="564">
        <v>331950.06</v>
      </c>
      <c r="O55" s="564">
        <v>357380.84</v>
      </c>
      <c r="P55" s="572">
        <v>513949.49</v>
      </c>
      <c r="Q55" s="670" t="s">
        <v>422</v>
      </c>
      <c r="R55" s="662"/>
      <c r="S55" s="662"/>
      <c r="U55" s="662"/>
    </row>
    <row r="56" spans="1:21" s="663" customFormat="1" x14ac:dyDescent="0.25">
      <c r="A56" s="669" t="s">
        <v>849</v>
      </c>
      <c r="B56" s="656">
        <f t="shared" si="1"/>
        <v>1709.4</v>
      </c>
      <c r="C56" s="564">
        <v>1709.4</v>
      </c>
      <c r="D56" s="564" t="s">
        <v>117</v>
      </c>
      <c r="E56" s="564"/>
      <c r="F56" s="658">
        <f t="shared" si="2"/>
        <v>4254.03</v>
      </c>
      <c r="G56" s="564">
        <v>4254.03</v>
      </c>
      <c r="H56" s="564" t="s">
        <v>117</v>
      </c>
      <c r="I56" s="564"/>
      <c r="J56" s="564">
        <v>0</v>
      </c>
      <c r="K56" s="564">
        <v>0</v>
      </c>
      <c r="L56" s="564">
        <v>0</v>
      </c>
      <c r="M56" s="564">
        <v>0</v>
      </c>
      <c r="N56" s="564">
        <v>0</v>
      </c>
      <c r="O56" s="564">
        <v>0</v>
      </c>
      <c r="P56" s="572">
        <v>0</v>
      </c>
      <c r="Q56" s="670" t="s">
        <v>850</v>
      </c>
      <c r="R56" s="661"/>
      <c r="S56" s="662"/>
      <c r="U56" s="662"/>
    </row>
    <row r="57" spans="1:21" s="663" customFormat="1" x14ac:dyDescent="0.25">
      <c r="A57" s="669" t="s">
        <v>424</v>
      </c>
      <c r="B57" s="656">
        <f t="shared" si="1"/>
        <v>411988.62</v>
      </c>
      <c r="C57" s="564">
        <v>371201.37</v>
      </c>
      <c r="D57" s="564">
        <v>40787.25</v>
      </c>
      <c r="E57" s="564"/>
      <c r="F57" s="658">
        <f t="shared" si="2"/>
        <v>813036.5416999989</v>
      </c>
      <c r="G57" s="564">
        <v>704265.66749999893</v>
      </c>
      <c r="H57" s="564">
        <v>108770.87420000001</v>
      </c>
      <c r="I57" s="564"/>
      <c r="J57" s="564">
        <v>1632855</v>
      </c>
      <c r="K57" s="564">
        <v>1856062.5999999989</v>
      </c>
      <c r="L57" s="564">
        <v>2166089.8199999998</v>
      </c>
      <c r="M57" s="564">
        <v>2013241.44</v>
      </c>
      <c r="N57" s="564">
        <v>2142286.21</v>
      </c>
      <c r="O57" s="564">
        <v>1835766.39</v>
      </c>
      <c r="P57" s="572">
        <v>1812469.94</v>
      </c>
      <c r="Q57" s="670" t="s">
        <v>425</v>
      </c>
      <c r="R57" s="661"/>
      <c r="S57" s="662"/>
      <c r="U57" s="662"/>
    </row>
    <row r="58" spans="1:21" s="663" customFormat="1" x14ac:dyDescent="0.25">
      <c r="A58" s="669" t="s">
        <v>426</v>
      </c>
      <c r="B58" s="656">
        <f t="shared" si="1"/>
        <v>323222.73</v>
      </c>
      <c r="C58" s="564">
        <v>165116.44</v>
      </c>
      <c r="D58" s="564">
        <v>158106.29</v>
      </c>
      <c r="E58" s="564"/>
      <c r="F58" s="658">
        <f t="shared" si="2"/>
        <v>414222.67059999902</v>
      </c>
      <c r="G58" s="564">
        <v>348362.859999999</v>
      </c>
      <c r="H58" s="564">
        <v>65859.810599999997</v>
      </c>
      <c r="I58" s="564"/>
      <c r="J58" s="564">
        <v>485263</v>
      </c>
      <c r="K58" s="564">
        <v>460918</v>
      </c>
      <c r="L58" s="564">
        <v>640597</v>
      </c>
      <c r="M58" s="564">
        <v>981259.44</v>
      </c>
      <c r="N58" s="564">
        <v>1010101.16</v>
      </c>
      <c r="O58" s="564">
        <v>1489295.57</v>
      </c>
      <c r="P58" s="572">
        <v>1042790.73</v>
      </c>
      <c r="Q58" s="670" t="s">
        <v>427</v>
      </c>
      <c r="R58" s="662"/>
      <c r="S58" s="662"/>
      <c r="U58" s="662"/>
    </row>
    <row r="59" spans="1:21" s="663" customFormat="1" x14ac:dyDescent="0.25">
      <c r="A59" s="669" t="s">
        <v>428</v>
      </c>
      <c r="B59" s="656">
        <f t="shared" si="1"/>
        <v>573363.78</v>
      </c>
      <c r="C59" s="564">
        <v>558920.5</v>
      </c>
      <c r="D59" s="564">
        <v>14443.28</v>
      </c>
      <c r="E59" s="564"/>
      <c r="F59" s="658">
        <f t="shared" si="2"/>
        <v>923943.85675800091</v>
      </c>
      <c r="G59" s="564">
        <v>810504.41715800087</v>
      </c>
      <c r="H59" s="564">
        <v>113439.4396</v>
      </c>
      <c r="I59" s="564"/>
      <c r="J59" s="564">
        <v>5315465</v>
      </c>
      <c r="K59" s="564">
        <v>4147086.3599999901</v>
      </c>
      <c r="L59" s="564">
        <v>6108888.4500000002</v>
      </c>
      <c r="M59" s="564">
        <v>6901970.8300000001</v>
      </c>
      <c r="N59" s="564">
        <v>6165861.7450000001</v>
      </c>
      <c r="O59" s="564">
        <v>6680335.3600000003</v>
      </c>
      <c r="P59" s="572">
        <v>6428933.3300000001</v>
      </c>
      <c r="Q59" s="670" t="s">
        <v>429</v>
      </c>
      <c r="R59" s="662"/>
      <c r="S59" s="662"/>
      <c r="U59" s="662"/>
    </row>
    <row r="60" spans="1:21" s="663" customFormat="1" x14ac:dyDescent="0.25">
      <c r="A60" s="669" t="s">
        <v>851</v>
      </c>
      <c r="B60" s="656">
        <f t="shared" si="1"/>
        <v>440606.44</v>
      </c>
      <c r="C60" s="564">
        <v>436514.9</v>
      </c>
      <c r="D60" s="564">
        <v>4091.54</v>
      </c>
      <c r="E60" s="564"/>
      <c r="F60" s="658">
        <f t="shared" si="2"/>
        <v>1003230.083800001</v>
      </c>
      <c r="G60" s="564">
        <v>889817.75000000093</v>
      </c>
      <c r="H60" s="564">
        <v>113412.33379999999</v>
      </c>
      <c r="I60" s="564"/>
      <c r="J60" s="564">
        <v>3053672</v>
      </c>
      <c r="K60" s="564">
        <v>4099586.6799999988</v>
      </c>
      <c r="L60" s="564">
        <v>4727200.88</v>
      </c>
      <c r="M60" s="564">
        <v>5648058.8899999997</v>
      </c>
      <c r="N60" s="564">
        <v>4902170.8</v>
      </c>
      <c r="O60" s="564">
        <v>4969656.58</v>
      </c>
      <c r="P60" s="572">
        <v>6645239.5199999996</v>
      </c>
      <c r="Q60" s="671" t="s">
        <v>852</v>
      </c>
      <c r="R60" s="661"/>
      <c r="S60" s="662"/>
      <c r="U60" s="662"/>
    </row>
    <row r="61" spans="1:21" s="663" customFormat="1" x14ac:dyDescent="0.25">
      <c r="A61" s="669"/>
      <c r="B61" s="656"/>
      <c r="C61" s="564"/>
      <c r="D61" s="564"/>
      <c r="E61" s="564"/>
      <c r="F61" s="658"/>
      <c r="G61" s="564"/>
      <c r="H61" s="564"/>
      <c r="I61" s="564"/>
      <c r="J61" s="564"/>
      <c r="K61" s="564"/>
      <c r="L61" s="564"/>
      <c r="M61" s="564"/>
      <c r="N61" s="564"/>
      <c r="O61" s="564"/>
      <c r="P61" s="564"/>
      <c r="Q61" s="671"/>
      <c r="R61" s="661"/>
      <c r="S61" s="662"/>
      <c r="U61" s="662"/>
    </row>
    <row r="62" spans="1:21" s="663" customFormat="1" x14ac:dyDescent="0.25">
      <c r="A62" s="667" t="s">
        <v>300</v>
      </c>
      <c r="B62" s="656">
        <f t="shared" si="1"/>
        <v>3876037.1799999997</v>
      </c>
      <c r="C62" s="546">
        <f>SUM(C63:C75)</f>
        <v>3248051.12</v>
      </c>
      <c r="D62" s="546">
        <f>SUM(D63:D75)</f>
        <v>627986.05999999982</v>
      </c>
      <c r="E62" s="546"/>
      <c r="F62" s="658">
        <f t="shared" si="2"/>
        <v>6795547.7153829793</v>
      </c>
      <c r="G62" s="546">
        <f>SUM(G63:G75)</f>
        <v>5956733.4745829804</v>
      </c>
      <c r="H62" s="546">
        <f>SUM(H63:H75)</f>
        <v>838814.24079999886</v>
      </c>
      <c r="I62" s="546"/>
      <c r="J62" s="546">
        <f t="shared" ref="J62:P62" si="7">SUM(J63:J75)</f>
        <v>9433955</v>
      </c>
      <c r="K62" s="546">
        <f t="shared" si="7"/>
        <v>8314019.0199999837</v>
      </c>
      <c r="L62" s="546">
        <f t="shared" si="7"/>
        <v>11788026.34</v>
      </c>
      <c r="M62" s="546">
        <f t="shared" si="7"/>
        <v>16282824.600000001</v>
      </c>
      <c r="N62" s="546">
        <f t="shared" si="7"/>
        <v>16255000.77</v>
      </c>
      <c r="O62" s="546">
        <f t="shared" si="7"/>
        <v>17119918.760000002</v>
      </c>
      <c r="P62" s="546">
        <f t="shared" si="7"/>
        <v>18665154.07</v>
      </c>
      <c r="Q62" s="668" t="s">
        <v>301</v>
      </c>
      <c r="R62" s="661"/>
      <c r="S62" s="662"/>
      <c r="U62" s="662"/>
    </row>
    <row r="63" spans="1:21" s="663" customFormat="1" x14ac:dyDescent="0.25">
      <c r="A63" s="669" t="s">
        <v>430</v>
      </c>
      <c r="B63" s="656">
        <f t="shared" si="1"/>
        <v>127116.98999999999</v>
      </c>
      <c r="C63" s="564">
        <v>102200.53</v>
      </c>
      <c r="D63" s="564">
        <v>24916.46</v>
      </c>
      <c r="E63" s="564"/>
      <c r="F63" s="658">
        <f t="shared" si="2"/>
        <v>203809.58879999898</v>
      </c>
      <c r="G63" s="564">
        <v>163830.68999999898</v>
      </c>
      <c r="H63" s="564">
        <v>39978.898800000003</v>
      </c>
      <c r="I63" s="564"/>
      <c r="J63" s="564">
        <v>24900</v>
      </c>
      <c r="K63" s="564">
        <v>300</v>
      </c>
      <c r="L63" s="564">
        <v>0</v>
      </c>
      <c r="M63" s="564">
        <v>148639.25</v>
      </c>
      <c r="N63" s="564">
        <v>232530.21</v>
      </c>
      <c r="O63" s="564">
        <v>494974.79</v>
      </c>
      <c r="P63" s="572">
        <v>426805.07</v>
      </c>
      <c r="Q63" s="670" t="s">
        <v>431</v>
      </c>
      <c r="R63" s="661"/>
      <c r="S63" s="662"/>
      <c r="U63" s="662"/>
    </row>
    <row r="64" spans="1:21" s="663" customFormat="1" x14ac:dyDescent="0.25">
      <c r="A64" s="669" t="s">
        <v>432</v>
      </c>
      <c r="B64" s="656">
        <f t="shared" si="1"/>
        <v>253851.51999999999</v>
      </c>
      <c r="C64" s="564">
        <v>220708.05</v>
      </c>
      <c r="D64" s="564">
        <v>33143.47</v>
      </c>
      <c r="E64" s="564"/>
      <c r="F64" s="658">
        <f t="shared" si="2"/>
        <v>654656.55419999897</v>
      </c>
      <c r="G64" s="564">
        <v>510928.02999999898</v>
      </c>
      <c r="H64" s="564">
        <v>143728.52419999999</v>
      </c>
      <c r="I64" s="564"/>
      <c r="J64" s="564">
        <v>616072</v>
      </c>
      <c r="K64" s="564">
        <v>420101.81</v>
      </c>
      <c r="L64" s="564">
        <v>606837.87</v>
      </c>
      <c r="M64" s="564">
        <v>1061596.77</v>
      </c>
      <c r="N64" s="564">
        <v>1076196.96</v>
      </c>
      <c r="O64" s="564">
        <v>1194407.92</v>
      </c>
      <c r="P64" s="572">
        <v>712778.53</v>
      </c>
      <c r="Q64" s="670" t="s">
        <v>433</v>
      </c>
      <c r="R64" s="661"/>
      <c r="S64" s="662"/>
      <c r="U64" s="662"/>
    </row>
    <row r="65" spans="1:21" s="663" customFormat="1" x14ac:dyDescent="0.25">
      <c r="A65" s="669" t="s">
        <v>434</v>
      </c>
      <c r="B65" s="656">
        <f t="shared" si="1"/>
        <v>141822.62</v>
      </c>
      <c r="C65" s="564">
        <v>141822.62</v>
      </c>
      <c r="D65" s="564" t="s">
        <v>117</v>
      </c>
      <c r="E65" s="564"/>
      <c r="F65" s="658">
        <f t="shared" si="2"/>
        <v>443631.25999999879</v>
      </c>
      <c r="G65" s="564">
        <v>313742.049999999</v>
      </c>
      <c r="H65" s="564">
        <v>129889.20999999979</v>
      </c>
      <c r="I65" s="564"/>
      <c r="J65" s="564">
        <v>128884</v>
      </c>
      <c r="K65" s="564">
        <v>124615.81</v>
      </c>
      <c r="L65" s="564">
        <v>47575.94</v>
      </c>
      <c r="M65" s="564">
        <v>299677.95</v>
      </c>
      <c r="N65" s="564">
        <v>397981.52</v>
      </c>
      <c r="O65" s="564">
        <v>652323.81999999995</v>
      </c>
      <c r="P65" s="572">
        <v>678413.96</v>
      </c>
      <c r="Q65" s="670" t="s">
        <v>435</v>
      </c>
      <c r="R65" s="661"/>
      <c r="S65" s="662"/>
      <c r="U65" s="662"/>
    </row>
    <row r="66" spans="1:21" s="663" customFormat="1" x14ac:dyDescent="0.25">
      <c r="A66" s="669" t="s">
        <v>436</v>
      </c>
      <c r="B66" s="656">
        <f t="shared" si="1"/>
        <v>151183.87</v>
      </c>
      <c r="C66" s="564">
        <v>151183.87</v>
      </c>
      <c r="D66" s="564" t="s">
        <v>117</v>
      </c>
      <c r="E66" s="564"/>
      <c r="F66" s="658">
        <f t="shared" si="2"/>
        <v>386659.141</v>
      </c>
      <c r="G66" s="564">
        <v>277079.76</v>
      </c>
      <c r="H66" s="564">
        <v>109579.38099999999</v>
      </c>
      <c r="I66" s="564"/>
      <c r="J66" s="564">
        <v>169487</v>
      </c>
      <c r="K66" s="564">
        <v>217228.53</v>
      </c>
      <c r="L66" s="564">
        <v>238740.26</v>
      </c>
      <c r="M66" s="564">
        <v>476223.97</v>
      </c>
      <c r="N66" s="564">
        <v>701131.11</v>
      </c>
      <c r="O66" s="564">
        <v>592662.06999999995</v>
      </c>
      <c r="P66" s="572">
        <v>494168.73</v>
      </c>
      <c r="Q66" s="670" t="s">
        <v>437</v>
      </c>
      <c r="R66" s="661"/>
      <c r="S66" s="662"/>
      <c r="U66" s="662"/>
    </row>
    <row r="67" spans="1:21" s="663" customFormat="1" x14ac:dyDescent="0.25">
      <c r="A67" s="669" t="s">
        <v>438</v>
      </c>
      <c r="B67" s="656">
        <f t="shared" si="1"/>
        <v>239921.02</v>
      </c>
      <c r="C67" s="564">
        <v>163436.04999999999</v>
      </c>
      <c r="D67" s="564">
        <v>76484.97</v>
      </c>
      <c r="E67" s="564"/>
      <c r="F67" s="658">
        <f t="shared" si="2"/>
        <v>282198.56</v>
      </c>
      <c r="G67" s="564">
        <v>282198.56</v>
      </c>
      <c r="H67" s="564" t="s">
        <v>117</v>
      </c>
      <c r="I67" s="564"/>
      <c r="J67" s="564">
        <v>146789</v>
      </c>
      <c r="K67" s="564">
        <v>199038.53</v>
      </c>
      <c r="L67" s="564">
        <v>371000</v>
      </c>
      <c r="M67" s="564">
        <v>488195.9</v>
      </c>
      <c r="N67" s="564">
        <v>636530.34</v>
      </c>
      <c r="O67" s="564">
        <v>627465.85</v>
      </c>
      <c r="P67" s="572">
        <v>401974.56</v>
      </c>
      <c r="Q67" s="670" t="s">
        <v>439</v>
      </c>
      <c r="R67" s="661"/>
      <c r="S67" s="662"/>
      <c r="U67" s="662"/>
    </row>
    <row r="68" spans="1:21" s="663" customFormat="1" x14ac:dyDescent="0.25">
      <c r="A68" s="669" t="s">
        <v>440</v>
      </c>
      <c r="B68" s="656">
        <f t="shared" si="1"/>
        <v>137471.65</v>
      </c>
      <c r="C68" s="564">
        <v>137471.65</v>
      </c>
      <c r="D68" s="564" t="s">
        <v>117</v>
      </c>
      <c r="E68" s="564"/>
      <c r="F68" s="658">
        <f t="shared" si="2"/>
        <v>226202.19239999898</v>
      </c>
      <c r="G68" s="564">
        <v>220724.69999999899</v>
      </c>
      <c r="H68" s="564">
        <v>5477.4924000000001</v>
      </c>
      <c r="I68" s="564"/>
      <c r="J68" s="564">
        <v>121240</v>
      </c>
      <c r="K68" s="564">
        <v>0</v>
      </c>
      <c r="L68" s="564">
        <v>15900</v>
      </c>
      <c r="M68" s="564">
        <v>72492.61</v>
      </c>
      <c r="N68" s="564">
        <v>404205.71</v>
      </c>
      <c r="O68" s="564">
        <v>534436.47</v>
      </c>
      <c r="P68" s="572">
        <v>409953.12</v>
      </c>
      <c r="Q68" s="670" t="s">
        <v>441</v>
      </c>
      <c r="R68" s="661"/>
      <c r="S68" s="662"/>
      <c r="U68" s="662"/>
    </row>
    <row r="69" spans="1:21" s="663" customFormat="1" x14ac:dyDescent="0.25">
      <c r="A69" s="669" t="s">
        <v>442</v>
      </c>
      <c r="B69" s="656">
        <f t="shared" si="1"/>
        <v>151077.76000000001</v>
      </c>
      <c r="C69" s="564">
        <v>111031.93</v>
      </c>
      <c r="D69" s="564">
        <v>40045.83</v>
      </c>
      <c r="E69" s="564"/>
      <c r="F69" s="658">
        <f t="shared" si="2"/>
        <v>384542.57759999897</v>
      </c>
      <c r="G69" s="564">
        <v>342753.01999999897</v>
      </c>
      <c r="H69" s="564">
        <v>41789.5576</v>
      </c>
      <c r="I69" s="564"/>
      <c r="J69" s="564">
        <v>112741</v>
      </c>
      <c r="K69" s="564">
        <v>106905.37</v>
      </c>
      <c r="L69" s="564">
        <v>180303.18</v>
      </c>
      <c r="M69" s="564">
        <v>367827</v>
      </c>
      <c r="N69" s="564">
        <v>462868.82</v>
      </c>
      <c r="O69" s="564">
        <v>507301.66</v>
      </c>
      <c r="P69" s="572">
        <v>537132.67000000004</v>
      </c>
      <c r="Q69" s="670" t="s">
        <v>443</v>
      </c>
      <c r="R69" s="661"/>
      <c r="S69" s="662"/>
      <c r="U69" s="662"/>
    </row>
    <row r="70" spans="1:21" s="663" customFormat="1" x14ac:dyDescent="0.25">
      <c r="A70" s="669" t="s">
        <v>444</v>
      </c>
      <c r="B70" s="656">
        <f t="shared" ref="B70:B133" si="8">SUM(C70:D70)</f>
        <v>163199.66</v>
      </c>
      <c r="C70" s="564">
        <v>163199.66</v>
      </c>
      <c r="D70" s="564" t="s">
        <v>117</v>
      </c>
      <c r="E70" s="564"/>
      <c r="F70" s="658">
        <f t="shared" ref="F70:F133" si="9">SUM(G70:H70)</f>
        <v>341228.36299999896</v>
      </c>
      <c r="G70" s="564">
        <v>331228.36299999896</v>
      </c>
      <c r="H70" s="564">
        <v>10000</v>
      </c>
      <c r="I70" s="564"/>
      <c r="J70" s="564">
        <v>112699</v>
      </c>
      <c r="K70" s="564">
        <v>134662.16999999899</v>
      </c>
      <c r="L70" s="564">
        <v>190654.24</v>
      </c>
      <c r="M70" s="564">
        <v>275196.34999999998</v>
      </c>
      <c r="N70" s="564">
        <v>629712.55000000005</v>
      </c>
      <c r="O70" s="564">
        <v>661731.94999999995</v>
      </c>
      <c r="P70" s="572">
        <v>828688.75</v>
      </c>
      <c r="Q70" s="670" t="s">
        <v>445</v>
      </c>
      <c r="R70" s="661"/>
      <c r="S70" s="662"/>
      <c r="U70" s="662"/>
    </row>
    <row r="71" spans="1:21" s="663" customFormat="1" x14ac:dyDescent="0.25">
      <c r="A71" s="669" t="s">
        <v>446</v>
      </c>
      <c r="B71" s="656">
        <f t="shared" si="8"/>
        <v>138120.72999999998</v>
      </c>
      <c r="C71" s="564">
        <v>36751.64</v>
      </c>
      <c r="D71" s="564">
        <v>101369.09</v>
      </c>
      <c r="E71" s="564"/>
      <c r="F71" s="658">
        <f t="shared" si="9"/>
        <v>100711.25999999989</v>
      </c>
      <c r="G71" s="564">
        <v>100711.25999999989</v>
      </c>
      <c r="H71" s="564" t="s">
        <v>117</v>
      </c>
      <c r="I71" s="564"/>
      <c r="J71" s="564">
        <v>0</v>
      </c>
      <c r="K71" s="564">
        <v>0</v>
      </c>
      <c r="L71" s="564">
        <v>0</v>
      </c>
      <c r="M71" s="564">
        <v>45743.46</v>
      </c>
      <c r="N71" s="564">
        <v>292395.99</v>
      </c>
      <c r="O71" s="564">
        <v>161313.46</v>
      </c>
      <c r="P71" s="572">
        <v>337782.63</v>
      </c>
      <c r="Q71" s="670" t="s">
        <v>447</v>
      </c>
      <c r="R71" s="662"/>
      <c r="S71" s="662"/>
      <c r="U71" s="662"/>
    </row>
    <row r="72" spans="1:21" s="663" customFormat="1" x14ac:dyDescent="0.25">
      <c r="A72" s="669" t="s">
        <v>448</v>
      </c>
      <c r="B72" s="656">
        <f t="shared" si="8"/>
        <v>742155.98</v>
      </c>
      <c r="C72" s="564">
        <v>469329.9</v>
      </c>
      <c r="D72" s="564">
        <v>272826.08</v>
      </c>
      <c r="E72" s="564"/>
      <c r="F72" s="658">
        <f t="shared" si="9"/>
        <v>648339.08158299793</v>
      </c>
      <c r="G72" s="564">
        <v>637579.00158299797</v>
      </c>
      <c r="H72" s="564">
        <v>10760.08</v>
      </c>
      <c r="I72" s="564"/>
      <c r="J72" s="564">
        <v>4128416</v>
      </c>
      <c r="K72" s="564">
        <v>2969093.61</v>
      </c>
      <c r="L72" s="564">
        <v>5003030.05</v>
      </c>
      <c r="M72" s="564">
        <v>6594631.7000000002</v>
      </c>
      <c r="N72" s="564">
        <v>5151014.55</v>
      </c>
      <c r="O72" s="564">
        <v>5318500.2</v>
      </c>
      <c r="P72" s="572">
        <v>7139561.8799999999</v>
      </c>
      <c r="Q72" s="670" t="s">
        <v>449</v>
      </c>
      <c r="R72" s="662"/>
      <c r="S72" s="662"/>
      <c r="U72" s="662"/>
    </row>
    <row r="73" spans="1:21" s="663" customFormat="1" x14ac:dyDescent="0.25">
      <c r="A73" s="669" t="s">
        <v>450</v>
      </c>
      <c r="B73" s="656">
        <f t="shared" si="8"/>
        <v>858355.99</v>
      </c>
      <c r="C73" s="564">
        <v>804365.41</v>
      </c>
      <c r="D73" s="564">
        <v>53990.58</v>
      </c>
      <c r="E73" s="564"/>
      <c r="F73" s="658">
        <f t="shared" si="9"/>
        <v>1156920.1901999901</v>
      </c>
      <c r="G73" s="564">
        <v>1028781.22999999</v>
      </c>
      <c r="H73" s="564">
        <v>128138.9602</v>
      </c>
      <c r="I73" s="564"/>
      <c r="J73" s="564">
        <v>1797368</v>
      </c>
      <c r="K73" s="564">
        <v>2404751.50999999</v>
      </c>
      <c r="L73" s="564">
        <v>3187746.11</v>
      </c>
      <c r="M73" s="564">
        <v>3765359.72</v>
      </c>
      <c r="N73" s="564">
        <v>2952036.8200000003</v>
      </c>
      <c r="O73" s="564">
        <v>2990647.22</v>
      </c>
      <c r="P73" s="572">
        <v>3046413.31</v>
      </c>
      <c r="Q73" s="670" t="s">
        <v>451</v>
      </c>
      <c r="R73" s="662"/>
      <c r="S73" s="662"/>
      <c r="U73" s="662"/>
    </row>
    <row r="74" spans="1:21" s="663" customFormat="1" x14ac:dyDescent="0.25">
      <c r="A74" s="669" t="s">
        <v>452</v>
      </c>
      <c r="B74" s="656">
        <f t="shared" si="8"/>
        <v>136551.04000000001</v>
      </c>
      <c r="C74" s="564">
        <v>136551.04000000001</v>
      </c>
      <c r="D74" s="564" t="s">
        <v>117</v>
      </c>
      <c r="E74" s="564"/>
      <c r="F74" s="658">
        <f t="shared" si="9"/>
        <v>754353.67119999893</v>
      </c>
      <c r="G74" s="564">
        <v>720924.87999999896</v>
      </c>
      <c r="H74" s="564">
        <v>33428.7912</v>
      </c>
      <c r="I74" s="564"/>
      <c r="J74" s="564">
        <v>0</v>
      </c>
      <c r="K74" s="564">
        <v>0</v>
      </c>
      <c r="L74" s="564">
        <v>9000</v>
      </c>
      <c r="M74" s="564">
        <v>128544.07</v>
      </c>
      <c r="N74" s="564">
        <v>183876.98</v>
      </c>
      <c r="O74" s="564">
        <v>73402.55</v>
      </c>
      <c r="P74" s="572">
        <v>132115.70000000001</v>
      </c>
      <c r="Q74" s="670" t="s">
        <v>453</v>
      </c>
      <c r="R74" s="662"/>
      <c r="S74" s="662"/>
      <c r="U74" s="662"/>
    </row>
    <row r="75" spans="1:21" s="663" customFormat="1" x14ac:dyDescent="0.25">
      <c r="A75" s="669" t="s">
        <v>454</v>
      </c>
      <c r="B75" s="656">
        <f t="shared" si="8"/>
        <v>635208.35</v>
      </c>
      <c r="C75" s="564">
        <v>609998.77</v>
      </c>
      <c r="D75" s="564">
        <v>25209.58</v>
      </c>
      <c r="E75" s="564"/>
      <c r="F75" s="658">
        <f t="shared" si="9"/>
        <v>1212295.275399999</v>
      </c>
      <c r="G75" s="564">
        <v>1026251.9299999999</v>
      </c>
      <c r="H75" s="564">
        <v>186043.345399999</v>
      </c>
      <c r="I75" s="564"/>
      <c r="J75" s="564">
        <v>2075359</v>
      </c>
      <c r="K75" s="564">
        <v>1737321.679999995</v>
      </c>
      <c r="L75" s="564">
        <v>1937238.69</v>
      </c>
      <c r="M75" s="564">
        <v>2558695.85</v>
      </c>
      <c r="N75" s="564">
        <v>3134519.21</v>
      </c>
      <c r="O75" s="564">
        <v>3310750.8</v>
      </c>
      <c r="P75" s="572">
        <v>3519365.16</v>
      </c>
      <c r="Q75" s="670" t="s">
        <v>455</v>
      </c>
      <c r="R75" s="661"/>
      <c r="S75" s="662"/>
      <c r="U75" s="662"/>
    </row>
    <row r="76" spans="1:21" s="663" customFormat="1" ht="8.25" customHeight="1" x14ac:dyDescent="0.25">
      <c r="A76" s="669"/>
      <c r="B76" s="656"/>
      <c r="C76" s="564"/>
      <c r="D76" s="564"/>
      <c r="E76" s="564"/>
      <c r="F76" s="658"/>
      <c r="G76" s="564"/>
      <c r="H76" s="564"/>
      <c r="I76" s="564"/>
      <c r="J76" s="564"/>
      <c r="K76" s="564"/>
      <c r="L76" s="564"/>
      <c r="M76" s="564"/>
      <c r="N76" s="564"/>
      <c r="O76" s="564"/>
      <c r="P76" s="564"/>
      <c r="Q76" s="670"/>
      <c r="R76" s="661"/>
      <c r="S76" s="662"/>
      <c r="U76" s="662"/>
    </row>
    <row r="77" spans="1:21" s="663" customFormat="1" x14ac:dyDescent="0.25">
      <c r="A77" s="667" t="s">
        <v>302</v>
      </c>
      <c r="B77" s="656">
        <f t="shared" si="8"/>
        <v>4840611.5375000006</v>
      </c>
      <c r="C77" s="546">
        <f>SUM(C78:C94)</f>
        <v>3877443.9800000004</v>
      </c>
      <c r="D77" s="546">
        <f>SUM(D78:D94)</f>
        <v>963167.55749999988</v>
      </c>
      <c r="E77" s="546"/>
      <c r="F77" s="658">
        <f t="shared" si="9"/>
        <v>8924217.2891959883</v>
      </c>
      <c r="G77" s="546">
        <f>SUM(G78:G94)</f>
        <v>7144658.7453959892</v>
      </c>
      <c r="H77" s="546">
        <f>SUM(H78:H94)</f>
        <v>1779558.5437999992</v>
      </c>
      <c r="I77" s="546"/>
      <c r="J77" s="546">
        <f t="shared" ref="J77:P77" si="10">SUM(J78:J94)</f>
        <v>19126765</v>
      </c>
      <c r="K77" s="546">
        <f t="shared" si="10"/>
        <v>20668283.130000003</v>
      </c>
      <c r="L77" s="546">
        <f t="shared" si="10"/>
        <v>29304498.352999996</v>
      </c>
      <c r="M77" s="546">
        <f t="shared" si="10"/>
        <v>40394300.451000005</v>
      </c>
      <c r="N77" s="546">
        <f t="shared" si="10"/>
        <v>43959957.410000004</v>
      </c>
      <c r="O77" s="546">
        <f t="shared" si="10"/>
        <v>47021244.049999997</v>
      </c>
      <c r="P77" s="546">
        <f t="shared" si="10"/>
        <v>49456949.840000004</v>
      </c>
      <c r="Q77" s="668" t="s">
        <v>303</v>
      </c>
      <c r="R77" s="661"/>
      <c r="S77" s="662"/>
      <c r="U77" s="662"/>
    </row>
    <row r="78" spans="1:21" s="663" customFormat="1" x14ac:dyDescent="0.25">
      <c r="A78" s="669" t="s">
        <v>457</v>
      </c>
      <c r="B78" s="656">
        <f t="shared" si="8"/>
        <v>825964.42</v>
      </c>
      <c r="C78" s="564">
        <v>537470.52</v>
      </c>
      <c r="D78" s="564">
        <v>288493.90000000002</v>
      </c>
      <c r="E78" s="564"/>
      <c r="F78" s="658">
        <f t="shared" si="9"/>
        <v>1242715.9795999969</v>
      </c>
      <c r="G78" s="564">
        <v>963642.63999999803</v>
      </c>
      <c r="H78" s="564">
        <v>279073.33959999902</v>
      </c>
      <c r="I78" s="564"/>
      <c r="J78" s="564">
        <v>1849428</v>
      </c>
      <c r="K78" s="564">
        <v>2039674.01</v>
      </c>
      <c r="L78" s="564">
        <v>2308805</v>
      </c>
      <c r="M78" s="564">
        <v>2929837.51</v>
      </c>
      <c r="N78" s="564">
        <v>3387522.5300000003</v>
      </c>
      <c r="O78" s="564">
        <v>3955771.27</v>
      </c>
      <c r="P78" s="572">
        <v>4240580.5599999996</v>
      </c>
      <c r="Q78" s="670" t="s">
        <v>458</v>
      </c>
      <c r="R78" s="661"/>
      <c r="S78" s="662"/>
      <c r="U78" s="662"/>
    </row>
    <row r="79" spans="1:21" s="663" customFormat="1" x14ac:dyDescent="0.25">
      <c r="A79" s="669" t="s">
        <v>459</v>
      </c>
      <c r="B79" s="656">
        <f t="shared" si="8"/>
        <v>121122.81</v>
      </c>
      <c r="C79" s="564">
        <v>120024.06</v>
      </c>
      <c r="D79" s="564">
        <v>1098.75</v>
      </c>
      <c r="E79" s="564"/>
      <c r="F79" s="658">
        <f t="shared" si="9"/>
        <v>204407.88</v>
      </c>
      <c r="G79" s="564">
        <v>204407.88</v>
      </c>
      <c r="H79" s="564" t="s">
        <v>117</v>
      </c>
      <c r="I79" s="564"/>
      <c r="J79" s="564">
        <v>35277</v>
      </c>
      <c r="K79" s="564">
        <v>11215</v>
      </c>
      <c r="L79" s="564">
        <v>28645</v>
      </c>
      <c r="M79" s="564">
        <v>82831.460000000006</v>
      </c>
      <c r="N79" s="564">
        <v>381734</v>
      </c>
      <c r="O79" s="564">
        <v>429479.6</v>
      </c>
      <c r="P79" s="572">
        <v>459856.05</v>
      </c>
      <c r="Q79" s="670" t="s">
        <v>460</v>
      </c>
      <c r="R79" s="661"/>
      <c r="S79" s="662"/>
      <c r="U79" s="662"/>
    </row>
    <row r="80" spans="1:21" s="663" customFormat="1" x14ac:dyDescent="0.25">
      <c r="A80" s="669" t="s">
        <v>461</v>
      </c>
      <c r="B80" s="656">
        <f t="shared" si="8"/>
        <v>374468.14</v>
      </c>
      <c r="C80" s="564">
        <v>363546.57</v>
      </c>
      <c r="D80" s="564">
        <v>10921.57</v>
      </c>
      <c r="E80" s="564"/>
      <c r="F80" s="658">
        <f t="shared" si="9"/>
        <v>667888.15419999894</v>
      </c>
      <c r="G80" s="564">
        <v>568710.09999999893</v>
      </c>
      <c r="H80" s="564">
        <v>99178.054199999999</v>
      </c>
      <c r="I80" s="564"/>
      <c r="J80" s="564">
        <v>133529</v>
      </c>
      <c r="K80" s="564">
        <v>141348.59</v>
      </c>
      <c r="L80" s="564">
        <v>241235.84</v>
      </c>
      <c r="M80" s="564">
        <v>448564.03</v>
      </c>
      <c r="N80" s="564">
        <v>549593.17999999993</v>
      </c>
      <c r="O80" s="564">
        <v>458981.9</v>
      </c>
      <c r="P80" s="572">
        <v>623819.68000000005</v>
      </c>
      <c r="Q80" s="670" t="s">
        <v>462</v>
      </c>
      <c r="R80" s="661"/>
      <c r="S80" s="662"/>
      <c r="U80" s="662"/>
    </row>
    <row r="81" spans="1:21" s="663" customFormat="1" x14ac:dyDescent="0.25">
      <c r="A81" s="669" t="s">
        <v>463</v>
      </c>
      <c r="B81" s="656">
        <f t="shared" si="8"/>
        <v>90963.59</v>
      </c>
      <c r="C81" s="564">
        <v>90963.59</v>
      </c>
      <c r="D81" s="564" t="s">
        <v>117</v>
      </c>
      <c r="E81" s="564"/>
      <c r="F81" s="658">
        <f t="shared" si="9"/>
        <v>190556.429999999</v>
      </c>
      <c r="G81" s="564">
        <v>190556.429999999</v>
      </c>
      <c r="H81" s="564" t="s">
        <v>117</v>
      </c>
      <c r="I81" s="564"/>
      <c r="J81" s="564">
        <v>10400</v>
      </c>
      <c r="K81" s="564">
        <v>13030</v>
      </c>
      <c r="L81" s="564">
        <v>53005</v>
      </c>
      <c r="M81" s="564">
        <v>158479.45000000001</v>
      </c>
      <c r="N81" s="564">
        <v>244541</v>
      </c>
      <c r="O81" s="564">
        <v>216774.71</v>
      </c>
      <c r="P81" s="572">
        <v>328378.84999999998</v>
      </c>
      <c r="Q81" s="670" t="s">
        <v>464</v>
      </c>
      <c r="R81" s="661"/>
      <c r="S81" s="662"/>
      <c r="U81" s="662"/>
    </row>
    <row r="82" spans="1:21" s="663" customFormat="1" x14ac:dyDescent="0.25">
      <c r="A82" s="669" t="s">
        <v>465</v>
      </c>
      <c r="B82" s="656">
        <f t="shared" si="8"/>
        <v>418435.26</v>
      </c>
      <c r="C82" s="564">
        <v>375081.38</v>
      </c>
      <c r="D82" s="564">
        <v>43353.88</v>
      </c>
      <c r="E82" s="564"/>
      <c r="F82" s="658">
        <f t="shared" si="9"/>
        <v>654448.33639999898</v>
      </c>
      <c r="G82" s="564">
        <v>597821.31999999902</v>
      </c>
      <c r="H82" s="564">
        <v>56627.0164</v>
      </c>
      <c r="I82" s="564"/>
      <c r="J82" s="564">
        <v>13652116</v>
      </c>
      <c r="K82" s="564">
        <v>14039888.07</v>
      </c>
      <c r="L82" s="564">
        <v>19260786.272999998</v>
      </c>
      <c r="M82" s="564">
        <v>23992138.561000001</v>
      </c>
      <c r="N82" s="564">
        <v>24537790.300000001</v>
      </c>
      <c r="O82" s="564">
        <v>26792840.920000002</v>
      </c>
      <c r="P82" s="572">
        <v>29051617.390000001</v>
      </c>
      <c r="Q82" s="670" t="s">
        <v>466</v>
      </c>
      <c r="R82" s="661"/>
      <c r="S82" s="662"/>
      <c r="U82" s="662"/>
    </row>
    <row r="83" spans="1:21" s="663" customFormat="1" x14ac:dyDescent="0.25">
      <c r="A83" s="669" t="s">
        <v>853</v>
      </c>
      <c r="B83" s="656">
        <f t="shared" si="8"/>
        <v>659099.12</v>
      </c>
      <c r="C83" s="564">
        <v>463014.19</v>
      </c>
      <c r="D83" s="564">
        <v>196084.93</v>
      </c>
      <c r="E83" s="564"/>
      <c r="F83" s="658">
        <f t="shared" si="9"/>
        <v>1596558.1193999979</v>
      </c>
      <c r="G83" s="564">
        <v>1028811.9699999979</v>
      </c>
      <c r="H83" s="564">
        <v>567746.14939999999</v>
      </c>
      <c r="I83" s="564"/>
      <c r="J83" s="564">
        <v>823948</v>
      </c>
      <c r="K83" s="564">
        <v>1040279.34</v>
      </c>
      <c r="L83" s="564">
        <v>1621450.36</v>
      </c>
      <c r="M83" s="564">
        <v>2303823.92</v>
      </c>
      <c r="N83" s="564">
        <v>0</v>
      </c>
      <c r="O83" s="564">
        <v>2369821.8199999998</v>
      </c>
      <c r="P83" s="572">
        <v>2122621.59</v>
      </c>
      <c r="Q83" s="671" t="s">
        <v>854</v>
      </c>
      <c r="R83" s="661"/>
      <c r="S83" s="662"/>
      <c r="U83" s="662"/>
    </row>
    <row r="84" spans="1:21" s="663" customFormat="1" x14ac:dyDescent="0.25">
      <c r="A84" s="669" t="s">
        <v>855</v>
      </c>
      <c r="B84" s="656"/>
      <c r="C84" s="564" t="s">
        <v>117</v>
      </c>
      <c r="D84" s="564" t="s">
        <v>117</v>
      </c>
      <c r="E84" s="564"/>
      <c r="F84" s="658">
        <f t="shared" si="9"/>
        <v>1053.4000000000001</v>
      </c>
      <c r="G84" s="564">
        <v>1053.4000000000001</v>
      </c>
      <c r="H84" s="564" t="s">
        <v>117</v>
      </c>
      <c r="I84" s="564"/>
      <c r="J84" s="564">
        <v>0</v>
      </c>
      <c r="K84" s="564">
        <v>0</v>
      </c>
      <c r="L84" s="564">
        <v>427180.2</v>
      </c>
      <c r="M84" s="564">
        <v>1634144.96</v>
      </c>
      <c r="N84" s="564">
        <v>4646827.63</v>
      </c>
      <c r="O84" s="564">
        <v>2381675.94</v>
      </c>
      <c r="P84" s="572">
        <v>2349596.2200000002</v>
      </c>
      <c r="Q84" s="670" t="s">
        <v>467</v>
      </c>
      <c r="R84" s="662"/>
      <c r="S84" s="662"/>
      <c r="U84" s="662"/>
    </row>
    <row r="85" spans="1:21" s="663" customFormat="1" x14ac:dyDescent="0.25">
      <c r="A85" s="669" t="s">
        <v>468</v>
      </c>
      <c r="B85" s="656">
        <f t="shared" si="8"/>
        <v>181520.484</v>
      </c>
      <c r="C85" s="564">
        <v>146034.29999999999</v>
      </c>
      <c r="D85" s="564">
        <v>35486.184000000001</v>
      </c>
      <c r="E85" s="564"/>
      <c r="F85" s="658">
        <f t="shared" si="9"/>
        <v>343342.03</v>
      </c>
      <c r="G85" s="564">
        <v>343342.03</v>
      </c>
      <c r="H85" s="564" t="s">
        <v>117</v>
      </c>
      <c r="I85" s="564"/>
      <c r="J85" s="564">
        <v>95961</v>
      </c>
      <c r="K85" s="564">
        <v>129157.3</v>
      </c>
      <c r="L85" s="564">
        <v>236449.36</v>
      </c>
      <c r="M85" s="564">
        <v>406044.4</v>
      </c>
      <c r="N85" s="564">
        <v>585573.97</v>
      </c>
      <c r="O85" s="564">
        <v>797014.32</v>
      </c>
      <c r="P85" s="572">
        <v>611193.54</v>
      </c>
      <c r="Q85" s="670" t="s">
        <v>469</v>
      </c>
      <c r="R85" s="662"/>
      <c r="S85" s="662"/>
      <c r="U85" s="662"/>
    </row>
    <row r="86" spans="1:21" s="663" customFormat="1" x14ac:dyDescent="0.25">
      <c r="A86" s="669" t="s">
        <v>470</v>
      </c>
      <c r="B86" s="656">
        <f t="shared" si="8"/>
        <v>286652.65999999997</v>
      </c>
      <c r="C86" s="564">
        <v>286652.65999999997</v>
      </c>
      <c r="D86" s="564" t="s">
        <v>117</v>
      </c>
      <c r="E86" s="564"/>
      <c r="F86" s="658">
        <f t="shared" si="9"/>
        <v>691563.47080000001</v>
      </c>
      <c r="G86" s="564">
        <v>459170.18</v>
      </c>
      <c r="H86" s="564">
        <v>232393.29079999999</v>
      </c>
      <c r="I86" s="564"/>
      <c r="J86" s="564">
        <v>93113</v>
      </c>
      <c r="K86" s="564">
        <v>121477</v>
      </c>
      <c r="L86" s="564">
        <v>182173</v>
      </c>
      <c r="M86" s="564">
        <v>262477.98</v>
      </c>
      <c r="N86" s="564">
        <v>478663.5</v>
      </c>
      <c r="O86" s="564">
        <v>461347.05</v>
      </c>
      <c r="P86" s="572">
        <v>708187.75</v>
      </c>
      <c r="Q86" s="670" t="s">
        <v>471</v>
      </c>
      <c r="R86" s="662"/>
      <c r="S86" s="662"/>
      <c r="U86" s="662"/>
    </row>
    <row r="87" spans="1:21" s="663" customFormat="1" x14ac:dyDescent="0.25">
      <c r="A87" s="669" t="s">
        <v>472</v>
      </c>
      <c r="B87" s="656">
        <f t="shared" si="8"/>
        <v>202623.31</v>
      </c>
      <c r="C87" s="564">
        <v>168976.35</v>
      </c>
      <c r="D87" s="564">
        <v>33646.959999999999</v>
      </c>
      <c r="E87" s="564"/>
      <c r="F87" s="658">
        <f t="shared" si="9"/>
        <v>460074.695396</v>
      </c>
      <c r="G87" s="564">
        <v>454484.945396</v>
      </c>
      <c r="H87" s="564">
        <v>5589.75</v>
      </c>
      <c r="I87" s="564"/>
      <c r="J87" s="564">
        <v>100080</v>
      </c>
      <c r="K87" s="564">
        <v>141250</v>
      </c>
      <c r="L87" s="564">
        <v>137990.70000000001</v>
      </c>
      <c r="M87" s="564">
        <v>455179.47</v>
      </c>
      <c r="N87" s="564">
        <v>603487.47</v>
      </c>
      <c r="O87" s="564">
        <v>540943.12</v>
      </c>
      <c r="P87" s="572">
        <v>484211.04</v>
      </c>
      <c r="Q87" s="670" t="s">
        <v>473</v>
      </c>
      <c r="R87" s="662"/>
      <c r="S87" s="662"/>
      <c r="U87" s="662"/>
    </row>
    <row r="88" spans="1:21" s="663" customFormat="1" x14ac:dyDescent="0.25">
      <c r="A88" s="669" t="s">
        <v>474</v>
      </c>
      <c r="B88" s="656">
        <f t="shared" si="8"/>
        <v>373757.897</v>
      </c>
      <c r="C88" s="564">
        <v>303552.03999999998</v>
      </c>
      <c r="D88" s="564">
        <v>70205.857000000004</v>
      </c>
      <c r="E88" s="564"/>
      <c r="F88" s="658">
        <f t="shared" si="9"/>
        <v>547495.55700000003</v>
      </c>
      <c r="G88" s="564">
        <v>413419.76</v>
      </c>
      <c r="H88" s="564">
        <v>134075.79699999999</v>
      </c>
      <c r="I88" s="564"/>
      <c r="J88" s="564">
        <v>345215</v>
      </c>
      <c r="K88" s="564">
        <v>602496.59</v>
      </c>
      <c r="L88" s="564">
        <v>1194051.29</v>
      </c>
      <c r="M88" s="564">
        <v>1654839.11</v>
      </c>
      <c r="N88" s="564">
        <v>1986241.9699999997</v>
      </c>
      <c r="O88" s="564">
        <v>2068416.31</v>
      </c>
      <c r="P88" s="572">
        <v>2184403.46</v>
      </c>
      <c r="Q88" s="670" t="s">
        <v>475</v>
      </c>
      <c r="R88" s="662"/>
      <c r="S88" s="662"/>
      <c r="U88" s="662"/>
    </row>
    <row r="89" spans="1:21" s="663" customFormat="1" x14ac:dyDescent="0.25">
      <c r="A89" s="669" t="s">
        <v>476</v>
      </c>
      <c r="B89" s="656">
        <f t="shared" si="8"/>
        <v>482286.29649999994</v>
      </c>
      <c r="C89" s="564">
        <v>350218.23</v>
      </c>
      <c r="D89" s="564">
        <v>132068.06649999999</v>
      </c>
      <c r="E89" s="564"/>
      <c r="F89" s="658">
        <f t="shared" si="9"/>
        <v>717131.282799999</v>
      </c>
      <c r="G89" s="564">
        <v>635068.50999999896</v>
      </c>
      <c r="H89" s="564">
        <v>82062.772800000006</v>
      </c>
      <c r="I89" s="564"/>
      <c r="J89" s="564">
        <v>359831</v>
      </c>
      <c r="K89" s="564">
        <v>429456.89999999898</v>
      </c>
      <c r="L89" s="564">
        <v>950579.85</v>
      </c>
      <c r="M89" s="564">
        <v>1759178.74</v>
      </c>
      <c r="N89" s="564">
        <v>1643465.24</v>
      </c>
      <c r="O89" s="564">
        <v>1891947.52</v>
      </c>
      <c r="P89" s="572">
        <v>1916305.76</v>
      </c>
      <c r="Q89" s="670" t="s">
        <v>477</v>
      </c>
      <c r="R89" s="662"/>
      <c r="S89" s="662"/>
      <c r="U89" s="662"/>
    </row>
    <row r="90" spans="1:21" s="663" customFormat="1" x14ac:dyDescent="0.25">
      <c r="A90" s="669" t="s">
        <v>478</v>
      </c>
      <c r="B90" s="656">
        <f t="shared" si="8"/>
        <v>53138.46</v>
      </c>
      <c r="C90" s="564">
        <v>53138.46</v>
      </c>
      <c r="D90" s="564" t="s">
        <v>117</v>
      </c>
      <c r="E90" s="564"/>
      <c r="F90" s="658">
        <f t="shared" si="9"/>
        <v>138737.89999999898</v>
      </c>
      <c r="G90" s="564">
        <v>138737.89999999898</v>
      </c>
      <c r="H90" s="564" t="s">
        <v>117</v>
      </c>
      <c r="I90" s="564"/>
      <c r="J90" s="564">
        <v>0</v>
      </c>
      <c r="K90" s="564">
        <v>0</v>
      </c>
      <c r="L90" s="564">
        <v>17940</v>
      </c>
      <c r="M90" s="564">
        <v>150063.57</v>
      </c>
      <c r="N90" s="564">
        <v>262729.53000000003</v>
      </c>
      <c r="O90" s="564">
        <v>290129.32</v>
      </c>
      <c r="P90" s="572">
        <v>246079.75</v>
      </c>
      <c r="Q90" s="670" t="s">
        <v>479</v>
      </c>
      <c r="R90" s="662"/>
      <c r="S90" s="662"/>
      <c r="U90" s="662"/>
    </row>
    <row r="91" spans="1:21" s="663" customFormat="1" x14ac:dyDescent="0.25">
      <c r="A91" s="669" t="s">
        <v>480</v>
      </c>
      <c r="B91" s="656">
        <f t="shared" si="8"/>
        <v>409513.37</v>
      </c>
      <c r="C91" s="564">
        <v>327452.68</v>
      </c>
      <c r="D91" s="564">
        <v>82060.69</v>
      </c>
      <c r="E91" s="564"/>
      <c r="F91" s="658">
        <f t="shared" si="9"/>
        <v>642085.41479999991</v>
      </c>
      <c r="G91" s="564">
        <v>549317.68999999994</v>
      </c>
      <c r="H91" s="564">
        <v>92767.724799999996</v>
      </c>
      <c r="I91" s="564"/>
      <c r="J91" s="564">
        <v>354403</v>
      </c>
      <c r="K91" s="564">
        <v>326252</v>
      </c>
      <c r="L91" s="564">
        <v>710064.3</v>
      </c>
      <c r="M91" s="564">
        <v>1206728.29</v>
      </c>
      <c r="N91" s="564">
        <v>1650484.49</v>
      </c>
      <c r="O91" s="564">
        <v>1443781.17</v>
      </c>
      <c r="P91" s="572">
        <v>1492929.3</v>
      </c>
      <c r="Q91" s="670" t="s">
        <v>481</v>
      </c>
      <c r="R91" s="661"/>
      <c r="S91" s="662"/>
      <c r="U91" s="662"/>
    </row>
    <row r="92" spans="1:21" s="663" customFormat="1" x14ac:dyDescent="0.25">
      <c r="A92" s="669" t="s">
        <v>482</v>
      </c>
      <c r="B92" s="656">
        <f t="shared" si="8"/>
        <v>152231.08000000002</v>
      </c>
      <c r="C92" s="564">
        <v>113461.91</v>
      </c>
      <c r="D92" s="564">
        <v>38769.17</v>
      </c>
      <c r="E92" s="564"/>
      <c r="F92" s="658">
        <f t="shared" si="9"/>
        <v>275820.99710000004</v>
      </c>
      <c r="G92" s="564">
        <v>156731.26</v>
      </c>
      <c r="H92" s="564">
        <v>119089.7371</v>
      </c>
      <c r="I92" s="564"/>
      <c r="J92" s="564">
        <v>81550</v>
      </c>
      <c r="K92" s="564">
        <v>136490</v>
      </c>
      <c r="L92" s="564">
        <v>209698.75</v>
      </c>
      <c r="M92" s="564">
        <v>217974.82</v>
      </c>
      <c r="N92" s="564">
        <v>279534.28000000003</v>
      </c>
      <c r="O92" s="564">
        <v>264445.05</v>
      </c>
      <c r="P92" s="572">
        <v>386661.52</v>
      </c>
      <c r="Q92" s="670" t="s">
        <v>483</v>
      </c>
      <c r="R92" s="661"/>
      <c r="S92" s="662"/>
      <c r="U92" s="662"/>
    </row>
    <row r="93" spans="1:21" s="663" customFormat="1" x14ac:dyDescent="0.25">
      <c r="A93" s="669" t="s">
        <v>484</v>
      </c>
      <c r="B93" s="656">
        <f t="shared" si="8"/>
        <v>206951.04000000001</v>
      </c>
      <c r="C93" s="564">
        <v>175973.44</v>
      </c>
      <c r="D93" s="564">
        <v>30977.599999999999</v>
      </c>
      <c r="E93" s="564"/>
      <c r="F93" s="658">
        <f t="shared" si="9"/>
        <v>540885.72169999999</v>
      </c>
      <c r="G93" s="564">
        <v>429930.81</v>
      </c>
      <c r="H93" s="564">
        <v>110954.9117</v>
      </c>
      <c r="I93" s="564"/>
      <c r="J93" s="564">
        <v>1191914</v>
      </c>
      <c r="K93" s="564">
        <v>1496268.33</v>
      </c>
      <c r="L93" s="564">
        <v>1724443.43</v>
      </c>
      <c r="M93" s="564">
        <v>2731994.18</v>
      </c>
      <c r="N93" s="564">
        <v>2721768.32</v>
      </c>
      <c r="O93" s="564">
        <v>2657874.0299999998</v>
      </c>
      <c r="P93" s="572">
        <v>2250507.38</v>
      </c>
      <c r="Q93" s="670" t="s">
        <v>485</v>
      </c>
      <c r="R93" s="661"/>
      <c r="S93" s="662"/>
      <c r="U93" s="662"/>
    </row>
    <row r="94" spans="1:21" s="663" customFormat="1" ht="17.25" x14ac:dyDescent="0.25">
      <c r="A94" s="669" t="s">
        <v>856</v>
      </c>
      <c r="B94" s="656">
        <f t="shared" si="8"/>
        <v>1883.6</v>
      </c>
      <c r="C94" s="564">
        <v>1883.6</v>
      </c>
      <c r="D94" s="564" t="s">
        <v>117</v>
      </c>
      <c r="E94" s="564"/>
      <c r="F94" s="658">
        <f t="shared" si="9"/>
        <v>9451.9199999999892</v>
      </c>
      <c r="G94" s="564">
        <v>9451.9199999999892</v>
      </c>
      <c r="H94" s="564" t="s">
        <v>117</v>
      </c>
      <c r="I94" s="564"/>
      <c r="J94" s="564"/>
      <c r="K94" s="564">
        <v>0</v>
      </c>
      <c r="L94" s="564">
        <v>0</v>
      </c>
      <c r="M94" s="564">
        <v>0</v>
      </c>
      <c r="N94" s="564">
        <v>0</v>
      </c>
      <c r="O94" s="564">
        <v>0</v>
      </c>
      <c r="P94" s="572">
        <v>0</v>
      </c>
      <c r="Q94" s="672" t="s">
        <v>857</v>
      </c>
      <c r="R94" s="661"/>
      <c r="S94" s="662"/>
      <c r="U94" s="662"/>
    </row>
    <row r="95" spans="1:21" s="663" customFormat="1" ht="12" customHeight="1" x14ac:dyDescent="0.25">
      <c r="A95" s="669"/>
      <c r="B95" s="656"/>
      <c r="C95" s="564"/>
      <c r="D95" s="564"/>
      <c r="E95" s="564"/>
      <c r="F95" s="658"/>
      <c r="G95" s="564"/>
      <c r="H95" s="564"/>
      <c r="I95" s="564"/>
      <c r="J95" s="564"/>
      <c r="K95" s="564"/>
      <c r="L95" s="564"/>
      <c r="M95" s="564"/>
      <c r="N95" s="564"/>
      <c r="O95" s="564"/>
      <c r="P95" s="564"/>
      <c r="Q95" s="673"/>
      <c r="R95" s="661"/>
      <c r="S95" s="662"/>
      <c r="U95" s="662"/>
    </row>
    <row r="96" spans="1:21" s="663" customFormat="1" x14ac:dyDescent="0.25">
      <c r="A96" s="667" t="s">
        <v>304</v>
      </c>
      <c r="B96" s="656">
        <f t="shared" si="8"/>
        <v>4940124.7489999998</v>
      </c>
      <c r="C96" s="546">
        <f>SUM(C97:C109)</f>
        <v>4753614.66</v>
      </c>
      <c r="D96" s="546">
        <f>SUM(D97:D109)</f>
        <v>186510.08900000001</v>
      </c>
      <c r="E96" s="546"/>
      <c r="F96" s="658">
        <f t="shared" si="9"/>
        <v>9106537.9256169852</v>
      </c>
      <c r="G96" s="546">
        <f>SUM(G97:G109)</f>
        <v>8418459.732716985</v>
      </c>
      <c r="H96" s="546">
        <f>SUM(H97:H109)</f>
        <v>688078.19289999967</v>
      </c>
      <c r="I96" s="546"/>
      <c r="J96" s="546">
        <f t="shared" ref="J96:P96" si="11">SUM(J97:J109)</f>
        <v>10273872</v>
      </c>
      <c r="K96" s="546">
        <f t="shared" si="11"/>
        <v>9666175.0999999754</v>
      </c>
      <c r="L96" s="546">
        <f t="shared" si="11"/>
        <v>15482386.66</v>
      </c>
      <c r="M96" s="546">
        <f t="shared" si="11"/>
        <v>21675172.101000007</v>
      </c>
      <c r="N96" s="546">
        <f t="shared" si="11"/>
        <v>26651220.370000005</v>
      </c>
      <c r="O96" s="546">
        <f t="shared" si="11"/>
        <v>30149104.175999999</v>
      </c>
      <c r="P96" s="546">
        <f t="shared" si="11"/>
        <v>33634879.119999997</v>
      </c>
      <c r="Q96" s="668" t="s">
        <v>305</v>
      </c>
      <c r="R96" s="661"/>
      <c r="S96" s="662"/>
      <c r="U96" s="662"/>
    </row>
    <row r="97" spans="1:21" s="663" customFormat="1" x14ac:dyDescent="0.25">
      <c r="A97" s="669" t="s">
        <v>487</v>
      </c>
      <c r="B97" s="656">
        <f t="shared" si="8"/>
        <v>300426.51</v>
      </c>
      <c r="C97" s="564">
        <v>253595.14</v>
      </c>
      <c r="D97" s="564">
        <v>46831.37</v>
      </c>
      <c r="E97" s="564"/>
      <c r="F97" s="658">
        <f t="shared" si="9"/>
        <v>557841.76759999886</v>
      </c>
      <c r="G97" s="564">
        <v>516712.53759999899</v>
      </c>
      <c r="H97" s="564">
        <v>41129.229999999901</v>
      </c>
      <c r="I97" s="564"/>
      <c r="J97" s="564">
        <v>174412</v>
      </c>
      <c r="K97" s="564">
        <v>158393.91999999899</v>
      </c>
      <c r="L97" s="564">
        <v>170837.14</v>
      </c>
      <c r="M97" s="564">
        <v>362232.12</v>
      </c>
      <c r="N97" s="564">
        <v>641767.24</v>
      </c>
      <c r="O97" s="564">
        <v>622427.88</v>
      </c>
      <c r="P97" s="572">
        <v>650742.19999999995</v>
      </c>
      <c r="Q97" s="670" t="s">
        <v>488</v>
      </c>
      <c r="R97" s="662"/>
      <c r="S97" s="662"/>
      <c r="U97" s="662"/>
    </row>
    <row r="98" spans="1:21" s="663" customFormat="1" x14ac:dyDescent="0.25">
      <c r="A98" s="669" t="s">
        <v>489</v>
      </c>
      <c r="B98" s="656">
        <f t="shared" si="8"/>
        <v>182871.33</v>
      </c>
      <c r="C98" s="564">
        <v>120476.45</v>
      </c>
      <c r="D98" s="564">
        <v>62394.879999999997</v>
      </c>
      <c r="E98" s="564"/>
      <c r="F98" s="658">
        <f t="shared" si="9"/>
        <v>195751.14</v>
      </c>
      <c r="G98" s="564">
        <v>165751.14000000001</v>
      </c>
      <c r="H98" s="564">
        <v>30000</v>
      </c>
      <c r="I98" s="564"/>
      <c r="J98" s="564">
        <v>8157</v>
      </c>
      <c r="K98" s="564">
        <v>6080.8199999999897</v>
      </c>
      <c r="L98" s="564">
        <v>61144.99</v>
      </c>
      <c r="M98" s="564">
        <v>383590.23</v>
      </c>
      <c r="N98" s="564">
        <v>576655.37</v>
      </c>
      <c r="O98" s="564">
        <v>520225.5</v>
      </c>
      <c r="P98" s="572">
        <v>472448.91</v>
      </c>
      <c r="Q98" s="670" t="s">
        <v>490</v>
      </c>
      <c r="R98" s="662"/>
      <c r="S98" s="662"/>
      <c r="U98" s="662"/>
    </row>
    <row r="99" spans="1:21" s="663" customFormat="1" x14ac:dyDescent="0.25">
      <c r="A99" s="669" t="s">
        <v>491</v>
      </c>
      <c r="B99" s="656">
        <f t="shared" si="8"/>
        <v>190539.25</v>
      </c>
      <c r="C99" s="564">
        <v>190539.25</v>
      </c>
      <c r="D99" s="564" t="s">
        <v>117</v>
      </c>
      <c r="E99" s="564"/>
      <c r="F99" s="658">
        <f t="shared" si="9"/>
        <v>541776.57899999898</v>
      </c>
      <c r="G99" s="564">
        <v>511098.86999999901</v>
      </c>
      <c r="H99" s="564">
        <v>30677.708999999999</v>
      </c>
      <c r="I99" s="564"/>
      <c r="J99" s="564">
        <v>1049514</v>
      </c>
      <c r="K99" s="564">
        <v>1256411.8199999989</v>
      </c>
      <c r="L99" s="564">
        <v>1569339.82</v>
      </c>
      <c r="M99" s="564">
        <v>2128974.84</v>
      </c>
      <c r="N99" s="564">
        <v>3513938.54</v>
      </c>
      <c r="O99" s="564">
        <v>6695836.9900000002</v>
      </c>
      <c r="P99" s="572">
        <v>8272140.9100000001</v>
      </c>
      <c r="Q99" s="670" t="s">
        <v>492</v>
      </c>
      <c r="R99" s="662"/>
      <c r="S99" s="662"/>
      <c r="U99" s="662"/>
    </row>
    <row r="100" spans="1:21" s="663" customFormat="1" x14ac:dyDescent="0.25">
      <c r="A100" s="669" t="s">
        <v>493</v>
      </c>
      <c r="B100" s="656">
        <f t="shared" si="8"/>
        <v>104501.52</v>
      </c>
      <c r="C100" s="564">
        <v>104501.52</v>
      </c>
      <c r="D100" s="564" t="s">
        <v>117</v>
      </c>
      <c r="E100" s="564"/>
      <c r="F100" s="658">
        <f t="shared" si="9"/>
        <v>111956.22</v>
      </c>
      <c r="G100" s="564">
        <v>111956.22</v>
      </c>
      <c r="H100" s="564" t="s">
        <v>117</v>
      </c>
      <c r="I100" s="564"/>
      <c r="J100" s="564">
        <v>0</v>
      </c>
      <c r="K100" s="564">
        <v>12908.9</v>
      </c>
      <c r="L100" s="564">
        <v>45417.67</v>
      </c>
      <c r="M100" s="564">
        <v>174813.16</v>
      </c>
      <c r="N100" s="564">
        <v>307325.44</v>
      </c>
      <c r="O100" s="564">
        <v>258660.22</v>
      </c>
      <c r="P100" s="572">
        <v>296624.12</v>
      </c>
      <c r="Q100" s="670" t="s">
        <v>494</v>
      </c>
      <c r="R100" s="662"/>
      <c r="S100" s="662"/>
      <c r="U100" s="662"/>
    </row>
    <row r="101" spans="1:21" s="663" customFormat="1" x14ac:dyDescent="0.25">
      <c r="A101" s="669" t="s">
        <v>495</v>
      </c>
      <c r="B101" s="656">
        <f t="shared" si="8"/>
        <v>124169.17</v>
      </c>
      <c r="C101" s="564">
        <v>124169.17</v>
      </c>
      <c r="D101" s="564" t="s">
        <v>117</v>
      </c>
      <c r="E101" s="564"/>
      <c r="F101" s="658">
        <f t="shared" si="9"/>
        <v>184167.20999999897</v>
      </c>
      <c r="G101" s="564">
        <v>184167.20999999897</v>
      </c>
      <c r="H101" s="564" t="s">
        <v>117</v>
      </c>
      <c r="I101" s="564"/>
      <c r="J101" s="564">
        <v>0</v>
      </c>
      <c r="K101" s="564">
        <v>12176.25</v>
      </c>
      <c r="L101" s="564">
        <v>71157.56</v>
      </c>
      <c r="M101" s="564">
        <v>218391.37</v>
      </c>
      <c r="N101" s="564">
        <v>450463.44</v>
      </c>
      <c r="O101" s="564">
        <v>395894.86</v>
      </c>
      <c r="P101" s="572">
        <v>435665.08</v>
      </c>
      <c r="Q101" s="670" t="s">
        <v>496</v>
      </c>
      <c r="R101" s="662"/>
      <c r="S101" s="662"/>
      <c r="U101" s="662"/>
    </row>
    <row r="102" spans="1:21" s="663" customFormat="1" x14ac:dyDescent="0.25">
      <c r="A102" s="669" t="s">
        <v>497</v>
      </c>
      <c r="B102" s="656">
        <f t="shared" si="8"/>
        <v>441310.25999999995</v>
      </c>
      <c r="C102" s="564">
        <v>435253.16</v>
      </c>
      <c r="D102" s="564">
        <v>6057.1</v>
      </c>
      <c r="E102" s="564"/>
      <c r="F102" s="658">
        <f t="shared" si="9"/>
        <v>645127.01439999789</v>
      </c>
      <c r="G102" s="564">
        <v>589949.83299999801</v>
      </c>
      <c r="H102" s="564">
        <v>55177.181399999899</v>
      </c>
      <c r="I102" s="564"/>
      <c r="J102" s="564">
        <v>427213</v>
      </c>
      <c r="K102" s="564">
        <v>475620.15999999898</v>
      </c>
      <c r="L102" s="564">
        <v>431435.39</v>
      </c>
      <c r="M102" s="564">
        <v>1185989.03</v>
      </c>
      <c r="N102" s="564">
        <v>1386717.03</v>
      </c>
      <c r="O102" s="564">
        <v>1594079.5360000001</v>
      </c>
      <c r="P102" s="572">
        <v>1712784.49</v>
      </c>
      <c r="Q102" s="670" t="s">
        <v>498</v>
      </c>
      <c r="R102" s="662"/>
      <c r="S102" s="662"/>
      <c r="U102" s="662"/>
    </row>
    <row r="103" spans="1:21" s="663" customFormat="1" x14ac:dyDescent="0.25">
      <c r="A103" s="669" t="s">
        <v>499</v>
      </c>
      <c r="B103" s="656">
        <f t="shared" si="8"/>
        <v>208395.23</v>
      </c>
      <c r="C103" s="564">
        <v>208395.23</v>
      </c>
      <c r="D103" s="564" t="s">
        <v>117</v>
      </c>
      <c r="E103" s="564"/>
      <c r="F103" s="658">
        <f t="shared" si="9"/>
        <v>261143.93549999999</v>
      </c>
      <c r="G103" s="564">
        <v>261143.93549999999</v>
      </c>
      <c r="H103" s="564" t="s">
        <v>117</v>
      </c>
      <c r="I103" s="564"/>
      <c r="J103" s="564">
        <v>108702</v>
      </c>
      <c r="K103" s="564">
        <v>172132.61</v>
      </c>
      <c r="L103" s="564">
        <v>248420</v>
      </c>
      <c r="M103" s="564">
        <v>359272.72</v>
      </c>
      <c r="N103" s="564">
        <v>344303.16000000003</v>
      </c>
      <c r="O103" s="564">
        <v>384536.98</v>
      </c>
      <c r="P103" s="572">
        <v>543336.61</v>
      </c>
      <c r="Q103" s="670" t="s">
        <v>500</v>
      </c>
      <c r="R103" s="662"/>
      <c r="S103" s="662"/>
      <c r="U103" s="662"/>
    </row>
    <row r="104" spans="1:21" s="663" customFormat="1" x14ac:dyDescent="0.25">
      <c r="A104" s="669" t="s">
        <v>501</v>
      </c>
      <c r="B104" s="656">
        <f t="shared" si="8"/>
        <v>1569465.6099999999</v>
      </c>
      <c r="C104" s="564">
        <v>1537200.92</v>
      </c>
      <c r="D104" s="564">
        <v>32264.69</v>
      </c>
      <c r="E104" s="564"/>
      <c r="F104" s="658">
        <f t="shared" si="9"/>
        <v>2130867.0562</v>
      </c>
      <c r="G104" s="564">
        <v>1975679.25</v>
      </c>
      <c r="H104" s="564">
        <v>155187.80619999999</v>
      </c>
      <c r="I104" s="564"/>
      <c r="J104" s="564">
        <v>5422842</v>
      </c>
      <c r="K104" s="564">
        <v>4906160.1999999899</v>
      </c>
      <c r="L104" s="564">
        <v>8875930.7599999998</v>
      </c>
      <c r="M104" s="564">
        <v>11092706.071</v>
      </c>
      <c r="N104" s="564">
        <v>12930193.189999999</v>
      </c>
      <c r="O104" s="564">
        <v>13539843.4</v>
      </c>
      <c r="P104" s="572">
        <v>14161686.449999999</v>
      </c>
      <c r="Q104" s="670" t="s">
        <v>502</v>
      </c>
      <c r="R104" s="662"/>
      <c r="S104" s="662"/>
      <c r="U104" s="662"/>
    </row>
    <row r="105" spans="1:21" s="663" customFormat="1" x14ac:dyDescent="0.25">
      <c r="A105" s="669" t="s">
        <v>503</v>
      </c>
      <c r="B105" s="656">
        <f t="shared" si="8"/>
        <v>928523.5</v>
      </c>
      <c r="C105" s="564">
        <v>902266.98</v>
      </c>
      <c r="D105" s="564">
        <v>26256.52</v>
      </c>
      <c r="E105" s="564"/>
      <c r="F105" s="658">
        <f t="shared" si="9"/>
        <v>2573988.8990170001</v>
      </c>
      <c r="G105" s="564">
        <v>2380017.6966170003</v>
      </c>
      <c r="H105" s="564">
        <v>193971.20240000001</v>
      </c>
      <c r="I105" s="564"/>
      <c r="J105" s="564">
        <v>2258058</v>
      </c>
      <c r="K105" s="564">
        <v>1716123.0799999898</v>
      </c>
      <c r="L105" s="564">
        <v>2619512.86</v>
      </c>
      <c r="M105" s="564">
        <v>3385799.49</v>
      </c>
      <c r="N105" s="564">
        <v>3618460.4400000004</v>
      </c>
      <c r="O105" s="564">
        <v>3563940.13</v>
      </c>
      <c r="P105" s="572">
        <v>4475277.03</v>
      </c>
      <c r="Q105" s="670" t="s">
        <v>504</v>
      </c>
      <c r="R105" s="661"/>
      <c r="S105" s="662"/>
      <c r="U105" s="662"/>
    </row>
    <row r="106" spans="1:21" s="663" customFormat="1" x14ac:dyDescent="0.25">
      <c r="A106" s="669" t="s">
        <v>505</v>
      </c>
      <c r="B106" s="656">
        <f t="shared" si="8"/>
        <v>519784.56</v>
      </c>
      <c r="C106" s="564">
        <v>514579.96</v>
      </c>
      <c r="D106" s="564">
        <v>5204.6000000000004</v>
      </c>
      <c r="E106" s="564"/>
      <c r="F106" s="658">
        <f t="shared" si="9"/>
        <v>1196760.06069999</v>
      </c>
      <c r="G106" s="564">
        <v>1086358.1499999901</v>
      </c>
      <c r="H106" s="564">
        <v>110401.91069999999</v>
      </c>
      <c r="I106" s="564"/>
      <c r="J106" s="564">
        <v>511716</v>
      </c>
      <c r="K106" s="564">
        <v>544674.91999999993</v>
      </c>
      <c r="L106" s="564">
        <v>773734.9</v>
      </c>
      <c r="M106" s="564">
        <v>1305030.6000000001</v>
      </c>
      <c r="N106" s="564">
        <v>1668405.7100000002</v>
      </c>
      <c r="O106" s="564">
        <v>1417131.62</v>
      </c>
      <c r="P106" s="572">
        <v>1355215.83</v>
      </c>
      <c r="Q106" s="670" t="s">
        <v>506</v>
      </c>
      <c r="R106" s="661"/>
      <c r="S106" s="662"/>
      <c r="U106" s="662"/>
    </row>
    <row r="107" spans="1:21" s="663" customFormat="1" x14ac:dyDescent="0.25">
      <c r="A107" s="669" t="s">
        <v>507</v>
      </c>
      <c r="B107" s="656">
        <f t="shared" si="8"/>
        <v>70688.27</v>
      </c>
      <c r="C107" s="564">
        <v>70688.27</v>
      </c>
      <c r="D107" s="564" t="s">
        <v>117</v>
      </c>
      <c r="E107" s="564"/>
      <c r="F107" s="658">
        <f t="shared" si="9"/>
        <v>201514.4632</v>
      </c>
      <c r="G107" s="564">
        <v>159981.31</v>
      </c>
      <c r="H107" s="564">
        <v>41533.153200000001</v>
      </c>
      <c r="I107" s="564"/>
      <c r="J107" s="564">
        <v>0</v>
      </c>
      <c r="K107" s="564">
        <v>1544.1599999999901</v>
      </c>
      <c r="L107" s="564">
        <v>5200</v>
      </c>
      <c r="M107" s="564">
        <v>60645.599999999999</v>
      </c>
      <c r="N107" s="564">
        <v>142165.76000000001</v>
      </c>
      <c r="O107" s="564">
        <v>185659.08</v>
      </c>
      <c r="P107" s="572">
        <v>168343</v>
      </c>
      <c r="Q107" s="670" t="s">
        <v>508</v>
      </c>
      <c r="R107" s="661"/>
      <c r="S107" s="662"/>
      <c r="U107" s="662"/>
    </row>
    <row r="108" spans="1:21" s="663" customFormat="1" x14ac:dyDescent="0.25">
      <c r="A108" s="669" t="s">
        <v>509</v>
      </c>
      <c r="B108" s="656">
        <f t="shared" si="8"/>
        <v>71372.548999999999</v>
      </c>
      <c r="C108" s="564">
        <v>63871.62</v>
      </c>
      <c r="D108" s="564">
        <v>7500.9290000000001</v>
      </c>
      <c r="E108" s="564"/>
      <c r="F108" s="658">
        <f t="shared" si="9"/>
        <v>160312.26999999999</v>
      </c>
      <c r="G108" s="564">
        <v>130312.26999999999</v>
      </c>
      <c r="H108" s="564">
        <v>30000</v>
      </c>
      <c r="I108" s="564"/>
      <c r="J108" s="564">
        <v>0</v>
      </c>
      <c r="K108" s="564">
        <v>100</v>
      </c>
      <c r="L108" s="564">
        <v>5240</v>
      </c>
      <c r="M108" s="564">
        <v>26717.51</v>
      </c>
      <c r="N108" s="564">
        <v>63135.969999999994</v>
      </c>
      <c r="O108" s="564">
        <v>120442.06</v>
      </c>
      <c r="P108" s="572">
        <v>115184.51</v>
      </c>
      <c r="Q108" s="670" t="s">
        <v>510</v>
      </c>
      <c r="R108" s="661"/>
      <c r="S108" s="662"/>
      <c r="U108" s="662"/>
    </row>
    <row r="109" spans="1:21" s="663" customFormat="1" x14ac:dyDescent="0.25">
      <c r="A109" s="669" t="s">
        <v>406</v>
      </c>
      <c r="B109" s="656">
        <f t="shared" si="8"/>
        <v>228076.99</v>
      </c>
      <c r="C109" s="564">
        <v>228076.99</v>
      </c>
      <c r="D109" s="564" t="s">
        <v>117</v>
      </c>
      <c r="E109" s="564"/>
      <c r="F109" s="658">
        <f t="shared" si="9"/>
        <v>345331.31</v>
      </c>
      <c r="G109" s="564">
        <v>345331.31</v>
      </c>
      <c r="H109" s="564"/>
      <c r="I109" s="564"/>
      <c r="J109" s="564">
        <v>313258</v>
      </c>
      <c r="K109" s="564">
        <v>403848.26</v>
      </c>
      <c r="L109" s="564">
        <v>605015.56999999995</v>
      </c>
      <c r="M109" s="564">
        <v>991009.36</v>
      </c>
      <c r="N109" s="564">
        <v>1007689.0800000001</v>
      </c>
      <c r="O109" s="564">
        <v>850425.92</v>
      </c>
      <c r="P109" s="572">
        <v>975429.98</v>
      </c>
      <c r="Q109" s="670" t="s">
        <v>407</v>
      </c>
      <c r="R109" s="662"/>
      <c r="S109" s="662"/>
      <c r="U109" s="662"/>
    </row>
    <row r="110" spans="1:21" s="663" customFormat="1" ht="6" customHeight="1" x14ac:dyDescent="0.25">
      <c r="A110" s="669"/>
      <c r="B110" s="656"/>
      <c r="C110" s="564"/>
      <c r="D110" s="564"/>
      <c r="E110" s="564"/>
      <c r="F110" s="658"/>
      <c r="G110" s="564"/>
      <c r="H110" s="564"/>
      <c r="I110" s="564"/>
      <c r="J110" s="564"/>
      <c r="K110" s="564"/>
      <c r="L110" s="564"/>
      <c r="M110" s="564"/>
      <c r="N110" s="564"/>
      <c r="O110" s="564"/>
      <c r="P110" s="564"/>
      <c r="Q110" s="673"/>
      <c r="R110" s="662"/>
      <c r="S110" s="662"/>
      <c r="U110" s="662"/>
    </row>
    <row r="111" spans="1:21" s="663" customFormat="1" x14ac:dyDescent="0.25">
      <c r="A111" s="667" t="s">
        <v>306</v>
      </c>
      <c r="B111" s="656">
        <f t="shared" si="8"/>
        <v>6033668.5216999995</v>
      </c>
      <c r="C111" s="546">
        <f>SUM(C112:C116)</f>
        <v>5335350.8499999996</v>
      </c>
      <c r="D111" s="546">
        <f>SUM(D112:D115)</f>
        <v>698317.67170000006</v>
      </c>
      <c r="E111" s="546"/>
      <c r="F111" s="658">
        <f t="shared" si="9"/>
        <v>7587552.8982999995</v>
      </c>
      <c r="G111" s="546">
        <f>SUM(G112:G116)</f>
        <v>6887507.7994999997</v>
      </c>
      <c r="H111" s="546">
        <f>SUM(H112:H116)</f>
        <v>700045.09880000004</v>
      </c>
      <c r="I111" s="546"/>
      <c r="J111" s="546">
        <f t="shared" ref="J111:P111" si="12">SUM(J112:J116)</f>
        <v>19693974</v>
      </c>
      <c r="K111" s="546">
        <f t="shared" si="12"/>
        <v>17144245.799999919</v>
      </c>
      <c r="L111" s="546">
        <f t="shared" si="12"/>
        <v>23688972.940000001</v>
      </c>
      <c r="M111" s="546">
        <f t="shared" si="12"/>
        <v>27147750.809999999</v>
      </c>
      <c r="N111" s="546">
        <f t="shared" si="12"/>
        <v>31816789.559999999</v>
      </c>
      <c r="O111" s="546">
        <f t="shared" si="12"/>
        <v>38642931.219999999</v>
      </c>
      <c r="P111" s="546">
        <f t="shared" si="12"/>
        <v>35692529.050000004</v>
      </c>
      <c r="Q111" s="668" t="s">
        <v>307</v>
      </c>
      <c r="R111" s="662"/>
      <c r="S111" s="662"/>
      <c r="U111" s="662"/>
    </row>
    <row r="112" spans="1:21" s="663" customFormat="1" x14ac:dyDescent="0.25">
      <c r="A112" s="669" t="s">
        <v>511</v>
      </c>
      <c r="B112" s="656">
        <f t="shared" si="8"/>
        <v>1991050.2417000001</v>
      </c>
      <c r="C112" s="564">
        <v>1558116.24</v>
      </c>
      <c r="D112" s="564">
        <v>432934.00170000002</v>
      </c>
      <c r="E112" s="564"/>
      <c r="F112" s="658">
        <f t="shared" si="9"/>
        <v>2487937.3207999999</v>
      </c>
      <c r="G112" s="564">
        <v>2145585.1949999998</v>
      </c>
      <c r="H112" s="564">
        <v>342352.12579999998</v>
      </c>
      <c r="I112" s="564"/>
      <c r="J112" s="564">
        <v>3810512</v>
      </c>
      <c r="K112" s="564">
        <v>4125961.3499999703</v>
      </c>
      <c r="L112" s="564">
        <v>5211588.9800000004</v>
      </c>
      <c r="M112" s="564">
        <v>5255065.95</v>
      </c>
      <c r="N112" s="564">
        <v>5472344.1100000003</v>
      </c>
      <c r="O112" s="564">
        <v>7209527.79</v>
      </c>
      <c r="P112" s="572">
        <v>7181298.0300000003</v>
      </c>
      <c r="Q112" s="670" t="s">
        <v>512</v>
      </c>
      <c r="R112" s="661"/>
      <c r="S112" s="662"/>
      <c r="U112" s="662"/>
    </row>
    <row r="113" spans="1:21" s="663" customFormat="1" x14ac:dyDescent="0.25">
      <c r="A113" s="669" t="s">
        <v>513</v>
      </c>
      <c r="B113" s="656">
        <f t="shared" si="8"/>
        <v>3209520.4540000004</v>
      </c>
      <c r="C113" s="564">
        <v>3046702.97</v>
      </c>
      <c r="D113" s="564">
        <v>162817.484</v>
      </c>
      <c r="E113" s="564"/>
      <c r="F113" s="658">
        <f t="shared" si="9"/>
        <v>3725337.2716000103</v>
      </c>
      <c r="G113" s="564">
        <v>3460259.0945000104</v>
      </c>
      <c r="H113" s="564">
        <v>265078.17709999997</v>
      </c>
      <c r="I113" s="564"/>
      <c r="J113" s="564">
        <v>12607569</v>
      </c>
      <c r="K113" s="564">
        <v>9868936.4599999487</v>
      </c>
      <c r="L113" s="564">
        <v>14589799.16</v>
      </c>
      <c r="M113" s="564">
        <v>18087255.73</v>
      </c>
      <c r="N113" s="564">
        <v>21723160.109999999</v>
      </c>
      <c r="O113" s="564">
        <v>25819817.02</v>
      </c>
      <c r="P113" s="572">
        <v>23698861.219999999</v>
      </c>
      <c r="Q113" s="670" t="s">
        <v>514</v>
      </c>
      <c r="R113" s="661"/>
      <c r="S113" s="662"/>
      <c r="U113" s="662"/>
    </row>
    <row r="114" spans="1:21" s="663" customFormat="1" x14ac:dyDescent="0.25">
      <c r="A114" s="669" t="s">
        <v>515</v>
      </c>
      <c r="B114" s="656">
        <f t="shared" si="8"/>
        <v>667227.326</v>
      </c>
      <c r="C114" s="564">
        <v>572319.22</v>
      </c>
      <c r="D114" s="564">
        <v>94908.106</v>
      </c>
      <c r="E114" s="564"/>
      <c r="F114" s="658">
        <f t="shared" si="9"/>
        <v>1196704.29589999</v>
      </c>
      <c r="G114" s="564">
        <v>1111622.1699999899</v>
      </c>
      <c r="H114" s="564">
        <v>85082.125899999999</v>
      </c>
      <c r="I114" s="564"/>
      <c r="J114" s="564">
        <v>3090679</v>
      </c>
      <c r="K114" s="564">
        <v>2906821.45</v>
      </c>
      <c r="L114" s="564">
        <v>3692388.03</v>
      </c>
      <c r="M114" s="564">
        <v>3325713.58</v>
      </c>
      <c r="N114" s="564">
        <v>3919278.3</v>
      </c>
      <c r="O114" s="564">
        <v>4993687.78</v>
      </c>
      <c r="P114" s="572">
        <v>4275261.9800000004</v>
      </c>
      <c r="Q114" s="670" t="s">
        <v>516</v>
      </c>
      <c r="R114" s="661"/>
      <c r="S114" s="662"/>
      <c r="U114" s="662"/>
    </row>
    <row r="115" spans="1:21" s="663" customFormat="1" x14ac:dyDescent="0.25">
      <c r="A115" s="669" t="s">
        <v>517</v>
      </c>
      <c r="B115" s="656">
        <f t="shared" si="8"/>
        <v>165870.5</v>
      </c>
      <c r="C115" s="564">
        <v>158212.42000000001</v>
      </c>
      <c r="D115" s="564">
        <v>7658.08</v>
      </c>
      <c r="E115" s="564"/>
      <c r="F115" s="658">
        <f t="shared" si="9"/>
        <v>177326.21000000002</v>
      </c>
      <c r="G115" s="564">
        <v>169793.54</v>
      </c>
      <c r="H115" s="564">
        <v>7532.67</v>
      </c>
      <c r="I115" s="564"/>
      <c r="J115" s="564">
        <v>184529</v>
      </c>
      <c r="K115" s="564">
        <v>177945.59</v>
      </c>
      <c r="L115" s="564">
        <v>195196.77</v>
      </c>
      <c r="M115" s="564">
        <v>479715.55</v>
      </c>
      <c r="N115" s="564">
        <v>702007.04</v>
      </c>
      <c r="O115" s="564">
        <v>619898.63</v>
      </c>
      <c r="P115" s="572">
        <v>537107.81999999995</v>
      </c>
      <c r="Q115" s="670" t="s">
        <v>518</v>
      </c>
      <c r="R115" s="661"/>
      <c r="S115" s="662"/>
      <c r="U115" s="662"/>
    </row>
    <row r="116" spans="1:21" s="663" customFormat="1" x14ac:dyDescent="0.25">
      <c r="A116" s="669" t="s">
        <v>519</v>
      </c>
      <c r="B116" s="656"/>
      <c r="C116" s="564" t="s">
        <v>117</v>
      </c>
      <c r="D116" s="564" t="s">
        <v>117</v>
      </c>
      <c r="E116" s="564"/>
      <c r="F116" s="658">
        <f t="shared" si="9"/>
        <v>247.8</v>
      </c>
      <c r="G116" s="564">
        <v>247.8</v>
      </c>
      <c r="H116" s="564" t="s">
        <v>117</v>
      </c>
      <c r="I116" s="564"/>
      <c r="J116" s="564">
        <v>685</v>
      </c>
      <c r="K116" s="564">
        <v>64580.95</v>
      </c>
      <c r="L116" s="564"/>
      <c r="M116" s="564">
        <v>0</v>
      </c>
      <c r="N116" s="564">
        <v>0</v>
      </c>
      <c r="O116" s="564">
        <v>0</v>
      </c>
      <c r="P116" s="572">
        <v>0</v>
      </c>
      <c r="Q116" s="670" t="s">
        <v>520</v>
      </c>
      <c r="R116" s="661"/>
      <c r="S116" s="662"/>
      <c r="U116" s="662"/>
    </row>
    <row r="117" spans="1:21" s="663" customFormat="1" ht="7.5" customHeight="1" x14ac:dyDescent="0.25">
      <c r="A117" s="669"/>
      <c r="B117" s="656"/>
      <c r="C117" s="564"/>
      <c r="D117" s="564"/>
      <c r="E117" s="564"/>
      <c r="F117" s="658"/>
      <c r="G117" s="564"/>
      <c r="H117" s="564"/>
      <c r="I117" s="564"/>
      <c r="J117" s="564"/>
      <c r="K117" s="564"/>
      <c r="L117" s="564"/>
      <c r="M117" s="564"/>
      <c r="N117" s="564"/>
      <c r="O117" s="564"/>
      <c r="P117" s="564"/>
      <c r="Q117" s="673"/>
      <c r="R117" s="661"/>
      <c r="S117" s="662"/>
      <c r="U117" s="662"/>
    </row>
    <row r="118" spans="1:21" s="663" customFormat="1" x14ac:dyDescent="0.25">
      <c r="A118" s="667" t="s">
        <v>308</v>
      </c>
      <c r="B118" s="656">
        <f t="shared" si="8"/>
        <v>2697275.7549999999</v>
      </c>
      <c r="C118" s="546">
        <f>SUM(C119:C127)</f>
        <v>2495813.3199999998</v>
      </c>
      <c r="D118" s="546">
        <f>SUM(D119:D127)</f>
        <v>201462.43500000003</v>
      </c>
      <c r="E118" s="546"/>
      <c r="F118" s="658">
        <f t="shared" si="9"/>
        <v>4579405.779699997</v>
      </c>
      <c r="G118" s="546">
        <f>SUM(G119:G127)</f>
        <v>4075372.9319999972</v>
      </c>
      <c r="H118" s="546">
        <f>SUM(H119:H127)</f>
        <v>504032.84769999993</v>
      </c>
      <c r="I118" s="546"/>
      <c r="J118" s="546">
        <f t="shared" ref="J118:P118" si="13">SUM(J119:J127)</f>
        <v>4089031</v>
      </c>
      <c r="K118" s="546">
        <f t="shared" si="13"/>
        <v>4086512.3099999991</v>
      </c>
      <c r="L118" s="546">
        <f t="shared" si="13"/>
        <v>7724957.6299999999</v>
      </c>
      <c r="M118" s="546">
        <f t="shared" si="13"/>
        <v>12281541.290000001</v>
      </c>
      <c r="N118" s="546">
        <f t="shared" si="13"/>
        <v>14543865.75</v>
      </c>
      <c r="O118" s="546">
        <f t="shared" si="13"/>
        <v>15450866.840299999</v>
      </c>
      <c r="P118" s="546">
        <f t="shared" si="13"/>
        <v>15019880.844000001</v>
      </c>
      <c r="Q118" s="668" t="s">
        <v>309</v>
      </c>
      <c r="R118" s="661"/>
      <c r="S118" s="662"/>
      <c r="U118" s="662"/>
    </row>
    <row r="119" spans="1:21" s="663" customFormat="1" x14ac:dyDescent="0.25">
      <c r="A119" s="669" t="s">
        <v>521</v>
      </c>
      <c r="B119" s="656">
        <f t="shared" si="8"/>
        <v>365078.86499999999</v>
      </c>
      <c r="C119" s="564">
        <v>323482.36</v>
      </c>
      <c r="D119" s="564">
        <v>41596.504999999997</v>
      </c>
      <c r="E119" s="564"/>
      <c r="F119" s="658">
        <f t="shared" si="9"/>
        <v>618353.82579999894</v>
      </c>
      <c r="G119" s="564">
        <v>614414.16999999899</v>
      </c>
      <c r="H119" s="564">
        <v>3939.6558</v>
      </c>
      <c r="I119" s="564"/>
      <c r="J119" s="564">
        <v>1502837</v>
      </c>
      <c r="K119" s="564">
        <v>965466.09000000008</v>
      </c>
      <c r="L119" s="564">
        <v>1686982.19</v>
      </c>
      <c r="M119" s="564">
        <v>2023441.13</v>
      </c>
      <c r="N119" s="564">
        <v>2607396.13</v>
      </c>
      <c r="O119" s="564">
        <v>2976756.51</v>
      </c>
      <c r="P119" s="572">
        <v>2626593</v>
      </c>
      <c r="Q119" s="670" t="s">
        <v>522</v>
      </c>
      <c r="R119" s="661"/>
      <c r="S119" s="662"/>
      <c r="U119" s="662"/>
    </row>
    <row r="120" spans="1:21" s="663" customFormat="1" x14ac:dyDescent="0.25">
      <c r="A120" s="669" t="s">
        <v>523</v>
      </c>
      <c r="B120" s="656">
        <f t="shared" si="8"/>
        <v>233139.88</v>
      </c>
      <c r="C120" s="564">
        <v>227974.1</v>
      </c>
      <c r="D120" s="564">
        <v>5165.78</v>
      </c>
      <c r="E120" s="564"/>
      <c r="F120" s="658">
        <f t="shared" si="9"/>
        <v>426777.78699999902</v>
      </c>
      <c r="G120" s="564">
        <v>425376.87999999902</v>
      </c>
      <c r="H120" s="564">
        <v>1400.9069999999999</v>
      </c>
      <c r="I120" s="564"/>
      <c r="J120" s="564">
        <v>299368</v>
      </c>
      <c r="K120" s="564">
        <v>542718.26</v>
      </c>
      <c r="L120" s="564">
        <v>785531.32</v>
      </c>
      <c r="M120" s="564">
        <v>880446.88</v>
      </c>
      <c r="N120" s="564">
        <v>758286.34000000008</v>
      </c>
      <c r="O120" s="564">
        <v>765230.05</v>
      </c>
      <c r="P120" s="572">
        <v>879133.67</v>
      </c>
      <c r="Q120" s="670" t="s">
        <v>524</v>
      </c>
      <c r="R120" s="662"/>
      <c r="S120" s="662"/>
      <c r="U120" s="662"/>
    </row>
    <row r="121" spans="1:21" s="663" customFormat="1" x14ac:dyDescent="0.25">
      <c r="A121" s="669" t="s">
        <v>525</v>
      </c>
      <c r="B121" s="656">
        <f t="shared" si="8"/>
        <v>288251.02</v>
      </c>
      <c r="C121" s="564">
        <v>192475.17</v>
      </c>
      <c r="D121" s="564">
        <v>95775.85</v>
      </c>
      <c r="E121" s="564"/>
      <c r="F121" s="658">
        <f t="shared" si="9"/>
        <v>490479.68999999994</v>
      </c>
      <c r="G121" s="564">
        <v>313259.32999999996</v>
      </c>
      <c r="H121" s="564">
        <v>177220.36</v>
      </c>
      <c r="I121" s="564"/>
      <c r="J121" s="564">
        <v>47308</v>
      </c>
      <c r="K121" s="564">
        <v>217667.25</v>
      </c>
      <c r="L121" s="564">
        <v>378379</v>
      </c>
      <c r="M121" s="564">
        <v>933943.47</v>
      </c>
      <c r="N121" s="564">
        <v>912630.24999999988</v>
      </c>
      <c r="O121" s="564">
        <v>1215402.8600000001</v>
      </c>
      <c r="P121" s="572">
        <v>1100517.42</v>
      </c>
      <c r="Q121" s="670" t="s">
        <v>526</v>
      </c>
      <c r="R121" s="662"/>
      <c r="S121" s="662"/>
      <c r="U121" s="662"/>
    </row>
    <row r="122" spans="1:21" s="663" customFormat="1" x14ac:dyDescent="0.25">
      <c r="A122" s="669" t="s">
        <v>527</v>
      </c>
      <c r="B122" s="656">
        <f t="shared" si="8"/>
        <v>422997.52</v>
      </c>
      <c r="C122" s="564">
        <v>383877.71</v>
      </c>
      <c r="D122" s="564">
        <v>39119.81</v>
      </c>
      <c r="E122" s="564"/>
      <c r="F122" s="658">
        <f t="shared" si="9"/>
        <v>567946.89480000001</v>
      </c>
      <c r="G122" s="564">
        <v>517849.13199999998</v>
      </c>
      <c r="H122" s="564">
        <v>50097.762799999997</v>
      </c>
      <c r="I122" s="564"/>
      <c r="J122" s="564">
        <v>758702</v>
      </c>
      <c r="K122" s="564">
        <v>696462.35000000009</v>
      </c>
      <c r="L122" s="564">
        <v>1321672.06</v>
      </c>
      <c r="M122" s="564">
        <v>2358049.16</v>
      </c>
      <c r="N122" s="564">
        <v>2087148.0899999999</v>
      </c>
      <c r="O122" s="564">
        <v>2490180.0299999998</v>
      </c>
      <c r="P122" s="572">
        <v>2188819.79</v>
      </c>
      <c r="Q122" s="670" t="s">
        <v>528</v>
      </c>
      <c r="R122" s="662"/>
      <c r="S122" s="662"/>
      <c r="U122" s="662"/>
    </row>
    <row r="123" spans="1:21" s="663" customFormat="1" x14ac:dyDescent="0.25">
      <c r="A123" s="669" t="s">
        <v>529</v>
      </c>
      <c r="B123" s="656">
        <f t="shared" si="8"/>
        <v>211412.73</v>
      </c>
      <c r="C123" s="564">
        <v>211412.73</v>
      </c>
      <c r="D123" s="564" t="s">
        <v>117</v>
      </c>
      <c r="E123" s="564"/>
      <c r="F123" s="658">
        <f t="shared" si="9"/>
        <v>263496.51</v>
      </c>
      <c r="G123" s="564">
        <v>263496.51</v>
      </c>
      <c r="H123" s="564"/>
      <c r="I123" s="564"/>
      <c r="J123" s="564">
        <v>87875</v>
      </c>
      <c r="K123" s="564">
        <v>200325</v>
      </c>
      <c r="L123" s="564">
        <v>345484</v>
      </c>
      <c r="M123" s="564">
        <v>486100.11</v>
      </c>
      <c r="N123" s="564">
        <v>800334.13</v>
      </c>
      <c r="O123" s="564">
        <v>884747.67</v>
      </c>
      <c r="P123" s="572">
        <v>902402.58</v>
      </c>
      <c r="Q123" s="670" t="s">
        <v>530</v>
      </c>
      <c r="R123" s="661"/>
      <c r="S123" s="662"/>
      <c r="U123" s="662"/>
    </row>
    <row r="124" spans="1:21" s="663" customFormat="1" x14ac:dyDescent="0.25">
      <c r="A124" s="669" t="s">
        <v>531</v>
      </c>
      <c r="B124" s="656">
        <f t="shared" si="8"/>
        <v>358777.88999999996</v>
      </c>
      <c r="C124" s="564">
        <v>348167.41</v>
      </c>
      <c r="D124" s="564">
        <v>10610.48</v>
      </c>
      <c r="E124" s="564"/>
      <c r="F124" s="658">
        <f t="shared" si="9"/>
        <v>678203.31960000005</v>
      </c>
      <c r="G124" s="564">
        <v>645545.6100000001</v>
      </c>
      <c r="H124" s="564">
        <v>32657.709599999998</v>
      </c>
      <c r="I124" s="564"/>
      <c r="J124" s="564">
        <v>43214</v>
      </c>
      <c r="K124" s="564">
        <v>179981.71999999898</v>
      </c>
      <c r="L124" s="564">
        <v>733764.13</v>
      </c>
      <c r="M124" s="564">
        <v>732587.88</v>
      </c>
      <c r="N124" s="564">
        <v>1119073.06</v>
      </c>
      <c r="O124" s="564">
        <v>1168094.32</v>
      </c>
      <c r="P124" s="572">
        <v>1323460.1200000001</v>
      </c>
      <c r="Q124" s="670" t="s">
        <v>532</v>
      </c>
      <c r="R124" s="661"/>
      <c r="S124" s="662"/>
      <c r="U124" s="662"/>
    </row>
    <row r="125" spans="1:21" s="663" customFormat="1" x14ac:dyDescent="0.25">
      <c r="A125" s="669" t="s">
        <v>533</v>
      </c>
      <c r="B125" s="656">
        <f t="shared" si="8"/>
        <v>113760.14</v>
      </c>
      <c r="C125" s="564">
        <v>113760.14</v>
      </c>
      <c r="D125" s="564" t="s">
        <v>117</v>
      </c>
      <c r="E125" s="564"/>
      <c r="F125" s="658">
        <f t="shared" si="9"/>
        <v>291926.5184</v>
      </c>
      <c r="G125" s="564">
        <v>261858.51</v>
      </c>
      <c r="H125" s="564">
        <v>30068.008399999999</v>
      </c>
      <c r="I125" s="564"/>
      <c r="J125" s="564">
        <v>39909</v>
      </c>
      <c r="K125" s="564">
        <v>0</v>
      </c>
      <c r="L125" s="564">
        <v>188054.36</v>
      </c>
      <c r="M125" s="564">
        <v>311566.28000000003</v>
      </c>
      <c r="N125" s="564">
        <v>511363.64999999997</v>
      </c>
      <c r="O125" s="564">
        <v>686123.51</v>
      </c>
      <c r="P125" s="572">
        <v>694211.04</v>
      </c>
      <c r="Q125" s="670" t="s">
        <v>534</v>
      </c>
      <c r="R125" s="661"/>
      <c r="S125" s="662"/>
      <c r="U125" s="662"/>
    </row>
    <row r="126" spans="1:21" s="663" customFormat="1" x14ac:dyDescent="0.25">
      <c r="A126" s="669" t="s">
        <v>535</v>
      </c>
      <c r="B126" s="656">
        <f t="shared" si="8"/>
        <v>385384.01</v>
      </c>
      <c r="C126" s="564">
        <v>381929.03</v>
      </c>
      <c r="D126" s="564">
        <v>3454.98</v>
      </c>
      <c r="E126" s="564"/>
      <c r="F126" s="658">
        <f t="shared" si="9"/>
        <v>592539.11979999894</v>
      </c>
      <c r="G126" s="564">
        <v>515956.76999999897</v>
      </c>
      <c r="H126" s="564">
        <v>76582.349799999996</v>
      </c>
      <c r="I126" s="564"/>
      <c r="J126" s="564">
        <v>1084625</v>
      </c>
      <c r="K126" s="564">
        <v>945123</v>
      </c>
      <c r="L126" s="564">
        <v>1184284.1000000001</v>
      </c>
      <c r="M126" s="564">
        <v>1801720.99</v>
      </c>
      <c r="N126" s="564">
        <v>2411620.4300000002</v>
      </c>
      <c r="O126" s="564">
        <v>2606438.1102999998</v>
      </c>
      <c r="P126" s="572">
        <v>2243238.1940000001</v>
      </c>
      <c r="Q126" s="670" t="s">
        <v>536</v>
      </c>
      <c r="R126" s="662"/>
      <c r="S126" s="662"/>
      <c r="U126" s="662"/>
    </row>
    <row r="127" spans="1:21" s="663" customFormat="1" x14ac:dyDescent="0.25">
      <c r="A127" s="669" t="s">
        <v>537</v>
      </c>
      <c r="B127" s="656">
        <f t="shared" si="8"/>
        <v>318473.7</v>
      </c>
      <c r="C127" s="564">
        <v>312734.67</v>
      </c>
      <c r="D127" s="564">
        <v>5739.03</v>
      </c>
      <c r="E127" s="564"/>
      <c r="F127" s="658">
        <f t="shared" si="9"/>
        <v>649682.11430000002</v>
      </c>
      <c r="G127" s="564">
        <v>517616.01999999996</v>
      </c>
      <c r="H127" s="564">
        <v>132066.0943</v>
      </c>
      <c r="I127" s="564"/>
      <c r="J127" s="564">
        <v>225193</v>
      </c>
      <c r="K127" s="564">
        <v>338768.64000000001</v>
      </c>
      <c r="L127" s="564">
        <v>1100806.47</v>
      </c>
      <c r="M127" s="564">
        <v>2753685.39</v>
      </c>
      <c r="N127" s="564">
        <v>3336013.67</v>
      </c>
      <c r="O127" s="564">
        <v>2657893.7799999998</v>
      </c>
      <c r="P127" s="572">
        <v>3061505.03</v>
      </c>
      <c r="Q127" s="670" t="s">
        <v>538</v>
      </c>
      <c r="R127" s="662"/>
      <c r="S127" s="662"/>
      <c r="U127" s="662"/>
    </row>
    <row r="128" spans="1:21" s="663" customFormat="1" ht="7.5" customHeight="1" x14ac:dyDescent="0.25">
      <c r="A128" s="669"/>
      <c r="B128" s="656"/>
      <c r="C128" s="564"/>
      <c r="D128" s="564"/>
      <c r="E128" s="564"/>
      <c r="F128" s="658"/>
      <c r="G128" s="564"/>
      <c r="H128" s="564"/>
      <c r="I128" s="564"/>
      <c r="J128" s="564"/>
      <c r="K128" s="564"/>
      <c r="L128" s="564"/>
      <c r="M128" s="564"/>
      <c r="N128" s="564"/>
      <c r="O128" s="564"/>
      <c r="P128" s="564"/>
      <c r="Q128" s="673"/>
      <c r="R128" s="662"/>
      <c r="S128" s="662"/>
      <c r="U128" s="662"/>
    </row>
    <row r="129" spans="1:21" s="663" customFormat="1" x14ac:dyDescent="0.25">
      <c r="A129" s="667" t="s">
        <v>310</v>
      </c>
      <c r="B129" s="656">
        <f t="shared" si="8"/>
        <v>3604608.9539999999</v>
      </c>
      <c r="C129" s="546">
        <f>SUM(C130:C137)</f>
        <v>2775778.61</v>
      </c>
      <c r="D129" s="546">
        <f>SUM(D130:D137)</f>
        <v>828830.34400000004</v>
      </c>
      <c r="E129" s="546"/>
      <c r="F129" s="658">
        <f t="shared" si="9"/>
        <v>4425758.268899994</v>
      </c>
      <c r="G129" s="546">
        <f>SUM(G130:G137)</f>
        <v>3949250.7349999943</v>
      </c>
      <c r="H129" s="546">
        <f>SUM(H130:H137)</f>
        <v>476507.53389999992</v>
      </c>
      <c r="I129" s="546"/>
      <c r="J129" s="546">
        <f t="shared" ref="J129:P129" si="14">SUM(J130:J137)</f>
        <v>4155717</v>
      </c>
      <c r="K129" s="546">
        <f t="shared" si="14"/>
        <v>3627549.2800000003</v>
      </c>
      <c r="L129" s="546">
        <f t="shared" si="14"/>
        <v>3540685.4400000004</v>
      </c>
      <c r="M129" s="546">
        <f t="shared" si="14"/>
        <v>7471919.1500000004</v>
      </c>
      <c r="N129" s="546">
        <f t="shared" si="14"/>
        <v>8698613.1500000004</v>
      </c>
      <c r="O129" s="546">
        <f t="shared" si="14"/>
        <v>5947100.96</v>
      </c>
      <c r="P129" s="546">
        <f t="shared" si="14"/>
        <v>10990868.450000001</v>
      </c>
      <c r="Q129" s="668" t="s">
        <v>311</v>
      </c>
      <c r="R129" s="661"/>
      <c r="S129" s="662"/>
      <c r="U129" s="662"/>
    </row>
    <row r="130" spans="1:21" s="663" customFormat="1" x14ac:dyDescent="0.25">
      <c r="A130" s="669" t="s">
        <v>539</v>
      </c>
      <c r="B130" s="656">
        <f t="shared" si="8"/>
        <v>365312.98000000004</v>
      </c>
      <c r="C130" s="564">
        <v>289219.65000000002</v>
      </c>
      <c r="D130" s="564">
        <v>76093.33</v>
      </c>
      <c r="E130" s="564"/>
      <c r="F130" s="658">
        <f t="shared" si="9"/>
        <v>492691.45999999897</v>
      </c>
      <c r="G130" s="564">
        <v>469591.83999999898</v>
      </c>
      <c r="H130" s="564">
        <v>23099.62</v>
      </c>
      <c r="I130" s="564"/>
      <c r="J130" s="564">
        <v>699485</v>
      </c>
      <c r="K130" s="564">
        <v>754062.83000000007</v>
      </c>
      <c r="L130" s="564">
        <v>730184.88</v>
      </c>
      <c r="M130" s="564">
        <v>1616295.94</v>
      </c>
      <c r="N130" s="564">
        <v>1849399.2</v>
      </c>
      <c r="O130" s="564">
        <v>1047266.66</v>
      </c>
      <c r="P130" s="572">
        <v>1878959.5</v>
      </c>
      <c r="Q130" s="670" t="s">
        <v>540</v>
      </c>
      <c r="R130" s="661"/>
      <c r="S130" s="662"/>
      <c r="U130" s="662"/>
    </row>
    <row r="131" spans="1:21" s="663" customFormat="1" x14ac:dyDescent="0.25">
      <c r="A131" s="669" t="s">
        <v>541</v>
      </c>
      <c r="B131" s="656">
        <f t="shared" si="8"/>
        <v>473618.10499999998</v>
      </c>
      <c r="C131" s="564">
        <v>458643.97</v>
      </c>
      <c r="D131" s="564">
        <v>14974.135</v>
      </c>
      <c r="E131" s="564"/>
      <c r="F131" s="658">
        <f t="shared" si="9"/>
        <v>769290.54999999888</v>
      </c>
      <c r="G131" s="564">
        <v>691566.33999999904</v>
      </c>
      <c r="H131" s="564">
        <v>77724.209999999905</v>
      </c>
      <c r="I131" s="564"/>
      <c r="J131" s="564">
        <v>1432548</v>
      </c>
      <c r="K131" s="564">
        <v>1042876.26</v>
      </c>
      <c r="L131" s="564">
        <v>949970.55</v>
      </c>
      <c r="M131" s="564">
        <v>1979743.34</v>
      </c>
      <c r="N131" s="564">
        <v>2629416.4500000002</v>
      </c>
      <c r="O131" s="564">
        <v>1790861.85</v>
      </c>
      <c r="P131" s="572">
        <v>3182249.29</v>
      </c>
      <c r="Q131" s="670" t="s">
        <v>542</v>
      </c>
      <c r="R131" s="661"/>
      <c r="S131" s="662"/>
      <c r="U131" s="662"/>
    </row>
    <row r="132" spans="1:21" s="663" customFormat="1" x14ac:dyDescent="0.25">
      <c r="A132" s="669" t="s">
        <v>543</v>
      </c>
      <c r="B132" s="656">
        <f t="shared" si="8"/>
        <v>772848.72900000005</v>
      </c>
      <c r="C132" s="564">
        <v>368747.49</v>
      </c>
      <c r="D132" s="564">
        <v>404101.239</v>
      </c>
      <c r="E132" s="564"/>
      <c r="F132" s="658">
        <f t="shared" si="9"/>
        <v>548013.09139999899</v>
      </c>
      <c r="G132" s="564">
        <v>418553.47999999899</v>
      </c>
      <c r="H132" s="564">
        <v>129459.61139999999</v>
      </c>
      <c r="I132" s="564"/>
      <c r="J132" s="564">
        <v>391073</v>
      </c>
      <c r="K132" s="564">
        <v>480687.19</v>
      </c>
      <c r="L132" s="564">
        <v>463996.78</v>
      </c>
      <c r="M132" s="564">
        <v>849612.67</v>
      </c>
      <c r="N132" s="564">
        <v>1056558.51</v>
      </c>
      <c r="O132" s="564">
        <v>781987.99</v>
      </c>
      <c r="P132" s="572">
        <v>1323723.98</v>
      </c>
      <c r="Q132" s="670" t="s">
        <v>544</v>
      </c>
      <c r="R132" s="661"/>
      <c r="S132" s="662"/>
      <c r="U132" s="662"/>
    </row>
    <row r="133" spans="1:21" s="663" customFormat="1" x14ac:dyDescent="0.25">
      <c r="A133" s="669" t="s">
        <v>545</v>
      </c>
      <c r="B133" s="656">
        <f t="shared" si="8"/>
        <v>587146.02</v>
      </c>
      <c r="C133" s="564">
        <v>482441.23</v>
      </c>
      <c r="D133" s="564">
        <v>104704.79</v>
      </c>
      <c r="E133" s="564"/>
      <c r="F133" s="658">
        <f t="shared" si="9"/>
        <v>584699.68139999895</v>
      </c>
      <c r="G133" s="564">
        <v>584095.679999999</v>
      </c>
      <c r="H133" s="564">
        <v>604.00139999999999</v>
      </c>
      <c r="I133" s="564"/>
      <c r="J133" s="564">
        <v>385389</v>
      </c>
      <c r="K133" s="564">
        <v>296926.06</v>
      </c>
      <c r="L133" s="564">
        <v>330701.21000000002</v>
      </c>
      <c r="M133" s="564">
        <v>779524.99</v>
      </c>
      <c r="N133" s="564">
        <v>831145.56</v>
      </c>
      <c r="O133" s="564">
        <v>649830.31999999995</v>
      </c>
      <c r="P133" s="572">
        <v>1090271.31</v>
      </c>
      <c r="Q133" s="670" t="s">
        <v>546</v>
      </c>
      <c r="R133" s="661"/>
      <c r="S133" s="662"/>
      <c r="U133" s="662"/>
    </row>
    <row r="134" spans="1:21" s="663" customFormat="1" x14ac:dyDescent="0.25">
      <c r="A134" s="669" t="s">
        <v>547</v>
      </c>
      <c r="B134" s="656">
        <f t="shared" ref="B134:B197" si="15">SUM(C134:D134)</f>
        <v>216816.9</v>
      </c>
      <c r="C134" s="564">
        <v>147020.4</v>
      </c>
      <c r="D134" s="564">
        <v>69796.5</v>
      </c>
      <c r="E134" s="564"/>
      <c r="F134" s="658">
        <f t="shared" ref="F134:F197" si="16">SUM(G134:H134)</f>
        <v>299710.70279999985</v>
      </c>
      <c r="G134" s="564">
        <v>252751.55999999988</v>
      </c>
      <c r="H134" s="564">
        <v>46959.142800000001</v>
      </c>
      <c r="I134" s="564"/>
      <c r="J134" s="564">
        <v>362562</v>
      </c>
      <c r="K134" s="564">
        <v>250024.97</v>
      </c>
      <c r="L134" s="564">
        <v>397867.6</v>
      </c>
      <c r="M134" s="564">
        <v>500225.26</v>
      </c>
      <c r="N134" s="564">
        <v>668373.68999999994</v>
      </c>
      <c r="O134" s="564">
        <v>474172.47</v>
      </c>
      <c r="P134" s="572">
        <v>946802.02</v>
      </c>
      <c r="Q134" s="674" t="s">
        <v>548</v>
      </c>
      <c r="R134" s="661"/>
      <c r="S134" s="662"/>
      <c r="U134" s="662"/>
    </row>
    <row r="135" spans="1:21" s="663" customFormat="1" x14ac:dyDescent="0.25">
      <c r="A135" s="669" t="s">
        <v>549</v>
      </c>
      <c r="B135" s="656">
        <f t="shared" si="15"/>
        <v>542594.98</v>
      </c>
      <c r="C135" s="564">
        <v>430143.74</v>
      </c>
      <c r="D135" s="564">
        <v>112451.24</v>
      </c>
      <c r="E135" s="564"/>
      <c r="F135" s="658">
        <f t="shared" si="16"/>
        <v>521592.01999999897</v>
      </c>
      <c r="G135" s="564">
        <v>491592.01999999897</v>
      </c>
      <c r="H135" s="564">
        <v>30000</v>
      </c>
      <c r="I135" s="564"/>
      <c r="J135" s="564">
        <v>324532</v>
      </c>
      <c r="K135" s="564">
        <v>334795.21999999997</v>
      </c>
      <c r="L135" s="564">
        <v>258494.18</v>
      </c>
      <c r="M135" s="564">
        <v>743912.91</v>
      </c>
      <c r="N135" s="564">
        <v>467304.22</v>
      </c>
      <c r="O135" s="564">
        <v>478879.24</v>
      </c>
      <c r="P135" s="572">
        <v>691286.89</v>
      </c>
      <c r="Q135" s="670" t="s">
        <v>550</v>
      </c>
      <c r="R135" s="661"/>
      <c r="S135" s="662"/>
      <c r="U135" s="662"/>
    </row>
    <row r="136" spans="1:21" s="663" customFormat="1" x14ac:dyDescent="0.25">
      <c r="A136" s="669" t="s">
        <v>499</v>
      </c>
      <c r="B136" s="656">
        <f t="shared" si="15"/>
        <v>368697.59999999998</v>
      </c>
      <c r="C136" s="564">
        <v>321988.49</v>
      </c>
      <c r="D136" s="564">
        <v>46709.11</v>
      </c>
      <c r="E136" s="564"/>
      <c r="F136" s="658">
        <f t="shared" si="16"/>
        <v>733562.18030000001</v>
      </c>
      <c r="G136" s="564">
        <v>671406.8</v>
      </c>
      <c r="H136" s="564">
        <v>62155.380299999997</v>
      </c>
      <c r="I136" s="564"/>
      <c r="J136" s="564">
        <v>150683</v>
      </c>
      <c r="K136" s="564">
        <v>166159.70000000001</v>
      </c>
      <c r="L136" s="564">
        <v>161595.74</v>
      </c>
      <c r="M136" s="564">
        <v>368201.76</v>
      </c>
      <c r="N136" s="564">
        <v>532952.52</v>
      </c>
      <c r="O136" s="564">
        <v>367542.48</v>
      </c>
      <c r="P136" s="572">
        <v>1053390.98</v>
      </c>
      <c r="Q136" s="670" t="s">
        <v>500</v>
      </c>
      <c r="R136" s="662"/>
      <c r="S136" s="662"/>
      <c r="U136" s="662"/>
    </row>
    <row r="137" spans="1:21" s="663" customFormat="1" x14ac:dyDescent="0.25">
      <c r="A137" s="669" t="s">
        <v>551</v>
      </c>
      <c r="B137" s="656">
        <f t="shared" si="15"/>
        <v>277573.64</v>
      </c>
      <c r="C137" s="564">
        <v>277573.64</v>
      </c>
      <c r="D137" s="564" t="s">
        <v>117</v>
      </c>
      <c r="E137" s="564"/>
      <c r="F137" s="658">
        <f t="shared" si="16"/>
        <v>476198.58299999905</v>
      </c>
      <c r="G137" s="564">
        <v>369693.01499999902</v>
      </c>
      <c r="H137" s="564">
        <v>106505.568</v>
      </c>
      <c r="I137" s="564"/>
      <c r="J137" s="564">
        <v>409445</v>
      </c>
      <c r="K137" s="564">
        <v>302017.05</v>
      </c>
      <c r="L137" s="564">
        <v>247874.5</v>
      </c>
      <c r="M137" s="564">
        <v>634402.28</v>
      </c>
      <c r="N137" s="564">
        <v>663463</v>
      </c>
      <c r="O137" s="564">
        <v>356559.95</v>
      </c>
      <c r="P137" s="572">
        <v>824184.48</v>
      </c>
      <c r="Q137" s="670" t="s">
        <v>552</v>
      </c>
      <c r="R137" s="662"/>
      <c r="S137" s="662"/>
      <c r="U137" s="662"/>
    </row>
    <row r="138" spans="1:21" s="663" customFormat="1" ht="6" customHeight="1" x14ac:dyDescent="0.25">
      <c r="A138" s="669"/>
      <c r="B138" s="656"/>
      <c r="C138" s="564"/>
      <c r="D138" s="564"/>
      <c r="E138" s="564"/>
      <c r="F138" s="658"/>
      <c r="G138" s="564"/>
      <c r="H138" s="564"/>
      <c r="I138" s="564"/>
      <c r="J138" s="564"/>
      <c r="K138" s="564"/>
      <c r="L138" s="564"/>
      <c r="M138" s="564"/>
      <c r="N138" s="564"/>
      <c r="O138" s="564"/>
      <c r="P138" s="564"/>
      <c r="Q138" s="673"/>
      <c r="R138" s="662"/>
      <c r="S138" s="662"/>
      <c r="U138" s="662"/>
    </row>
    <row r="139" spans="1:21" s="663" customFormat="1" x14ac:dyDescent="0.25">
      <c r="A139" s="667" t="s">
        <v>312</v>
      </c>
      <c r="B139" s="656">
        <f t="shared" si="15"/>
        <v>3663797.27</v>
      </c>
      <c r="C139" s="546">
        <f>SUM(C140:C149)</f>
        <v>3417506.75</v>
      </c>
      <c r="D139" s="546">
        <f>SUM(D140:D149)</f>
        <v>246290.52</v>
      </c>
      <c r="E139" s="546"/>
      <c r="F139" s="658">
        <f t="shared" si="16"/>
        <v>5932681.1008999944</v>
      </c>
      <c r="G139" s="546">
        <f>SUM(G140:G149)</f>
        <v>5807767.5759999948</v>
      </c>
      <c r="H139" s="546">
        <f>SUM(H140:H149)</f>
        <v>124913.5248999999</v>
      </c>
      <c r="I139" s="546"/>
      <c r="J139" s="546">
        <f t="shared" ref="J139:P139" si="17">SUM(J140:J149)</f>
        <v>8195340</v>
      </c>
      <c r="K139" s="546">
        <f t="shared" si="17"/>
        <v>11106707.47999998</v>
      </c>
      <c r="L139" s="546">
        <f t="shared" si="17"/>
        <v>13156080.829999998</v>
      </c>
      <c r="M139" s="546">
        <f t="shared" si="17"/>
        <v>17498120.029999997</v>
      </c>
      <c r="N139" s="546">
        <f t="shared" si="17"/>
        <v>21983644.339999996</v>
      </c>
      <c r="O139" s="546">
        <f t="shared" si="17"/>
        <v>9181590.7400000021</v>
      </c>
      <c r="P139" s="546">
        <f t="shared" si="17"/>
        <v>25909086.929999996</v>
      </c>
      <c r="Q139" s="668" t="s">
        <v>313</v>
      </c>
      <c r="R139" s="662"/>
      <c r="S139" s="662"/>
      <c r="U139" s="662"/>
    </row>
    <row r="140" spans="1:21" s="663" customFormat="1" x14ac:dyDescent="0.25">
      <c r="A140" s="669" t="s">
        <v>553</v>
      </c>
      <c r="B140" s="656">
        <f t="shared" si="15"/>
        <v>303953.52</v>
      </c>
      <c r="C140" s="564">
        <v>230041.23</v>
      </c>
      <c r="D140" s="564">
        <v>73912.289999999994</v>
      </c>
      <c r="E140" s="564"/>
      <c r="F140" s="658">
        <f t="shared" si="16"/>
        <v>321424.80999999901</v>
      </c>
      <c r="G140" s="564">
        <v>321424.80999999901</v>
      </c>
      <c r="H140" s="564" t="s">
        <v>117</v>
      </c>
      <c r="I140" s="564"/>
      <c r="J140" s="564">
        <v>14035</v>
      </c>
      <c r="K140" s="564">
        <v>32965</v>
      </c>
      <c r="L140" s="564">
        <v>221711</v>
      </c>
      <c r="M140" s="564">
        <v>482694.29</v>
      </c>
      <c r="N140" s="564">
        <v>549963.77</v>
      </c>
      <c r="O140" s="564">
        <v>252917.73</v>
      </c>
      <c r="P140" s="572">
        <v>566765.61</v>
      </c>
      <c r="Q140" s="670" t="s">
        <v>554</v>
      </c>
      <c r="R140" s="662"/>
      <c r="S140" s="662"/>
      <c r="U140" s="662"/>
    </row>
    <row r="141" spans="1:21" s="663" customFormat="1" x14ac:dyDescent="0.25">
      <c r="A141" s="669" t="s">
        <v>555</v>
      </c>
      <c r="B141" s="656">
        <f t="shared" si="15"/>
        <v>400792.54000000004</v>
      </c>
      <c r="C141" s="564">
        <v>399510.53</v>
      </c>
      <c r="D141" s="564">
        <v>1282.01</v>
      </c>
      <c r="E141" s="564"/>
      <c r="F141" s="658">
        <f t="shared" si="16"/>
        <v>683394.77719999896</v>
      </c>
      <c r="G141" s="564">
        <v>662153.23999999894</v>
      </c>
      <c r="H141" s="564">
        <v>21241.537199999999</v>
      </c>
      <c r="I141" s="564"/>
      <c r="J141" s="564">
        <v>89739</v>
      </c>
      <c r="K141" s="564">
        <v>761843.49</v>
      </c>
      <c r="L141" s="564">
        <v>855463.42</v>
      </c>
      <c r="M141" s="564">
        <v>767029.33</v>
      </c>
      <c r="N141" s="564">
        <v>957376.89000000013</v>
      </c>
      <c r="O141" s="564">
        <v>408801.08</v>
      </c>
      <c r="P141" s="572">
        <v>1398424.98</v>
      </c>
      <c r="Q141" s="670" t="s">
        <v>556</v>
      </c>
      <c r="R141" s="662"/>
      <c r="S141" s="662"/>
      <c r="U141" s="662"/>
    </row>
    <row r="142" spans="1:21" s="663" customFormat="1" x14ac:dyDescent="0.25">
      <c r="A142" s="669" t="s">
        <v>557</v>
      </c>
      <c r="B142" s="656">
        <f t="shared" si="15"/>
        <v>113562.22</v>
      </c>
      <c r="C142" s="564">
        <v>95578.15</v>
      </c>
      <c r="D142" s="564">
        <v>17984.07</v>
      </c>
      <c r="E142" s="564"/>
      <c r="F142" s="658">
        <f t="shared" si="16"/>
        <v>166490.16999999899</v>
      </c>
      <c r="G142" s="564">
        <v>166490.16999999899</v>
      </c>
      <c r="H142" s="564" t="s">
        <v>117</v>
      </c>
      <c r="I142" s="564"/>
      <c r="J142" s="564">
        <v>0</v>
      </c>
      <c r="K142" s="564">
        <v>20972</v>
      </c>
      <c r="L142" s="564">
        <v>62825</v>
      </c>
      <c r="M142" s="564">
        <v>139067.81</v>
      </c>
      <c r="N142" s="564">
        <v>269218.27</v>
      </c>
      <c r="O142" s="564">
        <v>91605.78</v>
      </c>
      <c r="P142" s="572">
        <v>329209.92</v>
      </c>
      <c r="Q142" s="670" t="s">
        <v>388</v>
      </c>
      <c r="R142" s="662"/>
      <c r="S142" s="662"/>
      <c r="U142" s="662"/>
    </row>
    <row r="143" spans="1:21" s="663" customFormat="1" x14ac:dyDescent="0.25">
      <c r="A143" s="669" t="s">
        <v>558</v>
      </c>
      <c r="B143" s="656">
        <f t="shared" si="15"/>
        <v>1285025.1100000001</v>
      </c>
      <c r="C143" s="564">
        <v>1191059.6000000001</v>
      </c>
      <c r="D143" s="564">
        <v>93965.51</v>
      </c>
      <c r="E143" s="564"/>
      <c r="F143" s="658">
        <f t="shared" si="16"/>
        <v>1627508.5776</v>
      </c>
      <c r="G143" s="564">
        <v>1623825.2</v>
      </c>
      <c r="H143" s="564">
        <v>3683.3775999999998</v>
      </c>
      <c r="I143" s="564"/>
      <c r="J143" s="564">
        <v>5181989</v>
      </c>
      <c r="K143" s="564">
        <v>6080175.8999999901</v>
      </c>
      <c r="L143" s="564">
        <v>6375648.2599999998</v>
      </c>
      <c r="M143" s="564">
        <v>8354922.8300000001</v>
      </c>
      <c r="N143" s="564">
        <v>11948441.439999999</v>
      </c>
      <c r="O143" s="564">
        <v>2475773.23</v>
      </c>
      <c r="P143" s="572">
        <v>13408276.029999999</v>
      </c>
      <c r="Q143" s="670" t="s">
        <v>559</v>
      </c>
      <c r="R143" s="662"/>
      <c r="S143" s="662"/>
      <c r="U143" s="662"/>
    </row>
    <row r="144" spans="1:21" s="663" customFormat="1" x14ac:dyDescent="0.25">
      <c r="A144" s="669" t="s">
        <v>560</v>
      </c>
      <c r="B144" s="656">
        <f t="shared" si="15"/>
        <v>152373.95000000001</v>
      </c>
      <c r="C144" s="564">
        <v>152373.95000000001</v>
      </c>
      <c r="D144" s="564" t="s">
        <v>117</v>
      </c>
      <c r="E144" s="564"/>
      <c r="F144" s="658">
        <f t="shared" si="16"/>
        <v>183495.609999999</v>
      </c>
      <c r="G144" s="564">
        <v>183495.609999999</v>
      </c>
      <c r="H144" s="564" t="s">
        <v>117</v>
      </c>
      <c r="I144" s="564"/>
      <c r="J144" s="564">
        <v>0</v>
      </c>
      <c r="K144" s="564">
        <v>0</v>
      </c>
      <c r="L144" s="564">
        <v>7496</v>
      </c>
      <c r="M144" s="564">
        <v>108285.86</v>
      </c>
      <c r="N144" s="564">
        <v>339876.29</v>
      </c>
      <c r="O144" s="564">
        <v>164477.85</v>
      </c>
      <c r="P144" s="572">
        <v>466781.03</v>
      </c>
      <c r="Q144" s="670" t="s">
        <v>858</v>
      </c>
      <c r="R144" s="662"/>
      <c r="S144" s="662"/>
      <c r="U144" s="662"/>
    </row>
    <row r="145" spans="1:21" s="663" customFormat="1" x14ac:dyDescent="0.25">
      <c r="A145" s="669" t="s">
        <v>561</v>
      </c>
      <c r="B145" s="656">
        <f t="shared" si="15"/>
        <v>363914.94</v>
      </c>
      <c r="C145" s="564">
        <v>330387.75</v>
      </c>
      <c r="D145" s="564">
        <v>33527.19</v>
      </c>
      <c r="E145" s="564"/>
      <c r="F145" s="658">
        <f t="shared" si="16"/>
        <v>986925.2510999979</v>
      </c>
      <c r="G145" s="564">
        <v>896787.25099999795</v>
      </c>
      <c r="H145" s="564">
        <v>90138.000099999903</v>
      </c>
      <c r="I145" s="564"/>
      <c r="J145" s="564">
        <v>255731</v>
      </c>
      <c r="K145" s="564">
        <v>358272.14999999898</v>
      </c>
      <c r="L145" s="564">
        <v>549895.6</v>
      </c>
      <c r="M145" s="564">
        <v>1298788.7</v>
      </c>
      <c r="N145" s="564">
        <v>952041.58000000007</v>
      </c>
      <c r="O145" s="564">
        <v>386982.84</v>
      </c>
      <c r="P145" s="572">
        <v>1019592.69</v>
      </c>
      <c r="Q145" s="670" t="s">
        <v>562</v>
      </c>
      <c r="R145" s="662"/>
      <c r="S145" s="662"/>
      <c r="U145" s="662"/>
    </row>
    <row r="146" spans="1:21" s="663" customFormat="1" x14ac:dyDescent="0.25">
      <c r="A146" s="669" t="s">
        <v>563</v>
      </c>
      <c r="B146" s="656">
        <f t="shared" si="15"/>
        <v>275525.31</v>
      </c>
      <c r="C146" s="564">
        <v>270223.90999999997</v>
      </c>
      <c r="D146" s="564">
        <v>5301.4</v>
      </c>
      <c r="E146" s="564"/>
      <c r="F146" s="658">
        <f t="shared" si="16"/>
        <v>477361.45500000002</v>
      </c>
      <c r="G146" s="564">
        <v>477361.45500000002</v>
      </c>
      <c r="H146" s="564" t="s">
        <v>117</v>
      </c>
      <c r="I146" s="564"/>
      <c r="J146" s="564">
        <v>51976</v>
      </c>
      <c r="K146" s="564">
        <v>258152.94</v>
      </c>
      <c r="L146" s="564">
        <v>351441</v>
      </c>
      <c r="M146" s="564">
        <v>804038.71</v>
      </c>
      <c r="N146" s="564">
        <v>708373.45</v>
      </c>
      <c r="O146" s="564">
        <v>489752.03</v>
      </c>
      <c r="P146" s="572">
        <v>756055.19</v>
      </c>
      <c r="Q146" s="674" t="s">
        <v>564</v>
      </c>
      <c r="R146" s="662"/>
      <c r="S146" s="662"/>
      <c r="U146" s="662"/>
    </row>
    <row r="147" spans="1:21" s="663" customFormat="1" x14ac:dyDescent="0.25">
      <c r="A147" s="669" t="s">
        <v>565</v>
      </c>
      <c r="B147" s="656">
        <f t="shared" si="15"/>
        <v>278728.98</v>
      </c>
      <c r="C147" s="564">
        <v>278728.98</v>
      </c>
      <c r="D147" s="564" t="s">
        <v>117</v>
      </c>
      <c r="E147" s="564"/>
      <c r="F147" s="658">
        <f t="shared" si="16"/>
        <v>479197.04</v>
      </c>
      <c r="G147" s="564">
        <v>470773.86</v>
      </c>
      <c r="H147" s="564">
        <v>8423.18</v>
      </c>
      <c r="I147" s="564"/>
      <c r="J147" s="564">
        <v>62584</v>
      </c>
      <c r="K147" s="564">
        <v>366525</v>
      </c>
      <c r="L147" s="564">
        <v>817824.87</v>
      </c>
      <c r="M147" s="564">
        <v>1276878.81</v>
      </c>
      <c r="N147" s="564">
        <v>1533052.27</v>
      </c>
      <c r="O147" s="564">
        <v>1216176.1000000001</v>
      </c>
      <c r="P147" s="572">
        <v>2078469.45</v>
      </c>
      <c r="Q147" s="670" t="s">
        <v>566</v>
      </c>
      <c r="R147" s="662"/>
      <c r="S147" s="662"/>
      <c r="U147" s="662"/>
    </row>
    <row r="148" spans="1:21" s="663" customFormat="1" x14ac:dyDescent="0.25">
      <c r="A148" s="669" t="s">
        <v>357</v>
      </c>
      <c r="B148" s="656">
        <f t="shared" si="15"/>
        <v>26740.84</v>
      </c>
      <c r="C148" s="564">
        <v>26740.84</v>
      </c>
      <c r="D148" s="564" t="s">
        <v>117</v>
      </c>
      <c r="E148" s="564"/>
      <c r="F148" s="658">
        <f t="shared" si="16"/>
        <v>32183.109999999899</v>
      </c>
      <c r="G148" s="564">
        <v>32183.109999999899</v>
      </c>
      <c r="H148" s="564" t="s">
        <v>117</v>
      </c>
      <c r="I148" s="564"/>
      <c r="J148" s="564">
        <v>0</v>
      </c>
      <c r="K148" s="564">
        <v>0</v>
      </c>
      <c r="L148" s="564">
        <v>0</v>
      </c>
      <c r="M148" s="564">
        <v>199985.2</v>
      </c>
      <c r="N148" s="564">
        <v>285358.06</v>
      </c>
      <c r="O148" s="564">
        <v>229608.4</v>
      </c>
      <c r="P148" s="572">
        <v>247889.83</v>
      </c>
      <c r="Q148" s="670" t="s">
        <v>358</v>
      </c>
      <c r="R148" s="662"/>
      <c r="S148" s="662"/>
      <c r="T148" s="662"/>
      <c r="U148" s="662"/>
    </row>
    <row r="149" spans="1:21" s="663" customFormat="1" x14ac:dyDescent="0.25">
      <c r="A149" s="669" t="s">
        <v>567</v>
      </c>
      <c r="B149" s="656">
        <f t="shared" si="15"/>
        <v>463179.86</v>
      </c>
      <c r="C149" s="564">
        <v>442861.81</v>
      </c>
      <c r="D149" s="564">
        <v>20318.05</v>
      </c>
      <c r="E149" s="564"/>
      <c r="F149" s="658">
        <f t="shared" si="16"/>
        <v>974700.3</v>
      </c>
      <c r="G149" s="564">
        <v>973272.87</v>
      </c>
      <c r="H149" s="564">
        <v>1427.43</v>
      </c>
      <c r="I149" s="564"/>
      <c r="J149" s="564">
        <v>2539286</v>
      </c>
      <c r="K149" s="564">
        <v>3227800.9999999898</v>
      </c>
      <c r="L149" s="564">
        <v>3913775.68</v>
      </c>
      <c r="M149" s="564">
        <v>4066428.49</v>
      </c>
      <c r="N149" s="564">
        <v>4439942.32</v>
      </c>
      <c r="O149" s="564">
        <v>3465495.7</v>
      </c>
      <c r="P149" s="572">
        <v>5637622.2000000002</v>
      </c>
      <c r="Q149" s="670" t="s">
        <v>568</v>
      </c>
      <c r="R149" s="662"/>
      <c r="S149" s="662"/>
      <c r="T149" s="662"/>
      <c r="U149" s="662"/>
    </row>
    <row r="150" spans="1:21" s="663" customFormat="1" ht="9" customHeight="1" x14ac:dyDescent="0.25">
      <c r="A150" s="669"/>
      <c r="B150" s="656"/>
      <c r="C150" s="564"/>
      <c r="D150" s="564"/>
      <c r="E150" s="564"/>
      <c r="F150" s="658"/>
      <c r="G150" s="564"/>
      <c r="H150" s="564"/>
      <c r="I150" s="564"/>
      <c r="J150" s="564"/>
      <c r="K150" s="564"/>
      <c r="L150" s="564"/>
      <c r="M150" s="564"/>
      <c r="N150" s="564"/>
      <c r="O150" s="564"/>
      <c r="P150" s="564"/>
      <c r="Q150" s="673"/>
      <c r="R150" s="662"/>
      <c r="S150" s="662"/>
      <c r="T150" s="662"/>
      <c r="U150" s="662"/>
    </row>
    <row r="151" spans="1:21" s="663" customFormat="1" x14ac:dyDescent="0.25">
      <c r="A151" s="667" t="s">
        <v>314</v>
      </c>
      <c r="B151" s="656">
        <f t="shared" si="15"/>
        <v>643440.08000000007</v>
      </c>
      <c r="C151" s="546">
        <f>SUM(C152:C156)</f>
        <v>643440.08000000007</v>
      </c>
      <c r="D151" s="546">
        <v>0</v>
      </c>
      <c r="E151" s="546"/>
      <c r="F151" s="658">
        <f t="shared" si="16"/>
        <v>1323878.6352116792</v>
      </c>
      <c r="G151" s="546">
        <f>SUM(G152:G156)</f>
        <v>1069243.0408116791</v>
      </c>
      <c r="H151" s="546">
        <f>SUM(H152:H156)</f>
        <v>254635.59440000003</v>
      </c>
      <c r="I151" s="546"/>
      <c r="J151" s="546">
        <f t="shared" ref="J151:P151" si="18">SUM(J152:J156)</f>
        <v>409251</v>
      </c>
      <c r="K151" s="546">
        <f t="shared" si="18"/>
        <v>543378.02999999898</v>
      </c>
      <c r="L151" s="546">
        <f t="shared" si="18"/>
        <v>563786.18999999994</v>
      </c>
      <c r="M151" s="546">
        <f t="shared" si="18"/>
        <v>1773766.73</v>
      </c>
      <c r="N151" s="546">
        <f t="shared" si="18"/>
        <v>2451686.34</v>
      </c>
      <c r="O151" s="546">
        <f t="shared" si="18"/>
        <v>2580520.0900000003</v>
      </c>
      <c r="P151" s="546">
        <f t="shared" si="18"/>
        <v>2433263.37</v>
      </c>
      <c r="Q151" s="668" t="s">
        <v>315</v>
      </c>
      <c r="R151" s="662"/>
      <c r="S151" s="662"/>
      <c r="T151" s="662"/>
      <c r="U151" s="662"/>
    </row>
    <row r="152" spans="1:21" s="663" customFormat="1" x14ac:dyDescent="0.25">
      <c r="A152" s="669" t="s">
        <v>569</v>
      </c>
      <c r="B152" s="656">
        <f t="shared" si="15"/>
        <v>138394.12</v>
      </c>
      <c r="C152" s="564">
        <v>138394.12</v>
      </c>
      <c r="D152" s="564" t="s">
        <v>117</v>
      </c>
      <c r="E152" s="564"/>
      <c r="F152" s="658">
        <f t="shared" si="16"/>
        <v>289928.99639999901</v>
      </c>
      <c r="G152" s="564">
        <v>159848.80999999898</v>
      </c>
      <c r="H152" s="564">
        <v>130080.18640000001</v>
      </c>
      <c r="I152" s="564"/>
      <c r="J152" s="564">
        <v>0</v>
      </c>
      <c r="K152" s="564">
        <v>7863.24</v>
      </c>
      <c r="L152" s="564">
        <v>0</v>
      </c>
      <c r="M152" s="564">
        <v>101094.57</v>
      </c>
      <c r="N152" s="564">
        <v>204392.07</v>
      </c>
      <c r="O152" s="564">
        <v>225184.37</v>
      </c>
      <c r="P152" s="572">
        <v>144997.45000000001</v>
      </c>
      <c r="Q152" s="670" t="s">
        <v>570</v>
      </c>
      <c r="R152" s="661"/>
      <c r="S152" s="662"/>
      <c r="U152" s="662"/>
    </row>
    <row r="153" spans="1:21" s="663" customFormat="1" x14ac:dyDescent="0.25">
      <c r="A153" s="669" t="s">
        <v>571</v>
      </c>
      <c r="B153" s="656">
        <f t="shared" si="15"/>
        <v>89580.23</v>
      </c>
      <c r="C153" s="564">
        <v>89580.23</v>
      </c>
      <c r="D153" s="564" t="s">
        <v>117</v>
      </c>
      <c r="E153" s="564"/>
      <c r="F153" s="658">
        <f t="shared" si="16"/>
        <v>196834.22200000001</v>
      </c>
      <c r="G153" s="564">
        <v>117537.87</v>
      </c>
      <c r="H153" s="564">
        <v>79296.351999999999</v>
      </c>
      <c r="I153" s="564"/>
      <c r="J153" s="564">
        <v>0</v>
      </c>
      <c r="K153" s="564">
        <v>0</v>
      </c>
      <c r="L153" s="564">
        <v>0</v>
      </c>
      <c r="M153" s="564">
        <v>3016.7</v>
      </c>
      <c r="N153" s="564">
        <v>2058.6</v>
      </c>
      <c r="O153" s="564">
        <v>20152.72</v>
      </c>
      <c r="P153" s="572">
        <v>36537.33</v>
      </c>
      <c r="Q153" s="670" t="s">
        <v>572</v>
      </c>
      <c r="R153" s="662"/>
      <c r="S153" s="662"/>
      <c r="U153" s="662"/>
    </row>
    <row r="154" spans="1:21" s="663" customFormat="1" x14ac:dyDescent="0.25">
      <c r="A154" s="669" t="s">
        <v>573</v>
      </c>
      <c r="B154" s="656">
        <f t="shared" si="15"/>
        <v>274026.86</v>
      </c>
      <c r="C154" s="564">
        <v>274026.86</v>
      </c>
      <c r="D154" s="564" t="s">
        <v>117</v>
      </c>
      <c r="E154" s="564"/>
      <c r="F154" s="658">
        <f t="shared" si="16"/>
        <v>389925.16999999899</v>
      </c>
      <c r="G154" s="564">
        <v>374925.16999999899</v>
      </c>
      <c r="H154" s="564">
        <v>15000</v>
      </c>
      <c r="I154" s="564"/>
      <c r="J154" s="564">
        <v>401102</v>
      </c>
      <c r="K154" s="564">
        <v>527651.549999999</v>
      </c>
      <c r="L154" s="564">
        <v>555286.18999999994</v>
      </c>
      <c r="M154" s="564">
        <v>1353638.3</v>
      </c>
      <c r="N154" s="564">
        <v>1706034.72</v>
      </c>
      <c r="O154" s="564">
        <v>1795892.37</v>
      </c>
      <c r="P154" s="572">
        <v>1761704</v>
      </c>
      <c r="Q154" s="670" t="s">
        <v>574</v>
      </c>
      <c r="R154" s="661"/>
      <c r="S154" s="662"/>
      <c r="U154" s="662"/>
    </row>
    <row r="155" spans="1:21" s="663" customFormat="1" x14ac:dyDescent="0.25">
      <c r="A155" s="669" t="s">
        <v>575</v>
      </c>
      <c r="B155" s="656">
        <f t="shared" si="15"/>
        <v>80719.31</v>
      </c>
      <c r="C155" s="564">
        <v>80719.31</v>
      </c>
      <c r="D155" s="564" t="s">
        <v>117</v>
      </c>
      <c r="E155" s="564"/>
      <c r="F155" s="658">
        <f t="shared" si="16"/>
        <v>310783.39</v>
      </c>
      <c r="G155" s="564">
        <v>280783.39</v>
      </c>
      <c r="H155" s="564">
        <v>30000</v>
      </c>
      <c r="I155" s="564"/>
      <c r="J155" s="564">
        <v>8149</v>
      </c>
      <c r="K155" s="564">
        <v>7863.24</v>
      </c>
      <c r="L155" s="564">
        <v>8500</v>
      </c>
      <c r="M155" s="564">
        <v>264335.27</v>
      </c>
      <c r="N155" s="564">
        <v>383026.62</v>
      </c>
      <c r="O155" s="564">
        <v>372689.45</v>
      </c>
      <c r="P155" s="572">
        <v>358762.72</v>
      </c>
      <c r="Q155" s="670" t="s">
        <v>576</v>
      </c>
      <c r="R155" s="661"/>
      <c r="S155" s="662"/>
      <c r="U155" s="662"/>
    </row>
    <row r="156" spans="1:21" s="663" customFormat="1" x14ac:dyDescent="0.25">
      <c r="A156" s="669" t="s">
        <v>577</v>
      </c>
      <c r="B156" s="656">
        <f t="shared" si="15"/>
        <v>60719.56</v>
      </c>
      <c r="C156" s="564">
        <v>60719.56</v>
      </c>
      <c r="D156" s="564" t="s">
        <v>117</v>
      </c>
      <c r="E156" s="564"/>
      <c r="F156" s="658">
        <f t="shared" si="16"/>
        <v>136406.85681168101</v>
      </c>
      <c r="G156" s="564">
        <v>136147.80081168099</v>
      </c>
      <c r="H156" s="564">
        <v>259.05599999999998</v>
      </c>
      <c r="I156" s="564"/>
      <c r="J156" s="564">
        <v>0</v>
      </c>
      <c r="K156" s="564">
        <v>0</v>
      </c>
      <c r="L156" s="564">
        <v>0</v>
      </c>
      <c r="M156" s="564">
        <v>51681.89</v>
      </c>
      <c r="N156" s="564">
        <v>156174.32999999999</v>
      </c>
      <c r="O156" s="564">
        <v>166601.18</v>
      </c>
      <c r="P156" s="572">
        <v>131261.87</v>
      </c>
      <c r="Q156" s="670" t="s">
        <v>578</v>
      </c>
      <c r="R156" s="662"/>
      <c r="S156" s="662"/>
      <c r="U156" s="662"/>
    </row>
    <row r="157" spans="1:21" s="663" customFormat="1" ht="12" customHeight="1" x14ac:dyDescent="0.25">
      <c r="A157" s="669"/>
      <c r="B157" s="656"/>
      <c r="C157" s="564"/>
      <c r="D157" s="564"/>
      <c r="E157" s="564"/>
      <c r="F157" s="658"/>
      <c r="G157" s="564"/>
      <c r="H157" s="564"/>
      <c r="I157" s="564"/>
      <c r="J157" s="564"/>
      <c r="K157" s="564"/>
      <c r="L157" s="564"/>
      <c r="M157" s="564"/>
      <c r="N157" s="564"/>
      <c r="O157" s="564"/>
      <c r="P157" s="564"/>
      <c r="Q157" s="673"/>
      <c r="R157" s="662"/>
      <c r="S157" s="662"/>
      <c r="U157" s="662"/>
    </row>
    <row r="158" spans="1:21" s="663" customFormat="1" x14ac:dyDescent="0.25">
      <c r="A158" s="667" t="s">
        <v>316</v>
      </c>
      <c r="B158" s="656">
        <f t="shared" si="15"/>
        <v>2220109.7739999997</v>
      </c>
      <c r="C158" s="546">
        <f>SUM(C159:C167)</f>
        <v>2030050.4499999997</v>
      </c>
      <c r="D158" s="546">
        <f>SUM(D159:D167)</f>
        <v>190059.32399999999</v>
      </c>
      <c r="E158" s="546"/>
      <c r="F158" s="658">
        <f t="shared" si="16"/>
        <v>4245618.8515999932</v>
      </c>
      <c r="G158" s="546">
        <f>SUM(G159:G167)</f>
        <v>3682169.5319999945</v>
      </c>
      <c r="H158" s="546">
        <f>SUM(H159:H167)</f>
        <v>563449.31959999888</v>
      </c>
      <c r="I158" s="546"/>
      <c r="J158" s="546">
        <f t="shared" ref="J158:P158" si="19">SUM(J159:J167)</f>
        <v>4320592</v>
      </c>
      <c r="K158" s="546">
        <f t="shared" si="19"/>
        <v>4438872.0499999886</v>
      </c>
      <c r="L158" s="546">
        <f t="shared" si="19"/>
        <v>9125266.5999999978</v>
      </c>
      <c r="M158" s="546">
        <f t="shared" si="19"/>
        <v>12610137.149999997</v>
      </c>
      <c r="N158" s="546">
        <f t="shared" si="19"/>
        <v>11946502.880000001</v>
      </c>
      <c r="O158" s="546">
        <f t="shared" si="19"/>
        <v>7909169.9100000001</v>
      </c>
      <c r="P158" s="546">
        <f t="shared" si="19"/>
        <v>11312990.07</v>
      </c>
      <c r="Q158" s="668" t="s">
        <v>317</v>
      </c>
      <c r="R158" s="662"/>
      <c r="S158" s="662"/>
      <c r="U158" s="662"/>
    </row>
    <row r="159" spans="1:21" s="663" customFormat="1" x14ac:dyDescent="0.25">
      <c r="A159" s="669" t="s">
        <v>579</v>
      </c>
      <c r="B159" s="656">
        <f t="shared" si="15"/>
        <v>79846.039999999994</v>
      </c>
      <c r="C159" s="564">
        <v>79846.039999999994</v>
      </c>
      <c r="D159" s="564" t="s">
        <v>117</v>
      </c>
      <c r="E159" s="564"/>
      <c r="F159" s="658">
        <f t="shared" si="16"/>
        <v>131811.41999999899</v>
      </c>
      <c r="G159" s="564">
        <v>131811.41999999899</v>
      </c>
      <c r="H159" s="564" t="s">
        <v>117</v>
      </c>
      <c r="I159" s="564"/>
      <c r="J159" s="564">
        <v>0</v>
      </c>
      <c r="K159" s="564">
        <v>0</v>
      </c>
      <c r="L159" s="564">
        <v>0</v>
      </c>
      <c r="M159" s="564">
        <v>57095.32</v>
      </c>
      <c r="N159" s="564">
        <v>102018.86</v>
      </c>
      <c r="O159" s="564">
        <v>127060.95</v>
      </c>
      <c r="P159" s="572">
        <v>104736.32000000001</v>
      </c>
      <c r="Q159" s="670" t="s">
        <v>580</v>
      </c>
      <c r="R159" s="661"/>
      <c r="S159" s="662"/>
      <c r="U159" s="662"/>
    </row>
    <row r="160" spans="1:21" s="663" customFormat="1" x14ac:dyDescent="0.25">
      <c r="A160" s="669" t="s">
        <v>859</v>
      </c>
      <c r="B160" s="656">
        <f t="shared" si="15"/>
        <v>20072.3</v>
      </c>
      <c r="C160" s="564">
        <v>20072.3</v>
      </c>
      <c r="D160" s="564" t="s">
        <v>117</v>
      </c>
      <c r="E160" s="564"/>
      <c r="F160" s="658">
        <f t="shared" si="16"/>
        <v>42366.559999999998</v>
      </c>
      <c r="G160" s="564">
        <v>42366.559999999998</v>
      </c>
      <c r="H160" s="564" t="s">
        <v>117</v>
      </c>
      <c r="I160" s="564"/>
      <c r="J160" s="564">
        <v>0</v>
      </c>
      <c r="K160" s="564">
        <v>0</v>
      </c>
      <c r="L160" s="564">
        <v>0</v>
      </c>
      <c r="M160" s="564">
        <v>0</v>
      </c>
      <c r="N160" s="564">
        <v>0</v>
      </c>
      <c r="O160" s="564">
        <v>0</v>
      </c>
      <c r="P160" s="572">
        <v>0</v>
      </c>
      <c r="Q160" s="670" t="s">
        <v>860</v>
      </c>
      <c r="R160" s="661"/>
      <c r="S160" s="662"/>
      <c r="U160" s="662"/>
    </row>
    <row r="161" spans="1:21" s="663" customFormat="1" x14ac:dyDescent="0.25">
      <c r="A161" s="669" t="s">
        <v>582</v>
      </c>
      <c r="B161" s="656">
        <f t="shared" si="15"/>
        <v>133548.18</v>
      </c>
      <c r="C161" s="564">
        <v>133548.18</v>
      </c>
      <c r="D161" s="564" t="s">
        <v>117</v>
      </c>
      <c r="E161" s="564"/>
      <c r="F161" s="658">
        <f t="shared" si="16"/>
        <v>195845.99</v>
      </c>
      <c r="G161" s="564">
        <v>162199.54999999999</v>
      </c>
      <c r="H161" s="564">
        <v>33646.44</v>
      </c>
      <c r="I161" s="564"/>
      <c r="J161" s="564">
        <v>0</v>
      </c>
      <c r="K161" s="564">
        <v>0</v>
      </c>
      <c r="L161" s="564">
        <v>100</v>
      </c>
      <c r="M161" s="564">
        <v>79088.02</v>
      </c>
      <c r="N161" s="564">
        <v>144733.15</v>
      </c>
      <c r="O161" s="564">
        <v>107271.49</v>
      </c>
      <c r="P161" s="572">
        <v>156240.79999999999</v>
      </c>
      <c r="Q161" s="670" t="s">
        <v>583</v>
      </c>
      <c r="R161" s="661"/>
      <c r="S161" s="662"/>
      <c r="U161" s="662"/>
    </row>
    <row r="162" spans="1:21" s="663" customFormat="1" x14ac:dyDescent="0.25">
      <c r="A162" s="669" t="s">
        <v>584</v>
      </c>
      <c r="B162" s="656">
        <f t="shared" si="15"/>
        <v>319658.02999999997</v>
      </c>
      <c r="C162" s="564">
        <v>314413.15999999997</v>
      </c>
      <c r="D162" s="564">
        <v>5244.87</v>
      </c>
      <c r="E162" s="564"/>
      <c r="F162" s="658">
        <f t="shared" si="16"/>
        <v>682773.37599999912</v>
      </c>
      <c r="G162" s="564">
        <v>661856.91699999908</v>
      </c>
      <c r="H162" s="564">
        <v>20916.458999999999</v>
      </c>
      <c r="I162" s="564"/>
      <c r="J162" s="564">
        <v>581593</v>
      </c>
      <c r="K162" s="564">
        <v>473074.62</v>
      </c>
      <c r="L162" s="564">
        <v>932544.02</v>
      </c>
      <c r="M162" s="564">
        <v>1294933.77</v>
      </c>
      <c r="N162" s="564">
        <v>1354828.67</v>
      </c>
      <c r="O162" s="564">
        <v>816179.93</v>
      </c>
      <c r="P162" s="572">
        <v>1610200.51</v>
      </c>
      <c r="Q162" s="670" t="s">
        <v>585</v>
      </c>
      <c r="R162" s="661"/>
      <c r="S162" s="662"/>
      <c r="U162" s="662"/>
    </row>
    <row r="163" spans="1:21" s="663" customFormat="1" x14ac:dyDescent="0.25">
      <c r="A163" s="669" t="s">
        <v>586</v>
      </c>
      <c r="B163" s="656">
        <f t="shared" si="15"/>
        <v>378055.15400000004</v>
      </c>
      <c r="C163" s="564">
        <v>363618.64</v>
      </c>
      <c r="D163" s="564">
        <v>14436.513999999999</v>
      </c>
      <c r="E163" s="564"/>
      <c r="F163" s="658">
        <f t="shared" si="16"/>
        <v>735869.22279999894</v>
      </c>
      <c r="G163" s="564">
        <v>687833.19999999902</v>
      </c>
      <c r="H163" s="564">
        <v>48036.022799999904</v>
      </c>
      <c r="I163" s="564"/>
      <c r="J163" s="564">
        <v>2570482</v>
      </c>
      <c r="K163" s="564">
        <v>3036526.8399999901</v>
      </c>
      <c r="L163" s="564">
        <v>7143463.2699999996</v>
      </c>
      <c r="M163" s="564">
        <v>9167843.1999999993</v>
      </c>
      <c r="N163" s="564">
        <v>7976522.79</v>
      </c>
      <c r="O163" s="564">
        <v>5521292.7000000002</v>
      </c>
      <c r="P163" s="572">
        <v>7583513.8100000005</v>
      </c>
      <c r="Q163" s="670" t="s">
        <v>587</v>
      </c>
      <c r="R163" s="661"/>
      <c r="S163" s="662"/>
      <c r="U163" s="662"/>
    </row>
    <row r="164" spans="1:21" s="663" customFormat="1" x14ac:dyDescent="0.25">
      <c r="A164" s="669" t="s">
        <v>588</v>
      </c>
      <c r="B164" s="656">
        <f t="shared" si="15"/>
        <v>117970.88</v>
      </c>
      <c r="C164" s="564">
        <v>117970.88</v>
      </c>
      <c r="D164" s="564" t="s">
        <v>117</v>
      </c>
      <c r="E164" s="564"/>
      <c r="F164" s="658">
        <f t="shared" si="16"/>
        <v>171330.36</v>
      </c>
      <c r="G164" s="564">
        <v>141330.35999999999</v>
      </c>
      <c r="H164" s="564">
        <v>30000</v>
      </c>
      <c r="I164" s="564"/>
      <c r="J164" s="564">
        <v>0</v>
      </c>
      <c r="K164" s="564">
        <v>0</v>
      </c>
      <c r="L164" s="564">
        <v>18035</v>
      </c>
      <c r="M164" s="564">
        <v>225582.82</v>
      </c>
      <c r="N164" s="564">
        <v>348981.85</v>
      </c>
      <c r="O164" s="564">
        <v>108289.2</v>
      </c>
      <c r="P164" s="572">
        <v>246635.18</v>
      </c>
      <c r="Q164" s="670" t="s">
        <v>589</v>
      </c>
      <c r="R164" s="661"/>
      <c r="S164" s="662"/>
      <c r="U164" s="662"/>
    </row>
    <row r="165" spans="1:21" s="663" customFormat="1" x14ac:dyDescent="0.25">
      <c r="A165" s="669" t="s">
        <v>590</v>
      </c>
      <c r="B165" s="656">
        <f t="shared" si="15"/>
        <v>562654.94999999995</v>
      </c>
      <c r="C165" s="564">
        <v>494246.85</v>
      </c>
      <c r="D165" s="564">
        <v>68408.100000000006</v>
      </c>
      <c r="E165" s="564"/>
      <c r="F165" s="658">
        <f t="shared" si="16"/>
        <v>841043.73459999997</v>
      </c>
      <c r="G165" s="564">
        <v>681684.5</v>
      </c>
      <c r="H165" s="564">
        <v>159359.2346</v>
      </c>
      <c r="I165" s="564"/>
      <c r="J165" s="564">
        <v>239650</v>
      </c>
      <c r="K165" s="564">
        <v>261462.72999999899</v>
      </c>
      <c r="L165" s="564">
        <v>472559.9</v>
      </c>
      <c r="M165" s="564">
        <v>633070.78</v>
      </c>
      <c r="N165" s="564">
        <v>867751.96</v>
      </c>
      <c r="O165" s="564">
        <v>507235.67</v>
      </c>
      <c r="P165" s="572">
        <v>691751.2</v>
      </c>
      <c r="Q165" s="670" t="s">
        <v>591</v>
      </c>
      <c r="R165" s="661"/>
      <c r="S165" s="662"/>
      <c r="U165" s="662"/>
    </row>
    <row r="166" spans="1:21" s="663" customFormat="1" x14ac:dyDescent="0.25">
      <c r="A166" s="669" t="s">
        <v>592</v>
      </c>
      <c r="B166" s="656">
        <f t="shared" si="15"/>
        <v>291718.84999999998</v>
      </c>
      <c r="C166" s="564">
        <v>230873.5</v>
      </c>
      <c r="D166" s="564">
        <v>60845.35</v>
      </c>
      <c r="E166" s="564"/>
      <c r="F166" s="658">
        <f t="shared" si="16"/>
        <v>845591.46039999893</v>
      </c>
      <c r="G166" s="564">
        <v>678492.82999999891</v>
      </c>
      <c r="H166" s="564">
        <v>167098.63039999999</v>
      </c>
      <c r="I166" s="564"/>
      <c r="J166" s="564">
        <v>704152</v>
      </c>
      <c r="K166" s="564">
        <v>448606.67999999988</v>
      </c>
      <c r="L166" s="564">
        <v>374490.37</v>
      </c>
      <c r="M166" s="564">
        <v>708228.21</v>
      </c>
      <c r="N166" s="564">
        <v>751402.6</v>
      </c>
      <c r="O166" s="564">
        <v>507607.12</v>
      </c>
      <c r="P166" s="572">
        <v>679981.08</v>
      </c>
      <c r="Q166" s="670" t="s">
        <v>593</v>
      </c>
      <c r="R166" s="661"/>
      <c r="S166" s="662"/>
      <c r="U166" s="662"/>
    </row>
    <row r="167" spans="1:21" s="663" customFormat="1" x14ac:dyDescent="0.25">
      <c r="A167" s="669" t="s">
        <v>474</v>
      </c>
      <c r="B167" s="656">
        <f t="shared" si="15"/>
        <v>316585.39</v>
      </c>
      <c r="C167" s="564">
        <v>275460.90000000002</v>
      </c>
      <c r="D167" s="564">
        <v>41124.49</v>
      </c>
      <c r="E167" s="564"/>
      <c r="F167" s="658">
        <f t="shared" si="16"/>
        <v>598986.72779999801</v>
      </c>
      <c r="G167" s="564">
        <v>494594.19499999902</v>
      </c>
      <c r="H167" s="564">
        <v>104392.532799999</v>
      </c>
      <c r="I167" s="564"/>
      <c r="J167" s="564">
        <v>224715</v>
      </c>
      <c r="K167" s="564">
        <v>219201.18</v>
      </c>
      <c r="L167" s="564">
        <v>184074.04</v>
      </c>
      <c r="M167" s="564">
        <v>444295.03</v>
      </c>
      <c r="N167" s="564">
        <v>400263</v>
      </c>
      <c r="O167" s="564">
        <v>214232.85</v>
      </c>
      <c r="P167" s="572">
        <v>239931.17</v>
      </c>
      <c r="Q167" s="670" t="s">
        <v>475</v>
      </c>
      <c r="R167" s="662"/>
      <c r="S167" s="662"/>
      <c r="U167" s="662"/>
    </row>
    <row r="168" spans="1:21" s="663" customFormat="1" ht="8.25" customHeight="1" x14ac:dyDescent="0.25">
      <c r="A168" s="669"/>
      <c r="B168" s="656"/>
      <c r="C168" s="564"/>
      <c r="D168" s="564"/>
      <c r="E168" s="564"/>
      <c r="F168" s="658"/>
      <c r="G168" s="564"/>
      <c r="H168" s="564"/>
      <c r="I168" s="564"/>
      <c r="J168" s="564"/>
      <c r="K168" s="564"/>
      <c r="L168" s="564"/>
      <c r="M168" s="564"/>
      <c r="N168" s="564"/>
      <c r="O168" s="564"/>
      <c r="P168" s="564"/>
      <c r="Q168" s="673"/>
      <c r="R168" s="662"/>
      <c r="S168" s="662"/>
      <c r="U168" s="662"/>
    </row>
    <row r="169" spans="1:21" s="663" customFormat="1" x14ac:dyDescent="0.25">
      <c r="A169" s="667" t="s">
        <v>318</v>
      </c>
      <c r="B169" s="656">
        <f t="shared" si="15"/>
        <v>1172738.3570000001</v>
      </c>
      <c r="C169" s="546">
        <f>SUM(C170:C174)</f>
        <v>1089725.73</v>
      </c>
      <c r="D169" s="546">
        <f>SUM(D170:D174)</f>
        <v>83012.627000000008</v>
      </c>
      <c r="E169" s="546"/>
      <c r="F169" s="658">
        <f t="shared" si="16"/>
        <v>2302572.4065384828</v>
      </c>
      <c r="G169" s="546">
        <f>SUM(G170:G174)</f>
        <v>1665373.4041384831</v>
      </c>
      <c r="H169" s="546">
        <f>SUM(H170:H174)</f>
        <v>637199.00239999988</v>
      </c>
      <c r="I169" s="546"/>
      <c r="J169" s="546">
        <f t="shared" ref="J169:P169" si="20">SUM(J170:J174)</f>
        <v>5387983</v>
      </c>
      <c r="K169" s="546">
        <f t="shared" si="20"/>
        <v>4886885.8999999883</v>
      </c>
      <c r="L169" s="546">
        <f t="shared" si="20"/>
        <v>6589192.25</v>
      </c>
      <c r="M169" s="546">
        <f t="shared" si="20"/>
        <v>9723321.2799999993</v>
      </c>
      <c r="N169" s="546">
        <f t="shared" si="20"/>
        <v>10153645.83</v>
      </c>
      <c r="O169" s="546">
        <f t="shared" si="20"/>
        <v>6358160.0700000003</v>
      </c>
      <c r="P169" s="546">
        <f t="shared" si="20"/>
        <v>13465688.68</v>
      </c>
      <c r="Q169" s="668" t="s">
        <v>319</v>
      </c>
      <c r="R169" s="662"/>
      <c r="S169" s="662"/>
      <c r="U169" s="662"/>
    </row>
    <row r="170" spans="1:21" s="663" customFormat="1" x14ac:dyDescent="0.25">
      <c r="A170" s="669" t="s">
        <v>594</v>
      </c>
      <c r="B170" s="656">
        <f t="shared" si="15"/>
        <v>190682.79</v>
      </c>
      <c r="C170" s="564">
        <v>169580.39</v>
      </c>
      <c r="D170" s="564">
        <v>21102.400000000001</v>
      </c>
      <c r="E170" s="564"/>
      <c r="F170" s="658">
        <f t="shared" si="16"/>
        <v>260898.48</v>
      </c>
      <c r="G170" s="564">
        <v>260898.48</v>
      </c>
      <c r="H170" s="564" t="s">
        <v>117</v>
      </c>
      <c r="I170" s="564"/>
      <c r="J170" s="564">
        <v>2992848</v>
      </c>
      <c r="K170" s="564">
        <v>2531224.21999999</v>
      </c>
      <c r="L170" s="564">
        <v>3006325.82</v>
      </c>
      <c r="M170" s="564">
        <v>4783051.7699999996</v>
      </c>
      <c r="N170" s="564">
        <v>4292375.6100000003</v>
      </c>
      <c r="O170" s="564">
        <v>1728602.29</v>
      </c>
      <c r="P170" s="572">
        <v>1714094.86</v>
      </c>
      <c r="Q170" s="670" t="s">
        <v>595</v>
      </c>
      <c r="R170" s="662"/>
      <c r="S170" s="662"/>
      <c r="U170" s="662"/>
    </row>
    <row r="171" spans="1:21" s="663" customFormat="1" x14ac:dyDescent="0.25">
      <c r="A171" s="669" t="s">
        <v>596</v>
      </c>
      <c r="B171" s="656">
        <f t="shared" si="15"/>
        <v>289691.23700000002</v>
      </c>
      <c r="C171" s="564">
        <v>242753.01</v>
      </c>
      <c r="D171" s="564">
        <v>46938.226999999999</v>
      </c>
      <c r="E171" s="564"/>
      <c r="F171" s="658">
        <f t="shared" si="16"/>
        <v>619503.7247999988</v>
      </c>
      <c r="G171" s="564">
        <v>394740.32999999897</v>
      </c>
      <c r="H171" s="564">
        <v>224763.39479999989</v>
      </c>
      <c r="I171" s="564"/>
      <c r="J171" s="564">
        <v>555958</v>
      </c>
      <c r="K171" s="564">
        <v>699732.179999999</v>
      </c>
      <c r="L171" s="564">
        <v>773280.33</v>
      </c>
      <c r="M171" s="564">
        <v>1461210.3</v>
      </c>
      <c r="N171" s="564">
        <v>1773017.39</v>
      </c>
      <c r="O171" s="564">
        <v>1217936.74</v>
      </c>
      <c r="P171" s="572">
        <v>1741037.43</v>
      </c>
      <c r="Q171" s="670" t="s">
        <v>597</v>
      </c>
      <c r="R171" s="662"/>
      <c r="S171" s="662"/>
      <c r="U171" s="662"/>
    </row>
    <row r="172" spans="1:21" s="663" customFormat="1" x14ac:dyDescent="0.25">
      <c r="A172" s="669" t="s">
        <v>446</v>
      </c>
      <c r="B172" s="656">
        <f t="shared" si="15"/>
        <v>160131.85</v>
      </c>
      <c r="C172" s="564">
        <v>157040.87</v>
      </c>
      <c r="D172" s="564">
        <v>3090.98</v>
      </c>
      <c r="E172" s="564"/>
      <c r="F172" s="658">
        <f t="shared" si="16"/>
        <v>519402.874138485</v>
      </c>
      <c r="G172" s="564">
        <v>360072.38413848501</v>
      </c>
      <c r="H172" s="564">
        <v>159330.49</v>
      </c>
      <c r="I172" s="564"/>
      <c r="J172" s="564">
        <v>497440</v>
      </c>
      <c r="K172" s="564">
        <v>432365.08999999898</v>
      </c>
      <c r="L172" s="564">
        <v>602066.24</v>
      </c>
      <c r="M172" s="564">
        <v>782428.6</v>
      </c>
      <c r="N172" s="564">
        <v>822283.2</v>
      </c>
      <c r="O172" s="564">
        <v>591006.79</v>
      </c>
      <c r="P172" s="572">
        <v>1019640.48</v>
      </c>
      <c r="Q172" s="670" t="s">
        <v>447</v>
      </c>
      <c r="R172" s="661"/>
      <c r="S172" s="662"/>
      <c r="U172" s="662"/>
    </row>
    <row r="173" spans="1:21" s="663" customFormat="1" x14ac:dyDescent="0.25">
      <c r="A173" s="669" t="s">
        <v>598</v>
      </c>
      <c r="B173" s="656">
        <f t="shared" si="15"/>
        <v>175281.19999999998</v>
      </c>
      <c r="C173" s="564">
        <v>163400.18</v>
      </c>
      <c r="D173" s="564">
        <v>11881.02</v>
      </c>
      <c r="E173" s="564"/>
      <c r="F173" s="658">
        <f t="shared" si="16"/>
        <v>189325.40999999898</v>
      </c>
      <c r="G173" s="564">
        <v>158074.43999999898</v>
      </c>
      <c r="H173" s="564">
        <v>31250.97</v>
      </c>
      <c r="I173" s="564"/>
      <c r="J173" s="564">
        <v>84815</v>
      </c>
      <c r="K173" s="564">
        <v>80600.51999999999</v>
      </c>
      <c r="L173" s="564">
        <v>198613.37</v>
      </c>
      <c r="M173" s="564">
        <v>318410.55</v>
      </c>
      <c r="N173" s="564">
        <v>253350.59</v>
      </c>
      <c r="O173" s="564">
        <v>219840.44</v>
      </c>
      <c r="P173" s="572">
        <v>276533.3</v>
      </c>
      <c r="Q173" s="670" t="s">
        <v>599</v>
      </c>
      <c r="R173" s="661"/>
      <c r="S173" s="662"/>
      <c r="U173" s="662"/>
    </row>
    <row r="174" spans="1:21" s="663" customFormat="1" x14ac:dyDescent="0.25">
      <c r="A174" s="669" t="s">
        <v>600</v>
      </c>
      <c r="B174" s="656">
        <f t="shared" si="15"/>
        <v>356951.28</v>
      </c>
      <c r="C174" s="564">
        <v>356951.28</v>
      </c>
      <c r="D174" s="564" t="s">
        <v>117</v>
      </c>
      <c r="E174" s="564"/>
      <c r="F174" s="658">
        <f t="shared" si="16"/>
        <v>713441.91759999993</v>
      </c>
      <c r="G174" s="564">
        <v>491587.7699999999</v>
      </c>
      <c r="H174" s="564">
        <v>221854.1476</v>
      </c>
      <c r="I174" s="564"/>
      <c r="J174" s="564">
        <v>1256922</v>
      </c>
      <c r="K174" s="564">
        <v>1142963.8900000001</v>
      </c>
      <c r="L174" s="564">
        <v>2008906.49</v>
      </c>
      <c r="M174" s="564">
        <v>2378220.06</v>
      </c>
      <c r="N174" s="564">
        <v>3012619.04</v>
      </c>
      <c r="O174" s="564">
        <v>2600773.81</v>
      </c>
      <c r="P174" s="572">
        <v>8714382.6100000013</v>
      </c>
      <c r="Q174" s="670" t="s">
        <v>601</v>
      </c>
      <c r="R174" s="661"/>
      <c r="S174" s="662"/>
      <c r="U174" s="662"/>
    </row>
    <row r="175" spans="1:21" s="663" customFormat="1" ht="9.75" customHeight="1" x14ac:dyDescent="0.25">
      <c r="A175" s="669"/>
      <c r="B175" s="656"/>
      <c r="C175" s="564"/>
      <c r="D175" s="564"/>
      <c r="E175" s="564"/>
      <c r="F175" s="658"/>
      <c r="G175" s="564"/>
      <c r="H175" s="564"/>
      <c r="I175" s="564"/>
      <c r="J175" s="564"/>
      <c r="K175" s="564"/>
      <c r="L175" s="564"/>
      <c r="M175" s="564"/>
      <c r="N175" s="564"/>
      <c r="O175" s="564"/>
      <c r="P175" s="564"/>
      <c r="Q175" s="673"/>
      <c r="R175" s="661"/>
      <c r="S175" s="662"/>
      <c r="U175" s="662"/>
    </row>
    <row r="176" spans="1:21" s="663" customFormat="1" x14ac:dyDescent="0.25">
      <c r="A176" s="667" t="s">
        <v>320</v>
      </c>
      <c r="B176" s="656">
        <f t="shared" si="15"/>
        <v>2486260.4210000001</v>
      </c>
      <c r="C176" s="546">
        <f>SUM(C177:C184)</f>
        <v>2308653.12</v>
      </c>
      <c r="D176" s="546">
        <f>SUM(D177:D184)</f>
        <v>177607.30100000001</v>
      </c>
      <c r="E176" s="546"/>
      <c r="F176" s="658">
        <f t="shared" si="16"/>
        <v>4238458.5711005405</v>
      </c>
      <c r="G176" s="546">
        <f>SUM(G177:G184)</f>
        <v>3747889.6093005417</v>
      </c>
      <c r="H176" s="546">
        <f>SUM(H177:H184)</f>
        <v>490568.961799999</v>
      </c>
      <c r="I176" s="546"/>
      <c r="J176" s="546">
        <f t="shared" ref="J176:P176" si="21">SUM(J177:J184)</f>
        <v>9032373</v>
      </c>
      <c r="K176" s="546">
        <f t="shared" si="21"/>
        <v>9196467.5899999663</v>
      </c>
      <c r="L176" s="546">
        <f t="shared" si="21"/>
        <v>9874084.1600000001</v>
      </c>
      <c r="M176" s="546">
        <f t="shared" si="21"/>
        <v>12434694.649999999</v>
      </c>
      <c r="N176" s="546">
        <f t="shared" si="21"/>
        <v>11807838.66</v>
      </c>
      <c r="O176" s="546">
        <f t="shared" si="21"/>
        <v>13061458.859999999</v>
      </c>
      <c r="P176" s="546">
        <f t="shared" si="21"/>
        <v>15100490.25</v>
      </c>
      <c r="Q176" s="668" t="s">
        <v>321</v>
      </c>
      <c r="R176" s="661"/>
      <c r="S176" s="662"/>
      <c r="U176" s="662"/>
    </row>
    <row r="177" spans="1:21" s="663" customFormat="1" x14ac:dyDescent="0.25">
      <c r="A177" s="669" t="s">
        <v>480</v>
      </c>
      <c r="B177" s="656">
        <f t="shared" si="15"/>
        <v>227173.11000000002</v>
      </c>
      <c r="C177" s="564">
        <v>224692.57</v>
      </c>
      <c r="D177" s="564">
        <v>2480.54</v>
      </c>
      <c r="E177" s="564"/>
      <c r="F177" s="658">
        <f t="shared" si="16"/>
        <v>650423.88099999796</v>
      </c>
      <c r="G177" s="564">
        <v>504279.28999999899</v>
      </c>
      <c r="H177" s="564">
        <v>146144.590999999</v>
      </c>
      <c r="I177" s="564"/>
      <c r="J177" s="564">
        <v>497160</v>
      </c>
      <c r="K177" s="564">
        <v>650387.50999999896</v>
      </c>
      <c r="L177" s="564">
        <v>860300.08</v>
      </c>
      <c r="M177" s="564">
        <v>1096727.83</v>
      </c>
      <c r="N177" s="564">
        <v>1528718.54</v>
      </c>
      <c r="O177" s="564">
        <v>1533416.45</v>
      </c>
      <c r="P177" s="572">
        <v>1719727.24</v>
      </c>
      <c r="Q177" s="670" t="s">
        <v>481</v>
      </c>
      <c r="R177" s="661"/>
      <c r="S177" s="662"/>
      <c r="U177" s="662"/>
    </row>
    <row r="178" spans="1:21" s="663" customFormat="1" x14ac:dyDescent="0.25">
      <c r="A178" s="669" t="s">
        <v>602</v>
      </c>
      <c r="B178" s="656">
        <f t="shared" si="15"/>
        <v>224709.73</v>
      </c>
      <c r="C178" s="564">
        <v>224709.73</v>
      </c>
      <c r="D178" s="564" t="s">
        <v>117</v>
      </c>
      <c r="E178" s="564"/>
      <c r="F178" s="658">
        <f t="shared" si="16"/>
        <v>218430.63210000002</v>
      </c>
      <c r="G178" s="564">
        <v>218430.63210000002</v>
      </c>
      <c r="H178" s="564" t="s">
        <v>117</v>
      </c>
      <c r="I178" s="564"/>
      <c r="J178" s="564">
        <v>496261</v>
      </c>
      <c r="K178" s="564">
        <v>540969.38999999897</v>
      </c>
      <c r="L178" s="564">
        <v>487061.5</v>
      </c>
      <c r="M178" s="564">
        <v>949103.09</v>
      </c>
      <c r="N178" s="564">
        <v>800381.21</v>
      </c>
      <c r="O178" s="564">
        <v>932478.16</v>
      </c>
      <c r="P178" s="572">
        <v>1017190.67</v>
      </c>
      <c r="Q178" s="670" t="s">
        <v>603</v>
      </c>
      <c r="R178" s="661"/>
      <c r="S178" s="662"/>
      <c r="U178" s="662"/>
    </row>
    <row r="179" spans="1:21" s="663" customFormat="1" x14ac:dyDescent="0.25">
      <c r="A179" s="669" t="s">
        <v>604</v>
      </c>
      <c r="B179" s="656">
        <f t="shared" si="15"/>
        <v>212856.98099999997</v>
      </c>
      <c r="C179" s="564">
        <v>147979.60999999999</v>
      </c>
      <c r="D179" s="564">
        <v>64877.370999999999</v>
      </c>
      <c r="E179" s="564"/>
      <c r="F179" s="658">
        <f t="shared" si="16"/>
        <v>122735.14</v>
      </c>
      <c r="G179" s="564">
        <v>117446.08</v>
      </c>
      <c r="H179" s="564">
        <v>5289.06</v>
      </c>
      <c r="I179" s="564"/>
      <c r="J179" s="564">
        <v>0</v>
      </c>
      <c r="K179" s="564">
        <v>0</v>
      </c>
      <c r="L179" s="564">
        <v>0</v>
      </c>
      <c r="M179" s="564">
        <v>140576</v>
      </c>
      <c r="N179" s="564">
        <v>262146.08</v>
      </c>
      <c r="O179" s="564">
        <v>368745.91</v>
      </c>
      <c r="P179" s="572">
        <v>247583.4</v>
      </c>
      <c r="Q179" s="670" t="s">
        <v>605</v>
      </c>
      <c r="R179" s="661"/>
      <c r="S179" s="662"/>
      <c r="U179" s="662"/>
    </row>
    <row r="180" spans="1:21" s="663" customFormat="1" x14ac:dyDescent="0.25">
      <c r="A180" s="669" t="s">
        <v>606</v>
      </c>
      <c r="B180" s="656">
        <f t="shared" si="15"/>
        <v>230527.78</v>
      </c>
      <c r="C180" s="564">
        <v>208902.99</v>
      </c>
      <c r="D180" s="564">
        <v>21624.79</v>
      </c>
      <c r="E180" s="564"/>
      <c r="F180" s="658">
        <f t="shared" si="16"/>
        <v>528105.16189999995</v>
      </c>
      <c r="G180" s="564">
        <v>500560.2635</v>
      </c>
      <c r="H180" s="564">
        <v>27544.898399999998</v>
      </c>
      <c r="I180" s="564"/>
      <c r="J180" s="564">
        <v>502601</v>
      </c>
      <c r="K180" s="564">
        <v>881236.86999999906</v>
      </c>
      <c r="L180" s="564">
        <v>880391.22</v>
      </c>
      <c r="M180" s="564">
        <v>1145420.03</v>
      </c>
      <c r="N180" s="564">
        <v>1011121.3</v>
      </c>
      <c r="O180" s="564">
        <v>1361311.11</v>
      </c>
      <c r="P180" s="572">
        <v>1716324.19</v>
      </c>
      <c r="Q180" s="670" t="s">
        <v>607</v>
      </c>
      <c r="R180" s="661"/>
      <c r="S180" s="662"/>
      <c r="U180" s="662"/>
    </row>
    <row r="181" spans="1:21" s="663" customFormat="1" x14ac:dyDescent="0.25">
      <c r="A181" s="669" t="s">
        <v>861</v>
      </c>
      <c r="B181" s="656">
        <f t="shared" si="15"/>
        <v>56792.59</v>
      </c>
      <c r="C181" s="564">
        <v>56792.59</v>
      </c>
      <c r="D181" s="564" t="s">
        <v>117</v>
      </c>
      <c r="E181" s="564"/>
      <c r="F181" s="658">
        <f t="shared" si="16"/>
        <v>19760.439999999999</v>
      </c>
      <c r="G181" s="564">
        <v>19760.439999999999</v>
      </c>
      <c r="H181" s="564" t="s">
        <v>117</v>
      </c>
      <c r="I181" s="564"/>
      <c r="J181" s="564">
        <v>0</v>
      </c>
      <c r="K181" s="564">
        <v>0</v>
      </c>
      <c r="L181" s="564">
        <v>0</v>
      </c>
      <c r="M181" s="564">
        <v>0</v>
      </c>
      <c r="N181" s="564">
        <v>0</v>
      </c>
      <c r="O181" s="564">
        <v>0</v>
      </c>
      <c r="P181" s="572">
        <v>0</v>
      </c>
      <c r="Q181" s="671" t="s">
        <v>862</v>
      </c>
      <c r="R181" s="661"/>
      <c r="S181" s="662"/>
      <c r="U181" s="662"/>
    </row>
    <row r="182" spans="1:21" s="663" customFormat="1" x14ac:dyDescent="0.25">
      <c r="A182" s="669" t="s">
        <v>608</v>
      </c>
      <c r="B182" s="656">
        <f t="shared" si="15"/>
        <v>111142.02</v>
      </c>
      <c r="C182" s="564">
        <v>111142.02</v>
      </c>
      <c r="D182" s="564" t="s">
        <v>117</v>
      </c>
      <c r="E182" s="564"/>
      <c r="F182" s="658">
        <f t="shared" si="16"/>
        <v>142810.43</v>
      </c>
      <c r="G182" s="564">
        <v>142810.43</v>
      </c>
      <c r="H182" s="564" t="s">
        <v>117</v>
      </c>
      <c r="I182" s="564"/>
      <c r="J182" s="564">
        <v>0</v>
      </c>
      <c r="K182" s="564">
        <v>0</v>
      </c>
      <c r="L182" s="564">
        <v>0</v>
      </c>
      <c r="M182" s="564">
        <v>0</v>
      </c>
      <c r="N182" s="564">
        <v>0</v>
      </c>
      <c r="O182" s="564">
        <v>0</v>
      </c>
      <c r="P182" s="572">
        <v>0</v>
      </c>
      <c r="Q182" s="670" t="s">
        <v>609</v>
      </c>
      <c r="R182" s="662"/>
      <c r="S182" s="662"/>
      <c r="U182" s="662"/>
    </row>
    <row r="183" spans="1:21" s="663" customFormat="1" x14ac:dyDescent="0.25">
      <c r="A183" s="669" t="s">
        <v>610</v>
      </c>
      <c r="B183" s="656">
        <f t="shared" si="15"/>
        <v>301203.11</v>
      </c>
      <c r="C183" s="564">
        <v>279246.01</v>
      </c>
      <c r="D183" s="564">
        <v>21957.1</v>
      </c>
      <c r="E183" s="564"/>
      <c r="F183" s="658">
        <f t="shared" si="16"/>
        <v>428686.40080154303</v>
      </c>
      <c r="G183" s="564">
        <v>398686.40080154303</v>
      </c>
      <c r="H183" s="564">
        <v>30000</v>
      </c>
      <c r="I183" s="564"/>
      <c r="J183" s="564">
        <v>0</v>
      </c>
      <c r="K183" s="564">
        <v>210411.08999999991</v>
      </c>
      <c r="L183" s="564">
        <v>342079.06</v>
      </c>
      <c r="M183" s="564">
        <v>574582.66</v>
      </c>
      <c r="N183" s="564">
        <v>755309.09</v>
      </c>
      <c r="O183" s="564">
        <v>851602.41</v>
      </c>
      <c r="P183" s="572">
        <v>978928.91</v>
      </c>
      <c r="Q183" s="670" t="s">
        <v>611</v>
      </c>
      <c r="R183" s="662"/>
      <c r="S183" s="662"/>
      <c r="U183" s="662"/>
    </row>
    <row r="184" spans="1:21" s="663" customFormat="1" x14ac:dyDescent="0.25">
      <c r="A184" s="669" t="s">
        <v>612</v>
      </c>
      <c r="B184" s="656">
        <f t="shared" si="15"/>
        <v>1121855.1000000001</v>
      </c>
      <c r="C184" s="564">
        <v>1055187.6000000001</v>
      </c>
      <c r="D184" s="564">
        <v>66667.5</v>
      </c>
      <c r="E184" s="564"/>
      <c r="F184" s="658">
        <f t="shared" si="16"/>
        <v>2127506.4852990001</v>
      </c>
      <c r="G184" s="564">
        <v>1845916.072899</v>
      </c>
      <c r="H184" s="564">
        <v>281590.41239999997</v>
      </c>
      <c r="I184" s="564"/>
      <c r="J184" s="564">
        <v>7536351</v>
      </c>
      <c r="K184" s="564">
        <v>6913462.7299999697</v>
      </c>
      <c r="L184" s="564">
        <v>7304252.2999999998</v>
      </c>
      <c r="M184" s="564">
        <v>8528285.0399999991</v>
      </c>
      <c r="N184" s="564">
        <v>7450162.4400000004</v>
      </c>
      <c r="O184" s="564">
        <v>8013904.8200000003</v>
      </c>
      <c r="P184" s="572">
        <v>9420735.8399999999</v>
      </c>
      <c r="Q184" s="670" t="s">
        <v>613</v>
      </c>
      <c r="R184" s="662"/>
      <c r="S184" s="662"/>
      <c r="U184" s="662"/>
    </row>
    <row r="185" spans="1:21" s="663" customFormat="1" ht="8.25" customHeight="1" x14ac:dyDescent="0.25">
      <c r="A185" s="669"/>
      <c r="B185" s="656"/>
      <c r="C185" s="564"/>
      <c r="D185" s="564"/>
      <c r="E185" s="564"/>
      <c r="F185" s="658"/>
      <c r="G185" s="564"/>
      <c r="H185" s="564"/>
      <c r="I185" s="564"/>
      <c r="J185" s="564"/>
      <c r="K185" s="564"/>
      <c r="L185" s="564"/>
      <c r="M185" s="564"/>
      <c r="N185" s="564"/>
      <c r="O185" s="564"/>
      <c r="P185" s="564"/>
      <c r="Q185" s="673"/>
      <c r="R185" s="662"/>
      <c r="S185" s="662"/>
      <c r="U185" s="662"/>
    </row>
    <row r="186" spans="1:21" s="663" customFormat="1" x14ac:dyDescent="0.25">
      <c r="A186" s="667" t="s">
        <v>322</v>
      </c>
      <c r="B186" s="656">
        <f t="shared" si="15"/>
        <v>5273164.8800000008</v>
      </c>
      <c r="C186" s="546">
        <f>SUM(C187:C199)</f>
        <v>4583103.4300000006</v>
      </c>
      <c r="D186" s="546">
        <f>SUM(D187:D199)</f>
        <v>690061.45000000007</v>
      </c>
      <c r="E186" s="546"/>
      <c r="F186" s="658">
        <f t="shared" si="16"/>
        <v>7668957.2865999807</v>
      </c>
      <c r="G186" s="546">
        <f>SUM(G187:G199)</f>
        <v>6823349.6430999823</v>
      </c>
      <c r="H186" s="546">
        <f>SUM(H187:H199)</f>
        <v>845607.64349999884</v>
      </c>
      <c r="I186" s="546"/>
      <c r="J186" s="546">
        <f t="shared" ref="J186:P186" si="22">SUM(J187:J199)</f>
        <v>10105484</v>
      </c>
      <c r="K186" s="546">
        <f t="shared" si="22"/>
        <v>10945367.059999997</v>
      </c>
      <c r="L186" s="546">
        <f t="shared" si="22"/>
        <v>15424283.250000002</v>
      </c>
      <c r="M186" s="546">
        <f t="shared" si="22"/>
        <v>20505081.599999998</v>
      </c>
      <c r="N186" s="546">
        <f t="shared" si="22"/>
        <v>22462983.789999995</v>
      </c>
      <c r="O186" s="546">
        <f t="shared" si="22"/>
        <v>23683245.52</v>
      </c>
      <c r="P186" s="546">
        <f t="shared" si="22"/>
        <v>21574058.689999998</v>
      </c>
      <c r="Q186" s="668" t="s">
        <v>323</v>
      </c>
      <c r="R186" s="662"/>
      <c r="S186" s="662"/>
      <c r="U186" s="662"/>
    </row>
    <row r="187" spans="1:21" s="663" customFormat="1" x14ac:dyDescent="0.25">
      <c r="A187" s="669" t="s">
        <v>614</v>
      </c>
      <c r="B187" s="656">
        <f t="shared" si="15"/>
        <v>286887.51</v>
      </c>
      <c r="C187" s="564">
        <v>257265.53</v>
      </c>
      <c r="D187" s="564">
        <v>29621.98</v>
      </c>
      <c r="E187" s="564"/>
      <c r="F187" s="658">
        <f t="shared" si="16"/>
        <v>253235.41949999999</v>
      </c>
      <c r="G187" s="564">
        <v>231332.2395</v>
      </c>
      <c r="H187" s="564">
        <v>21903.18</v>
      </c>
      <c r="I187" s="564"/>
      <c r="J187" s="564">
        <v>182534</v>
      </c>
      <c r="K187" s="564">
        <v>261581.84999999992</v>
      </c>
      <c r="L187" s="564">
        <v>542764.73</v>
      </c>
      <c r="M187" s="564">
        <v>537529.36</v>
      </c>
      <c r="N187" s="564">
        <v>535288.37</v>
      </c>
      <c r="O187" s="564">
        <v>614184.01</v>
      </c>
      <c r="P187" s="572">
        <v>780607.04</v>
      </c>
      <c r="Q187" s="670" t="s">
        <v>615</v>
      </c>
      <c r="R187" s="661"/>
      <c r="S187" s="662"/>
      <c r="U187" s="662"/>
    </row>
    <row r="188" spans="1:21" s="663" customFormat="1" x14ac:dyDescent="0.25">
      <c r="A188" s="669" t="s">
        <v>863</v>
      </c>
      <c r="B188" s="656">
        <f t="shared" si="15"/>
        <v>907625.91</v>
      </c>
      <c r="C188" s="564">
        <v>747663.79</v>
      </c>
      <c r="D188" s="564">
        <v>159962.12</v>
      </c>
      <c r="E188" s="564"/>
      <c r="F188" s="658">
        <f t="shared" si="16"/>
        <v>850289.42569999909</v>
      </c>
      <c r="G188" s="564">
        <v>726723.51999999909</v>
      </c>
      <c r="H188" s="564">
        <v>123565.9057</v>
      </c>
      <c r="I188" s="564"/>
      <c r="J188" s="564">
        <v>491137</v>
      </c>
      <c r="K188" s="564">
        <v>609866.99999999895</v>
      </c>
      <c r="L188" s="564">
        <v>1017088.8</v>
      </c>
      <c r="M188" s="564">
        <v>1626901.82</v>
      </c>
      <c r="N188" s="564">
        <v>2389527.81</v>
      </c>
      <c r="O188" s="564">
        <v>2393651.04</v>
      </c>
      <c r="P188" s="572">
        <v>1872201.27</v>
      </c>
      <c r="Q188" s="671" t="s">
        <v>864</v>
      </c>
      <c r="R188" s="661"/>
      <c r="S188" s="662"/>
      <c r="U188" s="662"/>
    </row>
    <row r="189" spans="1:21" s="663" customFormat="1" x14ac:dyDescent="0.25">
      <c r="A189" s="669" t="s">
        <v>581</v>
      </c>
      <c r="B189" s="656">
        <f t="shared" si="15"/>
        <v>348579.53</v>
      </c>
      <c r="C189" s="564">
        <v>276543.88</v>
      </c>
      <c r="D189" s="564">
        <v>72035.649999999994</v>
      </c>
      <c r="E189" s="564"/>
      <c r="F189" s="658">
        <f t="shared" si="16"/>
        <v>527176.29079999891</v>
      </c>
      <c r="G189" s="564">
        <v>495368.44999999896</v>
      </c>
      <c r="H189" s="564">
        <v>31807.8407999999</v>
      </c>
      <c r="I189" s="564"/>
      <c r="J189" s="564">
        <v>59071</v>
      </c>
      <c r="K189" s="564">
        <v>250836.9</v>
      </c>
      <c r="L189" s="564">
        <v>413280.34</v>
      </c>
      <c r="M189" s="564">
        <v>878553.08</v>
      </c>
      <c r="N189" s="564">
        <v>852214.39</v>
      </c>
      <c r="O189" s="564">
        <v>1315323.3999999999</v>
      </c>
      <c r="P189" s="572">
        <v>991365.86</v>
      </c>
      <c r="Q189" s="670" t="s">
        <v>616</v>
      </c>
      <c r="R189" s="661"/>
      <c r="S189" s="662"/>
      <c r="U189" s="662"/>
    </row>
    <row r="190" spans="1:21" s="663" customFormat="1" x14ac:dyDescent="0.25">
      <c r="A190" s="669" t="s">
        <v>617</v>
      </c>
      <c r="B190" s="656">
        <f t="shared" si="15"/>
        <v>224981.45</v>
      </c>
      <c r="C190" s="564">
        <v>224981.45</v>
      </c>
      <c r="D190" s="564" t="s">
        <v>117</v>
      </c>
      <c r="E190" s="564"/>
      <c r="F190" s="658">
        <f t="shared" si="16"/>
        <v>267666.05</v>
      </c>
      <c r="G190" s="564">
        <v>267666.05</v>
      </c>
      <c r="H190" s="564" t="s">
        <v>117</v>
      </c>
      <c r="I190" s="564"/>
      <c r="J190" s="564">
        <v>112893</v>
      </c>
      <c r="K190" s="564">
        <v>175945.98</v>
      </c>
      <c r="L190" s="564">
        <v>176222.38</v>
      </c>
      <c r="M190" s="564">
        <v>665202.23</v>
      </c>
      <c r="N190" s="564">
        <v>564413.30000000005</v>
      </c>
      <c r="O190" s="564">
        <v>702745.75</v>
      </c>
      <c r="P190" s="572">
        <v>614907.99</v>
      </c>
      <c r="Q190" s="670" t="s">
        <v>618</v>
      </c>
      <c r="R190" s="661"/>
      <c r="S190" s="662"/>
      <c r="U190" s="662"/>
    </row>
    <row r="191" spans="1:21" s="663" customFormat="1" x14ac:dyDescent="0.25">
      <c r="A191" s="669" t="s">
        <v>537</v>
      </c>
      <c r="B191" s="656">
        <f t="shared" si="15"/>
        <v>652466.61</v>
      </c>
      <c r="C191" s="564">
        <v>571729.22</v>
      </c>
      <c r="D191" s="564">
        <v>80737.39</v>
      </c>
      <c r="E191" s="564"/>
      <c r="F191" s="658">
        <f t="shared" si="16"/>
        <v>1136876.8776999889</v>
      </c>
      <c r="G191" s="564">
        <v>1027172.98149999</v>
      </c>
      <c r="H191" s="564">
        <v>109703.896199999</v>
      </c>
      <c r="I191" s="564"/>
      <c r="J191" s="564">
        <v>765075</v>
      </c>
      <c r="K191" s="564">
        <v>1471504.0399999998</v>
      </c>
      <c r="L191" s="564">
        <v>1890259.22</v>
      </c>
      <c r="M191" s="564">
        <v>2367729.7799999998</v>
      </c>
      <c r="N191" s="564">
        <v>2698274.24</v>
      </c>
      <c r="O191" s="564">
        <v>2653706.58</v>
      </c>
      <c r="P191" s="572">
        <v>2322246.2799999998</v>
      </c>
      <c r="Q191" s="670" t="s">
        <v>538</v>
      </c>
      <c r="R191" s="661"/>
      <c r="S191" s="662"/>
      <c r="U191" s="662"/>
    </row>
    <row r="192" spans="1:21" s="663" customFormat="1" x14ac:dyDescent="0.25">
      <c r="A192" s="669" t="s">
        <v>619</v>
      </c>
      <c r="B192" s="656">
        <f t="shared" si="15"/>
        <v>419818.59</v>
      </c>
      <c r="C192" s="564">
        <v>411008.39</v>
      </c>
      <c r="D192" s="564">
        <v>8810.2000000000007</v>
      </c>
      <c r="E192" s="564"/>
      <c r="F192" s="658">
        <f t="shared" si="16"/>
        <v>657030.89339999901</v>
      </c>
      <c r="G192" s="564">
        <v>597262.27499999898</v>
      </c>
      <c r="H192" s="564">
        <v>59768.618399999999</v>
      </c>
      <c r="I192" s="564"/>
      <c r="J192" s="564">
        <v>117000</v>
      </c>
      <c r="K192" s="564">
        <v>112995</v>
      </c>
      <c r="L192" s="564">
        <v>193481.8</v>
      </c>
      <c r="M192" s="564">
        <v>484320.08</v>
      </c>
      <c r="N192" s="564">
        <v>587893.54</v>
      </c>
      <c r="O192" s="564">
        <v>542917.04</v>
      </c>
      <c r="P192" s="572">
        <v>528617</v>
      </c>
      <c r="Q192" s="670" t="s">
        <v>620</v>
      </c>
      <c r="R192" s="661"/>
      <c r="S192" s="662"/>
      <c r="U192" s="662"/>
    </row>
    <row r="193" spans="1:21" s="663" customFormat="1" x14ac:dyDescent="0.25">
      <c r="A193" s="669" t="s">
        <v>621</v>
      </c>
      <c r="B193" s="656">
        <f t="shared" si="15"/>
        <v>30045.65</v>
      </c>
      <c r="C193" s="564">
        <v>30045.65</v>
      </c>
      <c r="D193" s="564" t="s">
        <v>117</v>
      </c>
      <c r="E193" s="564"/>
      <c r="F193" s="658">
        <f t="shared" si="16"/>
        <v>73975.099999999889</v>
      </c>
      <c r="G193" s="564">
        <v>73975.099999999889</v>
      </c>
      <c r="H193" s="564" t="s">
        <v>117</v>
      </c>
      <c r="I193" s="564"/>
      <c r="J193" s="564">
        <v>0</v>
      </c>
      <c r="K193" s="564">
        <v>0</v>
      </c>
      <c r="L193" s="564">
        <v>29710.12</v>
      </c>
      <c r="M193" s="564">
        <v>136854.35999999999</v>
      </c>
      <c r="N193" s="564">
        <v>209342.76</v>
      </c>
      <c r="O193" s="564">
        <v>204333.75</v>
      </c>
      <c r="P193" s="572">
        <v>157565.5</v>
      </c>
      <c r="Q193" s="670" t="s">
        <v>622</v>
      </c>
      <c r="R193" s="661"/>
      <c r="S193" s="662"/>
      <c r="U193" s="662"/>
    </row>
    <row r="194" spans="1:21" s="663" customFormat="1" x14ac:dyDescent="0.25">
      <c r="A194" s="669" t="s">
        <v>623</v>
      </c>
      <c r="B194" s="656">
        <f t="shared" si="15"/>
        <v>205696.47999999998</v>
      </c>
      <c r="C194" s="564">
        <v>204422.71</v>
      </c>
      <c r="D194" s="564">
        <v>1273.77</v>
      </c>
      <c r="E194" s="564"/>
      <c r="F194" s="658">
        <f t="shared" si="16"/>
        <v>311366.92</v>
      </c>
      <c r="G194" s="564">
        <v>302803.03999999998</v>
      </c>
      <c r="H194" s="564">
        <v>8563.8799999999992</v>
      </c>
      <c r="I194" s="564"/>
      <c r="J194" s="564">
        <v>673999</v>
      </c>
      <c r="K194" s="564">
        <v>891753.40999999992</v>
      </c>
      <c r="L194" s="564">
        <v>1274485.23</v>
      </c>
      <c r="M194" s="564">
        <v>1633334.55</v>
      </c>
      <c r="N194" s="564">
        <v>1838537.32</v>
      </c>
      <c r="O194" s="564">
        <v>1717101.01</v>
      </c>
      <c r="P194" s="572">
        <v>1965893.96</v>
      </c>
      <c r="Q194" s="670" t="s">
        <v>624</v>
      </c>
      <c r="R194" s="662"/>
      <c r="S194" s="662"/>
      <c r="U194" s="662"/>
    </row>
    <row r="195" spans="1:21" s="663" customFormat="1" x14ac:dyDescent="0.25">
      <c r="A195" s="669" t="s">
        <v>625</v>
      </c>
      <c r="B195" s="656">
        <f t="shared" si="15"/>
        <v>159545.29999999999</v>
      </c>
      <c r="C195" s="564">
        <v>86359.84</v>
      </c>
      <c r="D195" s="564">
        <v>73185.460000000006</v>
      </c>
      <c r="E195" s="564"/>
      <c r="F195" s="658">
        <f t="shared" si="16"/>
        <v>266035.28999999899</v>
      </c>
      <c r="G195" s="564">
        <v>149273.52999999898</v>
      </c>
      <c r="H195" s="564">
        <v>116761.76</v>
      </c>
      <c r="I195" s="564"/>
      <c r="J195" s="564">
        <v>46546</v>
      </c>
      <c r="K195" s="564">
        <v>71298.05</v>
      </c>
      <c r="L195" s="564">
        <v>172272.83</v>
      </c>
      <c r="M195" s="564">
        <v>259761.18</v>
      </c>
      <c r="N195" s="564">
        <v>322150.37</v>
      </c>
      <c r="O195" s="564">
        <v>264745.01</v>
      </c>
      <c r="P195" s="572">
        <v>228750.15</v>
      </c>
      <c r="Q195" s="670" t="s">
        <v>626</v>
      </c>
      <c r="R195" s="662"/>
      <c r="S195" s="662"/>
      <c r="U195" s="662"/>
    </row>
    <row r="196" spans="1:21" s="663" customFormat="1" x14ac:dyDescent="0.25">
      <c r="A196" s="669" t="s">
        <v>627</v>
      </c>
      <c r="B196" s="656">
        <f t="shared" si="15"/>
        <v>935121.27</v>
      </c>
      <c r="C196" s="564">
        <v>832428.76</v>
      </c>
      <c r="D196" s="564">
        <v>102692.51</v>
      </c>
      <c r="E196" s="564"/>
      <c r="F196" s="658">
        <f t="shared" si="16"/>
        <v>1225811.6100999988</v>
      </c>
      <c r="G196" s="564">
        <v>994631.37009999889</v>
      </c>
      <c r="H196" s="564">
        <v>231180.24</v>
      </c>
      <c r="I196" s="564"/>
      <c r="J196" s="564">
        <v>912981</v>
      </c>
      <c r="K196" s="564">
        <v>721180.66</v>
      </c>
      <c r="L196" s="564">
        <v>981325.06</v>
      </c>
      <c r="M196" s="564">
        <v>1566689.44</v>
      </c>
      <c r="N196" s="564">
        <v>1977662.31</v>
      </c>
      <c r="O196" s="564">
        <v>2424467.9300000002</v>
      </c>
      <c r="P196" s="572">
        <v>2103783.02</v>
      </c>
      <c r="Q196" s="670" t="s">
        <v>628</v>
      </c>
      <c r="R196" s="662"/>
      <c r="S196" s="662"/>
      <c r="U196" s="662"/>
    </row>
    <row r="197" spans="1:21" s="663" customFormat="1" x14ac:dyDescent="0.25">
      <c r="A197" s="669" t="s">
        <v>629</v>
      </c>
      <c r="B197" s="656">
        <f t="shared" si="15"/>
        <v>436118.07</v>
      </c>
      <c r="C197" s="564">
        <v>351053.28</v>
      </c>
      <c r="D197" s="564">
        <v>85064.79</v>
      </c>
      <c r="E197" s="564"/>
      <c r="F197" s="658">
        <f t="shared" si="16"/>
        <v>710749.78319999785</v>
      </c>
      <c r="G197" s="564">
        <v>622237.38999999792</v>
      </c>
      <c r="H197" s="564">
        <v>88512.393199999904</v>
      </c>
      <c r="I197" s="564"/>
      <c r="J197" s="564">
        <v>6490953</v>
      </c>
      <c r="K197" s="564">
        <v>6133083.5700000003</v>
      </c>
      <c r="L197" s="564">
        <v>8383508.1100000003</v>
      </c>
      <c r="M197" s="564">
        <v>9184973.7599999998</v>
      </c>
      <c r="N197" s="564">
        <v>9233968.0299999993</v>
      </c>
      <c r="O197" s="564">
        <v>9557774.2300000004</v>
      </c>
      <c r="P197" s="572">
        <v>8749262.0099999998</v>
      </c>
      <c r="Q197" s="670" t="s">
        <v>630</v>
      </c>
      <c r="R197" s="662"/>
      <c r="S197" s="662"/>
      <c r="U197" s="662"/>
    </row>
    <row r="198" spans="1:21" s="663" customFormat="1" x14ac:dyDescent="0.25">
      <c r="A198" s="669" t="s">
        <v>631</v>
      </c>
      <c r="B198" s="656">
        <f t="shared" ref="B198:B252" si="23">SUM(C198:D198)</f>
        <v>390819.11</v>
      </c>
      <c r="C198" s="564">
        <v>390819.11</v>
      </c>
      <c r="D198" s="564" t="s">
        <v>117</v>
      </c>
      <c r="E198" s="564"/>
      <c r="F198" s="658">
        <f t="shared" ref="F198:F252" si="24">SUM(G198:H198)</f>
        <v>944265.16</v>
      </c>
      <c r="G198" s="564">
        <v>944265.16</v>
      </c>
      <c r="H198" s="564" t="s">
        <v>117</v>
      </c>
      <c r="I198" s="564"/>
      <c r="J198" s="564">
        <v>108780</v>
      </c>
      <c r="K198" s="564">
        <v>120971.12</v>
      </c>
      <c r="L198" s="564">
        <v>180192.5</v>
      </c>
      <c r="M198" s="564">
        <v>665196.06000000006</v>
      </c>
      <c r="N198" s="564">
        <v>779451.4</v>
      </c>
      <c r="O198" s="564">
        <v>832204.16</v>
      </c>
      <c r="P198" s="572">
        <v>825287.63</v>
      </c>
      <c r="Q198" s="670" t="s">
        <v>632</v>
      </c>
      <c r="R198" s="662"/>
      <c r="S198" s="662"/>
      <c r="U198" s="662"/>
    </row>
    <row r="199" spans="1:21" s="663" customFormat="1" x14ac:dyDescent="0.25">
      <c r="A199" s="669" t="s">
        <v>555</v>
      </c>
      <c r="B199" s="656">
        <f t="shared" si="23"/>
        <v>275459.40000000002</v>
      </c>
      <c r="C199" s="564">
        <v>198781.82</v>
      </c>
      <c r="D199" s="564">
        <v>76677.58</v>
      </c>
      <c r="E199" s="564"/>
      <c r="F199" s="658">
        <f t="shared" si="24"/>
        <v>444478.46619999991</v>
      </c>
      <c r="G199" s="564">
        <v>390638.53699999989</v>
      </c>
      <c r="H199" s="564">
        <v>53839.929199999999</v>
      </c>
      <c r="I199" s="564"/>
      <c r="J199" s="564">
        <v>144515</v>
      </c>
      <c r="K199" s="564">
        <v>124349.47999999901</v>
      </c>
      <c r="L199" s="564">
        <v>169692.13</v>
      </c>
      <c r="M199" s="564">
        <v>498035.9</v>
      </c>
      <c r="N199" s="564">
        <v>474259.95</v>
      </c>
      <c r="O199" s="564">
        <v>460091.61</v>
      </c>
      <c r="P199" s="572">
        <v>433570.98</v>
      </c>
      <c r="Q199" s="670" t="s">
        <v>556</v>
      </c>
      <c r="R199" s="662"/>
      <c r="S199" s="662"/>
      <c r="U199" s="662"/>
    </row>
    <row r="200" spans="1:21" s="663" customFormat="1" ht="9" customHeight="1" x14ac:dyDescent="0.25">
      <c r="A200" s="669"/>
      <c r="B200" s="656"/>
      <c r="C200" s="564"/>
      <c r="D200" s="564"/>
      <c r="E200" s="564"/>
      <c r="F200" s="658"/>
      <c r="G200" s="564"/>
      <c r="H200" s="564"/>
      <c r="I200" s="564"/>
      <c r="J200" s="564"/>
      <c r="K200" s="564"/>
      <c r="L200" s="564"/>
      <c r="M200" s="564"/>
      <c r="N200" s="564"/>
      <c r="O200" s="564"/>
      <c r="P200" s="564"/>
      <c r="Q200" s="670"/>
      <c r="R200" s="662"/>
      <c r="S200" s="662"/>
      <c r="U200" s="662"/>
    </row>
    <row r="201" spans="1:21" s="663" customFormat="1" x14ac:dyDescent="0.25">
      <c r="A201" s="667" t="s">
        <v>324</v>
      </c>
      <c r="B201" s="656">
        <f t="shared" si="23"/>
        <v>3092723.3610000005</v>
      </c>
      <c r="C201" s="546">
        <f>SUM(C202:C213)</f>
        <v>2627929.0500000003</v>
      </c>
      <c r="D201" s="546">
        <f>SUM(D202:D213)</f>
        <v>464794.31099999999</v>
      </c>
      <c r="E201" s="546"/>
      <c r="F201" s="658">
        <f t="shared" si="24"/>
        <v>4448510.1711999858</v>
      </c>
      <c r="G201" s="546">
        <f>SUM(G202:G213)</f>
        <v>4039115.5589999864</v>
      </c>
      <c r="H201" s="546">
        <f>SUM(H202:H213)</f>
        <v>409394.6121999998</v>
      </c>
      <c r="I201" s="546"/>
      <c r="J201" s="546">
        <f t="shared" ref="J201:P201" si="25">SUM(J202:J213)</f>
        <v>12373132</v>
      </c>
      <c r="K201" s="546">
        <f t="shared" si="25"/>
        <v>11644595.34999999</v>
      </c>
      <c r="L201" s="546">
        <f t="shared" si="25"/>
        <v>19121149.299999997</v>
      </c>
      <c r="M201" s="546">
        <f t="shared" si="25"/>
        <v>27347316.960000001</v>
      </c>
      <c r="N201" s="546">
        <f t="shared" si="25"/>
        <v>30750547.939999998</v>
      </c>
      <c r="O201" s="546">
        <v>32945144.069999997</v>
      </c>
      <c r="P201" s="546">
        <f t="shared" si="25"/>
        <v>34810489.399999999</v>
      </c>
      <c r="Q201" s="668" t="s">
        <v>325</v>
      </c>
      <c r="R201" s="661"/>
      <c r="S201" s="662"/>
      <c r="U201" s="662"/>
    </row>
    <row r="202" spans="1:21" s="663" customFormat="1" x14ac:dyDescent="0.25">
      <c r="A202" s="669" t="s">
        <v>633</v>
      </c>
      <c r="B202" s="656">
        <f t="shared" si="23"/>
        <v>341051.11</v>
      </c>
      <c r="C202" s="564">
        <v>341051.11</v>
      </c>
      <c r="D202" s="564" t="s">
        <v>117</v>
      </c>
      <c r="E202" s="564"/>
      <c r="F202" s="658">
        <f t="shared" si="24"/>
        <v>572876.99499999895</v>
      </c>
      <c r="G202" s="564">
        <v>496460.25499999896</v>
      </c>
      <c r="H202" s="564">
        <v>76416.740000000005</v>
      </c>
      <c r="I202" s="564"/>
      <c r="J202" s="564">
        <v>345331</v>
      </c>
      <c r="K202" s="564">
        <v>405092.25</v>
      </c>
      <c r="L202" s="564">
        <v>354237.1</v>
      </c>
      <c r="M202" s="564">
        <v>870215.65</v>
      </c>
      <c r="N202" s="564">
        <v>1254590.08</v>
      </c>
      <c r="O202" s="564">
        <v>1199488.58</v>
      </c>
      <c r="P202" s="572">
        <v>1825920.66</v>
      </c>
      <c r="Q202" s="670" t="s">
        <v>634</v>
      </c>
      <c r="R202" s="661"/>
      <c r="S202" s="662"/>
      <c r="U202" s="662"/>
    </row>
    <row r="203" spans="1:21" s="663" customFormat="1" x14ac:dyDescent="0.25">
      <c r="A203" s="669" t="s">
        <v>635</v>
      </c>
      <c r="B203" s="656">
        <f t="shared" si="23"/>
        <v>276108.13</v>
      </c>
      <c r="C203" s="564">
        <v>154474.17000000001</v>
      </c>
      <c r="D203" s="564">
        <v>121633.96</v>
      </c>
      <c r="E203" s="564"/>
      <c r="F203" s="658">
        <f t="shared" si="24"/>
        <v>258156.81999999899</v>
      </c>
      <c r="G203" s="564">
        <v>228156.81999999899</v>
      </c>
      <c r="H203" s="564">
        <v>30000</v>
      </c>
      <c r="I203" s="564"/>
      <c r="J203" s="564">
        <v>135135</v>
      </c>
      <c r="K203" s="564">
        <v>137025</v>
      </c>
      <c r="L203" s="564">
        <v>211830</v>
      </c>
      <c r="M203" s="564">
        <v>300491.92</v>
      </c>
      <c r="N203" s="564">
        <v>603164.36</v>
      </c>
      <c r="O203" s="564">
        <v>689618.16</v>
      </c>
      <c r="P203" s="572">
        <v>709878.63</v>
      </c>
      <c r="Q203" s="670" t="s">
        <v>636</v>
      </c>
      <c r="R203" s="661"/>
      <c r="S203" s="662"/>
      <c r="U203" s="662"/>
    </row>
    <row r="204" spans="1:21" s="663" customFormat="1" x14ac:dyDescent="0.25">
      <c r="A204" s="669" t="s">
        <v>637</v>
      </c>
      <c r="B204" s="656">
        <f t="shared" si="23"/>
        <v>376808.52099999995</v>
      </c>
      <c r="C204" s="564">
        <v>203228.27</v>
      </c>
      <c r="D204" s="564">
        <v>173580.25099999999</v>
      </c>
      <c r="E204" s="564"/>
      <c r="F204" s="658">
        <f t="shared" si="24"/>
        <v>324165.50999999989</v>
      </c>
      <c r="G204" s="564">
        <v>263007.89</v>
      </c>
      <c r="H204" s="564">
        <v>61157.619999999901</v>
      </c>
      <c r="I204" s="564"/>
      <c r="J204" s="564">
        <v>457350</v>
      </c>
      <c r="K204" s="564">
        <v>257660.3</v>
      </c>
      <c r="L204" s="564">
        <v>214381.1</v>
      </c>
      <c r="M204" s="564">
        <v>452842.75</v>
      </c>
      <c r="N204" s="564">
        <v>322166.84999999998</v>
      </c>
      <c r="O204" s="564">
        <v>547440.74</v>
      </c>
      <c r="P204" s="572">
        <v>386965.35</v>
      </c>
      <c r="Q204" s="670" t="s">
        <v>638</v>
      </c>
      <c r="R204" s="661"/>
      <c r="S204" s="662"/>
      <c r="U204" s="662"/>
    </row>
    <row r="205" spans="1:21" s="663" customFormat="1" x14ac:dyDescent="0.25">
      <c r="A205" s="669" t="s">
        <v>639</v>
      </c>
      <c r="B205" s="656">
        <f t="shared" si="23"/>
        <v>121987.88</v>
      </c>
      <c r="C205" s="564">
        <v>103930.78</v>
      </c>
      <c r="D205" s="564">
        <v>18057.099999999999</v>
      </c>
      <c r="E205" s="564"/>
      <c r="F205" s="658">
        <f t="shared" si="24"/>
        <v>156843.57999999999</v>
      </c>
      <c r="G205" s="564">
        <v>123434.37</v>
      </c>
      <c r="H205" s="564">
        <v>33409.21</v>
      </c>
      <c r="I205" s="564"/>
      <c r="J205" s="564">
        <v>8060</v>
      </c>
      <c r="K205" s="564">
        <v>14305</v>
      </c>
      <c r="L205" s="564">
        <v>27820</v>
      </c>
      <c r="M205" s="564">
        <v>145192.95999999999</v>
      </c>
      <c r="N205" s="564">
        <v>95358.66</v>
      </c>
      <c r="O205" s="564">
        <v>28674.400000000001</v>
      </c>
      <c r="P205" s="572">
        <v>158700.85</v>
      </c>
      <c r="Q205" s="670" t="s">
        <v>640</v>
      </c>
      <c r="R205" s="662"/>
      <c r="S205" s="662"/>
      <c r="U205" s="662"/>
    </row>
    <row r="206" spans="1:21" s="663" customFormat="1" x14ac:dyDescent="0.25">
      <c r="A206" s="669" t="s">
        <v>641</v>
      </c>
      <c r="B206" s="656">
        <f t="shared" si="23"/>
        <v>87244.51999999999</v>
      </c>
      <c r="C206" s="564">
        <v>69028.7</v>
      </c>
      <c r="D206" s="564">
        <v>18215.82</v>
      </c>
      <c r="E206" s="564"/>
      <c r="F206" s="658">
        <f t="shared" si="24"/>
        <v>84160.56</v>
      </c>
      <c r="G206" s="564">
        <v>84160.56</v>
      </c>
      <c r="H206" s="564" t="s">
        <v>117</v>
      </c>
      <c r="I206" s="564"/>
      <c r="J206" s="564">
        <v>0</v>
      </c>
      <c r="K206" s="564">
        <v>0</v>
      </c>
      <c r="L206" s="564">
        <v>0</v>
      </c>
      <c r="M206" s="564">
        <v>0</v>
      </c>
      <c r="N206" s="564">
        <v>0</v>
      </c>
      <c r="O206" s="564">
        <v>0</v>
      </c>
      <c r="P206" s="572">
        <v>0</v>
      </c>
      <c r="Q206" s="670" t="s">
        <v>642</v>
      </c>
      <c r="R206" s="662"/>
      <c r="S206" s="662"/>
      <c r="U206" s="662"/>
    </row>
    <row r="207" spans="1:21" s="663" customFormat="1" x14ac:dyDescent="0.25">
      <c r="A207" s="669" t="s">
        <v>643</v>
      </c>
      <c r="B207" s="656">
        <f t="shared" si="23"/>
        <v>681776.43</v>
      </c>
      <c r="C207" s="564">
        <v>556819.66</v>
      </c>
      <c r="D207" s="564">
        <v>124956.77</v>
      </c>
      <c r="E207" s="564"/>
      <c r="F207" s="658">
        <f t="shared" si="24"/>
        <v>1091122.77659999</v>
      </c>
      <c r="G207" s="564">
        <v>1015383.8199999901</v>
      </c>
      <c r="H207" s="564">
        <v>75738.956599999903</v>
      </c>
      <c r="I207" s="564"/>
      <c r="J207" s="564">
        <v>9655443</v>
      </c>
      <c r="K207" s="564">
        <v>9643918.3599999901</v>
      </c>
      <c r="L207" s="564">
        <v>15696148.060000001</v>
      </c>
      <c r="M207" s="564">
        <v>19583745.210000001</v>
      </c>
      <c r="N207" s="564">
        <v>21101781.059999999</v>
      </c>
      <c r="O207" s="564">
        <v>22611943.329999998</v>
      </c>
      <c r="P207" s="572">
        <v>24804393.879999999</v>
      </c>
      <c r="Q207" s="670" t="s">
        <v>644</v>
      </c>
      <c r="R207" s="662"/>
      <c r="S207" s="662"/>
      <c r="U207" s="662"/>
    </row>
    <row r="208" spans="1:21" s="663" customFormat="1" x14ac:dyDescent="0.25">
      <c r="A208" s="669" t="s">
        <v>645</v>
      </c>
      <c r="B208" s="656">
        <f t="shared" si="23"/>
        <v>249022.58</v>
      </c>
      <c r="C208" s="564">
        <v>249022.58</v>
      </c>
      <c r="D208" s="564" t="s">
        <v>117</v>
      </c>
      <c r="E208" s="564"/>
      <c r="F208" s="658">
        <f t="shared" si="24"/>
        <v>602862.973</v>
      </c>
      <c r="G208" s="564">
        <v>567649.01399999997</v>
      </c>
      <c r="H208" s="564">
        <v>35213.959000000003</v>
      </c>
      <c r="I208" s="564"/>
      <c r="J208" s="564">
        <v>589046</v>
      </c>
      <c r="K208" s="564">
        <v>571017</v>
      </c>
      <c r="L208" s="564">
        <v>1071238.1000000001</v>
      </c>
      <c r="M208" s="564">
        <v>2398890.2000000002</v>
      </c>
      <c r="N208" s="564">
        <v>3025174.77</v>
      </c>
      <c r="O208" s="564">
        <v>2644102.84</v>
      </c>
      <c r="P208" s="572">
        <v>2282886.31</v>
      </c>
      <c r="Q208" s="670" t="s">
        <v>646</v>
      </c>
      <c r="R208" s="662"/>
      <c r="S208" s="662"/>
      <c r="U208" s="662"/>
    </row>
    <row r="209" spans="1:21" s="663" customFormat="1" x14ac:dyDescent="0.25">
      <c r="A209" s="669" t="s">
        <v>647</v>
      </c>
      <c r="B209" s="656">
        <f t="shared" si="23"/>
        <v>468558.56</v>
      </c>
      <c r="C209" s="564">
        <v>468558.56</v>
      </c>
      <c r="D209" s="564" t="s">
        <v>117</v>
      </c>
      <c r="E209" s="564"/>
      <c r="F209" s="658">
        <f t="shared" si="24"/>
        <v>605286.42099999997</v>
      </c>
      <c r="G209" s="564">
        <v>554182.62</v>
      </c>
      <c r="H209" s="564">
        <v>51103.800999999999</v>
      </c>
      <c r="I209" s="564"/>
      <c r="J209" s="564">
        <v>626787</v>
      </c>
      <c r="K209" s="564">
        <v>93419</v>
      </c>
      <c r="L209" s="564">
        <v>559235.9</v>
      </c>
      <c r="M209" s="564">
        <v>1723098.92</v>
      </c>
      <c r="N209" s="564">
        <v>1597041.42</v>
      </c>
      <c r="O209" s="564">
        <v>1912167.29</v>
      </c>
      <c r="P209" s="572">
        <v>1641112.94</v>
      </c>
      <c r="Q209" s="670" t="s">
        <v>648</v>
      </c>
      <c r="R209" s="661"/>
      <c r="S209" s="662"/>
      <c r="U209" s="662"/>
    </row>
    <row r="210" spans="1:21" s="663" customFormat="1" x14ac:dyDescent="0.25">
      <c r="A210" s="669" t="s">
        <v>649</v>
      </c>
      <c r="B210" s="656">
        <f t="shared" si="23"/>
        <v>139884.62</v>
      </c>
      <c r="C210" s="564">
        <v>135454.37</v>
      </c>
      <c r="D210" s="564">
        <v>4430.25</v>
      </c>
      <c r="E210" s="564"/>
      <c r="F210" s="658">
        <f t="shared" si="24"/>
        <v>216450.300599999</v>
      </c>
      <c r="G210" s="564">
        <v>206813.87999999899</v>
      </c>
      <c r="H210" s="564">
        <v>9636.4205999999995</v>
      </c>
      <c r="I210" s="564"/>
      <c r="J210" s="564">
        <v>2810</v>
      </c>
      <c r="K210" s="564">
        <v>5140</v>
      </c>
      <c r="L210" s="564">
        <v>2320</v>
      </c>
      <c r="M210" s="564">
        <v>8440</v>
      </c>
      <c r="N210" s="564">
        <v>2855</v>
      </c>
      <c r="O210" s="564">
        <v>0</v>
      </c>
      <c r="P210" s="572">
        <v>0</v>
      </c>
      <c r="Q210" s="670" t="s">
        <v>650</v>
      </c>
      <c r="R210" s="661"/>
      <c r="S210" s="662"/>
      <c r="U210" s="662"/>
    </row>
    <row r="211" spans="1:21" s="663" customFormat="1" x14ac:dyDescent="0.25">
      <c r="A211" s="669" t="s">
        <v>651</v>
      </c>
      <c r="B211" s="656">
        <f t="shared" si="23"/>
        <v>192724.84</v>
      </c>
      <c r="C211" s="564">
        <v>188804.68</v>
      </c>
      <c r="D211" s="564">
        <v>3920.16</v>
      </c>
      <c r="E211" s="564"/>
      <c r="F211" s="658">
        <f t="shared" si="24"/>
        <v>327782.32539999904</v>
      </c>
      <c r="G211" s="564">
        <v>297670.03999999905</v>
      </c>
      <c r="H211" s="564">
        <v>30112.285400000001</v>
      </c>
      <c r="I211" s="564"/>
      <c r="J211" s="564">
        <v>228009</v>
      </c>
      <c r="K211" s="564">
        <v>87960</v>
      </c>
      <c r="L211" s="564">
        <v>24490</v>
      </c>
      <c r="M211" s="564">
        <v>0</v>
      </c>
      <c r="N211" s="564">
        <v>900</v>
      </c>
      <c r="O211" s="564">
        <v>0</v>
      </c>
      <c r="P211" s="572">
        <v>35060</v>
      </c>
      <c r="Q211" s="670" t="s">
        <v>652</v>
      </c>
      <c r="R211" s="661"/>
      <c r="S211" s="662"/>
      <c r="U211" s="662"/>
    </row>
    <row r="212" spans="1:21" s="663" customFormat="1" x14ac:dyDescent="0.25">
      <c r="A212" s="669" t="s">
        <v>653</v>
      </c>
      <c r="B212" s="656">
        <f t="shared" si="23"/>
        <v>124672.12</v>
      </c>
      <c r="C212" s="564">
        <v>124672.12</v>
      </c>
      <c r="D212" s="564" t="s">
        <v>117</v>
      </c>
      <c r="E212" s="564"/>
      <c r="F212" s="658">
        <f t="shared" si="24"/>
        <v>139146.68059999999</v>
      </c>
      <c r="G212" s="564">
        <v>132702.19999999998</v>
      </c>
      <c r="H212" s="564">
        <v>6444.4805999999999</v>
      </c>
      <c r="I212" s="564"/>
      <c r="J212" s="564">
        <v>203336</v>
      </c>
      <c r="K212" s="564">
        <v>320373.43999999901</v>
      </c>
      <c r="L212" s="564">
        <v>830349.04</v>
      </c>
      <c r="M212" s="564">
        <v>1365877.1</v>
      </c>
      <c r="N212" s="564">
        <v>1891888.03</v>
      </c>
      <c r="O212" s="564">
        <v>2409799.87</v>
      </c>
      <c r="P212" s="572">
        <v>2092897.59</v>
      </c>
      <c r="Q212" s="670" t="s">
        <v>654</v>
      </c>
      <c r="R212" s="661"/>
      <c r="S212" s="662"/>
      <c r="U212" s="662"/>
    </row>
    <row r="213" spans="1:21" s="663" customFormat="1" x14ac:dyDescent="0.25">
      <c r="A213" s="669" t="s">
        <v>655</v>
      </c>
      <c r="B213" s="656">
        <f t="shared" si="23"/>
        <v>32884.050000000003</v>
      </c>
      <c r="C213" s="564">
        <v>32884.050000000003</v>
      </c>
      <c r="D213" s="564" t="s">
        <v>117</v>
      </c>
      <c r="E213" s="564"/>
      <c r="F213" s="658">
        <f t="shared" si="24"/>
        <v>69655.228999999992</v>
      </c>
      <c r="G213" s="564">
        <v>69494.09</v>
      </c>
      <c r="H213" s="564">
        <v>161.13900000000001</v>
      </c>
      <c r="I213" s="564"/>
      <c r="J213" s="564">
        <v>121825</v>
      </c>
      <c r="K213" s="564">
        <v>108685</v>
      </c>
      <c r="L213" s="564">
        <v>129100</v>
      </c>
      <c r="M213" s="564">
        <v>498522.25</v>
      </c>
      <c r="N213" s="564">
        <v>855627.71</v>
      </c>
      <c r="O213" s="564">
        <v>901908.86</v>
      </c>
      <c r="P213" s="572">
        <v>872673.19</v>
      </c>
      <c r="Q213" s="670" t="s">
        <v>656</v>
      </c>
      <c r="R213" s="661"/>
      <c r="S213" s="662"/>
      <c r="U213" s="662"/>
    </row>
    <row r="214" spans="1:21" s="663" customFormat="1" ht="9" customHeight="1" x14ac:dyDescent="0.25">
      <c r="A214" s="669"/>
      <c r="B214" s="656"/>
      <c r="C214" s="564"/>
      <c r="D214" s="564"/>
      <c r="E214" s="564"/>
      <c r="F214" s="658"/>
      <c r="G214" s="564"/>
      <c r="H214" s="564"/>
      <c r="I214" s="564"/>
      <c r="J214" s="564"/>
      <c r="K214" s="564"/>
      <c r="L214" s="564"/>
      <c r="M214" s="564"/>
      <c r="N214" s="564"/>
      <c r="O214" s="564"/>
      <c r="P214" s="564"/>
      <c r="Q214" s="673"/>
      <c r="R214" s="661"/>
      <c r="S214" s="662"/>
      <c r="U214" s="662"/>
    </row>
    <row r="215" spans="1:21" s="663" customFormat="1" x14ac:dyDescent="0.25">
      <c r="A215" s="667" t="s">
        <v>326</v>
      </c>
      <c r="B215" s="656">
        <f t="shared" si="23"/>
        <v>4713745.459999999</v>
      </c>
      <c r="C215" s="546">
        <f>SUM(C216:C225)</f>
        <v>4269452.209999999</v>
      </c>
      <c r="D215" s="546">
        <f>SUM(D216:D225)</f>
        <v>444293.25000000006</v>
      </c>
      <c r="E215" s="546"/>
      <c r="F215" s="658">
        <f t="shared" si="24"/>
        <v>12854042.360984365</v>
      </c>
      <c r="G215" s="546">
        <f>SUM(G216:G225)</f>
        <v>11965537.605484365</v>
      </c>
      <c r="H215" s="546">
        <f>SUM(H216:H225)</f>
        <v>888504.75549999974</v>
      </c>
      <c r="I215" s="546"/>
      <c r="J215" s="546">
        <f t="shared" ref="J215:P215" si="26">SUM(J216:J225)</f>
        <v>12513632</v>
      </c>
      <c r="K215" s="546">
        <f t="shared" si="26"/>
        <v>11341319.889999971</v>
      </c>
      <c r="L215" s="546">
        <f t="shared" si="26"/>
        <v>14483951.450000003</v>
      </c>
      <c r="M215" s="546">
        <f t="shared" si="26"/>
        <v>21910210.289999995</v>
      </c>
      <c r="N215" s="546">
        <f t="shared" si="26"/>
        <v>25050862.830000002</v>
      </c>
      <c r="O215" s="546">
        <v>28968304</v>
      </c>
      <c r="P215" s="546">
        <f t="shared" si="26"/>
        <v>27993704.789999995</v>
      </c>
      <c r="Q215" s="668" t="s">
        <v>327</v>
      </c>
      <c r="R215" s="661"/>
      <c r="S215" s="662"/>
      <c r="U215" s="662"/>
    </row>
    <row r="216" spans="1:21" s="663" customFormat="1" x14ac:dyDescent="0.25">
      <c r="A216" s="669" t="s">
        <v>657</v>
      </c>
      <c r="B216" s="656">
        <f t="shared" si="23"/>
        <v>602479.97</v>
      </c>
      <c r="C216" s="564">
        <v>594736.81999999995</v>
      </c>
      <c r="D216" s="564">
        <v>7743.15</v>
      </c>
      <c r="E216" s="564"/>
      <c r="F216" s="658">
        <f t="shared" si="24"/>
        <v>1546398.9179999901</v>
      </c>
      <c r="G216" s="564">
        <v>1381759.74999999</v>
      </c>
      <c r="H216" s="564">
        <v>164639.16800000001</v>
      </c>
      <c r="I216" s="564"/>
      <c r="J216" s="564">
        <v>478526</v>
      </c>
      <c r="K216" s="564">
        <v>643839.23999999906</v>
      </c>
      <c r="L216" s="564">
        <v>1271232.72</v>
      </c>
      <c r="M216" s="564">
        <v>1902744.76</v>
      </c>
      <c r="N216" s="564">
        <v>1978679.99</v>
      </c>
      <c r="O216" s="564">
        <v>1979469.32</v>
      </c>
      <c r="P216" s="572">
        <v>1593347.66</v>
      </c>
      <c r="Q216" s="670" t="s">
        <v>658</v>
      </c>
      <c r="R216" s="661"/>
      <c r="S216" s="662"/>
      <c r="U216" s="662"/>
    </row>
    <row r="217" spans="1:21" s="663" customFormat="1" x14ac:dyDescent="0.25">
      <c r="A217" s="669" t="s">
        <v>659</v>
      </c>
      <c r="B217" s="656">
        <f t="shared" si="23"/>
        <v>1371081.91</v>
      </c>
      <c r="C217" s="564">
        <v>1251189.23</v>
      </c>
      <c r="D217" s="564">
        <v>119892.68</v>
      </c>
      <c r="E217" s="564"/>
      <c r="F217" s="658">
        <f t="shared" si="24"/>
        <v>4136083.8196713999</v>
      </c>
      <c r="G217" s="564">
        <v>3952787.1342714</v>
      </c>
      <c r="H217" s="564">
        <v>183296.68539999999</v>
      </c>
      <c r="I217" s="564"/>
      <c r="J217" s="564">
        <v>8803306</v>
      </c>
      <c r="K217" s="564">
        <v>7091069.9499999806</v>
      </c>
      <c r="L217" s="564">
        <v>8045464.4100000001</v>
      </c>
      <c r="M217" s="564">
        <v>12387461.039999999</v>
      </c>
      <c r="N217" s="564">
        <v>15430316.74</v>
      </c>
      <c r="O217" s="564">
        <v>18365434.559999999</v>
      </c>
      <c r="P217" s="572">
        <v>18741934.960000001</v>
      </c>
      <c r="Q217" s="670" t="s">
        <v>660</v>
      </c>
      <c r="R217" s="661"/>
      <c r="S217" s="662"/>
      <c r="U217" s="662"/>
    </row>
    <row r="218" spans="1:21" s="663" customFormat="1" x14ac:dyDescent="0.25">
      <c r="A218" s="669" t="s">
        <v>651</v>
      </c>
      <c r="B218" s="656">
        <f t="shared" si="23"/>
        <v>404822.66</v>
      </c>
      <c r="C218" s="564">
        <v>373546.05</v>
      </c>
      <c r="D218" s="564">
        <v>31276.61</v>
      </c>
      <c r="E218" s="564"/>
      <c r="F218" s="658">
        <f t="shared" si="24"/>
        <v>1440294.3425999898</v>
      </c>
      <c r="G218" s="564">
        <v>1306010.6099999899</v>
      </c>
      <c r="H218" s="564">
        <v>134283.73259999999</v>
      </c>
      <c r="I218" s="564"/>
      <c r="J218" s="564">
        <v>462173</v>
      </c>
      <c r="K218" s="564">
        <v>359672.98000000004</v>
      </c>
      <c r="L218" s="564">
        <v>533551.99</v>
      </c>
      <c r="M218" s="564">
        <v>1287144.67</v>
      </c>
      <c r="N218" s="564">
        <v>1032043.43</v>
      </c>
      <c r="O218" s="564">
        <v>1240159.76</v>
      </c>
      <c r="P218" s="572">
        <v>652890.82999999996</v>
      </c>
      <c r="Q218" s="670" t="s">
        <v>652</v>
      </c>
      <c r="R218" s="662"/>
      <c r="S218" s="662"/>
      <c r="U218" s="662"/>
    </row>
    <row r="219" spans="1:21" s="663" customFormat="1" x14ac:dyDescent="0.25">
      <c r="A219" s="669" t="s">
        <v>600</v>
      </c>
      <c r="B219" s="656">
        <f t="shared" si="23"/>
        <v>431709.21</v>
      </c>
      <c r="C219" s="564">
        <v>340469.77</v>
      </c>
      <c r="D219" s="564">
        <v>91239.44</v>
      </c>
      <c r="E219" s="564"/>
      <c r="F219" s="658">
        <f t="shared" si="24"/>
        <v>800180.99939999892</v>
      </c>
      <c r="G219" s="564">
        <v>641253.37999999896</v>
      </c>
      <c r="H219" s="564">
        <v>158927.6194</v>
      </c>
      <c r="I219" s="564"/>
      <c r="J219" s="564">
        <v>87324</v>
      </c>
      <c r="K219" s="564">
        <v>25000</v>
      </c>
      <c r="L219" s="564">
        <v>45870.5</v>
      </c>
      <c r="M219" s="564">
        <v>420942.12</v>
      </c>
      <c r="N219" s="564">
        <v>785263.28</v>
      </c>
      <c r="O219" s="564">
        <v>855585.85</v>
      </c>
      <c r="P219" s="572">
        <v>493056.17</v>
      </c>
      <c r="Q219" s="670" t="s">
        <v>601</v>
      </c>
      <c r="R219" s="662"/>
      <c r="S219" s="662"/>
      <c r="U219" s="662"/>
    </row>
    <row r="220" spans="1:21" s="663" customFormat="1" x14ac:dyDescent="0.25">
      <c r="A220" s="669" t="s">
        <v>661</v>
      </c>
      <c r="B220" s="656">
        <f t="shared" si="23"/>
        <v>652667.75</v>
      </c>
      <c r="C220" s="564">
        <v>565925.72</v>
      </c>
      <c r="D220" s="564">
        <v>86742.03</v>
      </c>
      <c r="E220" s="564"/>
      <c r="F220" s="658">
        <f t="shared" si="24"/>
        <v>1744171.61681299</v>
      </c>
      <c r="G220" s="564">
        <v>1656426.4112129901</v>
      </c>
      <c r="H220" s="564">
        <v>87745.205599999899</v>
      </c>
      <c r="I220" s="564"/>
      <c r="J220" s="564">
        <v>2205185</v>
      </c>
      <c r="K220" s="564">
        <v>2487061.6299999901</v>
      </c>
      <c r="L220" s="564">
        <v>2810854.07</v>
      </c>
      <c r="M220" s="564">
        <v>3087984.56</v>
      </c>
      <c r="N220" s="564">
        <v>3092449.68</v>
      </c>
      <c r="O220" s="564">
        <v>2792513.23</v>
      </c>
      <c r="P220" s="572">
        <v>2851325.99</v>
      </c>
      <c r="Q220" s="670" t="s">
        <v>662</v>
      </c>
      <c r="R220" s="662"/>
      <c r="S220" s="662"/>
      <c r="U220" s="662"/>
    </row>
    <row r="221" spans="1:21" s="663" customFormat="1" x14ac:dyDescent="0.25">
      <c r="A221" s="669" t="s">
        <v>663</v>
      </c>
      <c r="B221" s="656">
        <f t="shared" si="23"/>
        <v>523705.82</v>
      </c>
      <c r="C221" s="564">
        <v>523102.92</v>
      </c>
      <c r="D221" s="564">
        <v>602.9</v>
      </c>
      <c r="E221" s="564"/>
      <c r="F221" s="658">
        <f t="shared" si="24"/>
        <v>993414.31879999896</v>
      </c>
      <c r="G221" s="564">
        <v>977402.03999999899</v>
      </c>
      <c r="H221" s="564">
        <v>16012.2788</v>
      </c>
      <c r="I221" s="564"/>
      <c r="J221" s="564">
        <v>258947</v>
      </c>
      <c r="K221" s="564">
        <v>244927.28999999989</v>
      </c>
      <c r="L221" s="564">
        <v>548321.14</v>
      </c>
      <c r="M221" s="564">
        <v>941583.4</v>
      </c>
      <c r="N221" s="564">
        <v>828185.62</v>
      </c>
      <c r="O221" s="564">
        <v>930346.82</v>
      </c>
      <c r="P221" s="572">
        <v>655038.02</v>
      </c>
      <c r="Q221" s="670" t="s">
        <v>664</v>
      </c>
      <c r="R221" s="662"/>
      <c r="S221" s="662"/>
      <c r="U221" s="662"/>
    </row>
    <row r="222" spans="1:21" s="663" customFormat="1" x14ac:dyDescent="0.25">
      <c r="A222" s="669" t="s">
        <v>665</v>
      </c>
      <c r="B222" s="656">
        <f t="shared" si="23"/>
        <v>94640.07</v>
      </c>
      <c r="C222" s="564">
        <v>94640.07</v>
      </c>
      <c r="D222" s="564" t="s">
        <v>117</v>
      </c>
      <c r="E222" s="564"/>
      <c r="F222" s="658">
        <f t="shared" si="24"/>
        <v>332388.68</v>
      </c>
      <c r="G222" s="564">
        <v>332388.68</v>
      </c>
      <c r="H222" s="564" t="s">
        <v>117</v>
      </c>
      <c r="I222" s="564"/>
      <c r="J222" s="564">
        <v>0</v>
      </c>
      <c r="K222" s="564">
        <v>0</v>
      </c>
      <c r="L222" s="564">
        <v>52324</v>
      </c>
      <c r="M222" s="564">
        <v>242502.02</v>
      </c>
      <c r="N222" s="564">
        <v>241414.09</v>
      </c>
      <c r="O222" s="564">
        <v>305873.68</v>
      </c>
      <c r="P222" s="572">
        <v>221812.31</v>
      </c>
      <c r="Q222" s="670" t="s">
        <v>666</v>
      </c>
      <c r="R222" s="662"/>
      <c r="S222" s="662"/>
      <c r="U222" s="662"/>
    </row>
    <row r="223" spans="1:21" s="663" customFormat="1" ht="15.75" x14ac:dyDescent="0.25">
      <c r="A223" s="669" t="s">
        <v>865</v>
      </c>
      <c r="B223" s="656">
        <f t="shared" si="23"/>
        <v>52367.08</v>
      </c>
      <c r="C223" s="564">
        <v>52367.08</v>
      </c>
      <c r="D223" s="564" t="s">
        <v>117</v>
      </c>
      <c r="E223" s="564"/>
      <c r="F223" s="658">
        <f t="shared" si="24"/>
        <v>69022.16</v>
      </c>
      <c r="G223" s="564">
        <v>69022.16</v>
      </c>
      <c r="H223" s="564" t="s">
        <v>117</v>
      </c>
      <c r="I223" s="564"/>
      <c r="J223" s="564">
        <v>0</v>
      </c>
      <c r="K223" s="564">
        <v>0</v>
      </c>
      <c r="L223" s="564">
        <v>0</v>
      </c>
      <c r="M223" s="564">
        <v>0</v>
      </c>
      <c r="N223" s="564">
        <v>0</v>
      </c>
      <c r="O223" s="564">
        <v>0</v>
      </c>
      <c r="P223" s="572">
        <v>0</v>
      </c>
      <c r="Q223" s="670" t="s">
        <v>668</v>
      </c>
      <c r="R223" s="662"/>
      <c r="S223" s="662"/>
      <c r="U223" s="662"/>
    </row>
    <row r="224" spans="1:21" s="663" customFormat="1" x14ac:dyDescent="0.25">
      <c r="A224" s="669" t="s">
        <v>669</v>
      </c>
      <c r="B224" s="656">
        <f t="shared" si="23"/>
        <v>377754.76</v>
      </c>
      <c r="C224" s="564">
        <v>271316.8</v>
      </c>
      <c r="D224" s="564">
        <v>106437.96</v>
      </c>
      <c r="E224" s="564"/>
      <c r="F224" s="658">
        <f t="shared" si="24"/>
        <v>1011406.8821999979</v>
      </c>
      <c r="G224" s="564">
        <v>931839.26999999792</v>
      </c>
      <c r="H224" s="564">
        <v>79567.612200000003</v>
      </c>
      <c r="I224" s="564"/>
      <c r="J224" s="564">
        <v>218171</v>
      </c>
      <c r="K224" s="564">
        <v>480062.55000000005</v>
      </c>
      <c r="L224" s="564">
        <v>1157432.6200000001</v>
      </c>
      <c r="M224" s="564">
        <v>1342849.49</v>
      </c>
      <c r="N224" s="564">
        <v>1252589.26</v>
      </c>
      <c r="O224" s="564">
        <v>1980004.54</v>
      </c>
      <c r="P224" s="572">
        <v>2223124.83</v>
      </c>
      <c r="Q224" s="670" t="s">
        <v>670</v>
      </c>
      <c r="R224" s="662"/>
      <c r="S224" s="662"/>
      <c r="U224" s="662"/>
    </row>
    <row r="225" spans="1:21" s="663" customFormat="1" x14ac:dyDescent="0.25">
      <c r="A225" s="669" t="s">
        <v>671</v>
      </c>
      <c r="B225" s="656">
        <f t="shared" si="23"/>
        <v>202516.23</v>
      </c>
      <c r="C225" s="564">
        <v>202157.75</v>
      </c>
      <c r="D225" s="564">
        <v>358.48</v>
      </c>
      <c r="E225" s="564"/>
      <c r="F225" s="658">
        <f t="shared" si="24"/>
        <v>780680.62349999789</v>
      </c>
      <c r="G225" s="564">
        <v>716648.16999999795</v>
      </c>
      <c r="H225" s="564">
        <v>64032.453500000003</v>
      </c>
      <c r="I225" s="564"/>
      <c r="J225" s="564">
        <v>0</v>
      </c>
      <c r="K225" s="564">
        <v>9686.25</v>
      </c>
      <c r="L225" s="564">
        <v>18900</v>
      </c>
      <c r="M225" s="564">
        <v>296998.23</v>
      </c>
      <c r="N225" s="564">
        <v>409920.74</v>
      </c>
      <c r="O225" s="564">
        <v>518916.24</v>
      </c>
      <c r="P225" s="572">
        <v>561174.02</v>
      </c>
      <c r="Q225" s="670" t="s">
        <v>672</v>
      </c>
      <c r="R225" s="661"/>
      <c r="S225" s="662"/>
      <c r="U225" s="662"/>
    </row>
    <row r="226" spans="1:21" s="663" customFormat="1" ht="8.25" customHeight="1" x14ac:dyDescent="0.25">
      <c r="A226" s="669"/>
      <c r="B226" s="656"/>
      <c r="C226" s="564"/>
      <c r="D226" s="564"/>
      <c r="E226" s="564"/>
      <c r="F226" s="658"/>
      <c r="G226" s="564"/>
      <c r="H226" s="564"/>
      <c r="I226" s="564"/>
      <c r="J226" s="564"/>
      <c r="K226" s="564"/>
      <c r="L226" s="564"/>
      <c r="M226" s="564"/>
      <c r="N226" s="564"/>
      <c r="O226" s="564"/>
      <c r="P226" s="564"/>
      <c r="Q226" s="673"/>
      <c r="R226" s="661"/>
      <c r="S226" s="662"/>
      <c r="U226" s="662"/>
    </row>
    <row r="227" spans="1:21" s="663" customFormat="1" x14ac:dyDescent="0.25">
      <c r="A227" s="667" t="s">
        <v>328</v>
      </c>
      <c r="B227" s="656">
        <f t="shared" si="23"/>
        <v>7785487.5720000006</v>
      </c>
      <c r="C227" s="546">
        <f>SUM(C228:C238)</f>
        <v>6336523.6699999999</v>
      </c>
      <c r="D227" s="546">
        <f>SUM(D228:D238)</f>
        <v>1448963.9020000002</v>
      </c>
      <c r="E227" s="546"/>
      <c r="F227" s="658">
        <f t="shared" si="24"/>
        <v>14291553.258515356</v>
      </c>
      <c r="G227" s="546">
        <f>SUM(G228:G238)</f>
        <v>12637781.478315357</v>
      </c>
      <c r="H227" s="546">
        <f>SUM(H228:H238)</f>
        <v>1653771.780199999</v>
      </c>
      <c r="I227" s="546"/>
      <c r="J227" s="546">
        <f t="shared" ref="J227:P227" si="27">SUM(J228:J238)</f>
        <v>21084401</v>
      </c>
      <c r="K227" s="546">
        <f t="shared" si="27"/>
        <v>22821907.679999966</v>
      </c>
      <c r="L227" s="546">
        <f t="shared" si="27"/>
        <v>27642128.07</v>
      </c>
      <c r="M227" s="546">
        <f t="shared" si="27"/>
        <v>34260241.729999997</v>
      </c>
      <c r="N227" s="546">
        <f t="shared" si="27"/>
        <v>39536598.640000001</v>
      </c>
      <c r="O227" s="546">
        <v>44492550.350000001</v>
      </c>
      <c r="P227" s="546">
        <f t="shared" si="27"/>
        <v>46107004.269999996</v>
      </c>
      <c r="Q227" s="668" t="s">
        <v>329</v>
      </c>
      <c r="R227" s="661"/>
      <c r="S227" s="662"/>
      <c r="U227" s="662"/>
    </row>
    <row r="228" spans="1:21" s="663" customFormat="1" x14ac:dyDescent="0.25">
      <c r="A228" s="669" t="s">
        <v>673</v>
      </c>
      <c r="B228" s="656">
        <f t="shared" si="23"/>
        <v>659375.09</v>
      </c>
      <c r="C228" s="564">
        <v>609928.84</v>
      </c>
      <c r="D228" s="564">
        <v>49446.25</v>
      </c>
      <c r="E228" s="564"/>
      <c r="F228" s="658">
        <f t="shared" si="24"/>
        <v>1633275.7461999899</v>
      </c>
      <c r="G228" s="564">
        <v>1595313.1699999899</v>
      </c>
      <c r="H228" s="564">
        <v>37962.576200000003</v>
      </c>
      <c r="I228" s="564"/>
      <c r="J228" s="564">
        <v>369626</v>
      </c>
      <c r="K228" s="564">
        <v>331956.89999999898</v>
      </c>
      <c r="L228" s="564">
        <v>363036.92</v>
      </c>
      <c r="M228" s="564">
        <v>1050945.76</v>
      </c>
      <c r="N228" s="564">
        <v>1122121.94</v>
      </c>
      <c r="O228" s="564">
        <v>1761530.17</v>
      </c>
      <c r="P228" s="572">
        <v>1723322.76</v>
      </c>
      <c r="Q228" s="670" t="s">
        <v>674</v>
      </c>
      <c r="R228" s="661"/>
      <c r="S228" s="662"/>
      <c r="U228" s="662"/>
    </row>
    <row r="229" spans="1:21" s="663" customFormat="1" x14ac:dyDescent="0.25">
      <c r="A229" s="669" t="s">
        <v>675</v>
      </c>
      <c r="B229" s="656">
        <f t="shared" si="23"/>
        <v>434972.23</v>
      </c>
      <c r="C229" s="564">
        <v>357076.93</v>
      </c>
      <c r="D229" s="564">
        <v>77895.3</v>
      </c>
      <c r="E229" s="564"/>
      <c r="F229" s="658">
        <f t="shared" si="24"/>
        <v>783735.27499999898</v>
      </c>
      <c r="G229" s="564">
        <v>662451.49999999895</v>
      </c>
      <c r="H229" s="564">
        <v>121283.77499999999</v>
      </c>
      <c r="I229" s="564"/>
      <c r="J229" s="564">
        <v>208038</v>
      </c>
      <c r="K229" s="564">
        <v>175574.42999999991</v>
      </c>
      <c r="L229" s="564">
        <v>252771.9</v>
      </c>
      <c r="M229" s="564">
        <v>566139.19999999995</v>
      </c>
      <c r="N229" s="564">
        <v>878988.21</v>
      </c>
      <c r="O229" s="564">
        <v>856738.78</v>
      </c>
      <c r="P229" s="572">
        <v>768497.12</v>
      </c>
      <c r="Q229" s="670" t="s">
        <v>676</v>
      </c>
      <c r="R229" s="661"/>
      <c r="S229" s="662"/>
      <c r="U229" s="662"/>
    </row>
    <row r="230" spans="1:21" s="663" customFormat="1" x14ac:dyDescent="0.25">
      <c r="A230" s="669" t="s">
        <v>677</v>
      </c>
      <c r="B230" s="656">
        <f t="shared" si="23"/>
        <v>403086.14</v>
      </c>
      <c r="C230" s="564">
        <v>338667.17</v>
      </c>
      <c r="D230" s="564">
        <v>64418.97</v>
      </c>
      <c r="E230" s="564"/>
      <c r="F230" s="658">
        <f t="shared" si="24"/>
        <v>851230.11499999999</v>
      </c>
      <c r="G230" s="564">
        <v>784166.99</v>
      </c>
      <c r="H230" s="564">
        <v>67063.125</v>
      </c>
      <c r="I230" s="564"/>
      <c r="J230" s="564">
        <v>402010</v>
      </c>
      <c r="K230" s="564">
        <v>329456</v>
      </c>
      <c r="L230" s="564">
        <v>345834</v>
      </c>
      <c r="M230" s="564">
        <v>679513.03</v>
      </c>
      <c r="N230" s="564">
        <v>961524.9</v>
      </c>
      <c r="O230" s="564">
        <v>826694.47</v>
      </c>
      <c r="P230" s="572">
        <v>967134.07</v>
      </c>
      <c r="Q230" s="670" t="s">
        <v>678</v>
      </c>
      <c r="R230" s="661"/>
      <c r="S230" s="662"/>
      <c r="U230" s="662"/>
    </row>
    <row r="231" spans="1:21" s="663" customFormat="1" x14ac:dyDescent="0.25">
      <c r="A231" s="669" t="s">
        <v>679</v>
      </c>
      <c r="B231" s="656">
        <f t="shared" si="23"/>
        <v>1392094.4640000002</v>
      </c>
      <c r="C231" s="564">
        <v>1063787.0900000001</v>
      </c>
      <c r="D231" s="564">
        <v>328307.37400000001</v>
      </c>
      <c r="E231" s="564"/>
      <c r="F231" s="658">
        <f t="shared" si="24"/>
        <v>1688043.5009999999</v>
      </c>
      <c r="G231" s="564">
        <v>1616470.8</v>
      </c>
      <c r="H231" s="564">
        <v>71572.700999999899</v>
      </c>
      <c r="I231" s="564"/>
      <c r="J231" s="564">
        <v>2522616</v>
      </c>
      <c r="K231" s="564">
        <v>1718540.8099999982</v>
      </c>
      <c r="L231" s="564">
        <v>2491722.0699999998</v>
      </c>
      <c r="M231" s="564">
        <v>2867595.38</v>
      </c>
      <c r="N231" s="564">
        <v>3502187.7</v>
      </c>
      <c r="O231" s="564">
        <v>4409416.59</v>
      </c>
      <c r="P231" s="572">
        <v>4637541.5199999996</v>
      </c>
      <c r="Q231" s="670" t="s">
        <v>680</v>
      </c>
      <c r="R231" s="662"/>
      <c r="S231" s="662"/>
      <c r="U231" s="662"/>
    </row>
    <row r="232" spans="1:21" s="663" customFormat="1" x14ac:dyDescent="0.25">
      <c r="A232" s="669" t="s">
        <v>681</v>
      </c>
      <c r="B232" s="656">
        <f t="shared" si="23"/>
        <v>823764.23</v>
      </c>
      <c r="C232" s="564">
        <v>787774.52</v>
      </c>
      <c r="D232" s="564">
        <v>35989.71</v>
      </c>
      <c r="E232" s="564"/>
      <c r="F232" s="658">
        <f t="shared" si="24"/>
        <v>1548179.7209153988</v>
      </c>
      <c r="G232" s="564">
        <v>1409166.3783153999</v>
      </c>
      <c r="H232" s="564">
        <v>139013.34259999901</v>
      </c>
      <c r="I232" s="564"/>
      <c r="J232" s="564">
        <v>241984</v>
      </c>
      <c r="K232" s="564">
        <v>155049.00999999989</v>
      </c>
      <c r="L232" s="564">
        <v>390537.85</v>
      </c>
      <c r="M232" s="564">
        <v>1054781.5</v>
      </c>
      <c r="N232" s="564">
        <v>1164141.1100000001</v>
      </c>
      <c r="O232" s="564">
        <v>1010275.68</v>
      </c>
      <c r="P232" s="572">
        <v>1219076.1399999999</v>
      </c>
      <c r="Q232" s="670" t="s">
        <v>682</v>
      </c>
      <c r="R232" s="662"/>
      <c r="S232" s="662"/>
      <c r="U232" s="662"/>
    </row>
    <row r="233" spans="1:21" s="663" customFormat="1" x14ac:dyDescent="0.25">
      <c r="A233" s="669" t="s">
        <v>459</v>
      </c>
      <c r="B233" s="656">
        <f t="shared" si="23"/>
        <v>572678.07999999996</v>
      </c>
      <c r="C233" s="564">
        <v>359943.05</v>
      </c>
      <c r="D233" s="564">
        <v>212735.03</v>
      </c>
      <c r="E233" s="564"/>
      <c r="F233" s="658">
        <f t="shared" si="24"/>
        <v>494524.38679999905</v>
      </c>
      <c r="G233" s="564">
        <v>441270.40999999904</v>
      </c>
      <c r="H233" s="564">
        <v>53253.976799999997</v>
      </c>
      <c r="I233" s="564"/>
      <c r="J233" s="564">
        <v>225998</v>
      </c>
      <c r="K233" s="564">
        <v>174779.52000000002</v>
      </c>
      <c r="L233" s="564">
        <v>507327.83</v>
      </c>
      <c r="M233" s="564">
        <v>926156.72</v>
      </c>
      <c r="N233" s="564">
        <v>939196.24</v>
      </c>
      <c r="O233" s="564">
        <v>884852.17</v>
      </c>
      <c r="P233" s="572">
        <v>1198732.22</v>
      </c>
      <c r="Q233" s="670" t="s">
        <v>460</v>
      </c>
      <c r="R233" s="662"/>
      <c r="S233" s="662"/>
      <c r="U233" s="662"/>
    </row>
    <row r="234" spans="1:21" s="663" customFormat="1" x14ac:dyDescent="0.25">
      <c r="A234" s="669" t="s">
        <v>683</v>
      </c>
      <c r="B234" s="656">
        <f t="shared" si="23"/>
        <v>369891.37</v>
      </c>
      <c r="C234" s="564">
        <v>366619.07</v>
      </c>
      <c r="D234" s="564">
        <v>3272.3</v>
      </c>
      <c r="E234" s="564"/>
      <c r="F234" s="658">
        <f t="shared" si="24"/>
        <v>683232.20039999997</v>
      </c>
      <c r="G234" s="564">
        <v>543176.80999999994</v>
      </c>
      <c r="H234" s="564">
        <v>140055.3904</v>
      </c>
      <c r="I234" s="564"/>
      <c r="J234" s="564">
        <v>431452</v>
      </c>
      <c r="K234" s="564">
        <v>383148.80000000005</v>
      </c>
      <c r="L234" s="564">
        <v>958469.15</v>
      </c>
      <c r="M234" s="564">
        <v>1322924.8799999999</v>
      </c>
      <c r="N234" s="564">
        <v>1194700.75</v>
      </c>
      <c r="O234" s="564">
        <v>1164792.33</v>
      </c>
      <c r="P234" s="572">
        <v>1354654.01</v>
      </c>
      <c r="Q234" s="670" t="s">
        <v>684</v>
      </c>
      <c r="R234" s="662"/>
      <c r="S234" s="662"/>
      <c r="U234" s="662"/>
    </row>
    <row r="235" spans="1:21" s="663" customFormat="1" x14ac:dyDescent="0.25">
      <c r="A235" s="669" t="s">
        <v>685</v>
      </c>
      <c r="B235" s="656">
        <f t="shared" si="23"/>
        <v>695933.58</v>
      </c>
      <c r="C235" s="564">
        <v>474926.36</v>
      </c>
      <c r="D235" s="564">
        <v>221007.22</v>
      </c>
      <c r="E235" s="564"/>
      <c r="F235" s="658">
        <f t="shared" si="24"/>
        <v>1038667.7789999999</v>
      </c>
      <c r="G235" s="564">
        <v>808862.42999999993</v>
      </c>
      <c r="H235" s="564">
        <v>229805.34899999999</v>
      </c>
      <c r="I235" s="564"/>
      <c r="J235" s="564">
        <v>412998</v>
      </c>
      <c r="K235" s="564">
        <v>458538.46999999991</v>
      </c>
      <c r="L235" s="564">
        <v>394652.61</v>
      </c>
      <c r="M235" s="564">
        <v>1020507.97</v>
      </c>
      <c r="N235" s="564">
        <v>1840761.81</v>
      </c>
      <c r="O235" s="564">
        <v>1806228.56</v>
      </c>
      <c r="P235" s="572">
        <v>1529898.16</v>
      </c>
      <c r="Q235" s="670" t="s">
        <v>686</v>
      </c>
      <c r="R235" s="662"/>
      <c r="S235" s="662"/>
      <c r="U235" s="662"/>
    </row>
    <row r="236" spans="1:21" s="663" customFormat="1" x14ac:dyDescent="0.25">
      <c r="A236" s="669" t="s">
        <v>866</v>
      </c>
      <c r="B236" s="656">
        <f t="shared" si="23"/>
        <v>2894.5</v>
      </c>
      <c r="C236" s="564">
        <v>2894.5</v>
      </c>
      <c r="D236" s="564" t="s">
        <v>117</v>
      </c>
      <c r="E236" s="564"/>
      <c r="F236" s="658">
        <f t="shared" si="24"/>
        <v>11453.48</v>
      </c>
      <c r="G236" s="564">
        <v>11453.48</v>
      </c>
      <c r="H236" s="564" t="s">
        <v>117</v>
      </c>
      <c r="I236" s="564"/>
      <c r="J236" s="564">
        <v>0</v>
      </c>
      <c r="K236" s="564">
        <v>0</v>
      </c>
      <c r="L236" s="564">
        <v>0</v>
      </c>
      <c r="M236" s="564">
        <v>0</v>
      </c>
      <c r="N236" s="564">
        <v>0</v>
      </c>
      <c r="O236" s="564">
        <v>0</v>
      </c>
      <c r="P236" s="572">
        <v>0</v>
      </c>
      <c r="Q236" s="670" t="s">
        <v>867</v>
      </c>
      <c r="R236" s="662"/>
      <c r="S236" s="662"/>
      <c r="U236" s="662"/>
    </row>
    <row r="237" spans="1:21" s="663" customFormat="1" x14ac:dyDescent="0.25">
      <c r="A237" s="669" t="s">
        <v>868</v>
      </c>
      <c r="B237" s="656"/>
      <c r="C237" s="564" t="s">
        <v>117</v>
      </c>
      <c r="D237" s="564" t="s">
        <v>117</v>
      </c>
      <c r="E237" s="564"/>
      <c r="F237" s="658">
        <f t="shared" si="24"/>
        <v>0</v>
      </c>
      <c r="G237" s="564" t="s">
        <v>117</v>
      </c>
      <c r="H237" s="564" t="s">
        <v>117</v>
      </c>
      <c r="I237" s="564"/>
      <c r="J237" s="564">
        <v>0</v>
      </c>
      <c r="K237" s="564">
        <v>0</v>
      </c>
      <c r="L237" s="564">
        <v>0</v>
      </c>
      <c r="M237" s="564">
        <v>0</v>
      </c>
      <c r="N237" s="564">
        <v>0</v>
      </c>
      <c r="O237" s="564">
        <v>0</v>
      </c>
      <c r="P237" s="572">
        <v>0</v>
      </c>
      <c r="Q237" s="670" t="s">
        <v>869</v>
      </c>
      <c r="R237" s="662"/>
      <c r="S237" s="662"/>
      <c r="U237" s="662"/>
    </row>
    <row r="238" spans="1:21" s="663" customFormat="1" x14ac:dyDescent="0.25">
      <c r="A238" s="669" t="s">
        <v>571</v>
      </c>
      <c r="B238" s="656">
        <f t="shared" si="23"/>
        <v>2430797.8879999998</v>
      </c>
      <c r="C238" s="564">
        <v>1974906.14</v>
      </c>
      <c r="D238" s="564">
        <v>455891.74800000002</v>
      </c>
      <c r="E238" s="564"/>
      <c r="F238" s="658">
        <f t="shared" si="24"/>
        <v>5559211.0541999713</v>
      </c>
      <c r="G238" s="564">
        <v>4765449.5099999709</v>
      </c>
      <c r="H238" s="564">
        <v>793761.5442</v>
      </c>
      <c r="I238" s="564"/>
      <c r="J238" s="564">
        <v>16269679</v>
      </c>
      <c r="K238" s="564">
        <v>19094863.739999969</v>
      </c>
      <c r="L238" s="564">
        <v>21937775.739999998</v>
      </c>
      <c r="M238" s="564">
        <v>24771677.289999999</v>
      </c>
      <c r="N238" s="564">
        <v>27932975.98</v>
      </c>
      <c r="O238" s="564">
        <v>31772021.600000001</v>
      </c>
      <c r="P238" s="572">
        <v>32708148.27</v>
      </c>
      <c r="Q238" s="670" t="s">
        <v>572</v>
      </c>
      <c r="R238" s="662"/>
      <c r="S238" s="662"/>
      <c r="U238" s="662"/>
    </row>
    <row r="239" spans="1:21" s="663" customFormat="1" ht="11.25" customHeight="1" x14ac:dyDescent="0.25">
      <c r="A239" s="669"/>
      <c r="B239" s="656"/>
      <c r="C239" s="564"/>
      <c r="D239" s="564"/>
      <c r="E239" s="564"/>
      <c r="F239" s="658"/>
      <c r="G239" s="564"/>
      <c r="H239" s="564"/>
      <c r="I239" s="564"/>
      <c r="J239" s="564"/>
      <c r="K239" s="564"/>
      <c r="L239" s="564"/>
      <c r="M239" s="564"/>
      <c r="N239" s="564"/>
      <c r="O239" s="564"/>
      <c r="P239" s="564"/>
      <c r="Q239" s="673"/>
      <c r="R239" s="662"/>
      <c r="S239" s="662"/>
      <c r="U239" s="662"/>
    </row>
    <row r="240" spans="1:21" s="663" customFormat="1" x14ac:dyDescent="0.25">
      <c r="A240" s="667" t="s">
        <v>330</v>
      </c>
      <c r="B240" s="656">
        <f t="shared" si="23"/>
        <v>4335884.8</v>
      </c>
      <c r="C240" s="546">
        <v>4031233.16</v>
      </c>
      <c r="D240" s="546">
        <v>304651.64</v>
      </c>
      <c r="E240" s="546"/>
      <c r="F240" s="658">
        <f t="shared" si="24"/>
        <v>6345405.6915599992</v>
      </c>
      <c r="G240" s="546">
        <f>SUM(G241)</f>
        <v>5648552.5923600001</v>
      </c>
      <c r="H240" s="546">
        <f>SUM(H241)</f>
        <v>696853.09919999901</v>
      </c>
      <c r="I240" s="546"/>
      <c r="J240" s="546">
        <f t="shared" ref="J240:P240" si="28">SUM(J241)</f>
        <v>12733438</v>
      </c>
      <c r="K240" s="546">
        <f t="shared" si="28"/>
        <v>10712175.139999989</v>
      </c>
      <c r="L240" s="546">
        <f t="shared" si="28"/>
        <v>12905259.859999999</v>
      </c>
      <c r="M240" s="546">
        <f t="shared" si="28"/>
        <v>19379941.390000001</v>
      </c>
      <c r="N240" s="546">
        <f t="shared" si="28"/>
        <v>20312685.899999999</v>
      </c>
      <c r="O240" s="546">
        <f t="shared" si="28"/>
        <v>15456736.35</v>
      </c>
      <c r="P240" s="546">
        <f t="shared" si="28"/>
        <v>23428238.909999996</v>
      </c>
      <c r="Q240" s="668" t="s">
        <v>331</v>
      </c>
      <c r="R240" s="662"/>
      <c r="S240" s="662"/>
      <c r="U240" s="662"/>
    </row>
    <row r="241" spans="1:21" s="663" customFormat="1" x14ac:dyDescent="0.25">
      <c r="A241" s="669" t="s">
        <v>687</v>
      </c>
      <c r="B241" s="656">
        <f t="shared" si="23"/>
        <v>4335884.8</v>
      </c>
      <c r="C241" s="564">
        <v>4031233.16</v>
      </c>
      <c r="D241" s="564">
        <v>304651.64</v>
      </c>
      <c r="E241" s="564"/>
      <c r="F241" s="658">
        <f t="shared" si="24"/>
        <v>6345405.6915599992</v>
      </c>
      <c r="G241" s="564">
        <v>5648552.5923600001</v>
      </c>
      <c r="H241" s="564">
        <v>696853.09919999901</v>
      </c>
      <c r="I241" s="564"/>
      <c r="J241" s="564">
        <v>12733438</v>
      </c>
      <c r="K241" s="564">
        <v>10712175.139999989</v>
      </c>
      <c r="L241" s="564">
        <v>12905259.859999999</v>
      </c>
      <c r="M241" s="564">
        <v>19379941.390000001</v>
      </c>
      <c r="N241" s="564">
        <v>20312685.899999999</v>
      </c>
      <c r="O241" s="564">
        <v>15456736.35</v>
      </c>
      <c r="P241" s="572">
        <v>23428238.909999996</v>
      </c>
      <c r="Q241" s="670" t="s">
        <v>688</v>
      </c>
      <c r="R241" s="662"/>
      <c r="S241" s="662"/>
      <c r="U241" s="662"/>
    </row>
    <row r="242" spans="1:21" s="663" customFormat="1" ht="8.25" customHeight="1" x14ac:dyDescent="0.25">
      <c r="A242" s="669"/>
      <c r="B242" s="656"/>
      <c r="C242" s="564"/>
      <c r="D242" s="564"/>
      <c r="E242" s="564"/>
      <c r="F242" s="658"/>
      <c r="G242" s="564"/>
      <c r="H242" s="564"/>
      <c r="I242" s="564"/>
      <c r="J242" s="564"/>
      <c r="K242" s="564"/>
      <c r="L242" s="564"/>
      <c r="M242" s="564"/>
      <c r="N242" s="564"/>
      <c r="O242" s="564"/>
      <c r="P242" s="564"/>
      <c r="Q242" s="673"/>
      <c r="R242" s="662"/>
      <c r="S242" s="662"/>
      <c r="U242" s="662"/>
    </row>
    <row r="243" spans="1:21" s="663" customFormat="1" x14ac:dyDescent="0.25">
      <c r="A243" s="667" t="s">
        <v>332</v>
      </c>
      <c r="B243" s="656">
        <f t="shared" si="23"/>
        <v>20864830.573500004</v>
      </c>
      <c r="C243" s="546">
        <f>SUM(C244:C249)</f>
        <v>18694373.990000002</v>
      </c>
      <c r="D243" s="546">
        <f>SUM(D244:D249)</f>
        <v>2170456.5835000002</v>
      </c>
      <c r="E243" s="546"/>
      <c r="F243" s="658">
        <f t="shared" si="24"/>
        <v>35290438.490867175</v>
      </c>
      <c r="G243" s="546">
        <f>SUM(G244:G249)</f>
        <v>32960756.247667179</v>
      </c>
      <c r="H243" s="546">
        <f>SUM(H244:H249)</f>
        <v>2329682.2431999971</v>
      </c>
      <c r="I243" s="546"/>
      <c r="J243" s="546">
        <f t="shared" ref="J243:P243" si="29">SUM(J244:J249)</f>
        <v>31975010</v>
      </c>
      <c r="K243" s="546">
        <f t="shared" si="29"/>
        <v>35202422.389999956</v>
      </c>
      <c r="L243" s="546">
        <f t="shared" si="29"/>
        <v>55981769.233300008</v>
      </c>
      <c r="M243" s="546">
        <f t="shared" si="29"/>
        <v>74119274.931099996</v>
      </c>
      <c r="N243" s="546">
        <f t="shared" si="29"/>
        <v>102346229.71000001</v>
      </c>
      <c r="O243" s="546">
        <f t="shared" si="29"/>
        <v>116663001.61669999</v>
      </c>
      <c r="P243" s="546">
        <f t="shared" si="29"/>
        <v>121178364.9189</v>
      </c>
      <c r="Q243" s="668" t="s">
        <v>333</v>
      </c>
      <c r="R243" s="662"/>
      <c r="S243" s="662"/>
      <c r="U243" s="662"/>
    </row>
    <row r="244" spans="1:21" s="663" customFormat="1" x14ac:dyDescent="0.25">
      <c r="A244" s="669" t="s">
        <v>480</v>
      </c>
      <c r="B244" s="656">
        <f t="shared" si="23"/>
        <v>1273805.1059999999</v>
      </c>
      <c r="C244" s="564">
        <v>1164795.5</v>
      </c>
      <c r="D244" s="564">
        <v>109009.606</v>
      </c>
      <c r="E244" s="564"/>
      <c r="F244" s="658">
        <f t="shared" si="24"/>
        <v>2547104.8849757789</v>
      </c>
      <c r="G244" s="564">
        <v>2362524.3951757797</v>
      </c>
      <c r="H244" s="564">
        <v>184580.48979999899</v>
      </c>
      <c r="I244" s="564"/>
      <c r="J244" s="564">
        <v>9922</v>
      </c>
      <c r="K244" s="564">
        <v>1242020.03999999</v>
      </c>
      <c r="L244" s="564">
        <v>3005819.96</v>
      </c>
      <c r="M244" s="564">
        <v>3478400.98</v>
      </c>
      <c r="N244" s="564">
        <v>3766139.66</v>
      </c>
      <c r="O244" s="564">
        <v>3469780.91</v>
      </c>
      <c r="P244" s="572">
        <v>4516324.38</v>
      </c>
      <c r="Q244" s="670" t="s">
        <v>481</v>
      </c>
      <c r="R244" s="662"/>
      <c r="S244" s="662"/>
      <c r="U244" s="662"/>
    </row>
    <row r="245" spans="1:21" s="663" customFormat="1" x14ac:dyDescent="0.25">
      <c r="A245" s="669" t="s">
        <v>653</v>
      </c>
      <c r="B245" s="656">
        <f t="shared" si="23"/>
        <v>10713981.645</v>
      </c>
      <c r="C245" s="564">
        <v>10091944.060000001</v>
      </c>
      <c r="D245" s="564">
        <v>622037.58499999996</v>
      </c>
      <c r="E245" s="564"/>
      <c r="F245" s="658">
        <f t="shared" si="24"/>
        <v>17585881.120895401</v>
      </c>
      <c r="G245" s="564">
        <v>16663859.2132954</v>
      </c>
      <c r="H245" s="564">
        <v>922021.90760000004</v>
      </c>
      <c r="I245" s="564"/>
      <c r="J245" s="564">
        <v>24382733</v>
      </c>
      <c r="K245" s="564">
        <v>25195131.329999998</v>
      </c>
      <c r="L245" s="564">
        <v>41976292.043300003</v>
      </c>
      <c r="M245" s="564">
        <v>53183566.141099997</v>
      </c>
      <c r="N245" s="564">
        <v>62067489.68</v>
      </c>
      <c r="O245" s="564">
        <v>68151767.1567</v>
      </c>
      <c r="P245" s="572">
        <v>74777325.458900005</v>
      </c>
      <c r="Q245" s="670" t="s">
        <v>654</v>
      </c>
      <c r="R245" s="662"/>
      <c r="S245" s="662"/>
      <c r="U245" s="662"/>
    </row>
    <row r="246" spans="1:21" s="663" customFormat="1" x14ac:dyDescent="0.25">
      <c r="A246" s="669" t="s">
        <v>689</v>
      </c>
      <c r="B246" s="656">
        <f t="shared" si="23"/>
        <v>1824777.08</v>
      </c>
      <c r="C246" s="564">
        <v>1600496.97</v>
      </c>
      <c r="D246" s="564">
        <v>224280.11</v>
      </c>
      <c r="E246" s="564"/>
      <c r="F246" s="658">
        <f t="shared" si="24"/>
        <v>3302755.4562960193</v>
      </c>
      <c r="G246" s="564">
        <v>3016740.28919602</v>
      </c>
      <c r="H246" s="564">
        <v>286015.16709999903</v>
      </c>
      <c r="I246" s="564"/>
      <c r="J246" s="564">
        <v>1031556</v>
      </c>
      <c r="K246" s="564">
        <v>1496770.7299999902</v>
      </c>
      <c r="L246" s="564">
        <v>3425764.24</v>
      </c>
      <c r="M246" s="564">
        <v>3679508.85</v>
      </c>
      <c r="N246" s="564">
        <v>9117224.4100000001</v>
      </c>
      <c r="O246" s="564">
        <v>10524328.4</v>
      </c>
      <c r="P246" s="572">
        <v>10141938.970000001</v>
      </c>
      <c r="Q246" s="670" t="s">
        <v>690</v>
      </c>
      <c r="R246" s="662"/>
      <c r="S246" s="662"/>
      <c r="U246" s="662"/>
    </row>
    <row r="247" spans="1:21" s="663" customFormat="1" x14ac:dyDescent="0.25">
      <c r="A247" s="669" t="s">
        <v>408</v>
      </c>
      <c r="B247" s="656">
        <f t="shared" si="23"/>
        <v>2822103.4824999999</v>
      </c>
      <c r="C247" s="564">
        <v>2677766.58</v>
      </c>
      <c r="D247" s="564">
        <v>144336.9025</v>
      </c>
      <c r="E247" s="564"/>
      <c r="F247" s="658">
        <f t="shared" si="24"/>
        <v>5230856.3788999999</v>
      </c>
      <c r="G247" s="564">
        <v>4838291.28</v>
      </c>
      <c r="H247" s="564">
        <v>392565.09889999998</v>
      </c>
      <c r="I247" s="564"/>
      <c r="J247" s="564">
        <v>2645557</v>
      </c>
      <c r="K247" s="564">
        <v>2532301.7299999897</v>
      </c>
      <c r="L247" s="564">
        <v>2742664.45</v>
      </c>
      <c r="M247" s="564">
        <v>8542310.2300000004</v>
      </c>
      <c r="N247" s="564">
        <v>18755836.59</v>
      </c>
      <c r="O247" s="564">
        <v>27828171.52</v>
      </c>
      <c r="P247" s="572">
        <v>26509036</v>
      </c>
      <c r="Q247" s="670" t="s">
        <v>409</v>
      </c>
      <c r="R247" s="662"/>
      <c r="S247" s="662"/>
      <c r="U247" s="662"/>
    </row>
    <row r="248" spans="1:21" x14ac:dyDescent="0.25">
      <c r="A248" s="675" t="s">
        <v>691</v>
      </c>
      <c r="B248" s="656">
        <f t="shared" si="23"/>
        <v>1690609.25</v>
      </c>
      <c r="C248" s="572">
        <v>841555.58</v>
      </c>
      <c r="D248" s="572">
        <v>849053.67</v>
      </c>
      <c r="E248" s="572"/>
      <c r="F248" s="658">
        <f t="shared" si="24"/>
        <v>2081858.6559999899</v>
      </c>
      <c r="G248" s="572">
        <v>1976824.9099999899</v>
      </c>
      <c r="H248" s="572">
        <v>105033.746</v>
      </c>
      <c r="I248" s="572"/>
      <c r="J248" s="572">
        <v>2795404</v>
      </c>
      <c r="K248" s="572">
        <v>2644507.62</v>
      </c>
      <c r="L248" s="572">
        <v>1827831.24</v>
      </c>
      <c r="M248" s="572">
        <v>2083316.76</v>
      </c>
      <c r="N248" s="572">
        <v>5849697.0599999996</v>
      </c>
      <c r="O248" s="572">
        <v>3951430.07</v>
      </c>
      <c r="P248" s="572">
        <v>2753529.48</v>
      </c>
      <c r="Q248" s="670" t="s">
        <v>692</v>
      </c>
    </row>
    <row r="249" spans="1:21" x14ac:dyDescent="0.25">
      <c r="A249" s="669" t="s">
        <v>693</v>
      </c>
      <c r="B249" s="656">
        <f t="shared" si="23"/>
        <v>2539554.0099999998</v>
      </c>
      <c r="C249" s="564">
        <v>2317815.2999999998</v>
      </c>
      <c r="D249" s="564">
        <v>221738.71</v>
      </c>
      <c r="E249" s="564"/>
      <c r="F249" s="658">
        <f t="shared" si="24"/>
        <v>4541981.9937999891</v>
      </c>
      <c r="G249" s="564">
        <v>4102516.1599999899</v>
      </c>
      <c r="H249" s="564">
        <v>439465.83379999897</v>
      </c>
      <c r="I249" s="564"/>
      <c r="J249" s="564">
        <v>1109838</v>
      </c>
      <c r="K249" s="564">
        <v>2091690.9399999899</v>
      </c>
      <c r="L249" s="564">
        <v>3003397.3</v>
      </c>
      <c r="M249" s="564">
        <v>3152171.97</v>
      </c>
      <c r="N249" s="564">
        <v>2789842.31</v>
      </c>
      <c r="O249" s="564">
        <v>2737523.56</v>
      </c>
      <c r="P249" s="572">
        <v>2480210.63</v>
      </c>
      <c r="Q249" s="670" t="s">
        <v>694</v>
      </c>
    </row>
    <row r="250" spans="1:21" x14ac:dyDescent="0.25">
      <c r="A250" s="669"/>
      <c r="B250" s="656"/>
      <c r="C250" s="564"/>
      <c r="D250" s="564"/>
      <c r="E250" s="564"/>
      <c r="F250" s="658"/>
      <c r="G250" s="564"/>
      <c r="H250" s="564"/>
      <c r="I250" s="564"/>
      <c r="J250" s="564"/>
      <c r="K250" s="564"/>
      <c r="L250" s="564"/>
      <c r="M250" s="564"/>
      <c r="N250" s="564"/>
      <c r="O250" s="564"/>
      <c r="P250" s="564"/>
      <c r="Q250" s="670"/>
    </row>
    <row r="251" spans="1:21" ht="17.25" x14ac:dyDescent="0.25">
      <c r="A251" s="667" t="s">
        <v>870</v>
      </c>
      <c r="B251" s="656">
        <f t="shared" si="23"/>
        <v>4335884.8</v>
      </c>
      <c r="C251" s="546">
        <v>4031233.16</v>
      </c>
      <c r="D251" s="546">
        <v>304651.64</v>
      </c>
      <c r="E251" s="546"/>
      <c r="F251" s="658">
        <f t="shared" si="24"/>
        <v>6345405.6915599992</v>
      </c>
      <c r="G251" s="546">
        <f>SUM(G252)</f>
        <v>5648552.5923600001</v>
      </c>
      <c r="H251" s="546">
        <f>SUM(H252)</f>
        <v>696853.09919999901</v>
      </c>
      <c r="I251" s="546"/>
      <c r="J251" s="546">
        <v>68522375</v>
      </c>
      <c r="K251" s="546">
        <v>74367384.260000005</v>
      </c>
      <c r="L251" s="546">
        <f>SUM(L252)</f>
        <v>169006647.32120001</v>
      </c>
      <c r="M251" s="546">
        <f>SUM(M252)</f>
        <v>222306097.64719999</v>
      </c>
      <c r="N251" s="546">
        <f>SUM(N252)</f>
        <v>223353684.25080001</v>
      </c>
      <c r="O251" s="546">
        <f t="shared" ref="O251:P251" si="30">SUM(O252)</f>
        <v>175063121</v>
      </c>
      <c r="P251" s="546">
        <f t="shared" si="30"/>
        <v>266933716</v>
      </c>
      <c r="Q251" s="659" t="s">
        <v>836</v>
      </c>
    </row>
    <row r="252" spans="1:21" ht="17.25" x14ac:dyDescent="0.25">
      <c r="A252" s="677" t="s">
        <v>870</v>
      </c>
      <c r="B252" s="678">
        <f t="shared" si="23"/>
        <v>4335884.8</v>
      </c>
      <c r="C252" s="573">
        <v>4031233.16</v>
      </c>
      <c r="D252" s="573">
        <v>304651.64</v>
      </c>
      <c r="E252" s="573"/>
      <c r="F252" s="679">
        <f t="shared" si="24"/>
        <v>6345405.6915599992</v>
      </c>
      <c r="G252" s="573">
        <v>5648552.5923600001</v>
      </c>
      <c r="H252" s="573">
        <v>696853.09919999901</v>
      </c>
      <c r="I252" s="573"/>
      <c r="J252" s="573">
        <v>68522375</v>
      </c>
      <c r="K252" s="573">
        <v>74367384.260000005</v>
      </c>
      <c r="L252" s="573">
        <v>169006647.32120001</v>
      </c>
      <c r="M252" s="573">
        <v>222306097.64719999</v>
      </c>
      <c r="N252" s="573">
        <v>223353684.25080001</v>
      </c>
      <c r="O252" s="573">
        <v>175063121</v>
      </c>
      <c r="P252" s="573">
        <v>266933716</v>
      </c>
      <c r="Q252" s="680" t="s">
        <v>836</v>
      </c>
    </row>
    <row r="253" spans="1:21" x14ac:dyDescent="0.25">
      <c r="A253" s="681" t="s">
        <v>871</v>
      </c>
      <c r="B253" s="682"/>
      <c r="Q253" s="684" t="s">
        <v>872</v>
      </c>
    </row>
    <row r="254" spans="1:21" x14ac:dyDescent="0.25">
      <c r="A254" s="681" t="s">
        <v>873</v>
      </c>
      <c r="B254" s="682"/>
      <c r="Q254" s="684" t="s">
        <v>874</v>
      </c>
    </row>
    <row r="255" spans="1:21" x14ac:dyDescent="0.25">
      <c r="A255" s="681" t="s">
        <v>875</v>
      </c>
      <c r="B255" s="682"/>
      <c r="Q255" s="684" t="s">
        <v>876</v>
      </c>
      <c r="R255" s="660"/>
      <c r="S255" s="660"/>
      <c r="U255" s="660"/>
    </row>
    <row r="256" spans="1:21" ht="17.25" x14ac:dyDescent="0.25">
      <c r="A256" s="612" t="s">
        <v>777</v>
      </c>
      <c r="B256" s="682"/>
      <c r="Q256" s="613" t="s">
        <v>828</v>
      </c>
      <c r="R256" s="660"/>
      <c r="S256" s="660"/>
      <c r="U256" s="660"/>
    </row>
    <row r="257" spans="1:21" ht="17.25" x14ac:dyDescent="0.25">
      <c r="A257" s="685" t="s">
        <v>829</v>
      </c>
      <c r="B257" s="686"/>
      <c r="Q257" s="613" t="s">
        <v>776</v>
      </c>
      <c r="R257" s="660"/>
      <c r="S257" s="660"/>
      <c r="U257" s="660"/>
    </row>
  </sheetData>
  <mergeCells count="5">
    <mergeCell ref="A1:Q1"/>
    <mergeCell ref="A2:Q2"/>
    <mergeCell ref="A3:A4"/>
    <mergeCell ref="L3:O3"/>
    <mergeCell ref="Q3:Q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I7" sqref="I7"/>
    </sheetView>
  </sheetViews>
  <sheetFormatPr defaultColWidth="16.85546875" defaultRowHeight="21" x14ac:dyDescent="0.55000000000000004"/>
  <cols>
    <col min="1" max="1" width="26.85546875" style="388" customWidth="1"/>
    <col min="2" max="4" width="10.7109375" style="388" customWidth="1"/>
    <col min="5" max="5" width="45.5703125" style="509" customWidth="1"/>
    <col min="6" max="7" width="16.85546875" style="388"/>
    <col min="8" max="12" width="13.7109375" style="517" customWidth="1"/>
    <col min="13" max="16384" width="16.85546875" style="388"/>
  </cols>
  <sheetData>
    <row r="1" spans="1:11" ht="21" customHeight="1" x14ac:dyDescent="0.25">
      <c r="A1" s="901"/>
      <c r="B1" s="901"/>
      <c r="C1" s="901"/>
      <c r="D1" s="901"/>
      <c r="E1" s="901"/>
    </row>
    <row r="2" spans="1:11" ht="15" x14ac:dyDescent="0.25">
      <c r="E2" s="388"/>
      <c r="F2" s="507"/>
    </row>
    <row r="3" spans="1:11" ht="24" customHeight="1" x14ac:dyDescent="0.25">
      <c r="A3" s="520"/>
      <c r="B3" s="520">
        <v>2016</v>
      </c>
      <c r="C3" s="520">
        <v>2017</v>
      </c>
      <c r="D3" s="520">
        <v>2018</v>
      </c>
      <c r="E3" s="516"/>
    </row>
    <row r="4" spans="1:11" ht="27.75" customHeight="1" x14ac:dyDescent="0.55000000000000004">
      <c r="A4" s="31" t="s">
        <v>746</v>
      </c>
      <c r="B4" s="514"/>
      <c r="C4" s="514"/>
      <c r="D4" s="512">
        <v>3727</v>
      </c>
      <c r="E4" s="508" t="s">
        <v>747</v>
      </c>
    </row>
    <row r="5" spans="1:11" ht="27.75" customHeight="1" x14ac:dyDescent="0.55000000000000004">
      <c r="A5" s="31" t="s">
        <v>748</v>
      </c>
      <c r="B5" s="514"/>
      <c r="C5" s="514"/>
      <c r="D5" s="512">
        <v>5588</v>
      </c>
      <c r="E5" s="508" t="s">
        <v>749</v>
      </c>
    </row>
    <row r="6" spans="1:11" ht="27.75" customHeight="1" x14ac:dyDescent="0.55000000000000004">
      <c r="A6" s="31" t="s">
        <v>750</v>
      </c>
      <c r="B6" s="514"/>
      <c r="C6" s="514"/>
      <c r="D6" s="512">
        <v>122</v>
      </c>
      <c r="E6" s="508" t="s">
        <v>751</v>
      </c>
    </row>
    <row r="7" spans="1:11" ht="27.75" customHeight="1" x14ac:dyDescent="0.55000000000000004">
      <c r="A7" s="510" t="s">
        <v>752</v>
      </c>
      <c r="B7" s="515"/>
      <c r="C7" s="515"/>
      <c r="D7" s="513">
        <v>299</v>
      </c>
      <c r="E7" s="511" t="s">
        <v>753</v>
      </c>
    </row>
    <row r="9" spans="1:11" ht="60" customHeight="1" x14ac:dyDescent="0.55000000000000004"/>
    <row r="11" spans="1:11" ht="30" x14ac:dyDescent="0.55000000000000004">
      <c r="H11" s="519" t="s">
        <v>746</v>
      </c>
      <c r="I11" s="519" t="s">
        <v>748</v>
      </c>
      <c r="J11" s="519" t="s">
        <v>750</v>
      </c>
      <c r="K11" s="521" t="s">
        <v>752</v>
      </c>
    </row>
    <row r="12" spans="1:11" x14ac:dyDescent="0.55000000000000004">
      <c r="G12" s="382" t="s">
        <v>290</v>
      </c>
      <c r="J12" s="518"/>
    </row>
    <row r="13" spans="1:11" x14ac:dyDescent="0.55000000000000004">
      <c r="G13" s="376" t="s">
        <v>292</v>
      </c>
      <c r="J13" s="518"/>
    </row>
    <row r="14" spans="1:11" x14ac:dyDescent="0.55000000000000004">
      <c r="G14" s="386" t="s">
        <v>294</v>
      </c>
      <c r="J14" s="518"/>
    </row>
    <row r="15" spans="1:11" x14ac:dyDescent="0.55000000000000004">
      <c r="G15" s="386" t="s">
        <v>296</v>
      </c>
      <c r="J15" s="518"/>
    </row>
    <row r="16" spans="1:11" x14ac:dyDescent="0.55000000000000004">
      <c r="G16" s="386" t="s">
        <v>298</v>
      </c>
    </row>
    <row r="17" spans="7:7" x14ac:dyDescent="0.55000000000000004">
      <c r="G17" s="386" t="s">
        <v>300</v>
      </c>
    </row>
    <row r="18" spans="7:7" x14ac:dyDescent="0.55000000000000004">
      <c r="G18" s="386" t="s">
        <v>302</v>
      </c>
    </row>
    <row r="19" spans="7:7" x14ac:dyDescent="0.55000000000000004">
      <c r="G19" s="386" t="s">
        <v>304</v>
      </c>
    </row>
    <row r="20" spans="7:7" x14ac:dyDescent="0.55000000000000004">
      <c r="G20" s="386" t="s">
        <v>306</v>
      </c>
    </row>
    <row r="21" spans="7:7" x14ac:dyDescent="0.55000000000000004">
      <c r="G21" s="386" t="s">
        <v>308</v>
      </c>
    </row>
    <row r="22" spans="7:7" x14ac:dyDescent="0.55000000000000004">
      <c r="G22" s="386" t="s">
        <v>310</v>
      </c>
    </row>
    <row r="23" spans="7:7" x14ac:dyDescent="0.55000000000000004">
      <c r="G23" s="386" t="s">
        <v>312</v>
      </c>
    </row>
    <row r="24" spans="7:7" x14ac:dyDescent="0.55000000000000004">
      <c r="G24" s="386" t="s">
        <v>314</v>
      </c>
    </row>
    <row r="25" spans="7:7" x14ac:dyDescent="0.55000000000000004">
      <c r="G25" s="386" t="s">
        <v>316</v>
      </c>
    </row>
    <row r="26" spans="7:7" x14ac:dyDescent="0.55000000000000004">
      <c r="G26" s="386" t="s">
        <v>318</v>
      </c>
    </row>
    <row r="27" spans="7:7" x14ac:dyDescent="0.55000000000000004">
      <c r="G27" s="386" t="s">
        <v>320</v>
      </c>
    </row>
    <row r="28" spans="7:7" x14ac:dyDescent="0.55000000000000004">
      <c r="G28" s="386" t="s">
        <v>322</v>
      </c>
    </row>
    <row r="29" spans="7:7" x14ac:dyDescent="0.55000000000000004">
      <c r="G29" s="392" t="s">
        <v>324</v>
      </c>
    </row>
    <row r="30" spans="7:7" x14ac:dyDescent="0.55000000000000004">
      <c r="G30" s="386" t="s">
        <v>326</v>
      </c>
    </row>
    <row r="31" spans="7:7" x14ac:dyDescent="0.55000000000000004">
      <c r="G31" s="392" t="s">
        <v>328</v>
      </c>
    </row>
    <row r="32" spans="7:7" x14ac:dyDescent="0.55000000000000004">
      <c r="G32" s="392" t="s">
        <v>330</v>
      </c>
    </row>
    <row r="33" spans="7:7" x14ac:dyDescent="0.55000000000000004">
      <c r="G33" s="392" t="s">
        <v>332</v>
      </c>
    </row>
    <row r="34" spans="7:7" x14ac:dyDescent="0.55000000000000004">
      <c r="G34" s="392" t="s">
        <v>754</v>
      </c>
    </row>
    <row r="35" spans="7:7" x14ac:dyDescent="0.55000000000000004">
      <c r="G35" s="392"/>
    </row>
    <row r="36" spans="7:7" x14ac:dyDescent="0.55000000000000004">
      <c r="G36" s="396"/>
    </row>
  </sheetData>
  <mergeCells count="1">
    <mergeCell ref="A1:E1"/>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14</vt:i4>
      </vt:variant>
    </vt:vector>
  </HeadingPairs>
  <TitlesOfParts>
    <vt:vector size="38" baseType="lpstr">
      <vt:lpstr>18.1</vt:lpstr>
      <vt:lpstr>18.2</vt:lpstr>
      <vt:lpstr>18.3</vt:lpstr>
      <vt:lpstr>18.4</vt:lpstr>
      <vt:lpstr>18.5</vt:lpstr>
      <vt:lpstr>18.6</vt:lpstr>
      <vt:lpstr>18.7</vt:lpstr>
      <vt:lpstr>18.8</vt:lpstr>
      <vt:lpstr>18.9</vt:lpstr>
      <vt:lpstr>18.10</vt:lpstr>
      <vt:lpstr>18.11</vt:lpstr>
      <vt:lpstr>18.12</vt:lpstr>
      <vt:lpstr>18.13</vt:lpstr>
      <vt:lpstr>18.14</vt:lpstr>
      <vt:lpstr>18.15</vt:lpstr>
      <vt:lpstr>18.16</vt:lpstr>
      <vt:lpstr>18.17</vt:lpstr>
      <vt:lpstr>18.18</vt:lpstr>
      <vt:lpstr>18.19</vt:lpstr>
      <vt:lpstr>18.20</vt:lpstr>
      <vt:lpstr>18.21</vt:lpstr>
      <vt:lpstr>18.22</vt:lpstr>
      <vt:lpstr>18.23</vt:lpstr>
      <vt:lpstr>new tables</vt:lpstr>
      <vt:lpstr>'18.1'!Print_Area</vt:lpstr>
      <vt:lpstr>'18.11'!Print_Area</vt:lpstr>
      <vt:lpstr>'18.12'!Print_Area</vt:lpstr>
      <vt:lpstr>'18.13'!Print_Area</vt:lpstr>
      <vt:lpstr>'18.14'!Print_Area</vt:lpstr>
      <vt:lpstr>'18.15'!Print_Area</vt:lpstr>
      <vt:lpstr>'18.2'!Print_Area</vt:lpstr>
      <vt:lpstr>'18.3'!Print_Area</vt:lpstr>
      <vt:lpstr>'18.4'!Print_Area</vt:lpstr>
      <vt:lpstr>'18.5'!Print_Area</vt:lpstr>
      <vt:lpstr>'18.6'!Print_Area</vt:lpstr>
      <vt:lpstr>'18.7'!Print_Area</vt:lpstr>
      <vt:lpstr>'18.8'!Print_Area</vt:lpstr>
      <vt:lpstr>'18.9'!Print_Area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2019-02-21T06:53:34Z</cp:lastPrinted>
  <dcterms:created xsi:type="dcterms:W3CDTF">2019-02-21T04:10:17Z</dcterms:created>
  <dcterms:modified xsi:type="dcterms:W3CDTF">2019-07-04T06:37:24Z</dcterms:modified>
</cp:coreProperties>
</file>