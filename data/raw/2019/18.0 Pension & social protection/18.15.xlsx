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8. PENSION AND SOCIAL PROTECTION\"/>
    </mc:Choice>
  </mc:AlternateContent>
  <bookViews>
    <workbookView xWindow="0" yWindow="0" windowWidth="28800" windowHeight="12330" tabRatio="841"/>
  </bookViews>
  <sheets>
    <sheet name="18.15" sheetId="15" r:id="rId1"/>
  </sheets>
  <definedNames>
    <definedName name="_xlnm.Print_Area" localSheetId="0">'18.15'!$A$1:$M$38</definedName>
  </definedNames>
  <calcPr calcId="162913"/>
</workbook>
</file>

<file path=xl/calcChain.xml><?xml version="1.0" encoding="utf-8"?>
<calcChain xmlns="http://schemas.openxmlformats.org/spreadsheetml/2006/main">
  <c r="K7" i="15" l="1"/>
  <c r="J7" i="15"/>
  <c r="J8" i="15"/>
  <c r="E19" i="15" l="1"/>
  <c r="K19" i="15" s="1"/>
  <c r="B19" i="15"/>
  <c r="J19" i="15" s="1"/>
  <c r="E18" i="15"/>
  <c r="K18" i="15" s="1"/>
  <c r="B18" i="15"/>
  <c r="J18" i="15" s="1"/>
  <c r="E17" i="15"/>
  <c r="K17" i="15" s="1"/>
  <c r="B17" i="15"/>
  <c r="J17" i="15" s="1"/>
  <c r="E16" i="15"/>
  <c r="K16" i="15" s="1"/>
  <c r="B16" i="15"/>
  <c r="J16" i="15" s="1"/>
  <c r="E15" i="15"/>
  <c r="K15" i="15" s="1"/>
  <c r="B15" i="15"/>
  <c r="J15" i="15" s="1"/>
  <c r="E14" i="15"/>
  <c r="K14" i="15" s="1"/>
  <c r="B14" i="15"/>
  <c r="E13" i="15"/>
  <c r="K13" i="15" s="1"/>
  <c r="B13" i="15"/>
  <c r="J13" i="15" s="1"/>
  <c r="E12" i="15"/>
  <c r="K12" i="15" s="1"/>
  <c r="B12" i="15"/>
  <c r="J12" i="15" s="1"/>
  <c r="E11" i="15"/>
  <c r="K11" i="15" s="1"/>
  <c r="B11" i="15"/>
  <c r="J11" i="15" s="1"/>
  <c r="E10" i="15"/>
  <c r="K10" i="15" s="1"/>
  <c r="B10" i="15"/>
  <c r="J10" i="15" s="1"/>
  <c r="E9" i="15"/>
  <c r="B9" i="15"/>
  <c r="J9" i="15" s="1"/>
  <c r="E8" i="15"/>
  <c r="B8" i="15"/>
  <c r="G7" i="15"/>
  <c r="F7" i="15"/>
  <c r="D7" i="15"/>
  <c r="C7" i="15"/>
  <c r="K9" i="15" l="1"/>
  <c r="K8" i="15"/>
  <c r="E7" i="15"/>
  <c r="I7" i="15" s="1"/>
  <c r="B7" i="15"/>
  <c r="H7" i="15" s="1"/>
  <c r="J14" i="15"/>
  <c r="I9" i="15" l="1"/>
  <c r="H8" i="15"/>
  <c r="I8" i="15"/>
  <c r="I18" i="15"/>
  <c r="I14" i="15"/>
  <c r="I19" i="15"/>
  <c r="I11" i="15"/>
  <c r="I10" i="15"/>
  <c r="I12" i="15"/>
  <c r="I17" i="15"/>
  <c r="H17" i="15"/>
  <c r="H11" i="15"/>
  <c r="H15" i="15"/>
  <c r="H12" i="15"/>
  <c r="I16" i="15"/>
  <c r="H19" i="15"/>
  <c r="H16" i="15"/>
  <c r="H13" i="15"/>
  <c r="I13" i="15"/>
  <c r="H18" i="15"/>
  <c r="H14" i="15"/>
  <c r="H9" i="15"/>
  <c r="I15" i="15"/>
  <c r="H10" i="15"/>
</calcChain>
</file>

<file path=xl/sharedStrings.xml><?xml version="1.0" encoding="utf-8"?>
<sst xmlns="http://schemas.openxmlformats.org/spreadsheetml/2006/main" count="60" uniqueCount="40">
  <si>
    <t>އިންސައްތަ</t>
  </si>
  <si>
    <t>އަންހެނުންގެ އިން ސައްތަ</t>
  </si>
  <si>
    <t>ޖުމްލަ</t>
  </si>
  <si>
    <t>ފިރިހެން</t>
  </si>
  <si>
    <t>އަންހެން</t>
  </si>
  <si>
    <t>% share of females</t>
  </si>
  <si>
    <t>Total</t>
  </si>
  <si>
    <t>Male</t>
  </si>
  <si>
    <t>Female</t>
  </si>
  <si>
    <t>Source: Maldives Pension Administration</t>
  </si>
  <si>
    <t>މަޢުލޫމާތު ދެއްވި ފަރާތް: މޯލްޑިވްސް ޕެންޝަން އެޑްމިނިސްޓްރޭޝަން</t>
  </si>
  <si>
    <t>Others</t>
  </si>
  <si>
    <t>އެހެނިހެން</t>
  </si>
  <si>
    <t>Place</t>
  </si>
  <si>
    <t>%  share</t>
  </si>
  <si>
    <t>ތަން</t>
  </si>
  <si>
    <t>Government Offices</t>
  </si>
  <si>
    <t>ސަރުކާރު އޮފީސްތައް</t>
  </si>
  <si>
    <t>Independent Agencies</t>
  </si>
  <si>
    <t>މިނިވަން މުޢައްސަސާތައް</t>
  </si>
  <si>
    <t>Judiciary</t>
  </si>
  <si>
    <t xml:space="preserve">ޖުޑީޝަރީ </t>
  </si>
  <si>
    <t>City councils</t>
  </si>
  <si>
    <t xml:space="preserve">ސިޓީ ކައުންސިލްތައް </t>
  </si>
  <si>
    <t>Atoll councils</t>
  </si>
  <si>
    <t>އަތޮޅު ކައުންސިލްތައް</t>
  </si>
  <si>
    <t>Island councils</t>
  </si>
  <si>
    <t>ރަށު ކައުންސިލްތައް</t>
  </si>
  <si>
    <t>Hospitals/health Care facilities</t>
  </si>
  <si>
    <t>ހޮސްޕިޓަލް / ސިއްޙި ޚިދުމަތްދޭ ފަރާތްތައް</t>
  </si>
  <si>
    <t>Schools/universitiy</t>
  </si>
  <si>
    <t>ސްކޫލް / ޔުނިވަރސިޓީ</t>
  </si>
  <si>
    <t>Police/ NSS</t>
  </si>
  <si>
    <t>ފުލުހުން /  ސިފައިން</t>
  </si>
  <si>
    <t>State owned enterprises</t>
  </si>
  <si>
    <t>ސްޓޭޓް އޯންޑް އެންޓަރޕްރައިސަސް</t>
  </si>
  <si>
    <t>Other Private Sector</t>
  </si>
  <si>
    <t>އެހެނިހެން ޕްރައިވެޓް ސެކްޓަރ</t>
  </si>
  <si>
    <t>TABLE   18.15: EMPLOYEES REGISTERED IN THE RETIREMENT PENSION SCHEME, BY TYPE OF EMPLOYER, 2017 - 2018</t>
  </si>
  <si>
    <t>ތާވަލު  18.15 : ތަނުގެ ބާވަތުން، ރިޓާޔަމަންޓް ޕެންޝަން ސްކީމްގައި ރެޖިސްޓަރކޮށްފައިވާ މުވައްޒަފުންގެ ޢަދަދު ، 2017 - 2018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</si>
</sst>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Faruma"/>
    </font>
    <font>
      <sz val="11"/>
      <color rgb="FF000000"/>
      <name val="Faruma"/>
    </font>
    <font>
      <i/>
      <sz val="9"/>
      <color rgb="FF000000"/>
      <name val="Calibri"/>
      <family val="2"/>
    </font>
    <font>
      <sz val="10"/>
      <color rgb="FF000000"/>
      <name val="Faruma"/>
    </font>
    <font>
      <sz val="11"/>
      <color rgb="FF000000"/>
      <name val="Calibri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6E3BC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9" fillId="0" borderId="0" applyFont="0" applyFill="0" applyBorder="0" applyAlignment="0" applyProtection="0"/>
    <xf numFmtId="164" fontId="10" fillId="0" borderId="24"/>
    <xf numFmtId="0" fontId="1" fillId="0" borderId="24"/>
    <xf numFmtId="0" fontId="1" fillId="0" borderId="24"/>
  </cellStyleXfs>
  <cellXfs count="62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4" fillId="2" borderId="2" xfId="0" applyFont="1" applyFill="1" applyBorder="1"/>
    <xf numFmtId="0" fontId="4" fillId="2" borderId="16" xfId="0" applyFont="1" applyFill="1" applyBorder="1" applyAlignment="1">
      <alignment horizontal="right" vertical="center"/>
    </xf>
    <xf numFmtId="0" fontId="2" fillId="2" borderId="2" xfId="0" applyFont="1" applyFill="1" applyBorder="1" applyAlignment="1"/>
    <xf numFmtId="0" fontId="6" fillId="2" borderId="2" xfId="0" applyFont="1" applyFill="1" applyBorder="1" applyAlignment="1"/>
    <xf numFmtId="0" fontId="6" fillId="2" borderId="15" xfId="0" applyFont="1" applyFill="1" applyBorder="1" applyAlignment="1"/>
    <xf numFmtId="0" fontId="0" fillId="2" borderId="24" xfId="0" applyFont="1" applyFill="1" applyBorder="1"/>
    <xf numFmtId="0" fontId="4" fillId="2" borderId="2" xfId="0" applyFont="1" applyFill="1" applyBorder="1" applyAlignment="1">
      <alignment horizontal="left" vertical="center"/>
    </xf>
    <xf numFmtId="3" fontId="4" fillId="2" borderId="2" xfId="0" applyNumberFormat="1" applyFont="1" applyFill="1" applyBorder="1" applyAlignment="1">
      <alignment vertical="center"/>
    </xf>
    <xf numFmtId="3" fontId="4" fillId="2" borderId="19" xfId="0" applyNumberFormat="1" applyFont="1" applyFill="1" applyBorder="1" applyAlignment="1">
      <alignment vertical="center"/>
    </xf>
    <xf numFmtId="0" fontId="0" fillId="2" borderId="2" xfId="0" applyFont="1" applyFill="1" applyBorder="1" applyAlignment="1">
      <alignment horizontal="left" vertical="center"/>
    </xf>
    <xf numFmtId="3" fontId="0" fillId="2" borderId="2" xfId="0" applyNumberFormat="1" applyFont="1" applyFill="1" applyBorder="1" applyAlignment="1">
      <alignment vertical="center"/>
    </xf>
    <xf numFmtId="3" fontId="0" fillId="4" borderId="2" xfId="0" applyNumberFormat="1" applyFont="1" applyFill="1" applyBorder="1" applyAlignment="1">
      <alignment vertical="center"/>
    </xf>
    <xf numFmtId="3" fontId="0" fillId="4" borderId="19" xfId="0" applyNumberFormat="1" applyFont="1" applyFill="1" applyBorder="1" applyAlignment="1">
      <alignment vertical="center"/>
    </xf>
    <xf numFmtId="3" fontId="0" fillId="4" borderId="2" xfId="0" applyNumberFormat="1" applyFont="1" applyFill="1" applyBorder="1" applyAlignment="1">
      <alignment horizontal="right" vertical="center"/>
    </xf>
    <xf numFmtId="3" fontId="0" fillId="2" borderId="2" xfId="0" applyNumberFormat="1" applyFont="1" applyFill="1" applyBorder="1"/>
    <xf numFmtId="0" fontId="0" fillId="2" borderId="15" xfId="0" applyFont="1" applyFill="1" applyBorder="1" applyAlignment="1">
      <alignment horizontal="left" vertical="center"/>
    </xf>
    <xf numFmtId="3" fontId="0" fillId="2" borderId="15" xfId="0" applyNumberFormat="1" applyFont="1" applyFill="1" applyBorder="1" applyAlignment="1">
      <alignment vertical="center"/>
    </xf>
    <xf numFmtId="3" fontId="0" fillId="4" borderId="15" xfId="0" applyNumberFormat="1" applyFont="1" applyFill="1" applyBorder="1" applyAlignment="1">
      <alignment vertical="center"/>
    </xf>
    <xf numFmtId="3" fontId="0" fillId="4" borderId="17" xfId="0" applyNumberFormat="1" applyFont="1" applyFill="1" applyBorder="1" applyAlignment="1">
      <alignment vertical="center"/>
    </xf>
    <xf numFmtId="0" fontId="7" fillId="2" borderId="2" xfId="0" applyFont="1" applyFill="1" applyBorder="1"/>
    <xf numFmtId="3" fontId="4" fillId="2" borderId="24" xfId="0" applyNumberFormat="1" applyFont="1" applyFill="1" applyBorder="1" applyAlignment="1">
      <alignment horizontal="right" vertical="center"/>
    </xf>
    <xf numFmtId="3" fontId="0" fillId="2" borderId="24" xfId="0" applyNumberFormat="1" applyFont="1" applyFill="1" applyBorder="1" applyAlignment="1">
      <alignment horizontal="right" vertical="center"/>
    </xf>
    <xf numFmtId="3" fontId="0" fillId="2" borderId="26" xfId="0" applyNumberFormat="1" applyFont="1" applyFill="1" applyBorder="1" applyAlignment="1">
      <alignment horizontal="right" vertical="center"/>
    </xf>
    <xf numFmtId="0" fontId="4" fillId="2" borderId="18" xfId="0" applyFont="1" applyFill="1" applyBorder="1" applyAlignment="1">
      <alignment horizontal="right" vertical="center"/>
    </xf>
    <xf numFmtId="3" fontId="0" fillId="2" borderId="17" xfId="0" applyNumberFormat="1" applyFont="1" applyFill="1" applyBorder="1" applyAlignment="1">
      <alignment vertical="center"/>
    </xf>
    <xf numFmtId="1" fontId="0" fillId="2" borderId="2" xfId="0" applyNumberFormat="1" applyFont="1" applyFill="1" applyBorder="1"/>
    <xf numFmtId="0" fontId="0" fillId="2" borderId="19" xfId="0" applyFont="1" applyFill="1" applyBorder="1"/>
    <xf numFmtId="0" fontId="4" fillId="2" borderId="11" xfId="0" applyFont="1" applyFill="1" applyBorder="1" applyAlignment="1">
      <alignment horizontal="right" vertical="center"/>
    </xf>
    <xf numFmtId="0" fontId="4" fillId="2" borderId="23" xfId="0" applyFont="1" applyFill="1" applyBorder="1" applyAlignment="1">
      <alignment horizontal="right" vertical="center"/>
    </xf>
    <xf numFmtId="0" fontId="2" fillId="2" borderId="15" xfId="0" applyFont="1" applyFill="1" applyBorder="1" applyAlignment="1"/>
    <xf numFmtId="0" fontId="2" fillId="2" borderId="17" xfId="0" applyFont="1" applyFill="1" applyBorder="1" applyAlignment="1"/>
    <xf numFmtId="0" fontId="4" fillId="2" borderId="18" xfId="0" applyFont="1" applyFill="1" applyBorder="1"/>
    <xf numFmtId="3" fontId="0" fillId="2" borderId="19" xfId="0" applyNumberFormat="1" applyFont="1" applyFill="1" applyBorder="1" applyAlignment="1">
      <alignment vertical="center"/>
    </xf>
    <xf numFmtId="3" fontId="0" fillId="4" borderId="17" xfId="0" applyNumberFormat="1" applyFont="1" applyFill="1" applyBorder="1" applyAlignment="1">
      <alignment horizontal="right" vertical="center"/>
    </xf>
    <xf numFmtId="0" fontId="8" fillId="2" borderId="2" xfId="0" applyFont="1" applyFill="1" applyBorder="1" applyAlignment="1"/>
    <xf numFmtId="3" fontId="0" fillId="4" borderId="22" xfId="0" applyNumberFormat="1" applyFont="1" applyFill="1" applyBorder="1" applyAlignment="1">
      <alignment horizontal="right" vertical="center"/>
    </xf>
    <xf numFmtId="3" fontId="0" fillId="4" borderId="27" xfId="0" applyNumberFormat="1" applyFont="1" applyFill="1" applyBorder="1" applyAlignment="1">
      <alignment horizontal="right" vertical="center"/>
    </xf>
    <xf numFmtId="3" fontId="4" fillId="2" borderId="9" xfId="0" applyNumberFormat="1" applyFont="1" applyFill="1" applyBorder="1" applyAlignment="1">
      <alignment horizontal="right" vertical="center"/>
    </xf>
    <xf numFmtId="3" fontId="4" fillId="4" borderId="10" xfId="0" applyNumberFormat="1" applyFont="1" applyFill="1" applyBorder="1" applyAlignment="1">
      <alignment horizontal="right" vertical="center"/>
    </xf>
    <xf numFmtId="3" fontId="4" fillId="4" borderId="2" xfId="0" applyNumberFormat="1" applyFont="1" applyFill="1" applyBorder="1" applyAlignment="1">
      <alignment horizontal="right" vertical="center"/>
    </xf>
    <xf numFmtId="37" fontId="0" fillId="2" borderId="2" xfId="1" applyNumberFormat="1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8" xfId="0" applyFont="1" applyFill="1" applyBorder="1"/>
    <xf numFmtId="0" fontId="3" fillId="3" borderId="21" xfId="0" applyFont="1" applyFill="1" applyBorder="1"/>
    <xf numFmtId="0" fontId="2" fillId="2" borderId="5" xfId="0" applyFont="1" applyFill="1" applyBorder="1" applyAlignment="1">
      <alignment horizontal="right" vertical="center"/>
    </xf>
    <xf numFmtId="0" fontId="3" fillId="3" borderId="6" xfId="0" applyFont="1" applyFill="1" applyBorder="1"/>
    <xf numFmtId="0" fontId="3" fillId="3" borderId="14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/>
    </xf>
    <xf numFmtId="0" fontId="4" fillId="2" borderId="24" xfId="0" applyFont="1" applyFill="1" applyBorder="1"/>
  </cellXfs>
  <cellStyles count="5">
    <cellStyle name="Comma" xfId="1" builtinId="3"/>
    <cellStyle name="Normal" xfId="0" builtinId="0"/>
    <cellStyle name="Normal 12" xfId="4"/>
    <cellStyle name="Normal 2" xfId="2"/>
    <cellStyle name="Normal 3 2" xfId="3"/>
  </cellStyles>
  <dxfs count="0"/>
  <tableStyles count="0" defaultTableStyle="TableStyleMedium2" defaultPivotStyle="PivotStyleLight16"/>
  <colors>
    <mruColors>
      <color rgb="FFFFFFEB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100" b="1" i="0"/>
            </a:pPr>
            <a:r>
              <a:rPr lang="en-US" sz="1100"/>
              <a:t>Figure 18.19: Percentage share of female employees registered in the retirement pension scheme, by type of employer, end of  2018 </a:t>
            </a:r>
          </a:p>
        </c:rich>
      </c:tx>
      <c:layout>
        <c:manualLayout>
          <c:xMode val="edge"/>
          <c:yMode val="edge"/>
          <c:x val="0.21566851684523045"/>
          <c:y val="3.65296803652968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811841142807966"/>
          <c:y val="0.17189400639988495"/>
          <c:w val="0.73007070837456789"/>
          <c:h val="0.70110034875777516"/>
        </c:manualLayout>
      </c:layout>
      <c:barChart>
        <c:barDir val="bar"/>
        <c:grouping val="clustered"/>
        <c:varyColors val="1"/>
        <c:ser>
          <c:idx val="0"/>
          <c:order val="0"/>
          <c:spPr>
            <a:solidFill>
              <a:srgbClr val="7F6000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'18.15'!$AE$24:$AE$35</c:f>
              <c:strCache>
                <c:ptCount val="12"/>
                <c:pt idx="0">
                  <c:v>City councils</c:v>
                </c:pt>
                <c:pt idx="1">
                  <c:v>Others</c:v>
                </c:pt>
                <c:pt idx="2">
                  <c:v>Atoll councils</c:v>
                </c:pt>
                <c:pt idx="3">
                  <c:v>Judiciary</c:v>
                </c:pt>
                <c:pt idx="4">
                  <c:v>Island councils</c:v>
                </c:pt>
                <c:pt idx="5">
                  <c:v>Independent Agencies</c:v>
                </c:pt>
                <c:pt idx="6">
                  <c:v>Hospitals/health Care facilities</c:v>
                </c:pt>
                <c:pt idx="7">
                  <c:v>Schools/universitiy</c:v>
                </c:pt>
                <c:pt idx="8">
                  <c:v>Police/ NSS</c:v>
                </c:pt>
                <c:pt idx="9">
                  <c:v>State owned enterprises</c:v>
                </c:pt>
                <c:pt idx="10">
                  <c:v>Government Offices</c:v>
                </c:pt>
                <c:pt idx="11">
                  <c:v>Other Private Sector</c:v>
                </c:pt>
              </c:strCache>
            </c:strRef>
          </c:cat>
          <c:val>
            <c:numRef>
              <c:f>'18.15'!$AF$24:$AF$35</c:f>
              <c:numCache>
                <c:formatCode>#,##0_);\(#,##0\)</c:formatCode>
                <c:ptCount val="12"/>
                <c:pt idx="0">
                  <c:v>218</c:v>
                </c:pt>
                <c:pt idx="1">
                  <c:v>267</c:v>
                </c:pt>
                <c:pt idx="2">
                  <c:v>483</c:v>
                </c:pt>
                <c:pt idx="3">
                  <c:v>1828</c:v>
                </c:pt>
                <c:pt idx="4">
                  <c:v>2103</c:v>
                </c:pt>
                <c:pt idx="5">
                  <c:v>2235</c:v>
                </c:pt>
                <c:pt idx="6">
                  <c:v>6337</c:v>
                </c:pt>
                <c:pt idx="7">
                  <c:v>7297</c:v>
                </c:pt>
                <c:pt idx="8">
                  <c:v>7663</c:v>
                </c:pt>
                <c:pt idx="9">
                  <c:v>12224</c:v>
                </c:pt>
                <c:pt idx="10">
                  <c:v>14209</c:v>
                </c:pt>
                <c:pt idx="11">
                  <c:v>40611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7F27-47A9-851B-45169DBCA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5821672"/>
        <c:axId val="1818120302"/>
      </c:barChart>
      <c:catAx>
        <c:axId val="4458216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1" i="0"/>
            </a:pPr>
            <a:endParaRPr lang="en-US"/>
          </a:p>
        </c:txPr>
        <c:crossAx val="1818120302"/>
        <c:crosses val="autoZero"/>
        <c:auto val="1"/>
        <c:lblAlgn val="ctr"/>
        <c:lblOffset val="100"/>
        <c:noMultiLvlLbl val="1"/>
      </c:catAx>
      <c:valAx>
        <c:axId val="1818120302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/>
                </a:pPr>
                <a:r>
                  <a:rPr lang="en-US"/>
                  <a:t>% share of  females</a:t>
                </a:r>
              </a:p>
            </c:rich>
          </c:tx>
          <c:layout/>
          <c:overlay val="0"/>
        </c:title>
        <c:numFmt formatCode="#,##0_);\(#,##0\)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1" i="0"/>
            </a:pPr>
            <a:endParaRPr lang="en-US"/>
          </a:p>
        </c:txPr>
        <c:crossAx val="445821672"/>
        <c:crosses val="max"/>
        <c:crossBetween val="between"/>
      </c:valAx>
      <c:spPr>
        <a:solidFill>
          <a:srgbClr val="FFFFFF"/>
        </a:solidFill>
      </c:spPr>
    </c:plotArea>
    <c:plotVisOnly val="1"/>
    <c:dispBlanksAs val="zero"/>
    <c:showDLblsOverMax val="1"/>
  </c:chart>
  <c:spPr>
    <a:solidFill>
      <a:srgbClr val="FFFFEB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20</xdr:row>
      <xdr:rowOff>38100</xdr:rowOff>
    </xdr:from>
    <xdr:ext cx="8715375" cy="3476625"/>
    <xdr:graphicFrame macro="">
      <xdr:nvGraphicFramePr>
        <xdr:cNvPr id="20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38"/>
  <sheetViews>
    <sheetView tabSelected="1" zoomScaleNormal="100" workbookViewId="0">
      <selection activeCell="V15" sqref="V15"/>
    </sheetView>
  </sheetViews>
  <sheetFormatPr defaultColWidth="14.42578125" defaultRowHeight="15" customHeight="1" x14ac:dyDescent="0.25"/>
  <cols>
    <col min="1" max="1" width="25.28515625" style="2" customWidth="1"/>
    <col min="2" max="7" width="7.7109375" style="2" customWidth="1"/>
    <col min="8" max="9" width="8.7109375" style="2" customWidth="1"/>
    <col min="10" max="11" width="9.140625" style="2" customWidth="1"/>
    <col min="12" max="12" width="30.5703125" style="2" customWidth="1"/>
    <col min="13" max="13" width="4.140625" style="2" customWidth="1"/>
    <col min="14" max="32" width="8" style="2" customWidth="1"/>
    <col min="33" max="16384" width="14.42578125" style="2"/>
  </cols>
  <sheetData>
    <row r="1" spans="1:32" ht="19.5" customHeight="1" x14ac:dyDescent="0.55000000000000004">
      <c r="A1" s="52" t="s">
        <v>39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5"/>
      <c r="M1" s="1"/>
      <c r="N1" s="1"/>
      <c r="O1" s="1"/>
      <c r="P1" s="1"/>
      <c r="Q1" s="1"/>
      <c r="R1" s="1"/>
      <c r="S1" s="1"/>
      <c r="T1" s="8"/>
      <c r="U1" s="8"/>
      <c r="V1" s="8"/>
      <c r="W1" s="8"/>
      <c r="X1" s="8"/>
      <c r="Y1" s="1"/>
      <c r="Z1" s="1"/>
      <c r="AA1" s="1"/>
      <c r="AB1" s="1"/>
      <c r="AC1" s="1"/>
      <c r="AD1" s="1"/>
      <c r="AE1" s="1"/>
      <c r="AF1" s="1"/>
    </row>
    <row r="2" spans="1:32" ht="14.25" customHeight="1" x14ac:dyDescent="0.25">
      <c r="A2" s="53" t="s">
        <v>38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5"/>
      <c r="M2" s="1"/>
      <c r="N2" s="1"/>
      <c r="O2" s="1"/>
      <c r="P2" s="1"/>
      <c r="Q2" s="1"/>
      <c r="R2" s="1"/>
      <c r="S2" s="1"/>
      <c r="T2" s="8"/>
      <c r="U2" s="8"/>
      <c r="V2" s="8"/>
      <c r="W2" s="8"/>
      <c r="X2" s="8"/>
      <c r="Y2" s="1"/>
      <c r="Z2" s="1"/>
      <c r="AA2" s="1"/>
      <c r="AB2" s="1"/>
      <c r="AC2" s="1"/>
      <c r="AD2" s="1"/>
      <c r="AE2" s="1"/>
      <c r="AF2" s="1"/>
    </row>
    <row r="3" spans="1:32" ht="2.25" customHeight="1" x14ac:dyDescent="0.25">
      <c r="A3" s="1"/>
      <c r="B3" s="1"/>
      <c r="C3" s="1"/>
      <c r="D3" s="1"/>
      <c r="E3" s="1"/>
      <c r="F3" s="1"/>
      <c r="G3" s="1"/>
      <c r="H3" s="2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8"/>
      <c r="U3" s="8"/>
      <c r="V3" s="8"/>
      <c r="W3" s="8"/>
      <c r="X3" s="8"/>
      <c r="Y3" s="1"/>
      <c r="Z3" s="1"/>
      <c r="AA3" s="1"/>
      <c r="AB3" s="1"/>
      <c r="AC3" s="1"/>
      <c r="AD3" s="1"/>
      <c r="AE3" s="1"/>
      <c r="AF3" s="1"/>
    </row>
    <row r="4" spans="1:32" ht="14.25" customHeight="1" x14ac:dyDescent="0.25">
      <c r="A4" s="51" t="s">
        <v>13</v>
      </c>
      <c r="B4" s="54">
        <v>2017</v>
      </c>
      <c r="C4" s="46"/>
      <c r="D4" s="47"/>
      <c r="E4" s="54">
        <v>2018</v>
      </c>
      <c r="F4" s="46"/>
      <c r="G4" s="47"/>
      <c r="H4" s="55" t="s">
        <v>14</v>
      </c>
      <c r="I4" s="56"/>
      <c r="J4" s="59" t="s">
        <v>5</v>
      </c>
      <c r="K4" s="59"/>
      <c r="L4" s="48" t="s">
        <v>15</v>
      </c>
      <c r="M4" s="1"/>
      <c r="N4" s="1"/>
      <c r="O4" s="1"/>
      <c r="P4" s="1"/>
      <c r="Q4" s="1"/>
      <c r="R4" s="1"/>
      <c r="S4" s="1"/>
      <c r="T4" s="8"/>
      <c r="U4" s="8"/>
      <c r="V4" s="8"/>
      <c r="W4" s="8"/>
      <c r="X4" s="8"/>
      <c r="Y4" s="1"/>
      <c r="Z4" s="1"/>
      <c r="AA4" s="1"/>
      <c r="AB4" s="1"/>
      <c r="AC4" s="1"/>
      <c r="AD4" s="1"/>
      <c r="AE4" s="1"/>
      <c r="AF4" s="1"/>
    </row>
    <row r="5" spans="1:32" ht="18" customHeight="1" x14ac:dyDescent="0.55000000000000004">
      <c r="A5" s="49"/>
      <c r="B5" s="30" t="s">
        <v>6</v>
      </c>
      <c r="C5" s="30" t="s">
        <v>7</v>
      </c>
      <c r="D5" s="31" t="s">
        <v>8</v>
      </c>
      <c r="E5" s="30" t="s">
        <v>6</v>
      </c>
      <c r="F5" s="30" t="s">
        <v>7</v>
      </c>
      <c r="G5" s="31" t="s">
        <v>8</v>
      </c>
      <c r="H5" s="57" t="s">
        <v>0</v>
      </c>
      <c r="I5" s="58"/>
      <c r="J5" s="60" t="s">
        <v>1</v>
      </c>
      <c r="K5" s="60"/>
      <c r="L5" s="49"/>
      <c r="M5" s="1"/>
      <c r="N5" s="1"/>
      <c r="O5" s="1"/>
      <c r="P5" s="1"/>
      <c r="Q5" s="1"/>
      <c r="R5" s="1"/>
      <c r="S5" s="1"/>
      <c r="T5" s="8"/>
      <c r="U5" s="8"/>
      <c r="V5" s="8"/>
      <c r="W5" s="8"/>
      <c r="X5" s="8"/>
      <c r="Y5" s="1"/>
      <c r="Z5" s="1"/>
      <c r="AA5" s="1"/>
      <c r="AB5" s="1"/>
      <c r="AC5" s="1"/>
      <c r="AD5" s="1"/>
      <c r="AE5" s="1"/>
      <c r="AF5" s="1"/>
    </row>
    <row r="6" spans="1:32" ht="21" customHeight="1" x14ac:dyDescent="0.55000000000000004">
      <c r="A6" s="50"/>
      <c r="B6" s="32" t="s">
        <v>2</v>
      </c>
      <c r="C6" s="32" t="s">
        <v>3</v>
      </c>
      <c r="D6" s="33" t="s">
        <v>4</v>
      </c>
      <c r="E6" s="32" t="s">
        <v>2</v>
      </c>
      <c r="F6" s="32" t="s">
        <v>3</v>
      </c>
      <c r="G6" s="33" t="s">
        <v>4</v>
      </c>
      <c r="H6" s="26">
        <v>2017</v>
      </c>
      <c r="I6" s="4">
        <v>2018</v>
      </c>
      <c r="J6" s="34">
        <v>2017</v>
      </c>
      <c r="K6" s="34">
        <v>2018</v>
      </c>
      <c r="L6" s="50"/>
      <c r="M6" s="1"/>
      <c r="N6" s="1"/>
      <c r="O6" s="1"/>
      <c r="P6" s="1"/>
      <c r="Q6" s="1"/>
      <c r="R6" s="1"/>
      <c r="S6" s="1"/>
      <c r="T6" s="8"/>
      <c r="U6" s="8"/>
      <c r="V6" s="8"/>
      <c r="W6" s="8"/>
      <c r="X6" s="8"/>
      <c r="Y6" s="1"/>
      <c r="Z6" s="1"/>
      <c r="AA6" s="1"/>
      <c r="AB6" s="1"/>
      <c r="AC6" s="1"/>
      <c r="AD6" s="1"/>
      <c r="AE6" s="1"/>
      <c r="AF6" s="1"/>
    </row>
    <row r="7" spans="1:32" ht="21" customHeight="1" x14ac:dyDescent="0.55000000000000004">
      <c r="A7" s="9" t="s">
        <v>6</v>
      </c>
      <c r="B7" s="10">
        <f t="shared" ref="B7:D7" si="0">SUM(B8:B19)</f>
        <v>89024</v>
      </c>
      <c r="C7" s="10">
        <f t="shared" si="0"/>
        <v>60536</v>
      </c>
      <c r="D7" s="11">
        <f t="shared" si="0"/>
        <v>28488</v>
      </c>
      <c r="E7" s="10">
        <f t="shared" ref="E7:G7" si="1">SUM(E8:E19)</f>
        <v>95475</v>
      </c>
      <c r="F7" s="10">
        <f t="shared" si="1"/>
        <v>63578</v>
      </c>
      <c r="G7" s="11">
        <f t="shared" si="1"/>
        <v>31897</v>
      </c>
      <c r="H7" s="40">
        <f>B7/$B$7*100</f>
        <v>100</v>
      </c>
      <c r="I7" s="41">
        <f>E7/$E$7*100</f>
        <v>100</v>
      </c>
      <c r="J7" s="23">
        <f>D7/B7*100</f>
        <v>32.00035945363048</v>
      </c>
      <c r="K7" s="42">
        <f>G7/E7*100</f>
        <v>33.408745744959411</v>
      </c>
      <c r="L7" s="5" t="s">
        <v>2</v>
      </c>
      <c r="M7" s="3"/>
      <c r="N7" s="3"/>
      <c r="O7" s="3"/>
      <c r="P7" s="3"/>
      <c r="Q7" s="3"/>
      <c r="R7" s="3"/>
      <c r="S7" s="3"/>
      <c r="T7" s="61"/>
      <c r="U7" s="61"/>
      <c r="V7" s="61"/>
      <c r="W7" s="61"/>
      <c r="X7" s="61"/>
      <c r="Y7" s="3"/>
      <c r="Z7" s="3"/>
      <c r="AA7" s="3"/>
      <c r="AB7" s="3"/>
      <c r="AC7" s="3"/>
      <c r="AD7" s="3"/>
      <c r="AE7" s="3"/>
      <c r="AF7" s="3"/>
    </row>
    <row r="8" spans="1:32" ht="21" customHeight="1" x14ac:dyDescent="0.55000000000000004">
      <c r="A8" s="12" t="s">
        <v>16</v>
      </c>
      <c r="B8" s="13">
        <f t="shared" ref="B8:B19" si="2">SUM(C8:D8)</f>
        <v>12994</v>
      </c>
      <c r="C8" s="13">
        <v>6570</v>
      </c>
      <c r="D8" s="35">
        <v>6424</v>
      </c>
      <c r="E8" s="13">
        <f t="shared" ref="E8:E19" si="3">SUM(F8:G8)</f>
        <v>14209</v>
      </c>
      <c r="F8" s="14">
        <v>7092</v>
      </c>
      <c r="G8" s="15">
        <v>7117</v>
      </c>
      <c r="H8" s="24">
        <f>B8/$B$7*100</f>
        <v>14.596063982746227</v>
      </c>
      <c r="I8" s="38">
        <f>E8/$E$7*100</f>
        <v>14.88242995548573</v>
      </c>
      <c r="J8" s="24">
        <f>D8/B8*100</f>
        <v>49.438202247191008</v>
      </c>
      <c r="K8" s="16">
        <f t="shared" ref="K8:K19" si="4">G8/E8*100</f>
        <v>50.087972411851645</v>
      </c>
      <c r="L8" s="6" t="s">
        <v>17</v>
      </c>
      <c r="M8" s="1"/>
      <c r="N8" s="1"/>
      <c r="O8" s="1"/>
      <c r="P8" s="1"/>
      <c r="Q8" s="1"/>
      <c r="R8" s="1"/>
      <c r="S8" s="1"/>
      <c r="T8" s="8"/>
      <c r="U8" s="8"/>
      <c r="V8" s="8"/>
      <c r="W8" s="8"/>
      <c r="X8" s="8"/>
      <c r="Y8" s="1"/>
      <c r="Z8" s="1"/>
      <c r="AA8" s="1"/>
      <c r="AB8" s="1"/>
      <c r="AC8" s="1"/>
      <c r="AD8" s="1"/>
      <c r="AE8" s="1"/>
      <c r="AF8" s="1"/>
    </row>
    <row r="9" spans="1:32" ht="21" customHeight="1" x14ac:dyDescent="0.55000000000000004">
      <c r="A9" s="12" t="s">
        <v>18</v>
      </c>
      <c r="B9" s="13">
        <f t="shared" si="2"/>
        <v>2161</v>
      </c>
      <c r="C9" s="13">
        <v>1089</v>
      </c>
      <c r="D9" s="35">
        <v>1072</v>
      </c>
      <c r="E9" s="13">
        <f t="shared" si="3"/>
        <v>2235</v>
      </c>
      <c r="F9" s="14">
        <v>1128</v>
      </c>
      <c r="G9" s="15">
        <v>1107</v>
      </c>
      <c r="H9" s="24">
        <f>B9/$B$7*100</f>
        <v>2.4274352983465133</v>
      </c>
      <c r="I9" s="38">
        <f>E9/$E$7*100</f>
        <v>2.3409269442262373</v>
      </c>
      <c r="J9" s="24">
        <f>D9/B9*100</f>
        <v>49.60666358167515</v>
      </c>
      <c r="K9" s="16">
        <f t="shared" si="4"/>
        <v>49.530201342281877</v>
      </c>
      <c r="L9" s="6" t="s">
        <v>19</v>
      </c>
      <c r="M9" s="1"/>
      <c r="N9" s="1"/>
      <c r="O9" s="3"/>
      <c r="P9" s="3"/>
      <c r="Q9" s="3"/>
      <c r="R9" s="1"/>
      <c r="S9" s="1"/>
      <c r="T9" s="8"/>
      <c r="U9" s="8"/>
      <c r="V9" s="8"/>
      <c r="W9" s="8"/>
      <c r="X9" s="8"/>
      <c r="Y9" s="1"/>
      <c r="Z9" s="1"/>
      <c r="AA9" s="1"/>
      <c r="AB9" s="1"/>
      <c r="AC9" s="1"/>
      <c r="AD9" s="1"/>
      <c r="AE9" s="1"/>
      <c r="AF9" s="1"/>
    </row>
    <row r="10" spans="1:32" ht="21" customHeight="1" x14ac:dyDescent="0.55000000000000004">
      <c r="A10" s="12" t="s">
        <v>20</v>
      </c>
      <c r="B10" s="13">
        <f t="shared" si="2"/>
        <v>1741</v>
      </c>
      <c r="C10" s="13">
        <v>1040</v>
      </c>
      <c r="D10" s="35">
        <v>701</v>
      </c>
      <c r="E10" s="13">
        <f t="shared" si="3"/>
        <v>1828</v>
      </c>
      <c r="F10" s="14">
        <v>1089</v>
      </c>
      <c r="G10" s="15">
        <v>739</v>
      </c>
      <c r="H10" s="24">
        <f>B10/$B$7*100</f>
        <v>1.9556524083393243</v>
      </c>
      <c r="I10" s="38">
        <f t="shared" ref="I10:I19" si="5">E10/$E$7*100</f>
        <v>1.914637339617701</v>
      </c>
      <c r="J10" s="24">
        <f>D10/B10*100</f>
        <v>40.264215967834573</v>
      </c>
      <c r="K10" s="16">
        <f t="shared" si="4"/>
        <v>40.426695842450769</v>
      </c>
      <c r="L10" s="6" t="s">
        <v>21</v>
      </c>
      <c r="M10" s="1"/>
      <c r="N10" s="1"/>
      <c r="O10" s="1"/>
      <c r="P10" s="1"/>
      <c r="Q10" s="1"/>
      <c r="R10" s="1"/>
      <c r="S10" s="1"/>
      <c r="T10" s="8"/>
      <c r="U10" s="8"/>
      <c r="V10" s="8"/>
      <c r="W10" s="8"/>
      <c r="X10" s="8"/>
      <c r="Y10" s="1"/>
      <c r="Z10" s="1"/>
      <c r="AA10" s="1"/>
      <c r="AB10" s="1"/>
      <c r="AC10" s="1"/>
      <c r="AD10" s="1"/>
      <c r="AE10" s="1"/>
      <c r="AF10" s="1"/>
    </row>
    <row r="11" spans="1:32" ht="21" customHeight="1" x14ac:dyDescent="0.55000000000000004">
      <c r="A11" s="12" t="s">
        <v>22</v>
      </c>
      <c r="B11" s="13">
        <f t="shared" si="2"/>
        <v>261</v>
      </c>
      <c r="C11" s="13">
        <v>103</v>
      </c>
      <c r="D11" s="35">
        <v>158</v>
      </c>
      <c r="E11" s="13">
        <f t="shared" si="3"/>
        <v>218</v>
      </c>
      <c r="F11" s="14">
        <v>94</v>
      </c>
      <c r="G11" s="15">
        <v>124</v>
      </c>
      <c r="H11" s="24">
        <f>B11/$B$7*100</f>
        <v>0.29317936736161038</v>
      </c>
      <c r="I11" s="38">
        <f t="shared" si="5"/>
        <v>0.22833202409007597</v>
      </c>
      <c r="J11" s="24">
        <f>D11/B11*100</f>
        <v>60.536398467432953</v>
      </c>
      <c r="K11" s="16">
        <f t="shared" si="4"/>
        <v>56.88073394495413</v>
      </c>
      <c r="L11" s="6" t="s">
        <v>23</v>
      </c>
      <c r="M11" s="1"/>
      <c r="N11" s="1"/>
      <c r="O11" s="3"/>
      <c r="P11" s="3"/>
      <c r="Q11" s="3"/>
      <c r="R11" s="1"/>
      <c r="S11" s="1"/>
      <c r="T11" s="8"/>
      <c r="U11" s="8"/>
      <c r="V11" s="8"/>
      <c r="W11" s="8"/>
      <c r="X11" s="8"/>
      <c r="Y11" s="1"/>
      <c r="Z11" s="1"/>
      <c r="AA11" s="1"/>
      <c r="AB11" s="1"/>
      <c r="AC11" s="1"/>
      <c r="AD11" s="1"/>
      <c r="AE11" s="1"/>
      <c r="AF11" s="1"/>
    </row>
    <row r="12" spans="1:32" ht="21" customHeight="1" x14ac:dyDescent="0.55000000000000004">
      <c r="A12" s="12" t="s">
        <v>24</v>
      </c>
      <c r="B12" s="13">
        <f t="shared" si="2"/>
        <v>492</v>
      </c>
      <c r="C12" s="13">
        <v>315</v>
      </c>
      <c r="D12" s="35">
        <v>177</v>
      </c>
      <c r="E12" s="13">
        <f t="shared" si="3"/>
        <v>483</v>
      </c>
      <c r="F12" s="14">
        <v>310</v>
      </c>
      <c r="G12" s="15">
        <v>173</v>
      </c>
      <c r="H12" s="24">
        <f>B12/$B$7*100</f>
        <v>0.55265995686556435</v>
      </c>
      <c r="I12" s="38">
        <f t="shared" si="5"/>
        <v>0.50589159465828748</v>
      </c>
      <c r="J12" s="24">
        <f>D12/B12*100</f>
        <v>35.975609756097562</v>
      </c>
      <c r="K12" s="16">
        <f t="shared" si="4"/>
        <v>35.817805383022773</v>
      </c>
      <c r="L12" s="6" t="s">
        <v>25</v>
      </c>
      <c r="M12" s="1"/>
      <c r="N12" s="1"/>
      <c r="O12" s="1"/>
      <c r="P12" s="1"/>
      <c r="Q12" s="1"/>
      <c r="R12" s="1"/>
      <c r="S12" s="1"/>
      <c r="T12" s="8"/>
      <c r="U12" s="8"/>
      <c r="V12" s="8"/>
      <c r="W12" s="8"/>
      <c r="X12" s="8"/>
      <c r="Y12" s="1"/>
      <c r="Z12" s="1"/>
      <c r="AA12" s="1"/>
      <c r="AB12" s="1"/>
      <c r="AC12" s="1"/>
      <c r="AD12" s="1"/>
      <c r="AE12" s="1"/>
      <c r="AF12" s="1"/>
    </row>
    <row r="13" spans="1:32" ht="21" customHeight="1" x14ac:dyDescent="0.55000000000000004">
      <c r="A13" s="12" t="s">
        <v>26</v>
      </c>
      <c r="B13" s="13">
        <f t="shared" si="2"/>
        <v>1895</v>
      </c>
      <c r="C13" s="13">
        <v>1306</v>
      </c>
      <c r="D13" s="35">
        <v>589</v>
      </c>
      <c r="E13" s="13">
        <f t="shared" si="3"/>
        <v>2103</v>
      </c>
      <c r="F13" s="14">
        <v>1451</v>
      </c>
      <c r="G13" s="15">
        <v>652</v>
      </c>
      <c r="H13" s="24">
        <f>B13/$B$7*100</f>
        <v>2.1286394680086267</v>
      </c>
      <c r="I13" s="38">
        <f t="shared" si="5"/>
        <v>2.2026708562450903</v>
      </c>
      <c r="J13" s="24">
        <f>D13/B13*100</f>
        <v>31.081794195250662</v>
      </c>
      <c r="K13" s="16">
        <f t="shared" si="4"/>
        <v>31.003328578221591</v>
      </c>
      <c r="L13" s="6" t="s">
        <v>27</v>
      </c>
      <c r="M13" s="1"/>
      <c r="N13" s="1"/>
      <c r="O13" s="3"/>
      <c r="P13" s="3"/>
      <c r="Q13" s="3"/>
      <c r="R13" s="1"/>
      <c r="S13" s="1"/>
      <c r="T13" s="8"/>
      <c r="U13" s="8"/>
      <c r="V13" s="8"/>
      <c r="W13" s="8"/>
      <c r="X13" s="8"/>
      <c r="Y13" s="1"/>
      <c r="Z13" s="1"/>
      <c r="AA13" s="1"/>
      <c r="AB13" s="1"/>
      <c r="AC13" s="1"/>
      <c r="AD13" s="1"/>
      <c r="AE13" s="1"/>
      <c r="AF13" s="1"/>
    </row>
    <row r="14" spans="1:32" ht="21" customHeight="1" x14ac:dyDescent="0.55000000000000004">
      <c r="A14" s="12" t="s">
        <v>28</v>
      </c>
      <c r="B14" s="13">
        <f t="shared" si="2"/>
        <v>5047</v>
      </c>
      <c r="C14" s="13">
        <v>1648</v>
      </c>
      <c r="D14" s="35">
        <v>3399</v>
      </c>
      <c r="E14" s="13">
        <f t="shared" si="3"/>
        <v>6337</v>
      </c>
      <c r="F14" s="14">
        <v>1956</v>
      </c>
      <c r="G14" s="15">
        <v>4381</v>
      </c>
      <c r="H14" s="24">
        <f>B14/$B$7*100</f>
        <v>5.6692577282530552</v>
      </c>
      <c r="I14" s="38">
        <f t="shared" si="5"/>
        <v>6.6373396177009685</v>
      </c>
      <c r="J14" s="24">
        <f>D14/B14*100</f>
        <v>67.346938775510196</v>
      </c>
      <c r="K14" s="16">
        <f t="shared" si="4"/>
        <v>69.133659460312444</v>
      </c>
      <c r="L14" s="6" t="s">
        <v>29</v>
      </c>
      <c r="M14" s="1"/>
      <c r="N14" s="1"/>
      <c r="O14" s="1"/>
      <c r="P14" s="1"/>
      <c r="Q14" s="1"/>
      <c r="R14" s="1"/>
      <c r="S14" s="1"/>
      <c r="T14" s="8"/>
      <c r="U14" s="8"/>
      <c r="V14" s="8"/>
      <c r="W14" s="8"/>
      <c r="X14" s="8"/>
      <c r="Y14" s="1"/>
      <c r="Z14" s="1"/>
      <c r="AA14" s="1"/>
      <c r="AB14" s="1"/>
      <c r="AC14" s="1"/>
      <c r="AD14" s="1"/>
      <c r="AE14" s="1"/>
      <c r="AF14" s="1"/>
    </row>
    <row r="15" spans="1:32" ht="21" customHeight="1" x14ac:dyDescent="0.55000000000000004">
      <c r="A15" s="12" t="s">
        <v>30</v>
      </c>
      <c r="B15" s="13">
        <f t="shared" si="2"/>
        <v>6657</v>
      </c>
      <c r="C15" s="13">
        <v>1697</v>
      </c>
      <c r="D15" s="35">
        <v>4960</v>
      </c>
      <c r="E15" s="13">
        <f t="shared" si="3"/>
        <v>7297</v>
      </c>
      <c r="F15" s="14">
        <v>1778</v>
      </c>
      <c r="G15" s="15">
        <v>5519</v>
      </c>
      <c r="H15" s="24">
        <f>B15/$B$7*100</f>
        <v>7.4777588066139478</v>
      </c>
      <c r="I15" s="38">
        <f t="shared" si="5"/>
        <v>7.6428384393820368</v>
      </c>
      <c r="J15" s="24">
        <f>D15/B15*100</f>
        <v>74.508036653147059</v>
      </c>
      <c r="K15" s="16">
        <f t="shared" si="4"/>
        <v>75.633822118678907</v>
      </c>
      <c r="L15" s="6" t="s">
        <v>31</v>
      </c>
      <c r="M15" s="1"/>
      <c r="N15" s="1"/>
      <c r="O15" s="3"/>
      <c r="P15" s="3"/>
      <c r="Q15" s="3"/>
      <c r="R15" s="1"/>
      <c r="S15" s="1"/>
      <c r="T15" s="8"/>
      <c r="U15" s="8"/>
      <c r="V15" s="8"/>
      <c r="W15" s="8"/>
      <c r="X15" s="8"/>
      <c r="Y15" s="1"/>
      <c r="Z15" s="1"/>
      <c r="AA15" s="1"/>
      <c r="AB15" s="1"/>
      <c r="AC15" s="1"/>
      <c r="AD15" s="1"/>
      <c r="AE15" s="1"/>
      <c r="AF15" s="1"/>
    </row>
    <row r="16" spans="1:32" ht="21" customHeight="1" x14ac:dyDescent="0.55000000000000004">
      <c r="A16" s="12" t="s">
        <v>32</v>
      </c>
      <c r="B16" s="13">
        <f t="shared" si="2"/>
        <v>7491</v>
      </c>
      <c r="C16" s="13">
        <v>6762</v>
      </c>
      <c r="D16" s="35">
        <v>729</v>
      </c>
      <c r="E16" s="13">
        <f t="shared" si="3"/>
        <v>7663</v>
      </c>
      <c r="F16" s="14">
        <v>6869</v>
      </c>
      <c r="G16" s="15">
        <v>794</v>
      </c>
      <c r="H16" s="24">
        <f>B16/$B$7*100</f>
        <v>8.4145848310567946</v>
      </c>
      <c r="I16" s="38">
        <f t="shared" si="5"/>
        <v>8.026184865147945</v>
      </c>
      <c r="J16" s="24">
        <f>D16/B16*100</f>
        <v>9.7316780136163388</v>
      </c>
      <c r="K16" s="16">
        <f t="shared" si="4"/>
        <v>10.361477228239593</v>
      </c>
      <c r="L16" s="6" t="s">
        <v>33</v>
      </c>
      <c r="M16" s="1"/>
      <c r="N16" s="1"/>
      <c r="O16" s="1"/>
      <c r="P16" s="1"/>
      <c r="Q16" s="1"/>
      <c r="R16" s="1"/>
      <c r="S16" s="1"/>
      <c r="T16" s="8"/>
      <c r="U16" s="8"/>
      <c r="V16" s="8"/>
      <c r="W16" s="8"/>
      <c r="X16" s="8"/>
      <c r="Y16" s="1"/>
      <c r="Z16" s="1"/>
      <c r="AA16" s="1"/>
      <c r="AB16" s="1"/>
      <c r="AC16" s="1"/>
      <c r="AD16" s="1"/>
      <c r="AE16" s="1"/>
      <c r="AF16" s="1"/>
    </row>
    <row r="17" spans="1:32" ht="21" customHeight="1" x14ac:dyDescent="0.55000000000000004">
      <c r="A17" s="12" t="s">
        <v>34</v>
      </c>
      <c r="B17" s="13">
        <f t="shared" si="2"/>
        <v>11652</v>
      </c>
      <c r="C17" s="13">
        <v>8711</v>
      </c>
      <c r="D17" s="35">
        <v>2941</v>
      </c>
      <c r="E17" s="13">
        <f t="shared" si="3"/>
        <v>12224</v>
      </c>
      <c r="F17" s="14">
        <v>9065</v>
      </c>
      <c r="G17" s="15">
        <v>3159</v>
      </c>
      <c r="H17" s="24">
        <f>B17/$B$7*100</f>
        <v>13.088605319913732</v>
      </c>
      <c r="I17" s="38">
        <f t="shared" si="5"/>
        <v>12.803351662738937</v>
      </c>
      <c r="J17" s="24">
        <f>D17/B17*100</f>
        <v>25.240302094061107</v>
      </c>
      <c r="K17" s="16">
        <f t="shared" si="4"/>
        <v>25.842604712041883</v>
      </c>
      <c r="L17" s="6" t="s">
        <v>35</v>
      </c>
      <c r="M17" s="1"/>
      <c r="N17" s="1"/>
      <c r="O17" s="3"/>
      <c r="P17" s="3"/>
      <c r="Q17" s="3"/>
      <c r="R17" s="1"/>
      <c r="S17" s="1"/>
      <c r="T17" s="8"/>
      <c r="U17" s="8"/>
      <c r="V17" s="8"/>
      <c r="W17" s="8"/>
      <c r="X17" s="8"/>
      <c r="Y17" s="1"/>
      <c r="Z17" s="1"/>
      <c r="AA17" s="1"/>
      <c r="AB17" s="1"/>
      <c r="AC17" s="1"/>
      <c r="AD17" s="1"/>
      <c r="AE17" s="1"/>
      <c r="AF17" s="1"/>
    </row>
    <row r="18" spans="1:32" ht="21" customHeight="1" x14ac:dyDescent="0.55000000000000004">
      <c r="A18" s="12" t="s">
        <v>36</v>
      </c>
      <c r="B18" s="13">
        <f t="shared" si="2"/>
        <v>38447</v>
      </c>
      <c r="C18" s="13">
        <v>31207</v>
      </c>
      <c r="D18" s="35">
        <v>7240</v>
      </c>
      <c r="E18" s="13">
        <f t="shared" si="3"/>
        <v>40611</v>
      </c>
      <c r="F18" s="14">
        <v>32650</v>
      </c>
      <c r="G18" s="15">
        <v>7961</v>
      </c>
      <c r="H18" s="24">
        <f>B18/$B$7*100</f>
        <v>43.187230409777136</v>
      </c>
      <c r="I18" s="38">
        <f t="shared" si="5"/>
        <v>42.535742340926944</v>
      </c>
      <c r="J18" s="24">
        <f>D18/B18*100</f>
        <v>18.83111816266549</v>
      </c>
      <c r="K18" s="16">
        <f t="shared" si="4"/>
        <v>19.603063209475266</v>
      </c>
      <c r="L18" s="6" t="s">
        <v>37</v>
      </c>
      <c r="M18" s="1"/>
      <c r="N18" s="1"/>
      <c r="O18" s="1"/>
      <c r="P18" s="1"/>
      <c r="Q18" s="1"/>
      <c r="R18" s="1"/>
      <c r="S18" s="1"/>
      <c r="T18" s="8"/>
      <c r="U18" s="8"/>
      <c r="V18" s="8"/>
      <c r="W18" s="8"/>
      <c r="X18" s="8"/>
      <c r="Y18" s="1"/>
      <c r="Z18" s="1"/>
      <c r="AA18" s="1"/>
      <c r="AB18" s="1"/>
      <c r="AC18" s="1"/>
      <c r="AD18" s="1"/>
      <c r="AE18" s="1"/>
      <c r="AF18" s="1"/>
    </row>
    <row r="19" spans="1:32" ht="21" customHeight="1" x14ac:dyDescent="0.55000000000000004">
      <c r="A19" s="18" t="s">
        <v>11</v>
      </c>
      <c r="B19" s="19">
        <f t="shared" si="2"/>
        <v>186</v>
      </c>
      <c r="C19" s="19">
        <v>88</v>
      </c>
      <c r="D19" s="27">
        <v>98</v>
      </c>
      <c r="E19" s="19">
        <f t="shared" si="3"/>
        <v>267</v>
      </c>
      <c r="F19" s="20">
        <v>96</v>
      </c>
      <c r="G19" s="21">
        <v>171</v>
      </c>
      <c r="H19" s="25">
        <f>B19/$B$7*100</f>
        <v>0.20893242271746945</v>
      </c>
      <c r="I19" s="36">
        <f t="shared" si="5"/>
        <v>0.27965435978004716</v>
      </c>
      <c r="J19" s="25">
        <f>D19/B19*100</f>
        <v>52.688172043010752</v>
      </c>
      <c r="K19" s="39">
        <f t="shared" si="4"/>
        <v>64.044943820224717</v>
      </c>
      <c r="L19" s="7" t="s">
        <v>12</v>
      </c>
      <c r="M19" s="1"/>
      <c r="N19" s="1"/>
      <c r="O19" s="1"/>
      <c r="P19" s="1"/>
      <c r="Q19" s="1"/>
      <c r="R19" s="1"/>
      <c r="S19" s="1"/>
      <c r="T19" s="8"/>
      <c r="U19" s="8"/>
      <c r="V19" s="8"/>
      <c r="W19" s="8"/>
      <c r="X19" s="8"/>
      <c r="Y19" s="1"/>
      <c r="Z19" s="1"/>
      <c r="AA19" s="1"/>
      <c r="AB19" s="1"/>
      <c r="AC19" s="1"/>
      <c r="AD19" s="1"/>
      <c r="AE19" s="1"/>
      <c r="AF19" s="1"/>
    </row>
    <row r="20" spans="1:32" ht="18.75" customHeight="1" x14ac:dyDescent="0.5">
      <c r="A20" s="22" t="s">
        <v>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37" t="s">
        <v>10</v>
      </c>
      <c r="M20" s="1"/>
      <c r="N20" s="1"/>
      <c r="O20" s="1"/>
      <c r="P20" s="1"/>
      <c r="Q20" s="1"/>
      <c r="R20" s="1"/>
      <c r="S20" s="1"/>
      <c r="T20" s="8"/>
      <c r="U20" s="8"/>
      <c r="V20" s="8"/>
      <c r="W20" s="8"/>
      <c r="X20" s="8"/>
      <c r="Y20" s="1"/>
      <c r="Z20" s="1"/>
      <c r="AA20" s="1"/>
      <c r="AB20" s="1"/>
      <c r="AC20" s="1"/>
      <c r="AD20" s="1"/>
      <c r="AE20" s="1"/>
      <c r="AF20" s="1"/>
    </row>
    <row r="21" spans="1:32" ht="18" customHeight="1" x14ac:dyDescent="0.25">
      <c r="A21" s="1"/>
      <c r="B21" s="17"/>
      <c r="C21" s="1"/>
      <c r="D21" s="1"/>
      <c r="E21" s="1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8"/>
      <c r="U21" s="8"/>
      <c r="V21" s="8"/>
      <c r="W21" s="8"/>
      <c r="X21" s="8"/>
      <c r="Y21" s="1"/>
      <c r="Z21" s="1"/>
      <c r="AA21" s="1"/>
      <c r="AB21" s="1"/>
      <c r="AC21" s="1"/>
      <c r="AD21" s="1"/>
      <c r="AE21" s="1"/>
      <c r="AF21" s="1"/>
    </row>
    <row r="22" spans="1:32" ht="15.75" customHeight="1" x14ac:dyDescent="0.25">
      <c r="A22" s="1"/>
      <c r="B22" s="17"/>
      <c r="C22" s="1"/>
      <c r="D22" s="1"/>
      <c r="E22" s="1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8"/>
      <c r="U22" s="8"/>
      <c r="V22" s="8"/>
      <c r="W22" s="8"/>
      <c r="X22" s="8"/>
      <c r="Y22" s="1"/>
      <c r="Z22" s="1"/>
      <c r="AA22" s="1"/>
      <c r="AB22" s="1"/>
      <c r="AC22" s="1"/>
      <c r="AD22" s="1"/>
      <c r="AE22" s="1"/>
      <c r="AF22" s="1"/>
    </row>
    <row r="23" spans="1:32" ht="15.75" customHeight="1" x14ac:dyDescent="0.25">
      <c r="A23" s="1"/>
      <c r="B23" s="17"/>
      <c r="C23" s="1"/>
      <c r="D23" s="1"/>
      <c r="E23" s="1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8"/>
      <c r="U23" s="8"/>
      <c r="V23" s="8"/>
      <c r="W23" s="8"/>
      <c r="X23" s="8"/>
      <c r="Y23" s="1"/>
      <c r="Z23" s="1"/>
      <c r="AA23" s="1"/>
      <c r="AB23" s="1"/>
      <c r="AC23" s="1"/>
      <c r="AD23" s="1"/>
      <c r="AE23" s="1"/>
      <c r="AF23" s="1"/>
    </row>
    <row r="24" spans="1:32" ht="15.75" customHeight="1" x14ac:dyDescent="0.25">
      <c r="A24" s="1"/>
      <c r="B24" s="17"/>
      <c r="C24" s="1"/>
      <c r="D24" s="1"/>
      <c r="E24" s="1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8"/>
      <c r="U24" s="8"/>
      <c r="V24" s="8"/>
      <c r="W24" s="8"/>
      <c r="X24" s="8"/>
      <c r="Y24" s="1"/>
      <c r="Z24" s="1"/>
      <c r="AA24" s="1"/>
      <c r="AB24" s="1"/>
      <c r="AC24" s="1"/>
      <c r="AD24" s="1"/>
      <c r="AE24" s="12" t="s">
        <v>22</v>
      </c>
      <c r="AF24" s="43">
        <v>218</v>
      </c>
    </row>
    <row r="25" spans="1:32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8"/>
      <c r="U25" s="8"/>
      <c r="V25" s="8"/>
      <c r="W25" s="8"/>
      <c r="X25" s="8"/>
      <c r="Y25" s="1"/>
      <c r="Z25" s="1"/>
      <c r="AA25" s="1"/>
      <c r="AB25" s="1"/>
      <c r="AC25" s="1"/>
      <c r="AD25" s="1"/>
      <c r="AE25" s="12" t="s">
        <v>11</v>
      </c>
      <c r="AF25" s="43">
        <v>267</v>
      </c>
    </row>
    <row r="26" spans="1:32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8"/>
      <c r="U26" s="8"/>
      <c r="V26" s="8"/>
      <c r="W26" s="8"/>
      <c r="X26" s="8"/>
      <c r="Y26" s="1"/>
      <c r="Z26" s="1"/>
      <c r="AA26" s="1"/>
      <c r="AB26" s="1"/>
      <c r="AC26" s="1"/>
      <c r="AD26" s="1"/>
      <c r="AE26" s="12" t="s">
        <v>24</v>
      </c>
      <c r="AF26" s="43">
        <v>483</v>
      </c>
    </row>
    <row r="27" spans="1:32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8"/>
      <c r="U27" s="8"/>
      <c r="V27" s="8"/>
      <c r="W27" s="8"/>
      <c r="X27" s="8"/>
      <c r="Y27" s="1"/>
      <c r="Z27" s="1"/>
      <c r="AA27" s="1"/>
      <c r="AB27" s="1"/>
      <c r="AC27" s="1"/>
      <c r="AD27" s="1"/>
      <c r="AE27" s="12" t="s">
        <v>20</v>
      </c>
      <c r="AF27" s="43">
        <v>1828</v>
      </c>
    </row>
    <row r="28" spans="1:32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8"/>
      <c r="U28" s="8"/>
      <c r="V28" s="8"/>
      <c r="W28" s="8"/>
      <c r="X28" s="8"/>
      <c r="Y28" s="1"/>
      <c r="Z28" s="1"/>
      <c r="AA28" s="1"/>
      <c r="AB28" s="1"/>
      <c r="AC28" s="1"/>
      <c r="AD28" s="1"/>
      <c r="AE28" s="12" t="s">
        <v>26</v>
      </c>
      <c r="AF28" s="43">
        <v>2103</v>
      </c>
    </row>
    <row r="29" spans="1:32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8"/>
      <c r="U29" s="8"/>
      <c r="V29" s="8"/>
      <c r="W29" s="8"/>
      <c r="X29" s="8"/>
      <c r="Y29" s="1"/>
      <c r="Z29" s="1"/>
      <c r="AA29" s="1"/>
      <c r="AB29" s="1"/>
      <c r="AC29" s="1"/>
      <c r="AD29" s="1"/>
      <c r="AE29" s="12" t="s">
        <v>18</v>
      </c>
      <c r="AF29" s="43">
        <v>2235</v>
      </c>
    </row>
    <row r="30" spans="1:32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8"/>
      <c r="U30" s="8"/>
      <c r="V30" s="8"/>
      <c r="W30" s="8"/>
      <c r="X30" s="8"/>
      <c r="Y30" s="1"/>
      <c r="Z30" s="1"/>
      <c r="AA30" s="1"/>
      <c r="AB30" s="1"/>
      <c r="AC30" s="1"/>
      <c r="AD30" s="1"/>
      <c r="AE30" s="12" t="s">
        <v>28</v>
      </c>
      <c r="AF30" s="43">
        <v>6337</v>
      </c>
    </row>
    <row r="31" spans="1:32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8"/>
      <c r="U31" s="8"/>
      <c r="V31" s="8"/>
      <c r="W31" s="8"/>
      <c r="X31" s="8"/>
      <c r="Y31" s="1"/>
      <c r="Z31" s="1"/>
      <c r="AA31" s="1"/>
      <c r="AB31" s="1"/>
      <c r="AC31" s="1"/>
      <c r="AD31" s="1"/>
      <c r="AE31" s="12" t="s">
        <v>30</v>
      </c>
      <c r="AF31" s="43">
        <v>7297</v>
      </c>
    </row>
    <row r="32" spans="1:32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8"/>
      <c r="U32" s="8"/>
      <c r="V32" s="8"/>
      <c r="W32" s="8"/>
      <c r="X32" s="8"/>
      <c r="Y32" s="1"/>
      <c r="Z32" s="1"/>
      <c r="AA32" s="1"/>
      <c r="AB32" s="1"/>
      <c r="AC32" s="1"/>
      <c r="AD32" s="1"/>
      <c r="AE32" s="12" t="s">
        <v>32</v>
      </c>
      <c r="AF32" s="43">
        <v>7663</v>
      </c>
    </row>
    <row r="33" spans="1:32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28"/>
      <c r="P33" s="1"/>
      <c r="Q33" s="1"/>
      <c r="R33" s="1"/>
      <c r="S33" s="1"/>
      <c r="T33" s="8"/>
      <c r="U33" s="8"/>
      <c r="V33" s="8"/>
      <c r="W33" s="8"/>
      <c r="X33" s="8"/>
      <c r="Y33" s="1"/>
      <c r="Z33" s="1"/>
      <c r="AA33" s="1"/>
      <c r="AB33" s="1"/>
      <c r="AC33" s="1"/>
      <c r="AD33" s="1"/>
      <c r="AE33" s="12" t="s">
        <v>34</v>
      </c>
      <c r="AF33" s="43">
        <v>12224</v>
      </c>
    </row>
    <row r="34" spans="1:32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8"/>
      <c r="U34" s="8"/>
      <c r="V34" s="8"/>
      <c r="W34" s="8"/>
      <c r="X34" s="8"/>
      <c r="Y34" s="1"/>
      <c r="Z34" s="1"/>
      <c r="AA34" s="1"/>
      <c r="AB34" s="1"/>
      <c r="AC34" s="1"/>
      <c r="AD34" s="1"/>
      <c r="AE34" s="12" t="s">
        <v>16</v>
      </c>
      <c r="AF34" s="43">
        <v>14209</v>
      </c>
    </row>
    <row r="35" spans="1:32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8"/>
      <c r="U35" s="8"/>
      <c r="V35" s="8"/>
      <c r="W35" s="8"/>
      <c r="X35" s="8"/>
      <c r="Y35" s="1"/>
      <c r="Z35" s="1"/>
      <c r="AA35" s="1"/>
      <c r="AB35" s="1"/>
      <c r="AC35" s="1"/>
      <c r="AD35" s="1"/>
      <c r="AE35" s="18" t="s">
        <v>36</v>
      </c>
      <c r="AF35" s="43">
        <v>40611</v>
      </c>
    </row>
    <row r="36" spans="1:32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8"/>
      <c r="U36" s="8"/>
      <c r="V36" s="8"/>
      <c r="W36" s="8"/>
      <c r="X36" s="8"/>
      <c r="Y36" s="1"/>
      <c r="Z36" s="1"/>
      <c r="AA36" s="1"/>
      <c r="AB36" s="1"/>
      <c r="AC36" s="1"/>
      <c r="AD36" s="1"/>
      <c r="AE36" s="1"/>
      <c r="AF36" s="1"/>
    </row>
    <row r="37" spans="1:32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8"/>
      <c r="U37" s="8"/>
      <c r="V37" s="8"/>
      <c r="W37" s="8"/>
      <c r="X37" s="8"/>
      <c r="Y37" s="1"/>
      <c r="Z37" s="1"/>
      <c r="AA37" s="1"/>
      <c r="AB37" s="1"/>
      <c r="AC37" s="1"/>
      <c r="AD37" s="1"/>
      <c r="AE37" s="1"/>
      <c r="AF37" s="1"/>
    </row>
    <row r="38" spans="1:32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8"/>
      <c r="U38" s="8"/>
      <c r="V38" s="8"/>
      <c r="W38" s="8"/>
      <c r="X38" s="8"/>
      <c r="Y38" s="1"/>
      <c r="Z38" s="1"/>
      <c r="AA38" s="1"/>
      <c r="AB38" s="1"/>
      <c r="AC38" s="1"/>
      <c r="AD38" s="1"/>
      <c r="AE38" s="1"/>
      <c r="AF38" s="1"/>
    </row>
  </sheetData>
  <sortState ref="AE24:AF35">
    <sortCondition ref="AF24:AF35"/>
  </sortState>
  <mergeCells count="10">
    <mergeCell ref="L4:L6"/>
    <mergeCell ref="A1:L1"/>
    <mergeCell ref="A2:L2"/>
    <mergeCell ref="A4:A6"/>
    <mergeCell ref="B4:D4"/>
    <mergeCell ref="E4:G4"/>
    <mergeCell ref="H4:I4"/>
    <mergeCell ref="H5:I5"/>
    <mergeCell ref="J4:K4"/>
    <mergeCell ref="J5:K5"/>
  </mergeCells>
  <pageMargins left="0.7" right="0.7" top="0.75" bottom="0.75" header="0" footer="0"/>
  <pageSetup paperSize="9" scale="75" orientation="landscape" horizontalDpi="4294967295" verticalDpi="4294967295" r:id="rId1"/>
  <ignoredErrors>
    <ignoredError sqref="B10:D19 E10:G19 H10:K19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18.15</vt:lpstr>
      <vt:lpstr>'18.15'!Print_Area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2019-05-12T04:45:03Z</cp:lastPrinted>
  <dcterms:created xsi:type="dcterms:W3CDTF">2019-02-21T04:10:17Z</dcterms:created>
  <dcterms:modified xsi:type="dcterms:W3CDTF">2019-05-12T04:46:15Z</dcterms:modified>
</cp:coreProperties>
</file>