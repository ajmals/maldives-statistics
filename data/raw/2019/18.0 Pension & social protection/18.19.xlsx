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9" sheetId="20" r:id="rId1"/>
  </sheets>
  <definedNames>
    <definedName name="_xlnm.Print_Area" localSheetId="0">'18.19'!$A$1:$J$41</definedName>
  </definedNames>
  <calcPr calcId="162913"/>
</workbook>
</file>

<file path=xl/calcChain.xml><?xml version="1.0" encoding="utf-8"?>
<calcChain xmlns="http://schemas.openxmlformats.org/spreadsheetml/2006/main">
  <c r="B9" i="20" l="1"/>
  <c r="AO15" i="20" s="1"/>
  <c r="B8" i="20"/>
  <c r="AO14" i="20" s="1"/>
  <c r="B7" i="20"/>
  <c r="AO13" i="20" s="1"/>
  <c r="H6" i="20"/>
  <c r="G6" i="20"/>
  <c r="F6" i="20"/>
  <c r="E6" i="20"/>
  <c r="D6" i="20"/>
  <c r="C6" i="20"/>
  <c r="B6" i="20" l="1"/>
  <c r="AO12" i="20" s="1"/>
</calcChain>
</file>

<file path=xl/sharedStrings.xml><?xml version="1.0" encoding="utf-8"?>
<sst xmlns="http://schemas.openxmlformats.org/spreadsheetml/2006/main" count="34" uniqueCount="30">
  <si>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</si>
  <si>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</si>
  <si>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</si>
  <si>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</si>
  <si>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</si>
  <si>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</si>
  <si>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</si>
  <si>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</si>
  <si>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Overseas</t>
  </si>
  <si>
    <t>ތާވަލް 18.19: އިޖްތިމާއީ ރައްކާތެރިކަމުގެ ދަށުން ދެވޭ ޙިދުމަތްތައް ފޯރުކޮށްދޭ ތަންތަނަށް ކުރެވިފައިވާ ޚަރަދު، 2018</t>
  </si>
  <si>
    <t>Table 18.19 :  EXPENDITURE ON AASANDHA SERVICES BY TYPE OF INSTITUTION ,  2018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</si>
  <si>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</si>
  <si>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</si>
  <si>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</si>
  <si>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</si>
  <si>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</si>
  <si>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</si>
  <si>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</si>
  <si>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</si>
  <si>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</si>
  <si>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</si>
  <si>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</si>
  <si>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</si>
  <si>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</si>
  <si>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</si>
  <si>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ރާއްޖެއިން ބޭރު</t>
  </si>
  <si>
    <t>Source: Aasandha Pvt Ltd</t>
  </si>
  <si>
    <t>މަޢުލޫމާތު ދެއްވީ: އާސަންދަ ޕްރައިވެޓް ލިމިޓެޑް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</si>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</sst>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_-* #,##0.00_-;\-* #,##0.00_-;_-* &quot;-&quot;??_-;_-@_-"/>
    <numFmt numFmtId="167" formatCode="_-* #,##0_-;\-* #,##0_-;_-* &quot;-&quot;??_-;_-@_-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0" fontId="4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</cellStyleXfs>
  <cellXfs count="62">
    <xf numFmtId="0" fontId="0" fillId="0" borderId="0" xfId="0" applyFont="1" applyAlignment="1"/>
    <xf numFmtId="0" fontId="0" fillId="2" borderId="0" xfId="0" applyFill="1"/>
    <xf numFmtId="165" fontId="16" fillId="2" borderId="1" xfId="2" applyNumberFormat="1" applyFont="1" applyFill="1" applyBorder="1" applyAlignment="1" applyProtection="1">
      <alignment horizontal="left" vertical="center"/>
    </xf>
    <xf numFmtId="165" fontId="17" fillId="2" borderId="1" xfId="4" applyNumberFormat="1" applyFont="1" applyFill="1" applyAlignment="1">
      <alignment horizontal="right" vertical="center"/>
    </xf>
    <xf numFmtId="0" fontId="0" fillId="2" borderId="1" xfId="0" applyFill="1" applyBorder="1"/>
    <xf numFmtId="165" fontId="17" fillId="2" borderId="1" xfId="4" applyNumberFormat="1" applyFont="1" applyFill="1" applyBorder="1" applyAlignment="1">
      <alignment horizontal="right" vertical="center"/>
    </xf>
    <xf numFmtId="165" fontId="9" fillId="2" borderId="1" xfId="2" applyNumberFormat="1" applyFont="1" applyFill="1" applyBorder="1" applyAlignment="1">
      <alignment horizontal="right" vertical="center" wrapText="1"/>
    </xf>
    <xf numFmtId="0" fontId="0" fillId="2" borderId="0" xfId="0" applyFont="1" applyFill="1" applyAlignment="1">
      <alignment vertical="center"/>
    </xf>
    <xf numFmtId="166" fontId="3" fillId="2" borderId="4" xfId="6" applyNumberFormat="1" applyFont="1" applyFill="1" applyBorder="1" applyAlignment="1">
      <alignment horizontal="right" vertical="center" wrapText="1"/>
    </xf>
    <xf numFmtId="165" fontId="14" fillId="2" borderId="4" xfId="2" applyNumberFormat="1" applyFont="1" applyFill="1" applyBorder="1" applyAlignment="1">
      <alignment horizontal="right" vertical="center" wrapText="1"/>
    </xf>
    <xf numFmtId="166" fontId="3" fillId="2" borderId="4" xfId="6" applyNumberFormat="1" applyFont="1" applyFill="1" applyBorder="1" applyAlignment="1">
      <alignment horizontal="right" vertical="center"/>
    </xf>
    <xf numFmtId="166" fontId="11" fillId="2" borderId="4" xfId="6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5" fontId="9" fillId="2" borderId="2" xfId="2" applyNumberFormat="1" applyFont="1" applyFill="1" applyBorder="1" applyAlignment="1">
      <alignment horizontal="right" vertical="center" wrapText="1"/>
    </xf>
    <xf numFmtId="165" fontId="23" fillId="2" borderId="2" xfId="2" applyNumberFormat="1" applyFont="1" applyFill="1" applyBorder="1" applyAlignment="1">
      <alignment horizontal="right" vertical="center" wrapText="1"/>
    </xf>
    <xf numFmtId="167" fontId="19" fillId="2" borderId="0" xfId="0" applyNumberFormat="1" applyFont="1" applyFill="1" applyAlignment="1">
      <alignment horizontal="left" vertical="center"/>
    </xf>
    <xf numFmtId="164" fontId="11" fillId="2" borderId="1" xfId="6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7" fontId="12" fillId="2" borderId="1" xfId="6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4" fontId="11" fillId="2" borderId="1" xfId="6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167" fontId="12" fillId="2" borderId="2" xfId="6" applyNumberFormat="1" applyFont="1" applyFill="1" applyBorder="1" applyAlignment="1">
      <alignment vertical="center"/>
    </xf>
    <xf numFmtId="164" fontId="11" fillId="2" borderId="2" xfId="6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15" fillId="2" borderId="0" xfId="0" applyNumberFormat="1" applyFont="1" applyFill="1"/>
    <xf numFmtId="3" fontId="20" fillId="2" borderId="1" xfId="1" applyNumberFormat="1" applyFont="1" applyFill="1" applyBorder="1" applyAlignment="1">
      <alignment vertical="center"/>
    </xf>
    <xf numFmtId="164" fontId="21" fillId="2" borderId="1" xfId="6" applyNumberFormat="1" applyFont="1" applyFill="1" applyBorder="1" applyAlignment="1">
      <alignment horizontal="center" vertical="center"/>
    </xf>
    <xf numFmtId="4" fontId="21" fillId="2" borderId="1" xfId="6" applyNumberFormat="1" applyFont="1" applyFill="1" applyBorder="1" applyAlignment="1">
      <alignment horizontal="center" vertical="center"/>
    </xf>
    <xf numFmtId="164" fontId="21" fillId="2" borderId="1" xfId="6" applyNumberFormat="1" applyFont="1" applyFill="1" applyBorder="1" applyAlignment="1">
      <alignment horizontal="right" vertical="center"/>
    </xf>
    <xf numFmtId="164" fontId="0" fillId="2" borderId="0" xfId="0" applyNumberFormat="1" applyFont="1" applyFill="1" applyAlignment="1">
      <alignment vertical="center"/>
    </xf>
    <xf numFmtId="166" fontId="3" fillId="2" borderId="1" xfId="6" applyNumberFormat="1" applyFont="1" applyFill="1" applyBorder="1" applyAlignment="1">
      <alignment horizontal="right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6" fontId="3" fillId="2" borderId="1" xfId="6" applyNumberFormat="1" applyFont="1" applyFill="1" applyBorder="1" applyAlignment="1">
      <alignment horizontal="right" vertical="center"/>
    </xf>
    <xf numFmtId="166" fontId="11" fillId="2" borderId="1" xfId="6" applyNumberFormat="1" applyFont="1" applyFill="1" applyBorder="1" applyAlignment="1">
      <alignment horizontal="right" vertical="center" wrapText="1"/>
    </xf>
    <xf numFmtId="165" fontId="23" fillId="2" borderId="1" xfId="2" applyNumberFormat="1" applyFont="1" applyFill="1" applyBorder="1" applyAlignment="1">
      <alignment horizontal="right" vertical="center" wrapText="1"/>
    </xf>
    <xf numFmtId="167" fontId="19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64" fontId="18" fillId="2" borderId="1" xfId="6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/>
    <xf numFmtId="3" fontId="5" fillId="2" borderId="1" xfId="1" applyNumberFormat="1" applyFont="1" applyFill="1" applyBorder="1" applyAlignment="1">
      <alignment vertical="center" readingOrder="2"/>
    </xf>
    <xf numFmtId="3" fontId="6" fillId="2" borderId="1" xfId="1" applyNumberFormat="1" applyFont="1" applyFill="1" applyBorder="1" applyAlignment="1" applyProtection="1">
      <alignment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64" fontId="18" fillId="2" borderId="1" xfId="6" applyNumberFormat="1" applyFont="1" applyFill="1" applyAlignment="1">
      <alignment horizontal="right" vertical="center"/>
    </xf>
    <xf numFmtId="164" fontId="18" fillId="2" borderId="2" xfId="6" applyNumberFormat="1" applyFont="1" applyFill="1" applyBorder="1" applyAlignment="1">
      <alignment horizontal="right" vertical="center"/>
    </xf>
    <xf numFmtId="164" fontId="13" fillId="2" borderId="1" xfId="6" applyNumberFormat="1" applyFont="1" applyFill="1" applyAlignment="1">
      <alignment horizontal="right" vertical="center"/>
    </xf>
    <xf numFmtId="164" fontId="13" fillId="2" borderId="2" xfId="6" applyNumberFormat="1" applyFont="1" applyFill="1" applyBorder="1" applyAlignment="1">
      <alignment horizontal="right" vertical="center"/>
    </xf>
    <xf numFmtId="3" fontId="6" fillId="2" borderId="1" xfId="1" applyNumberFormat="1" applyFont="1" applyFill="1" applyBorder="1" applyAlignment="1" applyProtection="1">
      <alignment horizontal="center" vertical="center"/>
    </xf>
    <xf numFmtId="3" fontId="5" fillId="2" borderId="1" xfId="1" applyNumberFormat="1" applyFont="1" applyFill="1" applyAlignment="1">
      <alignment horizontal="center" vertical="center" readingOrder="2"/>
    </xf>
    <xf numFmtId="165" fontId="14" fillId="2" borderId="3" xfId="2" applyNumberFormat="1" applyFont="1" applyFill="1" applyBorder="1" applyAlignment="1">
      <alignment horizontal="left" vertical="center" wrapText="1"/>
    </xf>
    <xf numFmtId="165" fontId="14" fillId="2" borderId="2" xfId="2" applyNumberFormat="1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right" vertical="center"/>
    </xf>
    <xf numFmtId="0" fontId="22" fillId="2" borderId="2" xfId="0" applyFont="1" applyFill="1" applyBorder="1" applyAlignment="1">
      <alignment horizontal="right" vertical="center"/>
    </xf>
    <xf numFmtId="3" fontId="5" fillId="2" borderId="1" xfId="1" applyNumberFormat="1" applyFont="1" applyFill="1" applyBorder="1" applyAlignment="1">
      <alignment horizontal="center" vertical="center" readingOrder="2"/>
    </xf>
    <xf numFmtId="165" fontId="14" fillId="2" borderId="1" xfId="2" applyNumberFormat="1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right" vertical="center"/>
    </xf>
  </cellXfs>
  <cellStyles count="8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9B7-4E85-8E25-F94B51C570B2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9B7-4E85-8E25-F94B51C570B2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9B7-4E85-8E25-F94B51C570B2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B7-4E85-8E25-F94B51C570B2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9B7-4E85-8E25-F94B51C570B2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9B7-4E85-8E25-F94B51C570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'18.19'!$A$7:$A$9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'18.19'!$B$7:$B$9</c:f>
              <c:numCache>
                <c:formatCode>_(* #,##0_);_(* \(#,##0\);_(* "-"??_);_(@_)</c:formatCode>
                <c:ptCount val="3"/>
                <c:pt idx="0">
                  <c:v>1255240833.9584999</c:v>
                </c:pt>
                <c:pt idx="1">
                  <c:v>642497891.10289991</c:v>
                </c:pt>
                <c:pt idx="2">
                  <c:v>266933716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E85-8E25-F94B51C570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'18.19'!$AJ$12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'18.19'!$AM$11:$AO$11</c:f>
              <c:numCache>
                <c:formatCode>General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'18.19'!$AM$12:$AO$12</c:f>
              <c:numCache>
                <c:formatCode>_(* #,##0_);_(* \(#,##0\);_(* "-"??_);_(@_)</c:formatCode>
                <c:ptCount val="3"/>
                <c:pt idx="0">
                  <c:v>1675199187.0308001</c:v>
                </c:pt>
                <c:pt idx="1">
                  <c:v>1797290685.4405</c:v>
                </c:pt>
                <c:pt idx="2">
                  <c:v>2164672441.0613999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D-49CD-9E79-CDF8D6CB2D93}"/>
            </c:ext>
          </c:extLst>
        </c:ser>
        <c:ser>
          <c:idx val="1"/>
          <c:order val="1"/>
          <c:tx>
            <c:strRef>
              <c:f>'18.19'!$AJ$13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'18.19'!$AM$11:$AO$11</c:f>
              <c:numCache>
                <c:formatCode>General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'18.19'!$AM$13:$AO$13</c:f>
              <c:numCache>
                <c:formatCode>_(* #,##0_);_(* \(#,##0\);_(* "-"??_);_(@_)</c:formatCode>
                <c:ptCount val="3"/>
                <c:pt idx="0">
                  <c:v>899761456.92000008</c:v>
                </c:pt>
                <c:pt idx="1">
                  <c:v>1040187042.5204999</c:v>
                </c:pt>
                <c:pt idx="2">
                  <c:v>1255240833.9584999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A-41C9-9A93-0FB2B571780B}"/>
            </c:ext>
          </c:extLst>
        </c:ser>
        <c:ser>
          <c:idx val="2"/>
          <c:order val="2"/>
          <c:tx>
            <c:strRef>
              <c:f>'18.19'!$AJ$14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'18.19'!$AM$11:$AO$11</c:f>
              <c:numCache>
                <c:formatCode>General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'18.19'!$AM$14:$AO$14</c:f>
              <c:numCache>
                <c:formatCode>_(* #,##0_);_(* \(#,##0\);_(* "-"??_);_(@_)</c:formatCode>
                <c:ptCount val="3"/>
                <c:pt idx="0">
                  <c:v>552084045.86000001</c:v>
                </c:pt>
                <c:pt idx="1">
                  <c:v>582040521.91999996</c:v>
                </c:pt>
                <c:pt idx="2">
                  <c:v>642497891.10289991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A-41C9-9A93-0FB2B571780B}"/>
            </c:ext>
          </c:extLst>
        </c:ser>
        <c:ser>
          <c:idx val="3"/>
          <c:order val="3"/>
          <c:tx>
            <c:strRef>
              <c:f>'18.19'!$AJ$15</c:f>
              <c:strCache>
                <c:ptCount val="1"/>
                <c:pt idx="0">
                  <c:v>Overseas</c:v>
                </c:pt>
              </c:strCache>
            </c:strRef>
          </c:tx>
          <c:invertIfNegative val="0"/>
          <c:cat>
            <c:numRef>
              <c:f>'18.19'!$AM$11:$AO$11</c:f>
              <c:numCache>
                <c:formatCode>General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'18.19'!$AM$15:$AO$15</c:f>
              <c:numCache>
                <c:formatCode>_(* #,##0_);_(* \(#,##0\);_(* "-"??_);_(@_)</c:formatCode>
                <c:ptCount val="3"/>
                <c:pt idx="0">
                  <c:v>223353684.25080001</c:v>
                </c:pt>
                <c:pt idx="1">
                  <c:v>175063121</c:v>
                </c:pt>
                <c:pt idx="2">
                  <c:v>266933716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A-41C9-9A93-0FB2B571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59392"/>
        <c:axId val="209359784"/>
      </c:barChart>
      <c:catAx>
        <c:axId val="209359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9359784"/>
        <c:crosses val="autoZero"/>
        <c:auto val="1"/>
        <c:lblAlgn val="ctr"/>
        <c:lblOffset val="100"/>
        <c:noMultiLvlLbl val="0"/>
      </c:catAx>
      <c:valAx>
        <c:axId val="2093597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2093593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45669291338582"/>
          <c:y val="0.23142643627879847"/>
          <c:w val="0.39994734251968506"/>
          <c:h val="8.023913677456984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4" name="TextBox 3"/>
        <xdr:cNvSpPr txBox="1"/>
      </xdr:nvSpPr>
      <xdr:spPr>
        <a:xfrm>
          <a:off x="1514476" y="6905626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2018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2016 - 2018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O40"/>
  <sheetViews>
    <sheetView tabSelected="1" zoomScaleNormal="100" workbookViewId="0">
      <selection activeCell="V13" sqref="V13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10" width="2.5703125" style="1" customWidth="1"/>
    <col min="11" max="35" width="9.140625" style="1"/>
    <col min="36" max="37" width="14.7109375" style="1" customWidth="1"/>
    <col min="38" max="38" width="13.85546875" style="1" customWidth="1"/>
    <col min="39" max="39" width="15.140625" style="1" bestFit="1" customWidth="1"/>
    <col min="40" max="40" width="15.7109375" style="1" customWidth="1"/>
    <col min="41" max="41" width="20.5703125" style="1" customWidth="1"/>
    <col min="42" max="16384" width="9.140625" style="1"/>
  </cols>
  <sheetData>
    <row r="2" spans="1:41" ht="21" x14ac:dyDescent="0.25">
      <c r="A2" s="54" t="s">
        <v>9</v>
      </c>
      <c r="B2" s="54"/>
      <c r="C2" s="54"/>
      <c r="D2" s="54"/>
      <c r="E2" s="54"/>
      <c r="F2" s="54"/>
      <c r="G2" s="54"/>
      <c r="H2" s="54"/>
      <c r="I2" s="54"/>
    </row>
    <row r="3" spans="1:41" ht="15" x14ac:dyDescent="0.25">
      <c r="A3" s="53" t="s">
        <v>10</v>
      </c>
      <c r="B3" s="53"/>
      <c r="C3" s="53"/>
      <c r="D3" s="53"/>
      <c r="E3" s="53"/>
      <c r="F3" s="53"/>
      <c r="G3" s="53"/>
      <c r="H3" s="53"/>
      <c r="I3" s="53"/>
    </row>
    <row r="4" spans="1:41" s="12" customFormat="1" ht="45" x14ac:dyDescent="0.25">
      <c r="A4" s="55" t="s">
        <v>2</v>
      </c>
      <c r="B4" s="8" t="s">
        <v>11</v>
      </c>
      <c r="C4" s="9" t="s">
        <v>12</v>
      </c>
      <c r="D4" s="9" t="s">
        <v>0</v>
      </c>
      <c r="E4" s="9" t="s">
        <v>13</v>
      </c>
      <c r="F4" s="9" t="s">
        <v>14</v>
      </c>
      <c r="G4" s="10" t="s">
        <v>15</v>
      </c>
      <c r="H4" s="11" t="s">
        <v>16</v>
      </c>
      <c r="I4" s="57" t="s">
        <v>1</v>
      </c>
    </row>
    <row r="5" spans="1:41" s="12" customFormat="1" ht="37.5" x14ac:dyDescent="0.25">
      <c r="A5" s="56"/>
      <c r="B5" s="13" t="s">
        <v>17</v>
      </c>
      <c r="C5" s="14" t="s">
        <v>18</v>
      </c>
      <c r="D5" s="14" t="s">
        <v>19</v>
      </c>
      <c r="E5" s="14" t="s">
        <v>20</v>
      </c>
      <c r="F5" s="14" t="s">
        <v>21</v>
      </c>
      <c r="G5" s="13" t="s">
        <v>22</v>
      </c>
      <c r="H5" s="13" t="s">
        <v>23</v>
      </c>
      <c r="I5" s="58"/>
    </row>
    <row r="6" spans="1:41" s="18" customFormat="1" x14ac:dyDescent="0.25">
      <c r="A6" s="15" t="s">
        <v>3</v>
      </c>
      <c r="B6" s="16">
        <f>SUM(C6:H6)</f>
        <v>2164672441.0613999</v>
      </c>
      <c r="C6" s="16">
        <f>C7+C8+C9</f>
        <v>1320874859.6515</v>
      </c>
      <c r="D6" s="16">
        <f>D7+D8+D9</f>
        <v>658680682.4799</v>
      </c>
      <c r="E6" s="16">
        <f>E7+E8+E9</f>
        <v>35443183.07</v>
      </c>
      <c r="F6" s="16">
        <f t="shared" ref="F6:G6" si="0">F7+F8+F9</f>
        <v>68544780.200000003</v>
      </c>
      <c r="G6" s="16">
        <f t="shared" si="0"/>
        <v>40462865.200000003</v>
      </c>
      <c r="H6" s="16">
        <f>H7+H8+H9</f>
        <v>40666070.460000001</v>
      </c>
      <c r="I6" s="17" t="s">
        <v>24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41" s="22" customFormat="1" x14ac:dyDescent="0.25">
      <c r="A7" s="20" t="s">
        <v>4</v>
      </c>
      <c r="B7" s="16">
        <f>SUM(C7:H7)</f>
        <v>1255240833.9584999</v>
      </c>
      <c r="C7" s="49">
        <v>748699468.29859996</v>
      </c>
      <c r="D7" s="49">
        <v>348300594.94989997</v>
      </c>
      <c r="E7" s="49">
        <v>33804943.020000003</v>
      </c>
      <c r="F7" s="49">
        <v>49027610.200000003</v>
      </c>
      <c r="G7" s="49">
        <v>40462865.200000003</v>
      </c>
      <c r="H7" s="49">
        <v>34945352.289999999</v>
      </c>
      <c r="I7" s="21" t="s">
        <v>5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41" s="22" customFormat="1" x14ac:dyDescent="0.25">
      <c r="A8" s="20" t="s">
        <v>6</v>
      </c>
      <c r="B8" s="23">
        <f>SUM(C8:H8)</f>
        <v>642497891.10289991</v>
      </c>
      <c r="C8" s="49">
        <v>305241675.35289997</v>
      </c>
      <c r="D8" s="49">
        <v>310380087.53000003</v>
      </c>
      <c r="E8" s="49">
        <v>1638240.0499999998</v>
      </c>
      <c r="F8" s="49">
        <v>19517170</v>
      </c>
      <c r="G8" s="51">
        <v>0</v>
      </c>
      <c r="H8" s="49">
        <v>5720718.1699999999</v>
      </c>
      <c r="I8" s="24" t="s">
        <v>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41" s="22" customFormat="1" x14ac:dyDescent="0.25">
      <c r="A9" s="25" t="s">
        <v>8</v>
      </c>
      <c r="B9" s="26">
        <f>SUM(C9:H9)</f>
        <v>266933716</v>
      </c>
      <c r="C9" s="50">
        <v>266933716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27" t="s">
        <v>25</v>
      </c>
    </row>
    <row r="10" spans="1:41" ht="17.25" x14ac:dyDescent="0.25">
      <c r="A10" s="28" t="s">
        <v>26</v>
      </c>
      <c r="I10" s="3" t="s">
        <v>27</v>
      </c>
    </row>
    <row r="11" spans="1:41" ht="17.25" x14ac:dyDescent="0.25">
      <c r="A11" s="29" t="s">
        <v>28</v>
      </c>
      <c r="I11" s="3" t="s">
        <v>29</v>
      </c>
      <c r="AK11" s="1">
        <v>2014</v>
      </c>
      <c r="AL11" s="1">
        <v>2015</v>
      </c>
      <c r="AM11" s="1">
        <v>2016</v>
      </c>
      <c r="AN11" s="1">
        <v>2017</v>
      </c>
      <c r="AO11" s="1">
        <v>2018</v>
      </c>
    </row>
    <row r="12" spans="1:41" s="7" customFormat="1" ht="15" x14ac:dyDescent="0.25">
      <c r="B12" s="30"/>
      <c r="C12" s="31"/>
      <c r="D12" s="32"/>
      <c r="E12" s="32"/>
      <c r="F12" s="32"/>
      <c r="G12" s="32"/>
      <c r="H12" s="32"/>
      <c r="AJ12" s="7" t="s">
        <v>3</v>
      </c>
      <c r="AK12" s="33">
        <v>1063054680.1288999</v>
      </c>
      <c r="AL12" s="33">
        <v>1400609841.8314998</v>
      </c>
      <c r="AM12" s="33">
        <v>1675199187.0308001</v>
      </c>
      <c r="AN12" s="33">
        <v>1797290685.4405</v>
      </c>
      <c r="AO12" s="33">
        <f>B6</f>
        <v>2164672441.0613999</v>
      </c>
    </row>
    <row r="13" spans="1:41" ht="18.75" customHeight="1" x14ac:dyDescent="0.25">
      <c r="AJ13" s="1" t="s">
        <v>4</v>
      </c>
      <c r="AK13" s="33">
        <v>529844339.34140003</v>
      </c>
      <c r="AL13" s="33">
        <v>694778647.7112</v>
      </c>
      <c r="AM13" s="33">
        <v>899761456.92000008</v>
      </c>
      <c r="AN13" s="33">
        <v>1040187042.5204999</v>
      </c>
      <c r="AO13" s="33">
        <f t="shared" ref="AO13:AO15" si="1">B7</f>
        <v>1255240833.9584999</v>
      </c>
    </row>
    <row r="14" spans="1:41" ht="18.75" customHeight="1" x14ac:dyDescent="0.25">
      <c r="AJ14" s="1" t="s">
        <v>6</v>
      </c>
      <c r="AK14" s="33">
        <v>364203693.46629995</v>
      </c>
      <c r="AL14" s="33">
        <v>483525096.47310001</v>
      </c>
      <c r="AM14" s="33">
        <v>552084045.86000001</v>
      </c>
      <c r="AN14" s="33">
        <v>582040521.91999996</v>
      </c>
      <c r="AO14" s="33">
        <f t="shared" si="1"/>
        <v>642497891.10289991</v>
      </c>
    </row>
    <row r="15" spans="1:41" ht="15" x14ac:dyDescent="0.25">
      <c r="A15" s="4"/>
      <c r="B15" s="4"/>
      <c r="C15" s="4"/>
      <c r="D15" s="4"/>
      <c r="E15" s="4"/>
      <c r="F15" s="4"/>
      <c r="G15" s="4"/>
      <c r="H15" s="4"/>
      <c r="I15" s="4"/>
      <c r="AJ15" s="1" t="s">
        <v>8</v>
      </c>
      <c r="AK15" s="33">
        <v>169006647.32120001</v>
      </c>
      <c r="AL15" s="33">
        <v>222306097.64719999</v>
      </c>
      <c r="AM15" s="33">
        <v>223353684.25080001</v>
      </c>
      <c r="AN15" s="33">
        <v>175063121</v>
      </c>
      <c r="AO15" s="33">
        <f t="shared" si="1"/>
        <v>266933716</v>
      </c>
    </row>
    <row r="16" spans="1:41" ht="21" x14ac:dyDescent="0.25">
      <c r="A16" s="59"/>
      <c r="B16" s="59"/>
      <c r="C16" s="59"/>
      <c r="D16" s="59"/>
      <c r="E16" s="59"/>
      <c r="F16" s="59"/>
      <c r="G16" s="59"/>
      <c r="H16" s="59"/>
      <c r="I16" s="59"/>
    </row>
    <row r="17" spans="1:9" s="12" customFormat="1" ht="15" x14ac:dyDescent="0.25">
      <c r="A17" s="53"/>
      <c r="B17" s="53"/>
      <c r="C17" s="53"/>
      <c r="D17" s="53"/>
      <c r="E17" s="53"/>
      <c r="F17" s="53"/>
      <c r="G17" s="53"/>
      <c r="H17" s="53"/>
      <c r="I17" s="53"/>
    </row>
    <row r="18" spans="1:9" s="12" customFormat="1" ht="15" x14ac:dyDescent="0.25">
      <c r="A18" s="60"/>
      <c r="B18" s="34"/>
      <c r="C18" s="35"/>
      <c r="D18" s="35"/>
      <c r="E18" s="35"/>
      <c r="F18" s="35"/>
      <c r="G18" s="36"/>
      <c r="H18" s="37"/>
      <c r="I18" s="61"/>
    </row>
    <row r="19" spans="1:9" s="18" customFormat="1" x14ac:dyDescent="0.25">
      <c r="A19" s="60"/>
      <c r="B19" s="6"/>
      <c r="C19" s="38"/>
      <c r="D19" s="38"/>
      <c r="E19" s="38"/>
      <c r="F19" s="38"/>
      <c r="G19" s="6"/>
      <c r="H19" s="6"/>
      <c r="I19" s="61"/>
    </row>
    <row r="20" spans="1:9" s="22" customFormat="1" x14ac:dyDescent="0.25">
      <c r="A20" s="39"/>
      <c r="B20" s="23"/>
      <c r="C20" s="23"/>
      <c r="D20" s="23"/>
      <c r="E20" s="23"/>
      <c r="F20" s="23"/>
      <c r="G20" s="23"/>
      <c r="H20" s="23"/>
      <c r="I20" s="40"/>
    </row>
    <row r="21" spans="1:9" s="22" customFormat="1" x14ac:dyDescent="0.25">
      <c r="A21" s="20"/>
      <c r="B21" s="23"/>
      <c r="C21" s="41"/>
      <c r="D21" s="41"/>
      <c r="E21" s="41"/>
      <c r="F21" s="41"/>
      <c r="G21" s="41"/>
      <c r="H21" s="41"/>
      <c r="I21" s="24"/>
    </row>
    <row r="22" spans="1:9" s="22" customFormat="1" x14ac:dyDescent="0.25">
      <c r="A22" s="20"/>
      <c r="B22" s="23"/>
      <c r="C22" s="41"/>
      <c r="D22" s="41"/>
      <c r="E22" s="41"/>
      <c r="F22" s="41"/>
      <c r="G22" s="41"/>
      <c r="H22" s="41"/>
      <c r="I22" s="24"/>
    </row>
    <row r="23" spans="1:9" x14ac:dyDescent="0.25">
      <c r="A23" s="20"/>
      <c r="B23" s="23"/>
      <c r="C23" s="41"/>
      <c r="D23" s="41"/>
      <c r="E23" s="41"/>
      <c r="F23" s="41"/>
      <c r="G23" s="41"/>
      <c r="H23" s="41"/>
      <c r="I23" s="24"/>
    </row>
    <row r="24" spans="1:9" ht="17.25" x14ac:dyDescent="0.25">
      <c r="A24" s="42"/>
      <c r="B24" s="4"/>
      <c r="C24" s="4"/>
      <c r="D24" s="4"/>
      <c r="E24" s="4"/>
      <c r="F24" s="4"/>
      <c r="G24" s="4"/>
      <c r="H24" s="4"/>
      <c r="I24" s="5"/>
    </row>
    <row r="25" spans="1:9" s="7" customFormat="1" ht="17.25" x14ac:dyDescent="0.25">
      <c r="A25" s="2"/>
      <c r="B25" s="4"/>
      <c r="C25" s="4"/>
      <c r="D25" s="4"/>
      <c r="E25" s="4"/>
      <c r="F25" s="4"/>
      <c r="G25" s="4"/>
      <c r="H25" s="4"/>
      <c r="I25" s="5"/>
    </row>
    <row r="26" spans="1:9" ht="17.25" x14ac:dyDescent="0.25">
      <c r="A26" s="29"/>
      <c r="B26" s="30"/>
      <c r="C26" s="31"/>
      <c r="D26" s="32"/>
      <c r="E26" s="32"/>
      <c r="F26" s="32"/>
      <c r="G26" s="32"/>
      <c r="H26" s="32"/>
      <c r="I26" s="5"/>
    </row>
    <row r="27" spans="1:9" ht="18.75" customHeight="1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ht="18.75" customHeight="1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ht="21" x14ac:dyDescent="0.25">
      <c r="A29" s="59"/>
      <c r="B29" s="59"/>
      <c r="C29" s="59"/>
      <c r="D29" s="59"/>
      <c r="E29" s="59"/>
      <c r="F29" s="59"/>
      <c r="G29" s="59"/>
      <c r="H29" s="59"/>
      <c r="I29" s="43"/>
    </row>
    <row r="30" spans="1:9" ht="15" x14ac:dyDescent="0.25">
      <c r="A30" s="53"/>
      <c r="B30" s="53"/>
      <c r="C30" s="53"/>
      <c r="D30" s="53"/>
      <c r="E30" s="53"/>
      <c r="F30" s="53"/>
      <c r="G30" s="53"/>
      <c r="H30" s="53"/>
      <c r="I30" s="44"/>
    </row>
    <row r="31" spans="1:9" ht="15" x14ac:dyDescent="0.25">
      <c r="A31" s="60"/>
      <c r="B31" s="34"/>
      <c r="C31" s="35"/>
      <c r="D31" s="35"/>
      <c r="E31" s="35"/>
      <c r="F31" s="35"/>
      <c r="G31" s="36"/>
      <c r="H31" s="61"/>
      <c r="I31" s="45"/>
    </row>
    <row r="32" spans="1:9" x14ac:dyDescent="0.25">
      <c r="A32" s="60"/>
      <c r="B32" s="6"/>
      <c r="C32" s="38"/>
      <c r="D32" s="38"/>
      <c r="E32" s="38"/>
      <c r="F32" s="38"/>
      <c r="G32" s="6"/>
      <c r="H32" s="61"/>
      <c r="I32" s="45"/>
    </row>
    <row r="33" spans="1:9" ht="18.75" customHeight="1" x14ac:dyDescent="0.25">
      <c r="A33" s="39"/>
      <c r="B33" s="23"/>
      <c r="C33" s="23"/>
      <c r="D33" s="23"/>
      <c r="E33" s="23"/>
      <c r="F33" s="23"/>
      <c r="G33" s="23"/>
      <c r="H33" s="40"/>
      <c r="I33" s="46"/>
    </row>
    <row r="34" spans="1:9" ht="18.75" customHeight="1" x14ac:dyDescent="0.25">
      <c r="A34" s="20"/>
      <c r="B34" s="23"/>
      <c r="C34" s="41"/>
      <c r="D34" s="41"/>
      <c r="E34" s="41"/>
      <c r="F34" s="41"/>
      <c r="G34" s="41"/>
      <c r="H34" s="24"/>
      <c r="I34" s="47"/>
    </row>
    <row r="35" spans="1:9" ht="18.75" customHeight="1" x14ac:dyDescent="0.25">
      <c r="A35" s="20"/>
      <c r="B35" s="23"/>
      <c r="C35" s="41"/>
      <c r="D35" s="41"/>
      <c r="E35" s="41"/>
      <c r="F35" s="41"/>
      <c r="G35" s="41"/>
      <c r="H35" s="24"/>
      <c r="I35" s="47"/>
    </row>
    <row r="36" spans="1:9" ht="18.75" customHeight="1" x14ac:dyDescent="0.25">
      <c r="A36" s="20"/>
      <c r="B36" s="23"/>
      <c r="C36" s="41"/>
      <c r="D36" s="41"/>
      <c r="E36" s="41"/>
      <c r="F36" s="41"/>
      <c r="G36" s="41"/>
      <c r="H36" s="24"/>
      <c r="I36" s="47"/>
    </row>
    <row r="37" spans="1:9" ht="17.25" x14ac:dyDescent="0.25">
      <c r="A37" s="42"/>
      <c r="B37" s="4"/>
      <c r="C37" s="4"/>
      <c r="D37" s="4"/>
      <c r="E37" s="4"/>
      <c r="F37" s="4"/>
      <c r="G37" s="4"/>
      <c r="H37" s="5"/>
      <c r="I37" s="4"/>
    </row>
    <row r="38" spans="1:9" ht="17.25" x14ac:dyDescent="0.25">
      <c r="A38" s="2"/>
      <c r="B38" s="4"/>
      <c r="C38" s="4"/>
      <c r="D38" s="4"/>
      <c r="E38" s="4"/>
      <c r="F38" s="4"/>
      <c r="G38" s="4"/>
      <c r="H38" s="5"/>
      <c r="I38" s="4"/>
    </row>
    <row r="39" spans="1:9" ht="17.25" x14ac:dyDescent="0.25">
      <c r="A39" s="29"/>
      <c r="B39" s="30"/>
      <c r="C39" s="31"/>
      <c r="D39" s="32"/>
      <c r="E39" s="32"/>
      <c r="F39" s="32"/>
      <c r="G39" s="32"/>
      <c r="H39" s="5"/>
      <c r="I39" s="48"/>
    </row>
    <row r="40" spans="1:9" ht="18.75" customHeight="1" x14ac:dyDescent="0.25">
      <c r="A40" s="4"/>
      <c r="B40" s="4"/>
      <c r="C40" s="4"/>
      <c r="D40" s="4"/>
      <c r="E40" s="4"/>
      <c r="F40" s="4"/>
      <c r="G40" s="4"/>
      <c r="H40" s="4"/>
      <c r="I40" s="4"/>
    </row>
  </sheetData>
  <mergeCells count="12">
    <mergeCell ref="A18:A19"/>
    <mergeCell ref="I18:I19"/>
    <mergeCell ref="A29:H29"/>
    <mergeCell ref="A30:H30"/>
    <mergeCell ref="A31:A32"/>
    <mergeCell ref="H31:H32"/>
    <mergeCell ref="A17:I17"/>
    <mergeCell ref="A2:I2"/>
    <mergeCell ref="A3:I3"/>
    <mergeCell ref="A4:A5"/>
    <mergeCell ref="I4:I5"/>
    <mergeCell ref="A16:I16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2019-02-21T06:53:34Z</cp:lastPrinted>
  <dcterms:created xsi:type="dcterms:W3CDTF">2019-02-21T04:10:17Z</dcterms:created>
  <dcterms:modified xsi:type="dcterms:W3CDTF">2019-09-04T03:07:11Z</dcterms:modified>
</cp:coreProperties>
</file>