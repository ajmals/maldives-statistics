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3" sheetId="13" r:id="rId1"/>
  </sheets>
  <definedNames>
    <definedName name="_xlnm.Print_Area" localSheetId="0">'18.13'!$A$1:$J$54</definedName>
  </definedNames>
  <calcPr calcId="162913"/>
</workbook>
</file>

<file path=xl/calcChain.xml><?xml version="1.0" encoding="utf-8"?>
<calcChain xmlns="http://schemas.openxmlformats.org/spreadsheetml/2006/main"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 s="1"/>
  <c r="F6" i="13"/>
  <c r="E6" i="13"/>
  <c r="D6" i="13"/>
  <c r="C6" i="13"/>
  <c r="B6" i="13"/>
  <c r="H9" i="13" l="1"/>
  <c r="H17" i="13"/>
  <c r="H25" i="13"/>
  <c r="H13" i="13"/>
  <c r="H21" i="13"/>
  <c r="H29" i="13"/>
  <c r="H31" i="13"/>
  <c r="H27" i="13"/>
  <c r="H23" i="13"/>
  <c r="H19" i="13"/>
  <c r="H15" i="13"/>
  <c r="H11" i="13"/>
  <c r="H7" i="13"/>
  <c r="H24" i="13"/>
  <c r="H16" i="13"/>
  <c r="H30" i="13"/>
  <c r="H26" i="13"/>
  <c r="H22" i="13"/>
  <c r="H18" i="13"/>
  <c r="H14" i="13"/>
  <c r="H10" i="13"/>
  <c r="H6" i="13"/>
  <c r="H28" i="13"/>
  <c r="H8" i="13"/>
  <c r="H20" i="13"/>
  <c r="H12" i="13"/>
</calcChain>
</file>

<file path=xl/sharedStrings.xml><?xml version="1.0" encoding="utf-8"?>
<sst xmlns="http://schemas.openxmlformats.org/spreadsheetml/2006/main" count="67" uniqueCount="66">
  <si>
    <t>ޖުމްލަ</t>
  </si>
  <si>
    <t>% share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</si>
  <si>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</si>
  <si>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</si>
  <si>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</si>
  <si>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</si>
  <si>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</si>
  <si>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</si>
  <si>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</si>
  <si>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</si>
  <si>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</si>
  <si>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</si>
  <si>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</si>
  <si>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</si>
  <si>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</si>
  <si>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</si>
  <si>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</si>
  <si>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</si>
  <si>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</si>
  <si>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</si>
  <si>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</si>
  <si>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</si>
  <si>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</si>
  <si>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</si>
  <si>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</si>
  <si>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</si>
  <si>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</si>
  <si>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</si>
  <si>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</si>
  <si>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</si>
  <si>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</si>
  <si>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</si>
  <si>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</si>
  <si>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</si>
  <si>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</si>
  <si>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</si>
  <si>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</si>
  <si>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</si>
  <si>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</si>
  <si>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</si>
  <si>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</si>
  <si>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</si>
  <si>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</si>
  <si>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</si>
  <si>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</si>
  <si>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</si>
  <si>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</si>
  <si>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</si>
  <si>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</si>
  <si>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</si>
  <si>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</si>
  <si>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</si>
  <si>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</si>
  <si>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</si>
  <si>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</si>
  <si>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</si>
  <si>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</si>
  <si>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</si>
  <si>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</si>
  <si>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</si>
  <si>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</si>
  <si>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</si>
  <si>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2018</t>
  </si>
  <si>
    <t>TABLE   18.13: EMPLOYEES  REGISTERED IN THE RETIREMENT PENSION SCHEME, BY EMPLOYMENT SIZE, END  2018</t>
  </si>
  <si>
    <t>Employment size</t>
  </si>
  <si>
    <t xml:space="preserve">Note: The Difference between values in this table  is due to  some members having multiple contracts with more than one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</si>
</sst>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b/>
      <sz val="12"/>
      <color rgb="FF000000"/>
      <name val="Consolas"/>
      <family val="3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4">
    <xf numFmtId="0" fontId="0" fillId="0" borderId="0"/>
    <xf numFmtId="164" fontId="11" fillId="0" borderId="13"/>
    <xf numFmtId="0" fontId="1" fillId="0" borderId="13"/>
    <xf numFmtId="0" fontId="1" fillId="0" borderId="13"/>
  </cellStyleXfs>
  <cellXfs count="43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5" fillId="2" borderId="2" xfId="0" applyFont="1" applyFill="1" applyBorder="1" applyAlignment="1"/>
    <xf numFmtId="0" fontId="5" fillId="2" borderId="2" xfId="0" applyFont="1" applyFill="1" applyBorder="1"/>
    <xf numFmtId="0" fontId="5" fillId="2" borderId="11" xfId="0" applyFont="1" applyFill="1" applyBorder="1" applyAlignment="1"/>
    <xf numFmtId="0" fontId="0" fillId="2" borderId="2" xfId="0" applyFont="1" applyFill="1" applyBorder="1" applyAlignment="1">
      <alignment horizontal="lef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0" fontId="0" fillId="2" borderId="11" xfId="0" applyFont="1" applyFill="1" applyBorder="1" applyAlignment="1">
      <alignment horizontal="left" vertical="center"/>
    </xf>
    <xf numFmtId="3" fontId="0" fillId="2" borderId="11" xfId="0" applyNumberFormat="1" applyFont="1" applyFill="1" applyBorder="1" applyAlignment="1">
      <alignment horizontal="right" vertical="center"/>
    </xf>
    <xf numFmtId="3" fontId="0" fillId="4" borderId="11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/>
    <xf numFmtId="0" fontId="7" fillId="2" borderId="2" xfId="0" applyFont="1" applyFill="1" applyBorder="1"/>
    <xf numFmtId="0" fontId="8" fillId="2" borderId="2" xfId="0" applyFont="1" applyFill="1" applyBorder="1"/>
    <xf numFmtId="49" fontId="4" fillId="2" borderId="11" xfId="0" applyNumberFormat="1" applyFont="1" applyFill="1" applyBorder="1" applyAlignment="1">
      <alignment horizontal="right" vertical="center"/>
    </xf>
    <xf numFmtId="49" fontId="4" fillId="2" borderId="12" xfId="0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horizontal="right" vertical="center"/>
    </xf>
    <xf numFmtId="165" fontId="0" fillId="2" borderId="2" xfId="0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left" vertical="center" wrapText="1"/>
    </xf>
    <xf numFmtId="3" fontId="0" fillId="4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165" fontId="0" fillId="2" borderId="11" xfId="0" applyNumberFormat="1" applyFont="1" applyFill="1" applyBorder="1" applyAlignment="1">
      <alignment horizontal="right" vertical="center"/>
    </xf>
    <xf numFmtId="49" fontId="0" fillId="2" borderId="2" xfId="0" applyNumberFormat="1" applyFont="1" applyFill="1" applyBorder="1"/>
    <xf numFmtId="165" fontId="4" fillId="2" borderId="6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/>
    <xf numFmtId="0" fontId="3" fillId="3" borderId="4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10" xfId="0" applyFont="1" applyFill="1" applyBorder="1"/>
    <xf numFmtId="0" fontId="3" fillId="3" borderId="9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4" fillId="2" borderId="5" xfId="0" applyFont="1" applyFill="1" applyBorder="1" applyAlignment="1">
      <alignment horizontal="right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8811244979919693E-2"/>
          <c:y val="0.23497104184291018"/>
          <c:w val="0.8790337412642697"/>
          <c:h val="0.620277795854030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7F6000"/>
            </a:solidFill>
          </c:spPr>
          <c:invertIfNegative val="1"/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3975</c:v>
                </c:pt>
                <c:pt idx="1">
                  <c:v>11707</c:v>
                </c:pt>
                <c:pt idx="2">
                  <c:v>10474</c:v>
                </c:pt>
                <c:pt idx="3">
                  <c:v>26826</c:v>
                </c:pt>
                <c:pt idx="4">
                  <c:v>43335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57C-4967-932F-95DBDEC0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464893"/>
        <c:axId val="1830564539"/>
      </c:barChart>
      <c:catAx>
        <c:axId val="175746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1" i="0"/>
            </a:pPr>
            <a:endParaRPr lang="en-US"/>
          </a:p>
        </c:txPr>
        <c:crossAx val="1830564539"/>
        <c:crosses val="autoZero"/>
        <c:auto val="1"/>
        <c:lblAlgn val="ctr"/>
        <c:lblOffset val="100"/>
        <c:noMultiLvlLbl val="1"/>
      </c:catAx>
      <c:valAx>
        <c:axId val="1830564539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/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1" i="0"/>
            </a:pPr>
            <a:endParaRPr lang="en-US"/>
          </a:p>
        </c:txPr>
        <c:crossAx val="1757464893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33</xdr:row>
      <xdr:rowOff>85725</xdr:rowOff>
    </xdr:from>
    <xdr:ext cx="7905750" cy="3457575"/>
    <xdr:graphicFrame macro=""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0.0253</cdr:x>
      <cdr:y>0.06703</cdr:y>
    </cdr:from>
    <cdr:to>
      <cdr:x>0.9494</cdr:x>
      <cdr:y>0.23322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0025" y="231775"/>
          <a:ext cx="7305675" cy="5746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18.17: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54"/>
  <sheetViews>
    <sheetView tabSelected="1" zoomScaleNormal="100" workbookViewId="0">
      <selection activeCell="X35" sqref="X35"/>
    </sheetView>
  </sheetViews>
  <sheetFormatPr defaultColWidth="14.42578125" defaultRowHeight="15" customHeight="1" x14ac:dyDescent="0.25"/>
  <cols>
    <col min="1" max="1" width="35.42578125" style="2" customWidth="1"/>
    <col min="2" max="7" width="10.5703125" style="2" customWidth="1"/>
    <col min="8" max="8" width="9" style="2" customWidth="1"/>
    <col min="9" max="9" width="35.28515625" style="2" customWidth="1"/>
    <col min="10" max="10" width="2.5703125" style="2" customWidth="1"/>
    <col min="11" max="26" width="8" style="2" customWidth="1"/>
    <col min="27" max="29" width="15.140625" style="2" customWidth="1"/>
    <col min="30" max="16384" width="14.42578125" style="2"/>
  </cols>
  <sheetData>
    <row r="1" spans="1:29" ht="21" customHeight="1" x14ac:dyDescent="0.55000000000000004">
      <c r="A1" s="39" t="s">
        <v>62</v>
      </c>
      <c r="B1" s="31"/>
      <c r="C1" s="31"/>
      <c r="D1" s="31"/>
      <c r="E1" s="31"/>
      <c r="F1" s="31"/>
      <c r="G1" s="31"/>
      <c r="H1" s="31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40" t="s">
        <v>63</v>
      </c>
      <c r="B2" s="31"/>
      <c r="C2" s="31"/>
      <c r="D2" s="31"/>
      <c r="E2" s="31"/>
      <c r="F2" s="31"/>
      <c r="G2" s="31"/>
      <c r="H2" s="31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38" t="s">
        <v>5</v>
      </c>
      <c r="B4" s="33" t="s">
        <v>64</v>
      </c>
      <c r="C4" s="34"/>
      <c r="D4" s="34"/>
      <c r="E4" s="34"/>
      <c r="F4" s="34"/>
      <c r="G4" s="37"/>
      <c r="H4" s="42" t="s">
        <v>1</v>
      </c>
      <c r="I4" s="35" t="s"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/>
      <c r="AB4" s="1"/>
      <c r="AC4" s="1"/>
    </row>
    <row r="5" spans="1:29" ht="15" customHeight="1" x14ac:dyDescent="0.25">
      <c r="A5" s="41"/>
      <c r="B5" s="18" t="s">
        <v>7</v>
      </c>
      <c r="C5" s="18" t="s">
        <v>8</v>
      </c>
      <c r="D5" s="18" t="s">
        <v>9</v>
      </c>
      <c r="E5" s="18" t="s">
        <v>10</v>
      </c>
      <c r="F5" s="19" t="s">
        <v>11</v>
      </c>
      <c r="G5" s="19" t="s">
        <v>2</v>
      </c>
      <c r="H5" s="36"/>
      <c r="I5" s="3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1"/>
      <c r="AB5" s="1"/>
      <c r="AC5" s="1"/>
    </row>
    <row r="6" spans="1:29" ht="21" customHeight="1" x14ac:dyDescent="0.55000000000000004">
      <c r="A6" s="20" t="s">
        <v>2</v>
      </c>
      <c r="B6" s="21">
        <f t="shared" ref="B6:G6" si="0">SUM(B7:B31)</f>
        <v>3975</v>
      </c>
      <c r="C6" s="21">
        <f t="shared" si="0"/>
        <v>11707</v>
      </c>
      <c r="D6" s="21">
        <f t="shared" si="0"/>
        <v>10474</v>
      </c>
      <c r="E6" s="21">
        <f t="shared" si="0"/>
        <v>26826</v>
      </c>
      <c r="F6" s="21">
        <f t="shared" si="0"/>
        <v>43335</v>
      </c>
      <c r="G6" s="21">
        <f t="shared" si="0"/>
        <v>96317</v>
      </c>
      <c r="H6" s="28">
        <f>G6/G6*100</f>
        <v>100</v>
      </c>
      <c r="I6" s="5" t="s"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1"/>
      <c r="AB6" s="1"/>
      <c r="AC6" s="1"/>
    </row>
    <row r="7" spans="1:29" ht="21" customHeight="1" x14ac:dyDescent="0.55000000000000004">
      <c r="A7" s="9" t="s">
        <v>12</v>
      </c>
      <c r="B7" s="11">
        <v>27</v>
      </c>
      <c r="C7" s="11">
        <v>28</v>
      </c>
      <c r="D7" s="11">
        <v>137</v>
      </c>
      <c r="E7" s="11">
        <v>0</v>
      </c>
      <c r="F7" s="11">
        <v>0</v>
      </c>
      <c r="G7" s="10">
        <f t="shared" ref="G7:G20" si="1">SUM(B7:F7)</f>
        <v>192</v>
      </c>
      <c r="H7" s="22">
        <f t="shared" ref="H7:H31" si="2">G7/$G$6*100</f>
        <v>0.19934175690688041</v>
      </c>
      <c r="I7" s="6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55000000000000004">
      <c r="A8" s="9" t="s">
        <v>14</v>
      </c>
      <c r="B8" s="11">
        <v>26</v>
      </c>
      <c r="C8" s="11">
        <v>43</v>
      </c>
      <c r="D8" s="11">
        <v>51</v>
      </c>
      <c r="E8" s="11">
        <v>425</v>
      </c>
      <c r="F8" s="11">
        <v>3761</v>
      </c>
      <c r="G8" s="10">
        <f t="shared" si="1"/>
        <v>4306</v>
      </c>
      <c r="H8" s="22">
        <f t="shared" si="2"/>
        <v>4.4706541939636821</v>
      </c>
      <c r="I8" s="6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 x14ac:dyDescent="0.55000000000000004">
      <c r="A9" s="9" t="s">
        <v>16</v>
      </c>
      <c r="B9" s="11">
        <v>10</v>
      </c>
      <c r="C9" s="11">
        <v>12</v>
      </c>
      <c r="D9" s="11">
        <v>0</v>
      </c>
      <c r="E9" s="11">
        <v>0</v>
      </c>
      <c r="F9" s="11">
        <v>0</v>
      </c>
      <c r="G9" s="10">
        <f t="shared" si="1"/>
        <v>22</v>
      </c>
      <c r="H9" s="22">
        <f t="shared" si="2"/>
        <v>2.2841242978913379E-2</v>
      </c>
      <c r="I9" s="6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55000000000000004">
      <c r="A10" s="9" t="s">
        <v>18</v>
      </c>
      <c r="B10" s="11">
        <v>39</v>
      </c>
      <c r="C10" s="11">
        <v>0</v>
      </c>
      <c r="D10" s="11">
        <v>0</v>
      </c>
      <c r="E10" s="11">
        <v>0</v>
      </c>
      <c r="F10" s="11">
        <v>0</v>
      </c>
      <c r="G10" s="10">
        <f t="shared" si="1"/>
        <v>39</v>
      </c>
      <c r="H10" s="22">
        <f t="shared" si="2"/>
        <v>4.0491294371710083E-2</v>
      </c>
      <c r="I10" s="6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 x14ac:dyDescent="0.55000000000000004">
      <c r="A11" s="9" t="s">
        <v>20</v>
      </c>
      <c r="B11" s="11">
        <v>340</v>
      </c>
      <c r="C11" s="11">
        <v>650</v>
      </c>
      <c r="D11" s="11">
        <v>287</v>
      </c>
      <c r="E11" s="11">
        <v>710</v>
      </c>
      <c r="F11" s="11">
        <v>574</v>
      </c>
      <c r="G11" s="10">
        <f t="shared" si="1"/>
        <v>2561</v>
      </c>
      <c r="H11" s="22">
        <f t="shared" si="2"/>
        <v>2.6589283304089619</v>
      </c>
      <c r="I11" s="6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55000000000000004">
      <c r="A12" s="9" t="s">
        <v>22</v>
      </c>
      <c r="B12" s="11">
        <v>54</v>
      </c>
      <c r="C12" s="11">
        <v>28</v>
      </c>
      <c r="D12" s="11">
        <v>0</v>
      </c>
      <c r="E12" s="11">
        <v>140</v>
      </c>
      <c r="F12" s="11">
        <v>0</v>
      </c>
      <c r="G12" s="10">
        <f t="shared" si="1"/>
        <v>222</v>
      </c>
      <c r="H12" s="22">
        <f t="shared" si="2"/>
        <v>0.23048890642358047</v>
      </c>
      <c r="I12" s="6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9.75" customHeight="1" x14ac:dyDescent="0.25">
      <c r="A13" s="23" t="s">
        <v>24</v>
      </c>
      <c r="B13" s="24">
        <v>113</v>
      </c>
      <c r="C13" s="24">
        <v>617</v>
      </c>
      <c r="D13" s="24">
        <v>317</v>
      </c>
      <c r="E13" s="24">
        <v>1142</v>
      </c>
      <c r="F13" s="24">
        <v>2664</v>
      </c>
      <c r="G13" s="10">
        <f t="shared" si="1"/>
        <v>4853</v>
      </c>
      <c r="H13" s="22">
        <f t="shared" si="2"/>
        <v>5.0385705534848464</v>
      </c>
      <c r="I13" s="25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3.25" customHeight="1" x14ac:dyDescent="0.55000000000000004">
      <c r="A14" s="9" t="s">
        <v>26</v>
      </c>
      <c r="B14" s="11">
        <v>36</v>
      </c>
      <c r="C14" s="11">
        <v>89</v>
      </c>
      <c r="D14" s="11">
        <v>61</v>
      </c>
      <c r="E14" s="11">
        <v>231</v>
      </c>
      <c r="F14" s="11">
        <v>910</v>
      </c>
      <c r="G14" s="10">
        <f t="shared" si="1"/>
        <v>1327</v>
      </c>
      <c r="H14" s="22">
        <f t="shared" si="2"/>
        <v>1.3777422469553662</v>
      </c>
      <c r="I14" s="6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 x14ac:dyDescent="0.55000000000000004">
      <c r="A15" s="9" t="s">
        <v>28</v>
      </c>
      <c r="B15" s="11">
        <v>1</v>
      </c>
      <c r="C15" s="11">
        <v>51</v>
      </c>
      <c r="D15" s="11">
        <v>69</v>
      </c>
      <c r="E15" s="11">
        <v>0</v>
      </c>
      <c r="F15" s="11">
        <v>0</v>
      </c>
      <c r="G15" s="10">
        <f t="shared" si="1"/>
        <v>121</v>
      </c>
      <c r="H15" s="22">
        <f t="shared" si="2"/>
        <v>0.12562683638402361</v>
      </c>
      <c r="I15" s="6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 x14ac:dyDescent="0.55000000000000004">
      <c r="A16" s="9" t="s">
        <v>30</v>
      </c>
      <c r="B16" s="11">
        <v>368</v>
      </c>
      <c r="C16" s="11">
        <v>3909</v>
      </c>
      <c r="D16" s="11">
        <v>4521</v>
      </c>
      <c r="E16" s="11">
        <v>10858</v>
      </c>
      <c r="F16" s="11">
        <v>20795</v>
      </c>
      <c r="G16" s="10">
        <f t="shared" si="1"/>
        <v>40451</v>
      </c>
      <c r="H16" s="22">
        <f t="shared" si="2"/>
        <v>41.997778170001141</v>
      </c>
      <c r="I16" s="6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 x14ac:dyDescent="0.55000000000000004">
      <c r="A17" s="9" t="s">
        <v>32</v>
      </c>
      <c r="B17" s="11">
        <v>105</v>
      </c>
      <c r="C17" s="11">
        <v>288</v>
      </c>
      <c r="D17" s="11">
        <v>63</v>
      </c>
      <c r="E17" s="11">
        <v>662</v>
      </c>
      <c r="F17" s="11">
        <v>0</v>
      </c>
      <c r="G17" s="10">
        <f t="shared" si="1"/>
        <v>1118</v>
      </c>
      <c r="H17" s="22">
        <f t="shared" si="2"/>
        <v>1.1607504386556891</v>
      </c>
      <c r="I17" s="6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 x14ac:dyDescent="0.55000000000000004">
      <c r="A18" s="9" t="s">
        <v>34</v>
      </c>
      <c r="B18" s="11">
        <v>603</v>
      </c>
      <c r="C18" s="11">
        <v>1911</v>
      </c>
      <c r="D18" s="11">
        <v>2319</v>
      </c>
      <c r="E18" s="11">
        <v>10163</v>
      </c>
      <c r="F18" s="11">
        <v>4276</v>
      </c>
      <c r="G18" s="10">
        <f t="shared" si="1"/>
        <v>19272</v>
      </c>
      <c r="H18" s="22">
        <f t="shared" si="2"/>
        <v>20.008928849528122</v>
      </c>
      <c r="I18" s="6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55000000000000004">
      <c r="A19" s="9" t="s">
        <v>36</v>
      </c>
      <c r="B19" s="11">
        <v>2</v>
      </c>
      <c r="C19" s="11">
        <v>37</v>
      </c>
      <c r="D19" s="11">
        <v>0</v>
      </c>
      <c r="E19" s="11">
        <v>0</v>
      </c>
      <c r="F19" s="11">
        <v>0</v>
      </c>
      <c r="G19" s="10">
        <f t="shared" si="1"/>
        <v>39</v>
      </c>
      <c r="H19" s="22">
        <f t="shared" si="2"/>
        <v>4.0491294371710083E-2</v>
      </c>
      <c r="I19" s="6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55000000000000004">
      <c r="A20" s="9" t="s">
        <v>38</v>
      </c>
      <c r="B20" s="11">
        <v>20</v>
      </c>
      <c r="C20" s="11">
        <v>16</v>
      </c>
      <c r="D20" s="11">
        <v>0</v>
      </c>
      <c r="E20" s="11">
        <v>0</v>
      </c>
      <c r="F20" s="11">
        <v>492</v>
      </c>
      <c r="G20" s="10">
        <f t="shared" si="1"/>
        <v>528</v>
      </c>
      <c r="H20" s="22">
        <f t="shared" si="2"/>
        <v>0.54818983149392109</v>
      </c>
      <c r="I20" s="6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 x14ac:dyDescent="0.55000000000000004">
      <c r="A21" s="9" t="s">
        <v>40</v>
      </c>
      <c r="B21" s="11">
        <v>1</v>
      </c>
      <c r="C21" s="11">
        <v>0</v>
      </c>
      <c r="D21" s="11">
        <v>0</v>
      </c>
      <c r="E21" s="11">
        <v>0</v>
      </c>
      <c r="F21" s="11">
        <v>0</v>
      </c>
      <c r="G21" s="10">
        <f>B21+C21+D21+E21+F21</f>
        <v>1</v>
      </c>
      <c r="H21" s="22">
        <f t="shared" si="2"/>
        <v>1.0382383172233354E-3</v>
      </c>
      <c r="I21" s="6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 x14ac:dyDescent="0.55000000000000004">
      <c r="A22" s="9" t="s">
        <v>42</v>
      </c>
      <c r="B22" s="11">
        <v>12</v>
      </c>
      <c r="C22" s="11">
        <v>31</v>
      </c>
      <c r="D22" s="11">
        <v>0</v>
      </c>
      <c r="E22" s="11">
        <v>0</v>
      </c>
      <c r="F22" s="11">
        <v>0</v>
      </c>
      <c r="G22" s="10">
        <f t="shared" ref="G22:G31" si="3">SUM(B22:F22)</f>
        <v>43</v>
      </c>
      <c r="H22" s="22">
        <f t="shared" si="2"/>
        <v>4.4644247640603422E-2</v>
      </c>
      <c r="I22" s="6" t="s">
        <v>43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 x14ac:dyDescent="0.55000000000000004">
      <c r="A23" s="9" t="s">
        <v>44</v>
      </c>
      <c r="B23" s="11">
        <v>69</v>
      </c>
      <c r="C23" s="11">
        <v>131</v>
      </c>
      <c r="D23" s="11">
        <v>0</v>
      </c>
      <c r="E23" s="11">
        <v>0</v>
      </c>
      <c r="F23" s="11">
        <v>0</v>
      </c>
      <c r="G23" s="10">
        <f t="shared" si="3"/>
        <v>200</v>
      </c>
      <c r="H23" s="22">
        <f t="shared" si="2"/>
        <v>0.20764766344466709</v>
      </c>
      <c r="I23" s="6" t="s">
        <v>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 x14ac:dyDescent="0.55000000000000004">
      <c r="A24" s="9" t="s">
        <v>46</v>
      </c>
      <c r="B24" s="11">
        <v>0</v>
      </c>
      <c r="C24" s="11">
        <v>25</v>
      </c>
      <c r="D24" s="11">
        <v>64</v>
      </c>
      <c r="E24" s="11">
        <v>0</v>
      </c>
      <c r="F24" s="11">
        <v>0</v>
      </c>
      <c r="G24" s="10">
        <f t="shared" si="3"/>
        <v>89</v>
      </c>
      <c r="H24" s="22">
        <f t="shared" si="2"/>
        <v>9.2403210232876856E-2</v>
      </c>
      <c r="I24" s="6" t="s">
        <v>47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 x14ac:dyDescent="0.55000000000000004">
      <c r="A25" s="9" t="s">
        <v>48</v>
      </c>
      <c r="B25" s="11">
        <v>85</v>
      </c>
      <c r="C25" s="11">
        <v>497</v>
      </c>
      <c r="D25" s="11">
        <v>569</v>
      </c>
      <c r="E25" s="11">
        <v>668</v>
      </c>
      <c r="F25" s="11">
        <v>0</v>
      </c>
      <c r="G25" s="10">
        <f t="shared" si="3"/>
        <v>1819</v>
      </c>
      <c r="H25" s="22">
        <f t="shared" si="2"/>
        <v>1.8885554990292472</v>
      </c>
      <c r="I25" s="6" t="s">
        <v>49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 x14ac:dyDescent="0.55000000000000004">
      <c r="A26" s="9" t="s">
        <v>50</v>
      </c>
      <c r="B26" s="11">
        <v>122</v>
      </c>
      <c r="C26" s="11">
        <v>166</v>
      </c>
      <c r="D26" s="11">
        <v>188</v>
      </c>
      <c r="E26" s="11">
        <v>233</v>
      </c>
      <c r="F26" s="11">
        <v>2703</v>
      </c>
      <c r="G26" s="10">
        <f t="shared" si="3"/>
        <v>3412</v>
      </c>
      <c r="H26" s="22">
        <f t="shared" si="2"/>
        <v>3.5424691383660201</v>
      </c>
      <c r="I26" s="6" t="s">
        <v>51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 x14ac:dyDescent="0.55000000000000004">
      <c r="A27" s="9" t="s">
        <v>52</v>
      </c>
      <c r="B27" s="11">
        <v>747</v>
      </c>
      <c r="C27" s="11">
        <v>1333</v>
      </c>
      <c r="D27" s="11">
        <v>765</v>
      </c>
      <c r="E27" s="11">
        <v>641</v>
      </c>
      <c r="F27" s="11">
        <v>0</v>
      </c>
      <c r="G27" s="10">
        <f t="shared" si="3"/>
        <v>3486</v>
      </c>
      <c r="H27" s="22">
        <f t="shared" si="2"/>
        <v>3.6192987738405473</v>
      </c>
      <c r="I27" s="6" t="s">
        <v>53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 x14ac:dyDescent="0.55000000000000004">
      <c r="A28" s="9" t="s">
        <v>54</v>
      </c>
      <c r="B28" s="11">
        <v>33</v>
      </c>
      <c r="C28" s="11">
        <v>107</v>
      </c>
      <c r="D28" s="11">
        <v>319</v>
      </c>
      <c r="E28" s="11">
        <v>271</v>
      </c>
      <c r="F28" s="11">
        <v>1172</v>
      </c>
      <c r="G28" s="10">
        <f t="shared" si="3"/>
        <v>1902</v>
      </c>
      <c r="H28" s="22">
        <f t="shared" si="2"/>
        <v>1.9747292793587841</v>
      </c>
      <c r="I28" s="6" t="s">
        <v>55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55000000000000004">
      <c r="A29" s="9" t="s">
        <v>56</v>
      </c>
      <c r="B29" s="11">
        <v>9</v>
      </c>
      <c r="C29" s="11">
        <v>24</v>
      </c>
      <c r="D29" s="11">
        <v>0</v>
      </c>
      <c r="E29" s="11">
        <v>0</v>
      </c>
      <c r="F29" s="11">
        <v>0</v>
      </c>
      <c r="G29" s="10">
        <f t="shared" si="3"/>
        <v>33</v>
      </c>
      <c r="H29" s="22">
        <f t="shared" si="2"/>
        <v>3.4261864468370068E-2</v>
      </c>
      <c r="I29" s="6" t="s">
        <v>57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55000000000000004">
      <c r="A30" s="9" t="s">
        <v>58</v>
      </c>
      <c r="B30" s="11">
        <v>326</v>
      </c>
      <c r="C30" s="11">
        <v>465</v>
      </c>
      <c r="D30" s="11">
        <v>369</v>
      </c>
      <c r="E30" s="11">
        <v>165</v>
      </c>
      <c r="F30" s="11">
        <v>2123</v>
      </c>
      <c r="G30" s="10">
        <f t="shared" si="3"/>
        <v>3448</v>
      </c>
      <c r="H30" s="22">
        <f t="shared" si="2"/>
        <v>3.5798457177860605</v>
      </c>
      <c r="I30" s="6" t="s">
        <v>59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55000000000000004">
      <c r="A31" s="12" t="s">
        <v>60</v>
      </c>
      <c r="B31" s="14">
        <v>827</v>
      </c>
      <c r="C31" s="14">
        <v>1249</v>
      </c>
      <c r="D31" s="14">
        <v>375</v>
      </c>
      <c r="E31" s="14">
        <v>517</v>
      </c>
      <c r="F31" s="14">
        <v>3865</v>
      </c>
      <c r="G31" s="13">
        <f t="shared" si="3"/>
        <v>6833</v>
      </c>
      <c r="H31" s="26">
        <f t="shared" si="2"/>
        <v>7.0942824215870521</v>
      </c>
      <c r="I31" s="8" t="s">
        <v>61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55000000000000004">
      <c r="A32" s="29" t="s">
        <v>65</v>
      </c>
      <c r="B32" s="10"/>
      <c r="C32" s="10"/>
      <c r="D32" s="10"/>
      <c r="E32" s="10"/>
      <c r="F32" s="10"/>
      <c r="G32" s="10"/>
      <c r="H32" s="22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.75" customHeight="1" x14ac:dyDescent="0.5">
      <c r="A33" s="16" t="s">
        <v>3</v>
      </c>
      <c r="B33" s="1"/>
      <c r="C33" s="1"/>
      <c r="D33" s="1"/>
      <c r="E33" s="1"/>
      <c r="F33" s="1"/>
      <c r="G33" s="1"/>
      <c r="H33" s="17"/>
      <c r="I33" s="15" t="s">
        <v>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1"/>
      <c r="B34" s="1"/>
      <c r="C34" s="1"/>
      <c r="D34" s="27"/>
      <c r="E34" s="2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customHeight="1" x14ac:dyDescent="0.25">
      <c r="A53" s="1"/>
      <c r="B53" s="1"/>
      <c r="C53" s="1"/>
      <c r="D53" s="1"/>
      <c r="E53" s="1"/>
      <c r="F53" s="1"/>
      <c r="G53" s="1"/>
      <c r="H53" s="1"/>
      <c r="I53" s="3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</sheetData>
  <mergeCells count="6">
    <mergeCell ref="A1:I1"/>
    <mergeCell ref="H4:H5"/>
    <mergeCell ref="I4:I5"/>
    <mergeCell ref="B4:G4"/>
    <mergeCell ref="A4:A5"/>
    <mergeCell ref="A2:I2"/>
  </mergeCells>
  <pageMargins left="0.7" right="0.7" top="0.75" bottom="0.75" header="0" footer="0"/>
  <pageSetup paperSize="9" scale="73" orientation="landscape" horizontalDpi="4294967295" verticalDpi="4294967295" r:id="rId1"/>
  <rowBreaks count="1" manualBreakCount="1">
    <brk id="33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2019-05-12T04:36:07Z</cp:lastPrinted>
  <dcterms:created xsi:type="dcterms:W3CDTF">2019-02-21T04:10:17Z</dcterms:created>
  <dcterms:modified xsi:type="dcterms:W3CDTF">2019-05-12T04:36:19Z</dcterms:modified>
</cp:coreProperties>
</file>