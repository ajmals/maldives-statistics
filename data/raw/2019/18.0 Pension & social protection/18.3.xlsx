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8. PENSION AND SOCIAL PROTECTION\"/>
    </mc:Choice>
  </mc:AlternateContent>
  <bookViews>
    <workbookView xWindow="0" yWindow="0" windowWidth="28800" windowHeight="12330" tabRatio="841"/>
  </bookViews>
  <sheets>
    <sheet name="18.2" sheetId="2" r:id="rId1"/>
  </sheets>
  <definedNames>
    <definedName name="_xlnm.Print_Area" localSheetId="0">'18.2'!$A$1:$N$40</definedName>
  </definedNames>
  <calcPr calcId="162913"/>
</workbook>
</file>

<file path=xl/calcChain.xml><?xml version="1.0" encoding="utf-8"?>
<calcChain xmlns="http://schemas.openxmlformats.org/spreadsheetml/2006/main">
  <c r="V27" i="2" l="1"/>
  <c r="V26" i="2"/>
  <c r="V25" i="2"/>
  <c r="V24" i="2"/>
  <c r="M8" i="2"/>
  <c r="AK27" i="2" s="1"/>
  <c r="AC27" i="2" s="1"/>
  <c r="L8" i="2"/>
  <c r="AJ27" i="2" s="1"/>
  <c r="K8" i="2"/>
  <c r="AI27" i="2" s="1"/>
  <c r="AA27" i="2" s="1"/>
  <c r="J8" i="2"/>
  <c r="AK25" i="2" s="1"/>
  <c r="AC25" i="2" s="1"/>
  <c r="I8" i="2"/>
  <c r="AJ25" i="2" s="1"/>
  <c r="H8" i="2"/>
  <c r="AI25" i="2" s="1"/>
  <c r="AA25" i="2" s="1"/>
  <c r="G8" i="2"/>
  <c r="AK26" i="2" s="1"/>
  <c r="AC26" i="2" s="1"/>
  <c r="F8" i="2"/>
  <c r="AJ26" i="2" s="1"/>
  <c r="E8" i="2"/>
  <c r="AI26" i="2" s="1"/>
  <c r="AA26" i="2" s="1"/>
  <c r="D8" i="2"/>
  <c r="AK24" i="2" s="1"/>
  <c r="C8" i="2"/>
  <c r="AJ24" i="2" s="1"/>
  <c r="AB24" i="2" s="1"/>
  <c r="B8" i="2"/>
  <c r="AI24" i="2" s="1"/>
  <c r="AA24" i="2" s="1"/>
  <c r="AK28" i="2" l="1"/>
  <c r="AB27" i="2"/>
  <c r="AC24" i="2"/>
  <c r="AB26" i="2"/>
  <c r="AB25" i="2"/>
</calcChain>
</file>

<file path=xl/sharedStrings.xml><?xml version="1.0" encoding="utf-8"?>
<sst xmlns="http://schemas.openxmlformats.org/spreadsheetml/2006/main" count="45" uniqueCount="45">
  <si>
    <t>(In MVR)</t>
  </si>
  <si>
    <t>Month</t>
  </si>
  <si>
    <t>އަސާސީ ޕެންޝަން</t>
  </si>
  <si>
    <t>ރިޓަޔަރމަންޓް ޕެންޝަން</t>
  </si>
  <si>
    <t>އެހެނިހެން ޕެންޝަން</t>
  </si>
  <si>
    <t>ސީނިއަ ސިޓިޒަން އެލަވަންސް</t>
  </si>
  <si>
    <t>މަސް</t>
  </si>
  <si>
    <t>ޖުމްލަ</t>
  </si>
  <si>
    <t>Basic pension</t>
  </si>
  <si>
    <t>Retirement  pension</t>
  </si>
  <si>
    <t>Other  pension</t>
  </si>
  <si>
    <t xml:space="preserve"> Senior Citizen Allowance</t>
  </si>
  <si>
    <t>Total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</si>
  <si>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</si>
  <si>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</si>
  <si>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</si>
  <si>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</si>
  <si>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</si>
  <si>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</si>
  <si>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</si>
  <si>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</si>
  <si>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</si>
  <si>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</si>
  <si>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</si>
  <si>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</si>
  <si>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</si>
  <si>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</si>
  <si>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</si>
  <si>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</si>
  <si>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</si>
  <si>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</si>
  <si>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</si>
  <si>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</si>
  <si>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</si>
  <si>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</si>
  <si>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</si>
  <si>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</si>
  <si>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Senior Citizen Allowance was introduced in February 2014.</t>
  </si>
  <si>
    <t xml:space="preserve">ސީނިއަރ ސިޓިޒަން އެލަވަންސް ސްކީމް ތަޢާރަފުކުރެވިފައިވާ ފެބްރުއަރީ 2014 ގައެވެ. </t>
  </si>
  <si>
    <t>Source: Maldives Pension Administration</t>
  </si>
  <si>
    <t>މަޢުލޫމާތު ދެއްވި ފަރާތް: މޯލްޑިވްސް ޕެންޝަން އެޑްމިނިސްޓްރޭޝަން</t>
  </si>
  <si>
    <t>In million Rf</t>
  </si>
  <si>
    <t>In Rf</t>
  </si>
  <si>
    <t>ތާވަލު 18.2: އެކި މަސްމަހު ޕެންޝަންގެ ގޮތުގައި ސްކީމްތަކުން ދެވުނު މިންވަރު، 2016 - 2018</t>
  </si>
  <si>
    <t>TABLE   18.2: MONTHLY PENSION PAYOUTS BY SCHEME, 2016 - 2018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</si>
</sst>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15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b/>
      <sz val="9"/>
      <color rgb="FF262626"/>
      <name val="Calibri"/>
      <family val="2"/>
    </font>
    <font>
      <b/>
      <sz val="9"/>
      <color rgb="FF000000"/>
      <name val="Calibri"/>
      <family val="2"/>
    </font>
    <font>
      <sz val="11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b/>
      <sz val="9"/>
      <color rgb="FFFF0000"/>
      <name val="Calibri"/>
      <family val="2"/>
    </font>
    <font>
      <b/>
      <sz val="11"/>
      <color rgb="FF000000"/>
      <name val="Calibri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6E3BC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</borders>
  <cellStyleXfs count="4">
    <xf numFmtId="0" fontId="0" fillId="0" borderId="0"/>
    <xf numFmtId="164" fontId="14" fillId="0" borderId="17"/>
    <xf numFmtId="0" fontId="1" fillId="0" borderId="17"/>
    <xf numFmtId="0" fontId="1" fillId="0" borderId="17"/>
  </cellStyleXfs>
  <cellXfs count="76">
    <xf numFmtId="0" fontId="0" fillId="0" borderId="0" xfId="0" applyFont="1" applyAlignment="1"/>
    <xf numFmtId="0" fontId="0" fillId="2" borderId="2" xfId="0" applyFont="1" applyFill="1" applyBorder="1"/>
    <xf numFmtId="0" fontId="0" fillId="3" borderId="0" xfId="0" applyFont="1" applyFill="1" applyAlignment="1"/>
    <xf numFmtId="0" fontId="4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right" vertical="center"/>
    </xf>
    <xf numFmtId="0" fontId="0" fillId="2" borderId="2" xfId="0" applyFont="1" applyFill="1" applyBorder="1" applyAlignment="1">
      <alignment vertical="center"/>
    </xf>
    <xf numFmtId="0" fontId="4" fillId="2" borderId="12" xfId="0" applyFont="1" applyFill="1" applyBorder="1" applyAlignment="1">
      <alignment horizontal="right" vertical="center"/>
    </xf>
    <xf numFmtId="0" fontId="4" fillId="2" borderId="14" xfId="0" applyFont="1" applyFill="1" applyBorder="1" applyAlignment="1">
      <alignment horizontal="right" vertical="center"/>
    </xf>
    <xf numFmtId="0" fontId="4" fillId="2" borderId="13" xfId="0" applyFont="1" applyFill="1" applyBorder="1" applyAlignment="1">
      <alignment horizontal="right" vertical="center"/>
    </xf>
    <xf numFmtId="164" fontId="0" fillId="2" borderId="2" xfId="0" applyNumberFormat="1" applyFont="1" applyFill="1" applyBorder="1"/>
    <xf numFmtId="0" fontId="2" fillId="2" borderId="2" xfId="0" applyFont="1" applyFill="1" applyBorder="1" applyAlignment="1">
      <alignment horizontal="center" vertical="center"/>
    </xf>
    <xf numFmtId="0" fontId="0" fillId="2" borderId="17" xfId="0" applyFont="1" applyFill="1" applyBorder="1"/>
    <xf numFmtId="0" fontId="5" fillId="2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2" borderId="2" xfId="0" applyFont="1" applyFill="1" applyBorder="1"/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left" vertical="center"/>
    </xf>
    <xf numFmtId="3" fontId="4" fillId="2" borderId="2" xfId="0" applyNumberFormat="1" applyFont="1" applyFill="1" applyBorder="1" applyAlignment="1">
      <alignment horizontal="right" vertical="center"/>
    </xf>
    <xf numFmtId="3" fontId="4" fillId="2" borderId="2" xfId="0" applyNumberFormat="1" applyFont="1" applyFill="1" applyBorder="1" applyAlignment="1">
      <alignment vertical="center"/>
    </xf>
    <xf numFmtId="3" fontId="4" fillId="2" borderId="15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3" fontId="0" fillId="2" borderId="2" xfId="0" applyNumberFormat="1" applyFont="1" applyFill="1" applyBorder="1" applyAlignment="1">
      <alignment vertical="center"/>
    </xf>
    <xf numFmtId="3" fontId="0" fillId="4" borderId="15" xfId="0" applyNumberFormat="1" applyFont="1" applyFill="1" applyBorder="1" applyAlignment="1">
      <alignment vertical="center"/>
    </xf>
    <xf numFmtId="3" fontId="0" fillId="2" borderId="2" xfId="0" applyNumberFormat="1" applyFont="1" applyFill="1" applyBorder="1" applyAlignment="1">
      <alignment horizontal="right" vertical="center"/>
    </xf>
    <xf numFmtId="3" fontId="0" fillId="4" borderId="2" xfId="0" applyNumberFormat="1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right" vertical="center"/>
    </xf>
    <xf numFmtId="3" fontId="9" fillId="2" borderId="2" xfId="0" applyNumberFormat="1" applyFont="1" applyFill="1" applyBorder="1" applyAlignment="1">
      <alignment horizontal="right" vertical="center"/>
    </xf>
    <xf numFmtId="3" fontId="0" fillId="2" borderId="2" xfId="0" applyNumberFormat="1" applyFont="1" applyFill="1" applyBorder="1"/>
    <xf numFmtId="3" fontId="5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right"/>
    </xf>
    <xf numFmtId="3" fontId="0" fillId="2" borderId="12" xfId="0" applyNumberFormat="1" applyFont="1" applyFill="1" applyBorder="1" applyAlignment="1">
      <alignment vertical="center"/>
    </xf>
    <xf numFmtId="3" fontId="0" fillId="4" borderId="14" xfId="0" applyNumberFormat="1" applyFont="1" applyFill="1" applyBorder="1" applyAlignment="1">
      <alignment vertical="center"/>
    </xf>
    <xf numFmtId="3" fontId="0" fillId="2" borderId="12" xfId="0" applyNumberFormat="1" applyFont="1" applyFill="1" applyBorder="1" applyAlignment="1">
      <alignment horizontal="right" vertical="center"/>
    </xf>
    <xf numFmtId="3" fontId="0" fillId="4" borderId="12" xfId="0" applyNumberFormat="1" applyFont="1" applyFill="1" applyBorder="1" applyAlignment="1">
      <alignment horizontal="right" vertical="center"/>
    </xf>
    <xf numFmtId="0" fontId="9" fillId="2" borderId="12" xfId="0" applyFont="1" applyFill="1" applyBorder="1" applyAlignment="1">
      <alignment horizontal="right" vertical="center"/>
    </xf>
    <xf numFmtId="0" fontId="10" fillId="2" borderId="2" xfId="0" applyFont="1" applyFill="1" applyBorder="1" applyAlignment="1">
      <alignment vertical="center"/>
    </xf>
    <xf numFmtId="0" fontId="5" fillId="2" borderId="2" xfId="0" applyFont="1" applyFill="1" applyBorder="1"/>
    <xf numFmtId="0" fontId="11" fillId="2" borderId="2" xfId="0" applyFont="1" applyFill="1" applyBorder="1" applyAlignment="1">
      <alignment vertical="center"/>
    </xf>
    <xf numFmtId="0" fontId="5" fillId="2" borderId="17" xfId="0" applyFont="1" applyFill="1" applyBorder="1" applyAlignment="1">
      <alignment horizontal="center"/>
    </xf>
    <xf numFmtId="0" fontId="10" fillId="2" borderId="2" xfId="0" applyFont="1" applyFill="1" applyBorder="1"/>
    <xf numFmtId="3" fontId="5" fillId="2" borderId="2" xfId="0" applyNumberFormat="1" applyFont="1" applyFill="1" applyBorder="1"/>
    <xf numFmtId="0" fontId="11" fillId="2" borderId="2" xfId="0" applyFont="1" applyFill="1" applyBorder="1" applyAlignment="1"/>
    <xf numFmtId="0" fontId="11" fillId="2" borderId="2" xfId="0" applyFont="1" applyFill="1" applyBorder="1"/>
    <xf numFmtId="0" fontId="5" fillId="2" borderId="17" xfId="0" applyFont="1" applyFill="1" applyBorder="1"/>
    <xf numFmtId="0" fontId="8" fillId="2" borderId="2" xfId="0" applyFont="1" applyFill="1" applyBorder="1" applyAlignment="1">
      <alignment horizontal="right" vertical="center"/>
    </xf>
    <xf numFmtId="0" fontId="0" fillId="2" borderId="2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right" vertical="center"/>
    </xf>
    <xf numFmtId="3" fontId="0" fillId="3" borderId="0" xfId="0" applyNumberFormat="1" applyFont="1" applyFill="1" applyAlignment="1"/>
    <xf numFmtId="0" fontId="6" fillId="2" borderId="17" xfId="0" applyFont="1" applyFill="1" applyBorder="1"/>
    <xf numFmtId="0" fontId="0" fillId="2" borderId="2" xfId="0" applyFont="1" applyFill="1" applyBorder="1" applyAlignment="1">
      <alignment horizontal="left" vertical="center" indent="1"/>
    </xf>
    <xf numFmtId="0" fontId="0" fillId="2" borderId="12" xfId="0" applyFont="1" applyFill="1" applyBorder="1" applyAlignment="1">
      <alignment horizontal="left" vertical="center" indent="1"/>
    </xf>
    <xf numFmtId="0" fontId="12" fillId="2" borderId="1" xfId="0" applyFont="1" applyFill="1" applyBorder="1" applyAlignment="1">
      <alignment horizontal="center"/>
    </xf>
    <xf numFmtId="0" fontId="3" fillId="3" borderId="3" xfId="0" applyFont="1" applyFill="1" applyBorder="1"/>
    <xf numFmtId="0" fontId="3" fillId="3" borderId="4" xfId="0" applyFont="1" applyFill="1" applyBorder="1"/>
    <xf numFmtId="0" fontId="2" fillId="2" borderId="1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0" fontId="3" fillId="3" borderId="11" xfId="0" applyFont="1" applyFill="1" applyBorder="1"/>
    <xf numFmtId="0" fontId="13" fillId="2" borderId="1" xfId="0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right" vertical="center"/>
    </xf>
    <xf numFmtId="0" fontId="4" fillId="2" borderId="1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3" fontId="4" fillId="2" borderId="17" xfId="0" applyNumberFormat="1" applyFont="1" applyFill="1" applyBorder="1" applyAlignment="1">
      <alignment vertical="center"/>
    </xf>
    <xf numFmtId="3" fontId="0" fillId="2" borderId="17" xfId="0" applyNumberFormat="1" applyFont="1" applyFill="1" applyBorder="1" applyAlignment="1">
      <alignment vertical="center"/>
    </xf>
  </cellXfs>
  <cellStyles count="4">
    <cellStyle name="Normal" xfId="0" builtinId="0"/>
    <cellStyle name="Normal 12" xfId="3"/>
    <cellStyle name="Normal 2" xfId="1"/>
    <cellStyle name="Normal 3 2" xfId="2"/>
  </cellStyles>
  <dxfs count="0"/>
  <tableStyles count="0" defaultTableStyle="TableStyleMedium2" defaultPivotStyle="PivotStyleLight16"/>
  <colors>
    <mruColors>
      <color rgb="FFFFFFEB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6.89186743866195E-2"/>
          <c:y val="0.15093206372459256"/>
          <c:w val="0.90403112631198579"/>
          <c:h val="0.7358023561008362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'18.2'!$AA$23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rgbClr val="BF9000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'18.2'!$V$24:$V$27</c:f>
              <c:strCache>
                <c:ptCount val="4"/>
                <c:pt idx="0">
                  <c:v>Basic pension</c:v>
                </c:pt>
                <c:pt idx="1">
                  <c:v>Other  pension</c:v>
                </c:pt>
                <c:pt idx="2">
                  <c:v>Retirement  pension</c:v>
                </c:pt>
                <c:pt idx="3">
                  <c:v> Senior Citizen Allowance</c:v>
                </c:pt>
              </c:strCache>
            </c:strRef>
          </c:cat>
          <c:val>
            <c:numRef>
              <c:f>'18.2'!$AA$24:$AA$27</c:f>
              <c:numCache>
                <c:formatCode>_(* #,##0_);_(* \(#,##0\);_(* "-"??_);_(@_)</c:formatCode>
                <c:ptCount val="4"/>
                <c:pt idx="0">
                  <c:v>432.11594074999999</c:v>
                </c:pt>
                <c:pt idx="1">
                  <c:v>264.84195393999994</c:v>
                </c:pt>
                <c:pt idx="2">
                  <c:v>49.178627069999997</c:v>
                </c:pt>
                <c:pt idx="3">
                  <c:v>533.48253769000007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4ACB-4276-B2A7-EE61FC27565F}"/>
            </c:ext>
          </c:extLst>
        </c:ser>
        <c:ser>
          <c:idx val="1"/>
          <c:order val="1"/>
          <c:tx>
            <c:strRef>
              <c:f>'18.2'!$AB$23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FFD966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'18.2'!$V$24:$V$27</c:f>
              <c:strCache>
                <c:ptCount val="4"/>
                <c:pt idx="0">
                  <c:v>Basic pension</c:v>
                </c:pt>
                <c:pt idx="1">
                  <c:v>Other  pension</c:v>
                </c:pt>
                <c:pt idx="2">
                  <c:v>Retirement  pension</c:v>
                </c:pt>
                <c:pt idx="3">
                  <c:v> Senior Citizen Allowance</c:v>
                </c:pt>
              </c:strCache>
            </c:strRef>
          </c:cat>
          <c:val>
            <c:numRef>
              <c:f>'18.2'!$AB$24:$AB$27</c:f>
              <c:numCache>
                <c:formatCode>_(* #,##0_);_(* \(#,##0\);_(* "-"??_);_(@_)</c:formatCode>
                <c:ptCount val="4"/>
                <c:pt idx="0">
                  <c:v>435.25136824000003</c:v>
                </c:pt>
                <c:pt idx="1">
                  <c:v>270.65722773000005</c:v>
                </c:pt>
                <c:pt idx="2">
                  <c:v>54.585241880000005</c:v>
                </c:pt>
                <c:pt idx="3">
                  <c:v>539.03694702999996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4ACB-4276-B2A7-EE61FC27565F}"/>
            </c:ext>
          </c:extLst>
        </c:ser>
        <c:ser>
          <c:idx val="2"/>
          <c:order val="2"/>
          <c:tx>
            <c:strRef>
              <c:f>'18.2'!$AC$23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FFF2CC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'18.2'!$V$24:$V$27</c:f>
              <c:strCache>
                <c:ptCount val="4"/>
                <c:pt idx="0">
                  <c:v>Basic pension</c:v>
                </c:pt>
                <c:pt idx="1">
                  <c:v>Other  pension</c:v>
                </c:pt>
                <c:pt idx="2">
                  <c:v>Retirement  pension</c:v>
                </c:pt>
                <c:pt idx="3">
                  <c:v> Senior Citizen Allowance</c:v>
                </c:pt>
              </c:strCache>
            </c:strRef>
          </c:cat>
          <c:val>
            <c:numRef>
              <c:f>'18.2'!$AC$24:$AC$27</c:f>
              <c:numCache>
                <c:formatCode>_(* #,##0_);_(* \(#,##0\);_(* "-"??_);_(@_)</c:formatCode>
                <c:ptCount val="4"/>
                <c:pt idx="0">
                  <c:v>443.15210785000011</c:v>
                </c:pt>
                <c:pt idx="1">
                  <c:v>280.56057788999999</c:v>
                </c:pt>
                <c:pt idx="2">
                  <c:v>58.618929450000003</c:v>
                </c:pt>
                <c:pt idx="3">
                  <c:v>550.82376364999993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2-4ACB-4276-B2A7-EE61FC275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487093"/>
        <c:axId val="114171201"/>
      </c:barChart>
      <c:catAx>
        <c:axId val="209487093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1" i="0"/>
            </a:pPr>
            <a:endParaRPr lang="en-US"/>
          </a:p>
        </c:txPr>
        <c:crossAx val="114171201"/>
        <c:crosses val="autoZero"/>
        <c:auto val="1"/>
        <c:lblAlgn val="ctr"/>
        <c:lblOffset val="100"/>
        <c:noMultiLvlLbl val="1"/>
      </c:catAx>
      <c:valAx>
        <c:axId val="114171201"/>
        <c:scaling>
          <c:orientation val="minMax"/>
        </c:scaling>
        <c:delete val="0"/>
        <c:axPos val="l"/>
        <c:majorGridlines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800" b="1" i="0"/>
                </a:pPr>
                <a:r>
                  <a:rPr lang="en-US"/>
                  <a:t>In million MVR</a:t>
                </a:r>
              </a:p>
            </c:rich>
          </c:tx>
          <c:layout/>
          <c:overlay val="0"/>
        </c:title>
        <c:numFmt formatCode="_(* #,##0_);_(* \(#,##0\);_(* &quot;-&quot;??_);_(@_)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1" i="0"/>
            </a:pPr>
            <a:endParaRPr lang="en-US"/>
          </a:p>
        </c:txPr>
        <c:crossAx val="209487093"/>
        <c:crosses val="autoZero"/>
        <c:crossBetween val="between"/>
      </c:valAx>
      <c:spPr>
        <a:solidFill>
          <a:srgbClr val="FFFFEB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9019638820494288"/>
          <c:y val="0.19331624244643839"/>
          <c:w val="0.16117323114760065"/>
          <c:h val="5.5227675028993471E-2"/>
        </c:manualLayout>
      </c:layout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381000</xdr:colOff>
      <xdr:row>22</xdr:row>
      <xdr:rowOff>152400</xdr:rowOff>
    </xdr:from>
    <xdr:ext cx="8924925" cy="3276600"/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381000</xdr:colOff>
      <xdr:row>23</xdr:row>
      <xdr:rowOff>123825</xdr:rowOff>
    </xdr:from>
    <xdr:ext cx="5400675" cy="266700"/>
    <xdr:sp macro="" textlink="">
      <xdr:nvSpPr>
        <xdr:cNvPr id="3" name="Shape 3"/>
        <xdr:cNvSpPr txBox="1"/>
      </xdr:nvSpPr>
      <xdr:spPr>
        <a:xfrm>
          <a:off x="2581275" y="5676900"/>
          <a:ext cx="5400675" cy="2667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263"/>
            <a:buFont typeface="Consolas"/>
            <a:buNone/>
          </a:pPr>
          <a:r>
            <a:rPr lang="en-US" sz="1050" b="1" i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Figure 18.4: Pension payments made under different schemes, 2016 - 2018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M285"/>
  <sheetViews>
    <sheetView tabSelected="1" zoomScaleNormal="100" workbookViewId="0">
      <selection activeCell="P19" sqref="P19"/>
    </sheetView>
  </sheetViews>
  <sheetFormatPr defaultColWidth="14.42578125" defaultRowHeight="15" customHeight="1" x14ac:dyDescent="0.25"/>
  <cols>
    <col min="1" max="1" width="9.7109375" style="2" customWidth="1"/>
    <col min="2" max="13" width="12" style="2" customWidth="1"/>
    <col min="14" max="14" width="14.42578125" style="2" customWidth="1"/>
    <col min="15" max="20" width="15.140625" style="2" customWidth="1"/>
    <col min="21" max="21" width="24.7109375" style="2" customWidth="1"/>
    <col min="22" max="22" width="17" style="2" customWidth="1"/>
    <col min="23" max="23" width="9.7109375" style="2" customWidth="1"/>
    <col min="24" max="25" width="9.85546875" style="2" customWidth="1"/>
    <col min="26" max="26" width="10.140625" style="2" customWidth="1"/>
    <col min="27" max="30" width="10" style="2" customWidth="1"/>
    <col min="31" max="35" width="11" style="2" customWidth="1"/>
    <col min="36" max="36" width="15.140625" style="2" customWidth="1"/>
    <col min="37" max="16384" width="14.42578125" style="2"/>
  </cols>
  <sheetData>
    <row r="1" spans="1:36" ht="20.25" customHeight="1" x14ac:dyDescent="0.25">
      <c r="A1" s="64" t="s">
        <v>43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7"/>
      <c r="O1" s="10"/>
      <c r="P1" s="10"/>
      <c r="Q1" s="10"/>
      <c r="R1" s="10"/>
      <c r="S1" s="10"/>
      <c r="T1" s="10"/>
      <c r="U1" s="65"/>
      <c r="V1" s="56"/>
      <c r="W1" s="57"/>
      <c r="X1" s="1"/>
      <c r="Y1" s="1"/>
      <c r="Z1" s="1"/>
      <c r="AA1" s="1"/>
      <c r="AB1" s="1"/>
      <c r="AC1" s="11"/>
      <c r="AD1" s="1"/>
      <c r="AE1" s="1"/>
      <c r="AF1" s="1"/>
      <c r="AG1" s="1"/>
      <c r="AH1" s="1"/>
      <c r="AI1" s="1"/>
      <c r="AJ1" s="1"/>
    </row>
    <row r="2" spans="1:36" x14ac:dyDescent="0.25">
      <c r="A2" s="69" t="s">
        <v>44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7"/>
      <c r="O2" s="3"/>
      <c r="P2" s="3"/>
      <c r="Q2" s="3"/>
      <c r="R2" s="3"/>
      <c r="S2" s="3"/>
      <c r="T2" s="3"/>
      <c r="U2" s="1"/>
      <c r="V2" s="12"/>
      <c r="W2" s="12"/>
      <c r="X2" s="12"/>
      <c r="Y2" s="12"/>
      <c r="Z2" s="12"/>
      <c r="AA2" s="13"/>
      <c r="AB2" s="13"/>
      <c r="AC2" s="14"/>
      <c r="AD2" s="13"/>
      <c r="AE2" s="13"/>
      <c r="AF2" s="15"/>
      <c r="AG2" s="1"/>
      <c r="AH2" s="1"/>
      <c r="AI2" s="1"/>
      <c r="AJ2" s="1"/>
    </row>
    <row r="3" spans="1:36" ht="17.25" customHeight="1" x14ac:dyDescent="0.25">
      <c r="A3" s="70" t="s">
        <v>0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7"/>
      <c r="O3" s="3"/>
      <c r="P3" s="3"/>
      <c r="Q3" s="3"/>
      <c r="R3" s="3"/>
      <c r="S3" s="3"/>
      <c r="T3" s="3"/>
      <c r="U3" s="5"/>
      <c r="V3" s="16"/>
      <c r="W3" s="16"/>
      <c r="X3" s="16"/>
      <c r="Y3" s="16"/>
      <c r="Z3" s="16"/>
      <c r="AA3" s="17"/>
      <c r="AB3" s="17"/>
      <c r="AC3" s="18"/>
      <c r="AD3" s="17"/>
      <c r="AE3" s="17"/>
      <c r="AF3" s="19"/>
      <c r="AG3" s="5"/>
      <c r="AH3" s="5"/>
      <c r="AI3" s="1"/>
      <c r="AJ3" s="1"/>
    </row>
    <row r="4" spans="1:36" ht="1.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2"/>
      <c r="W4" s="12"/>
      <c r="X4" s="12"/>
      <c r="Y4" s="12"/>
      <c r="Z4" s="12"/>
      <c r="AA4" s="13"/>
      <c r="AB4" s="13"/>
      <c r="AC4" s="14"/>
      <c r="AD4" s="13"/>
      <c r="AE4" s="13"/>
      <c r="AF4" s="15"/>
      <c r="AG4" s="1"/>
      <c r="AH4" s="1"/>
      <c r="AI4" s="1"/>
      <c r="AJ4" s="1"/>
    </row>
    <row r="5" spans="1:36" ht="17.25" customHeight="1" x14ac:dyDescent="0.25">
      <c r="A5" s="66" t="s">
        <v>1</v>
      </c>
      <c r="B5" s="59" t="s">
        <v>2</v>
      </c>
      <c r="C5" s="59"/>
      <c r="D5" s="60"/>
      <c r="E5" s="59" t="s">
        <v>3</v>
      </c>
      <c r="F5" s="59"/>
      <c r="G5" s="60"/>
      <c r="H5" s="58" t="s">
        <v>4</v>
      </c>
      <c r="I5" s="59"/>
      <c r="J5" s="60"/>
      <c r="K5" s="58" t="s">
        <v>5</v>
      </c>
      <c r="L5" s="59"/>
      <c r="M5" s="59"/>
      <c r="N5" s="71" t="s">
        <v>6</v>
      </c>
      <c r="O5" s="4"/>
      <c r="P5" s="4"/>
      <c r="Q5" s="4"/>
      <c r="R5" s="4"/>
      <c r="S5" s="4"/>
      <c r="T5" s="4"/>
      <c r="U5" s="1"/>
      <c r="V5" s="12"/>
      <c r="W5" s="12"/>
      <c r="X5" s="12"/>
      <c r="Y5" s="12"/>
      <c r="Z5" s="12"/>
      <c r="AA5" s="13"/>
      <c r="AB5" s="13"/>
      <c r="AC5" s="14"/>
      <c r="AD5" s="13"/>
      <c r="AE5" s="13"/>
      <c r="AF5" s="15"/>
      <c r="AG5" s="1"/>
      <c r="AH5" s="1"/>
      <c r="AI5" s="1"/>
      <c r="AJ5" s="1"/>
    </row>
    <row r="6" spans="1:36" ht="15" customHeight="1" x14ac:dyDescent="0.25">
      <c r="A6" s="67"/>
      <c r="B6" s="72" t="s">
        <v>8</v>
      </c>
      <c r="C6" s="72"/>
      <c r="D6" s="73"/>
      <c r="E6" s="72" t="s">
        <v>9</v>
      </c>
      <c r="F6" s="72"/>
      <c r="G6" s="73"/>
      <c r="H6" s="61" t="s">
        <v>10</v>
      </c>
      <c r="I6" s="62"/>
      <c r="J6" s="63"/>
      <c r="K6" s="61" t="s">
        <v>11</v>
      </c>
      <c r="L6" s="62"/>
      <c r="M6" s="62"/>
      <c r="N6" s="67"/>
      <c r="O6" s="4"/>
      <c r="P6" s="4"/>
      <c r="Q6" s="4"/>
      <c r="R6" s="4"/>
      <c r="S6" s="4"/>
      <c r="T6" s="4"/>
      <c r="U6" s="1"/>
      <c r="V6" s="12"/>
      <c r="W6" s="12"/>
      <c r="X6" s="12"/>
      <c r="Y6" s="12"/>
      <c r="Z6" s="12"/>
      <c r="AA6" s="13"/>
      <c r="AB6" s="13"/>
      <c r="AC6" s="14"/>
      <c r="AD6" s="13"/>
      <c r="AE6" s="13"/>
      <c r="AF6" s="15"/>
      <c r="AG6" s="1"/>
      <c r="AH6" s="1"/>
      <c r="AI6" s="1"/>
      <c r="AJ6" s="1"/>
    </row>
    <row r="7" spans="1:36" ht="18" customHeight="1" x14ac:dyDescent="0.25">
      <c r="A7" s="68"/>
      <c r="B7" s="6">
        <v>2016</v>
      </c>
      <c r="C7" s="6">
        <v>2017</v>
      </c>
      <c r="D7" s="7">
        <v>2018</v>
      </c>
      <c r="E7" s="6">
        <v>2016</v>
      </c>
      <c r="F7" s="6">
        <v>2017</v>
      </c>
      <c r="G7" s="8">
        <v>2018</v>
      </c>
      <c r="H7" s="6">
        <v>2016</v>
      </c>
      <c r="I7" s="6">
        <v>2017</v>
      </c>
      <c r="J7" s="7">
        <v>2018</v>
      </c>
      <c r="K7" s="6">
        <v>2016</v>
      </c>
      <c r="L7" s="6">
        <v>2017</v>
      </c>
      <c r="M7" s="6">
        <v>2018</v>
      </c>
      <c r="N7" s="68"/>
      <c r="O7" s="4"/>
      <c r="P7" s="4"/>
      <c r="Q7" s="4"/>
      <c r="R7" s="4"/>
      <c r="S7" s="4"/>
      <c r="T7" s="4"/>
      <c r="U7" s="1"/>
      <c r="V7" s="12"/>
      <c r="W7" s="12"/>
      <c r="X7" s="12"/>
      <c r="Y7" s="12"/>
      <c r="Z7" s="12"/>
      <c r="AA7" s="13"/>
      <c r="AB7" s="13"/>
      <c r="AC7" s="14"/>
      <c r="AD7" s="13"/>
      <c r="AE7" s="13"/>
      <c r="AF7" s="15"/>
      <c r="AG7" s="1"/>
      <c r="AH7" s="1"/>
      <c r="AI7" s="1"/>
      <c r="AJ7" s="1"/>
    </row>
    <row r="8" spans="1:36" ht="21.75" customHeight="1" x14ac:dyDescent="0.25">
      <c r="A8" s="20" t="s">
        <v>12</v>
      </c>
      <c r="B8" s="74">
        <f t="shared" ref="B8:M8" si="0">SUM(B9:B20)</f>
        <v>432115940.75</v>
      </c>
      <c r="C8" s="74">
        <f t="shared" si="0"/>
        <v>435251368.24000001</v>
      </c>
      <c r="D8" s="23">
        <f t="shared" si="0"/>
        <v>443152107.85000008</v>
      </c>
      <c r="E8" s="74">
        <f t="shared" si="0"/>
        <v>49178627.07</v>
      </c>
      <c r="F8" s="22">
        <f t="shared" si="0"/>
        <v>54585241.880000003</v>
      </c>
      <c r="G8" s="23">
        <f t="shared" si="0"/>
        <v>58618929.450000003</v>
      </c>
      <c r="H8" s="22">
        <f t="shared" si="0"/>
        <v>264841953.93999997</v>
      </c>
      <c r="I8" s="22">
        <f t="shared" si="0"/>
        <v>270657227.73000002</v>
      </c>
      <c r="J8" s="23">
        <f t="shared" si="0"/>
        <v>280560577.88999999</v>
      </c>
      <c r="K8" s="21">
        <f t="shared" si="0"/>
        <v>533482537.69000006</v>
      </c>
      <c r="L8" s="21">
        <f t="shared" si="0"/>
        <v>539036947.02999997</v>
      </c>
      <c r="M8" s="21">
        <f t="shared" si="0"/>
        <v>550823763.64999998</v>
      </c>
      <c r="N8" s="24" t="s">
        <v>7</v>
      </c>
      <c r="O8" s="24"/>
      <c r="P8" s="24"/>
      <c r="Q8" s="24"/>
      <c r="R8" s="24"/>
      <c r="S8" s="24"/>
      <c r="T8" s="24"/>
      <c r="U8" s="1"/>
      <c r="V8" s="12"/>
      <c r="W8" s="12"/>
      <c r="X8" s="12"/>
      <c r="Y8" s="12"/>
      <c r="Z8" s="12"/>
      <c r="AA8" s="13"/>
      <c r="AB8" s="13"/>
      <c r="AC8" s="14"/>
      <c r="AD8" s="13"/>
      <c r="AE8" s="13"/>
      <c r="AF8" s="15"/>
      <c r="AG8" s="1"/>
      <c r="AH8" s="1"/>
      <c r="AI8" s="1"/>
      <c r="AJ8" s="1"/>
    </row>
    <row r="9" spans="1:36" ht="21.75" customHeight="1" x14ac:dyDescent="0.25">
      <c r="A9" s="53" t="s">
        <v>13</v>
      </c>
      <c r="B9" s="75">
        <v>35955634.759999998</v>
      </c>
      <c r="C9" s="75">
        <v>35968949.509999998</v>
      </c>
      <c r="D9" s="26">
        <v>36747189</v>
      </c>
      <c r="E9" s="75">
        <v>5056147.95</v>
      </c>
      <c r="F9" s="25">
        <v>3393007.22</v>
      </c>
      <c r="G9" s="26">
        <v>4966924.1900000004</v>
      </c>
      <c r="H9" s="25">
        <v>23053097.239999998</v>
      </c>
      <c r="I9" s="25">
        <v>21353747.300000001</v>
      </c>
      <c r="J9" s="26">
        <v>22997843.920000002</v>
      </c>
      <c r="K9" s="27">
        <v>44468675.030000001</v>
      </c>
      <c r="L9" s="27">
        <v>44461770.149999999</v>
      </c>
      <c r="M9" s="28">
        <v>45577506.369999997</v>
      </c>
      <c r="N9" s="29" t="s">
        <v>14</v>
      </c>
      <c r="O9" s="29"/>
      <c r="P9" s="29"/>
      <c r="Q9" s="30"/>
      <c r="R9" s="29"/>
      <c r="S9" s="29"/>
      <c r="T9" s="29"/>
      <c r="U9" s="31"/>
      <c r="V9" s="32"/>
      <c r="W9" s="12"/>
      <c r="X9" s="12"/>
      <c r="Y9" s="12"/>
      <c r="Z9" s="1"/>
      <c r="AA9" s="13"/>
      <c r="AB9" s="13"/>
      <c r="AC9" s="14"/>
      <c r="AD9" s="13"/>
      <c r="AE9" s="13"/>
      <c r="AF9" s="15"/>
      <c r="AG9" s="1"/>
      <c r="AH9" s="1"/>
      <c r="AI9" s="1"/>
      <c r="AJ9" s="1"/>
    </row>
    <row r="10" spans="1:36" ht="21.75" customHeight="1" x14ac:dyDescent="0.25">
      <c r="A10" s="53" t="s">
        <v>15</v>
      </c>
      <c r="B10" s="75">
        <v>36146670.710000001</v>
      </c>
      <c r="C10" s="75">
        <v>36236211.920000002</v>
      </c>
      <c r="D10" s="26">
        <v>37048460.609999999</v>
      </c>
      <c r="E10" s="75">
        <v>3751901.32</v>
      </c>
      <c r="F10" s="25">
        <v>2997796.21</v>
      </c>
      <c r="G10" s="26">
        <v>4755147.32</v>
      </c>
      <c r="H10" s="25">
        <v>21518501.73</v>
      </c>
      <c r="I10" s="25">
        <v>24529736.510000002</v>
      </c>
      <c r="J10" s="26">
        <v>25982204.170000002</v>
      </c>
      <c r="K10" s="27">
        <v>44633060.780000001</v>
      </c>
      <c r="L10" s="27">
        <v>44810914.170000002</v>
      </c>
      <c r="M10" s="28">
        <v>46034387.5</v>
      </c>
      <c r="N10" s="29" t="s">
        <v>16</v>
      </c>
      <c r="O10" s="29"/>
      <c r="P10" s="29"/>
      <c r="Q10" s="30"/>
      <c r="R10" s="29"/>
      <c r="S10" s="29"/>
      <c r="T10" s="29"/>
      <c r="U10" s="1"/>
      <c r="V10" s="32"/>
      <c r="W10" s="12"/>
      <c r="X10" s="12"/>
      <c r="Y10" s="12"/>
      <c r="Z10" s="1"/>
      <c r="AA10" s="13"/>
      <c r="AB10" s="13"/>
      <c r="AC10" s="14"/>
      <c r="AD10" s="13"/>
      <c r="AE10" s="13"/>
      <c r="AF10" s="15"/>
      <c r="AG10" s="1"/>
      <c r="AH10" s="1"/>
      <c r="AI10" s="1"/>
      <c r="AJ10" s="1"/>
    </row>
    <row r="11" spans="1:36" ht="21.75" customHeight="1" x14ac:dyDescent="0.25">
      <c r="A11" s="53" t="s">
        <v>17</v>
      </c>
      <c r="B11" s="75">
        <v>36063389.189999998</v>
      </c>
      <c r="C11" s="75">
        <v>36116743.340000004</v>
      </c>
      <c r="D11" s="26">
        <v>36970764.030000001</v>
      </c>
      <c r="E11" s="75">
        <v>3369545.15</v>
      </c>
      <c r="F11" s="25">
        <v>4636382.8099999996</v>
      </c>
      <c r="G11" s="26">
        <v>6350919.9199999999</v>
      </c>
      <c r="H11" s="25">
        <v>21786624.140000001</v>
      </c>
      <c r="I11" s="25">
        <v>20762005.899999999</v>
      </c>
      <c r="J11" s="26">
        <v>23647457.32</v>
      </c>
      <c r="K11" s="27">
        <v>44537862.530000001</v>
      </c>
      <c r="L11" s="27">
        <v>44721757.189999998</v>
      </c>
      <c r="M11" s="28">
        <v>45909139.420000002</v>
      </c>
      <c r="N11" s="29" t="s">
        <v>18</v>
      </c>
      <c r="O11" s="29"/>
      <c r="P11" s="29"/>
      <c r="Q11" s="30"/>
      <c r="R11" s="29"/>
      <c r="S11" s="29"/>
      <c r="T11" s="29"/>
      <c r="U11" s="1"/>
      <c r="V11" s="32"/>
      <c r="W11" s="12"/>
      <c r="X11" s="12"/>
      <c r="Y11" s="12"/>
      <c r="Z11" s="12"/>
      <c r="AA11" s="13"/>
      <c r="AB11" s="13"/>
      <c r="AC11" s="14"/>
      <c r="AD11" s="13"/>
      <c r="AE11" s="13"/>
      <c r="AF11" s="15"/>
      <c r="AG11" s="1"/>
      <c r="AH11" s="1"/>
      <c r="AI11" s="1"/>
      <c r="AJ11" s="1"/>
    </row>
    <row r="12" spans="1:36" ht="21.75" customHeight="1" x14ac:dyDescent="0.25">
      <c r="A12" s="53" t="s">
        <v>19</v>
      </c>
      <c r="B12" s="75">
        <v>36068663.939999998</v>
      </c>
      <c r="C12" s="75">
        <v>36230750.740000002</v>
      </c>
      <c r="D12" s="26">
        <v>37007732.969999999</v>
      </c>
      <c r="E12" s="75">
        <v>4183948.61</v>
      </c>
      <c r="F12" s="25">
        <v>6677343.46</v>
      </c>
      <c r="G12" s="26">
        <v>3639247.26</v>
      </c>
      <c r="H12" s="25">
        <v>22144329.760000002</v>
      </c>
      <c r="I12" s="25">
        <v>24685532.059999999</v>
      </c>
      <c r="J12" s="26">
        <v>23186276.129999999</v>
      </c>
      <c r="K12" s="27">
        <v>44571685.759999998</v>
      </c>
      <c r="L12" s="27">
        <v>44880317.399999999</v>
      </c>
      <c r="M12" s="28">
        <v>45996533.189999998</v>
      </c>
      <c r="N12" s="29" t="s">
        <v>20</v>
      </c>
      <c r="O12" s="29"/>
      <c r="P12" s="29"/>
      <c r="Q12" s="30"/>
      <c r="R12" s="29"/>
      <c r="S12" s="29"/>
      <c r="T12" s="29"/>
      <c r="U12" s="1"/>
      <c r="V12" s="32"/>
      <c r="W12" s="12"/>
      <c r="X12" s="12"/>
      <c r="Y12" s="12"/>
      <c r="Z12" s="12"/>
      <c r="AA12" s="13"/>
      <c r="AB12" s="13"/>
      <c r="AC12" s="14"/>
      <c r="AD12" s="13"/>
      <c r="AE12" s="13"/>
      <c r="AF12" s="15"/>
      <c r="AG12" s="1"/>
      <c r="AH12" s="1"/>
      <c r="AI12" s="1"/>
      <c r="AJ12" s="1"/>
    </row>
    <row r="13" spans="1:36" ht="21.75" customHeight="1" x14ac:dyDescent="0.25">
      <c r="A13" s="53" t="s">
        <v>21</v>
      </c>
      <c r="B13" s="75">
        <v>36109165.07</v>
      </c>
      <c r="C13" s="75">
        <v>36355611.409999996</v>
      </c>
      <c r="D13" s="26">
        <v>36938771.509999998</v>
      </c>
      <c r="E13" s="75">
        <v>3487923.03</v>
      </c>
      <c r="F13" s="25">
        <v>5085268.92</v>
      </c>
      <c r="G13" s="26">
        <v>3884879.53</v>
      </c>
      <c r="H13" s="25">
        <v>23541403.390000001</v>
      </c>
      <c r="I13" s="25">
        <v>22403673.059999999</v>
      </c>
      <c r="J13" s="26">
        <v>24211040.039999999</v>
      </c>
      <c r="K13" s="27">
        <v>44559908.899999999</v>
      </c>
      <c r="L13" s="27">
        <v>45031827.07</v>
      </c>
      <c r="M13" s="28">
        <v>45905014</v>
      </c>
      <c r="N13" s="29" t="s">
        <v>22</v>
      </c>
      <c r="O13" s="29"/>
      <c r="P13" s="29"/>
      <c r="Q13" s="29"/>
      <c r="R13" s="29"/>
      <c r="S13" s="29"/>
      <c r="T13" s="29"/>
      <c r="U13" s="1"/>
      <c r="V13" s="32"/>
      <c r="W13" s="12"/>
      <c r="X13" s="12"/>
      <c r="Y13" s="12"/>
      <c r="Z13" s="12"/>
      <c r="AA13" s="13"/>
      <c r="AB13" s="13"/>
      <c r="AC13" s="14"/>
      <c r="AD13" s="13"/>
      <c r="AE13" s="13"/>
      <c r="AF13" s="15"/>
      <c r="AG13" s="1"/>
      <c r="AH13" s="1"/>
      <c r="AI13" s="1"/>
      <c r="AJ13" s="1"/>
    </row>
    <row r="14" spans="1:36" ht="21.75" customHeight="1" x14ac:dyDescent="0.25">
      <c r="A14" s="53" t="s">
        <v>23</v>
      </c>
      <c r="B14" s="75">
        <v>36029004.759999998</v>
      </c>
      <c r="C14" s="75">
        <v>36298219.840000004</v>
      </c>
      <c r="D14" s="26">
        <v>36925696.890000001</v>
      </c>
      <c r="E14" s="75">
        <v>4518197.97</v>
      </c>
      <c r="F14" s="25">
        <v>3981105.07</v>
      </c>
      <c r="G14" s="26">
        <v>5207816.67</v>
      </c>
      <c r="H14" s="25">
        <v>21892976.16</v>
      </c>
      <c r="I14" s="25">
        <v>20519433.440000001</v>
      </c>
      <c r="J14" s="26">
        <v>22605156.52</v>
      </c>
      <c r="K14" s="27">
        <v>44460131.060000002</v>
      </c>
      <c r="L14" s="27">
        <v>44946197.149999999</v>
      </c>
      <c r="M14" s="28">
        <v>45901185.25</v>
      </c>
      <c r="N14" s="29" t="s">
        <v>24</v>
      </c>
      <c r="O14" s="29"/>
      <c r="P14" s="29"/>
      <c r="Q14" s="29"/>
      <c r="R14" s="29"/>
      <c r="S14" s="29"/>
      <c r="T14" s="29"/>
      <c r="U14" s="1"/>
      <c r="V14" s="32"/>
      <c r="W14" s="12"/>
      <c r="X14" s="12"/>
      <c r="Y14" s="12"/>
      <c r="Z14" s="12"/>
      <c r="AA14" s="13"/>
      <c r="AB14" s="13"/>
      <c r="AC14" s="14"/>
      <c r="AD14" s="13"/>
      <c r="AE14" s="13"/>
      <c r="AF14" s="15"/>
      <c r="AG14" s="1"/>
      <c r="AH14" s="1"/>
      <c r="AI14" s="1"/>
      <c r="AJ14" s="1"/>
    </row>
    <row r="15" spans="1:36" ht="21.75" customHeight="1" x14ac:dyDescent="0.25">
      <c r="A15" s="53" t="s">
        <v>25</v>
      </c>
      <c r="B15" s="75">
        <v>36001644.68</v>
      </c>
      <c r="C15" s="75">
        <v>36318836.100000001</v>
      </c>
      <c r="D15" s="26">
        <v>36963420.649999999</v>
      </c>
      <c r="E15" s="75">
        <v>2699440.83</v>
      </c>
      <c r="F15" s="25">
        <v>5261600.0999999996</v>
      </c>
      <c r="G15" s="26">
        <v>5418440.29</v>
      </c>
      <c r="H15" s="25">
        <v>21128570.030000001</v>
      </c>
      <c r="I15" s="25">
        <v>24752976.48</v>
      </c>
      <c r="J15" s="26">
        <v>21475970.510000002</v>
      </c>
      <c r="K15" s="27">
        <v>44393636.399999999</v>
      </c>
      <c r="L15" s="27">
        <v>44989173.789999999</v>
      </c>
      <c r="M15" s="28">
        <v>45986715.799999997</v>
      </c>
      <c r="N15" s="29" t="s">
        <v>26</v>
      </c>
      <c r="O15" s="29"/>
      <c r="P15" s="29"/>
      <c r="Q15" s="29"/>
      <c r="R15" s="29"/>
      <c r="S15" s="29"/>
      <c r="T15" s="29"/>
      <c r="U15" s="1"/>
      <c r="V15" s="32"/>
      <c r="W15" s="12"/>
      <c r="X15" s="12"/>
      <c r="Y15" s="12"/>
      <c r="Z15" s="12"/>
      <c r="AA15" s="13"/>
      <c r="AB15" s="13"/>
      <c r="AC15" s="14"/>
      <c r="AD15" s="13"/>
      <c r="AE15" s="13"/>
      <c r="AF15" s="15"/>
      <c r="AG15" s="1"/>
      <c r="AH15" s="1"/>
      <c r="AI15" s="1"/>
      <c r="AJ15" s="1"/>
    </row>
    <row r="16" spans="1:36" ht="21.75" customHeight="1" x14ac:dyDescent="0.25">
      <c r="A16" s="53" t="s">
        <v>27</v>
      </c>
      <c r="B16" s="75">
        <v>36033929.969999999</v>
      </c>
      <c r="C16" s="75">
        <v>36412397.18</v>
      </c>
      <c r="D16" s="26">
        <v>36987685.469999999</v>
      </c>
      <c r="E16" s="75">
        <v>2919856.3</v>
      </c>
      <c r="F16" s="25">
        <v>5162412.24</v>
      </c>
      <c r="G16" s="26">
        <v>4193156.14</v>
      </c>
      <c r="H16" s="25">
        <v>21944891.600000001</v>
      </c>
      <c r="I16" s="25">
        <v>22454599.140000001</v>
      </c>
      <c r="J16" s="26">
        <v>23526425.82</v>
      </c>
      <c r="K16" s="27">
        <v>44528204.109999999</v>
      </c>
      <c r="L16" s="27">
        <v>45041925.409999996</v>
      </c>
      <c r="M16" s="28">
        <v>46020459.649999999</v>
      </c>
      <c r="N16" s="29" t="s">
        <v>28</v>
      </c>
      <c r="O16" s="29"/>
      <c r="P16" s="29"/>
      <c r="Q16" s="29"/>
      <c r="R16" s="29"/>
      <c r="S16" s="29"/>
      <c r="T16" s="29"/>
      <c r="U16" s="1"/>
      <c r="V16" s="32"/>
      <c r="W16" s="12"/>
      <c r="X16" s="12"/>
      <c r="Y16" s="12"/>
      <c r="Z16" s="12"/>
      <c r="AA16" s="13"/>
      <c r="AB16" s="13"/>
      <c r="AC16" s="14"/>
      <c r="AD16" s="13"/>
      <c r="AE16" s="13"/>
      <c r="AF16" s="15"/>
      <c r="AG16" s="1"/>
      <c r="AH16" s="1"/>
      <c r="AI16" s="1"/>
      <c r="AJ16" s="1"/>
    </row>
    <row r="17" spans="1:39" ht="21.75" customHeight="1" x14ac:dyDescent="0.25">
      <c r="A17" s="53" t="s">
        <v>29</v>
      </c>
      <c r="B17" s="75">
        <v>36029592.990000002</v>
      </c>
      <c r="C17" s="75">
        <v>36446247.899999999</v>
      </c>
      <c r="D17" s="26">
        <v>36970532.670000002</v>
      </c>
      <c r="E17" s="75">
        <v>5714928.9100000001</v>
      </c>
      <c r="F17" s="25">
        <v>4291130.3600000003</v>
      </c>
      <c r="G17" s="26">
        <v>4639134.76</v>
      </c>
      <c r="H17" s="25">
        <v>21193752.359999999</v>
      </c>
      <c r="I17" s="25">
        <v>22721163.620000001</v>
      </c>
      <c r="J17" s="26">
        <v>23246985.52</v>
      </c>
      <c r="K17" s="27">
        <v>44435147.43</v>
      </c>
      <c r="L17" s="27">
        <v>45281804.299999997</v>
      </c>
      <c r="M17" s="28">
        <v>45982647.130000003</v>
      </c>
      <c r="N17" s="29" t="s">
        <v>30</v>
      </c>
      <c r="O17" s="29"/>
      <c r="P17" s="29"/>
      <c r="Q17" s="29"/>
      <c r="R17" s="29"/>
      <c r="S17" s="29"/>
      <c r="T17" s="29"/>
      <c r="U17" s="1"/>
      <c r="V17" s="32"/>
      <c r="W17" s="12"/>
      <c r="X17" s="12"/>
      <c r="Y17" s="12"/>
      <c r="Z17" s="12"/>
      <c r="AA17" s="13"/>
      <c r="AB17" s="13"/>
      <c r="AC17" s="14"/>
      <c r="AD17" s="13"/>
      <c r="AE17" s="13"/>
      <c r="AF17" s="15"/>
      <c r="AG17" s="1"/>
      <c r="AH17" s="1"/>
      <c r="AI17" s="1"/>
      <c r="AJ17" s="1"/>
    </row>
    <row r="18" spans="1:39" ht="21.75" customHeight="1" x14ac:dyDescent="0.25">
      <c r="A18" s="53" t="s">
        <v>31</v>
      </c>
      <c r="B18" s="75">
        <v>35962322.630000003</v>
      </c>
      <c r="C18" s="75">
        <v>36282949.869999997</v>
      </c>
      <c r="D18" s="26">
        <v>36881683.780000001</v>
      </c>
      <c r="E18" s="75">
        <v>5737680.6399999997</v>
      </c>
      <c r="F18" s="25">
        <v>5262311.57</v>
      </c>
      <c r="G18" s="26">
        <v>5013889.07</v>
      </c>
      <c r="H18" s="25">
        <v>22752764.34</v>
      </c>
      <c r="I18" s="25">
        <v>22527771.489999998</v>
      </c>
      <c r="J18" s="26">
        <v>23295345.75</v>
      </c>
      <c r="K18" s="27">
        <v>44405359.340000004</v>
      </c>
      <c r="L18" s="27">
        <v>44969354.149999999</v>
      </c>
      <c r="M18" s="28">
        <v>45894130.229999997</v>
      </c>
      <c r="N18" s="29" t="s">
        <v>32</v>
      </c>
      <c r="O18" s="29"/>
      <c r="P18" s="29"/>
      <c r="Q18" s="29"/>
      <c r="R18" s="29"/>
      <c r="S18" s="29"/>
      <c r="T18" s="29"/>
      <c r="U18" s="1"/>
      <c r="V18" s="32"/>
      <c r="W18" s="12"/>
      <c r="X18" s="12"/>
      <c r="Y18" s="12"/>
      <c r="Z18" s="12"/>
      <c r="AA18" s="13"/>
      <c r="AB18" s="13"/>
      <c r="AC18" s="14"/>
      <c r="AD18" s="13"/>
      <c r="AE18" s="13"/>
      <c r="AF18" s="15"/>
      <c r="AG18" s="1"/>
      <c r="AH18" s="1"/>
      <c r="AI18" s="1"/>
      <c r="AJ18" s="1"/>
    </row>
    <row r="19" spans="1:39" ht="21.75" customHeight="1" x14ac:dyDescent="0.55000000000000004">
      <c r="A19" s="53" t="s">
        <v>33</v>
      </c>
      <c r="B19" s="75">
        <v>35841590.75</v>
      </c>
      <c r="C19" s="75">
        <v>36333466.950000003</v>
      </c>
      <c r="D19" s="26">
        <v>36867780.420000002</v>
      </c>
      <c r="E19" s="75">
        <v>6161778.1299999999</v>
      </c>
      <c r="F19" s="25">
        <v>4462791.46</v>
      </c>
      <c r="G19" s="26">
        <v>6112626.2000000002</v>
      </c>
      <c r="H19" s="25">
        <v>22374591.18</v>
      </c>
      <c r="I19" s="25">
        <v>22169535.789999999</v>
      </c>
      <c r="J19" s="26">
        <v>23794397.079999998</v>
      </c>
      <c r="K19" s="27">
        <v>44228858.57</v>
      </c>
      <c r="L19" s="27">
        <v>45004333.439999998</v>
      </c>
      <c r="M19" s="28">
        <v>45831243.82</v>
      </c>
      <c r="N19" s="33" t="s">
        <v>34</v>
      </c>
      <c r="O19" s="33"/>
      <c r="P19" s="33"/>
      <c r="Q19" s="33"/>
      <c r="R19" s="33"/>
      <c r="S19" s="33"/>
      <c r="T19" s="33"/>
      <c r="U19" s="1"/>
      <c r="V19" s="32"/>
      <c r="W19" s="12"/>
      <c r="X19" s="12"/>
      <c r="Y19" s="12"/>
      <c r="Z19" s="12"/>
      <c r="AA19" s="13"/>
      <c r="AB19" s="13"/>
      <c r="AC19" s="14"/>
      <c r="AD19" s="13"/>
      <c r="AE19" s="13"/>
      <c r="AF19" s="15"/>
      <c r="AG19" s="1"/>
      <c r="AH19" s="1"/>
      <c r="AI19" s="1"/>
      <c r="AJ19" s="1"/>
    </row>
    <row r="20" spans="1:39" ht="21.75" customHeight="1" x14ac:dyDescent="0.25">
      <c r="A20" s="54" t="s">
        <v>35</v>
      </c>
      <c r="B20" s="34">
        <v>35874331.299999997</v>
      </c>
      <c r="C20" s="34">
        <v>36250983.479999997</v>
      </c>
      <c r="D20" s="35">
        <v>36842389.850000001</v>
      </c>
      <c r="E20" s="34">
        <v>1577278.23</v>
      </c>
      <c r="F20" s="34">
        <v>3374092.46</v>
      </c>
      <c r="G20" s="35">
        <v>4436748.0999999996</v>
      </c>
      <c r="H20" s="34">
        <v>21510452.010000002</v>
      </c>
      <c r="I20" s="34">
        <v>21777052.940000001</v>
      </c>
      <c r="J20" s="35">
        <v>22591475.109999999</v>
      </c>
      <c r="K20" s="36">
        <v>44260007.780000001</v>
      </c>
      <c r="L20" s="36">
        <v>44897572.810000002</v>
      </c>
      <c r="M20" s="37">
        <v>45784801.289999999</v>
      </c>
      <c r="N20" s="38" t="s">
        <v>36</v>
      </c>
      <c r="O20" s="29"/>
      <c r="P20" s="29"/>
      <c r="Q20" s="29"/>
      <c r="R20" s="29"/>
      <c r="S20" s="29"/>
      <c r="T20" s="29"/>
      <c r="U20" s="1"/>
      <c r="V20" s="32"/>
      <c r="W20" s="12"/>
      <c r="X20" s="12"/>
      <c r="Y20" s="12"/>
      <c r="Z20" s="12"/>
      <c r="AA20" s="13"/>
      <c r="AB20" s="13"/>
      <c r="AC20" s="14"/>
      <c r="AD20" s="13"/>
      <c r="AE20" s="13"/>
      <c r="AF20" s="15"/>
      <c r="AG20" s="1"/>
      <c r="AH20" s="1"/>
      <c r="AI20" s="1"/>
      <c r="AJ20" s="1"/>
    </row>
    <row r="21" spans="1:39" ht="17.25" customHeight="1" x14ac:dyDescent="0.25">
      <c r="A21" s="39" t="s">
        <v>37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1" t="s">
        <v>38</v>
      </c>
      <c r="O21" s="41"/>
      <c r="P21" s="41"/>
      <c r="Q21" s="41"/>
      <c r="R21" s="41"/>
      <c r="S21" s="41"/>
      <c r="T21" s="41"/>
      <c r="U21" s="40"/>
      <c r="V21" s="32"/>
      <c r="W21" s="12"/>
      <c r="X21" s="12"/>
      <c r="Y21" s="12"/>
      <c r="Z21" s="12"/>
      <c r="AA21" s="12"/>
      <c r="AB21" s="12"/>
      <c r="AC21" s="42"/>
      <c r="AD21" s="12"/>
      <c r="AE21" s="12"/>
      <c r="AF21" s="40"/>
      <c r="AG21" s="40"/>
      <c r="AH21" s="40"/>
      <c r="AI21" s="1"/>
      <c r="AJ21" s="1"/>
    </row>
    <row r="22" spans="1:39" ht="17.25" customHeight="1" x14ac:dyDescent="0.45">
      <c r="A22" s="43" t="s">
        <v>39</v>
      </c>
      <c r="B22" s="40"/>
      <c r="C22" s="40"/>
      <c r="D22" s="40"/>
      <c r="E22" s="44"/>
      <c r="F22" s="44"/>
      <c r="G22" s="44"/>
      <c r="H22" s="40"/>
      <c r="I22" s="40"/>
      <c r="J22" s="40"/>
      <c r="K22" s="40"/>
      <c r="L22" s="40"/>
      <c r="M22" s="40"/>
      <c r="N22" s="45" t="s">
        <v>40</v>
      </c>
      <c r="O22" s="46"/>
      <c r="P22" s="46"/>
      <c r="Q22" s="46"/>
      <c r="R22" s="46"/>
      <c r="S22" s="46"/>
      <c r="T22" s="46"/>
      <c r="U22" s="40"/>
      <c r="V22" s="32"/>
      <c r="W22" s="55" t="s">
        <v>41</v>
      </c>
      <c r="X22" s="56"/>
      <c r="Y22" s="56"/>
      <c r="Z22" s="57"/>
      <c r="AA22" s="40"/>
      <c r="AB22" s="40"/>
      <c r="AC22" s="47"/>
      <c r="AD22" s="40"/>
      <c r="AE22" s="55" t="s">
        <v>42</v>
      </c>
      <c r="AF22" s="56"/>
      <c r="AG22" s="56"/>
      <c r="AH22" s="57"/>
      <c r="AI22" s="1"/>
      <c r="AJ22" s="1"/>
    </row>
    <row r="23" spans="1:39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32"/>
      <c r="W23" s="12">
        <v>2012</v>
      </c>
      <c r="X23" s="12">
        <v>2013</v>
      </c>
      <c r="Y23" s="12">
        <v>2014</v>
      </c>
      <c r="Z23" s="12">
        <v>2015</v>
      </c>
      <c r="AA23" s="12">
        <v>2016</v>
      </c>
      <c r="AB23" s="12">
        <v>2017</v>
      </c>
      <c r="AC23" s="12">
        <v>2018</v>
      </c>
      <c r="AD23" s="12"/>
      <c r="AE23" s="48">
        <v>2012</v>
      </c>
      <c r="AF23" s="48">
        <v>2013</v>
      </c>
      <c r="AG23" s="48">
        <v>2014</v>
      </c>
      <c r="AH23" s="48">
        <v>2015</v>
      </c>
      <c r="AI23" s="48">
        <v>2016</v>
      </c>
      <c r="AJ23" s="48">
        <v>2017</v>
      </c>
      <c r="AK23" s="48">
        <v>2018</v>
      </c>
    </row>
    <row r="24" spans="1:39" ht="15.75" customHeight="1" x14ac:dyDescent="0.25">
      <c r="A24" s="5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 t="str">
        <f>B6</f>
        <v>Basic pension</v>
      </c>
      <c r="W24" s="9">
        <v>414.73893651999998</v>
      </c>
      <c r="X24" s="9">
        <v>421.20435024000005</v>
      </c>
      <c r="Y24" s="9">
        <v>431.70710244000009</v>
      </c>
      <c r="Z24" s="9">
        <v>426.99923999999999</v>
      </c>
      <c r="AA24" s="9">
        <f t="shared" ref="AA24" si="1">AI24/1000000</f>
        <v>432.11594074999999</v>
      </c>
      <c r="AB24" s="9">
        <f>AJ24/1000000</f>
        <v>435.25136824000003</v>
      </c>
      <c r="AC24" s="9">
        <f>AK24/1000000</f>
        <v>443.15210785000011</v>
      </c>
      <c r="AD24" s="9"/>
      <c r="AE24" s="27">
        <v>414738936.51999998</v>
      </c>
      <c r="AF24" s="27">
        <v>421204350.24000007</v>
      </c>
      <c r="AG24" s="27">
        <v>431707102.44000006</v>
      </c>
      <c r="AH24" s="27">
        <v>426999240</v>
      </c>
      <c r="AI24" s="27">
        <f>B8</f>
        <v>432115940.75</v>
      </c>
      <c r="AJ24" s="27">
        <f>C8</f>
        <v>435251368.24000001</v>
      </c>
      <c r="AK24" s="27">
        <f>D8</f>
        <v>443152107.85000008</v>
      </c>
    </row>
    <row r="25" spans="1:39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 t="str">
        <f>H6</f>
        <v>Other  pension</v>
      </c>
      <c r="W25" s="9">
        <v>240.70123962</v>
      </c>
      <c r="X25" s="9">
        <v>244.38423925999996</v>
      </c>
      <c r="Y25" s="9">
        <v>259.55405459000002</v>
      </c>
      <c r="Z25" s="9">
        <v>260.11826270999995</v>
      </c>
      <c r="AA25" s="9">
        <f t="shared" ref="AA25:AC25" si="2">AI25/1000000</f>
        <v>264.84195393999994</v>
      </c>
      <c r="AB25" s="9">
        <f t="shared" si="2"/>
        <v>270.65722773000005</v>
      </c>
      <c r="AC25" s="9">
        <f t="shared" si="2"/>
        <v>280.56057788999999</v>
      </c>
      <c r="AD25" s="9"/>
      <c r="AE25" s="27">
        <v>240701239.62</v>
      </c>
      <c r="AF25" s="27">
        <v>244384239.25999996</v>
      </c>
      <c r="AG25" s="27">
        <v>259554054.59000003</v>
      </c>
      <c r="AH25" s="27">
        <v>260118262.70999998</v>
      </c>
      <c r="AI25" s="27">
        <f>H8</f>
        <v>264841953.93999997</v>
      </c>
      <c r="AJ25" s="27">
        <f>I8</f>
        <v>270657227.73000002</v>
      </c>
      <c r="AK25" s="27">
        <f>J8</f>
        <v>280560577.88999999</v>
      </c>
      <c r="AL25" s="27"/>
      <c r="AM25" s="27"/>
    </row>
    <row r="26" spans="1:39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 t="str">
        <f>E6</f>
        <v>Retirement  pension</v>
      </c>
      <c r="W26" s="9">
        <v>21.452251599999997</v>
      </c>
      <c r="X26" s="9">
        <v>25.887906539999999</v>
      </c>
      <c r="Y26" s="9">
        <v>35.973669200000003</v>
      </c>
      <c r="Z26" s="9">
        <v>48.839669629999996</v>
      </c>
      <c r="AA26" s="9">
        <f t="shared" ref="AA26:AC26" si="3">AI26/1000000</f>
        <v>49.178627069999997</v>
      </c>
      <c r="AB26" s="9">
        <f t="shared" si="3"/>
        <v>54.585241880000005</v>
      </c>
      <c r="AC26" s="9">
        <f t="shared" si="3"/>
        <v>58.618929450000003</v>
      </c>
      <c r="AD26" s="9"/>
      <c r="AE26" s="27">
        <v>21452251.599999998</v>
      </c>
      <c r="AF26" s="27">
        <v>25887906.539999999</v>
      </c>
      <c r="AG26" s="27">
        <v>35973669.200000003</v>
      </c>
      <c r="AH26" s="27">
        <v>48839669.629999995</v>
      </c>
      <c r="AI26" s="27">
        <f>E8</f>
        <v>49178627.07</v>
      </c>
      <c r="AJ26" s="27">
        <f>F8</f>
        <v>54585241.880000003</v>
      </c>
      <c r="AK26" s="27">
        <f>G8</f>
        <v>58618929.450000003</v>
      </c>
    </row>
    <row r="27" spans="1:39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 t="str">
        <f>K6</f>
        <v xml:space="preserve"> Senior Citizen Allowance</v>
      </c>
      <c r="W27" s="9">
        <v>0</v>
      </c>
      <c r="X27" s="9">
        <v>0</v>
      </c>
      <c r="Y27" s="9">
        <v>471.31171134999994</v>
      </c>
      <c r="Z27" s="9">
        <v>524.5473284599999</v>
      </c>
      <c r="AA27" s="9">
        <f t="shared" ref="AA27:AC27" si="4">AI27/1000000</f>
        <v>533.48253769000007</v>
      </c>
      <c r="AB27" s="9">
        <f t="shared" si="4"/>
        <v>539.03694702999996</v>
      </c>
      <c r="AC27" s="9">
        <f t="shared" si="4"/>
        <v>550.82376364999993</v>
      </c>
      <c r="AD27" s="9"/>
      <c r="AE27" s="49">
        <v>0</v>
      </c>
      <c r="AF27" s="49">
        <v>0</v>
      </c>
      <c r="AG27" s="27">
        <v>471311711.34999996</v>
      </c>
      <c r="AH27" s="27">
        <v>524547328.45999992</v>
      </c>
      <c r="AI27" s="27">
        <f t="shared" ref="AI27" si="5">K8</f>
        <v>533482537.69000006</v>
      </c>
      <c r="AJ27" s="27">
        <f t="shared" ref="AJ27" si="6">L8</f>
        <v>539036947.02999997</v>
      </c>
      <c r="AK27" s="27">
        <f t="shared" ref="AK27" si="7">M8</f>
        <v>550823763.64999998</v>
      </c>
    </row>
    <row r="28" spans="1:39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2"/>
      <c r="W28" s="12"/>
      <c r="X28" s="13"/>
      <c r="Y28" s="13"/>
      <c r="Z28" s="1"/>
      <c r="AA28" s="1"/>
      <c r="AB28" s="1"/>
      <c r="AC28" s="11"/>
      <c r="AD28" s="1"/>
      <c r="AE28" s="50"/>
      <c r="AF28" s="50"/>
      <c r="AG28" s="49"/>
      <c r="AH28" s="49"/>
      <c r="AI28" s="49"/>
      <c r="AJ28" s="1"/>
      <c r="AK28" s="51">
        <f>SUM(AK24:AK27)</f>
        <v>1333155378.8400002</v>
      </c>
    </row>
    <row r="29" spans="1:39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2"/>
      <c r="W29" s="12"/>
      <c r="X29" s="13"/>
      <c r="Y29" s="13"/>
      <c r="Z29" s="13"/>
      <c r="AA29" s="15"/>
      <c r="AB29" s="15"/>
      <c r="AC29" s="52"/>
      <c r="AD29" s="15"/>
      <c r="AE29" s="1"/>
      <c r="AF29" s="1"/>
      <c r="AG29" s="1"/>
      <c r="AH29" s="1"/>
      <c r="AI29" s="1"/>
      <c r="AJ29" s="1"/>
    </row>
    <row r="30" spans="1:39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1"/>
      <c r="AD30" s="1"/>
      <c r="AE30" s="1"/>
      <c r="AF30" s="1"/>
      <c r="AG30" s="1"/>
      <c r="AH30" s="1"/>
      <c r="AI30" s="1"/>
      <c r="AJ30" s="1"/>
    </row>
    <row r="31" spans="1:39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1"/>
      <c r="AD31" s="1"/>
      <c r="AE31" s="1"/>
      <c r="AF31" s="1"/>
      <c r="AG31" s="1"/>
      <c r="AH31" s="1"/>
      <c r="AI31" s="1"/>
      <c r="AJ31" s="1"/>
    </row>
    <row r="32" spans="1:39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1"/>
      <c r="AD32" s="1"/>
      <c r="AE32" s="1"/>
      <c r="AF32" s="1"/>
      <c r="AG32" s="1"/>
      <c r="AH32" s="1"/>
      <c r="AI32" s="1"/>
      <c r="AJ32" s="1"/>
    </row>
    <row r="33" spans="1:3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1"/>
      <c r="AD33" s="1"/>
      <c r="AE33" s="1"/>
      <c r="AF33" s="1"/>
      <c r="AG33" s="1"/>
      <c r="AH33" s="1"/>
      <c r="AI33" s="1"/>
      <c r="AJ33" s="1"/>
    </row>
    <row r="34" spans="1:3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1"/>
      <c r="AD34" s="1"/>
      <c r="AE34" s="1"/>
      <c r="AF34" s="1"/>
      <c r="AG34" s="1"/>
      <c r="AH34" s="1"/>
      <c r="AI34" s="1"/>
      <c r="AJ34" s="1"/>
    </row>
    <row r="35" spans="1:3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1"/>
      <c r="AD35" s="1"/>
      <c r="AE35" s="1"/>
      <c r="AF35" s="1"/>
      <c r="AG35" s="1"/>
      <c r="AH35" s="1"/>
      <c r="AI35" s="1"/>
      <c r="AJ35" s="1"/>
    </row>
    <row r="36" spans="1:3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1"/>
      <c r="AD36" s="1"/>
      <c r="AE36" s="1"/>
      <c r="AF36" s="1"/>
      <c r="AG36" s="1"/>
      <c r="AH36" s="1"/>
      <c r="AI36" s="1"/>
      <c r="AJ36" s="1"/>
    </row>
    <row r="37" spans="1:3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1"/>
      <c r="AD37" s="1"/>
      <c r="AE37" s="1"/>
      <c r="AF37" s="1"/>
      <c r="AG37" s="1"/>
      <c r="AH37" s="1"/>
      <c r="AI37" s="1"/>
      <c r="AJ37" s="1"/>
    </row>
    <row r="38" spans="1:3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1"/>
      <c r="AD38" s="1"/>
      <c r="AE38" s="1"/>
      <c r="AF38" s="1"/>
      <c r="AG38" s="1"/>
      <c r="AH38" s="1"/>
      <c r="AI38" s="1"/>
      <c r="AJ38" s="1"/>
    </row>
    <row r="39" spans="1:3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1"/>
      <c r="AD39" s="1"/>
      <c r="AE39" s="1"/>
      <c r="AF39" s="1"/>
      <c r="AG39" s="1"/>
      <c r="AH39" s="1"/>
      <c r="AI39" s="1"/>
      <c r="AJ39" s="1"/>
    </row>
    <row r="40" spans="1:3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1"/>
      <c r="AD40" s="1"/>
      <c r="AE40" s="1"/>
      <c r="AF40" s="1"/>
      <c r="AG40" s="1"/>
      <c r="AH40" s="1"/>
      <c r="AI40" s="1"/>
      <c r="AJ40" s="1"/>
    </row>
    <row r="41" spans="1:3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1"/>
      <c r="AD41" s="1"/>
      <c r="AE41" s="1"/>
      <c r="AF41" s="1"/>
      <c r="AG41" s="1"/>
      <c r="AH41" s="1"/>
      <c r="AI41" s="1"/>
      <c r="AJ41" s="1"/>
    </row>
    <row r="42" spans="1:3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1"/>
      <c r="AD42" s="1"/>
      <c r="AE42" s="1"/>
      <c r="AF42" s="1"/>
      <c r="AG42" s="1"/>
      <c r="AH42" s="1"/>
      <c r="AI42" s="1"/>
      <c r="AJ42" s="1"/>
    </row>
    <row r="43" spans="1:3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1"/>
      <c r="AD43" s="1"/>
      <c r="AE43" s="1"/>
      <c r="AF43" s="1"/>
      <c r="AG43" s="1"/>
      <c r="AH43" s="1"/>
      <c r="AI43" s="1"/>
      <c r="AJ43" s="1"/>
    </row>
    <row r="44" spans="1:3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1"/>
      <c r="AD44" s="1"/>
      <c r="AE44" s="1"/>
      <c r="AF44" s="1"/>
      <c r="AG44" s="1"/>
      <c r="AH44" s="1"/>
      <c r="AI44" s="1"/>
      <c r="AJ44" s="1"/>
    </row>
    <row r="45" spans="1:3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1"/>
      <c r="AD45" s="1"/>
      <c r="AE45" s="1"/>
      <c r="AF45" s="1"/>
      <c r="AG45" s="1"/>
      <c r="AH45" s="1"/>
      <c r="AI45" s="1"/>
      <c r="AJ45" s="1"/>
    </row>
    <row r="46" spans="1:3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1"/>
      <c r="AD46" s="1"/>
      <c r="AE46" s="1"/>
      <c r="AF46" s="1"/>
      <c r="AG46" s="1"/>
      <c r="AH46" s="1"/>
      <c r="AI46" s="1"/>
      <c r="AJ46" s="1"/>
    </row>
    <row r="47" spans="1:3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1"/>
      <c r="AD47" s="1"/>
      <c r="AE47" s="1"/>
      <c r="AF47" s="1"/>
      <c r="AG47" s="1"/>
      <c r="AH47" s="1"/>
      <c r="AI47" s="1"/>
      <c r="AJ47" s="1"/>
    </row>
    <row r="48" spans="1:3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1"/>
      <c r="AD48" s="1"/>
      <c r="AE48" s="1"/>
      <c r="AF48" s="1"/>
      <c r="AG48" s="1"/>
      <c r="AH48" s="1"/>
      <c r="AI48" s="1"/>
      <c r="AJ48" s="1"/>
    </row>
    <row r="49" spans="1:3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1"/>
      <c r="AD49" s="1"/>
      <c r="AE49" s="1"/>
      <c r="AF49" s="1"/>
      <c r="AG49" s="1"/>
      <c r="AH49" s="1"/>
      <c r="AI49" s="1"/>
      <c r="AJ49" s="1"/>
    </row>
    <row r="50" spans="1:3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1"/>
      <c r="AD50" s="1"/>
      <c r="AE50" s="1"/>
      <c r="AF50" s="1"/>
      <c r="AG50" s="1"/>
      <c r="AH50" s="1"/>
      <c r="AI50" s="1"/>
      <c r="AJ50" s="1"/>
    </row>
    <row r="51" spans="1:3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1"/>
      <c r="AD51" s="1"/>
      <c r="AE51" s="1"/>
      <c r="AF51" s="1"/>
      <c r="AG51" s="1"/>
      <c r="AH51" s="1"/>
      <c r="AI51" s="1"/>
      <c r="AJ51" s="1"/>
    </row>
    <row r="52" spans="1:3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1"/>
      <c r="AD52" s="1"/>
      <c r="AE52" s="1"/>
      <c r="AF52" s="1"/>
      <c r="AG52" s="1"/>
      <c r="AH52" s="1"/>
      <c r="AI52" s="1"/>
      <c r="AJ52" s="1"/>
    </row>
    <row r="53" spans="1:3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1"/>
      <c r="AD53" s="1"/>
      <c r="AE53" s="1"/>
      <c r="AF53" s="1"/>
      <c r="AG53" s="1"/>
      <c r="AH53" s="1"/>
      <c r="AI53" s="1"/>
      <c r="AJ53" s="1"/>
    </row>
    <row r="54" spans="1:3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1"/>
      <c r="AD54" s="1"/>
      <c r="AE54" s="1"/>
      <c r="AF54" s="1"/>
      <c r="AG54" s="1"/>
      <c r="AH54" s="1"/>
      <c r="AI54" s="1"/>
      <c r="AJ54" s="1"/>
    </row>
    <row r="55" spans="1:3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1"/>
      <c r="AD55" s="1"/>
      <c r="AE55" s="1"/>
      <c r="AF55" s="1"/>
      <c r="AG55" s="1"/>
      <c r="AH55" s="1"/>
      <c r="AI55" s="1"/>
      <c r="AJ55" s="1"/>
    </row>
    <row r="56" spans="1:3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1"/>
      <c r="AD56" s="1"/>
      <c r="AE56" s="1"/>
      <c r="AF56" s="1"/>
      <c r="AG56" s="1"/>
      <c r="AH56" s="1"/>
      <c r="AI56" s="1"/>
      <c r="AJ56" s="1"/>
    </row>
    <row r="57" spans="1:3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1"/>
      <c r="AD57" s="1"/>
      <c r="AE57" s="1"/>
      <c r="AF57" s="1"/>
      <c r="AG57" s="1"/>
      <c r="AH57" s="1"/>
      <c r="AI57" s="1"/>
      <c r="AJ57" s="1"/>
    </row>
    <row r="58" spans="1:3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1"/>
      <c r="AD58" s="1"/>
      <c r="AE58" s="1"/>
      <c r="AF58" s="1"/>
      <c r="AG58" s="1"/>
      <c r="AH58" s="1"/>
      <c r="AI58" s="1"/>
      <c r="AJ58" s="1"/>
    </row>
    <row r="59" spans="1:3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1"/>
      <c r="AD59" s="1"/>
      <c r="AE59" s="1"/>
      <c r="AF59" s="1"/>
      <c r="AG59" s="1"/>
      <c r="AH59" s="1"/>
      <c r="AI59" s="1"/>
      <c r="AJ59" s="1"/>
    </row>
    <row r="60" spans="1:3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1"/>
      <c r="AD60" s="1"/>
      <c r="AE60" s="1"/>
      <c r="AF60" s="1"/>
      <c r="AG60" s="1"/>
      <c r="AH60" s="1"/>
      <c r="AI60" s="1"/>
      <c r="AJ60" s="1"/>
    </row>
    <row r="61" spans="1:3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1"/>
      <c r="AD61" s="1"/>
      <c r="AE61" s="1"/>
      <c r="AF61" s="1"/>
      <c r="AG61" s="1"/>
      <c r="AH61" s="1"/>
      <c r="AI61" s="1"/>
      <c r="AJ61" s="1"/>
    </row>
    <row r="62" spans="1:3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1"/>
      <c r="AD62" s="1"/>
      <c r="AE62" s="1"/>
      <c r="AF62" s="1"/>
      <c r="AG62" s="1"/>
      <c r="AH62" s="1"/>
      <c r="AI62" s="1"/>
      <c r="AJ62" s="1"/>
    </row>
    <row r="63" spans="1:3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1"/>
      <c r="AD63" s="1"/>
      <c r="AE63" s="1"/>
      <c r="AF63" s="1"/>
      <c r="AG63" s="1"/>
      <c r="AH63" s="1"/>
      <c r="AI63" s="1"/>
      <c r="AJ63" s="1"/>
    </row>
    <row r="64" spans="1:3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1"/>
      <c r="AD64" s="1"/>
      <c r="AE64" s="1"/>
      <c r="AF64" s="1"/>
      <c r="AG64" s="1"/>
      <c r="AH64" s="1"/>
      <c r="AI64" s="1"/>
      <c r="AJ64" s="1"/>
    </row>
    <row r="65" spans="1:3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1"/>
      <c r="AD65" s="1"/>
      <c r="AE65" s="1"/>
      <c r="AF65" s="1"/>
      <c r="AG65" s="1"/>
      <c r="AH65" s="1"/>
      <c r="AI65" s="1"/>
      <c r="AJ65" s="1"/>
    </row>
    <row r="66" spans="1:3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1"/>
      <c r="AD66" s="1"/>
      <c r="AE66" s="1"/>
      <c r="AF66" s="1"/>
      <c r="AG66" s="1"/>
      <c r="AH66" s="1"/>
      <c r="AI66" s="1"/>
      <c r="AJ66" s="1"/>
    </row>
    <row r="67" spans="1:3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1"/>
      <c r="AD67" s="1"/>
      <c r="AE67" s="1"/>
      <c r="AF67" s="1"/>
      <c r="AG67" s="1"/>
      <c r="AH67" s="1"/>
      <c r="AI67" s="1"/>
      <c r="AJ67" s="1"/>
    </row>
    <row r="68" spans="1:3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1"/>
      <c r="AD68" s="1"/>
      <c r="AE68" s="1"/>
      <c r="AF68" s="1"/>
      <c r="AG68" s="1"/>
      <c r="AH68" s="1"/>
      <c r="AI68" s="1"/>
      <c r="AJ68" s="1"/>
    </row>
    <row r="69" spans="1:3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1"/>
      <c r="AD69" s="1"/>
      <c r="AE69" s="1"/>
      <c r="AF69" s="1"/>
      <c r="AG69" s="1"/>
      <c r="AH69" s="1"/>
      <c r="AI69" s="1"/>
      <c r="AJ69" s="1"/>
    </row>
    <row r="70" spans="1:3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1"/>
      <c r="AD70" s="1"/>
      <c r="AE70" s="1"/>
      <c r="AF70" s="1"/>
      <c r="AG70" s="1"/>
      <c r="AH70" s="1"/>
      <c r="AI70" s="1"/>
      <c r="AJ70" s="1"/>
    </row>
    <row r="71" spans="1:3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1"/>
      <c r="AD71" s="1"/>
      <c r="AE71" s="1"/>
      <c r="AF71" s="1"/>
      <c r="AG71" s="1"/>
      <c r="AH71" s="1"/>
      <c r="AI71" s="1"/>
      <c r="AJ71" s="1"/>
    </row>
    <row r="72" spans="1:3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1"/>
      <c r="AD72" s="1"/>
      <c r="AE72" s="1"/>
      <c r="AF72" s="1"/>
      <c r="AG72" s="1"/>
      <c r="AH72" s="1"/>
      <c r="AI72" s="1"/>
      <c r="AJ72" s="1"/>
    </row>
    <row r="73" spans="1:3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1"/>
      <c r="AD73" s="1"/>
      <c r="AE73" s="1"/>
      <c r="AF73" s="1"/>
      <c r="AG73" s="1"/>
      <c r="AH73" s="1"/>
      <c r="AI73" s="1"/>
      <c r="AJ73" s="1"/>
    </row>
    <row r="74" spans="1:3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1"/>
      <c r="AD74" s="1"/>
      <c r="AE74" s="1"/>
      <c r="AF74" s="1"/>
      <c r="AG74" s="1"/>
      <c r="AH74" s="1"/>
      <c r="AI74" s="1"/>
      <c r="AJ74" s="1"/>
    </row>
    <row r="75" spans="1:3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1"/>
      <c r="AD75" s="1"/>
      <c r="AE75" s="1"/>
      <c r="AF75" s="1"/>
      <c r="AG75" s="1"/>
      <c r="AH75" s="1"/>
      <c r="AI75" s="1"/>
      <c r="AJ75" s="1"/>
    </row>
    <row r="76" spans="1:3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1"/>
      <c r="AD76" s="1"/>
      <c r="AE76" s="1"/>
      <c r="AF76" s="1"/>
      <c r="AG76" s="1"/>
      <c r="AH76" s="1"/>
      <c r="AI76" s="1"/>
      <c r="AJ76" s="1"/>
    </row>
    <row r="77" spans="1:3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1"/>
      <c r="AD77" s="1"/>
      <c r="AE77" s="1"/>
      <c r="AF77" s="1"/>
      <c r="AG77" s="1"/>
      <c r="AH77" s="1"/>
      <c r="AI77" s="1"/>
      <c r="AJ77" s="1"/>
    </row>
    <row r="78" spans="1:3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1"/>
      <c r="AD78" s="1"/>
      <c r="AE78" s="1"/>
      <c r="AF78" s="1"/>
      <c r="AG78" s="1"/>
      <c r="AH78" s="1"/>
      <c r="AI78" s="1"/>
      <c r="AJ78" s="1"/>
    </row>
    <row r="79" spans="1:3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1"/>
      <c r="AD79" s="1"/>
      <c r="AE79" s="1"/>
      <c r="AF79" s="1"/>
      <c r="AG79" s="1"/>
      <c r="AH79" s="1"/>
      <c r="AI79" s="1"/>
      <c r="AJ79" s="1"/>
    </row>
    <row r="80" spans="1:3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1"/>
      <c r="AD80" s="1"/>
      <c r="AE80" s="1"/>
      <c r="AF80" s="1"/>
      <c r="AG80" s="1"/>
      <c r="AH80" s="1"/>
      <c r="AI80" s="1"/>
      <c r="AJ80" s="1"/>
    </row>
    <row r="81" spans="1:3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1"/>
      <c r="AD81" s="1"/>
      <c r="AE81" s="1"/>
      <c r="AF81" s="1"/>
      <c r="AG81" s="1"/>
      <c r="AH81" s="1"/>
      <c r="AI81" s="1"/>
      <c r="AJ81" s="1"/>
    </row>
    <row r="82" spans="1:3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1"/>
      <c r="AD82" s="1"/>
      <c r="AE82" s="1"/>
      <c r="AF82" s="1"/>
      <c r="AG82" s="1"/>
      <c r="AH82" s="1"/>
      <c r="AI82" s="1"/>
      <c r="AJ82" s="1"/>
    </row>
    <row r="83" spans="1:3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1"/>
      <c r="AD83" s="1"/>
      <c r="AE83" s="1"/>
      <c r="AF83" s="1"/>
      <c r="AG83" s="1"/>
      <c r="AH83" s="1"/>
      <c r="AI83" s="1"/>
      <c r="AJ83" s="1"/>
    </row>
    <row r="84" spans="1:3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1"/>
      <c r="AD84" s="1"/>
      <c r="AE84" s="1"/>
      <c r="AF84" s="1"/>
      <c r="AG84" s="1"/>
      <c r="AH84" s="1"/>
      <c r="AI84" s="1"/>
      <c r="AJ84" s="1"/>
    </row>
    <row r="85" spans="1:3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1"/>
      <c r="AD85" s="1"/>
      <c r="AE85" s="1"/>
      <c r="AF85" s="1"/>
      <c r="AG85" s="1"/>
      <c r="AH85" s="1"/>
      <c r="AI85" s="1"/>
      <c r="AJ85" s="1"/>
    </row>
    <row r="86" spans="1:3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1"/>
      <c r="AD86" s="1"/>
      <c r="AE86" s="1"/>
      <c r="AF86" s="1"/>
      <c r="AG86" s="1"/>
      <c r="AH86" s="1"/>
      <c r="AI86" s="1"/>
      <c r="AJ86" s="1"/>
    </row>
    <row r="87" spans="1:3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1"/>
      <c r="AD87" s="1"/>
      <c r="AE87" s="1"/>
      <c r="AF87" s="1"/>
      <c r="AG87" s="1"/>
      <c r="AH87" s="1"/>
      <c r="AI87" s="1"/>
      <c r="AJ87" s="1"/>
    </row>
    <row r="88" spans="1:3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1"/>
      <c r="AD88" s="1"/>
      <c r="AE88" s="1"/>
      <c r="AF88" s="1"/>
      <c r="AG88" s="1"/>
      <c r="AH88" s="1"/>
      <c r="AI88" s="1"/>
      <c r="AJ88" s="1"/>
    </row>
    <row r="89" spans="1:3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1"/>
      <c r="AD89" s="1"/>
      <c r="AE89" s="1"/>
      <c r="AF89" s="1"/>
      <c r="AG89" s="1"/>
      <c r="AH89" s="1"/>
      <c r="AI89" s="1"/>
      <c r="AJ89" s="1"/>
    </row>
    <row r="90" spans="1:3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1"/>
      <c r="AD90" s="1"/>
      <c r="AE90" s="1"/>
      <c r="AF90" s="1"/>
      <c r="AG90" s="1"/>
      <c r="AH90" s="1"/>
      <c r="AI90" s="1"/>
      <c r="AJ90" s="1"/>
    </row>
    <row r="91" spans="1:3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1"/>
      <c r="AD91" s="1"/>
      <c r="AE91" s="1"/>
      <c r="AF91" s="1"/>
      <c r="AG91" s="1"/>
      <c r="AH91" s="1"/>
      <c r="AI91" s="1"/>
      <c r="AJ91" s="1"/>
    </row>
    <row r="92" spans="1:3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1"/>
      <c r="AD92" s="1"/>
      <c r="AE92" s="1"/>
      <c r="AF92" s="1"/>
      <c r="AG92" s="1"/>
      <c r="AH92" s="1"/>
      <c r="AI92" s="1"/>
      <c r="AJ92" s="1"/>
    </row>
    <row r="93" spans="1:3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1"/>
      <c r="AD93" s="1"/>
      <c r="AE93" s="1"/>
      <c r="AF93" s="1"/>
      <c r="AG93" s="1"/>
      <c r="AH93" s="1"/>
      <c r="AI93" s="1"/>
      <c r="AJ93" s="1"/>
    </row>
    <row r="94" spans="1:3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1"/>
      <c r="AD94" s="1"/>
      <c r="AE94" s="1"/>
      <c r="AF94" s="1"/>
      <c r="AG94" s="1"/>
      <c r="AH94" s="1"/>
      <c r="AI94" s="1"/>
      <c r="AJ94" s="1"/>
    </row>
    <row r="95" spans="1:3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1"/>
      <c r="AD95" s="1"/>
      <c r="AE95" s="1"/>
      <c r="AF95" s="1"/>
      <c r="AG95" s="1"/>
      <c r="AH95" s="1"/>
      <c r="AI95" s="1"/>
      <c r="AJ95" s="1"/>
    </row>
    <row r="96" spans="1:3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1"/>
      <c r="AD96" s="1"/>
      <c r="AE96" s="1"/>
      <c r="AF96" s="1"/>
      <c r="AG96" s="1"/>
      <c r="AH96" s="1"/>
      <c r="AI96" s="1"/>
      <c r="AJ96" s="1"/>
    </row>
    <row r="97" spans="1:3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1"/>
      <c r="AD97" s="1"/>
      <c r="AE97" s="1"/>
      <c r="AF97" s="1"/>
      <c r="AG97" s="1"/>
      <c r="AH97" s="1"/>
      <c r="AI97" s="1"/>
      <c r="AJ97" s="1"/>
    </row>
    <row r="98" spans="1:3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1"/>
      <c r="AD98" s="1"/>
      <c r="AE98" s="1"/>
      <c r="AF98" s="1"/>
      <c r="AG98" s="1"/>
      <c r="AH98" s="1"/>
      <c r="AI98" s="1"/>
      <c r="AJ98" s="1"/>
    </row>
    <row r="99" spans="1:3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1"/>
      <c r="AD99" s="1"/>
      <c r="AE99" s="1"/>
      <c r="AF99" s="1"/>
      <c r="AG99" s="1"/>
      <c r="AH99" s="1"/>
      <c r="AI99" s="1"/>
      <c r="AJ99" s="1"/>
    </row>
    <row r="100" spans="1:3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1"/>
      <c r="AD100" s="1"/>
      <c r="AE100" s="1"/>
      <c r="AF100" s="1"/>
      <c r="AG100" s="1"/>
      <c r="AH100" s="1"/>
      <c r="AI100" s="1"/>
      <c r="AJ100" s="1"/>
    </row>
    <row r="101" spans="1:3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1"/>
      <c r="AD101" s="1"/>
      <c r="AE101" s="1"/>
      <c r="AF101" s="1"/>
      <c r="AG101" s="1"/>
      <c r="AH101" s="1"/>
      <c r="AI101" s="1"/>
      <c r="AJ101" s="1"/>
    </row>
    <row r="102" spans="1:3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1"/>
      <c r="AD102" s="1"/>
      <c r="AE102" s="1"/>
      <c r="AF102" s="1"/>
      <c r="AG102" s="1"/>
      <c r="AH102" s="1"/>
      <c r="AI102" s="1"/>
      <c r="AJ102" s="1"/>
    </row>
    <row r="103" spans="1:3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1"/>
      <c r="AD103" s="1"/>
      <c r="AE103" s="1"/>
      <c r="AF103" s="1"/>
      <c r="AG103" s="1"/>
      <c r="AH103" s="1"/>
      <c r="AI103" s="1"/>
      <c r="AJ103" s="1"/>
    </row>
    <row r="104" spans="1:3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1"/>
      <c r="AD104" s="1"/>
      <c r="AE104" s="1"/>
      <c r="AF104" s="1"/>
      <c r="AG104" s="1"/>
      <c r="AH104" s="1"/>
      <c r="AI104" s="1"/>
      <c r="AJ104" s="1"/>
    </row>
    <row r="105" spans="1:3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1"/>
      <c r="AD105" s="1"/>
      <c r="AE105" s="1"/>
      <c r="AF105" s="1"/>
      <c r="AG105" s="1"/>
      <c r="AH105" s="1"/>
      <c r="AI105" s="1"/>
      <c r="AJ105" s="1"/>
    </row>
    <row r="106" spans="1:3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1"/>
      <c r="AD106" s="1"/>
      <c r="AE106" s="1"/>
      <c r="AF106" s="1"/>
      <c r="AG106" s="1"/>
      <c r="AH106" s="1"/>
      <c r="AI106" s="1"/>
      <c r="AJ106" s="1"/>
    </row>
    <row r="107" spans="1:3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1"/>
      <c r="AD107" s="1"/>
      <c r="AE107" s="1"/>
      <c r="AF107" s="1"/>
      <c r="AG107" s="1"/>
      <c r="AH107" s="1"/>
      <c r="AI107" s="1"/>
      <c r="AJ107" s="1"/>
    </row>
    <row r="108" spans="1:3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1"/>
      <c r="AD108" s="1"/>
      <c r="AE108" s="1"/>
      <c r="AF108" s="1"/>
      <c r="AG108" s="1"/>
      <c r="AH108" s="1"/>
      <c r="AI108" s="1"/>
      <c r="AJ108" s="1"/>
    </row>
    <row r="109" spans="1:3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1"/>
      <c r="AD109" s="1"/>
      <c r="AE109" s="1"/>
      <c r="AF109" s="1"/>
      <c r="AG109" s="1"/>
      <c r="AH109" s="1"/>
      <c r="AI109" s="1"/>
      <c r="AJ109" s="1"/>
    </row>
    <row r="110" spans="1:3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1"/>
      <c r="AD110" s="1"/>
      <c r="AE110" s="1"/>
      <c r="AF110" s="1"/>
      <c r="AG110" s="1"/>
      <c r="AH110" s="1"/>
      <c r="AI110" s="1"/>
      <c r="AJ110" s="1"/>
    </row>
    <row r="111" spans="1:3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1"/>
      <c r="AD111" s="1"/>
      <c r="AE111" s="1"/>
      <c r="AF111" s="1"/>
      <c r="AG111" s="1"/>
      <c r="AH111" s="1"/>
      <c r="AI111" s="1"/>
      <c r="AJ111" s="1"/>
    </row>
    <row r="112" spans="1:3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1"/>
      <c r="AD112" s="1"/>
      <c r="AE112" s="1"/>
      <c r="AF112" s="1"/>
      <c r="AG112" s="1"/>
      <c r="AH112" s="1"/>
      <c r="AI112" s="1"/>
      <c r="AJ112" s="1"/>
    </row>
    <row r="113" spans="1:3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1"/>
      <c r="AD113" s="1"/>
      <c r="AE113" s="1"/>
      <c r="AF113" s="1"/>
      <c r="AG113" s="1"/>
      <c r="AH113" s="1"/>
      <c r="AI113" s="1"/>
      <c r="AJ113" s="1"/>
    </row>
    <row r="114" spans="1:3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1"/>
      <c r="AD114" s="1"/>
      <c r="AE114" s="1"/>
      <c r="AF114" s="1"/>
      <c r="AG114" s="1"/>
      <c r="AH114" s="1"/>
      <c r="AI114" s="1"/>
      <c r="AJ114" s="1"/>
    </row>
    <row r="115" spans="1:3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1"/>
      <c r="AD115" s="1"/>
      <c r="AE115" s="1"/>
      <c r="AF115" s="1"/>
      <c r="AG115" s="1"/>
      <c r="AH115" s="1"/>
      <c r="AI115" s="1"/>
      <c r="AJ115" s="1"/>
    </row>
    <row r="116" spans="1:3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1"/>
      <c r="AD116" s="1"/>
      <c r="AE116" s="1"/>
      <c r="AF116" s="1"/>
      <c r="AG116" s="1"/>
      <c r="AH116" s="1"/>
      <c r="AI116" s="1"/>
      <c r="AJ116" s="1"/>
    </row>
    <row r="117" spans="1:3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1"/>
      <c r="AD117" s="1"/>
      <c r="AE117" s="1"/>
      <c r="AF117" s="1"/>
      <c r="AG117" s="1"/>
      <c r="AH117" s="1"/>
      <c r="AI117" s="1"/>
      <c r="AJ117" s="1"/>
    </row>
    <row r="118" spans="1:3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1"/>
      <c r="AD118" s="1"/>
      <c r="AE118" s="1"/>
      <c r="AF118" s="1"/>
      <c r="AG118" s="1"/>
      <c r="AH118" s="1"/>
      <c r="AI118" s="1"/>
      <c r="AJ118" s="1"/>
    </row>
    <row r="119" spans="1:3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1"/>
      <c r="AD119" s="1"/>
      <c r="AE119" s="1"/>
      <c r="AF119" s="1"/>
      <c r="AG119" s="1"/>
      <c r="AH119" s="1"/>
      <c r="AI119" s="1"/>
      <c r="AJ119" s="1"/>
    </row>
    <row r="120" spans="1:3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1"/>
      <c r="AD120" s="1"/>
      <c r="AE120" s="1"/>
      <c r="AF120" s="1"/>
      <c r="AG120" s="1"/>
      <c r="AH120" s="1"/>
      <c r="AI120" s="1"/>
      <c r="AJ120" s="1"/>
    </row>
    <row r="121" spans="1:3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1"/>
      <c r="AD121" s="1"/>
      <c r="AE121" s="1"/>
      <c r="AF121" s="1"/>
      <c r="AG121" s="1"/>
      <c r="AH121" s="1"/>
      <c r="AI121" s="1"/>
      <c r="AJ121" s="1"/>
    </row>
    <row r="122" spans="1:3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1"/>
      <c r="AD122" s="1"/>
      <c r="AE122" s="1"/>
      <c r="AF122" s="1"/>
      <c r="AG122" s="1"/>
      <c r="AH122" s="1"/>
      <c r="AI122" s="1"/>
      <c r="AJ122" s="1"/>
    </row>
    <row r="123" spans="1:3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1"/>
      <c r="AD123" s="1"/>
      <c r="AE123" s="1"/>
      <c r="AF123" s="1"/>
      <c r="AG123" s="1"/>
      <c r="AH123" s="1"/>
      <c r="AI123" s="1"/>
      <c r="AJ123" s="1"/>
    </row>
    <row r="124" spans="1:3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1"/>
      <c r="AD124" s="1"/>
      <c r="AE124" s="1"/>
      <c r="AF124" s="1"/>
      <c r="AG124" s="1"/>
      <c r="AH124" s="1"/>
      <c r="AI124" s="1"/>
      <c r="AJ124" s="1"/>
    </row>
    <row r="125" spans="1:3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1"/>
      <c r="AD125" s="1"/>
      <c r="AE125" s="1"/>
      <c r="AF125" s="1"/>
      <c r="AG125" s="1"/>
      <c r="AH125" s="1"/>
      <c r="AI125" s="1"/>
      <c r="AJ125" s="1"/>
    </row>
    <row r="126" spans="1:3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1"/>
      <c r="AD126" s="1"/>
      <c r="AE126" s="1"/>
      <c r="AF126" s="1"/>
      <c r="AG126" s="1"/>
      <c r="AH126" s="1"/>
      <c r="AI126" s="1"/>
      <c r="AJ126" s="1"/>
    </row>
    <row r="127" spans="1:3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1"/>
      <c r="AD127" s="1"/>
      <c r="AE127" s="1"/>
      <c r="AF127" s="1"/>
      <c r="AG127" s="1"/>
      <c r="AH127" s="1"/>
      <c r="AI127" s="1"/>
      <c r="AJ127" s="1"/>
    </row>
    <row r="128" spans="1:3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1"/>
      <c r="AD128" s="1"/>
      <c r="AE128" s="1"/>
      <c r="AF128" s="1"/>
      <c r="AG128" s="1"/>
      <c r="AH128" s="1"/>
      <c r="AI128" s="1"/>
      <c r="AJ128" s="1"/>
    </row>
    <row r="129" spans="1:3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1"/>
      <c r="AD129" s="1"/>
      <c r="AE129" s="1"/>
      <c r="AF129" s="1"/>
      <c r="AG129" s="1"/>
      <c r="AH129" s="1"/>
      <c r="AI129" s="1"/>
      <c r="AJ129" s="1"/>
    </row>
    <row r="130" spans="1:3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1"/>
      <c r="AD130" s="1"/>
      <c r="AE130" s="1"/>
      <c r="AF130" s="1"/>
      <c r="AG130" s="1"/>
      <c r="AH130" s="1"/>
      <c r="AI130" s="1"/>
      <c r="AJ130" s="1"/>
    </row>
    <row r="131" spans="1:3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1"/>
      <c r="AD131" s="1"/>
      <c r="AE131" s="1"/>
      <c r="AF131" s="1"/>
      <c r="AG131" s="1"/>
      <c r="AH131" s="1"/>
      <c r="AI131" s="1"/>
      <c r="AJ131" s="1"/>
    </row>
    <row r="132" spans="1:3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1"/>
      <c r="AD132" s="1"/>
      <c r="AE132" s="1"/>
      <c r="AF132" s="1"/>
      <c r="AG132" s="1"/>
      <c r="AH132" s="1"/>
      <c r="AI132" s="1"/>
      <c r="AJ132" s="1"/>
    </row>
    <row r="133" spans="1:3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1"/>
      <c r="AD133" s="1"/>
      <c r="AE133" s="1"/>
      <c r="AF133" s="1"/>
      <c r="AG133" s="1"/>
      <c r="AH133" s="1"/>
      <c r="AI133" s="1"/>
      <c r="AJ133" s="1"/>
    </row>
    <row r="134" spans="1:3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1"/>
      <c r="AD134" s="1"/>
      <c r="AE134" s="1"/>
      <c r="AF134" s="1"/>
      <c r="AG134" s="1"/>
      <c r="AH134" s="1"/>
      <c r="AI134" s="1"/>
      <c r="AJ134" s="1"/>
    </row>
    <row r="135" spans="1:3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1"/>
      <c r="AD135" s="1"/>
      <c r="AE135" s="1"/>
      <c r="AF135" s="1"/>
      <c r="AG135" s="1"/>
      <c r="AH135" s="1"/>
      <c r="AI135" s="1"/>
      <c r="AJ135" s="1"/>
    </row>
    <row r="136" spans="1:3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1"/>
      <c r="AD136" s="1"/>
      <c r="AE136" s="1"/>
      <c r="AF136" s="1"/>
      <c r="AG136" s="1"/>
      <c r="AH136" s="1"/>
      <c r="AI136" s="1"/>
      <c r="AJ136" s="1"/>
    </row>
    <row r="137" spans="1:3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1"/>
      <c r="AD137" s="1"/>
      <c r="AE137" s="1"/>
      <c r="AF137" s="1"/>
      <c r="AG137" s="1"/>
      <c r="AH137" s="1"/>
      <c r="AI137" s="1"/>
      <c r="AJ137" s="1"/>
    </row>
    <row r="138" spans="1:3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1"/>
      <c r="AD138" s="1"/>
      <c r="AE138" s="1"/>
      <c r="AF138" s="1"/>
      <c r="AG138" s="1"/>
      <c r="AH138" s="1"/>
      <c r="AI138" s="1"/>
      <c r="AJ138" s="1"/>
    </row>
    <row r="139" spans="1:3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1"/>
      <c r="AD139" s="1"/>
      <c r="AE139" s="1"/>
      <c r="AF139" s="1"/>
      <c r="AG139" s="1"/>
      <c r="AH139" s="1"/>
      <c r="AI139" s="1"/>
      <c r="AJ139" s="1"/>
    </row>
    <row r="140" spans="1:3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1"/>
      <c r="AD140" s="1"/>
      <c r="AE140" s="1"/>
      <c r="AF140" s="1"/>
      <c r="AG140" s="1"/>
      <c r="AH140" s="1"/>
      <c r="AI140" s="1"/>
      <c r="AJ140" s="1"/>
    </row>
    <row r="141" spans="1:3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1"/>
      <c r="AD141" s="1"/>
      <c r="AE141" s="1"/>
      <c r="AF141" s="1"/>
      <c r="AG141" s="1"/>
      <c r="AH141" s="1"/>
      <c r="AI141" s="1"/>
      <c r="AJ141" s="1"/>
    </row>
    <row r="142" spans="1:3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1"/>
      <c r="AD142" s="1"/>
      <c r="AE142" s="1"/>
      <c r="AF142" s="1"/>
      <c r="AG142" s="1"/>
      <c r="AH142" s="1"/>
      <c r="AI142" s="1"/>
      <c r="AJ142" s="1"/>
    </row>
    <row r="143" spans="1:3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1"/>
      <c r="AD143" s="1"/>
      <c r="AE143" s="1"/>
      <c r="AF143" s="1"/>
      <c r="AG143" s="1"/>
      <c r="AH143" s="1"/>
      <c r="AI143" s="1"/>
      <c r="AJ143" s="1"/>
    </row>
    <row r="144" spans="1:3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1"/>
      <c r="AD144" s="1"/>
      <c r="AE144" s="1"/>
      <c r="AF144" s="1"/>
      <c r="AG144" s="1"/>
      <c r="AH144" s="1"/>
      <c r="AI144" s="1"/>
      <c r="AJ144" s="1"/>
    </row>
    <row r="145" spans="1:3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1"/>
      <c r="AD145" s="1"/>
      <c r="AE145" s="1"/>
      <c r="AF145" s="1"/>
      <c r="AG145" s="1"/>
      <c r="AH145" s="1"/>
      <c r="AI145" s="1"/>
      <c r="AJ145" s="1"/>
    </row>
    <row r="146" spans="1:3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1"/>
      <c r="AD146" s="1"/>
      <c r="AE146" s="1"/>
      <c r="AF146" s="1"/>
      <c r="AG146" s="1"/>
      <c r="AH146" s="1"/>
      <c r="AI146" s="1"/>
      <c r="AJ146" s="1"/>
    </row>
    <row r="147" spans="1:3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1"/>
      <c r="AD147" s="1"/>
      <c r="AE147" s="1"/>
      <c r="AF147" s="1"/>
      <c r="AG147" s="1"/>
      <c r="AH147" s="1"/>
      <c r="AI147" s="1"/>
      <c r="AJ147" s="1"/>
    </row>
    <row r="148" spans="1:3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1"/>
      <c r="AD148" s="1"/>
      <c r="AE148" s="1"/>
      <c r="AF148" s="1"/>
      <c r="AG148" s="1"/>
      <c r="AH148" s="1"/>
      <c r="AI148" s="1"/>
      <c r="AJ148" s="1"/>
    </row>
    <row r="149" spans="1:3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1"/>
      <c r="AD149" s="1"/>
      <c r="AE149" s="1"/>
      <c r="AF149" s="1"/>
      <c r="AG149" s="1"/>
      <c r="AH149" s="1"/>
      <c r="AI149" s="1"/>
      <c r="AJ149" s="1"/>
    </row>
    <row r="150" spans="1:3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1"/>
      <c r="AD150" s="1"/>
      <c r="AE150" s="1"/>
      <c r="AF150" s="1"/>
      <c r="AG150" s="1"/>
      <c r="AH150" s="1"/>
      <c r="AI150" s="1"/>
      <c r="AJ150" s="1"/>
    </row>
    <row r="151" spans="1:3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1"/>
      <c r="AD151" s="1"/>
      <c r="AE151" s="1"/>
      <c r="AF151" s="1"/>
      <c r="AG151" s="1"/>
      <c r="AH151" s="1"/>
      <c r="AI151" s="1"/>
      <c r="AJ151" s="1"/>
    </row>
    <row r="152" spans="1:3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1"/>
      <c r="AD152" s="1"/>
      <c r="AE152" s="1"/>
      <c r="AF152" s="1"/>
      <c r="AG152" s="1"/>
      <c r="AH152" s="1"/>
      <c r="AI152" s="1"/>
      <c r="AJ152" s="1"/>
    </row>
    <row r="153" spans="1:3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1"/>
      <c r="AD153" s="1"/>
      <c r="AE153" s="1"/>
      <c r="AF153" s="1"/>
      <c r="AG153" s="1"/>
      <c r="AH153" s="1"/>
      <c r="AI153" s="1"/>
      <c r="AJ153" s="1"/>
    </row>
    <row r="154" spans="1:3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1"/>
      <c r="AD154" s="1"/>
      <c r="AE154" s="1"/>
      <c r="AF154" s="1"/>
      <c r="AG154" s="1"/>
      <c r="AH154" s="1"/>
      <c r="AI154" s="1"/>
      <c r="AJ154" s="1"/>
    </row>
    <row r="155" spans="1:3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1"/>
      <c r="AD155" s="1"/>
      <c r="AE155" s="1"/>
      <c r="AF155" s="1"/>
      <c r="AG155" s="1"/>
      <c r="AH155" s="1"/>
      <c r="AI155" s="1"/>
      <c r="AJ155" s="1"/>
    </row>
    <row r="156" spans="1:3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1"/>
      <c r="AD156" s="1"/>
      <c r="AE156" s="1"/>
      <c r="AF156" s="1"/>
      <c r="AG156" s="1"/>
      <c r="AH156" s="1"/>
      <c r="AI156" s="1"/>
      <c r="AJ156" s="1"/>
    </row>
    <row r="157" spans="1:3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1"/>
      <c r="AD157" s="1"/>
      <c r="AE157" s="1"/>
      <c r="AF157" s="1"/>
      <c r="AG157" s="1"/>
      <c r="AH157" s="1"/>
      <c r="AI157" s="1"/>
      <c r="AJ157" s="1"/>
    </row>
    <row r="158" spans="1:3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1"/>
      <c r="AD158" s="1"/>
      <c r="AE158" s="1"/>
      <c r="AF158" s="1"/>
      <c r="AG158" s="1"/>
      <c r="AH158" s="1"/>
      <c r="AI158" s="1"/>
      <c r="AJ158" s="1"/>
    </row>
    <row r="159" spans="1:3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1"/>
      <c r="AD159" s="1"/>
      <c r="AE159" s="1"/>
      <c r="AF159" s="1"/>
      <c r="AG159" s="1"/>
      <c r="AH159" s="1"/>
      <c r="AI159" s="1"/>
      <c r="AJ159" s="1"/>
    </row>
    <row r="160" spans="1:3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1"/>
      <c r="AD160" s="1"/>
      <c r="AE160" s="1"/>
      <c r="AF160" s="1"/>
      <c r="AG160" s="1"/>
      <c r="AH160" s="1"/>
      <c r="AI160" s="1"/>
      <c r="AJ160" s="1"/>
    </row>
    <row r="161" spans="1:3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1"/>
      <c r="AD161" s="1"/>
      <c r="AE161" s="1"/>
      <c r="AF161" s="1"/>
      <c r="AG161" s="1"/>
      <c r="AH161" s="1"/>
      <c r="AI161" s="1"/>
      <c r="AJ161" s="1"/>
    </row>
    <row r="162" spans="1:3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1"/>
      <c r="AD162" s="1"/>
      <c r="AE162" s="1"/>
      <c r="AF162" s="1"/>
      <c r="AG162" s="1"/>
      <c r="AH162" s="1"/>
      <c r="AI162" s="1"/>
      <c r="AJ162" s="1"/>
    </row>
    <row r="163" spans="1:3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1"/>
      <c r="AD163" s="1"/>
      <c r="AE163" s="1"/>
      <c r="AF163" s="1"/>
      <c r="AG163" s="1"/>
      <c r="AH163" s="1"/>
      <c r="AI163" s="1"/>
      <c r="AJ163" s="1"/>
    </row>
    <row r="164" spans="1:3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1"/>
      <c r="AD164" s="1"/>
      <c r="AE164" s="1"/>
      <c r="AF164" s="1"/>
      <c r="AG164" s="1"/>
      <c r="AH164" s="1"/>
      <c r="AI164" s="1"/>
      <c r="AJ164" s="1"/>
    </row>
    <row r="165" spans="1:3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1"/>
      <c r="AD165" s="1"/>
      <c r="AE165" s="1"/>
      <c r="AF165" s="1"/>
      <c r="AG165" s="1"/>
      <c r="AH165" s="1"/>
      <c r="AI165" s="1"/>
      <c r="AJ165" s="1"/>
    </row>
    <row r="166" spans="1:3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1"/>
      <c r="AD166" s="1"/>
      <c r="AE166" s="1"/>
      <c r="AF166" s="1"/>
      <c r="AG166" s="1"/>
      <c r="AH166" s="1"/>
      <c r="AI166" s="1"/>
      <c r="AJ166" s="1"/>
    </row>
    <row r="167" spans="1:3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1"/>
      <c r="AD167" s="1"/>
      <c r="AE167" s="1"/>
      <c r="AF167" s="1"/>
      <c r="AG167" s="1"/>
      <c r="AH167" s="1"/>
      <c r="AI167" s="1"/>
      <c r="AJ167" s="1"/>
    </row>
    <row r="168" spans="1:3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1"/>
      <c r="AD168" s="1"/>
      <c r="AE168" s="1"/>
      <c r="AF168" s="1"/>
      <c r="AG168" s="1"/>
      <c r="AH168" s="1"/>
      <c r="AI168" s="1"/>
      <c r="AJ168" s="1"/>
    </row>
    <row r="169" spans="1:3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1"/>
      <c r="AD169" s="1"/>
      <c r="AE169" s="1"/>
      <c r="AF169" s="1"/>
      <c r="AG169" s="1"/>
      <c r="AH169" s="1"/>
      <c r="AI169" s="1"/>
      <c r="AJ169" s="1"/>
    </row>
    <row r="170" spans="1:3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1"/>
      <c r="AD170" s="1"/>
      <c r="AE170" s="1"/>
      <c r="AF170" s="1"/>
      <c r="AG170" s="1"/>
      <c r="AH170" s="1"/>
      <c r="AI170" s="1"/>
      <c r="AJ170" s="1"/>
    </row>
    <row r="171" spans="1:3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1"/>
      <c r="AD171" s="1"/>
      <c r="AE171" s="1"/>
      <c r="AF171" s="1"/>
      <c r="AG171" s="1"/>
      <c r="AH171" s="1"/>
      <c r="AI171" s="1"/>
      <c r="AJ171" s="1"/>
    </row>
    <row r="172" spans="1:3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1"/>
      <c r="AD172" s="1"/>
      <c r="AE172" s="1"/>
      <c r="AF172" s="1"/>
      <c r="AG172" s="1"/>
      <c r="AH172" s="1"/>
      <c r="AI172" s="1"/>
      <c r="AJ172" s="1"/>
    </row>
    <row r="173" spans="1:3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1"/>
      <c r="AD173" s="1"/>
      <c r="AE173" s="1"/>
      <c r="AF173" s="1"/>
      <c r="AG173" s="1"/>
      <c r="AH173" s="1"/>
      <c r="AI173" s="1"/>
      <c r="AJ173" s="1"/>
    </row>
    <row r="174" spans="1:3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1"/>
      <c r="AD174" s="1"/>
      <c r="AE174" s="1"/>
      <c r="AF174" s="1"/>
      <c r="AG174" s="1"/>
      <c r="AH174" s="1"/>
      <c r="AI174" s="1"/>
      <c r="AJ174" s="1"/>
    </row>
    <row r="175" spans="1:3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1"/>
      <c r="AD175" s="1"/>
      <c r="AE175" s="1"/>
      <c r="AF175" s="1"/>
      <c r="AG175" s="1"/>
      <c r="AH175" s="1"/>
      <c r="AI175" s="1"/>
      <c r="AJ175" s="1"/>
    </row>
    <row r="176" spans="1:3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1"/>
      <c r="AD176" s="1"/>
      <c r="AE176" s="1"/>
      <c r="AF176" s="1"/>
      <c r="AG176" s="1"/>
      <c r="AH176" s="1"/>
      <c r="AI176" s="1"/>
      <c r="AJ176" s="1"/>
    </row>
    <row r="177" spans="1:3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1"/>
      <c r="AD177" s="1"/>
      <c r="AE177" s="1"/>
      <c r="AF177" s="1"/>
      <c r="AG177" s="1"/>
      <c r="AH177" s="1"/>
      <c r="AI177" s="1"/>
      <c r="AJ177" s="1"/>
    </row>
    <row r="178" spans="1:3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1"/>
      <c r="AD178" s="1"/>
      <c r="AE178" s="1"/>
      <c r="AF178" s="1"/>
      <c r="AG178" s="1"/>
      <c r="AH178" s="1"/>
      <c r="AI178" s="1"/>
      <c r="AJ178" s="1"/>
    </row>
    <row r="179" spans="1:3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1"/>
      <c r="AD179" s="1"/>
      <c r="AE179" s="1"/>
      <c r="AF179" s="1"/>
      <c r="AG179" s="1"/>
      <c r="AH179" s="1"/>
      <c r="AI179" s="1"/>
      <c r="AJ179" s="1"/>
    </row>
    <row r="180" spans="1:3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1"/>
      <c r="AD180" s="1"/>
      <c r="AE180" s="1"/>
      <c r="AF180" s="1"/>
      <c r="AG180" s="1"/>
      <c r="AH180" s="1"/>
      <c r="AI180" s="1"/>
      <c r="AJ180" s="1"/>
    </row>
    <row r="181" spans="1:3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1"/>
      <c r="AD181" s="1"/>
      <c r="AE181" s="1"/>
      <c r="AF181" s="1"/>
      <c r="AG181" s="1"/>
      <c r="AH181" s="1"/>
      <c r="AI181" s="1"/>
      <c r="AJ181" s="1"/>
    </row>
    <row r="182" spans="1:3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1"/>
      <c r="AD182" s="1"/>
      <c r="AE182" s="1"/>
      <c r="AF182" s="1"/>
      <c r="AG182" s="1"/>
      <c r="AH182" s="1"/>
      <c r="AI182" s="1"/>
      <c r="AJ182" s="1"/>
    </row>
    <row r="183" spans="1:3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1"/>
      <c r="AD183" s="1"/>
      <c r="AE183" s="1"/>
      <c r="AF183" s="1"/>
      <c r="AG183" s="1"/>
      <c r="AH183" s="1"/>
      <c r="AI183" s="1"/>
      <c r="AJ183" s="1"/>
    </row>
    <row r="184" spans="1:3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1"/>
      <c r="AD184" s="1"/>
      <c r="AE184" s="1"/>
      <c r="AF184" s="1"/>
      <c r="AG184" s="1"/>
      <c r="AH184" s="1"/>
      <c r="AI184" s="1"/>
      <c r="AJ184" s="1"/>
    </row>
    <row r="185" spans="1:3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1"/>
      <c r="AD185" s="1"/>
      <c r="AE185" s="1"/>
      <c r="AF185" s="1"/>
      <c r="AG185" s="1"/>
      <c r="AH185" s="1"/>
      <c r="AI185" s="1"/>
      <c r="AJ185" s="1"/>
    </row>
    <row r="186" spans="1:3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1"/>
      <c r="AD186" s="1"/>
      <c r="AE186" s="1"/>
      <c r="AF186" s="1"/>
      <c r="AG186" s="1"/>
      <c r="AH186" s="1"/>
      <c r="AI186" s="1"/>
      <c r="AJ186" s="1"/>
    </row>
    <row r="187" spans="1:3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1"/>
      <c r="AD187" s="1"/>
      <c r="AE187" s="1"/>
      <c r="AF187" s="1"/>
      <c r="AG187" s="1"/>
      <c r="AH187" s="1"/>
      <c r="AI187" s="1"/>
      <c r="AJ187" s="1"/>
    </row>
    <row r="188" spans="1:3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1"/>
      <c r="AD188" s="1"/>
      <c r="AE188" s="1"/>
      <c r="AF188" s="1"/>
      <c r="AG188" s="1"/>
      <c r="AH188" s="1"/>
      <c r="AI188" s="1"/>
      <c r="AJ188" s="1"/>
    </row>
    <row r="189" spans="1:3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1"/>
      <c r="AD189" s="1"/>
      <c r="AE189" s="1"/>
      <c r="AF189" s="1"/>
      <c r="AG189" s="1"/>
      <c r="AH189" s="1"/>
      <c r="AI189" s="1"/>
      <c r="AJ189" s="1"/>
    </row>
    <row r="190" spans="1:3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1"/>
      <c r="AD190" s="1"/>
      <c r="AE190" s="1"/>
      <c r="AF190" s="1"/>
      <c r="AG190" s="1"/>
      <c r="AH190" s="1"/>
      <c r="AI190" s="1"/>
      <c r="AJ190" s="1"/>
    </row>
    <row r="191" spans="1:3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1"/>
      <c r="AD191" s="1"/>
      <c r="AE191" s="1"/>
      <c r="AF191" s="1"/>
      <c r="AG191" s="1"/>
      <c r="AH191" s="1"/>
      <c r="AI191" s="1"/>
      <c r="AJ191" s="1"/>
    </row>
    <row r="192" spans="1:3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1"/>
      <c r="AD192" s="1"/>
      <c r="AE192" s="1"/>
      <c r="AF192" s="1"/>
      <c r="AG192" s="1"/>
      <c r="AH192" s="1"/>
      <c r="AI192" s="1"/>
      <c r="AJ192" s="1"/>
    </row>
    <row r="193" spans="1:3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1"/>
      <c r="AD193" s="1"/>
      <c r="AE193" s="1"/>
      <c r="AF193" s="1"/>
      <c r="AG193" s="1"/>
      <c r="AH193" s="1"/>
      <c r="AI193" s="1"/>
      <c r="AJ193" s="1"/>
    </row>
    <row r="194" spans="1:3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1"/>
      <c r="AD194" s="1"/>
      <c r="AE194" s="1"/>
      <c r="AF194" s="1"/>
      <c r="AG194" s="1"/>
      <c r="AH194" s="1"/>
      <c r="AI194" s="1"/>
      <c r="AJ194" s="1"/>
    </row>
    <row r="195" spans="1:3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1"/>
      <c r="AD195" s="1"/>
      <c r="AE195" s="1"/>
      <c r="AF195" s="1"/>
      <c r="AG195" s="1"/>
      <c r="AH195" s="1"/>
      <c r="AI195" s="1"/>
      <c r="AJ195" s="1"/>
    </row>
    <row r="196" spans="1:3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1"/>
      <c r="AD196" s="1"/>
      <c r="AE196" s="1"/>
      <c r="AF196" s="1"/>
      <c r="AG196" s="1"/>
      <c r="AH196" s="1"/>
      <c r="AI196" s="1"/>
      <c r="AJ196" s="1"/>
    </row>
    <row r="197" spans="1:3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1"/>
      <c r="AD197" s="1"/>
      <c r="AE197" s="1"/>
      <c r="AF197" s="1"/>
      <c r="AG197" s="1"/>
      <c r="AH197" s="1"/>
      <c r="AI197" s="1"/>
      <c r="AJ197" s="1"/>
    </row>
    <row r="198" spans="1:3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1"/>
      <c r="AD198" s="1"/>
      <c r="AE198" s="1"/>
      <c r="AF198" s="1"/>
      <c r="AG198" s="1"/>
      <c r="AH198" s="1"/>
      <c r="AI198" s="1"/>
      <c r="AJ198" s="1"/>
    </row>
    <row r="199" spans="1:3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1"/>
      <c r="AD199" s="1"/>
      <c r="AE199" s="1"/>
      <c r="AF199" s="1"/>
      <c r="AG199" s="1"/>
      <c r="AH199" s="1"/>
      <c r="AI199" s="1"/>
      <c r="AJ199" s="1"/>
    </row>
    <row r="200" spans="1:3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1"/>
      <c r="AD200" s="1"/>
      <c r="AE200" s="1"/>
      <c r="AF200" s="1"/>
      <c r="AG200" s="1"/>
      <c r="AH200" s="1"/>
      <c r="AI200" s="1"/>
      <c r="AJ200" s="1"/>
    </row>
    <row r="201" spans="1:3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1"/>
      <c r="AD201" s="1"/>
      <c r="AE201" s="1"/>
      <c r="AF201" s="1"/>
      <c r="AG201" s="1"/>
      <c r="AH201" s="1"/>
      <c r="AI201" s="1"/>
      <c r="AJ201" s="1"/>
    </row>
    <row r="202" spans="1:3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1"/>
      <c r="AD202" s="1"/>
      <c r="AE202" s="1"/>
      <c r="AF202" s="1"/>
      <c r="AG202" s="1"/>
      <c r="AH202" s="1"/>
      <c r="AI202" s="1"/>
      <c r="AJ202" s="1"/>
    </row>
    <row r="203" spans="1:3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1"/>
      <c r="AD203" s="1"/>
      <c r="AE203" s="1"/>
      <c r="AF203" s="1"/>
      <c r="AG203" s="1"/>
      <c r="AH203" s="1"/>
      <c r="AI203" s="1"/>
      <c r="AJ203" s="1"/>
    </row>
    <row r="204" spans="1:3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1"/>
      <c r="AD204" s="1"/>
      <c r="AE204" s="1"/>
      <c r="AF204" s="1"/>
      <c r="AG204" s="1"/>
      <c r="AH204" s="1"/>
      <c r="AI204" s="1"/>
      <c r="AJ204" s="1"/>
    </row>
    <row r="205" spans="1:3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1"/>
      <c r="AD205" s="1"/>
      <c r="AE205" s="1"/>
      <c r="AF205" s="1"/>
      <c r="AG205" s="1"/>
      <c r="AH205" s="1"/>
      <c r="AI205" s="1"/>
      <c r="AJ205" s="1"/>
    </row>
    <row r="206" spans="1:3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1"/>
      <c r="AD206" s="1"/>
      <c r="AE206" s="1"/>
      <c r="AF206" s="1"/>
      <c r="AG206" s="1"/>
      <c r="AH206" s="1"/>
      <c r="AI206" s="1"/>
      <c r="AJ206" s="1"/>
    </row>
    <row r="207" spans="1:3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1"/>
      <c r="AD207" s="1"/>
      <c r="AE207" s="1"/>
      <c r="AF207" s="1"/>
      <c r="AG207" s="1"/>
      <c r="AH207" s="1"/>
      <c r="AI207" s="1"/>
      <c r="AJ207" s="1"/>
    </row>
    <row r="208" spans="1:3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1"/>
      <c r="AD208" s="1"/>
      <c r="AE208" s="1"/>
      <c r="AF208" s="1"/>
      <c r="AG208" s="1"/>
      <c r="AH208" s="1"/>
      <c r="AI208" s="1"/>
      <c r="AJ208" s="1"/>
    </row>
    <row r="209" spans="1:3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1"/>
      <c r="AD209" s="1"/>
      <c r="AE209" s="1"/>
      <c r="AF209" s="1"/>
      <c r="AG209" s="1"/>
      <c r="AH209" s="1"/>
      <c r="AI209" s="1"/>
      <c r="AJ209" s="1"/>
    </row>
    <row r="210" spans="1:3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1"/>
      <c r="AD210" s="1"/>
      <c r="AE210" s="1"/>
      <c r="AF210" s="1"/>
      <c r="AG210" s="1"/>
      <c r="AH210" s="1"/>
      <c r="AI210" s="1"/>
      <c r="AJ210" s="1"/>
    </row>
    <row r="211" spans="1:3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1"/>
      <c r="AD211" s="1"/>
      <c r="AE211" s="1"/>
      <c r="AF211" s="1"/>
      <c r="AG211" s="1"/>
      <c r="AH211" s="1"/>
      <c r="AI211" s="1"/>
      <c r="AJ211" s="1"/>
    </row>
    <row r="212" spans="1:3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1"/>
      <c r="AD212" s="1"/>
      <c r="AE212" s="1"/>
      <c r="AF212" s="1"/>
      <c r="AG212" s="1"/>
      <c r="AH212" s="1"/>
      <c r="AI212" s="1"/>
      <c r="AJ212" s="1"/>
    </row>
    <row r="213" spans="1:3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1"/>
      <c r="AD213" s="1"/>
      <c r="AE213" s="1"/>
      <c r="AF213" s="1"/>
      <c r="AG213" s="1"/>
      <c r="AH213" s="1"/>
      <c r="AI213" s="1"/>
      <c r="AJ213" s="1"/>
    </row>
    <row r="214" spans="1:3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1"/>
      <c r="AD214" s="1"/>
      <c r="AE214" s="1"/>
      <c r="AF214" s="1"/>
      <c r="AG214" s="1"/>
      <c r="AH214" s="1"/>
      <c r="AI214" s="1"/>
      <c r="AJ214" s="1"/>
    </row>
    <row r="215" spans="1:3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1"/>
      <c r="AD215" s="1"/>
      <c r="AE215" s="1"/>
      <c r="AF215" s="1"/>
      <c r="AG215" s="1"/>
      <c r="AH215" s="1"/>
      <c r="AI215" s="1"/>
      <c r="AJ215" s="1"/>
    </row>
    <row r="216" spans="1:3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1"/>
      <c r="AD216" s="1"/>
      <c r="AE216" s="1"/>
      <c r="AF216" s="1"/>
      <c r="AG216" s="1"/>
      <c r="AH216" s="1"/>
      <c r="AI216" s="1"/>
      <c r="AJ216" s="1"/>
    </row>
    <row r="217" spans="1:3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1"/>
      <c r="AD217" s="1"/>
      <c r="AE217" s="1"/>
      <c r="AF217" s="1"/>
      <c r="AG217" s="1"/>
      <c r="AH217" s="1"/>
      <c r="AI217" s="1"/>
      <c r="AJ217" s="1"/>
    </row>
    <row r="218" spans="1:3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1"/>
      <c r="AD218" s="1"/>
      <c r="AE218" s="1"/>
      <c r="AF218" s="1"/>
      <c r="AG218" s="1"/>
      <c r="AH218" s="1"/>
      <c r="AI218" s="1"/>
      <c r="AJ218" s="1"/>
    </row>
    <row r="219" spans="1:3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1"/>
      <c r="AD219" s="1"/>
      <c r="AE219" s="1"/>
      <c r="AF219" s="1"/>
      <c r="AG219" s="1"/>
      <c r="AH219" s="1"/>
      <c r="AI219" s="1"/>
      <c r="AJ219" s="1"/>
    </row>
    <row r="220" spans="1:3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1"/>
      <c r="AD220" s="1"/>
      <c r="AE220" s="1"/>
      <c r="AF220" s="1"/>
      <c r="AG220" s="1"/>
      <c r="AH220" s="1"/>
      <c r="AI220" s="1"/>
      <c r="AJ220" s="1"/>
    </row>
    <row r="221" spans="1:3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1"/>
      <c r="AD221" s="1"/>
      <c r="AE221" s="1"/>
      <c r="AF221" s="1"/>
      <c r="AG221" s="1"/>
      <c r="AH221" s="1"/>
      <c r="AI221" s="1"/>
      <c r="AJ221" s="1"/>
    </row>
    <row r="222" spans="1:3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1"/>
      <c r="AD222" s="1"/>
      <c r="AE222" s="1"/>
      <c r="AF222" s="1"/>
      <c r="AG222" s="1"/>
      <c r="AH222" s="1"/>
      <c r="AI222" s="1"/>
      <c r="AJ222" s="1"/>
    </row>
    <row r="223" spans="1:3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1"/>
      <c r="AD223" s="1"/>
      <c r="AE223" s="1"/>
      <c r="AF223" s="1"/>
      <c r="AG223" s="1"/>
      <c r="AH223" s="1"/>
      <c r="AI223" s="1"/>
      <c r="AJ223" s="1"/>
    </row>
    <row r="224" spans="1:3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1"/>
      <c r="AD224" s="1"/>
      <c r="AE224" s="1"/>
      <c r="AF224" s="1"/>
      <c r="AG224" s="1"/>
      <c r="AH224" s="1"/>
      <c r="AI224" s="1"/>
      <c r="AJ224" s="1"/>
    </row>
    <row r="225" spans="1:3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1"/>
      <c r="AD225" s="1"/>
      <c r="AE225" s="1"/>
      <c r="AF225" s="1"/>
      <c r="AG225" s="1"/>
      <c r="AH225" s="1"/>
      <c r="AI225" s="1"/>
      <c r="AJ225" s="1"/>
    </row>
    <row r="226" spans="1:3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1"/>
      <c r="AD226" s="1"/>
      <c r="AE226" s="1"/>
      <c r="AF226" s="1"/>
      <c r="AG226" s="1"/>
      <c r="AH226" s="1"/>
      <c r="AI226" s="1"/>
      <c r="AJ226" s="1"/>
    </row>
    <row r="227" spans="1:3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1"/>
      <c r="AD227" s="1"/>
      <c r="AE227" s="1"/>
      <c r="AF227" s="1"/>
      <c r="AG227" s="1"/>
      <c r="AH227" s="1"/>
      <c r="AI227" s="1"/>
      <c r="AJ227" s="1"/>
    </row>
    <row r="228" spans="1:3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1"/>
      <c r="AD228" s="1"/>
      <c r="AE228" s="1"/>
      <c r="AF228" s="1"/>
      <c r="AG228" s="1"/>
      <c r="AH228" s="1"/>
      <c r="AI228" s="1"/>
      <c r="AJ228" s="1"/>
    </row>
    <row r="229" spans="1:3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1"/>
      <c r="AD229" s="1"/>
      <c r="AE229" s="1"/>
      <c r="AF229" s="1"/>
      <c r="AG229" s="1"/>
      <c r="AH229" s="1"/>
      <c r="AI229" s="1"/>
      <c r="AJ229" s="1"/>
    </row>
    <row r="230" spans="1:3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1"/>
      <c r="AD230" s="1"/>
      <c r="AE230" s="1"/>
      <c r="AF230" s="1"/>
      <c r="AG230" s="1"/>
      <c r="AH230" s="1"/>
      <c r="AI230" s="1"/>
      <c r="AJ230" s="1"/>
    </row>
    <row r="231" spans="1:3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1"/>
      <c r="AD231" s="1"/>
      <c r="AE231" s="1"/>
      <c r="AF231" s="1"/>
      <c r="AG231" s="1"/>
      <c r="AH231" s="1"/>
      <c r="AI231" s="1"/>
      <c r="AJ231" s="1"/>
    </row>
    <row r="232" spans="1:3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1"/>
      <c r="AD232" s="1"/>
      <c r="AE232" s="1"/>
      <c r="AF232" s="1"/>
      <c r="AG232" s="1"/>
      <c r="AH232" s="1"/>
      <c r="AI232" s="1"/>
      <c r="AJ232" s="1"/>
    </row>
    <row r="233" spans="1:3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1"/>
      <c r="AD233" s="1"/>
      <c r="AE233" s="1"/>
      <c r="AF233" s="1"/>
      <c r="AG233" s="1"/>
      <c r="AH233" s="1"/>
      <c r="AI233" s="1"/>
      <c r="AJ233" s="1"/>
    </row>
    <row r="234" spans="1:3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1"/>
      <c r="AD234" s="1"/>
      <c r="AE234" s="1"/>
      <c r="AF234" s="1"/>
      <c r="AG234" s="1"/>
      <c r="AH234" s="1"/>
      <c r="AI234" s="1"/>
      <c r="AJ234" s="1"/>
    </row>
    <row r="235" spans="1:3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1"/>
      <c r="AD235" s="1"/>
      <c r="AE235" s="1"/>
      <c r="AF235" s="1"/>
      <c r="AG235" s="1"/>
      <c r="AH235" s="1"/>
      <c r="AI235" s="1"/>
      <c r="AJ235" s="1"/>
    </row>
    <row r="236" spans="1:3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1"/>
      <c r="AD236" s="1"/>
      <c r="AE236" s="1"/>
      <c r="AF236" s="1"/>
      <c r="AG236" s="1"/>
      <c r="AH236" s="1"/>
      <c r="AI236" s="1"/>
      <c r="AJ236" s="1"/>
    </row>
    <row r="237" spans="1:3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1"/>
      <c r="AD237" s="1"/>
      <c r="AE237" s="1"/>
      <c r="AF237" s="1"/>
      <c r="AG237" s="1"/>
      <c r="AH237" s="1"/>
      <c r="AI237" s="1"/>
      <c r="AJ237" s="1"/>
    </row>
    <row r="238" spans="1:3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1"/>
      <c r="AD238" s="1"/>
      <c r="AE238" s="1"/>
      <c r="AF238" s="1"/>
      <c r="AG238" s="1"/>
      <c r="AH238" s="1"/>
      <c r="AI238" s="1"/>
      <c r="AJ238" s="1"/>
    </row>
    <row r="239" spans="1:3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1"/>
      <c r="AD239" s="1"/>
      <c r="AE239" s="1"/>
      <c r="AF239" s="1"/>
      <c r="AG239" s="1"/>
      <c r="AH239" s="1"/>
      <c r="AI239" s="1"/>
      <c r="AJ239" s="1"/>
    </row>
    <row r="240" spans="1:3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1"/>
      <c r="AD240" s="1"/>
      <c r="AE240" s="1"/>
      <c r="AF240" s="1"/>
      <c r="AG240" s="1"/>
      <c r="AH240" s="1"/>
      <c r="AI240" s="1"/>
      <c r="AJ240" s="1"/>
    </row>
    <row r="241" spans="1:3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1"/>
      <c r="AD241" s="1"/>
      <c r="AE241" s="1"/>
      <c r="AF241" s="1"/>
      <c r="AG241" s="1"/>
      <c r="AH241" s="1"/>
      <c r="AI241" s="1"/>
      <c r="AJ241" s="1"/>
    </row>
    <row r="242" spans="1:3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1"/>
      <c r="AD242" s="1"/>
      <c r="AE242" s="1"/>
      <c r="AF242" s="1"/>
      <c r="AG242" s="1"/>
      <c r="AH242" s="1"/>
      <c r="AI242" s="1"/>
      <c r="AJ242" s="1"/>
    </row>
    <row r="243" spans="1:3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1"/>
      <c r="AD243" s="1"/>
      <c r="AE243" s="1"/>
      <c r="AF243" s="1"/>
      <c r="AG243" s="1"/>
      <c r="AH243" s="1"/>
      <c r="AI243" s="1"/>
      <c r="AJ243" s="1"/>
    </row>
    <row r="244" spans="1:3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1"/>
      <c r="AD244" s="1"/>
      <c r="AE244" s="1"/>
      <c r="AF244" s="1"/>
      <c r="AG244" s="1"/>
      <c r="AH244" s="1"/>
      <c r="AI244" s="1"/>
      <c r="AJ244" s="1"/>
    </row>
    <row r="245" spans="1:3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1"/>
      <c r="AD245" s="1"/>
      <c r="AE245" s="1"/>
      <c r="AF245" s="1"/>
      <c r="AG245" s="1"/>
      <c r="AH245" s="1"/>
      <c r="AI245" s="1"/>
      <c r="AJ245" s="1"/>
    </row>
    <row r="246" spans="1:3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1"/>
      <c r="AD246" s="1"/>
      <c r="AE246" s="1"/>
      <c r="AF246" s="1"/>
      <c r="AG246" s="1"/>
      <c r="AH246" s="1"/>
      <c r="AI246" s="1"/>
      <c r="AJ246" s="1"/>
    </row>
    <row r="247" spans="1:3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1"/>
      <c r="AD247" s="1"/>
      <c r="AE247" s="1"/>
      <c r="AF247" s="1"/>
      <c r="AG247" s="1"/>
      <c r="AH247" s="1"/>
      <c r="AI247" s="1"/>
      <c r="AJ247" s="1"/>
    </row>
    <row r="248" spans="1:3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1"/>
      <c r="AD248" s="1"/>
      <c r="AE248" s="1"/>
      <c r="AF248" s="1"/>
      <c r="AG248" s="1"/>
      <c r="AH248" s="1"/>
      <c r="AI248" s="1"/>
      <c r="AJ248" s="1"/>
    </row>
    <row r="249" spans="1:3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1"/>
      <c r="AD249" s="1"/>
      <c r="AE249" s="1"/>
      <c r="AF249" s="1"/>
      <c r="AG249" s="1"/>
      <c r="AH249" s="1"/>
      <c r="AI249" s="1"/>
      <c r="AJ249" s="1"/>
    </row>
    <row r="250" spans="1:3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1"/>
      <c r="AD250" s="1"/>
      <c r="AE250" s="1"/>
      <c r="AF250" s="1"/>
      <c r="AG250" s="1"/>
      <c r="AH250" s="1"/>
      <c r="AI250" s="1"/>
      <c r="AJ250" s="1"/>
    </row>
    <row r="251" spans="1:3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1"/>
      <c r="AD251" s="1"/>
      <c r="AE251" s="1"/>
      <c r="AF251" s="1"/>
      <c r="AG251" s="1"/>
      <c r="AH251" s="1"/>
      <c r="AI251" s="1"/>
      <c r="AJ251" s="1"/>
    </row>
    <row r="252" spans="1:3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1"/>
      <c r="AD252" s="1"/>
      <c r="AE252" s="1"/>
      <c r="AF252" s="1"/>
      <c r="AG252" s="1"/>
      <c r="AH252" s="1"/>
      <c r="AI252" s="1"/>
      <c r="AJ252" s="1"/>
    </row>
    <row r="253" spans="1:3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1"/>
      <c r="AD253" s="1"/>
      <c r="AE253" s="1"/>
      <c r="AF253" s="1"/>
      <c r="AG253" s="1"/>
      <c r="AH253" s="1"/>
      <c r="AI253" s="1"/>
      <c r="AJ253" s="1"/>
    </row>
    <row r="254" spans="1:3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1"/>
      <c r="AD254" s="1"/>
      <c r="AE254" s="1"/>
      <c r="AF254" s="1"/>
      <c r="AG254" s="1"/>
      <c r="AH254" s="1"/>
      <c r="AI254" s="1"/>
      <c r="AJ254" s="1"/>
    </row>
    <row r="255" spans="1:3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1"/>
      <c r="AD255" s="1"/>
      <c r="AE255" s="1"/>
      <c r="AF255" s="1"/>
      <c r="AG255" s="1"/>
      <c r="AH255" s="1"/>
      <c r="AI255" s="1"/>
      <c r="AJ255" s="1"/>
    </row>
    <row r="256" spans="1:3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1"/>
      <c r="AD256" s="1"/>
      <c r="AE256" s="1"/>
      <c r="AF256" s="1"/>
      <c r="AG256" s="1"/>
      <c r="AH256" s="1"/>
      <c r="AI256" s="1"/>
      <c r="AJ256" s="1"/>
    </row>
    <row r="257" spans="1:3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1"/>
      <c r="AD257" s="1"/>
      <c r="AE257" s="1"/>
      <c r="AF257" s="1"/>
      <c r="AG257" s="1"/>
      <c r="AH257" s="1"/>
      <c r="AI257" s="1"/>
      <c r="AJ257" s="1"/>
    </row>
    <row r="258" spans="1:3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1"/>
      <c r="AD258" s="1"/>
      <c r="AE258" s="1"/>
      <c r="AF258" s="1"/>
      <c r="AG258" s="1"/>
      <c r="AH258" s="1"/>
      <c r="AI258" s="1"/>
      <c r="AJ258" s="1"/>
    </row>
    <row r="259" spans="1:3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1"/>
      <c r="AD259" s="1"/>
      <c r="AE259" s="1"/>
      <c r="AF259" s="1"/>
      <c r="AG259" s="1"/>
      <c r="AH259" s="1"/>
      <c r="AI259" s="1"/>
      <c r="AJ259" s="1"/>
    </row>
    <row r="260" spans="1:3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1"/>
      <c r="AD260" s="1"/>
      <c r="AE260" s="1"/>
      <c r="AF260" s="1"/>
      <c r="AG260" s="1"/>
      <c r="AH260" s="1"/>
      <c r="AI260" s="1"/>
      <c r="AJ260" s="1"/>
    </row>
    <row r="261" spans="1:3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1"/>
      <c r="AD261" s="1"/>
      <c r="AE261" s="1"/>
      <c r="AF261" s="1"/>
      <c r="AG261" s="1"/>
      <c r="AH261" s="1"/>
      <c r="AI261" s="1"/>
      <c r="AJ261" s="1"/>
    </row>
    <row r="262" spans="1:3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1"/>
      <c r="AD262" s="1"/>
      <c r="AE262" s="1"/>
      <c r="AF262" s="1"/>
      <c r="AG262" s="1"/>
      <c r="AH262" s="1"/>
      <c r="AI262" s="1"/>
      <c r="AJ262" s="1"/>
    </row>
    <row r="263" spans="1:3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1"/>
      <c r="AD263" s="1"/>
      <c r="AE263" s="1"/>
      <c r="AF263" s="1"/>
      <c r="AG263" s="1"/>
      <c r="AH263" s="1"/>
      <c r="AI263" s="1"/>
      <c r="AJ263" s="1"/>
    </row>
    <row r="264" spans="1:3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1"/>
      <c r="AD264" s="1"/>
      <c r="AE264" s="1"/>
      <c r="AF264" s="1"/>
      <c r="AG264" s="1"/>
      <c r="AH264" s="1"/>
      <c r="AI264" s="1"/>
      <c r="AJ264" s="1"/>
    </row>
    <row r="265" spans="1:3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1"/>
      <c r="AD265" s="1"/>
      <c r="AE265" s="1"/>
      <c r="AF265" s="1"/>
      <c r="AG265" s="1"/>
      <c r="AH265" s="1"/>
      <c r="AI265" s="1"/>
      <c r="AJ265" s="1"/>
    </row>
    <row r="266" spans="1:3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1"/>
      <c r="AD266" s="1"/>
      <c r="AE266" s="1"/>
      <c r="AF266" s="1"/>
      <c r="AG266" s="1"/>
      <c r="AH266" s="1"/>
      <c r="AI266" s="1"/>
      <c r="AJ266" s="1"/>
    </row>
    <row r="267" spans="1:3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1"/>
      <c r="AD267" s="1"/>
      <c r="AE267" s="1"/>
      <c r="AF267" s="1"/>
      <c r="AG267" s="1"/>
      <c r="AH267" s="1"/>
      <c r="AI267" s="1"/>
      <c r="AJ267" s="1"/>
    </row>
    <row r="268" spans="1:3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1"/>
      <c r="AD268" s="1"/>
      <c r="AE268" s="1"/>
      <c r="AF268" s="1"/>
      <c r="AG268" s="1"/>
      <c r="AH268" s="1"/>
      <c r="AI268" s="1"/>
      <c r="AJ268" s="1"/>
    </row>
    <row r="269" spans="1:3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1"/>
      <c r="AD269" s="1"/>
      <c r="AE269" s="1"/>
      <c r="AF269" s="1"/>
      <c r="AG269" s="1"/>
      <c r="AH269" s="1"/>
      <c r="AI269" s="1"/>
      <c r="AJ269" s="1"/>
    </row>
    <row r="270" spans="1:3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1"/>
      <c r="AD270" s="1"/>
      <c r="AE270" s="1"/>
      <c r="AF270" s="1"/>
      <c r="AG270" s="1"/>
      <c r="AH270" s="1"/>
      <c r="AI270" s="1"/>
      <c r="AJ270" s="1"/>
    </row>
    <row r="271" spans="1:3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1"/>
      <c r="AD271" s="1"/>
      <c r="AE271" s="1"/>
      <c r="AF271" s="1"/>
      <c r="AG271" s="1"/>
      <c r="AH271" s="1"/>
      <c r="AI271" s="1"/>
      <c r="AJ271" s="1"/>
    </row>
    <row r="272" spans="1:3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1"/>
      <c r="AD272" s="1"/>
      <c r="AE272" s="1"/>
      <c r="AF272" s="1"/>
      <c r="AG272" s="1"/>
      <c r="AH272" s="1"/>
      <c r="AI272" s="1"/>
      <c r="AJ272" s="1"/>
    </row>
    <row r="273" spans="1:3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1"/>
      <c r="AD273" s="1"/>
      <c r="AE273" s="1"/>
      <c r="AF273" s="1"/>
      <c r="AG273" s="1"/>
      <c r="AH273" s="1"/>
      <c r="AI273" s="1"/>
      <c r="AJ273" s="1"/>
    </row>
    <row r="274" spans="1:3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1"/>
      <c r="AD274" s="1"/>
      <c r="AE274" s="1"/>
      <c r="AF274" s="1"/>
      <c r="AG274" s="1"/>
      <c r="AH274" s="1"/>
      <c r="AI274" s="1"/>
      <c r="AJ274" s="1"/>
    </row>
    <row r="275" spans="1:3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1"/>
      <c r="AD275" s="1"/>
      <c r="AE275" s="1"/>
      <c r="AF275" s="1"/>
      <c r="AG275" s="1"/>
      <c r="AH275" s="1"/>
      <c r="AI275" s="1"/>
      <c r="AJ275" s="1"/>
    </row>
    <row r="276" spans="1:3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1"/>
      <c r="AD276" s="1"/>
      <c r="AE276" s="1"/>
      <c r="AF276" s="1"/>
      <c r="AG276" s="1"/>
      <c r="AH276" s="1"/>
      <c r="AI276" s="1"/>
      <c r="AJ276" s="1"/>
    </row>
    <row r="277" spans="1:3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1"/>
      <c r="AD277" s="1"/>
      <c r="AE277" s="1"/>
      <c r="AF277" s="1"/>
      <c r="AG277" s="1"/>
      <c r="AH277" s="1"/>
      <c r="AI277" s="1"/>
      <c r="AJ277" s="1"/>
    </row>
    <row r="278" spans="1:3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1"/>
      <c r="AD278" s="1"/>
      <c r="AE278" s="1"/>
      <c r="AF278" s="1"/>
      <c r="AG278" s="1"/>
      <c r="AH278" s="1"/>
      <c r="AI278" s="1"/>
      <c r="AJ278" s="1"/>
    </row>
    <row r="279" spans="1:3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1"/>
      <c r="AD279" s="1"/>
      <c r="AE279" s="1"/>
      <c r="AF279" s="1"/>
      <c r="AG279" s="1"/>
      <c r="AH279" s="1"/>
      <c r="AI279" s="1"/>
      <c r="AJ279" s="1"/>
    </row>
    <row r="280" spans="1:3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1"/>
      <c r="AD280" s="1"/>
      <c r="AE280" s="1"/>
      <c r="AF280" s="1"/>
      <c r="AG280" s="1"/>
      <c r="AH280" s="1"/>
      <c r="AI280" s="1"/>
      <c r="AJ280" s="1"/>
    </row>
    <row r="281" spans="1:3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1"/>
      <c r="AD281" s="1"/>
      <c r="AE281" s="1"/>
      <c r="AF281" s="1"/>
      <c r="AG281" s="1"/>
      <c r="AH281" s="1"/>
      <c r="AI281" s="1"/>
      <c r="AJ281" s="1"/>
    </row>
    <row r="282" spans="1:3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1"/>
      <c r="AD282" s="1"/>
      <c r="AE282" s="1"/>
      <c r="AF282" s="1"/>
      <c r="AG282" s="1"/>
      <c r="AH282" s="1"/>
      <c r="AI282" s="1"/>
      <c r="AJ282" s="1"/>
    </row>
    <row r="283" spans="1:3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1"/>
      <c r="AD283" s="1"/>
      <c r="AE283" s="1"/>
      <c r="AF283" s="1"/>
      <c r="AG283" s="1"/>
      <c r="AH283" s="1"/>
      <c r="AI283" s="1"/>
      <c r="AJ283" s="1"/>
    </row>
    <row r="284" spans="1:3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1"/>
      <c r="AD284" s="1"/>
      <c r="AE284" s="1"/>
      <c r="AF284" s="1"/>
      <c r="AG284" s="1"/>
      <c r="AH284" s="1"/>
      <c r="AI284" s="1"/>
      <c r="AJ284" s="1"/>
    </row>
    <row r="285" spans="1:3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1"/>
      <c r="AD285" s="1"/>
      <c r="AE285" s="1"/>
      <c r="AF285" s="1"/>
      <c r="AG285" s="1"/>
      <c r="AH285" s="1"/>
      <c r="AI285" s="1"/>
      <c r="AJ285" s="1"/>
    </row>
  </sheetData>
  <mergeCells count="16">
    <mergeCell ref="A1:N1"/>
    <mergeCell ref="U1:W1"/>
    <mergeCell ref="A5:A7"/>
    <mergeCell ref="A2:N2"/>
    <mergeCell ref="A3:N3"/>
    <mergeCell ref="N5:N7"/>
    <mergeCell ref="K5:M5"/>
    <mergeCell ref="K6:M6"/>
    <mergeCell ref="H5:J5"/>
    <mergeCell ref="H6:J6"/>
    <mergeCell ref="E5:G5"/>
    <mergeCell ref="E6:G6"/>
    <mergeCell ref="B5:D5"/>
    <mergeCell ref="B6:D6"/>
    <mergeCell ref="AE22:AH22"/>
    <mergeCell ref="W22:Z22"/>
  </mergeCells>
  <pageMargins left="0.7" right="0.7" top="0.75" bottom="0.75" header="0" footer="0"/>
  <pageSetup paperSize="9" scale="71" orientation="landscape" horizontalDpi="4294967295" verticalDpi="4294967295" r:id="rId1"/>
  <rowBreaks count="1" manualBreakCount="1">
    <brk id="40" max="2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</vt:lpstr>
      <vt:lpstr>'18.2'!Print_Area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2019-05-12T04:03:19Z</cp:lastPrinted>
  <dcterms:created xsi:type="dcterms:W3CDTF">2019-02-21T04:10:17Z</dcterms:created>
  <dcterms:modified xsi:type="dcterms:W3CDTF">2019-05-12T04:06:33Z</dcterms:modified>
</cp:coreProperties>
</file>