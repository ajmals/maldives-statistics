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8" sheetId="18" r:id="rId1"/>
  </sheets>
  <definedNames>
    <definedName name="_xlnm.Print_Area" localSheetId="0">'18.18'!$A$1:$J$36</definedName>
  </definedNames>
  <calcPr calcId="162913"/>
</workbook>
</file>

<file path=xl/calcChain.xml><?xml version="1.0" encoding="utf-8"?>
<calcChain xmlns="http://schemas.openxmlformats.org/spreadsheetml/2006/main">
  <c r="B6" i="18" l="1"/>
  <c r="G6" i="18"/>
  <c r="R35" i="18" l="1"/>
  <c r="R36" i="18"/>
  <c r="W36" i="18" l="1"/>
  <c r="V36" i="18"/>
  <c r="U36" i="18"/>
  <c r="T36" i="18"/>
  <c r="S36" i="18"/>
  <c r="W35" i="18"/>
  <c r="V35" i="18"/>
  <c r="U35" i="18"/>
  <c r="T35" i="18"/>
  <c r="S35" i="18"/>
  <c r="V34" i="18"/>
  <c r="U34" i="18"/>
  <c r="T34" i="18"/>
  <c r="S34" i="18"/>
  <c r="R34" i="18"/>
  <c r="V33" i="18"/>
  <c r="U33" i="18"/>
  <c r="T33" i="18"/>
  <c r="S33" i="18"/>
  <c r="R33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H6" i="18"/>
  <c r="W30" i="18" s="1"/>
  <c r="W37" i="18" s="1"/>
  <c r="V30" i="18"/>
  <c r="V37" i="18" s="1"/>
  <c r="F6" i="18"/>
  <c r="U30" i="18" s="1"/>
  <c r="U37" i="18" s="1"/>
  <c r="E6" i="18"/>
  <c r="T30" i="18" s="1"/>
  <c r="T37" i="18" s="1"/>
  <c r="D6" i="18"/>
  <c r="S30" i="18" s="1"/>
  <c r="S37" i="18" s="1"/>
  <c r="C6" i="18"/>
  <c r="R30" i="18" s="1"/>
  <c r="R37" i="18" s="1"/>
</calcChain>
</file>

<file path=xl/sharedStrings.xml><?xml version="1.0" encoding="utf-8"?>
<sst xmlns="http://schemas.openxmlformats.org/spreadsheetml/2006/main" count="57" uniqueCount="45">
  <si>
    <t>Month</t>
  </si>
  <si>
    <t>މަސް</t>
  </si>
  <si>
    <t>ޖުމްލަ</t>
  </si>
  <si>
    <t>Total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</si>
  <si>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</si>
  <si>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</si>
  <si>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</si>
  <si>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</si>
  <si>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</si>
  <si>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</si>
  <si>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</si>
  <si>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</si>
  <si>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</si>
  <si>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</si>
  <si>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</si>
  <si>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</si>
  <si>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</si>
  <si>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</si>
  <si>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</si>
  <si>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</si>
  <si>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</si>
  <si>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</si>
  <si>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</si>
  <si>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ތާވަލް 18.18: އިޖްތިމާއީ ރައްކާތެރިކަމުގެ ދަށުންދެވޭ ޚިދުމަތްތަކަށް ދައުލަތުންކުރެވުނު ޚަރަދު (ރުފިޔާއިން)، 2018</t>
  </si>
  <si>
    <t>Table 18.18 :  GOVERNMENT EXPENDITURE ON  DIFFERENT SOCIAL PROTECTION SCHEMES BY TYPE (in MVR),  2018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</si>
  <si>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</si>
  <si>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</si>
  <si>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</si>
  <si>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</si>
  <si>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</si>
  <si>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FOOD SUBSIDY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</si>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</sst>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7" formatCode="#,##0.0"/>
    <numFmt numFmtId="168" formatCode="General_)"/>
  </numFmts>
  <fonts count="2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Faruma"/>
    </font>
    <font>
      <sz val="10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5" fillId="0" borderId="1"/>
    <xf numFmtId="164" fontId="8" fillId="0" borderId="1"/>
    <xf numFmtId="0" fontId="1" fillId="0" borderId="1"/>
    <xf numFmtId="0" fontId="8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</cellStyleXfs>
  <cellXfs count="72">
    <xf numFmtId="0" fontId="0" fillId="0" borderId="0" xfId="0" applyFont="1" applyAlignment="1"/>
    <xf numFmtId="168" fontId="14" fillId="2" borderId="1" xfId="3" applyNumberFormat="1" applyFont="1" applyFill="1" applyBorder="1" applyAlignment="1" applyProtection="1">
      <alignment horizontal="left" vertical="center"/>
    </xf>
    <xf numFmtId="168" fontId="15" fillId="2" borderId="1" xfId="5" applyNumberFormat="1" applyFont="1" applyFill="1" applyAlignment="1">
      <alignment horizontal="right" vertical="center"/>
    </xf>
    <xf numFmtId="168" fontId="15" fillId="2" borderId="1" xfId="5" applyNumberFormat="1" applyFont="1" applyFill="1" applyBorder="1" applyAlignment="1">
      <alignment horizontal="right" vertical="center"/>
    </xf>
    <xf numFmtId="168" fontId="4" fillId="2" borderId="0" xfId="0" applyNumberFormat="1" applyFont="1" applyFill="1"/>
    <xf numFmtId="168" fontId="19" fillId="2" borderId="1" xfId="0" applyNumberFormat="1" applyFont="1" applyFill="1" applyBorder="1"/>
    <xf numFmtId="3" fontId="21" fillId="2" borderId="1" xfId="2" applyNumberFormat="1" applyFont="1" applyFill="1" applyBorder="1"/>
    <xf numFmtId="3" fontId="11" fillId="2" borderId="1" xfId="2" applyNumberFormat="1" applyFont="1" applyFill="1" applyBorder="1" applyAlignment="1">
      <alignment horizontal="right" vertical="center" wrapText="1"/>
    </xf>
    <xf numFmtId="168" fontId="20" fillId="2" borderId="1" xfId="3" applyNumberFormat="1" applyFont="1" applyFill="1" applyBorder="1" applyAlignment="1" applyProtection="1">
      <alignment horizontal="left" vertical="center"/>
    </xf>
    <xf numFmtId="0" fontId="6" fillId="2" borderId="2" xfId="0" applyFont="1" applyFill="1" applyBorder="1" applyAlignment="1">
      <alignment horizontal="right" vertical="center" wrapText="1"/>
    </xf>
    <xf numFmtId="168" fontId="6" fillId="2" borderId="2" xfId="0" applyNumberFormat="1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vertical="center" wrapText="1"/>
    </xf>
    <xf numFmtId="3" fontId="21" fillId="2" borderId="1" xfId="2" applyNumberFormat="1" applyFont="1" applyFill="1" applyBorder="1" applyAlignment="1">
      <alignment horizontal="right" vertical="center" wrapText="1"/>
    </xf>
    <xf numFmtId="168" fontId="20" fillId="2" borderId="3" xfId="3" applyNumberFormat="1" applyFont="1" applyFill="1" applyBorder="1" applyAlignment="1" applyProtection="1">
      <alignment horizontal="left" vertical="center"/>
    </xf>
    <xf numFmtId="164" fontId="20" fillId="2" borderId="3" xfId="1" applyNumberFormat="1" applyFont="1" applyFill="1" applyBorder="1" applyAlignment="1">
      <alignment horizontal="right" vertical="center" wrapText="1"/>
    </xf>
    <xf numFmtId="164" fontId="10" fillId="2" borderId="1" xfId="1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9" fillId="2" borderId="1" xfId="1" applyNumberFormat="1" applyFont="1" applyFill="1" applyBorder="1" applyAlignment="1" applyProtection="1">
      <alignment horizontal="right" vertical="center"/>
    </xf>
    <xf numFmtId="168" fontId="22" fillId="2" borderId="3" xfId="0" applyNumberFormat="1" applyFont="1" applyFill="1" applyBorder="1" applyAlignment="1">
      <alignment horizontal="right" vertical="center" wrapText="1"/>
    </xf>
    <xf numFmtId="168" fontId="19" fillId="2" borderId="1" xfId="3" applyNumberFormat="1" applyFont="1" applyFill="1" applyBorder="1" applyAlignment="1" applyProtection="1">
      <alignment horizontal="left" vertical="center"/>
    </xf>
    <xf numFmtId="164" fontId="19" fillId="2" borderId="1" xfId="1" applyNumberFormat="1" applyFont="1" applyFill="1" applyBorder="1" applyAlignment="1">
      <alignment horizontal="right"/>
    </xf>
    <xf numFmtId="168" fontId="22" fillId="2" borderId="1" xfId="0" applyNumberFormat="1" applyFont="1" applyFill="1" applyBorder="1" applyAlignment="1">
      <alignment horizontal="right" vertical="center" wrapText="1"/>
    </xf>
    <xf numFmtId="168" fontId="19" fillId="2" borderId="2" xfId="3" applyNumberFormat="1" applyFont="1" applyFill="1" applyBorder="1" applyAlignment="1" applyProtection="1">
      <alignment horizontal="left" vertical="center"/>
    </xf>
    <xf numFmtId="164" fontId="19" fillId="2" borderId="2" xfId="1" applyNumberFormat="1" applyFont="1" applyFill="1" applyBorder="1" applyAlignment="1">
      <alignment horizontal="right"/>
    </xf>
    <xf numFmtId="168" fontId="22" fillId="2" borderId="2" xfId="0" applyNumberFormat="1" applyFont="1" applyFill="1" applyBorder="1" applyAlignment="1">
      <alignment horizontal="right" vertical="center" wrapText="1"/>
    </xf>
    <xf numFmtId="168" fontId="4" fillId="2" borderId="0" xfId="0" applyNumberFormat="1" applyFont="1" applyFill="1" applyAlignment="1">
      <alignment horizontal="center" vertical="center"/>
    </xf>
    <xf numFmtId="168" fontId="23" fillId="2" borderId="0" xfId="0" applyNumberFormat="1" applyFont="1" applyFill="1"/>
    <xf numFmtId="168" fontId="4" fillId="2" borderId="1" xfId="0" applyNumberFormat="1" applyFont="1" applyFill="1" applyBorder="1"/>
    <xf numFmtId="168" fontId="4" fillId="2" borderId="1" xfId="0" applyNumberFormat="1" applyFont="1" applyFill="1" applyBorder="1" applyAlignment="1">
      <alignment horizontal="center" vertical="center"/>
    </xf>
    <xf numFmtId="3" fontId="23" fillId="2" borderId="1" xfId="2" applyNumberFormat="1" applyFont="1" applyFill="1" applyBorder="1"/>
    <xf numFmtId="3" fontId="23" fillId="2" borderId="1" xfId="2" applyNumberFormat="1" applyFont="1" applyFill="1"/>
    <xf numFmtId="168" fontId="20" fillId="2" borderId="3" xfId="3" applyNumberFormat="1" applyFont="1" applyFill="1" applyBorder="1" applyAlignment="1">
      <alignment vertical="center"/>
    </xf>
    <xf numFmtId="168" fontId="20" fillId="2" borderId="3" xfId="3" applyNumberFormat="1" applyFont="1" applyFill="1" applyBorder="1" applyAlignment="1">
      <alignment vertical="center" wrapText="1"/>
    </xf>
    <xf numFmtId="168" fontId="24" fillId="2" borderId="1" xfId="0" applyNumberFormat="1" applyFont="1" applyFill="1" applyBorder="1"/>
    <xf numFmtId="168" fontId="24" fillId="2" borderId="0" xfId="0" applyNumberFormat="1" applyFont="1" applyFill="1"/>
    <xf numFmtId="0" fontId="16" fillId="2" borderId="4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vertical="center" wrapText="1"/>
    </xf>
    <xf numFmtId="168" fontId="6" fillId="2" borderId="1" xfId="0" applyNumberFormat="1" applyFont="1" applyFill="1" applyBorder="1" applyAlignment="1">
      <alignment horizontal="right" vertical="center" wrapText="1"/>
    </xf>
    <xf numFmtId="43" fontId="20" fillId="2" borderId="1" xfId="1" applyFont="1" applyFill="1" applyBorder="1" applyAlignment="1">
      <alignment horizontal="center" vertical="center" wrapText="1"/>
    </xf>
    <xf numFmtId="168" fontId="23" fillId="2" borderId="1" xfId="0" applyNumberFormat="1" applyFont="1" applyFill="1" applyBorder="1"/>
    <xf numFmtId="43" fontId="19" fillId="2" borderId="1" xfId="1" applyFont="1" applyFill="1" applyBorder="1"/>
    <xf numFmtId="164" fontId="12" fillId="2" borderId="1" xfId="1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4" fontId="13" fillId="2" borderId="1" xfId="1" applyNumberFormat="1" applyFont="1" applyFill="1" applyBorder="1" applyAlignment="1" applyProtection="1">
      <alignment horizontal="right" vertical="center"/>
    </xf>
    <xf numFmtId="168" fontId="20" fillId="2" borderId="1" xfId="3" applyNumberFormat="1" applyFont="1" applyFill="1" applyBorder="1" applyAlignment="1">
      <alignment vertical="center" wrapText="1"/>
    </xf>
    <xf numFmtId="167" fontId="23" fillId="2" borderId="0" xfId="0" applyNumberFormat="1" applyFont="1" applyFill="1"/>
    <xf numFmtId="164" fontId="13" fillId="2" borderId="1" xfId="1" applyNumberFormat="1" applyFont="1" applyFill="1" applyBorder="1" applyAlignment="1">
      <alignment horizontal="right" vertical="center"/>
    </xf>
    <xf numFmtId="164" fontId="12" fillId="2" borderId="1" xfId="1" applyNumberFormat="1" applyFont="1" applyFill="1" applyBorder="1" applyAlignment="1">
      <alignment vertical="center"/>
    </xf>
    <xf numFmtId="164" fontId="12" fillId="2" borderId="0" xfId="1" applyNumberFormat="1" applyFont="1" applyFill="1" applyAlignment="1">
      <alignment horizontal="right" vertical="center"/>
    </xf>
    <xf numFmtId="164" fontId="12" fillId="2" borderId="2" xfId="1" applyNumberFormat="1" applyFont="1" applyFill="1" applyBorder="1" applyAlignment="1">
      <alignment horizontal="right" vertical="center"/>
    </xf>
    <xf numFmtId="164" fontId="13" fillId="2" borderId="2" xfId="1" applyNumberFormat="1" applyFont="1" applyFill="1" applyBorder="1" applyAlignment="1">
      <alignment horizontal="right" vertical="center"/>
    </xf>
    <xf numFmtId="164" fontId="12" fillId="2" borderId="2" xfId="0" applyNumberFormat="1" applyFont="1" applyFill="1" applyBorder="1" applyAlignment="1">
      <alignment horizontal="right" vertical="center"/>
    </xf>
    <xf numFmtId="168" fontId="4" fillId="2" borderId="0" xfId="0" applyNumberFormat="1" applyFont="1" applyFill="1" applyAlignment="1">
      <alignment horizontal="right"/>
    </xf>
    <xf numFmtId="168" fontId="25" fillId="2" borderId="1" xfId="3" applyNumberFormat="1" applyFont="1" applyFill="1" applyBorder="1" applyAlignment="1">
      <alignment vertical="center"/>
    </xf>
    <xf numFmtId="164" fontId="0" fillId="2" borderId="0" xfId="0" applyNumberFormat="1" applyFill="1"/>
    <xf numFmtId="168" fontId="4" fillId="2" borderId="0" xfId="0" applyNumberFormat="1" applyFont="1" applyFill="1" applyAlignment="1">
      <alignment vertical="top"/>
    </xf>
    <xf numFmtId="168" fontId="20" fillId="2" borderId="1" xfId="3" applyNumberFormat="1" applyFont="1" applyFill="1" applyBorder="1" applyAlignment="1">
      <alignment horizontal="right" vertical="center" wrapText="1"/>
    </xf>
    <xf numFmtId="0" fontId="16" fillId="2" borderId="1" xfId="0" applyFont="1" applyFill="1" applyBorder="1" applyAlignment="1">
      <alignment horizontal="right" wrapText="1"/>
    </xf>
    <xf numFmtId="164" fontId="13" fillId="2" borderId="1" xfId="7" applyNumberFormat="1" applyFont="1" applyFill="1" applyAlignment="1">
      <alignment horizontal="right" vertical="center"/>
    </xf>
    <xf numFmtId="164" fontId="12" fillId="2" borderId="2" xfId="7" applyNumberFormat="1" applyFont="1" applyFill="1" applyBorder="1" applyAlignment="1">
      <alignment horizontal="right" vertical="center"/>
    </xf>
    <xf numFmtId="3" fontId="17" fillId="2" borderId="1" xfId="2" applyNumberFormat="1" applyFont="1" applyFill="1" applyBorder="1" applyAlignment="1">
      <alignment horizontal="center" vertical="center" readingOrder="2"/>
    </xf>
    <xf numFmtId="3" fontId="18" fillId="2" borderId="1" xfId="2" applyNumberFormat="1" applyFont="1" applyFill="1" applyBorder="1" applyAlignment="1" applyProtection="1">
      <alignment horizontal="center" vertical="center"/>
    </xf>
    <xf numFmtId="168" fontId="20" fillId="2" borderId="1" xfId="3" applyNumberFormat="1" applyFont="1" applyFill="1" applyBorder="1" applyAlignment="1">
      <alignment horizontal="center" vertical="center" wrapText="1"/>
    </xf>
    <xf numFmtId="168" fontId="20" fillId="2" borderId="1" xfId="3" applyNumberFormat="1" applyFont="1" applyFill="1" applyBorder="1" applyAlignment="1">
      <alignment horizontal="right" vertical="center" wrapText="1"/>
    </xf>
    <xf numFmtId="0" fontId="16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right" wrapText="1"/>
    </xf>
    <xf numFmtId="3" fontId="17" fillId="2" borderId="1" xfId="2" applyNumberFormat="1" applyFont="1" applyFill="1" applyAlignment="1">
      <alignment horizontal="center" vertical="center" readingOrder="2"/>
    </xf>
    <xf numFmtId="3" fontId="18" fillId="2" borderId="2" xfId="2" applyNumberFormat="1" applyFont="1" applyFill="1" applyBorder="1" applyAlignment="1" applyProtection="1">
      <alignment horizontal="center" vertical="center"/>
    </xf>
    <xf numFmtId="168" fontId="20" fillId="2" borderId="3" xfId="3" applyNumberFormat="1" applyFont="1" applyFill="1" applyBorder="1" applyAlignment="1">
      <alignment horizontal="right" vertical="center" wrapText="1"/>
    </xf>
    <xf numFmtId="168" fontId="20" fillId="2" borderId="4" xfId="3" applyNumberFormat="1" applyFont="1" applyFill="1" applyBorder="1" applyAlignment="1">
      <alignment horizontal="right" vertical="center" wrapText="1"/>
    </xf>
    <xf numFmtId="0" fontId="16" fillId="2" borderId="4" xfId="0" applyFont="1" applyFill="1" applyBorder="1" applyAlignment="1">
      <alignment horizontal="right"/>
    </xf>
    <xf numFmtId="0" fontId="16" fillId="2" borderId="4" xfId="0" applyFont="1" applyFill="1" applyBorder="1" applyAlignment="1">
      <alignment horizontal="right" wrapText="1"/>
    </xf>
  </cellXfs>
  <cellStyles count="9">
    <cellStyle name="Comma" xfId="1" builtinId="3"/>
    <cellStyle name="Comma 23" xfId="8"/>
    <cellStyle name="Comma 3" xfId="7"/>
    <cellStyle name="Normal" xfId="0" builtinId="0"/>
    <cellStyle name="Normal 12" xfId="6"/>
    <cellStyle name="Normal 2" xfId="3"/>
    <cellStyle name="Normal 3 2" xfId="4"/>
    <cellStyle name="Normal_3 Population." xfId="5"/>
    <cellStyle name="Normal_II-15(Population) 2" xfId="2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244929236964078E-2"/>
          <c:y val="0.1657713576619172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'18.18'!$Q$35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'18.18'!$R$32:$W$32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'18.18'!$R$35:$V$35</c:f>
              <c:numCache>
                <c:formatCode>#,##0.0</c:formatCode>
                <c:ptCount val="5"/>
                <c:pt idx="0">
                  <c:v>1675.1991867771001</c:v>
                </c:pt>
                <c:pt idx="1">
                  <c:v>58.122</c:v>
                </c:pt>
                <c:pt idx="2">
                  <c:v>2.4159999999999999</c:v>
                </c:pt>
                <c:pt idx="3">
                  <c:v>75.254785549999994</c:v>
                </c:pt>
                <c:pt idx="4">
                  <c:v>155.797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6-4BEC-BEBF-B4EAB5ED1465}"/>
            </c:ext>
          </c:extLst>
        </c:ser>
        <c:ser>
          <c:idx val="1"/>
          <c:order val="1"/>
          <c:tx>
            <c:strRef>
              <c:f>'18.18'!$Q$36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'18.18'!$R$32:$W$32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'18.18'!$R$36:$V$36</c:f>
              <c:numCache>
                <c:formatCode>#,##0.0</c:formatCode>
                <c:ptCount val="5"/>
                <c:pt idx="0">
                  <c:v>1797.2906854338</c:v>
                </c:pt>
                <c:pt idx="1">
                  <c:v>55.411000000000001</c:v>
                </c:pt>
                <c:pt idx="2">
                  <c:v>2.33</c:v>
                </c:pt>
                <c:pt idx="3">
                  <c:v>55.406665420000003</c:v>
                </c:pt>
                <c:pt idx="4">
                  <c:v>161.68799999999999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6-4BEC-BEBF-B4EAB5ED1465}"/>
            </c:ext>
          </c:extLst>
        </c:ser>
        <c:ser>
          <c:idx val="2"/>
          <c:order val="2"/>
          <c:tx>
            <c:strRef>
              <c:f>'18.18'!$Q$37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'18.18'!$R$32:$W$32</c:f>
              <c:strCache>
                <c:ptCount val="6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  <c:pt idx="5">
                  <c:v>FOOD SUBSIDY</c:v>
                </c:pt>
              </c:strCache>
            </c:strRef>
          </c:cat>
          <c:val>
            <c:numRef>
              <c:f>'18.18'!$R$37:$V$37</c:f>
              <c:numCache>
                <c:formatCode>#,##0.0</c:formatCode>
                <c:ptCount val="5"/>
                <c:pt idx="0">
                  <c:v>2164.6724409019994</c:v>
                </c:pt>
                <c:pt idx="1">
                  <c:v>51.465000000000003</c:v>
                </c:pt>
                <c:pt idx="2">
                  <c:v>2.3860000000000001</c:v>
                </c:pt>
                <c:pt idx="3">
                  <c:v>70.17912204000001</c:v>
                </c:pt>
                <c:pt idx="4">
                  <c:v>176.68799999999999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6-4BEC-BEBF-B4EAB5ED1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774144"/>
        <c:axId val="317777672"/>
      </c:barChart>
      <c:catAx>
        <c:axId val="317774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7777672"/>
        <c:crosses val="autoZero"/>
        <c:auto val="1"/>
        <c:lblAlgn val="ctr"/>
        <c:lblOffset val="100"/>
        <c:noMultiLvlLbl val="0"/>
      </c:catAx>
      <c:valAx>
        <c:axId val="317777672"/>
        <c:scaling>
          <c:orientation val="minMax"/>
          <c:max val="22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3177741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15209554267215158"/>
          <c:h val="0.1557257465260548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21</xdr:row>
      <xdr:rowOff>123825</xdr:rowOff>
    </xdr:from>
    <xdr:to>
      <xdr:col>7</xdr:col>
      <xdr:colOff>409576</xdr:colOff>
      <xdr:row>21</xdr:row>
      <xdr:rowOff>123825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3152775" y="5476875"/>
          <a:ext cx="5019676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1000125</xdr:colOff>
      <xdr:row>20</xdr:row>
      <xdr:rowOff>180975</xdr:rowOff>
    </xdr:from>
    <xdr:to>
      <xdr:col>7</xdr:col>
      <xdr:colOff>819150</xdr:colOff>
      <xdr:row>21</xdr:row>
      <xdr:rowOff>200025</xdr:rowOff>
    </xdr:to>
    <xdr:sp macro="" textlink="">
      <xdr:nvSpPr>
        <xdr:cNvPr id="4" name="TextBox 3"/>
        <xdr:cNvSpPr txBox="1"/>
      </xdr:nvSpPr>
      <xdr:spPr>
        <a:xfrm>
          <a:off x="1724025" y="5314950"/>
          <a:ext cx="68580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2016  -  2018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2"/>
  <sheetViews>
    <sheetView tabSelected="1" zoomScale="96" zoomScaleNormal="96" workbookViewId="0">
      <selection activeCell="N28" sqref="N28"/>
    </sheetView>
  </sheetViews>
  <sheetFormatPr defaultColWidth="9.140625" defaultRowHeight="15" x14ac:dyDescent="0.25"/>
  <cols>
    <col min="1" max="1" width="10.85546875" style="4" customWidth="1"/>
    <col min="2" max="2" width="15.7109375" style="4" bestFit="1" customWidth="1"/>
    <col min="3" max="3" width="17.140625" style="25" customWidth="1"/>
    <col min="4" max="4" width="16.85546875" style="4" customWidth="1"/>
    <col min="5" max="5" width="17.85546875" style="4" customWidth="1"/>
    <col min="6" max="8" width="19" style="4" customWidth="1"/>
    <col min="9" max="9" width="14.5703125" style="52" customWidth="1"/>
    <col min="10" max="10" width="5.7109375" style="4" customWidth="1"/>
    <col min="11" max="11" width="26.28515625" style="4" bestFit="1" customWidth="1"/>
    <col min="12" max="12" width="13.5703125" style="4" bestFit="1" customWidth="1"/>
    <col min="13" max="13" width="9.42578125" style="4" customWidth="1"/>
    <col min="14" max="17" width="15.28515625" style="4" customWidth="1"/>
    <col min="18" max="22" width="12" style="4" customWidth="1"/>
    <col min="23" max="23" width="10.140625" style="4" customWidth="1"/>
    <col min="24" max="16384" width="9.140625" style="4"/>
  </cols>
  <sheetData>
    <row r="1" spans="1:9" ht="21" x14ac:dyDescent="0.25">
      <c r="A1" s="66" t="s">
        <v>23</v>
      </c>
      <c r="B1" s="66"/>
      <c r="C1" s="66"/>
      <c r="D1" s="66"/>
      <c r="E1" s="66"/>
      <c r="F1" s="66"/>
      <c r="G1" s="66"/>
      <c r="H1" s="66"/>
      <c r="I1" s="66"/>
    </row>
    <row r="2" spans="1:9" x14ac:dyDescent="0.25">
      <c r="A2" s="67" t="s">
        <v>24</v>
      </c>
      <c r="B2" s="67"/>
      <c r="C2" s="67"/>
      <c r="D2" s="67"/>
      <c r="E2" s="67"/>
      <c r="F2" s="67"/>
      <c r="G2" s="67"/>
      <c r="H2" s="67"/>
      <c r="I2" s="67"/>
    </row>
    <row r="3" spans="1:9" ht="15" customHeight="1" x14ac:dyDescent="0.25">
      <c r="A3" s="5"/>
      <c r="B3" s="62" t="s">
        <v>25</v>
      </c>
      <c r="C3" s="68" t="s">
        <v>26</v>
      </c>
      <c r="D3" s="68" t="s">
        <v>27</v>
      </c>
      <c r="E3" s="68" t="s">
        <v>28</v>
      </c>
      <c r="F3" s="68" t="s">
        <v>29</v>
      </c>
      <c r="G3" s="68" t="s">
        <v>21</v>
      </c>
      <c r="H3" s="68" t="s">
        <v>30</v>
      </c>
      <c r="I3" s="56"/>
    </row>
    <row r="4" spans="1:9" ht="18.75" x14ac:dyDescent="0.25">
      <c r="A4" s="6" t="s">
        <v>0</v>
      </c>
      <c r="B4" s="62"/>
      <c r="C4" s="69"/>
      <c r="D4" s="69"/>
      <c r="E4" s="69"/>
      <c r="F4" s="70"/>
      <c r="G4" s="71"/>
      <c r="H4" s="71"/>
      <c r="I4" s="7" t="s">
        <v>1</v>
      </c>
    </row>
    <row r="5" spans="1:9" ht="56.25" x14ac:dyDescent="0.25">
      <c r="A5" s="8"/>
      <c r="B5" s="62"/>
      <c r="C5" s="9" t="s">
        <v>22</v>
      </c>
      <c r="D5" s="9" t="s">
        <v>31</v>
      </c>
      <c r="E5" s="9" t="s">
        <v>15</v>
      </c>
      <c r="F5" s="10" t="s">
        <v>16</v>
      </c>
      <c r="G5" s="9" t="s">
        <v>17</v>
      </c>
      <c r="H5" s="11" t="s">
        <v>18</v>
      </c>
      <c r="I5" s="12"/>
    </row>
    <row r="6" spans="1:9" ht="18.75" x14ac:dyDescent="0.25">
      <c r="A6" s="13" t="s">
        <v>3</v>
      </c>
      <c r="B6" s="14">
        <f>SUM(B7:B18)</f>
        <v>2465619562.9419999</v>
      </c>
      <c r="C6" s="15">
        <f t="shared" ref="C6:E6" si="0">SUM(C7:C18)</f>
        <v>2164672440.9019995</v>
      </c>
      <c r="D6" s="15">
        <f t="shared" si="0"/>
        <v>51465000</v>
      </c>
      <c r="E6" s="16">
        <f t="shared" si="0"/>
        <v>2386000</v>
      </c>
      <c r="F6" s="16">
        <f>SUM(F7:F18)</f>
        <v>70179122.040000007</v>
      </c>
      <c r="G6" s="17">
        <f>SUM(G7:G18)</f>
        <v>176688000</v>
      </c>
      <c r="H6" s="17">
        <f t="shared" ref="H6" si="1">SUM(H7:H18)</f>
        <v>229000</v>
      </c>
      <c r="I6" s="18" t="s">
        <v>2</v>
      </c>
    </row>
    <row r="7" spans="1:9" ht="18.75" x14ac:dyDescent="0.25">
      <c r="A7" s="19" t="s">
        <v>32</v>
      </c>
      <c r="B7" s="20">
        <f>SUM(C7:H7)</f>
        <v>195897895.6837</v>
      </c>
      <c r="C7" s="58">
        <v>174976376.3037</v>
      </c>
      <c r="D7" s="41">
        <v>4336000</v>
      </c>
      <c r="E7" s="42">
        <v>189500</v>
      </c>
      <c r="F7" s="42">
        <v>2496699.38</v>
      </c>
      <c r="G7" s="42">
        <v>13880000</v>
      </c>
      <c r="H7" s="43">
        <v>19320</v>
      </c>
      <c r="I7" s="21" t="s">
        <v>4</v>
      </c>
    </row>
    <row r="8" spans="1:9" ht="18.75" x14ac:dyDescent="0.25">
      <c r="A8" s="19" t="s">
        <v>33</v>
      </c>
      <c r="B8" s="20">
        <f t="shared" ref="B8:B18" si="2">SUM(C8:H8)</f>
        <v>182284474.1974</v>
      </c>
      <c r="C8" s="58">
        <v>159926713.7974</v>
      </c>
      <c r="D8" s="41">
        <v>4322000</v>
      </c>
      <c r="E8" s="43">
        <v>194000</v>
      </c>
      <c r="F8" s="42">
        <v>3692440.4</v>
      </c>
      <c r="G8" s="42">
        <v>14130000</v>
      </c>
      <c r="H8" s="41">
        <v>19320</v>
      </c>
      <c r="I8" s="21" t="s">
        <v>5</v>
      </c>
    </row>
    <row r="9" spans="1:9" ht="18.75" x14ac:dyDescent="0.25">
      <c r="A9" s="19" t="s">
        <v>34</v>
      </c>
      <c r="B9" s="20">
        <f t="shared" si="2"/>
        <v>204381979.9937</v>
      </c>
      <c r="C9" s="58">
        <v>180719533.54370001</v>
      </c>
      <c r="D9" s="41">
        <v>4298000</v>
      </c>
      <c r="E9" s="43">
        <v>192500</v>
      </c>
      <c r="F9" s="42">
        <v>4902626.45</v>
      </c>
      <c r="G9" s="42">
        <v>14250000</v>
      </c>
      <c r="H9" s="41">
        <v>19320</v>
      </c>
      <c r="I9" s="21" t="s">
        <v>35</v>
      </c>
    </row>
    <row r="10" spans="1:9" ht="18.75" x14ac:dyDescent="0.25">
      <c r="A10" s="19" t="s">
        <v>36</v>
      </c>
      <c r="B10" s="20">
        <f t="shared" si="2"/>
        <v>204209215.25010002</v>
      </c>
      <c r="C10" s="58">
        <v>179438942.68010002</v>
      </c>
      <c r="D10" s="41">
        <v>4325000</v>
      </c>
      <c r="E10" s="43">
        <v>197500</v>
      </c>
      <c r="F10" s="42">
        <v>5956452.5700000003</v>
      </c>
      <c r="G10" s="42">
        <v>14272000</v>
      </c>
      <c r="H10" s="41">
        <v>19320</v>
      </c>
      <c r="I10" s="21" t="s">
        <v>37</v>
      </c>
    </row>
    <row r="11" spans="1:9" ht="18.75" x14ac:dyDescent="0.25">
      <c r="A11" s="19" t="s">
        <v>6</v>
      </c>
      <c r="B11" s="20">
        <f t="shared" si="2"/>
        <v>189653332.73349997</v>
      </c>
      <c r="C11" s="58">
        <v>166285653.22349998</v>
      </c>
      <c r="D11" s="41">
        <v>4279000</v>
      </c>
      <c r="E11" s="43">
        <v>199000</v>
      </c>
      <c r="F11" s="42">
        <v>4448759.51</v>
      </c>
      <c r="G11" s="42">
        <v>14422000</v>
      </c>
      <c r="H11" s="41">
        <v>18920</v>
      </c>
      <c r="I11" s="21" t="s">
        <v>7</v>
      </c>
    </row>
    <row r="12" spans="1:9" ht="18.75" x14ac:dyDescent="0.25">
      <c r="A12" s="19" t="s">
        <v>38</v>
      </c>
      <c r="B12" s="20">
        <f t="shared" si="2"/>
        <v>169141008.87990001</v>
      </c>
      <c r="C12" s="58">
        <v>146017377.0099</v>
      </c>
      <c r="D12" s="46">
        <v>4279000</v>
      </c>
      <c r="E12" s="43">
        <v>199000</v>
      </c>
      <c r="F12" s="42">
        <v>4157071.87</v>
      </c>
      <c r="G12" s="42">
        <v>14470000</v>
      </c>
      <c r="H12" s="41">
        <v>18560</v>
      </c>
      <c r="I12" s="21" t="s">
        <v>8</v>
      </c>
    </row>
    <row r="13" spans="1:9" ht="18.75" x14ac:dyDescent="0.25">
      <c r="A13" s="19" t="s">
        <v>39</v>
      </c>
      <c r="B13" s="20">
        <f t="shared" si="2"/>
        <v>223314646.00189999</v>
      </c>
      <c r="C13" s="58">
        <v>196267780.44189999</v>
      </c>
      <c r="D13" s="41">
        <v>4277000</v>
      </c>
      <c r="E13" s="43">
        <v>202000</v>
      </c>
      <c r="F13" s="42">
        <v>7789105.5599999996</v>
      </c>
      <c r="G13" s="42">
        <v>14760000</v>
      </c>
      <c r="H13" s="48">
        <v>18760</v>
      </c>
      <c r="I13" s="21" t="s">
        <v>9</v>
      </c>
    </row>
    <row r="14" spans="1:9" ht="18.75" x14ac:dyDescent="0.25">
      <c r="A14" s="19" t="s">
        <v>40</v>
      </c>
      <c r="B14" s="20">
        <f t="shared" si="2"/>
        <v>206541145.30450001</v>
      </c>
      <c r="C14" s="58">
        <v>180866275.87450001</v>
      </c>
      <c r="D14" s="41">
        <v>4259000</v>
      </c>
      <c r="E14" s="43">
        <v>203500</v>
      </c>
      <c r="F14" s="42">
        <v>6349649.4299999997</v>
      </c>
      <c r="G14" s="42">
        <v>14844000</v>
      </c>
      <c r="H14" s="41">
        <v>18720</v>
      </c>
      <c r="I14" s="21" t="s">
        <v>10</v>
      </c>
    </row>
    <row r="15" spans="1:9" ht="18.75" x14ac:dyDescent="0.25">
      <c r="A15" s="19" t="s">
        <v>41</v>
      </c>
      <c r="B15" s="20">
        <f t="shared" si="2"/>
        <v>202809293.94009998</v>
      </c>
      <c r="C15" s="58">
        <v>173737076.2701</v>
      </c>
      <c r="D15" s="41">
        <v>4279000</v>
      </c>
      <c r="E15" s="43">
        <v>204500</v>
      </c>
      <c r="F15" s="42">
        <v>9313797.6699999999</v>
      </c>
      <c r="G15" s="42">
        <v>15256000</v>
      </c>
      <c r="H15" s="41">
        <v>18920</v>
      </c>
      <c r="I15" s="21" t="s">
        <v>11</v>
      </c>
    </row>
    <row r="16" spans="1:9" ht="18.75" x14ac:dyDescent="0.25">
      <c r="A16" s="19" t="s">
        <v>42</v>
      </c>
      <c r="B16" s="20">
        <f t="shared" si="2"/>
        <v>226651418.19319999</v>
      </c>
      <c r="C16" s="58">
        <v>197367618.9032</v>
      </c>
      <c r="D16" s="41">
        <v>4255000</v>
      </c>
      <c r="E16" s="43">
        <v>202000</v>
      </c>
      <c r="F16" s="42">
        <v>9417599.2899999991</v>
      </c>
      <c r="G16" s="42">
        <v>15390000</v>
      </c>
      <c r="H16" s="41">
        <v>19200</v>
      </c>
      <c r="I16" s="21" t="s">
        <v>12</v>
      </c>
    </row>
    <row r="17" spans="1:26" ht="18.75" x14ac:dyDescent="0.25">
      <c r="A17" s="19" t="s">
        <v>43</v>
      </c>
      <c r="B17" s="20">
        <f t="shared" si="2"/>
        <v>210789509.43020001</v>
      </c>
      <c r="C17" s="58">
        <v>186737981.71020001</v>
      </c>
      <c r="D17" s="41">
        <v>4277000</v>
      </c>
      <c r="E17" s="43">
        <v>202000</v>
      </c>
      <c r="F17" s="42">
        <v>4095207.72</v>
      </c>
      <c r="G17" s="42">
        <v>15458000</v>
      </c>
      <c r="H17" s="46">
        <v>19320</v>
      </c>
      <c r="I17" s="21" t="s">
        <v>13</v>
      </c>
    </row>
    <row r="18" spans="1:26" ht="18.75" x14ac:dyDescent="0.25">
      <c r="A18" s="22" t="s">
        <v>44</v>
      </c>
      <c r="B18" s="23">
        <f t="shared" si="2"/>
        <v>249945643.33379999</v>
      </c>
      <c r="C18" s="59">
        <v>222331111.14379999</v>
      </c>
      <c r="D18" s="49">
        <v>4279000</v>
      </c>
      <c r="E18" s="50">
        <v>200500</v>
      </c>
      <c r="F18" s="51">
        <v>7559712.1900000004</v>
      </c>
      <c r="G18" s="51">
        <v>15556000</v>
      </c>
      <c r="H18" s="49">
        <v>19320</v>
      </c>
      <c r="I18" s="24" t="s">
        <v>14</v>
      </c>
    </row>
    <row r="19" spans="1:26" ht="17.25" x14ac:dyDescent="0.25">
      <c r="A19" s="1" t="s">
        <v>19</v>
      </c>
      <c r="G19" s="2"/>
      <c r="H19" s="2"/>
      <c r="I19" s="2" t="s">
        <v>20</v>
      </c>
    </row>
    <row r="20" spans="1:26" ht="17.25" x14ac:dyDescent="0.25">
      <c r="A20" s="1"/>
      <c r="G20" s="2"/>
      <c r="H20" s="2"/>
      <c r="I20" s="2"/>
    </row>
    <row r="21" spans="1:26" ht="17.25" x14ac:dyDescent="0.25">
      <c r="A21" s="1"/>
      <c r="G21" s="2"/>
      <c r="H21" s="2"/>
      <c r="I21" s="2"/>
    </row>
    <row r="22" spans="1:26" ht="17.25" x14ac:dyDescent="0.25">
      <c r="A22" s="1"/>
      <c r="G22" s="2"/>
      <c r="H22" s="2"/>
      <c r="I22" s="2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7.25" x14ac:dyDescent="0.25">
      <c r="A23" s="1"/>
      <c r="B23" s="27"/>
      <c r="C23" s="28"/>
      <c r="D23" s="27"/>
      <c r="E23" s="27"/>
      <c r="F23" s="27"/>
      <c r="G23" s="3"/>
      <c r="H23" s="3"/>
      <c r="I23" s="3"/>
      <c r="J23" s="27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s="30" customFormat="1" ht="21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29"/>
      <c r="K24" s="4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s="30" customFormat="1" ht="15" customHeight="1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29"/>
      <c r="K25" s="4"/>
      <c r="Q25" s="26"/>
      <c r="R25" s="31" t="s">
        <v>26</v>
      </c>
      <c r="S25" s="31" t="s">
        <v>27</v>
      </c>
      <c r="T25" s="31" t="s">
        <v>28</v>
      </c>
      <c r="U25" s="31" t="s">
        <v>29</v>
      </c>
      <c r="V25" s="31" t="s">
        <v>21</v>
      </c>
      <c r="W25" s="32" t="s">
        <v>30</v>
      </c>
      <c r="X25" s="26"/>
      <c r="Y25" s="26"/>
      <c r="Z25" s="26"/>
    </row>
    <row r="26" spans="1:26" s="34" customFormat="1" ht="12.75" x14ac:dyDescent="0.2">
      <c r="A26" s="5"/>
      <c r="B26" s="62"/>
      <c r="C26" s="63"/>
      <c r="D26" s="63"/>
      <c r="E26" s="63"/>
      <c r="F26" s="63"/>
      <c r="G26" s="63"/>
      <c r="H26" s="56"/>
      <c r="I26" s="56"/>
      <c r="J26" s="33"/>
      <c r="K26" s="33"/>
      <c r="Q26" s="26">
        <v>2014</v>
      </c>
      <c r="R26" s="26">
        <v>1400609841.9112999</v>
      </c>
      <c r="S26" s="26">
        <v>62871000</v>
      </c>
      <c r="T26" s="26">
        <v>2464500</v>
      </c>
      <c r="U26" s="26">
        <v>51002563.189999998</v>
      </c>
      <c r="V26" s="26">
        <v>154048000</v>
      </c>
      <c r="W26" s="35"/>
      <c r="X26" s="26"/>
      <c r="Y26" s="26"/>
      <c r="Z26" s="26"/>
    </row>
    <row r="27" spans="1:26" s="33" customFormat="1" ht="18.75" x14ac:dyDescent="0.2">
      <c r="A27" s="6"/>
      <c r="B27" s="62"/>
      <c r="C27" s="63"/>
      <c r="D27" s="63"/>
      <c r="E27" s="63"/>
      <c r="F27" s="64"/>
      <c r="G27" s="65"/>
      <c r="H27" s="57"/>
      <c r="I27" s="7"/>
      <c r="Q27" s="26">
        <v>2015</v>
      </c>
      <c r="R27" s="26">
        <v>1063054680.1289001</v>
      </c>
      <c r="S27" s="26">
        <v>70378000</v>
      </c>
      <c r="T27" s="26">
        <v>1807000</v>
      </c>
      <c r="U27" s="26">
        <v>35665347.009999998</v>
      </c>
      <c r="V27" s="26">
        <v>127918000</v>
      </c>
      <c r="W27" s="26"/>
      <c r="X27" s="26"/>
      <c r="Y27" s="26"/>
      <c r="Z27" s="26"/>
    </row>
    <row r="28" spans="1:26" ht="18.75" x14ac:dyDescent="0.25">
      <c r="A28" s="8"/>
      <c r="B28" s="62"/>
      <c r="C28" s="36"/>
      <c r="D28" s="36"/>
      <c r="E28" s="36"/>
      <c r="F28" s="37"/>
      <c r="G28" s="36"/>
      <c r="H28" s="36"/>
      <c r="I28" s="12"/>
      <c r="J28" s="27"/>
      <c r="K28" s="27"/>
      <c r="Q28" s="26">
        <v>2016</v>
      </c>
      <c r="R28" s="4">
        <v>1675199186.7771001</v>
      </c>
      <c r="S28" s="4">
        <v>58122000</v>
      </c>
      <c r="T28" s="4">
        <v>2416000</v>
      </c>
      <c r="U28" s="4">
        <v>75254785.549999997</v>
      </c>
      <c r="V28" s="4">
        <v>155797000</v>
      </c>
      <c r="W28" s="26">
        <v>34800</v>
      </c>
      <c r="X28" s="26"/>
      <c r="Y28" s="26"/>
      <c r="Z28" s="26"/>
    </row>
    <row r="29" spans="1:26" s="26" customFormat="1" ht="18.75" x14ac:dyDescent="0.2">
      <c r="A29" s="8"/>
      <c r="B29" s="38"/>
      <c r="C29" s="15"/>
      <c r="D29" s="15"/>
      <c r="E29" s="16"/>
      <c r="F29" s="16"/>
      <c r="G29" s="17"/>
      <c r="H29" s="17"/>
      <c r="I29" s="21"/>
      <c r="J29" s="39"/>
      <c r="K29" s="39"/>
      <c r="Q29" s="26">
        <v>2017</v>
      </c>
      <c r="R29" s="26">
        <v>1797290685.4338</v>
      </c>
      <c r="S29" s="26">
        <v>55411000</v>
      </c>
      <c r="T29" s="26">
        <v>2330000</v>
      </c>
      <c r="U29" s="26">
        <v>55406665.420000002</v>
      </c>
      <c r="V29" s="26">
        <v>161688000</v>
      </c>
      <c r="W29" s="26">
        <v>225080</v>
      </c>
    </row>
    <row r="30" spans="1:26" s="26" customFormat="1" ht="18.75" x14ac:dyDescent="0.2">
      <c r="A30" s="19"/>
      <c r="B30" s="40"/>
      <c r="C30" s="41"/>
      <c r="D30" s="41"/>
      <c r="E30" s="42"/>
      <c r="F30" s="42"/>
      <c r="G30" s="43"/>
      <c r="H30" s="43"/>
      <c r="I30" s="21"/>
      <c r="J30" s="39"/>
      <c r="K30" s="39"/>
      <c r="Q30" s="26">
        <v>2018</v>
      </c>
      <c r="R30" s="26">
        <f>C6</f>
        <v>2164672440.9019995</v>
      </c>
      <c r="S30" s="26">
        <f t="shared" ref="S30:W30" si="3">D6</f>
        <v>51465000</v>
      </c>
      <c r="T30" s="26">
        <f t="shared" si="3"/>
        <v>2386000</v>
      </c>
      <c r="U30" s="26">
        <f t="shared" si="3"/>
        <v>70179122.040000007</v>
      </c>
      <c r="V30" s="26">
        <f t="shared" si="3"/>
        <v>176688000</v>
      </c>
      <c r="W30" s="26">
        <f t="shared" si="3"/>
        <v>229000</v>
      </c>
    </row>
    <row r="31" spans="1:26" s="26" customFormat="1" ht="18.75" x14ac:dyDescent="0.2">
      <c r="A31" s="19"/>
      <c r="B31" s="40"/>
      <c r="C31" s="41"/>
      <c r="D31" s="41"/>
      <c r="E31" s="43"/>
      <c r="F31" s="42"/>
      <c r="G31" s="41"/>
      <c r="H31" s="41"/>
      <c r="I31" s="21"/>
      <c r="J31" s="39"/>
      <c r="K31" s="44"/>
      <c r="L31" s="15"/>
    </row>
    <row r="32" spans="1:26" s="26" customFormat="1" ht="25.5" x14ac:dyDescent="0.2">
      <c r="A32" s="19"/>
      <c r="B32" s="40"/>
      <c r="C32" s="41"/>
      <c r="D32" s="41"/>
      <c r="E32" s="43"/>
      <c r="F32" s="42"/>
      <c r="G32" s="41"/>
      <c r="H32" s="41"/>
      <c r="I32" s="21"/>
      <c r="J32" s="39"/>
      <c r="K32" s="44"/>
      <c r="L32" s="15"/>
      <c r="R32" s="31" t="s">
        <v>26</v>
      </c>
      <c r="S32" s="31" t="s">
        <v>27</v>
      </c>
      <c r="T32" s="31" t="s">
        <v>28</v>
      </c>
      <c r="U32" s="31" t="s">
        <v>29</v>
      </c>
      <c r="V32" s="31" t="s">
        <v>21</v>
      </c>
      <c r="W32" s="32" t="s">
        <v>30</v>
      </c>
    </row>
    <row r="33" spans="1:23" s="26" customFormat="1" ht="18.75" x14ac:dyDescent="0.2">
      <c r="A33" s="19"/>
      <c r="B33" s="40"/>
      <c r="C33" s="41"/>
      <c r="D33" s="41"/>
      <c r="E33" s="43"/>
      <c r="F33" s="42"/>
      <c r="G33" s="41"/>
      <c r="H33" s="41"/>
      <c r="I33" s="21"/>
      <c r="J33" s="39"/>
      <c r="K33" s="44"/>
      <c r="L33" s="16"/>
      <c r="Q33" s="26">
        <v>2014</v>
      </c>
      <c r="R33" s="45">
        <f t="shared" ref="R33:V37" si="4">R26/1000000</f>
        <v>1400.6098419113</v>
      </c>
      <c r="S33" s="45">
        <f t="shared" si="4"/>
        <v>62.871000000000002</v>
      </c>
      <c r="T33" s="45">
        <f t="shared" si="4"/>
        <v>2.4645000000000001</v>
      </c>
      <c r="U33" s="45">
        <f t="shared" si="4"/>
        <v>51.002563189999996</v>
      </c>
      <c r="V33" s="45">
        <f t="shared" si="4"/>
        <v>154.048</v>
      </c>
    </row>
    <row r="34" spans="1:23" s="26" customFormat="1" ht="18.75" x14ac:dyDescent="0.2">
      <c r="A34" s="19"/>
      <c r="B34" s="40"/>
      <c r="C34" s="41"/>
      <c r="D34" s="41"/>
      <c r="E34" s="43"/>
      <c r="F34" s="42"/>
      <c r="G34" s="41"/>
      <c r="H34" s="41"/>
      <c r="I34" s="21"/>
      <c r="J34" s="39"/>
      <c r="K34" s="44"/>
      <c r="L34" s="16"/>
      <c r="Q34" s="26">
        <v>2015</v>
      </c>
      <c r="R34" s="45">
        <f t="shared" si="4"/>
        <v>1063.0546801289001</v>
      </c>
      <c r="S34" s="45">
        <f t="shared" si="4"/>
        <v>70.378</v>
      </c>
      <c r="T34" s="45">
        <f t="shared" si="4"/>
        <v>1.8069999999999999</v>
      </c>
      <c r="U34" s="45">
        <f t="shared" si="4"/>
        <v>35.665347009999998</v>
      </c>
      <c r="V34" s="45">
        <f t="shared" si="4"/>
        <v>127.91800000000001</v>
      </c>
    </row>
    <row r="35" spans="1:23" s="26" customFormat="1" ht="18.75" x14ac:dyDescent="0.2">
      <c r="A35" s="19"/>
      <c r="B35" s="40"/>
      <c r="C35" s="41"/>
      <c r="D35" s="46"/>
      <c r="E35" s="43"/>
      <c r="F35" s="42"/>
      <c r="G35" s="41"/>
      <c r="H35" s="41"/>
      <c r="I35" s="21"/>
      <c r="J35" s="39"/>
      <c r="K35" s="44"/>
      <c r="L35" s="17"/>
      <c r="Q35" s="26">
        <v>2016</v>
      </c>
      <c r="R35" s="45">
        <f t="shared" si="4"/>
        <v>1675.1991867771001</v>
      </c>
      <c r="S35" s="45">
        <f t="shared" si="4"/>
        <v>58.122</v>
      </c>
      <c r="T35" s="45">
        <f t="shared" si="4"/>
        <v>2.4159999999999999</v>
      </c>
      <c r="U35" s="45">
        <f t="shared" si="4"/>
        <v>75.254785549999994</v>
      </c>
      <c r="V35" s="45">
        <f t="shared" si="4"/>
        <v>155.797</v>
      </c>
      <c r="W35" s="45">
        <f>W28/1000000</f>
        <v>3.4799999999999998E-2</v>
      </c>
    </row>
    <row r="36" spans="1:23" s="26" customFormat="1" ht="18.75" x14ac:dyDescent="0.2">
      <c r="A36" s="19"/>
      <c r="B36" s="40"/>
      <c r="C36" s="41"/>
      <c r="D36" s="41"/>
      <c r="E36" s="43"/>
      <c r="F36" s="42"/>
      <c r="G36" s="41"/>
      <c r="H36" s="41"/>
      <c r="I36" s="21"/>
      <c r="J36" s="39"/>
      <c r="K36" s="39"/>
      <c r="Q36" s="26">
        <v>2017</v>
      </c>
      <c r="R36" s="45">
        <f t="shared" si="4"/>
        <v>1797.2906854338</v>
      </c>
      <c r="S36" s="45">
        <f t="shared" si="4"/>
        <v>55.411000000000001</v>
      </c>
      <c r="T36" s="45">
        <f t="shared" si="4"/>
        <v>2.33</v>
      </c>
      <c r="U36" s="45">
        <f t="shared" si="4"/>
        <v>55.406665420000003</v>
      </c>
      <c r="V36" s="45">
        <f t="shared" si="4"/>
        <v>161.68799999999999</v>
      </c>
      <c r="W36" s="45">
        <f>W29/1000000</f>
        <v>0.22508</v>
      </c>
    </row>
    <row r="37" spans="1:23" s="26" customFormat="1" ht="18.75" x14ac:dyDescent="0.2">
      <c r="A37" s="19"/>
      <c r="B37" s="40"/>
      <c r="C37" s="41"/>
      <c r="D37" s="41"/>
      <c r="E37" s="43"/>
      <c r="F37" s="42"/>
      <c r="G37" s="47"/>
      <c r="H37" s="47"/>
      <c r="I37" s="21"/>
      <c r="J37" s="39"/>
      <c r="K37" s="39"/>
      <c r="Q37" s="26">
        <v>2018</v>
      </c>
      <c r="R37" s="45">
        <f t="shared" si="4"/>
        <v>2164.6724409019994</v>
      </c>
      <c r="S37" s="45">
        <f t="shared" si="4"/>
        <v>51.465000000000003</v>
      </c>
      <c r="T37" s="45">
        <f t="shared" si="4"/>
        <v>2.3860000000000001</v>
      </c>
      <c r="U37" s="45">
        <f t="shared" si="4"/>
        <v>70.17912204000001</v>
      </c>
      <c r="V37" s="45">
        <f t="shared" si="4"/>
        <v>176.68799999999999</v>
      </c>
      <c r="W37" s="45">
        <f>W30/1000000</f>
        <v>0.22900000000000001</v>
      </c>
    </row>
    <row r="38" spans="1:23" s="26" customFormat="1" ht="18.75" x14ac:dyDescent="0.2">
      <c r="A38" s="19"/>
      <c r="B38" s="40"/>
      <c r="C38" s="41"/>
      <c r="D38" s="41"/>
      <c r="E38" s="43"/>
      <c r="F38" s="42"/>
      <c r="G38" s="41"/>
      <c r="H38" s="41"/>
      <c r="I38" s="21"/>
      <c r="J38" s="39"/>
      <c r="K38" s="39"/>
    </row>
    <row r="39" spans="1:23" s="26" customFormat="1" ht="18.75" x14ac:dyDescent="0.2">
      <c r="A39" s="19"/>
      <c r="B39" s="40"/>
      <c r="C39" s="41"/>
      <c r="D39" s="41"/>
      <c r="E39" s="43"/>
      <c r="F39" s="42"/>
      <c r="G39" s="41"/>
      <c r="H39" s="41"/>
      <c r="I39" s="21"/>
      <c r="J39" s="39"/>
      <c r="K39" s="39"/>
    </row>
    <row r="40" spans="1:23" s="26" customFormat="1" ht="18.75" x14ac:dyDescent="0.2">
      <c r="A40" s="19"/>
      <c r="B40" s="40"/>
      <c r="C40" s="41"/>
      <c r="D40" s="41"/>
      <c r="E40" s="43"/>
      <c r="F40" s="42"/>
      <c r="G40" s="41"/>
      <c r="H40" s="41"/>
      <c r="I40" s="21"/>
      <c r="J40" s="39"/>
      <c r="K40" s="39"/>
    </row>
    <row r="41" spans="1:23" s="26" customFormat="1" ht="18.75" x14ac:dyDescent="0.2">
      <c r="A41" s="19"/>
      <c r="B41" s="40"/>
      <c r="C41" s="41"/>
      <c r="D41" s="41"/>
      <c r="E41" s="46"/>
      <c r="F41" s="42"/>
      <c r="G41" s="46"/>
      <c r="H41" s="46"/>
      <c r="I41" s="21"/>
      <c r="J41" s="39"/>
      <c r="K41" s="39"/>
    </row>
    <row r="42" spans="1:23" ht="17.25" x14ac:dyDescent="0.25">
      <c r="A42" s="1"/>
      <c r="B42" s="27"/>
      <c r="C42" s="28"/>
      <c r="D42" s="27"/>
      <c r="E42" s="27"/>
      <c r="F42" s="27"/>
      <c r="G42" s="3"/>
      <c r="H42" s="3"/>
      <c r="I42" s="3"/>
      <c r="J42" s="27"/>
      <c r="K42" s="27"/>
    </row>
    <row r="43" spans="1:23" ht="17.25" x14ac:dyDescent="0.25">
      <c r="A43" s="1"/>
      <c r="B43" s="27"/>
      <c r="C43" s="28"/>
      <c r="D43" s="27"/>
      <c r="E43" s="27"/>
      <c r="F43" s="27"/>
      <c r="G43" s="3"/>
      <c r="H43" s="3"/>
      <c r="I43" s="3"/>
      <c r="J43" s="27"/>
      <c r="K43" s="27"/>
    </row>
    <row r="44" spans="1:23" ht="17.25" x14ac:dyDescent="0.25">
      <c r="A44" s="1"/>
      <c r="G44" s="2"/>
      <c r="H44" s="2"/>
      <c r="I44" s="2"/>
    </row>
    <row r="48" spans="1:23" x14ac:dyDescent="0.25">
      <c r="O48" s="53"/>
      <c r="P48" s="54"/>
    </row>
    <row r="49" spans="11:16" x14ac:dyDescent="0.25">
      <c r="O49" s="53"/>
      <c r="P49" s="54"/>
    </row>
    <row r="50" spans="11:16" x14ac:dyDescent="0.25">
      <c r="O50" s="53"/>
      <c r="P50" s="54"/>
    </row>
    <row r="51" spans="11:16" x14ac:dyDescent="0.25">
      <c r="O51" s="53"/>
      <c r="P51" s="54"/>
    </row>
    <row r="52" spans="11:16" x14ac:dyDescent="0.25">
      <c r="K52" s="55"/>
      <c r="O52" s="53"/>
      <c r="P52" s="54"/>
    </row>
  </sheetData>
  <mergeCells count="17">
    <mergeCell ref="A1:I1"/>
    <mergeCell ref="A2:I2"/>
    <mergeCell ref="B3:B5"/>
    <mergeCell ref="C3:C4"/>
    <mergeCell ref="D3:D4"/>
    <mergeCell ref="E3:E4"/>
    <mergeCell ref="F3:F4"/>
    <mergeCell ref="G3:G4"/>
    <mergeCell ref="H3:H4"/>
    <mergeCell ref="A24:I24"/>
    <mergeCell ref="A25:I25"/>
    <mergeCell ref="B26:B28"/>
    <mergeCell ref="C26:C27"/>
    <mergeCell ref="D26:D27"/>
    <mergeCell ref="E26:E27"/>
    <mergeCell ref="F26:F27"/>
    <mergeCell ref="G26:G27"/>
  </mergeCells>
  <conditionalFormatting sqref="C29">
    <cfRule type="duplicateValues" dxfId="7" priority="9"/>
    <cfRule type="duplicateValues" dxfId="6" priority="10"/>
  </conditionalFormatting>
  <conditionalFormatting sqref="C30:C41">
    <cfRule type="duplicateValues" dxfId="5" priority="7"/>
    <cfRule type="duplicateValues" dxfId="4" priority="8"/>
  </conditionalFormatting>
  <conditionalFormatting sqref="L31">
    <cfRule type="duplicateValues" dxfId="3" priority="5"/>
    <cfRule type="duplicateValues" dxfId="2" priority="6"/>
  </conditionalFormatting>
  <conditionalFormatting sqref="C6">
    <cfRule type="duplicateValues" dxfId="1" priority="3"/>
    <cfRule type="duplicateValues" dxfId="0" priority="4"/>
  </conditionalFormatting>
  <pageMargins left="0.7" right="0.7" top="0.75" bottom="0.75" header="0.3" footer="0.3"/>
  <pageSetup paperSize="9" scale="5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2019-09-04T03:04:53Z</cp:lastPrinted>
  <dcterms:created xsi:type="dcterms:W3CDTF">2019-02-21T04:10:17Z</dcterms:created>
  <dcterms:modified xsi:type="dcterms:W3CDTF">2019-09-04T03:05:28Z</dcterms:modified>
</cp:coreProperties>
</file>