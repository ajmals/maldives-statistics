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22" sheetId="22" r:id="rId1"/>
  </sheets>
  <externalReferences>
    <externalReference r:id="rId2"/>
    <externalReference r:id="rId3"/>
    <externalReference r:id="rId4"/>
  </externalReferences>
  <definedNames>
    <definedName name="_xlnm.Print_Area" localSheetId="0">'3.22'!$A$1:$O$31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22" l="1"/>
  <c r="C30" i="22"/>
  <c r="D29" i="22"/>
  <c r="C29" i="22"/>
  <c r="D28" i="22"/>
  <c r="C28" i="22"/>
  <c r="D27" i="22"/>
  <c r="C27" i="22"/>
  <c r="D26" i="22"/>
  <c r="C26" i="22"/>
  <c r="D25" i="22"/>
  <c r="C25" i="22"/>
  <c r="D24" i="22"/>
  <c r="C24" i="22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C11" i="22"/>
  <c r="D10" i="22"/>
  <c r="C10" i="22"/>
  <c r="L9" i="22"/>
  <c r="K9" i="22"/>
  <c r="K7" i="22" s="1"/>
  <c r="J9" i="22"/>
  <c r="J7" i="22" s="1"/>
  <c r="I9" i="22"/>
  <c r="I7" i="22" s="1"/>
  <c r="H9" i="22"/>
  <c r="H7" i="22" s="1"/>
  <c r="G9" i="22"/>
  <c r="G7" i="22" s="1"/>
  <c r="F9" i="22"/>
  <c r="F7" i="22" s="1"/>
  <c r="E9" i="22"/>
  <c r="D8" i="22"/>
  <c r="C8" i="22"/>
  <c r="L7" i="22"/>
  <c r="C9" i="22" l="1"/>
  <c r="D7" i="22"/>
  <c r="E7" i="22"/>
  <c r="C7" i="22" s="1"/>
  <c r="D9" i="22"/>
</calcChain>
</file>

<file path=xl/sharedStrings.xml><?xml version="1.0" encoding="utf-8"?>
<sst xmlns="http://schemas.openxmlformats.org/spreadsheetml/2006/main" count="92" uniqueCount="71">
  <si>
    <t>Male</t>
  </si>
  <si>
    <t>Female</t>
  </si>
  <si>
    <t>Total</t>
  </si>
  <si>
    <t>North Thiladhunmathi (HA)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</si>
  <si>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</si>
  <si>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</si>
  <si>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</si>
  <si>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</si>
  <si>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</si>
  <si>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</si>
  <si>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</si>
  <si>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</si>
  <si>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</si>
  <si>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</si>
  <si>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</si>
  <si>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</si>
  <si>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</si>
  <si>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</si>
  <si>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</si>
  <si>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</si>
  <si>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</si>
  <si>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</si>
  <si>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</si>
  <si>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</si>
  <si>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</si>
  <si>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</si>
  <si>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</si>
  <si>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</si>
  <si>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</si>
  <si>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</si>
  <si>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</si>
  <si>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</si>
  <si>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</si>
  <si>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</si>
  <si>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</si>
  <si>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</si>
  <si>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Male'</t>
  </si>
  <si>
    <t>Atolls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</si>
  <si>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</si>
  <si>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</si>
  <si>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</si>
  <si>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</si>
  <si>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</si>
  <si>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First</t>
  </si>
  <si>
    <t>Second</t>
  </si>
  <si>
    <t xml:space="preserve">Third </t>
  </si>
  <si>
    <t>Fourth or more</t>
  </si>
  <si>
    <t>Court</t>
  </si>
  <si>
    <t xml:space="preserve">Total </t>
  </si>
  <si>
    <t>ކޯޓް</t>
  </si>
  <si>
    <t xml:space="preserve">އަތޮޅު </t>
  </si>
  <si>
    <t xml:space="preserve">އަލަށް ކައިވެނި ކުރި </t>
  </si>
  <si>
    <t xml:space="preserve">ދެވަނަ ފަހަރަށް ކައިވެނި ކުރި </t>
  </si>
  <si>
    <t xml:space="preserve">ތިންވަނަ ފަހަރަށް ކައިވެނި ކުރި </t>
  </si>
  <si>
    <t>ހަތަރެއް ނުވަތަ އެއަށްވުރެ ގިނަ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</si>
  <si>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</si>
  <si>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</si>
  <si>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</si>
  <si>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</si>
  <si>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</si>
  <si>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</si>
  <si>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</si>
  <si>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(ah)  iruburutua Itwmcnudwlit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</si>
  <si>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</si>
  <si>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</si>
  <si>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</si>
  <si>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</si>
  <si>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</si>
  <si>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</si>
  <si>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ތާވަލު 3.22: މާލެ އާއި އަތޮޅުތަކުގައި ކުރެވުނު ކައިވެނީގެ އަދަދު، 2018</t>
  </si>
  <si>
    <t>TABLE 3.22:  NUMBER OF TIMES MARRIED IN MALE' AND ATOLLS 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</si>
</sst>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7" formatCode="#,##0\ &quot;ރ.&quot;_-;#,##0\ &quot;ރ.&quot;\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sz val="10"/>
      <name val="A_Randhoo"/>
    </font>
    <font>
      <b/>
      <sz val="10"/>
      <color indexed="8"/>
      <name val="Faruma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4" fontId="2" fillId="0" borderId="0"/>
  </cellStyleXfs>
  <cellXfs count="68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8" fillId="2" borderId="0" xfId="0" applyFont="1" applyFill="1" applyBorder="1" applyAlignment="1">
      <alignment horizontal="center" vertical="center"/>
    </xf>
    <xf numFmtId="0" fontId="0" fillId="2" borderId="2" xfId="0" applyFill="1" applyBorder="1"/>
    <xf numFmtId="0" fontId="7" fillId="2" borderId="0" xfId="0" applyFont="1" applyFill="1" applyBorder="1" applyAlignment="1">
      <alignment horizontal="right" wrapText="1"/>
    </xf>
    <xf numFmtId="0" fontId="7" fillId="2" borderId="14" xfId="0" applyFont="1" applyFill="1" applyBorder="1" applyAlignment="1">
      <alignment horizontal="right" wrapText="1"/>
    </xf>
    <xf numFmtId="0" fontId="7" fillId="2" borderId="8" xfId="0" applyFont="1" applyFill="1" applyBorder="1" applyAlignment="1">
      <alignment horizontal="right" wrapText="1"/>
    </xf>
    <xf numFmtId="0" fontId="7" fillId="2" borderId="15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3" fontId="8" fillId="2" borderId="9" xfId="0" applyNumberFormat="1" applyFont="1" applyFill="1" applyBorder="1" applyAlignment="1">
      <alignment horizontal="right" vertical="center" wrapText="1"/>
    </xf>
    <xf numFmtId="3" fontId="8" fillId="2" borderId="2" xfId="0" applyNumberFormat="1" applyFont="1" applyFill="1" applyBorder="1" applyAlignment="1">
      <alignment horizontal="right" vertical="center" wrapText="1"/>
    </xf>
    <xf numFmtId="3" fontId="8" fillId="2" borderId="6" xfId="0" applyNumberFormat="1" applyFont="1" applyFill="1" applyBorder="1" applyAlignment="1">
      <alignment horizontal="right" vertical="center" wrapText="1"/>
    </xf>
    <xf numFmtId="3" fontId="8" fillId="2" borderId="12" xfId="0" applyNumberFormat="1" applyFont="1" applyFill="1" applyBorder="1" applyAlignment="1">
      <alignment horizontal="right" vertical="center" wrapText="1"/>
    </xf>
    <xf numFmtId="3" fontId="8" fillId="2" borderId="0" xfId="0" applyNumberFormat="1" applyFont="1" applyFill="1" applyBorder="1" applyAlignment="1">
      <alignment horizontal="right" vertical="center" wrapText="1"/>
    </xf>
    <xf numFmtId="3" fontId="0" fillId="2" borderId="0" xfId="0" applyNumberFormat="1" applyFill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3" fontId="8" fillId="2" borderId="0" xfId="0" applyNumberFormat="1" applyFont="1" applyFill="1" applyBorder="1" applyAlignment="1">
      <alignment vertical="center" wrapText="1"/>
    </xf>
    <xf numFmtId="3" fontId="8" fillId="2" borderId="3" xfId="0" applyNumberFormat="1" applyFont="1" applyFill="1" applyBorder="1" applyAlignment="1">
      <alignment vertical="center" wrapText="1"/>
    </xf>
    <xf numFmtId="3" fontId="8" fillId="2" borderId="9" xfId="0" applyNumberFormat="1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3" fontId="8" fillId="2" borderId="3" xfId="0" applyNumberFormat="1" applyFont="1" applyFill="1" applyBorder="1" applyAlignment="1">
      <alignment horizontal="right" vertical="center" wrapText="1"/>
    </xf>
    <xf numFmtId="3" fontId="5" fillId="2" borderId="0" xfId="0" applyNumberFormat="1" applyFont="1" applyFill="1" applyBorder="1" applyAlignment="1">
      <alignment vertical="center" wrapText="1"/>
    </xf>
    <xf numFmtId="3" fontId="5" fillId="2" borderId="3" xfId="0" applyNumberFormat="1" applyFont="1" applyFill="1" applyBorder="1" applyAlignment="1">
      <alignment vertical="center" wrapText="1"/>
    </xf>
    <xf numFmtId="3" fontId="5" fillId="2" borderId="9" xfId="0" applyNumberFormat="1" applyFont="1" applyFill="1" applyBorder="1" applyAlignment="1">
      <alignment vertical="center" wrapText="1"/>
    </xf>
    <xf numFmtId="3" fontId="6" fillId="2" borderId="0" xfId="4" applyNumberFormat="1" applyFont="1" applyFill="1" applyBorder="1" applyAlignment="1" applyProtection="1">
      <alignment horizontal="right" vertical="center"/>
      <protection hidden="1"/>
    </xf>
    <xf numFmtId="3" fontId="6" fillId="2" borderId="10" xfId="4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Border="1"/>
    <xf numFmtId="3" fontId="5" fillId="2" borderId="3" xfId="0" applyNumberFormat="1" applyFont="1" applyFill="1" applyBorder="1"/>
    <xf numFmtId="3" fontId="5" fillId="2" borderId="9" xfId="0" applyNumberFormat="1" applyFont="1" applyFill="1" applyBorder="1"/>
    <xf numFmtId="3" fontId="8" fillId="2" borderId="1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/>
    <xf numFmtId="3" fontId="5" fillId="2" borderId="4" xfId="0" applyNumberFormat="1" applyFont="1" applyFill="1" applyBorder="1"/>
    <xf numFmtId="3" fontId="5" fillId="2" borderId="11" xfId="0" applyNumberFormat="1" applyFont="1" applyFill="1" applyBorder="1"/>
    <xf numFmtId="3" fontId="6" fillId="2" borderId="1" xfId="4" applyNumberFormat="1" applyFont="1" applyFill="1" applyBorder="1" applyAlignment="1" applyProtection="1">
      <alignment horizontal="right" vertical="center"/>
      <protection hidden="1"/>
    </xf>
    <xf numFmtId="3" fontId="6" fillId="2" borderId="16" xfId="4" applyNumberFormat="1" applyFont="1" applyFill="1" applyBorder="1" applyAlignment="1" applyProtection="1">
      <alignment vertical="center"/>
      <protection hidden="1"/>
    </xf>
    <xf numFmtId="0" fontId="13" fillId="2" borderId="0" xfId="0" applyFont="1" applyFill="1"/>
    <xf numFmtId="3" fontId="8" fillId="2" borderId="1" xfId="0" applyNumberFormat="1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top"/>
    </xf>
    <xf numFmtId="49" fontId="5" fillId="2" borderId="0" xfId="0" applyNumberFormat="1" applyFont="1" applyFill="1" applyBorder="1" applyAlignment="1">
      <alignment horizontal="left" vertical="center" indent="3"/>
    </xf>
    <xf numFmtId="49" fontId="5" fillId="2" borderId="1" xfId="0" applyNumberFormat="1" applyFont="1" applyFill="1" applyBorder="1" applyAlignment="1">
      <alignment horizontal="left" vertical="center" indent="3"/>
    </xf>
    <xf numFmtId="0" fontId="7" fillId="2" borderId="2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 indent="1"/>
    </xf>
    <xf numFmtId="0" fontId="10" fillId="2" borderId="0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right" vertical="center" wrapText="1" indent="2"/>
    </xf>
    <xf numFmtId="0" fontId="12" fillId="2" borderId="0" xfId="0" applyFont="1" applyFill="1" applyBorder="1" applyAlignment="1">
      <alignment horizontal="right" vertical="center" wrapText="1" indent="2"/>
    </xf>
    <xf numFmtId="0" fontId="12" fillId="2" borderId="1" xfId="0" applyFont="1" applyFill="1" applyBorder="1" applyAlignment="1">
      <alignment horizontal="right" vertical="center" wrapText="1" indent="2"/>
    </xf>
    <xf numFmtId="0" fontId="12" fillId="2" borderId="1" xfId="0" applyFont="1" applyFill="1" applyBorder="1" applyAlignment="1">
      <alignment horizontal="center" vertical="center" wrapText="1"/>
    </xf>
  </cellXfs>
  <cellStyles count="12">
    <cellStyle name="Comma 3" xfId="6"/>
    <cellStyle name="Comma 4" xfId="3"/>
    <cellStyle name="Normal" xfId="0" builtinId="0"/>
    <cellStyle name="Normal 11" xfId="7"/>
    <cellStyle name="Normal 2" xfId="5"/>
    <cellStyle name="Normal 20" xfId="2"/>
    <cellStyle name="Normal 32" xfId="8"/>
    <cellStyle name="Normal 4" xfId="11"/>
    <cellStyle name="Normal 44" xfId="9"/>
    <cellStyle name="Normal 48" xfId="10"/>
    <cellStyle name="Normal 5" xfId="1"/>
    <cellStyle name="Normal_II-15(Population) 2" xfId="4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zoomScaleNormal="100" workbookViewId="0">
      <selection sqref="A1:N1"/>
    </sheetView>
  </sheetViews>
  <sheetFormatPr defaultRowHeight="15" x14ac:dyDescent="0.25"/>
  <cols>
    <col min="1" max="1" width="8.140625" style="1" customWidth="1"/>
    <col min="2" max="2" width="22.5703125" style="1" customWidth="1"/>
    <col min="3" max="12" width="10.85546875" style="1" customWidth="1"/>
    <col min="13" max="13" width="23.42578125" style="1" customWidth="1"/>
    <col min="14" max="14" width="5.85546875" style="1" customWidth="1"/>
    <col min="15" max="15" width="2.42578125" style="1" customWidth="1"/>
    <col min="16" max="16384" width="9.140625" style="1"/>
  </cols>
  <sheetData>
    <row r="1" spans="1:16" ht="21" x14ac:dyDescent="0.55000000000000004">
      <c r="A1" s="42" t="s">
        <v>69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6" x14ac:dyDescent="0.25">
      <c r="A2" s="45" t="s">
        <v>70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6" ht="15" customHeight="1" x14ac:dyDescent="0.25">
      <c r="A3" s="59" t="s">
        <v>37</v>
      </c>
      <c r="B3" s="61" t="s">
        <v>47</v>
      </c>
      <c r="C3" s="44" t="s">
        <v>48</v>
      </c>
      <c r="D3" s="54" t="s">
        <v>38</v>
      </c>
      <c r="E3" s="56" t="s">
        <v>43</v>
      </c>
      <c r="F3" s="56"/>
      <c r="G3" s="57" t="s">
        <v>44</v>
      </c>
      <c r="H3" s="58"/>
      <c r="I3" s="57" t="s">
        <v>45</v>
      </c>
      <c r="J3" s="58"/>
      <c r="K3" s="56" t="s">
        <v>46</v>
      </c>
      <c r="L3" s="56"/>
      <c r="M3" s="64" t="s">
        <v>49</v>
      </c>
      <c r="N3" s="49" t="s">
        <v>50</v>
      </c>
      <c r="O3" s="49"/>
    </row>
    <row r="4" spans="1:16" ht="18.75" customHeight="1" x14ac:dyDescent="0.25">
      <c r="A4" s="59"/>
      <c r="B4" s="62"/>
      <c r="C4" s="50"/>
      <c r="D4" s="55"/>
      <c r="E4" s="50" t="s">
        <v>51</v>
      </c>
      <c r="F4" s="50"/>
      <c r="G4" s="51" t="s">
        <v>52</v>
      </c>
      <c r="H4" s="52"/>
      <c r="I4" s="51" t="s">
        <v>53</v>
      </c>
      <c r="J4" s="52"/>
      <c r="K4" s="53" t="s">
        <v>54</v>
      </c>
      <c r="L4" s="53"/>
      <c r="M4" s="65"/>
      <c r="N4" s="49"/>
      <c r="O4" s="49"/>
    </row>
    <row r="5" spans="1:16" ht="18.75" x14ac:dyDescent="0.5">
      <c r="A5" s="59"/>
      <c r="B5" s="62"/>
      <c r="C5" s="6" t="s">
        <v>39</v>
      </c>
      <c r="D5" s="7" t="s">
        <v>40</v>
      </c>
      <c r="E5" s="8" t="s">
        <v>39</v>
      </c>
      <c r="F5" s="8" t="s">
        <v>40</v>
      </c>
      <c r="G5" s="9" t="s">
        <v>39</v>
      </c>
      <c r="H5" s="7" t="s">
        <v>40</v>
      </c>
      <c r="I5" s="9" t="s">
        <v>39</v>
      </c>
      <c r="J5" s="7" t="s">
        <v>40</v>
      </c>
      <c r="K5" s="8" t="s">
        <v>39</v>
      </c>
      <c r="L5" s="8" t="s">
        <v>40</v>
      </c>
      <c r="M5" s="65"/>
      <c r="N5" s="49"/>
      <c r="O5" s="49"/>
    </row>
    <row r="6" spans="1:16" x14ac:dyDescent="0.25">
      <c r="A6" s="60"/>
      <c r="B6" s="63"/>
      <c r="C6" s="10" t="s">
        <v>0</v>
      </c>
      <c r="D6" s="11" t="s">
        <v>1</v>
      </c>
      <c r="E6" s="10" t="s">
        <v>0</v>
      </c>
      <c r="F6" s="10" t="s">
        <v>1</v>
      </c>
      <c r="G6" s="12" t="s">
        <v>0</v>
      </c>
      <c r="H6" s="11" t="s">
        <v>1</v>
      </c>
      <c r="I6" s="12" t="s">
        <v>0</v>
      </c>
      <c r="J6" s="11" t="s">
        <v>1</v>
      </c>
      <c r="K6" s="10" t="s">
        <v>0</v>
      </c>
      <c r="L6" s="10" t="s">
        <v>1</v>
      </c>
      <c r="M6" s="66"/>
      <c r="N6" s="67"/>
      <c r="O6" s="49"/>
    </row>
    <row r="7" spans="1:16" ht="18.75" x14ac:dyDescent="0.25">
      <c r="A7" s="43" t="s">
        <v>2</v>
      </c>
      <c r="B7" s="43"/>
      <c r="C7" s="17">
        <f t="shared" ref="C7:D22" si="0">E7+G7+I7+K7</f>
        <v>5290</v>
      </c>
      <c r="D7" s="13">
        <f t="shared" si="0"/>
        <v>5290</v>
      </c>
      <c r="E7" s="14">
        <f>E8+E9+E10</f>
        <v>2837</v>
      </c>
      <c r="F7" s="14">
        <f t="shared" ref="F7:L7" si="1">F8+F9+F10</f>
        <v>2709</v>
      </c>
      <c r="G7" s="15">
        <f t="shared" si="1"/>
        <v>1284</v>
      </c>
      <c r="H7" s="16">
        <f t="shared" si="1"/>
        <v>1324</v>
      </c>
      <c r="I7" s="15">
        <f t="shared" si="1"/>
        <v>576</v>
      </c>
      <c r="J7" s="16">
        <f t="shared" si="1"/>
        <v>669</v>
      </c>
      <c r="K7" s="14">
        <f t="shared" si="1"/>
        <v>593</v>
      </c>
      <c r="L7" s="14">
        <f t="shared" si="1"/>
        <v>588</v>
      </c>
      <c r="M7" s="48" t="s">
        <v>38</v>
      </c>
      <c r="N7" s="48"/>
      <c r="O7" s="18"/>
      <c r="P7" s="18"/>
    </row>
    <row r="8" spans="1:16" ht="18.75" x14ac:dyDescent="0.25">
      <c r="A8" s="19" t="s">
        <v>36</v>
      </c>
      <c r="B8" s="20" t="s">
        <v>55</v>
      </c>
      <c r="C8" s="17">
        <f t="shared" si="0"/>
        <v>2191</v>
      </c>
      <c r="D8" s="13">
        <f t="shared" si="0"/>
        <v>2191</v>
      </c>
      <c r="E8" s="21">
        <v>1243</v>
      </c>
      <c r="F8" s="21">
        <v>1249</v>
      </c>
      <c r="G8" s="22">
        <v>508</v>
      </c>
      <c r="H8" s="23">
        <v>472</v>
      </c>
      <c r="I8" s="22">
        <v>214</v>
      </c>
      <c r="J8" s="23">
        <v>246</v>
      </c>
      <c r="K8" s="21">
        <v>226</v>
      </c>
      <c r="L8" s="21">
        <v>224</v>
      </c>
      <c r="M8" s="24" t="s">
        <v>56</v>
      </c>
      <c r="N8" s="24" t="s">
        <v>57</v>
      </c>
    </row>
    <row r="9" spans="1:16" ht="18.75" x14ac:dyDescent="0.25">
      <c r="A9" s="4" t="s">
        <v>37</v>
      </c>
      <c r="B9" s="20" t="s">
        <v>58</v>
      </c>
      <c r="C9" s="17">
        <f t="shared" si="0"/>
        <v>2841</v>
      </c>
      <c r="D9" s="13">
        <f t="shared" si="0"/>
        <v>2841</v>
      </c>
      <c r="E9" s="17">
        <f>SUM(E11:E30)</f>
        <v>1476</v>
      </c>
      <c r="F9" s="17">
        <f t="shared" ref="F9:L9" si="2">SUM(F11:F30)</f>
        <v>1354</v>
      </c>
      <c r="G9" s="25">
        <f t="shared" si="2"/>
        <v>705</v>
      </c>
      <c r="H9" s="13">
        <f t="shared" si="2"/>
        <v>770</v>
      </c>
      <c r="I9" s="25">
        <f t="shared" si="2"/>
        <v>328</v>
      </c>
      <c r="J9" s="13">
        <f t="shared" si="2"/>
        <v>380</v>
      </c>
      <c r="K9" s="17">
        <f t="shared" si="2"/>
        <v>332</v>
      </c>
      <c r="L9" s="17">
        <f t="shared" si="2"/>
        <v>337</v>
      </c>
      <c r="M9" s="24" t="s">
        <v>59</v>
      </c>
      <c r="N9" s="24" t="s">
        <v>50</v>
      </c>
    </row>
    <row r="10" spans="1:16" ht="18.75" x14ac:dyDescent="0.25">
      <c r="A10" s="19" t="s">
        <v>36</v>
      </c>
      <c r="B10" s="20" t="s">
        <v>60</v>
      </c>
      <c r="C10" s="17">
        <f t="shared" si="0"/>
        <v>258</v>
      </c>
      <c r="D10" s="13">
        <f t="shared" si="0"/>
        <v>258</v>
      </c>
      <c r="E10" s="21">
        <v>118</v>
      </c>
      <c r="F10" s="21">
        <v>106</v>
      </c>
      <c r="G10" s="22">
        <v>71</v>
      </c>
      <c r="H10" s="23">
        <v>82</v>
      </c>
      <c r="I10" s="22">
        <v>34</v>
      </c>
      <c r="J10" s="23">
        <v>43</v>
      </c>
      <c r="K10" s="21">
        <v>35</v>
      </c>
      <c r="L10" s="21">
        <v>27</v>
      </c>
      <c r="M10" s="24" t="s">
        <v>61</v>
      </c>
      <c r="N10" s="24" t="s">
        <v>57</v>
      </c>
    </row>
    <row r="11" spans="1:16" ht="15.75" x14ac:dyDescent="0.25">
      <c r="A11" s="46" t="s">
        <v>3</v>
      </c>
      <c r="B11" s="46"/>
      <c r="C11" s="17">
        <f t="shared" si="0"/>
        <v>160</v>
      </c>
      <c r="D11" s="13">
        <f t="shared" si="0"/>
        <v>160</v>
      </c>
      <c r="E11" s="26">
        <v>102</v>
      </c>
      <c r="F11" s="26">
        <v>94</v>
      </c>
      <c r="G11" s="27">
        <v>32</v>
      </c>
      <c r="H11" s="28">
        <v>38</v>
      </c>
      <c r="I11" s="27">
        <v>18</v>
      </c>
      <c r="J11" s="28">
        <v>21</v>
      </c>
      <c r="K11" s="26">
        <v>8</v>
      </c>
      <c r="L11" s="26">
        <v>7</v>
      </c>
      <c r="M11" s="29" t="s">
        <v>62</v>
      </c>
      <c r="N11" s="30"/>
    </row>
    <row r="12" spans="1:16" ht="15.75" x14ac:dyDescent="0.25">
      <c r="A12" s="46" t="s">
        <v>4</v>
      </c>
      <c r="B12" s="46"/>
      <c r="C12" s="17">
        <f t="shared" si="0"/>
        <v>290</v>
      </c>
      <c r="D12" s="13">
        <f t="shared" si="0"/>
        <v>290</v>
      </c>
      <c r="E12" s="31">
        <v>160</v>
      </c>
      <c r="F12" s="31">
        <v>154</v>
      </c>
      <c r="G12" s="32">
        <v>78</v>
      </c>
      <c r="H12" s="33">
        <v>75</v>
      </c>
      <c r="I12" s="32">
        <v>26</v>
      </c>
      <c r="J12" s="33">
        <v>35</v>
      </c>
      <c r="K12" s="31">
        <v>26</v>
      </c>
      <c r="L12" s="31">
        <v>26</v>
      </c>
      <c r="M12" s="29" t="s">
        <v>5</v>
      </c>
      <c r="N12" s="30"/>
    </row>
    <row r="13" spans="1:16" ht="15.75" x14ac:dyDescent="0.25">
      <c r="A13" s="46" t="s">
        <v>6</v>
      </c>
      <c r="B13" s="46"/>
      <c r="C13" s="17">
        <f t="shared" si="0"/>
        <v>164</v>
      </c>
      <c r="D13" s="13">
        <f t="shared" si="0"/>
        <v>164</v>
      </c>
      <c r="E13" s="31">
        <v>101</v>
      </c>
      <c r="F13" s="31">
        <v>92</v>
      </c>
      <c r="G13" s="32">
        <v>35</v>
      </c>
      <c r="H13" s="33">
        <v>38</v>
      </c>
      <c r="I13" s="32">
        <v>14</v>
      </c>
      <c r="J13" s="33">
        <v>18</v>
      </c>
      <c r="K13" s="31">
        <v>14</v>
      </c>
      <c r="L13" s="31">
        <v>16</v>
      </c>
      <c r="M13" s="29" t="s">
        <v>7</v>
      </c>
      <c r="N13" s="30"/>
    </row>
    <row r="14" spans="1:16" ht="15.75" x14ac:dyDescent="0.25">
      <c r="A14" s="46" t="s">
        <v>8</v>
      </c>
      <c r="B14" s="46"/>
      <c r="C14" s="17">
        <f t="shared" si="0"/>
        <v>140</v>
      </c>
      <c r="D14" s="13">
        <f t="shared" si="0"/>
        <v>140</v>
      </c>
      <c r="E14" s="31">
        <v>66</v>
      </c>
      <c r="F14" s="31">
        <v>60</v>
      </c>
      <c r="G14" s="32">
        <v>36</v>
      </c>
      <c r="H14" s="33">
        <v>42</v>
      </c>
      <c r="I14" s="32">
        <v>12</v>
      </c>
      <c r="J14" s="33">
        <v>16</v>
      </c>
      <c r="K14" s="31">
        <v>26</v>
      </c>
      <c r="L14" s="31">
        <v>22</v>
      </c>
      <c r="M14" s="29" t="s">
        <v>9</v>
      </c>
      <c r="N14" s="30"/>
    </row>
    <row r="15" spans="1:16" ht="15.75" x14ac:dyDescent="0.25">
      <c r="A15" s="46" t="s">
        <v>10</v>
      </c>
      <c r="B15" s="46"/>
      <c r="C15" s="17">
        <f t="shared" si="0"/>
        <v>197</v>
      </c>
      <c r="D15" s="13">
        <f t="shared" si="0"/>
        <v>197</v>
      </c>
      <c r="E15" s="31">
        <v>133</v>
      </c>
      <c r="F15" s="31">
        <v>134</v>
      </c>
      <c r="G15" s="32">
        <v>42</v>
      </c>
      <c r="H15" s="33">
        <v>47</v>
      </c>
      <c r="I15" s="32">
        <v>14</v>
      </c>
      <c r="J15" s="33">
        <v>7</v>
      </c>
      <c r="K15" s="31">
        <v>8</v>
      </c>
      <c r="L15" s="31">
        <v>9</v>
      </c>
      <c r="M15" s="29" t="s">
        <v>11</v>
      </c>
      <c r="N15" s="30"/>
    </row>
    <row r="16" spans="1:16" ht="15.75" x14ac:dyDescent="0.25">
      <c r="A16" s="46" t="s">
        <v>63</v>
      </c>
      <c r="B16" s="46"/>
      <c r="C16" s="17">
        <f t="shared" si="0"/>
        <v>116</v>
      </c>
      <c r="D16" s="13">
        <f t="shared" si="0"/>
        <v>116</v>
      </c>
      <c r="E16" s="31">
        <v>69</v>
      </c>
      <c r="F16" s="31">
        <v>64</v>
      </c>
      <c r="G16" s="32">
        <v>29</v>
      </c>
      <c r="H16" s="33">
        <v>31</v>
      </c>
      <c r="I16" s="32">
        <v>10</v>
      </c>
      <c r="J16" s="33">
        <v>11</v>
      </c>
      <c r="K16" s="31">
        <v>8</v>
      </c>
      <c r="L16" s="31">
        <v>10</v>
      </c>
      <c r="M16" s="29" t="s">
        <v>12</v>
      </c>
      <c r="N16" s="30"/>
    </row>
    <row r="17" spans="1:14" ht="15.75" x14ac:dyDescent="0.25">
      <c r="A17" s="46" t="s">
        <v>64</v>
      </c>
      <c r="B17" s="46"/>
      <c r="C17" s="17">
        <f t="shared" si="0"/>
        <v>118</v>
      </c>
      <c r="D17" s="13">
        <f t="shared" si="0"/>
        <v>118</v>
      </c>
      <c r="E17" s="31">
        <v>57</v>
      </c>
      <c r="F17" s="31">
        <v>50</v>
      </c>
      <c r="G17" s="32">
        <v>40</v>
      </c>
      <c r="H17" s="33">
        <v>42</v>
      </c>
      <c r="I17" s="32">
        <v>9</v>
      </c>
      <c r="J17" s="33">
        <v>13</v>
      </c>
      <c r="K17" s="31">
        <v>12</v>
      </c>
      <c r="L17" s="31">
        <v>13</v>
      </c>
      <c r="M17" s="29" t="s">
        <v>13</v>
      </c>
      <c r="N17" s="30"/>
    </row>
    <row r="18" spans="1:14" ht="15.75" x14ac:dyDescent="0.25">
      <c r="A18" s="46" t="s">
        <v>65</v>
      </c>
      <c r="B18" s="46"/>
      <c r="C18" s="17">
        <f t="shared" si="0"/>
        <v>180</v>
      </c>
      <c r="D18" s="13">
        <f t="shared" si="0"/>
        <v>180</v>
      </c>
      <c r="E18" s="31">
        <v>84</v>
      </c>
      <c r="F18" s="31">
        <v>77</v>
      </c>
      <c r="G18" s="32">
        <v>45</v>
      </c>
      <c r="H18" s="33">
        <v>55</v>
      </c>
      <c r="I18" s="32">
        <v>20</v>
      </c>
      <c r="J18" s="33">
        <v>21</v>
      </c>
      <c r="K18" s="31">
        <v>31</v>
      </c>
      <c r="L18" s="31">
        <v>27</v>
      </c>
      <c r="M18" s="29" t="s">
        <v>14</v>
      </c>
      <c r="N18" s="30"/>
    </row>
    <row r="19" spans="1:14" ht="15.75" x14ac:dyDescent="0.25">
      <c r="A19" s="46" t="s">
        <v>15</v>
      </c>
      <c r="B19" s="46"/>
      <c r="C19" s="17">
        <f t="shared" si="0"/>
        <v>109</v>
      </c>
      <c r="D19" s="13">
        <f t="shared" si="0"/>
        <v>109</v>
      </c>
      <c r="E19" s="31">
        <v>56</v>
      </c>
      <c r="F19" s="31">
        <v>52</v>
      </c>
      <c r="G19" s="32">
        <v>31</v>
      </c>
      <c r="H19" s="33">
        <v>29</v>
      </c>
      <c r="I19" s="32">
        <v>9</v>
      </c>
      <c r="J19" s="33">
        <v>12</v>
      </c>
      <c r="K19" s="31">
        <v>13</v>
      </c>
      <c r="L19" s="31">
        <v>16</v>
      </c>
      <c r="M19" s="29" t="s">
        <v>16</v>
      </c>
      <c r="N19" s="30"/>
    </row>
    <row r="20" spans="1:14" ht="15.75" x14ac:dyDescent="0.25">
      <c r="A20" s="46" t="s">
        <v>17</v>
      </c>
      <c r="B20" s="46"/>
      <c r="C20" s="17">
        <f t="shared" si="0"/>
        <v>112</v>
      </c>
      <c r="D20" s="13">
        <f t="shared" si="0"/>
        <v>112</v>
      </c>
      <c r="E20" s="31">
        <v>52</v>
      </c>
      <c r="F20" s="31">
        <v>50</v>
      </c>
      <c r="G20" s="32">
        <v>32</v>
      </c>
      <c r="H20" s="33">
        <v>32</v>
      </c>
      <c r="I20" s="32">
        <v>13</v>
      </c>
      <c r="J20" s="33">
        <v>17</v>
      </c>
      <c r="K20" s="31">
        <v>15</v>
      </c>
      <c r="L20" s="31">
        <v>13</v>
      </c>
      <c r="M20" s="29" t="s">
        <v>18</v>
      </c>
      <c r="N20" s="30"/>
    </row>
    <row r="21" spans="1:14" ht="15.75" x14ac:dyDescent="0.25">
      <c r="A21" s="46" t="s">
        <v>19</v>
      </c>
      <c r="B21" s="46"/>
      <c r="C21" s="17">
        <f t="shared" si="0"/>
        <v>19</v>
      </c>
      <c r="D21" s="13">
        <f t="shared" si="0"/>
        <v>19</v>
      </c>
      <c r="E21" s="31">
        <v>14</v>
      </c>
      <c r="F21" s="31">
        <v>9</v>
      </c>
      <c r="G21" s="32">
        <v>1</v>
      </c>
      <c r="H21" s="33">
        <v>5</v>
      </c>
      <c r="I21" s="32">
        <v>2</v>
      </c>
      <c r="J21" s="33">
        <v>5</v>
      </c>
      <c r="K21" s="31">
        <v>2</v>
      </c>
      <c r="L21" s="31">
        <v>0</v>
      </c>
      <c r="M21" s="29" t="s">
        <v>20</v>
      </c>
      <c r="N21" s="30"/>
    </row>
    <row r="22" spans="1:14" ht="15.75" x14ac:dyDescent="0.25">
      <c r="A22" s="46" t="s">
        <v>21</v>
      </c>
      <c r="B22" s="46"/>
      <c r="C22" s="17">
        <f t="shared" si="0"/>
        <v>64</v>
      </c>
      <c r="D22" s="13">
        <f t="shared" si="0"/>
        <v>64</v>
      </c>
      <c r="E22" s="31">
        <v>36</v>
      </c>
      <c r="F22" s="31">
        <v>31</v>
      </c>
      <c r="G22" s="32">
        <v>13</v>
      </c>
      <c r="H22" s="33">
        <v>14</v>
      </c>
      <c r="I22" s="32">
        <v>10</v>
      </c>
      <c r="J22" s="33">
        <v>7</v>
      </c>
      <c r="K22" s="31">
        <v>5</v>
      </c>
      <c r="L22" s="31">
        <v>12</v>
      </c>
      <c r="M22" s="29" t="s">
        <v>22</v>
      </c>
      <c r="N22" s="30"/>
    </row>
    <row r="23" spans="1:14" ht="15.75" x14ac:dyDescent="0.25">
      <c r="A23" s="46" t="s">
        <v>66</v>
      </c>
      <c r="B23" s="46"/>
      <c r="C23" s="17">
        <f t="shared" ref="C23:D30" si="3">E23+G23+I23+K23</f>
        <v>56</v>
      </c>
      <c r="D23" s="13">
        <f t="shared" si="3"/>
        <v>56</v>
      </c>
      <c r="E23" s="31">
        <v>27</v>
      </c>
      <c r="F23" s="31">
        <v>24</v>
      </c>
      <c r="G23" s="32">
        <v>12</v>
      </c>
      <c r="H23" s="33">
        <v>13</v>
      </c>
      <c r="I23" s="32">
        <v>7</v>
      </c>
      <c r="J23" s="33">
        <v>9</v>
      </c>
      <c r="K23" s="31">
        <v>10</v>
      </c>
      <c r="L23" s="31">
        <v>10</v>
      </c>
      <c r="M23" s="29" t="s">
        <v>23</v>
      </c>
      <c r="N23" s="30"/>
    </row>
    <row r="24" spans="1:14" ht="15.75" x14ac:dyDescent="0.25">
      <c r="A24" s="46" t="s">
        <v>24</v>
      </c>
      <c r="B24" s="46"/>
      <c r="C24" s="17">
        <f t="shared" si="3"/>
        <v>67</v>
      </c>
      <c r="D24" s="13">
        <f t="shared" si="3"/>
        <v>67</v>
      </c>
      <c r="E24" s="31">
        <v>43</v>
      </c>
      <c r="F24" s="31">
        <v>33</v>
      </c>
      <c r="G24" s="32">
        <v>12</v>
      </c>
      <c r="H24" s="33">
        <v>16</v>
      </c>
      <c r="I24" s="32">
        <v>2</v>
      </c>
      <c r="J24" s="33">
        <v>9</v>
      </c>
      <c r="K24" s="31">
        <v>10</v>
      </c>
      <c r="L24" s="31">
        <v>9</v>
      </c>
      <c r="M24" s="29" t="s">
        <v>25</v>
      </c>
      <c r="N24" s="30"/>
    </row>
    <row r="25" spans="1:14" ht="15.75" x14ac:dyDescent="0.25">
      <c r="A25" s="46" t="s">
        <v>26</v>
      </c>
      <c r="B25" s="46"/>
      <c r="C25" s="17">
        <f t="shared" si="3"/>
        <v>109</v>
      </c>
      <c r="D25" s="13">
        <f t="shared" si="3"/>
        <v>109</v>
      </c>
      <c r="E25" s="31">
        <v>62</v>
      </c>
      <c r="F25" s="31">
        <v>60</v>
      </c>
      <c r="G25" s="32">
        <v>21</v>
      </c>
      <c r="H25" s="33">
        <v>23</v>
      </c>
      <c r="I25" s="32">
        <v>17</v>
      </c>
      <c r="J25" s="33">
        <v>14</v>
      </c>
      <c r="K25" s="31">
        <v>9</v>
      </c>
      <c r="L25" s="31">
        <v>12</v>
      </c>
      <c r="M25" s="29" t="s">
        <v>27</v>
      </c>
      <c r="N25" s="30"/>
    </row>
    <row r="26" spans="1:14" ht="15.75" x14ac:dyDescent="0.25">
      <c r="A26" s="46" t="s">
        <v>28</v>
      </c>
      <c r="B26" s="46"/>
      <c r="C26" s="17">
        <f t="shared" si="3"/>
        <v>204</v>
      </c>
      <c r="D26" s="13">
        <f t="shared" si="3"/>
        <v>204</v>
      </c>
      <c r="E26" s="31">
        <v>79</v>
      </c>
      <c r="F26" s="31">
        <v>71</v>
      </c>
      <c r="G26" s="32">
        <v>58</v>
      </c>
      <c r="H26" s="33">
        <v>57</v>
      </c>
      <c r="I26" s="32">
        <v>30</v>
      </c>
      <c r="J26" s="33">
        <v>35</v>
      </c>
      <c r="K26" s="31">
        <v>37</v>
      </c>
      <c r="L26" s="31">
        <v>41</v>
      </c>
      <c r="M26" s="29" t="s">
        <v>29</v>
      </c>
      <c r="N26" s="30"/>
    </row>
    <row r="27" spans="1:14" ht="15.75" x14ac:dyDescent="0.25">
      <c r="A27" s="46" t="s">
        <v>30</v>
      </c>
      <c r="B27" s="46"/>
      <c r="C27" s="17">
        <f t="shared" si="3"/>
        <v>123</v>
      </c>
      <c r="D27" s="13">
        <f t="shared" si="3"/>
        <v>123</v>
      </c>
      <c r="E27" s="31">
        <v>49</v>
      </c>
      <c r="F27" s="31">
        <v>37</v>
      </c>
      <c r="G27" s="32">
        <v>31</v>
      </c>
      <c r="H27" s="33">
        <v>39</v>
      </c>
      <c r="I27" s="32">
        <v>19</v>
      </c>
      <c r="J27" s="33">
        <v>24</v>
      </c>
      <c r="K27" s="31">
        <v>24</v>
      </c>
      <c r="L27" s="31">
        <v>23</v>
      </c>
      <c r="M27" s="29" t="s">
        <v>31</v>
      </c>
      <c r="N27" s="30"/>
    </row>
    <row r="28" spans="1:14" ht="15.75" x14ac:dyDescent="0.25">
      <c r="A28" s="46" t="s">
        <v>32</v>
      </c>
      <c r="B28" s="46"/>
      <c r="C28" s="17">
        <f t="shared" si="3"/>
        <v>187</v>
      </c>
      <c r="D28" s="13">
        <f t="shared" si="3"/>
        <v>187</v>
      </c>
      <c r="E28" s="31">
        <v>104</v>
      </c>
      <c r="F28" s="31">
        <v>90</v>
      </c>
      <c r="G28" s="32">
        <v>43</v>
      </c>
      <c r="H28" s="33">
        <v>56</v>
      </c>
      <c r="I28" s="32">
        <v>23</v>
      </c>
      <c r="J28" s="33">
        <v>26</v>
      </c>
      <c r="K28" s="31">
        <v>17</v>
      </c>
      <c r="L28" s="31">
        <v>15</v>
      </c>
      <c r="M28" s="29" t="s">
        <v>33</v>
      </c>
      <c r="N28" s="30"/>
    </row>
    <row r="29" spans="1:14" ht="15.75" x14ac:dyDescent="0.25">
      <c r="A29" s="46" t="s">
        <v>34</v>
      </c>
      <c r="B29" s="46"/>
      <c r="C29" s="17">
        <f t="shared" si="3"/>
        <v>160</v>
      </c>
      <c r="D29" s="13">
        <f t="shared" si="3"/>
        <v>160</v>
      </c>
      <c r="E29" s="31">
        <v>62</v>
      </c>
      <c r="F29" s="31">
        <v>55</v>
      </c>
      <c r="G29" s="32">
        <v>40</v>
      </c>
      <c r="H29" s="33">
        <v>47</v>
      </c>
      <c r="I29" s="32">
        <v>33</v>
      </c>
      <c r="J29" s="33">
        <v>32</v>
      </c>
      <c r="K29" s="31">
        <v>25</v>
      </c>
      <c r="L29" s="31">
        <v>26</v>
      </c>
      <c r="M29" s="29" t="s">
        <v>35</v>
      </c>
      <c r="N29" s="30"/>
    </row>
    <row r="30" spans="1:14" ht="15.75" x14ac:dyDescent="0.25">
      <c r="A30" s="47" t="s">
        <v>67</v>
      </c>
      <c r="B30" s="47"/>
      <c r="C30" s="41">
        <f t="shared" si="3"/>
        <v>266</v>
      </c>
      <c r="D30" s="34">
        <f t="shared" si="3"/>
        <v>266</v>
      </c>
      <c r="E30" s="35">
        <v>120</v>
      </c>
      <c r="F30" s="35">
        <v>117</v>
      </c>
      <c r="G30" s="36">
        <v>74</v>
      </c>
      <c r="H30" s="37">
        <v>71</v>
      </c>
      <c r="I30" s="36">
        <v>40</v>
      </c>
      <c r="J30" s="37">
        <v>48</v>
      </c>
      <c r="K30" s="35">
        <v>32</v>
      </c>
      <c r="L30" s="35">
        <v>30</v>
      </c>
      <c r="M30" s="38" t="s">
        <v>68</v>
      </c>
      <c r="N30" s="39"/>
    </row>
    <row r="31" spans="1:14" ht="18" x14ac:dyDescent="0.45">
      <c r="A31" s="40" t="s">
        <v>41</v>
      </c>
      <c r="E31" s="3"/>
      <c r="F31" s="3"/>
      <c r="G31" s="3"/>
      <c r="H31" s="3"/>
      <c r="I31" s="3"/>
      <c r="J31" s="3"/>
      <c r="K31" s="3"/>
      <c r="L31" s="3"/>
      <c r="M31" s="5"/>
      <c r="N31" s="2" t="s">
        <v>42</v>
      </c>
    </row>
  </sheetData>
  <mergeCells count="39">
    <mergeCell ref="A1:N1"/>
    <mergeCell ref="A2:N2"/>
    <mergeCell ref="A3:A6"/>
    <mergeCell ref="B3:B6"/>
    <mergeCell ref="M3:M6"/>
    <mergeCell ref="N3:N6"/>
    <mergeCell ref="O3:O6"/>
    <mergeCell ref="E4:F4"/>
    <mergeCell ref="G4:H4"/>
    <mergeCell ref="I4:J4"/>
    <mergeCell ref="C3:C4"/>
    <mergeCell ref="D3:D4"/>
    <mergeCell ref="E3:F3"/>
    <mergeCell ref="G3:H3"/>
    <mergeCell ref="I3:J3"/>
    <mergeCell ref="K3:L3"/>
    <mergeCell ref="K4:L4"/>
    <mergeCell ref="A20:B20"/>
    <mergeCell ref="A7:B7"/>
    <mergeCell ref="M7:N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</mergeCells>
  <pageMargins left="0.7" right="0.7" top="0.75" bottom="0.75" header="0.3" footer="0.3"/>
  <pageSetup scale="52" orientation="portrait" r:id="rId1"/>
  <ignoredErrors>
    <ignoredError sqref="E9:M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3.22</vt:lpstr>
      <vt:lpstr>'3.22'!Print_Area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2019-08-01T04:03:20Z</cp:lastPrinted>
  <dcterms:created xsi:type="dcterms:W3CDTF">2019-07-22T06:02:33Z</dcterms:created>
  <dcterms:modified xsi:type="dcterms:W3CDTF">2019-08-01T04:03:29Z</dcterms:modified>
</cp:coreProperties>
</file>