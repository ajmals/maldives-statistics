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3.POPULATION\"/>
    </mc:Choice>
  </mc:AlternateContent>
  <bookViews>
    <workbookView xWindow="0" yWindow="0" windowWidth="28800" windowHeight="11730" tabRatio="804"/>
  </bookViews>
  <sheets>
    <sheet name="3.3" sheetId="3" r:id="rId1"/>
  </sheets>
  <externalReferences>
    <externalReference r:id="rId2"/>
    <externalReference r:id="rId3"/>
    <externalReference r:id="rId4"/>
  </externalReferences>
  <definedNames>
    <definedName name="_xlnm.Print_Area" localSheetId="0">'3.3'!$A$1:$U$294</definedName>
    <definedName name="_xlnm.Print_Titles" localSheetId="0">'3.3'!$5:$9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69" i="3" l="1"/>
  <c r="O269" i="3"/>
  <c r="K269" i="3"/>
  <c r="J269" i="3"/>
  <c r="G269" i="3"/>
  <c r="B269" i="3"/>
  <c r="P268" i="3"/>
  <c r="O268" i="3"/>
  <c r="K268" i="3"/>
  <c r="G268" i="3"/>
  <c r="B268" i="3"/>
  <c r="J268" i="3" s="1"/>
  <c r="P267" i="3"/>
  <c r="K267" i="3"/>
  <c r="O267" i="3" s="1"/>
  <c r="J267" i="3"/>
  <c r="G267" i="3"/>
  <c r="B267" i="3"/>
  <c r="P266" i="3"/>
  <c r="O266" i="3"/>
  <c r="K266" i="3"/>
  <c r="G266" i="3"/>
  <c r="J266" i="3" s="1"/>
  <c r="B266" i="3"/>
  <c r="P265" i="3"/>
  <c r="O265" i="3"/>
  <c r="K265" i="3"/>
  <c r="J265" i="3"/>
  <c r="G265" i="3"/>
  <c r="B265" i="3"/>
  <c r="P264" i="3"/>
  <c r="O264" i="3"/>
  <c r="K264" i="3"/>
  <c r="J264" i="3"/>
  <c r="G264" i="3"/>
  <c r="B264" i="3"/>
  <c r="R263" i="3"/>
  <c r="Q263" i="3"/>
  <c r="P263" i="3"/>
  <c r="M263" i="3"/>
  <c r="L263" i="3"/>
  <c r="K263" i="3" s="1"/>
  <c r="O263" i="3" s="1"/>
  <c r="I263" i="3"/>
  <c r="H263" i="3"/>
  <c r="G263" i="3"/>
  <c r="E263" i="3"/>
  <c r="D263" i="3"/>
  <c r="C263" i="3"/>
  <c r="B263" i="3" s="1"/>
  <c r="J263" i="3" s="1"/>
  <c r="P261" i="3"/>
  <c r="K261" i="3"/>
  <c r="O261" i="3" s="1"/>
  <c r="G261" i="3"/>
  <c r="J261" i="3" s="1"/>
  <c r="B261" i="3"/>
  <c r="R260" i="3"/>
  <c r="Q260" i="3"/>
  <c r="P260" i="3"/>
  <c r="M260" i="3"/>
  <c r="L260" i="3"/>
  <c r="K260" i="3"/>
  <c r="O260" i="3" s="1"/>
  <c r="I260" i="3"/>
  <c r="H260" i="3"/>
  <c r="G260" i="3"/>
  <c r="J260" i="3" s="1"/>
  <c r="D260" i="3"/>
  <c r="C260" i="3"/>
  <c r="B260" i="3"/>
  <c r="P258" i="3"/>
  <c r="K258" i="3"/>
  <c r="O258" i="3" s="1"/>
  <c r="G258" i="3"/>
  <c r="J258" i="3" s="1"/>
  <c r="B258" i="3"/>
  <c r="B257" i="3"/>
  <c r="B256" i="3"/>
  <c r="P255" i="3"/>
  <c r="K255" i="3"/>
  <c r="O255" i="3" s="1"/>
  <c r="P254" i="3"/>
  <c r="O254" i="3"/>
  <c r="K254" i="3"/>
  <c r="G254" i="3"/>
  <c r="J254" i="3" s="1"/>
  <c r="B254" i="3"/>
  <c r="P253" i="3"/>
  <c r="O253" i="3"/>
  <c r="K253" i="3"/>
  <c r="J253" i="3"/>
  <c r="G253" i="3"/>
  <c r="B253" i="3"/>
  <c r="P252" i="3"/>
  <c r="O252" i="3"/>
  <c r="K252" i="3"/>
  <c r="G252" i="3"/>
  <c r="B252" i="3"/>
  <c r="J252" i="3" s="1"/>
  <c r="P251" i="3"/>
  <c r="K251" i="3"/>
  <c r="O251" i="3" s="1"/>
  <c r="J251" i="3"/>
  <c r="G251" i="3"/>
  <c r="B251" i="3"/>
  <c r="P250" i="3"/>
  <c r="O250" i="3"/>
  <c r="K250" i="3"/>
  <c r="G250" i="3"/>
  <c r="J250" i="3" s="1"/>
  <c r="B250" i="3"/>
  <c r="P249" i="3"/>
  <c r="O249" i="3"/>
  <c r="K249" i="3"/>
  <c r="J249" i="3"/>
  <c r="G249" i="3"/>
  <c r="B249" i="3"/>
  <c r="P248" i="3"/>
  <c r="O248" i="3"/>
  <c r="K248" i="3"/>
  <c r="G248" i="3"/>
  <c r="B248" i="3"/>
  <c r="J248" i="3" s="1"/>
  <c r="R247" i="3"/>
  <c r="Q247" i="3"/>
  <c r="P247" i="3" s="1"/>
  <c r="M247" i="3"/>
  <c r="L247" i="3"/>
  <c r="K247" i="3" s="1"/>
  <c r="O247" i="3" s="1"/>
  <c r="I247" i="3"/>
  <c r="H247" i="3"/>
  <c r="G247" i="3" s="1"/>
  <c r="E247" i="3"/>
  <c r="D247" i="3"/>
  <c r="C247" i="3"/>
  <c r="B247" i="3" s="1"/>
  <c r="P245" i="3"/>
  <c r="K245" i="3"/>
  <c r="O245" i="3" s="1"/>
  <c r="G245" i="3"/>
  <c r="J245" i="3" s="1"/>
  <c r="B245" i="3"/>
  <c r="P244" i="3"/>
  <c r="K244" i="3"/>
  <c r="O244" i="3" s="1"/>
  <c r="G244" i="3"/>
  <c r="J244" i="3" s="1"/>
  <c r="B244" i="3"/>
  <c r="P243" i="3"/>
  <c r="G243" i="3"/>
  <c r="J243" i="3" s="1"/>
  <c r="B243" i="3"/>
  <c r="P242" i="3"/>
  <c r="K242" i="3"/>
  <c r="O242" i="3" s="1"/>
  <c r="G242" i="3"/>
  <c r="J242" i="3" s="1"/>
  <c r="B242" i="3"/>
  <c r="P241" i="3"/>
  <c r="K241" i="3"/>
  <c r="O241" i="3" s="1"/>
  <c r="G241" i="3"/>
  <c r="J241" i="3" s="1"/>
  <c r="B241" i="3"/>
  <c r="P240" i="3"/>
  <c r="K240" i="3"/>
  <c r="O240" i="3" s="1"/>
  <c r="G240" i="3"/>
  <c r="J240" i="3" s="1"/>
  <c r="B240" i="3"/>
  <c r="P239" i="3"/>
  <c r="K239" i="3"/>
  <c r="O239" i="3" s="1"/>
  <c r="G239" i="3"/>
  <c r="J239" i="3" s="1"/>
  <c r="B239" i="3"/>
  <c r="P238" i="3"/>
  <c r="K238" i="3"/>
  <c r="O238" i="3" s="1"/>
  <c r="G238" i="3"/>
  <c r="J238" i="3" s="1"/>
  <c r="B238" i="3"/>
  <c r="P237" i="3"/>
  <c r="K237" i="3"/>
  <c r="O237" i="3" s="1"/>
  <c r="G237" i="3"/>
  <c r="J237" i="3" s="1"/>
  <c r="B237" i="3"/>
  <c r="P236" i="3"/>
  <c r="K236" i="3"/>
  <c r="O236" i="3" s="1"/>
  <c r="G236" i="3"/>
  <c r="J236" i="3" s="1"/>
  <c r="B236" i="3"/>
  <c r="R235" i="3"/>
  <c r="Q235" i="3"/>
  <c r="P235" i="3"/>
  <c r="M235" i="3"/>
  <c r="K235" i="3" s="1"/>
  <c r="O235" i="3" s="1"/>
  <c r="L235" i="3"/>
  <c r="I235" i="3"/>
  <c r="H235" i="3"/>
  <c r="G235" i="3"/>
  <c r="J235" i="3" s="1"/>
  <c r="E235" i="3"/>
  <c r="D235" i="3"/>
  <c r="B235" i="3" s="1"/>
  <c r="C235" i="3"/>
  <c r="P233" i="3"/>
  <c r="K233" i="3"/>
  <c r="P232" i="3"/>
  <c r="O232" i="3"/>
  <c r="K232" i="3"/>
  <c r="J232" i="3"/>
  <c r="G232" i="3"/>
  <c r="B232" i="3"/>
  <c r="P231" i="3"/>
  <c r="O231" i="3"/>
  <c r="K231" i="3"/>
  <c r="J231" i="3"/>
  <c r="G231" i="3"/>
  <c r="B231" i="3"/>
  <c r="P230" i="3"/>
  <c r="O230" i="3"/>
  <c r="K230" i="3"/>
  <c r="G230" i="3"/>
  <c r="B230" i="3"/>
  <c r="J230" i="3" s="1"/>
  <c r="P229" i="3"/>
  <c r="O229" i="3"/>
  <c r="K229" i="3"/>
  <c r="J229" i="3"/>
  <c r="G229" i="3"/>
  <c r="B229" i="3"/>
  <c r="P228" i="3"/>
  <c r="O228" i="3"/>
  <c r="K228" i="3"/>
  <c r="G228" i="3"/>
  <c r="B228" i="3"/>
  <c r="J228" i="3" s="1"/>
  <c r="P227" i="3"/>
  <c r="O227" i="3"/>
  <c r="K227" i="3"/>
  <c r="J227" i="3"/>
  <c r="G227" i="3"/>
  <c r="B227" i="3"/>
  <c r="P226" i="3"/>
  <c r="O226" i="3"/>
  <c r="K226" i="3"/>
  <c r="G226" i="3"/>
  <c r="B226" i="3"/>
  <c r="J226" i="3" s="1"/>
  <c r="G225" i="3"/>
  <c r="J225" i="3" s="1"/>
  <c r="B225" i="3"/>
  <c r="P224" i="3"/>
  <c r="K224" i="3"/>
  <c r="O224" i="3" s="1"/>
  <c r="G224" i="3"/>
  <c r="J224" i="3" s="1"/>
  <c r="B224" i="3"/>
  <c r="P223" i="3"/>
  <c r="K223" i="3"/>
  <c r="O223" i="3" s="1"/>
  <c r="G223" i="3"/>
  <c r="J223" i="3" s="1"/>
  <c r="B223" i="3"/>
  <c r="P222" i="3"/>
  <c r="K222" i="3"/>
  <c r="O222" i="3" s="1"/>
  <c r="G222" i="3"/>
  <c r="J222" i="3" s="1"/>
  <c r="B222" i="3"/>
  <c r="P221" i="3"/>
  <c r="K221" i="3"/>
  <c r="O221" i="3" s="1"/>
  <c r="G221" i="3"/>
  <c r="J221" i="3" s="1"/>
  <c r="B221" i="3"/>
  <c r="R220" i="3"/>
  <c r="P220" i="3" s="1"/>
  <c r="Q220" i="3"/>
  <c r="M220" i="3"/>
  <c r="K220" i="3" s="1"/>
  <c r="L220" i="3"/>
  <c r="I220" i="3"/>
  <c r="G220" i="3" s="1"/>
  <c r="J220" i="3" s="1"/>
  <c r="H220" i="3"/>
  <c r="E220" i="3"/>
  <c r="D220" i="3"/>
  <c r="B220" i="3" s="1"/>
  <c r="C220" i="3"/>
  <c r="P218" i="3"/>
  <c r="O218" i="3"/>
  <c r="K218" i="3"/>
  <c r="G218" i="3"/>
  <c r="B218" i="3"/>
  <c r="J218" i="3" s="1"/>
  <c r="P217" i="3"/>
  <c r="O217" i="3"/>
  <c r="K217" i="3"/>
  <c r="J217" i="3"/>
  <c r="G217" i="3"/>
  <c r="B217" i="3"/>
  <c r="P216" i="3"/>
  <c r="O216" i="3"/>
  <c r="K216" i="3"/>
  <c r="G216" i="3"/>
  <c r="B216" i="3"/>
  <c r="J216" i="3" s="1"/>
  <c r="P215" i="3"/>
  <c r="O215" i="3"/>
  <c r="K215" i="3"/>
  <c r="J215" i="3"/>
  <c r="G215" i="3"/>
  <c r="B215" i="3"/>
  <c r="P214" i="3"/>
  <c r="O214" i="3"/>
  <c r="K214" i="3"/>
  <c r="G214" i="3"/>
  <c r="B214" i="3"/>
  <c r="J214" i="3" s="1"/>
  <c r="P213" i="3"/>
  <c r="O213" i="3"/>
  <c r="K213" i="3"/>
  <c r="J213" i="3"/>
  <c r="G213" i="3"/>
  <c r="B213" i="3"/>
  <c r="P212" i="3"/>
  <c r="O212" i="3"/>
  <c r="K212" i="3"/>
  <c r="G212" i="3"/>
  <c r="B212" i="3"/>
  <c r="J212" i="3" s="1"/>
  <c r="P211" i="3"/>
  <c r="O211" i="3"/>
  <c r="K211" i="3"/>
  <c r="J211" i="3"/>
  <c r="G211" i="3"/>
  <c r="B211" i="3"/>
  <c r="P210" i="3"/>
  <c r="O210" i="3"/>
  <c r="K210" i="3"/>
  <c r="G210" i="3"/>
  <c r="B210" i="3"/>
  <c r="J210" i="3" s="1"/>
  <c r="P209" i="3"/>
  <c r="O209" i="3"/>
  <c r="K209" i="3"/>
  <c r="J209" i="3"/>
  <c r="G209" i="3"/>
  <c r="B209" i="3"/>
  <c r="P208" i="3"/>
  <c r="O208" i="3"/>
  <c r="K208" i="3"/>
  <c r="G208" i="3"/>
  <c r="B208" i="3"/>
  <c r="J208" i="3" s="1"/>
  <c r="P207" i="3"/>
  <c r="K207" i="3"/>
  <c r="G207" i="3"/>
  <c r="O207" i="3" s="1"/>
  <c r="B207" i="3"/>
  <c r="P206" i="3"/>
  <c r="K206" i="3"/>
  <c r="O206" i="3" s="1"/>
  <c r="G206" i="3"/>
  <c r="J206" i="3" s="1"/>
  <c r="B206" i="3"/>
  <c r="R205" i="3"/>
  <c r="P205" i="3" s="1"/>
  <c r="Q205" i="3"/>
  <c r="M205" i="3"/>
  <c r="K205" i="3" s="1"/>
  <c r="L205" i="3"/>
  <c r="I205" i="3"/>
  <c r="G205" i="3" s="1"/>
  <c r="H205" i="3"/>
  <c r="E205" i="3"/>
  <c r="D205" i="3"/>
  <c r="B205" i="3" s="1"/>
  <c r="C205" i="3"/>
  <c r="P203" i="3"/>
  <c r="O203" i="3"/>
  <c r="K203" i="3"/>
  <c r="G203" i="3"/>
  <c r="B203" i="3"/>
  <c r="J203" i="3" s="1"/>
  <c r="P202" i="3"/>
  <c r="O202" i="3"/>
  <c r="K202" i="3"/>
  <c r="J202" i="3"/>
  <c r="G202" i="3"/>
  <c r="B202" i="3"/>
  <c r="P201" i="3"/>
  <c r="J201" i="3"/>
  <c r="G201" i="3"/>
  <c r="B201" i="3"/>
  <c r="P200" i="3"/>
  <c r="G200" i="3"/>
  <c r="B200" i="3"/>
  <c r="P199" i="3"/>
  <c r="K199" i="3"/>
  <c r="O199" i="3" s="1"/>
  <c r="G199" i="3"/>
  <c r="J199" i="3" s="1"/>
  <c r="B199" i="3"/>
  <c r="P198" i="3"/>
  <c r="K198" i="3"/>
  <c r="O198" i="3" s="1"/>
  <c r="G198" i="3"/>
  <c r="J198" i="3" s="1"/>
  <c r="B198" i="3"/>
  <c r="P197" i="3"/>
  <c r="K197" i="3"/>
  <c r="O197" i="3" s="1"/>
  <c r="G197" i="3"/>
  <c r="J197" i="3" s="1"/>
  <c r="B197" i="3"/>
  <c r="P196" i="3"/>
  <c r="K196" i="3"/>
  <c r="O196" i="3" s="1"/>
  <c r="G196" i="3"/>
  <c r="J196" i="3" s="1"/>
  <c r="B196" i="3"/>
  <c r="R195" i="3"/>
  <c r="Q195" i="3"/>
  <c r="P195" i="3"/>
  <c r="M195" i="3"/>
  <c r="L195" i="3"/>
  <c r="K195" i="3"/>
  <c r="O195" i="3" s="1"/>
  <c r="I195" i="3"/>
  <c r="H195" i="3"/>
  <c r="G195" i="3"/>
  <c r="J195" i="3" s="1"/>
  <c r="E195" i="3"/>
  <c r="D195" i="3"/>
  <c r="C195" i="3"/>
  <c r="B195" i="3"/>
  <c r="P193" i="3"/>
  <c r="K193" i="3"/>
  <c r="G193" i="3"/>
  <c r="O193" i="3" s="1"/>
  <c r="B193" i="3"/>
  <c r="P192" i="3"/>
  <c r="K192" i="3"/>
  <c r="O192" i="3" s="1"/>
  <c r="G192" i="3"/>
  <c r="B192" i="3"/>
  <c r="P191" i="3"/>
  <c r="O191" i="3"/>
  <c r="K191" i="3"/>
  <c r="G191" i="3"/>
  <c r="B191" i="3"/>
  <c r="P190" i="3"/>
  <c r="K190" i="3"/>
  <c r="O190" i="3" s="1"/>
  <c r="G190" i="3"/>
  <c r="B190" i="3"/>
  <c r="P189" i="3"/>
  <c r="K189" i="3"/>
  <c r="G189" i="3"/>
  <c r="O189" i="3" s="1"/>
  <c r="B189" i="3"/>
  <c r="R188" i="3"/>
  <c r="Q188" i="3"/>
  <c r="P188" i="3"/>
  <c r="M188" i="3"/>
  <c r="L188" i="3"/>
  <c r="K188" i="3"/>
  <c r="O188" i="3" s="1"/>
  <c r="I188" i="3"/>
  <c r="H188" i="3"/>
  <c r="G188" i="3"/>
  <c r="J188" i="3" s="1"/>
  <c r="E188" i="3"/>
  <c r="D188" i="3"/>
  <c r="C188" i="3"/>
  <c r="B188" i="3"/>
  <c r="P186" i="3"/>
  <c r="O186" i="3"/>
  <c r="K186" i="3"/>
  <c r="J186" i="3"/>
  <c r="G186" i="3"/>
  <c r="B186" i="3"/>
  <c r="P185" i="3"/>
  <c r="O185" i="3"/>
  <c r="K185" i="3"/>
  <c r="G185" i="3"/>
  <c r="B185" i="3"/>
  <c r="J185" i="3" s="1"/>
  <c r="P184" i="3"/>
  <c r="K184" i="3"/>
  <c r="J184" i="3"/>
  <c r="G184" i="3"/>
  <c r="O184" i="3" s="1"/>
  <c r="B184" i="3"/>
  <c r="P183" i="3"/>
  <c r="O183" i="3"/>
  <c r="K183" i="3"/>
  <c r="G183" i="3"/>
  <c r="B183" i="3"/>
  <c r="J183" i="3" s="1"/>
  <c r="P182" i="3"/>
  <c r="O182" i="3"/>
  <c r="K182" i="3"/>
  <c r="J182" i="3"/>
  <c r="G182" i="3"/>
  <c r="B182" i="3"/>
  <c r="P181" i="3"/>
  <c r="O181" i="3"/>
  <c r="K181" i="3"/>
  <c r="G181" i="3"/>
  <c r="B181" i="3"/>
  <c r="J181" i="3" s="1"/>
  <c r="P180" i="3"/>
  <c r="O180" i="3"/>
  <c r="K180" i="3"/>
  <c r="J180" i="3"/>
  <c r="G180" i="3"/>
  <c r="B180" i="3"/>
  <c r="G179" i="3"/>
  <c r="B179" i="3"/>
  <c r="P178" i="3"/>
  <c r="O178" i="3"/>
  <c r="K178" i="3"/>
  <c r="J178" i="3"/>
  <c r="G178" i="3"/>
  <c r="B178" i="3"/>
  <c r="R177" i="3"/>
  <c r="Q177" i="3"/>
  <c r="P177" i="3" s="1"/>
  <c r="M177" i="3"/>
  <c r="L177" i="3"/>
  <c r="K177" i="3" s="1"/>
  <c r="O177" i="3" s="1"/>
  <c r="I177" i="3"/>
  <c r="H177" i="3"/>
  <c r="G177" i="3" s="1"/>
  <c r="J177" i="3" s="1"/>
  <c r="E177" i="3"/>
  <c r="D177" i="3"/>
  <c r="C177" i="3"/>
  <c r="B177" i="3" s="1"/>
  <c r="P175" i="3"/>
  <c r="K175" i="3"/>
  <c r="O175" i="3" s="1"/>
  <c r="G175" i="3"/>
  <c r="J175" i="3" s="1"/>
  <c r="B175" i="3"/>
  <c r="P174" i="3"/>
  <c r="K174" i="3"/>
  <c r="O174" i="3" s="1"/>
  <c r="G174" i="3"/>
  <c r="J174" i="3" s="1"/>
  <c r="B174" i="3"/>
  <c r="P173" i="3"/>
  <c r="K173" i="3"/>
  <c r="O173" i="3" s="1"/>
  <c r="G173" i="3"/>
  <c r="J173" i="3" s="1"/>
  <c r="B173" i="3"/>
  <c r="P172" i="3"/>
  <c r="K172" i="3"/>
  <c r="O172" i="3" s="1"/>
  <c r="G172" i="3"/>
  <c r="J172" i="3" s="1"/>
  <c r="B172" i="3"/>
  <c r="P171" i="3"/>
  <c r="K171" i="3"/>
  <c r="O171" i="3" s="1"/>
  <c r="G171" i="3"/>
  <c r="J171" i="3" s="1"/>
  <c r="B171" i="3"/>
  <c r="R170" i="3"/>
  <c r="P170" i="3" s="1"/>
  <c r="Q170" i="3"/>
  <c r="M170" i="3"/>
  <c r="K170" i="3" s="1"/>
  <c r="O170" i="3" s="1"/>
  <c r="L170" i="3"/>
  <c r="I170" i="3"/>
  <c r="G170" i="3" s="1"/>
  <c r="H170" i="3"/>
  <c r="E170" i="3"/>
  <c r="D170" i="3"/>
  <c r="B170" i="3" s="1"/>
  <c r="C170" i="3"/>
  <c r="P168" i="3"/>
  <c r="O168" i="3"/>
  <c r="K168" i="3"/>
  <c r="G168" i="3"/>
  <c r="B168" i="3"/>
  <c r="J168" i="3" s="1"/>
  <c r="P167" i="3"/>
  <c r="O167" i="3"/>
  <c r="K167" i="3"/>
  <c r="J167" i="3"/>
  <c r="G167" i="3"/>
  <c r="B167" i="3"/>
  <c r="P166" i="3"/>
  <c r="O166" i="3"/>
  <c r="K166" i="3"/>
  <c r="G166" i="3"/>
  <c r="B166" i="3"/>
  <c r="J166" i="3" s="1"/>
  <c r="P165" i="3"/>
  <c r="O165" i="3"/>
  <c r="K165" i="3"/>
  <c r="J165" i="3"/>
  <c r="G165" i="3"/>
  <c r="B165" i="3"/>
  <c r="P164" i="3"/>
  <c r="O164" i="3"/>
  <c r="K164" i="3"/>
  <c r="G164" i="3"/>
  <c r="B164" i="3"/>
  <c r="J164" i="3" s="1"/>
  <c r="P163" i="3"/>
  <c r="O163" i="3"/>
  <c r="K163" i="3"/>
  <c r="J163" i="3"/>
  <c r="G163" i="3"/>
  <c r="B163" i="3"/>
  <c r="P162" i="3"/>
  <c r="O162" i="3"/>
  <c r="K162" i="3"/>
  <c r="G162" i="3"/>
  <c r="B162" i="3"/>
  <c r="J162" i="3" s="1"/>
  <c r="P161" i="3"/>
  <c r="O161" i="3"/>
  <c r="K161" i="3"/>
  <c r="J161" i="3"/>
  <c r="G161" i="3"/>
  <c r="B161" i="3"/>
  <c r="P160" i="3"/>
  <c r="O160" i="3"/>
  <c r="K160" i="3"/>
  <c r="G160" i="3"/>
  <c r="B160" i="3"/>
  <c r="J160" i="3" s="1"/>
  <c r="P159" i="3"/>
  <c r="O159" i="3"/>
  <c r="K159" i="3"/>
  <c r="J159" i="3"/>
  <c r="G159" i="3"/>
  <c r="B159" i="3"/>
  <c r="R158" i="3"/>
  <c r="Q158" i="3"/>
  <c r="P158" i="3" s="1"/>
  <c r="M158" i="3"/>
  <c r="L158" i="3"/>
  <c r="K158" i="3" s="1"/>
  <c r="O158" i="3" s="1"/>
  <c r="I158" i="3"/>
  <c r="H158" i="3"/>
  <c r="G158" i="3" s="1"/>
  <c r="E158" i="3"/>
  <c r="D158" i="3"/>
  <c r="C158" i="3"/>
  <c r="B158" i="3" s="1"/>
  <c r="O156" i="3"/>
  <c r="K156" i="3"/>
  <c r="J156" i="3"/>
  <c r="G156" i="3"/>
  <c r="B156" i="3"/>
  <c r="P155" i="3"/>
  <c r="O155" i="3"/>
  <c r="K155" i="3"/>
  <c r="G155" i="3"/>
  <c r="B155" i="3"/>
  <c r="J155" i="3" s="1"/>
  <c r="P154" i="3"/>
  <c r="K154" i="3"/>
  <c r="O154" i="3" s="1"/>
  <c r="J154" i="3"/>
  <c r="G154" i="3"/>
  <c r="B154" i="3"/>
  <c r="P153" i="3"/>
  <c r="O153" i="3"/>
  <c r="K153" i="3"/>
  <c r="G153" i="3"/>
  <c r="J153" i="3" s="1"/>
  <c r="B153" i="3"/>
  <c r="P152" i="3"/>
  <c r="O152" i="3"/>
  <c r="K152" i="3"/>
  <c r="J152" i="3"/>
  <c r="G152" i="3"/>
  <c r="B152" i="3"/>
  <c r="P151" i="3"/>
  <c r="O151" i="3"/>
  <c r="K151" i="3"/>
  <c r="G151" i="3"/>
  <c r="B151" i="3"/>
  <c r="J151" i="3" s="1"/>
  <c r="P150" i="3"/>
  <c r="K150" i="3"/>
  <c r="O150" i="3" s="1"/>
  <c r="J150" i="3"/>
  <c r="G150" i="3"/>
  <c r="B150" i="3"/>
  <c r="P149" i="3"/>
  <c r="O149" i="3"/>
  <c r="K149" i="3"/>
  <c r="G149" i="3"/>
  <c r="J149" i="3" s="1"/>
  <c r="B149" i="3"/>
  <c r="R148" i="3"/>
  <c r="Q148" i="3"/>
  <c r="P148" i="3" s="1"/>
  <c r="M148" i="3"/>
  <c r="L148" i="3"/>
  <c r="K148" i="3" s="1"/>
  <c r="I148" i="3"/>
  <c r="H148" i="3"/>
  <c r="G148" i="3" s="1"/>
  <c r="E148" i="3"/>
  <c r="D148" i="3"/>
  <c r="C148" i="3"/>
  <c r="B148" i="3" s="1"/>
  <c r="O146" i="3"/>
  <c r="K146" i="3"/>
  <c r="G146" i="3"/>
  <c r="B146" i="3"/>
  <c r="J146" i="3" s="1"/>
  <c r="P145" i="3"/>
  <c r="K145" i="3"/>
  <c r="O145" i="3" s="1"/>
  <c r="J145" i="3"/>
  <c r="G145" i="3"/>
  <c r="B145" i="3"/>
  <c r="P144" i="3"/>
  <c r="O144" i="3"/>
  <c r="K144" i="3"/>
  <c r="G144" i="3"/>
  <c r="J144" i="3" s="1"/>
  <c r="B144" i="3"/>
  <c r="P143" i="3"/>
  <c r="O143" i="3"/>
  <c r="K143" i="3"/>
  <c r="J143" i="3"/>
  <c r="G143" i="3"/>
  <c r="B143" i="3"/>
  <c r="P142" i="3"/>
  <c r="O142" i="3"/>
  <c r="K142" i="3"/>
  <c r="G142" i="3"/>
  <c r="B142" i="3"/>
  <c r="J142" i="3" s="1"/>
  <c r="P141" i="3"/>
  <c r="K141" i="3"/>
  <c r="O141" i="3" s="1"/>
  <c r="J141" i="3"/>
  <c r="G141" i="3"/>
  <c r="B141" i="3"/>
  <c r="P140" i="3"/>
  <c r="O140" i="3"/>
  <c r="K140" i="3"/>
  <c r="G140" i="3"/>
  <c r="J140" i="3" s="1"/>
  <c r="B140" i="3"/>
  <c r="P139" i="3"/>
  <c r="O139" i="3"/>
  <c r="K139" i="3"/>
  <c r="J139" i="3"/>
  <c r="G139" i="3"/>
  <c r="B139" i="3"/>
  <c r="P138" i="3"/>
  <c r="O138" i="3"/>
  <c r="K138" i="3"/>
  <c r="G138" i="3"/>
  <c r="B138" i="3"/>
  <c r="J138" i="3" s="1"/>
  <c r="R137" i="3"/>
  <c r="Q137" i="3"/>
  <c r="P137" i="3" s="1"/>
  <c r="M137" i="3"/>
  <c r="L137" i="3"/>
  <c r="K137" i="3" s="1"/>
  <c r="I137" i="3"/>
  <c r="H137" i="3"/>
  <c r="G137" i="3" s="1"/>
  <c r="J137" i="3" s="1"/>
  <c r="E137" i="3"/>
  <c r="D137" i="3"/>
  <c r="C137" i="3"/>
  <c r="B137" i="3" s="1"/>
  <c r="J135" i="3"/>
  <c r="G135" i="3"/>
  <c r="B135" i="3"/>
  <c r="P134" i="3"/>
  <c r="O134" i="3"/>
  <c r="K134" i="3"/>
  <c r="G134" i="3"/>
  <c r="B134" i="3"/>
  <c r="J134" i="3" s="1"/>
  <c r="P133" i="3"/>
  <c r="K133" i="3"/>
  <c r="O133" i="3" s="1"/>
  <c r="J133" i="3"/>
  <c r="G133" i="3"/>
  <c r="B133" i="3"/>
  <c r="P132" i="3"/>
  <c r="O132" i="3"/>
  <c r="K132" i="3"/>
  <c r="G132" i="3"/>
  <c r="J132" i="3" s="1"/>
  <c r="B132" i="3"/>
  <c r="P131" i="3"/>
  <c r="O131" i="3"/>
  <c r="K131" i="3"/>
  <c r="J131" i="3"/>
  <c r="G131" i="3"/>
  <c r="B131" i="3"/>
  <c r="R130" i="3"/>
  <c r="Q130" i="3"/>
  <c r="P130" i="3" s="1"/>
  <c r="M130" i="3"/>
  <c r="L130" i="3"/>
  <c r="K130" i="3" s="1"/>
  <c r="I130" i="3"/>
  <c r="H130" i="3"/>
  <c r="G130" i="3" s="1"/>
  <c r="E130" i="3"/>
  <c r="D130" i="3"/>
  <c r="C130" i="3"/>
  <c r="B130" i="3" s="1"/>
  <c r="P128" i="3"/>
  <c r="K128" i="3"/>
  <c r="O128" i="3" s="1"/>
  <c r="G128" i="3"/>
  <c r="J128" i="3" s="1"/>
  <c r="B128" i="3"/>
  <c r="P127" i="3"/>
  <c r="K127" i="3"/>
  <c r="O127" i="3" s="1"/>
  <c r="G127" i="3"/>
  <c r="J127" i="3" s="1"/>
  <c r="B127" i="3"/>
  <c r="P126" i="3"/>
  <c r="K126" i="3"/>
  <c r="O126" i="3" s="1"/>
  <c r="G126" i="3"/>
  <c r="J126" i="3" s="1"/>
  <c r="B126" i="3"/>
  <c r="P125" i="3"/>
  <c r="K125" i="3"/>
  <c r="O125" i="3" s="1"/>
  <c r="G125" i="3"/>
  <c r="J125" i="3" s="1"/>
  <c r="B125" i="3"/>
  <c r="P124" i="3"/>
  <c r="K124" i="3"/>
  <c r="O124" i="3" s="1"/>
  <c r="G124" i="3"/>
  <c r="J124" i="3" s="1"/>
  <c r="B124" i="3"/>
  <c r="P123" i="3"/>
  <c r="K123" i="3"/>
  <c r="O123" i="3" s="1"/>
  <c r="G123" i="3"/>
  <c r="J123" i="3" s="1"/>
  <c r="B123" i="3"/>
  <c r="P122" i="3"/>
  <c r="K122" i="3"/>
  <c r="O122" i="3" s="1"/>
  <c r="G122" i="3"/>
  <c r="J122" i="3" s="1"/>
  <c r="B122" i="3"/>
  <c r="P121" i="3"/>
  <c r="K121" i="3"/>
  <c r="O121" i="3" s="1"/>
  <c r="G121" i="3"/>
  <c r="J121" i="3" s="1"/>
  <c r="B121" i="3"/>
  <c r="P120" i="3"/>
  <c r="K120" i="3"/>
  <c r="O120" i="3" s="1"/>
  <c r="G120" i="3"/>
  <c r="J120" i="3" s="1"/>
  <c r="B120" i="3"/>
  <c r="P119" i="3"/>
  <c r="K119" i="3"/>
  <c r="O119" i="3" s="1"/>
  <c r="G119" i="3"/>
  <c r="J119" i="3" s="1"/>
  <c r="B119" i="3"/>
  <c r="P118" i="3"/>
  <c r="K118" i="3"/>
  <c r="O118" i="3" s="1"/>
  <c r="G118" i="3"/>
  <c r="J118" i="3" s="1"/>
  <c r="B118" i="3"/>
  <c r="P117" i="3"/>
  <c r="K117" i="3"/>
  <c r="O117" i="3" s="1"/>
  <c r="G117" i="3"/>
  <c r="J117" i="3" s="1"/>
  <c r="B117" i="3"/>
  <c r="P116" i="3"/>
  <c r="K116" i="3"/>
  <c r="O116" i="3" s="1"/>
  <c r="G116" i="3"/>
  <c r="J116" i="3" s="1"/>
  <c r="B116" i="3"/>
  <c r="R115" i="3"/>
  <c r="Q115" i="3"/>
  <c r="P115" i="3" s="1"/>
  <c r="M115" i="3"/>
  <c r="K115" i="3" s="1"/>
  <c r="L115" i="3"/>
  <c r="I115" i="3"/>
  <c r="H115" i="3"/>
  <c r="G115" i="3" s="1"/>
  <c r="E115" i="3"/>
  <c r="D115" i="3"/>
  <c r="D25" i="3" s="1"/>
  <c r="D23" i="3" s="1"/>
  <c r="D11" i="3" s="1"/>
  <c r="C115" i="3"/>
  <c r="P113" i="3"/>
  <c r="O113" i="3"/>
  <c r="K113" i="3"/>
  <c r="G113" i="3"/>
  <c r="J113" i="3" s="1"/>
  <c r="B113" i="3"/>
  <c r="P112" i="3"/>
  <c r="O112" i="3"/>
  <c r="K112" i="3"/>
  <c r="J112" i="3"/>
  <c r="G112" i="3"/>
  <c r="B112" i="3"/>
  <c r="P111" i="3"/>
  <c r="O111" i="3"/>
  <c r="K111" i="3"/>
  <c r="G111" i="3"/>
  <c r="B111" i="3"/>
  <c r="J111" i="3" s="1"/>
  <c r="P110" i="3"/>
  <c r="O110" i="3"/>
  <c r="K110" i="3"/>
  <c r="J110" i="3"/>
  <c r="G110" i="3"/>
  <c r="B110" i="3"/>
  <c r="P109" i="3"/>
  <c r="O109" i="3"/>
  <c r="K109" i="3"/>
  <c r="G109" i="3"/>
  <c r="B109" i="3"/>
  <c r="J109" i="3" s="1"/>
  <c r="P108" i="3"/>
  <c r="O108" i="3"/>
  <c r="K108" i="3"/>
  <c r="J108" i="3"/>
  <c r="G108" i="3"/>
  <c r="B108" i="3"/>
  <c r="P107" i="3"/>
  <c r="O107" i="3"/>
  <c r="K107" i="3"/>
  <c r="G107" i="3"/>
  <c r="B107" i="3"/>
  <c r="J107" i="3" s="1"/>
  <c r="P106" i="3"/>
  <c r="K106" i="3"/>
  <c r="O106" i="3" s="1"/>
  <c r="J106" i="3"/>
  <c r="G106" i="3"/>
  <c r="B106" i="3"/>
  <c r="P105" i="3"/>
  <c r="O105" i="3"/>
  <c r="K105" i="3"/>
  <c r="G105" i="3"/>
  <c r="J105" i="3" s="1"/>
  <c r="B105" i="3"/>
  <c r="P103" i="3"/>
  <c r="G103" i="3"/>
  <c r="B103" i="3"/>
  <c r="P102" i="3"/>
  <c r="K102" i="3"/>
  <c r="O102" i="3" s="1"/>
  <c r="G102" i="3"/>
  <c r="J102" i="3" s="1"/>
  <c r="B102" i="3"/>
  <c r="P101" i="3"/>
  <c r="K101" i="3"/>
  <c r="O101" i="3" s="1"/>
  <c r="G101" i="3"/>
  <c r="J101" i="3" s="1"/>
  <c r="B101" i="3"/>
  <c r="P100" i="3"/>
  <c r="K100" i="3"/>
  <c r="O100" i="3" s="1"/>
  <c r="G100" i="3"/>
  <c r="J100" i="3" s="1"/>
  <c r="B100" i="3"/>
  <c r="P99" i="3"/>
  <c r="K99" i="3"/>
  <c r="O99" i="3" s="1"/>
  <c r="G99" i="3"/>
  <c r="J99" i="3" s="1"/>
  <c r="B99" i="3"/>
  <c r="P98" i="3"/>
  <c r="K98" i="3"/>
  <c r="O98" i="3" s="1"/>
  <c r="G98" i="3"/>
  <c r="J98" i="3" s="1"/>
  <c r="B98" i="3"/>
  <c r="R97" i="3"/>
  <c r="Q97" i="3"/>
  <c r="P97" i="3"/>
  <c r="M97" i="3"/>
  <c r="L97" i="3"/>
  <c r="K97" i="3"/>
  <c r="O97" i="3" s="1"/>
  <c r="I97" i="3"/>
  <c r="H97" i="3"/>
  <c r="G97" i="3"/>
  <c r="J97" i="3" s="1"/>
  <c r="E97" i="3"/>
  <c r="D97" i="3"/>
  <c r="C97" i="3"/>
  <c r="B97" i="3"/>
  <c r="P95" i="3"/>
  <c r="K95" i="3"/>
  <c r="O95" i="3" s="1"/>
  <c r="J95" i="3"/>
  <c r="G95" i="3"/>
  <c r="B95" i="3"/>
  <c r="P94" i="3"/>
  <c r="O94" i="3"/>
  <c r="K94" i="3"/>
  <c r="G94" i="3"/>
  <c r="J94" i="3" s="1"/>
  <c r="B94" i="3"/>
  <c r="P93" i="3"/>
  <c r="K93" i="3"/>
  <c r="O93" i="3" s="1"/>
  <c r="J93" i="3"/>
  <c r="G93" i="3"/>
  <c r="B93" i="3"/>
  <c r="P92" i="3"/>
  <c r="O92" i="3"/>
  <c r="K92" i="3"/>
  <c r="G92" i="3"/>
  <c r="J92" i="3" s="1"/>
  <c r="B92" i="3"/>
  <c r="P91" i="3"/>
  <c r="K91" i="3"/>
  <c r="O91" i="3" s="1"/>
  <c r="J91" i="3"/>
  <c r="G91" i="3"/>
  <c r="B91" i="3"/>
  <c r="P90" i="3"/>
  <c r="O90" i="3"/>
  <c r="K90" i="3"/>
  <c r="G90" i="3"/>
  <c r="J90" i="3" s="1"/>
  <c r="B90" i="3"/>
  <c r="P89" i="3"/>
  <c r="K89" i="3"/>
  <c r="O89" i="3" s="1"/>
  <c r="J89" i="3"/>
  <c r="G89" i="3"/>
  <c r="B89" i="3"/>
  <c r="P88" i="3"/>
  <c r="O88" i="3"/>
  <c r="K88" i="3"/>
  <c r="G88" i="3"/>
  <c r="J88" i="3" s="1"/>
  <c r="B88" i="3"/>
  <c r="P87" i="3"/>
  <c r="K87" i="3"/>
  <c r="O87" i="3" s="1"/>
  <c r="J87" i="3"/>
  <c r="G87" i="3"/>
  <c r="B87" i="3"/>
  <c r="P86" i="3"/>
  <c r="O86" i="3"/>
  <c r="K86" i="3"/>
  <c r="G86" i="3"/>
  <c r="J86" i="3" s="1"/>
  <c r="B86" i="3"/>
  <c r="P85" i="3"/>
  <c r="K85" i="3"/>
  <c r="O85" i="3" s="1"/>
  <c r="J85" i="3"/>
  <c r="G85" i="3"/>
  <c r="B85" i="3"/>
  <c r="P84" i="3"/>
  <c r="O84" i="3"/>
  <c r="K84" i="3"/>
  <c r="G84" i="3"/>
  <c r="J84" i="3" s="1"/>
  <c r="B84" i="3"/>
  <c r="P83" i="3"/>
  <c r="K83" i="3"/>
  <c r="O83" i="3" s="1"/>
  <c r="J83" i="3"/>
  <c r="G83" i="3"/>
  <c r="B83" i="3"/>
  <c r="R82" i="3"/>
  <c r="Q82" i="3"/>
  <c r="P82" i="3" s="1"/>
  <c r="M82" i="3"/>
  <c r="L82" i="3"/>
  <c r="K82" i="3" s="1"/>
  <c r="O82" i="3" s="1"/>
  <c r="I82" i="3"/>
  <c r="H82" i="3"/>
  <c r="G82" i="3" s="1"/>
  <c r="J82" i="3" s="1"/>
  <c r="D82" i="3"/>
  <c r="C82" i="3"/>
  <c r="B82" i="3" s="1"/>
  <c r="P80" i="3"/>
  <c r="K80" i="3"/>
  <c r="O80" i="3" s="1"/>
  <c r="P79" i="3"/>
  <c r="K79" i="3"/>
  <c r="O79" i="3" s="1"/>
  <c r="G79" i="3"/>
  <c r="J79" i="3" s="1"/>
  <c r="B79" i="3"/>
  <c r="P78" i="3"/>
  <c r="K78" i="3"/>
  <c r="O78" i="3" s="1"/>
  <c r="G78" i="3"/>
  <c r="J78" i="3" s="1"/>
  <c r="B78" i="3"/>
  <c r="P77" i="3"/>
  <c r="K77" i="3"/>
  <c r="O77" i="3" s="1"/>
  <c r="G77" i="3"/>
  <c r="J77" i="3" s="1"/>
  <c r="B77" i="3"/>
  <c r="G76" i="3"/>
  <c r="B76" i="3"/>
  <c r="P75" i="3"/>
  <c r="K75" i="3"/>
  <c r="O75" i="3" s="1"/>
  <c r="G75" i="3"/>
  <c r="J75" i="3" s="1"/>
  <c r="B75" i="3"/>
  <c r="P74" i="3"/>
  <c r="O74" i="3"/>
  <c r="K74" i="3"/>
  <c r="G74" i="3"/>
  <c r="J74" i="3" s="1"/>
  <c r="B74" i="3"/>
  <c r="B73" i="3"/>
  <c r="P72" i="3"/>
  <c r="K72" i="3"/>
  <c r="O72" i="3" s="1"/>
  <c r="J72" i="3"/>
  <c r="G72" i="3"/>
  <c r="B72" i="3"/>
  <c r="P71" i="3"/>
  <c r="O71" i="3"/>
  <c r="K71" i="3"/>
  <c r="G71" i="3"/>
  <c r="J71" i="3" s="1"/>
  <c r="B71" i="3"/>
  <c r="P70" i="3"/>
  <c r="K70" i="3"/>
  <c r="O70" i="3" s="1"/>
  <c r="J70" i="3"/>
  <c r="G70" i="3"/>
  <c r="B70" i="3"/>
  <c r="P69" i="3"/>
  <c r="O69" i="3"/>
  <c r="K69" i="3"/>
  <c r="G69" i="3"/>
  <c r="J69" i="3" s="1"/>
  <c r="B69" i="3"/>
  <c r="P68" i="3"/>
  <c r="K68" i="3"/>
  <c r="O68" i="3" s="1"/>
  <c r="J68" i="3"/>
  <c r="G68" i="3"/>
  <c r="B68" i="3"/>
  <c r="P67" i="3"/>
  <c r="O67" i="3"/>
  <c r="K67" i="3"/>
  <c r="G67" i="3"/>
  <c r="J67" i="3" s="1"/>
  <c r="B67" i="3"/>
  <c r="P66" i="3"/>
  <c r="K66" i="3"/>
  <c r="O66" i="3" s="1"/>
  <c r="J66" i="3"/>
  <c r="G66" i="3"/>
  <c r="B66" i="3"/>
  <c r="P65" i="3"/>
  <c r="O65" i="3"/>
  <c r="K65" i="3"/>
  <c r="G65" i="3"/>
  <c r="J65" i="3" s="1"/>
  <c r="B65" i="3"/>
  <c r="R64" i="3"/>
  <c r="Q64" i="3"/>
  <c r="P64" i="3"/>
  <c r="M64" i="3"/>
  <c r="L64" i="3"/>
  <c r="K64" i="3" s="1"/>
  <c r="O64" i="3" s="1"/>
  <c r="I64" i="3"/>
  <c r="H64" i="3"/>
  <c r="G64" i="3"/>
  <c r="E64" i="3"/>
  <c r="D64" i="3"/>
  <c r="C64" i="3"/>
  <c r="B64" i="3" s="1"/>
  <c r="J64" i="3" s="1"/>
  <c r="P62" i="3"/>
  <c r="K62" i="3"/>
  <c r="O62" i="3" s="1"/>
  <c r="J62" i="3"/>
  <c r="G62" i="3"/>
  <c r="B62" i="3"/>
  <c r="P61" i="3"/>
  <c r="G61" i="3"/>
  <c r="J61" i="3" s="1"/>
  <c r="B61" i="3"/>
  <c r="P60" i="3"/>
  <c r="O60" i="3"/>
  <c r="K60" i="3"/>
  <c r="G60" i="3"/>
  <c r="J60" i="3" s="1"/>
  <c r="B60" i="3"/>
  <c r="P59" i="3"/>
  <c r="K59" i="3"/>
  <c r="O59" i="3" s="1"/>
  <c r="J59" i="3"/>
  <c r="G59" i="3"/>
  <c r="B59" i="3"/>
  <c r="P58" i="3"/>
  <c r="K58" i="3"/>
  <c r="O58" i="3" s="1"/>
  <c r="G58" i="3"/>
  <c r="J58" i="3" s="1"/>
  <c r="B58" i="3"/>
  <c r="P57" i="3"/>
  <c r="K57" i="3"/>
  <c r="O57" i="3" s="1"/>
  <c r="G57" i="3"/>
  <c r="J57" i="3" s="1"/>
  <c r="B57" i="3"/>
  <c r="P56" i="3"/>
  <c r="J56" i="3"/>
  <c r="G56" i="3"/>
  <c r="B56" i="3"/>
  <c r="P55" i="3"/>
  <c r="K55" i="3"/>
  <c r="O55" i="3" s="1"/>
  <c r="G55" i="3"/>
  <c r="J55" i="3" s="1"/>
  <c r="B55" i="3"/>
  <c r="P54" i="3"/>
  <c r="K54" i="3"/>
  <c r="O54" i="3" s="1"/>
  <c r="G54" i="3"/>
  <c r="J54" i="3" s="1"/>
  <c r="B54" i="3"/>
  <c r="P53" i="3"/>
  <c r="O53" i="3"/>
  <c r="K53" i="3"/>
  <c r="G53" i="3"/>
  <c r="J53" i="3" s="1"/>
  <c r="B53" i="3"/>
  <c r="P52" i="3"/>
  <c r="K52" i="3"/>
  <c r="O52" i="3" s="1"/>
  <c r="J52" i="3"/>
  <c r="G52" i="3"/>
  <c r="B52" i="3"/>
  <c r="P51" i="3"/>
  <c r="K51" i="3"/>
  <c r="O51" i="3" s="1"/>
  <c r="G51" i="3"/>
  <c r="J51" i="3" s="1"/>
  <c r="B51" i="3"/>
  <c r="P50" i="3"/>
  <c r="K50" i="3"/>
  <c r="O50" i="3" s="1"/>
  <c r="G50" i="3"/>
  <c r="J50" i="3" s="1"/>
  <c r="B50" i="3"/>
  <c r="P49" i="3"/>
  <c r="O49" i="3"/>
  <c r="K49" i="3"/>
  <c r="G49" i="3"/>
  <c r="J49" i="3" s="1"/>
  <c r="B49" i="3"/>
  <c r="P48" i="3"/>
  <c r="K48" i="3"/>
  <c r="O48" i="3" s="1"/>
  <c r="J48" i="3"/>
  <c r="G48" i="3"/>
  <c r="B48" i="3"/>
  <c r="G47" i="3"/>
  <c r="J47" i="3" s="1"/>
  <c r="B47" i="3"/>
  <c r="R46" i="3"/>
  <c r="Q46" i="3"/>
  <c r="P46" i="3"/>
  <c r="M46" i="3"/>
  <c r="L46" i="3"/>
  <c r="K46" i="3" s="1"/>
  <c r="O46" i="3" s="1"/>
  <c r="I46" i="3"/>
  <c r="H46" i="3"/>
  <c r="G46" i="3"/>
  <c r="E46" i="3"/>
  <c r="D46" i="3"/>
  <c r="C46" i="3"/>
  <c r="B46" i="3" s="1"/>
  <c r="J46" i="3" s="1"/>
  <c r="P44" i="3"/>
  <c r="K44" i="3"/>
  <c r="O44" i="3" s="1"/>
  <c r="J44" i="3"/>
  <c r="G44" i="3"/>
  <c r="P43" i="3"/>
  <c r="K43" i="3"/>
  <c r="O43" i="3" s="1"/>
  <c r="J43" i="3"/>
  <c r="G43" i="3"/>
  <c r="P42" i="3"/>
  <c r="O42" i="3"/>
  <c r="K42" i="3"/>
  <c r="J42" i="3"/>
  <c r="G42" i="3"/>
  <c r="P41" i="3"/>
  <c r="O41" i="3"/>
  <c r="K41" i="3"/>
  <c r="G41" i="3"/>
  <c r="J41" i="3" s="1"/>
  <c r="P40" i="3"/>
  <c r="K40" i="3"/>
  <c r="G40" i="3"/>
  <c r="O40" i="3" s="1"/>
  <c r="P39" i="3"/>
  <c r="K39" i="3"/>
  <c r="O39" i="3" s="1"/>
  <c r="G39" i="3"/>
  <c r="J39" i="3" s="1"/>
  <c r="P38" i="3"/>
  <c r="K38" i="3"/>
  <c r="O38" i="3" s="1"/>
  <c r="G38" i="3"/>
  <c r="J38" i="3" s="1"/>
  <c r="P37" i="3"/>
  <c r="K37" i="3"/>
  <c r="O37" i="3" s="1"/>
  <c r="G37" i="3"/>
  <c r="J37" i="3" s="1"/>
  <c r="P36" i="3"/>
  <c r="K36" i="3"/>
  <c r="O36" i="3" s="1"/>
  <c r="J36" i="3"/>
  <c r="G36" i="3"/>
  <c r="P35" i="3"/>
  <c r="K35" i="3"/>
  <c r="O35" i="3" s="1"/>
  <c r="J35" i="3"/>
  <c r="G35" i="3"/>
  <c r="P34" i="3"/>
  <c r="O34" i="3"/>
  <c r="K34" i="3"/>
  <c r="J34" i="3"/>
  <c r="G34" i="3"/>
  <c r="P33" i="3"/>
  <c r="O33" i="3"/>
  <c r="K33" i="3"/>
  <c r="G33" i="3"/>
  <c r="J33" i="3" s="1"/>
  <c r="G32" i="3"/>
  <c r="J32" i="3" s="1"/>
  <c r="G31" i="3"/>
  <c r="P30" i="3"/>
  <c r="O30" i="3"/>
  <c r="K30" i="3"/>
  <c r="G30" i="3"/>
  <c r="J30" i="3" s="1"/>
  <c r="P29" i="3"/>
  <c r="K29" i="3"/>
  <c r="G29" i="3"/>
  <c r="G28" i="3" s="1"/>
  <c r="J28" i="3" s="1"/>
  <c r="R28" i="3"/>
  <c r="Q28" i="3"/>
  <c r="P28" i="3"/>
  <c r="M28" i="3"/>
  <c r="L28" i="3"/>
  <c r="K28" i="3" s="1"/>
  <c r="O28" i="3" s="1"/>
  <c r="I28" i="3"/>
  <c r="H28" i="3"/>
  <c r="E28" i="3"/>
  <c r="D28" i="3"/>
  <c r="C28" i="3"/>
  <c r="B28" i="3" s="1"/>
  <c r="O26" i="3"/>
  <c r="E23" i="3"/>
  <c r="O21" i="3"/>
  <c r="G21" i="3"/>
  <c r="P19" i="3"/>
  <c r="G19" i="3"/>
  <c r="O19" i="3" s="1"/>
  <c r="P18" i="3"/>
  <c r="G18" i="3"/>
  <c r="O18" i="3" s="1"/>
  <c r="P17" i="3"/>
  <c r="G17" i="3"/>
  <c r="O17" i="3" s="1"/>
  <c r="P16" i="3"/>
  <c r="G16" i="3"/>
  <c r="O16" i="3" s="1"/>
  <c r="P15" i="3"/>
  <c r="G15" i="3"/>
  <c r="O15" i="3" s="1"/>
  <c r="P14" i="3"/>
  <c r="G14" i="3"/>
  <c r="O14" i="3" s="1"/>
  <c r="R13" i="3"/>
  <c r="Q13" i="3"/>
  <c r="P13" i="3" s="1"/>
  <c r="I13" i="3"/>
  <c r="H13" i="3"/>
  <c r="G13" i="3" s="1"/>
  <c r="E11" i="3"/>
  <c r="O13" i="3" l="1"/>
  <c r="J13" i="3"/>
  <c r="O130" i="3"/>
  <c r="O148" i="3"/>
  <c r="J158" i="3"/>
  <c r="O205" i="3"/>
  <c r="J247" i="3"/>
  <c r="O137" i="3"/>
  <c r="J170" i="3"/>
  <c r="O115" i="3"/>
  <c r="O220" i="3"/>
  <c r="J130" i="3"/>
  <c r="J148" i="3"/>
  <c r="J205" i="3"/>
  <c r="H25" i="3"/>
  <c r="J29" i="3"/>
  <c r="J40" i="3"/>
  <c r="I25" i="3"/>
  <c r="I23" i="3" s="1"/>
  <c r="I11" i="3" s="1"/>
  <c r="Q23" i="3"/>
  <c r="O29" i="3"/>
  <c r="R23" i="3"/>
  <c r="R11" i="3" s="1"/>
  <c r="L25" i="3"/>
  <c r="C25" i="3"/>
  <c r="M25" i="3"/>
  <c r="M23" i="3" s="1"/>
  <c r="M11" i="3" s="1"/>
  <c r="B115" i="3"/>
  <c r="J115" i="3" s="1"/>
  <c r="C23" i="3" l="1"/>
  <c r="B25" i="3"/>
  <c r="L23" i="3"/>
  <c r="L11" i="3" s="1"/>
  <c r="K11" i="3" s="1"/>
  <c r="K25" i="3"/>
  <c r="H23" i="3"/>
  <c r="H11" i="3" s="1"/>
  <c r="G11" i="3" s="1"/>
  <c r="G25" i="3"/>
  <c r="P23" i="3"/>
  <c r="Q11" i="3"/>
  <c r="P11" i="3" s="1"/>
  <c r="J25" i="3" l="1"/>
  <c r="G23" i="3"/>
  <c r="O11" i="3"/>
  <c r="O25" i="3"/>
  <c r="K23" i="3"/>
  <c r="O23" i="3" s="1"/>
  <c r="B23" i="3"/>
  <c r="C11" i="3"/>
  <c r="B11" i="3" s="1"/>
  <c r="J11" i="3" s="1"/>
  <c r="J23" i="3" l="1"/>
</calcChain>
</file>

<file path=xl/sharedStrings.xml><?xml version="1.0" encoding="utf-8"?>
<sst xmlns="http://schemas.openxmlformats.org/spreadsheetml/2006/main" count="715" uniqueCount="497">
  <si>
    <t>cscnijed</t>
  </si>
  <si>
    <t>cnehirif</t>
  </si>
  <si>
    <t>cnehcnwa</t>
  </si>
  <si>
    <t>Both Sexes</t>
  </si>
  <si>
    <t>Male</t>
  </si>
  <si>
    <t>Female</t>
  </si>
  <si>
    <t xml:space="preserve">ތާވަލް 3.3: ރަށްރަށުގެ އާބާދީ ބޯހިމެނުން 2014 އަދި ރަޖިސްޓްރީކުރެވިފައިވާ އާބާދީ 2018 </t>
  </si>
  <si>
    <t>Table 3.3 :  TOTAL MALDIVIAN POPULATION BY ISLANDS, CENSUS 2014AND REGISTERED POPULATION  2018</t>
  </si>
  <si>
    <t xml:space="preserve"> Census 2000  </t>
  </si>
  <si>
    <t>udwdwA egIsibEg</t>
  </si>
  <si>
    <t>އެވްރެޖްކޮށް ގޭބިސީއެއްގައި އުޅޭ މީހުންގެ އަދަދު</t>
  </si>
  <si>
    <t xml:space="preserve"> Census  2006</t>
  </si>
  <si>
    <t>އަހަރަކަށް އާބާދީ އިތުރުވާ މިންވަރު</t>
  </si>
  <si>
    <t xml:space="preserve"> Census  2014</t>
  </si>
  <si>
    <t xml:space="preserve">   31-12-2018</t>
  </si>
  <si>
    <t>cnwt</t>
  </si>
  <si>
    <r>
      <rPr>
        <b/>
        <sz val="10"/>
        <color indexed="8"/>
        <rFont val="Faruma"/>
      </rPr>
      <t>ބޯހިމެނުން</t>
    </r>
    <r>
      <rPr>
        <b/>
        <sz val="10"/>
        <color indexed="8"/>
        <rFont val="Calibri"/>
        <family val="2"/>
      </rPr>
      <t xml:space="preserve"> 2014</t>
    </r>
  </si>
  <si>
    <t xml:space="preserve">   ގެ ނިޔަލަށް ރަޖިސްޓްރީކުރެވިފައިވާ އާބާދީ </t>
  </si>
  <si>
    <t>Locality</t>
  </si>
  <si>
    <r>
      <t>(Enumerated) (</t>
    </r>
    <r>
      <rPr>
        <b/>
        <sz val="9"/>
        <color indexed="8"/>
        <rFont val="Calibri"/>
        <family val="2"/>
      </rPr>
      <t xml:space="preserve"> March</t>
    </r>
    <r>
      <rPr>
        <b/>
        <sz val="9"/>
        <color indexed="8"/>
        <rFont val="Arial"/>
        <family val="2"/>
      </rPr>
      <t xml:space="preserve"> 31</t>
    </r>
    <r>
      <rPr>
        <b/>
        <sz val="9"/>
        <color indexed="8"/>
        <rFont val="Win Ahamedey PRB"/>
        <family val="2"/>
      </rPr>
      <t xml:space="preserve"> </t>
    </r>
    <r>
      <rPr>
        <b/>
        <sz val="9"/>
        <color indexed="8"/>
        <rFont val="A_Randhoo"/>
      </rPr>
      <t xml:space="preserve">cCWm </t>
    </r>
    <r>
      <rPr>
        <b/>
        <sz val="9"/>
        <color indexed="8"/>
        <rFont val="Calibri"/>
        <family val="2"/>
      </rPr>
      <t>)</t>
    </r>
  </si>
  <si>
    <r>
      <t xml:space="preserve">(Enumerated) ( </t>
    </r>
    <r>
      <rPr>
        <b/>
        <sz val="9"/>
        <color indexed="8"/>
        <rFont val="Calibri"/>
        <family val="2"/>
      </rPr>
      <t xml:space="preserve">March </t>
    </r>
    <r>
      <rPr>
        <b/>
        <sz val="9"/>
        <color indexed="8"/>
        <rFont val="Arial"/>
        <family val="2"/>
      </rPr>
      <t xml:space="preserve">28 </t>
    </r>
    <r>
      <rPr>
        <b/>
        <sz val="9"/>
        <color indexed="8"/>
        <rFont val="A_Randhoo"/>
      </rPr>
      <t xml:space="preserve">cCWm </t>
    </r>
    <r>
      <rPr>
        <b/>
        <sz val="9"/>
        <color indexed="8"/>
        <rFont val="Arial"/>
        <family val="2"/>
      </rPr>
      <t>)</t>
    </r>
  </si>
  <si>
    <r>
      <t xml:space="preserve">(Enumerated) ( </t>
    </r>
    <r>
      <rPr>
        <b/>
        <sz val="9"/>
        <color indexed="8"/>
        <rFont val="Calibri"/>
        <family val="2"/>
      </rPr>
      <t xml:space="preserve">Sept </t>
    </r>
    <r>
      <rPr>
        <b/>
        <sz val="9"/>
        <color indexed="8"/>
        <rFont val="Arial"/>
        <family val="2"/>
      </rPr>
      <t xml:space="preserve">30 </t>
    </r>
    <r>
      <rPr>
        <b/>
        <sz val="9"/>
        <color indexed="8"/>
        <rFont val="Faruma"/>
      </rPr>
      <t>ސެޕްޓް</t>
    </r>
    <r>
      <rPr>
        <b/>
        <sz val="9"/>
        <color indexed="8"/>
        <rFont val="Arial"/>
        <family val="2"/>
      </rPr>
      <t>)</t>
    </r>
  </si>
  <si>
    <t>Registered Population as of  31st Dec 2018</t>
  </si>
  <si>
    <t xml:space="preserve"> Number of Households </t>
  </si>
  <si>
    <t xml:space="preserve">          Average           Household size</t>
  </si>
  <si>
    <r>
      <t xml:space="preserve">Annual population growth rate </t>
    </r>
    <r>
      <rPr>
        <b/>
        <sz val="8"/>
        <color indexed="8"/>
        <rFont val="Calibri"/>
        <family val="2"/>
      </rPr>
      <t>(expn)</t>
    </r>
  </si>
  <si>
    <t>Republic</t>
  </si>
  <si>
    <t>ejcaWriLum</t>
  </si>
  <si>
    <t>Male' Total</t>
  </si>
  <si>
    <t>wlcmuj elWm</t>
  </si>
  <si>
    <t>Henveyru</t>
  </si>
  <si>
    <t>urEvcneh</t>
  </si>
  <si>
    <t>Galolhu</t>
  </si>
  <si>
    <t>uLolwg</t>
  </si>
  <si>
    <t>Machchangolhi</t>
  </si>
  <si>
    <t>iLOgcnwCcawm</t>
  </si>
  <si>
    <t>Maafannu</t>
  </si>
  <si>
    <t>uncnwfWm</t>
  </si>
  <si>
    <t>Villingili</t>
  </si>
  <si>
    <t>iligiliv</t>
  </si>
  <si>
    <t>Hulhumale'</t>
  </si>
  <si>
    <t>NA</t>
  </si>
  <si>
    <t>elWmuLuh</t>
  </si>
  <si>
    <t>Dhafthar</t>
  </si>
  <si>
    <t>-</t>
  </si>
  <si>
    <t>urwtcfwd</t>
  </si>
  <si>
    <t>Other Areas</t>
  </si>
  <si>
    <t xml:space="preserve">އެހެނިހެން ސަރަހައްދުތައް  </t>
  </si>
  <si>
    <t>All Atolls (Includes Administrative and Non- Administrative Islands)</t>
  </si>
  <si>
    <t xml:space="preserve">ހުރިހާ އަތޮޅުތައް (މީހުން ދިރިއުޅޭ ރަށްތަކާއި ރިސޯޓްތަކާއި ސިނާއީ ރަށްތައް) </t>
  </si>
  <si>
    <t>Administrative  Islands  in Atolls</t>
  </si>
  <si>
    <t>އަތޮޅުތައް (ހަމައެކަނި މީހުން ދިރިއުޅޭ ރަށްތައް)</t>
  </si>
  <si>
    <t>Non Administrative Islands  in Atolls</t>
  </si>
  <si>
    <t>އަތޮޅުތައް (ރިސޯޓުތަކާއި ސިނާއީ ރަށްތައް)</t>
  </si>
  <si>
    <t>North Thiladhunmathi (HA)</t>
  </si>
  <si>
    <t xml:space="preserve">       (ah)  iruburutua Itwmcnudwlit</t>
  </si>
  <si>
    <t>Thuraakunu</t>
  </si>
  <si>
    <t>unukWrut</t>
  </si>
  <si>
    <t>Uligamu</t>
  </si>
  <si>
    <t xml:space="preserve"> </t>
  </si>
  <si>
    <t>umwgilua</t>
  </si>
  <si>
    <r>
      <t xml:space="preserve">Berinmadhoo </t>
    </r>
    <r>
      <rPr>
        <vertAlign val="superscript"/>
        <sz val="9"/>
        <color indexed="8"/>
        <rFont val="Calibri"/>
        <family val="2"/>
      </rPr>
      <t>1_/</t>
    </r>
  </si>
  <si>
    <r>
      <rPr>
        <vertAlign val="superscript"/>
        <sz val="9"/>
        <color indexed="8"/>
        <rFont val="Calibri"/>
        <family val="2"/>
      </rPr>
      <t>1_/</t>
    </r>
    <r>
      <rPr>
        <sz val="9"/>
        <color indexed="8"/>
        <rFont val="A_Randhoo"/>
      </rPr>
      <t xml:space="preserve"> Udwmcnireb</t>
    </r>
  </si>
  <si>
    <r>
      <t xml:space="preserve">Hathifushi </t>
    </r>
    <r>
      <rPr>
        <vertAlign val="superscript"/>
        <sz val="9"/>
        <color indexed="8"/>
        <rFont val="Calibri"/>
        <family val="2"/>
      </rPr>
      <t>1_/</t>
    </r>
  </si>
  <si>
    <t>iSufitwh</t>
  </si>
  <si>
    <t>Mulhadhoo</t>
  </si>
  <si>
    <t>UdwLum</t>
  </si>
  <si>
    <t>Hoarafushi</t>
  </si>
  <si>
    <t>iSufwrOh</t>
  </si>
  <si>
    <t>Ihavandhoo</t>
  </si>
  <si>
    <t>eUdcnwvwhia</t>
  </si>
  <si>
    <t>Kelaa</t>
  </si>
  <si>
    <t>Wlek</t>
  </si>
  <si>
    <t>Vashafaru</t>
  </si>
  <si>
    <t>urwfwSwv</t>
  </si>
  <si>
    <t>Dhidhdhoo</t>
  </si>
  <si>
    <t>Udcaid</t>
  </si>
  <si>
    <t>Filladhoo</t>
  </si>
  <si>
    <t>Udwlcaif</t>
  </si>
  <si>
    <t>Maarandhoo</t>
  </si>
  <si>
    <t>UdcnwrWm</t>
  </si>
  <si>
    <t>Thakandhoo</t>
  </si>
  <si>
    <t>Udcnwkwt</t>
  </si>
  <si>
    <t>Utheemu</t>
  </si>
  <si>
    <t>umItua</t>
  </si>
  <si>
    <t>Muraidhoo</t>
  </si>
  <si>
    <t>Udiawrum</t>
  </si>
  <si>
    <t>Baarah</t>
  </si>
  <si>
    <t>cSwrWb</t>
  </si>
  <si>
    <t>South Thiladhunmathi (HDh)</t>
  </si>
  <si>
    <t>(dh) irubunuked Itwmcnudwlit</t>
  </si>
  <si>
    <t>Faridhoo</t>
  </si>
  <si>
    <t>Udirwf</t>
  </si>
  <si>
    <t>Hanimaadhoo</t>
  </si>
  <si>
    <t>UdWminwh</t>
  </si>
  <si>
    <t>Finey</t>
  </si>
  <si>
    <t>Enif</t>
  </si>
  <si>
    <t>Naivaadhoo</t>
  </si>
  <si>
    <t>UdiawvWn</t>
  </si>
  <si>
    <t>Hirimaradhoo</t>
  </si>
  <si>
    <t>Udwrwmirih</t>
  </si>
  <si>
    <t>Nolhivaranfaru</t>
  </si>
  <si>
    <t>urwfcnwrwviLon</t>
  </si>
  <si>
    <t>Nellaidhoo</t>
  </si>
  <si>
    <t>Udiawlcaen</t>
  </si>
  <si>
    <t>Nolhivaramu</t>
  </si>
  <si>
    <t>umwrwviLon</t>
  </si>
  <si>
    <t>Kurnibi</t>
  </si>
  <si>
    <t>ibniruk</t>
  </si>
  <si>
    <t>Kunburudhoo</t>
  </si>
  <si>
    <t>Udurubnuk</t>
  </si>
  <si>
    <t>Kulhudhuffushi</t>
  </si>
  <si>
    <t>iSufcauduLuk</t>
  </si>
  <si>
    <t>Kumundhoo</t>
  </si>
  <si>
    <t>Udcnumuk</t>
  </si>
  <si>
    <t>Neykurendhoo</t>
  </si>
  <si>
    <t>UdcnerukEn</t>
  </si>
  <si>
    <t>Vaikaradhoo</t>
  </si>
  <si>
    <t>Udwrwkiiawv</t>
  </si>
  <si>
    <t>Maavaidhoo</t>
  </si>
  <si>
    <t>UdiawvWm</t>
  </si>
  <si>
    <t>Makunudhoo</t>
  </si>
  <si>
    <t>Udunukwm</t>
  </si>
  <si>
    <t>North Miladhunmadulu (Sh)</t>
  </si>
  <si>
    <t>(S) iruburutua uluDwmcnudwlim</t>
  </si>
  <si>
    <t>Kanditheemu</t>
  </si>
  <si>
    <t>umItiDnwk</t>
  </si>
  <si>
    <t>Noomaraa</t>
  </si>
  <si>
    <t>WrwmUn</t>
  </si>
  <si>
    <t>Goidhoo</t>
  </si>
  <si>
    <t>Udiaog</t>
  </si>
  <si>
    <t>Feydhoo</t>
  </si>
  <si>
    <t>UdEf</t>
  </si>
  <si>
    <t>Feevah</t>
  </si>
  <si>
    <t>cawvIf</t>
  </si>
  <si>
    <t>Billeffahi</t>
  </si>
  <si>
    <t>ihwfcaelib</t>
  </si>
  <si>
    <t>Foakaidhoo</t>
  </si>
  <si>
    <t>UdiawkOf</t>
  </si>
  <si>
    <t>Narudhoo</t>
  </si>
  <si>
    <t>Udurwn</t>
  </si>
  <si>
    <r>
      <t xml:space="preserve">Maakan'doodhoo </t>
    </r>
    <r>
      <rPr>
        <vertAlign val="superscript"/>
        <sz val="9"/>
        <color indexed="8"/>
        <rFont val="Calibri"/>
        <family val="2"/>
      </rPr>
      <t>1_/</t>
    </r>
  </si>
  <si>
    <r>
      <rPr>
        <vertAlign val="superscript"/>
        <sz val="9"/>
        <color indexed="8"/>
        <rFont val="Calibri"/>
        <family val="2"/>
      </rPr>
      <t>1_/</t>
    </r>
    <r>
      <rPr>
        <sz val="9"/>
        <color indexed="8"/>
        <rFont val="A_Randhoo"/>
      </rPr>
      <t xml:space="preserve"> UdUDnwkWm</t>
    </r>
  </si>
  <si>
    <t>Maroshi</t>
  </si>
  <si>
    <t>iSorwm</t>
  </si>
  <si>
    <t>Lhaimagu</t>
  </si>
  <si>
    <t>ugwmiawL</t>
  </si>
  <si>
    <r>
      <t xml:space="preserve">Firun'baidhoo </t>
    </r>
    <r>
      <rPr>
        <vertAlign val="superscript"/>
        <sz val="9"/>
        <color indexed="8"/>
        <rFont val="Calibri"/>
        <family val="2"/>
      </rPr>
      <t>1_/</t>
    </r>
  </si>
  <si>
    <r>
      <rPr>
        <vertAlign val="superscript"/>
        <sz val="9"/>
        <color indexed="8"/>
        <rFont val="Calibri"/>
        <family val="2"/>
      </rPr>
      <t>1_/</t>
    </r>
    <r>
      <rPr>
        <sz val="9"/>
        <color indexed="8"/>
        <rFont val="A_Randhoo"/>
      </rPr>
      <t xml:space="preserve">  Udiawburif</t>
    </r>
  </si>
  <si>
    <t>Komandhoo</t>
  </si>
  <si>
    <t>UDcnwmok</t>
  </si>
  <si>
    <t>Maaun'goodhoo</t>
  </si>
  <si>
    <t>UdUgnuaWm</t>
  </si>
  <si>
    <t>Funadhoo</t>
  </si>
  <si>
    <t>Udwnuf</t>
  </si>
  <si>
    <r>
      <t>Milandhoo</t>
    </r>
    <r>
      <rPr>
        <vertAlign val="superscript"/>
        <sz val="10"/>
        <color indexed="8"/>
        <rFont val="Calibri"/>
        <family val="2"/>
      </rPr>
      <t>1</t>
    </r>
    <r>
      <rPr>
        <vertAlign val="superscript"/>
        <sz val="9"/>
        <color indexed="8"/>
        <rFont val="Calibri"/>
        <family val="2"/>
      </rPr>
      <t>_/</t>
    </r>
  </si>
  <si>
    <r>
      <rPr>
        <vertAlign val="superscript"/>
        <sz val="9"/>
        <color indexed="8"/>
        <rFont val="Calibri"/>
        <family val="2"/>
      </rPr>
      <t>3_/</t>
    </r>
    <r>
      <rPr>
        <sz val="9"/>
        <color indexed="8"/>
        <rFont val="A_Randhoo"/>
      </rPr>
      <t xml:space="preserve"> Udcnwlim</t>
    </r>
  </si>
  <si>
    <t>South Miladhunmadulu (N)</t>
  </si>
  <si>
    <t>(n) irubunuked uluDwmcnudwlim</t>
  </si>
  <si>
    <t>Hen'badhoo</t>
  </si>
  <si>
    <t>Udwbneh</t>
  </si>
  <si>
    <t>Ken'dhikulhudhoo</t>
  </si>
  <si>
    <t>UduLukidnek</t>
  </si>
  <si>
    <t>Maalhendhoo</t>
  </si>
  <si>
    <t>UdcneLWm</t>
  </si>
  <si>
    <t>Kudafari</t>
  </si>
  <si>
    <t>irwfwDuk</t>
  </si>
  <si>
    <t>Landhoo</t>
  </si>
  <si>
    <t>Udcnwl</t>
  </si>
  <si>
    <t>Maafaru</t>
  </si>
  <si>
    <t>urwfWm</t>
  </si>
  <si>
    <t>Lhohi</t>
  </si>
  <si>
    <t>ihoL</t>
  </si>
  <si>
    <t>Miladhoo</t>
  </si>
  <si>
    <t>Udwlim</t>
  </si>
  <si>
    <t>Magoodhoo</t>
  </si>
  <si>
    <t>UdUgwm</t>
  </si>
  <si>
    <t>Manadhoo</t>
  </si>
  <si>
    <t>Udwnwm</t>
  </si>
  <si>
    <t>Holhudhoo</t>
  </si>
  <si>
    <t>UduLoh</t>
  </si>
  <si>
    <t>Fodhdhoo</t>
  </si>
  <si>
    <t>Udcaof</t>
  </si>
  <si>
    <t>Velidhoo</t>
  </si>
  <si>
    <t>Udilev</t>
  </si>
  <si>
    <t>North Maalhosmadulu (R)</t>
  </si>
  <si>
    <t>(r) iruburutuauluDwmcsoLWm</t>
  </si>
  <si>
    <t>Alifushi</t>
  </si>
  <si>
    <t>iSufilwa</t>
  </si>
  <si>
    <t>Vaadhoo</t>
  </si>
  <si>
    <t>UdWv</t>
  </si>
  <si>
    <t>Rasgetheemu</t>
  </si>
  <si>
    <t>umItegcswr</t>
  </si>
  <si>
    <t>An'golhitheemu</t>
  </si>
  <si>
    <t>umItiLognwa</t>
  </si>
  <si>
    <t>Un'goofaaru</t>
  </si>
  <si>
    <t>urWfUgnua</t>
  </si>
  <si>
    <r>
      <t xml:space="preserve">Kandolhudhoo </t>
    </r>
    <r>
      <rPr>
        <vertAlign val="superscript"/>
        <sz val="9"/>
        <color indexed="8"/>
        <rFont val="Calibri"/>
        <family val="2"/>
      </rPr>
      <t xml:space="preserve"> 2_/</t>
    </r>
  </si>
  <si>
    <r>
      <rPr>
        <vertAlign val="superscript"/>
        <sz val="9"/>
        <color indexed="8"/>
        <rFont val="Calibri"/>
        <family val="2"/>
      </rPr>
      <t>2_/</t>
    </r>
    <r>
      <rPr>
        <sz val="9"/>
        <color indexed="8"/>
        <rFont val="A_Randhoo"/>
      </rPr>
      <t xml:space="preserve"> UduLodnwk</t>
    </r>
  </si>
  <si>
    <r>
      <t xml:space="preserve">* Dhuvaafaru   </t>
    </r>
    <r>
      <rPr>
        <vertAlign val="superscript"/>
        <sz val="9"/>
        <color indexed="8"/>
        <rFont val="Calibri"/>
        <family val="2"/>
      </rPr>
      <t>3_/</t>
    </r>
  </si>
  <si>
    <r>
      <rPr>
        <vertAlign val="superscript"/>
        <sz val="9"/>
        <color indexed="8"/>
        <rFont val="Calibri"/>
        <family val="2"/>
      </rPr>
      <t xml:space="preserve"> 3_/</t>
    </r>
    <r>
      <rPr>
        <sz val="9"/>
        <color indexed="8"/>
        <rFont val="A_Randhoo"/>
      </rPr>
      <t xml:space="preserve"> urwfWvud *</t>
    </r>
  </si>
  <si>
    <t>Maakurathu</t>
  </si>
  <si>
    <t>utwrukWm</t>
  </si>
  <si>
    <t>Rasmaadhoo</t>
  </si>
  <si>
    <t>UdWmcswr</t>
  </si>
  <si>
    <t>Innamaadhoo</t>
  </si>
  <si>
    <t>UdWmwncnia</t>
  </si>
  <si>
    <t>Maduvvari</t>
  </si>
  <si>
    <t>irwvcauDwm</t>
  </si>
  <si>
    <t>In'guraidhoo</t>
  </si>
  <si>
    <t>Udiawrugnia</t>
  </si>
  <si>
    <t>Fainu</t>
  </si>
  <si>
    <t>uniawf</t>
  </si>
  <si>
    <t>Meedhoo</t>
  </si>
  <si>
    <t>UdIm</t>
  </si>
  <si>
    <t>Kinolhas</t>
  </si>
  <si>
    <t>cswLonik</t>
  </si>
  <si>
    <t>Hulhudhuffaaru</t>
  </si>
  <si>
    <t>urWfcauduLuh</t>
  </si>
  <si>
    <t>South Maalhosmadulu (B)</t>
  </si>
  <si>
    <t>(b) irubunukeduluDwcsoLWm</t>
  </si>
  <si>
    <t>Kudarikilu</t>
  </si>
  <si>
    <t>ulikirwDuk</t>
  </si>
  <si>
    <t>Kamadhoo</t>
  </si>
  <si>
    <t>Udwmwk</t>
  </si>
  <si>
    <t>Kendhoo</t>
  </si>
  <si>
    <t>Udcnek</t>
  </si>
  <si>
    <t>Kihaadhoo</t>
  </si>
  <si>
    <t>UdWhik</t>
  </si>
  <si>
    <t>Dhonfanu</t>
  </si>
  <si>
    <t>unwfcnod</t>
  </si>
  <si>
    <t>Daravandhoo</t>
  </si>
  <si>
    <t>Udcnwvwrwd</t>
  </si>
  <si>
    <t>Maalhos</t>
  </si>
  <si>
    <t>csoLWm</t>
  </si>
  <si>
    <t>Eydhafushi</t>
  </si>
  <si>
    <t>iSufwdEa</t>
  </si>
  <si>
    <t>Thulhaadhoo</t>
  </si>
  <si>
    <t>UdWLut</t>
  </si>
  <si>
    <t>Hithaadhoo</t>
  </si>
  <si>
    <t>UdWtih</t>
  </si>
  <si>
    <t>Fulhadhoo</t>
  </si>
  <si>
    <t>UdwLuf</t>
  </si>
  <si>
    <t>Fehendhoo</t>
  </si>
  <si>
    <t>Udcnehef</t>
  </si>
  <si>
    <t>Faadhippolhu (Lh)</t>
  </si>
  <si>
    <t>(L) uLopcaidWf</t>
  </si>
  <si>
    <t>Hinnavaru</t>
  </si>
  <si>
    <t>urwvwncnih</t>
  </si>
  <si>
    <t>Naifaru</t>
  </si>
  <si>
    <t>urwfiawn</t>
  </si>
  <si>
    <t>Kurendhoo</t>
  </si>
  <si>
    <t>Udcneruk</t>
  </si>
  <si>
    <t>Olhuvelifushi</t>
  </si>
  <si>
    <t>iSufilevuLoa</t>
  </si>
  <si>
    <t>Maafilaafushi</t>
  </si>
  <si>
    <t>iSufWlifWm</t>
  </si>
  <si>
    <t>Male' Atoll (K)</t>
  </si>
  <si>
    <t>(k) uLotwa elWm</t>
  </si>
  <si>
    <t>Kaashidhoo</t>
  </si>
  <si>
    <t>UdiSWk</t>
  </si>
  <si>
    <t>Gaafaru</t>
  </si>
  <si>
    <t>urwfWg</t>
  </si>
  <si>
    <t>Dhiffushi</t>
  </si>
  <si>
    <t>iSufcaid</t>
  </si>
  <si>
    <t>Thulusdhoo</t>
  </si>
  <si>
    <t>Udcsulut</t>
  </si>
  <si>
    <t>Huraa</t>
  </si>
  <si>
    <t>Wruh</t>
  </si>
  <si>
    <t>Himmafushi</t>
  </si>
  <si>
    <t>iSufwmcnih</t>
  </si>
  <si>
    <t>Gulhi</t>
  </si>
  <si>
    <t>iLug</t>
  </si>
  <si>
    <t>Maafushi</t>
  </si>
  <si>
    <t>iSufWm</t>
  </si>
  <si>
    <t>Guraidhoo</t>
  </si>
  <si>
    <t>Udiawrug</t>
  </si>
  <si>
    <t>North Ari Atoll (AA)</t>
  </si>
  <si>
    <t>(aa) iruburutuauLotwairwa</t>
  </si>
  <si>
    <t>Thoddoo</t>
  </si>
  <si>
    <t>UDcaot</t>
  </si>
  <si>
    <t>Rasdhoo</t>
  </si>
  <si>
    <t>Udcswr</t>
  </si>
  <si>
    <t>Ukulhas</t>
  </si>
  <si>
    <t>cswLukua</t>
  </si>
  <si>
    <t>Mathiveri</t>
  </si>
  <si>
    <t>irevitwm</t>
  </si>
  <si>
    <t>Bodufolhudhoo</t>
  </si>
  <si>
    <t>UduLofuDob</t>
  </si>
  <si>
    <t>Feridhoo</t>
  </si>
  <si>
    <t>Udiref</t>
  </si>
  <si>
    <t>Himandhoo</t>
  </si>
  <si>
    <t xml:space="preserve"> Udcnwmih</t>
  </si>
  <si>
    <t>South Ari Atoll (ADh)</t>
  </si>
  <si>
    <t>(da) iruburutuauLotwairwa</t>
  </si>
  <si>
    <t>Hangn'aameedhoo</t>
  </si>
  <si>
    <t>UdImWNcnwh</t>
  </si>
  <si>
    <t>Omadhoo</t>
  </si>
  <si>
    <t>Udwmoa</t>
  </si>
  <si>
    <t>Kun'burudhoo</t>
  </si>
  <si>
    <t>Mahibadhoo</t>
  </si>
  <si>
    <t>Udwbihwm</t>
  </si>
  <si>
    <t>Mandhoo</t>
  </si>
  <si>
    <t>Udcnwm</t>
  </si>
  <si>
    <t>Dhn'agethi</t>
  </si>
  <si>
    <t>itegnwd</t>
  </si>
  <si>
    <t>Dhigurah</t>
  </si>
  <si>
    <t>cSwrugid</t>
  </si>
  <si>
    <t>Fenfushi</t>
  </si>
  <si>
    <t>iSufcnef</t>
  </si>
  <si>
    <t>Maamigili</t>
  </si>
  <si>
    <t>iligimWm</t>
  </si>
  <si>
    <t>Felidhu Atoll (V)</t>
  </si>
  <si>
    <t>(v) uLotwa udilef</t>
  </si>
  <si>
    <t>Fulidhoo</t>
  </si>
  <si>
    <t>Udiluf</t>
  </si>
  <si>
    <t>Thinadhoo</t>
  </si>
  <si>
    <t>Udwnit</t>
  </si>
  <si>
    <t>Felidhoo</t>
  </si>
  <si>
    <t>Udilef</t>
  </si>
  <si>
    <t>Keyodhoo</t>
  </si>
  <si>
    <t>Udoyek</t>
  </si>
  <si>
    <t>Rakeedhoo</t>
  </si>
  <si>
    <t>UdIkwr</t>
  </si>
  <si>
    <t>Mulakatholhu (M)</t>
  </si>
  <si>
    <t>(m) uLotwkwlum</t>
  </si>
  <si>
    <t>Raiymandhoo</t>
  </si>
  <si>
    <t>Udcnwmctwr</t>
  </si>
  <si>
    <r>
      <t xml:space="preserve">Madifushi </t>
    </r>
    <r>
      <rPr>
        <vertAlign val="superscript"/>
        <sz val="9"/>
        <color indexed="8"/>
        <rFont val="Calibri"/>
        <family val="2"/>
      </rPr>
      <t>2_/</t>
    </r>
  </si>
  <si>
    <t xml:space="preserve"> 2_/ iSufiDwm</t>
  </si>
  <si>
    <t>Veyvah</t>
  </si>
  <si>
    <t>cawvEv</t>
  </si>
  <si>
    <t>Mulah</t>
  </si>
  <si>
    <t>cawlum</t>
  </si>
  <si>
    <t>Muli</t>
  </si>
  <si>
    <t>ilum</t>
  </si>
  <si>
    <t>Naalaafushi</t>
  </si>
  <si>
    <t>iSufWlWn</t>
  </si>
  <si>
    <t>Kolhufushi</t>
  </si>
  <si>
    <t>iSufuLok</t>
  </si>
  <si>
    <t>Dhiggaru</t>
  </si>
  <si>
    <t>urwgcaid</t>
  </si>
  <si>
    <t>North Nilandhe Atoll (F)</t>
  </si>
  <si>
    <t>(f) iruburutua uLotwaedcnwlin</t>
  </si>
  <si>
    <t>Feeali</t>
  </si>
  <si>
    <t>ilwaIf</t>
  </si>
  <si>
    <t>Biledhhdhoo</t>
  </si>
  <si>
    <t>Udcaelib</t>
  </si>
  <si>
    <t>Dharan'boodhoo</t>
  </si>
  <si>
    <t>UdUbwrwd</t>
  </si>
  <si>
    <t>Nilandhoo</t>
  </si>
  <si>
    <t>Udcnwlin</t>
  </si>
  <si>
    <t>South Nilandhe Atoll (Dh)</t>
  </si>
  <si>
    <t>(d) irubunuked uLotwaedcnwlin</t>
  </si>
  <si>
    <t>Ban'didhoo</t>
  </si>
  <si>
    <t>UdiDnwb</t>
  </si>
  <si>
    <t>Rin'budhoo</t>
  </si>
  <si>
    <t>Udubnir</t>
  </si>
  <si>
    <t>Hulhudeli</t>
  </si>
  <si>
    <t>ileduLuh</t>
  </si>
  <si>
    <r>
      <t>Gemendhoo</t>
    </r>
    <r>
      <rPr>
        <vertAlign val="superscript"/>
        <sz val="9"/>
        <color indexed="8"/>
        <rFont val="Calibri"/>
        <family val="2"/>
      </rPr>
      <t xml:space="preserve"> 2_/</t>
    </r>
  </si>
  <si>
    <r>
      <rPr>
        <vertAlign val="superscript"/>
        <sz val="9"/>
        <color indexed="8"/>
        <rFont val="Calibri"/>
        <family val="2"/>
      </rPr>
      <t>2_/</t>
    </r>
    <r>
      <rPr>
        <sz val="9"/>
        <color indexed="8"/>
        <rFont val="A_Randhoo"/>
      </rPr>
      <t xml:space="preserve"> Udcnemeg</t>
    </r>
  </si>
  <si>
    <t>Vaani</t>
  </si>
  <si>
    <t>inWv</t>
  </si>
  <si>
    <t>Maaen'boodhoo</t>
  </si>
  <si>
    <t>UdUbneaWm</t>
  </si>
  <si>
    <t>Kudahuvadhoo</t>
  </si>
  <si>
    <t>UdwvuhwDuk</t>
  </si>
  <si>
    <t>Kolhumadulu (Th)</t>
  </si>
  <si>
    <t>(t) uluDwmuLok</t>
  </si>
  <si>
    <t>Buruni</t>
  </si>
  <si>
    <t>inurub</t>
  </si>
  <si>
    <r>
      <t xml:space="preserve">Vilufushi </t>
    </r>
    <r>
      <rPr>
        <vertAlign val="superscript"/>
        <sz val="9"/>
        <color indexed="8"/>
        <rFont val="Calibri"/>
        <family val="2"/>
      </rPr>
      <t>2_/</t>
    </r>
  </si>
  <si>
    <r>
      <rPr>
        <vertAlign val="superscript"/>
        <sz val="9"/>
        <color indexed="8"/>
        <rFont val="Calibri"/>
        <family val="2"/>
      </rPr>
      <t>2_/</t>
    </r>
    <r>
      <rPr>
        <sz val="9"/>
        <color indexed="8"/>
        <rFont val="A_Randhoo"/>
      </rPr>
      <t xml:space="preserve"> iSufuliv</t>
    </r>
  </si>
  <si>
    <t>Madifushi</t>
  </si>
  <si>
    <t>iSufiDwm</t>
  </si>
  <si>
    <t>Dhiyamigili</t>
  </si>
  <si>
    <t>iligimwyid</t>
  </si>
  <si>
    <t>Kan'doodhoo</t>
  </si>
  <si>
    <t>UdUDnwk</t>
  </si>
  <si>
    <t>Vandhoo</t>
  </si>
  <si>
    <t>Udcnwv</t>
  </si>
  <si>
    <t>Hirilandhoo</t>
  </si>
  <si>
    <t>Udcnwlirih</t>
  </si>
  <si>
    <t>Gaadhiffushi</t>
  </si>
  <si>
    <t>iSufcaidWg</t>
  </si>
  <si>
    <t>Thimarafushi</t>
  </si>
  <si>
    <t>iSufwrwmit</t>
  </si>
  <si>
    <t>Veymandoo</t>
  </si>
  <si>
    <t>UDcnwmEv</t>
  </si>
  <si>
    <t>Kinbidhoo</t>
  </si>
  <si>
    <t>Udibnik</t>
  </si>
  <si>
    <t>Hadhdhunmathi (L)</t>
  </si>
  <si>
    <t>(l) itwmcnudcawh</t>
  </si>
  <si>
    <t>Ishdhoo</t>
  </si>
  <si>
    <t>Udcsia</t>
  </si>
  <si>
    <t>Dhan'bidhoo</t>
  </si>
  <si>
    <t>Udibnwd</t>
  </si>
  <si>
    <t>Maabaidhoo</t>
  </si>
  <si>
    <t>UdiawbWm</t>
  </si>
  <si>
    <t>Mundoo</t>
  </si>
  <si>
    <t>UDcnum</t>
  </si>
  <si>
    <r>
      <t xml:space="preserve">Kalhaidhoo </t>
    </r>
    <r>
      <rPr>
        <vertAlign val="superscript"/>
        <sz val="9"/>
        <color indexed="8"/>
        <rFont val="Calibri"/>
        <family val="2"/>
      </rPr>
      <t>1_/</t>
    </r>
  </si>
  <si>
    <t>Udiawlwk</t>
  </si>
  <si>
    <t>Gamu</t>
  </si>
  <si>
    <t>umwg</t>
  </si>
  <si>
    <t>Maavah</t>
  </si>
  <si>
    <t>cawvWm</t>
  </si>
  <si>
    <t>Fonadhoo</t>
  </si>
  <si>
    <t>Udwnof</t>
  </si>
  <si>
    <t>Gaadhoo</t>
  </si>
  <si>
    <t>UdWg</t>
  </si>
  <si>
    <t>Maamendhoo</t>
  </si>
  <si>
    <t>UdcnemWm</t>
  </si>
  <si>
    <t>Hithadhoo</t>
  </si>
  <si>
    <t>Udwtih</t>
  </si>
  <si>
    <t>Kunahandhoo</t>
  </si>
  <si>
    <t>Udcnwhwnuk</t>
  </si>
  <si>
    <r>
      <t>Kalaidhoo</t>
    </r>
    <r>
      <rPr>
        <vertAlign val="superscript"/>
        <sz val="9"/>
        <color indexed="8"/>
        <rFont val="Calibri"/>
        <family val="2"/>
      </rPr>
      <t>2_/</t>
    </r>
  </si>
  <si>
    <t>UdiawLwk</t>
  </si>
  <si>
    <t>North Huvadhu Atoll (GA)</t>
  </si>
  <si>
    <t>(ag) iruburutua uLotwaudwvuh</t>
  </si>
  <si>
    <t>Kolamaafushi</t>
  </si>
  <si>
    <t>iSufWmwlok</t>
  </si>
  <si>
    <t>Viligili</t>
  </si>
  <si>
    <t>Dhaandhoo</t>
  </si>
  <si>
    <t>UdcnWd</t>
  </si>
  <si>
    <t>Devvadhoo</t>
  </si>
  <si>
    <t>Udwvcaed</t>
  </si>
  <si>
    <t>Kodey</t>
  </si>
  <si>
    <t>EDnok</t>
  </si>
  <si>
    <r>
      <t xml:space="preserve">Dhiyadhoo </t>
    </r>
    <r>
      <rPr>
        <vertAlign val="superscript"/>
        <sz val="9"/>
        <color indexed="8"/>
        <rFont val="Calibri"/>
        <family val="2"/>
      </rPr>
      <t xml:space="preserve">2_/  </t>
    </r>
  </si>
  <si>
    <r>
      <rPr>
        <vertAlign val="superscript"/>
        <sz val="9"/>
        <color indexed="8"/>
        <rFont val="Calibri"/>
        <family val="2"/>
      </rPr>
      <t xml:space="preserve"> 2_/</t>
    </r>
    <r>
      <rPr>
        <sz val="9"/>
        <color indexed="8"/>
        <rFont val="A_Randhoo"/>
      </rPr>
      <t xml:space="preserve"> Udwyid</t>
    </r>
  </si>
  <si>
    <t>Gemanafushi</t>
  </si>
  <si>
    <t>iSufwnwmeg</t>
  </si>
  <si>
    <t>Kandhuhulhudhoo</t>
  </si>
  <si>
    <t>UduLuhuDnwk</t>
  </si>
  <si>
    <t>South Huvadhu Atoll (GDh)</t>
  </si>
  <si>
    <t xml:space="preserve"> (dg) irubunuked uLotwaudwvuh</t>
  </si>
  <si>
    <t>Madaveli</t>
  </si>
  <si>
    <t>ilevwDwm</t>
  </si>
  <si>
    <t>Hoadhedhdhoo</t>
  </si>
  <si>
    <t>UdcaeDOh</t>
  </si>
  <si>
    <t>Nadallaa</t>
  </si>
  <si>
    <t>WlcawDwn</t>
  </si>
  <si>
    <t>Gadhdhoo</t>
  </si>
  <si>
    <t>Udcawg</t>
  </si>
  <si>
    <t>Rathafandhoo</t>
  </si>
  <si>
    <t>Udcnwfwtwr</t>
  </si>
  <si>
    <t>Fiyoari</t>
  </si>
  <si>
    <t>IrOyif</t>
  </si>
  <si>
    <t>Faresmaathoda</t>
  </si>
  <si>
    <t>WDotWmcserwf</t>
  </si>
  <si>
    <t>Maathodaa</t>
  </si>
  <si>
    <t>WDotWm</t>
  </si>
  <si>
    <t>Fares</t>
  </si>
  <si>
    <t>cserwf</t>
  </si>
  <si>
    <t>Fuvahmulah (Gn)</t>
  </si>
  <si>
    <t>(N)cawlumcawvuf</t>
  </si>
  <si>
    <t>Fuvahmulah</t>
  </si>
  <si>
    <t>cawlumcawvuf</t>
  </si>
  <si>
    <t>Addu City</t>
  </si>
  <si>
    <t>ITis UDcawa</t>
  </si>
  <si>
    <t>Maradhoo</t>
  </si>
  <si>
    <t>Udwrwm</t>
  </si>
  <si>
    <t>Maradhoofeydhoo</t>
  </si>
  <si>
    <t>UdEfUdwrwm</t>
  </si>
  <si>
    <t>Hulhudhoo</t>
  </si>
  <si>
    <t>UduLuh</t>
  </si>
  <si>
    <t>Source: National Bureaue of Statistics</t>
  </si>
  <si>
    <t>މަޢުލޫމާތު ދެއްވި ފަރާތް: ނޭޝަނަލް ބިއުރޯ އޮފް ސްޓެޓިސްޓިކްސް</t>
  </si>
  <si>
    <t>Department of National Registration</t>
  </si>
  <si>
    <t>1_/ Population relocated to other islands under population consolidation programme</t>
  </si>
  <si>
    <t>iawfevulwdwb cSwSwrcSwrcnehea cnuhIm cnuSwd egcmWrcgorcp egumurukcswfcaea IdWbWa 1_/</t>
  </si>
  <si>
    <t xml:space="preserve">2_/ Population displaced to other islands due to tsunami </t>
  </si>
  <si>
    <t>iawfevulwdwb cSwSwrcSwrcnehea cnuhIm cnegiLugiaWaImWnus 2_/</t>
  </si>
  <si>
    <t>3_/ Newly inhabited under population consolidation programme</t>
  </si>
  <si>
    <t>iawfiverukudWbWa cSwlwa cnuSwd egcmWrcgorcp egumurukcswfcaea IdWbWa 3_/</t>
  </si>
  <si>
    <r>
      <rPr>
        <i/>
        <sz val="9"/>
        <color indexed="8"/>
        <rFont val="Calibri"/>
        <family val="2"/>
      </rPr>
      <t>Note:</t>
    </r>
    <r>
      <rPr>
        <sz val="9"/>
        <color indexed="8"/>
        <rFont val="Calibri"/>
        <family val="2"/>
      </rPr>
      <t xml:space="preserve"> </t>
    </r>
  </si>
  <si>
    <t>Dhafthar in Male' is a special registry where people who have migrated and who have lived for 5 years are registered.</t>
  </si>
  <si>
    <r>
      <rPr>
        <b/>
        <i/>
        <sz val="10"/>
        <color indexed="8"/>
        <rFont val="Calibri"/>
        <family val="2"/>
      </rPr>
      <t>Definition</t>
    </r>
    <r>
      <rPr>
        <b/>
        <i/>
        <sz val="9"/>
        <color indexed="8"/>
        <rFont val="Calibri"/>
        <family val="2"/>
      </rPr>
      <t xml:space="preserve">: </t>
    </r>
    <r>
      <rPr>
        <i/>
        <sz val="9"/>
        <color indexed="8"/>
        <rFont val="Calibri"/>
        <family val="2"/>
      </rPr>
      <t xml:space="preserve">The concept of registered population is different from enumerated. In census people are counted at the place where they are residing at the census reference time. A person can be registered in one island and be living in another island </t>
    </r>
  </si>
  <si>
    <t>HA. Hathifushi population relocated to  HD. Hanimaadhoo under population consolidation programme in 2007</t>
  </si>
  <si>
    <t>HA. Hoarafushi population includes population of  Ha.Berinmadhoo (Berinmadhoo population relocated to Ha.Hoarafushi under population consolidation programme)</t>
  </si>
  <si>
    <t>Population of HDh.Faridhoo, Kuburudhoo and  Maavaidhoo relocated to HDh.Nolhivaranfaru,under population consolidation programme in 2009.</t>
  </si>
  <si>
    <t>Sh. Maakandoodhoo population relocated to Sh. Milandhoo under population consolidation programme in 2007</t>
  </si>
  <si>
    <t>Major proportion of Sh. Noomara  population relocated to Sh. Funadhoo under population consolidation programme in 2006 and 2012.</t>
  </si>
  <si>
    <t>R. Kandholhudoo population was hosted in R. Ungoofaaru in 2006 due to the destruction caused by 2004 tsunami .  They have  now been relocated to  R.Dhuvaafaru (newly inhabited)  in 2008.</t>
  </si>
  <si>
    <t>*  Population of R.Dhuvaafaru is  included in R.Kandholhudhoo, as the registration process is not complete.</t>
  </si>
  <si>
    <t>Some of Lh. Maafilafushi population relocated to HDh. Hanimaadhoo under population consolidation programme in 2014</t>
  </si>
  <si>
    <t xml:space="preserve">Due to Tsunami in 2004 large proportion of Dh. Vaanee  population was relocated to Dh.Kudahuvadhoo . Remaining population relocated to Dh. Kudahuvadhoo under    population consolidation in 2012. Current population of Vaanee included in Industrial and Other island.        
</t>
  </si>
  <si>
    <t xml:space="preserve"> Large proportion of the population evacuated from Vilufushi due to tsunami were temporarily residing in Buruni in 2006,  </t>
  </si>
  <si>
    <t xml:space="preserve"> Th. Vilusfushi was evacuated due to tsunami and the island has been re-constructed and population has moved back to the island by 2014</t>
  </si>
  <si>
    <t>L. Kalhaidhoo population is  residing in L.Gamu since 2010</t>
  </si>
  <si>
    <t xml:space="preserve">       L. Kalaidhoo is currently treated as a separate administrative unit/island. It was  a ward of L.Isdhoo in 2006</t>
  </si>
  <si>
    <t xml:space="preserve">From 2016 onwards L.Gaadhoo population  reside in L.Fonadhoo </t>
  </si>
  <si>
    <t>GA. Dhiyadhoo population is  residing in  GA. Gemanafushi since 2010</t>
  </si>
  <si>
    <t xml:space="preserve">       GDh. Faresmaathoda population is a combination of Fares &amp; Maathoda population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</si>
</sst>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8" formatCode="_-* #,##0.00\ _ރ_._-;_-* #,##0.00\ _ރ_.\-;_-* &quot;-&quot;??\ _ރ_._-;_-@_-"/>
    <numFmt numFmtId="170" formatCode="0.0"/>
    <numFmt numFmtId="171" formatCode="#,##0.000"/>
    <numFmt numFmtId="177" formatCode="#,##0\ &quot;ރ.&quot;_-;#,##0\ &quot;ރ.&quot;\-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</font>
    <font>
      <sz val="10"/>
      <name val="Arial"/>
      <family val="2"/>
    </font>
    <font>
      <b/>
      <sz val="12"/>
      <color theme="1"/>
      <name val="Faruma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color theme="1"/>
      <name val="Arial"/>
      <family val="2"/>
    </font>
    <font>
      <sz val="12"/>
      <color theme="1"/>
      <name val="Calibri"/>
      <family val="2"/>
    </font>
    <font>
      <sz val="9"/>
      <color theme="1"/>
      <name val="Arial"/>
      <family val="2"/>
    </font>
    <font>
      <b/>
      <sz val="10"/>
      <color theme="1"/>
      <name val="Calibri"/>
      <family val="2"/>
    </font>
    <font>
      <b/>
      <sz val="9"/>
      <color theme="1"/>
      <name val="A_Randhoo"/>
    </font>
    <font>
      <b/>
      <sz val="9"/>
      <color theme="1"/>
      <name val="Faruma"/>
    </font>
    <font>
      <b/>
      <sz val="9"/>
      <color theme="1"/>
      <name val="Calibri"/>
      <family val="2"/>
    </font>
    <font>
      <b/>
      <sz val="10"/>
      <color indexed="8"/>
      <name val="Faruma"/>
    </font>
    <font>
      <b/>
      <sz val="10"/>
      <color indexed="8"/>
      <name val="Calibri"/>
      <family val="2"/>
    </font>
    <font>
      <b/>
      <sz val="9"/>
      <color theme="1"/>
      <name val="Arial"/>
      <family val="2"/>
    </font>
    <font>
      <b/>
      <sz val="9"/>
      <color indexed="8"/>
      <name val="Calibri"/>
      <family val="2"/>
    </font>
    <font>
      <b/>
      <sz val="9"/>
      <color indexed="8"/>
      <name val="Arial"/>
      <family val="2"/>
    </font>
    <font>
      <b/>
      <sz val="9"/>
      <color indexed="8"/>
      <name val="Win Ahamedey PRB"/>
      <family val="2"/>
    </font>
    <font>
      <b/>
      <sz val="9"/>
      <color indexed="8"/>
      <name val="A_Randhoo"/>
    </font>
    <font>
      <b/>
      <sz val="9"/>
      <color indexed="8"/>
      <name val="Faruma"/>
    </font>
    <font>
      <b/>
      <sz val="8"/>
      <color indexed="8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Win Ahamedey PRB"/>
      <family val="2"/>
    </font>
    <font>
      <b/>
      <sz val="9"/>
      <color theme="1"/>
      <name val="AKKO"/>
      <family val="2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9"/>
      <color theme="1"/>
      <name val="A_Randhoo"/>
    </font>
    <font>
      <sz val="9"/>
      <color theme="1"/>
      <name val="Faruma"/>
    </font>
    <font>
      <sz val="9"/>
      <color theme="1"/>
      <name val="Calibri"/>
      <family val="2"/>
    </font>
    <font>
      <sz val="9"/>
      <color theme="1"/>
      <name val="AKKO"/>
      <family val="2"/>
    </font>
    <font>
      <vertAlign val="superscript"/>
      <sz val="9"/>
      <color indexed="8"/>
      <name val="Calibri"/>
      <family val="2"/>
    </font>
    <font>
      <vertAlign val="superscript"/>
      <sz val="9"/>
      <color theme="1"/>
      <name val="Arial"/>
      <family val="2"/>
    </font>
    <font>
      <sz val="9"/>
      <color indexed="8"/>
      <name val="A_Randhoo"/>
    </font>
    <font>
      <vertAlign val="superscript"/>
      <sz val="10"/>
      <color indexed="8"/>
      <name val="Calibri"/>
      <family val="2"/>
    </font>
    <font>
      <vertAlign val="superscript"/>
      <sz val="9"/>
      <color theme="1"/>
      <name val="Calibri"/>
      <family val="2"/>
    </font>
    <font>
      <i/>
      <sz val="9"/>
      <color theme="1"/>
      <name val="Calibri"/>
      <family val="2"/>
    </font>
    <font>
      <sz val="8"/>
      <color theme="1"/>
      <name val="Calibri"/>
      <family val="2"/>
    </font>
    <font>
      <i/>
      <sz val="9"/>
      <color indexed="8"/>
      <name val="Calibri"/>
      <family val="2"/>
    </font>
    <font>
      <sz val="9"/>
      <color indexed="8"/>
      <name val="Calibri"/>
      <family val="2"/>
    </font>
    <font>
      <sz val="10"/>
      <color theme="1"/>
      <name val="Faruma"/>
    </font>
    <font>
      <b/>
      <i/>
      <sz val="9"/>
      <color theme="1"/>
      <name val="Calibri"/>
      <family val="2"/>
    </font>
    <font>
      <i/>
      <sz val="9"/>
      <color theme="1"/>
      <name val="Arial"/>
      <family val="2"/>
    </font>
    <font>
      <i/>
      <sz val="10"/>
      <color theme="1"/>
      <name val="Faruma"/>
    </font>
    <font>
      <b/>
      <i/>
      <sz val="10"/>
      <color indexed="8"/>
      <name val="Calibri"/>
      <family val="2"/>
    </font>
    <font>
      <b/>
      <i/>
      <sz val="9"/>
      <color indexed="8"/>
      <name val="Calibri"/>
      <family val="2"/>
    </font>
    <font>
      <i/>
      <sz val="10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0"/>
      <color theme="1"/>
      <name val="Arial"/>
      <family val="2"/>
    </font>
    <font>
      <b/>
      <sz val="30"/>
      <color theme="1"/>
      <name val="Arial"/>
      <family val="2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</borders>
  <cellStyleXfs count="15">
    <xf numFmtId="0" fontId="0" fillId="0" borderId="0"/>
    <xf numFmtId="164" fontId="3" fillId="0" borderId="0"/>
    <xf numFmtId="0" fontId="5" fillId="0" borderId="0"/>
    <xf numFmtId="0" fontId="5" fillId="0" borderId="0"/>
    <xf numFmtId="168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4" fillId="0" borderId="0"/>
    <xf numFmtId="0" fontId="5" fillId="0" borderId="0"/>
    <xf numFmtId="0" fontId="5" fillId="0" borderId="0"/>
    <xf numFmtId="0" fontId="1" fillId="0" borderId="0"/>
    <xf numFmtId="164" fontId="3" fillId="0" borderId="0"/>
  </cellStyleXfs>
  <cellXfs count="247">
    <xf numFmtId="0" fontId="0" fillId="0" borderId="0" xfId="0"/>
    <xf numFmtId="3" fontId="7" fillId="2" borderId="0" xfId="5" applyNumberFormat="1" applyFont="1" applyFill="1" applyAlignment="1">
      <alignment horizontal="center" vertical="center" readingOrder="2"/>
    </xf>
    <xf numFmtId="3" fontId="6" fillId="2" borderId="0" xfId="5" applyNumberFormat="1" applyFont="1" applyFill="1" applyBorder="1" applyAlignment="1">
      <alignment horizontal="center" vertical="center" readingOrder="2"/>
    </xf>
    <xf numFmtId="3" fontId="8" fillId="2" borderId="0" xfId="5" applyNumberFormat="1" applyFont="1" applyFill="1" applyBorder="1"/>
    <xf numFmtId="3" fontId="8" fillId="2" borderId="0" xfId="5" applyNumberFormat="1" applyFont="1" applyFill="1"/>
    <xf numFmtId="3" fontId="9" fillId="2" borderId="0" xfId="5" applyNumberFormat="1" applyFont="1" applyFill="1" applyAlignment="1" applyProtection="1">
      <alignment horizontal="center" vertical="top"/>
    </xf>
    <xf numFmtId="3" fontId="9" fillId="2" borderId="0" xfId="5" applyNumberFormat="1" applyFont="1" applyFill="1" applyBorder="1" applyAlignment="1" applyProtection="1">
      <alignment horizontal="center" vertical="top"/>
    </xf>
    <xf numFmtId="3" fontId="10" fillId="2" borderId="0" xfId="5" applyNumberFormat="1" applyFont="1" applyFill="1" applyBorder="1"/>
    <xf numFmtId="3" fontId="10" fillId="2" borderId="0" xfId="5" applyNumberFormat="1" applyFont="1" applyFill="1"/>
    <xf numFmtId="3" fontId="7" fillId="2" borderId="1" xfId="5" applyNumberFormat="1" applyFont="1" applyFill="1" applyBorder="1" applyAlignment="1" applyProtection="1">
      <alignment vertical="center"/>
    </xf>
    <xf numFmtId="164" fontId="11" fillId="2" borderId="0" xfId="1" applyFont="1" applyFill="1" applyAlignment="1">
      <alignment vertical="center"/>
    </xf>
    <xf numFmtId="3" fontId="12" fillId="2" borderId="1" xfId="5" applyNumberFormat="1" applyFont="1" applyFill="1" applyBorder="1" applyAlignment="1" applyProtection="1">
      <alignment vertical="center"/>
    </xf>
    <xf numFmtId="3" fontId="13" fillId="2" borderId="2" xfId="5" applyNumberFormat="1" applyFont="1" applyFill="1" applyBorder="1"/>
    <xf numFmtId="49" fontId="14" fillId="2" borderId="2" xfId="6" applyNumberFormat="1" applyFont="1" applyFill="1" applyBorder="1" applyAlignment="1">
      <alignment horizontal="center" vertical="center"/>
    </xf>
    <xf numFmtId="3" fontId="16" fillId="2" borderId="2" xfId="5" applyNumberFormat="1" applyFont="1" applyFill="1" applyBorder="1" applyAlignment="1">
      <alignment horizontal="center" vertical="center" wrapText="1"/>
    </xf>
    <xf numFmtId="3" fontId="17" fillId="2" borderId="0" xfId="5" applyNumberFormat="1" applyFont="1" applyFill="1" applyBorder="1" applyAlignment="1">
      <alignment horizontal="right" vertical="center" wrapText="1"/>
    </xf>
    <xf numFmtId="3" fontId="15" fillId="2" borderId="0" xfId="5" applyNumberFormat="1" applyFont="1" applyFill="1" applyBorder="1" applyAlignment="1">
      <alignment horizontal="right" vertical="center" wrapText="1"/>
    </xf>
    <xf numFmtId="3" fontId="13" fillId="2" borderId="0" xfId="5" applyNumberFormat="1" applyFont="1" applyFill="1" applyBorder="1"/>
    <xf numFmtId="3" fontId="13" fillId="2" borderId="0" xfId="5" applyNumberFormat="1" applyFont="1" applyFill="1"/>
    <xf numFmtId="49" fontId="14" fillId="2" borderId="5" xfId="6" applyNumberFormat="1" applyFont="1" applyFill="1" applyBorder="1" applyAlignment="1">
      <alignment horizontal="center" vertical="center"/>
    </xf>
    <xf numFmtId="49" fontId="14" fillId="2" borderId="0" xfId="6" applyNumberFormat="1" applyFont="1" applyFill="1" applyBorder="1" applyAlignment="1">
      <alignment horizontal="center" vertical="center"/>
    </xf>
    <xf numFmtId="3" fontId="16" fillId="2" borderId="0" xfId="5" applyNumberFormat="1" applyFont="1" applyFill="1" applyBorder="1" applyAlignment="1">
      <alignment horizontal="center" vertical="center" wrapText="1"/>
    </xf>
    <xf numFmtId="3" fontId="17" fillId="2" borderId="0" xfId="5" applyNumberFormat="1" applyFont="1" applyFill="1" applyBorder="1"/>
    <xf numFmtId="3" fontId="20" fillId="2" borderId="5" xfId="5" applyNumberFormat="1" applyFont="1" applyFill="1" applyBorder="1" applyAlignment="1">
      <alignment horizontal="center" vertical="center"/>
    </xf>
    <xf numFmtId="3" fontId="20" fillId="2" borderId="0" xfId="5" applyNumberFormat="1" applyFont="1" applyFill="1" applyBorder="1" applyAlignment="1">
      <alignment horizontal="center" vertical="center" wrapText="1"/>
    </xf>
    <xf numFmtId="3" fontId="15" fillId="2" borderId="0" xfId="5" applyNumberFormat="1" applyFont="1" applyFill="1" applyBorder="1" applyAlignment="1" applyProtection="1">
      <alignment horizontal="center" vertical="center"/>
    </xf>
    <xf numFmtId="3" fontId="15" fillId="2" borderId="0" xfId="5" applyNumberFormat="1" applyFont="1" applyFill="1" applyBorder="1" applyAlignment="1" applyProtection="1">
      <alignment horizontal="right" vertical="center"/>
    </xf>
    <xf numFmtId="3" fontId="15" fillId="2" borderId="3" xfId="5" applyNumberFormat="1" applyFont="1" applyFill="1" applyBorder="1" applyAlignment="1" applyProtection="1">
      <alignment horizontal="right" vertical="center"/>
    </xf>
    <xf numFmtId="3" fontId="13" fillId="2" borderId="1" xfId="5" applyNumberFormat="1" applyFont="1" applyFill="1" applyBorder="1"/>
    <xf numFmtId="3" fontId="17" fillId="2" borderId="1" xfId="5" applyNumberFormat="1" applyFont="1" applyFill="1" applyBorder="1" applyAlignment="1">
      <alignment horizontal="center" vertical="center"/>
    </xf>
    <xf numFmtId="3" fontId="17" fillId="2" borderId="1" xfId="5" applyNumberFormat="1" applyFont="1" applyFill="1" applyBorder="1" applyAlignment="1">
      <alignment horizontal="right" vertical="center"/>
    </xf>
    <xf numFmtId="3" fontId="27" fillId="2" borderId="4" xfId="5" applyNumberFormat="1" applyFont="1" applyFill="1" applyBorder="1" applyAlignment="1">
      <alignment horizontal="right" vertical="center"/>
    </xf>
    <xf numFmtId="3" fontId="27" fillId="2" borderId="1" xfId="5" applyNumberFormat="1" applyFont="1" applyFill="1" applyBorder="1" applyAlignment="1">
      <alignment horizontal="right" vertical="center"/>
    </xf>
    <xf numFmtId="3" fontId="13" fillId="2" borderId="0" xfId="5" applyNumberFormat="1" applyFont="1" applyFill="1" applyAlignment="1">
      <alignment horizontal="right"/>
    </xf>
    <xf numFmtId="3" fontId="13" fillId="2" borderId="0" xfId="5" applyNumberFormat="1" applyFont="1" applyFill="1" applyBorder="1" applyAlignment="1">
      <alignment horizontal="center"/>
    </xf>
    <xf numFmtId="3" fontId="13" fillId="2" borderId="0" xfId="5" applyNumberFormat="1" applyFont="1" applyFill="1" applyBorder="1" applyAlignment="1">
      <alignment horizontal="right"/>
    </xf>
    <xf numFmtId="3" fontId="13" fillId="2" borderId="0" xfId="5" applyNumberFormat="1" applyFont="1" applyFill="1" applyBorder="1" applyAlignment="1">
      <alignment horizontal="center" vertical="center"/>
    </xf>
    <xf numFmtId="3" fontId="13" fillId="2" borderId="2" xfId="5" applyNumberFormat="1" applyFont="1" applyFill="1" applyBorder="1" applyAlignment="1">
      <alignment horizontal="right"/>
    </xf>
    <xf numFmtId="3" fontId="20" fillId="2" borderId="2" xfId="5" applyNumberFormat="1" applyFont="1" applyFill="1" applyBorder="1" applyAlignment="1">
      <alignment horizontal="center"/>
    </xf>
    <xf numFmtId="3" fontId="13" fillId="2" borderId="3" xfId="5" applyNumberFormat="1" applyFont="1" applyFill="1" applyBorder="1" applyAlignment="1">
      <alignment horizontal="center"/>
    </xf>
    <xf numFmtId="3" fontId="20" fillId="2" borderId="0" xfId="5" applyNumberFormat="1" applyFont="1" applyFill="1" applyBorder="1" applyAlignment="1">
      <alignment horizontal="center"/>
    </xf>
    <xf numFmtId="3" fontId="28" fillId="2" borderId="0" xfId="5" applyNumberFormat="1" applyFont="1" applyFill="1" applyAlignment="1">
      <alignment horizontal="right"/>
    </xf>
    <xf numFmtId="3" fontId="17" fillId="2" borderId="0" xfId="5" applyNumberFormat="1" applyFont="1" applyFill="1"/>
    <xf numFmtId="3" fontId="14" fillId="2" borderId="0" xfId="5" applyNumberFormat="1" applyFont="1" applyFill="1" applyAlignment="1">
      <alignment horizontal="right" vertical="center"/>
    </xf>
    <xf numFmtId="3" fontId="14" fillId="2" borderId="0" xfId="5" applyNumberFormat="1" applyFont="1" applyFill="1" applyBorder="1" applyAlignment="1">
      <alignment horizontal="center" vertical="center"/>
    </xf>
    <xf numFmtId="3" fontId="14" fillId="2" borderId="0" xfId="5" applyNumberFormat="1" applyFont="1" applyFill="1" applyBorder="1" applyAlignment="1">
      <alignment horizontal="right" vertical="center"/>
    </xf>
    <xf numFmtId="2" fontId="14" fillId="2" borderId="0" xfId="7" applyNumberFormat="1" applyFont="1" applyFill="1" applyBorder="1" applyAlignment="1">
      <alignment horizontal="center" vertical="center"/>
    </xf>
    <xf numFmtId="3" fontId="14" fillId="2" borderId="3" xfId="5" applyNumberFormat="1" applyFont="1" applyFill="1" applyBorder="1" applyAlignment="1">
      <alignment horizontal="right" vertical="center"/>
    </xf>
    <xf numFmtId="3" fontId="20" fillId="2" borderId="0" xfId="5" applyNumberFormat="1" applyFont="1" applyFill="1" applyBorder="1"/>
    <xf numFmtId="3" fontId="20" fillId="2" borderId="0" xfId="5" applyNumberFormat="1" applyFont="1" applyFill="1"/>
    <xf numFmtId="170" fontId="14" fillId="2" borderId="0" xfId="7" applyNumberFormat="1" applyFont="1" applyFill="1" applyBorder="1" applyAlignment="1">
      <alignment horizontal="center" vertical="center"/>
    </xf>
    <xf numFmtId="3" fontId="29" fillId="2" borderId="0" xfId="5" applyNumberFormat="1" applyFont="1" applyFill="1" applyBorder="1" applyAlignment="1" applyProtection="1">
      <alignment horizontal="right" vertical="center"/>
    </xf>
    <xf numFmtId="3" fontId="17" fillId="2" borderId="0" xfId="5" applyNumberFormat="1" applyFont="1" applyFill="1" applyAlignment="1">
      <alignment vertical="center"/>
    </xf>
    <xf numFmtId="3" fontId="30" fillId="2" borderId="0" xfId="5" applyNumberFormat="1" applyFont="1" applyFill="1" applyBorder="1" applyAlignment="1">
      <alignment horizontal="right" vertical="center"/>
    </xf>
    <xf numFmtId="3" fontId="31" fillId="2" borderId="0" xfId="5" applyNumberFormat="1" applyFont="1" applyFill="1" applyAlignment="1">
      <alignment horizontal="left" indent="1"/>
    </xf>
    <xf numFmtId="3" fontId="32" fillId="2" borderId="0" xfId="5" applyNumberFormat="1" applyFont="1" applyFill="1" applyAlignment="1">
      <alignment horizontal="right" vertical="center"/>
    </xf>
    <xf numFmtId="170" fontId="32" fillId="2" borderId="0" xfId="7" applyNumberFormat="1" applyFont="1" applyFill="1" applyBorder="1" applyAlignment="1">
      <alignment horizontal="center" vertical="center"/>
    </xf>
    <xf numFmtId="3" fontId="33" fillId="2" borderId="0" xfId="5" applyNumberFormat="1" applyFont="1" applyFill="1" applyBorder="1" applyAlignment="1">
      <alignment horizontal="right" vertical="center"/>
    </xf>
    <xf numFmtId="3" fontId="33" fillId="2" borderId="3" xfId="5" applyNumberFormat="1" applyFont="1" applyFill="1" applyBorder="1" applyAlignment="1">
      <alignment horizontal="right" vertical="center"/>
    </xf>
    <xf numFmtId="3" fontId="32" fillId="2" borderId="0" xfId="5" applyNumberFormat="1" applyFont="1" applyFill="1" applyBorder="1" applyAlignment="1" applyProtection="1">
      <alignment horizontal="right" vertical="center"/>
      <protection locked="0"/>
    </xf>
    <xf numFmtId="3" fontId="34" fillId="2" borderId="0" xfId="5" applyNumberFormat="1" applyFont="1" applyFill="1" applyBorder="1" applyAlignment="1" applyProtection="1">
      <alignment horizontal="right" vertical="center" indent="1"/>
    </xf>
    <xf numFmtId="3" fontId="13" fillId="2" borderId="0" xfId="5" applyNumberFormat="1" applyFont="1" applyFill="1" applyBorder="1" applyAlignment="1">
      <alignment vertical="center"/>
    </xf>
    <xf numFmtId="3" fontId="20" fillId="2" borderId="0" xfId="5" applyNumberFormat="1" applyFont="1" applyFill="1" applyBorder="1" applyAlignment="1">
      <alignment vertical="center"/>
    </xf>
    <xf numFmtId="3" fontId="20" fillId="2" borderId="0" xfId="5" applyNumberFormat="1" applyFont="1" applyFill="1" applyAlignment="1">
      <alignment vertical="center"/>
    </xf>
    <xf numFmtId="3" fontId="31" fillId="2" borderId="0" xfId="5" applyNumberFormat="1" applyFont="1" applyFill="1" applyBorder="1" applyAlignment="1">
      <alignment horizontal="left" indent="1"/>
    </xf>
    <xf numFmtId="3" fontId="32" fillId="2" borderId="0" xfId="5" applyNumberFormat="1" applyFont="1" applyFill="1" applyBorder="1" applyAlignment="1">
      <alignment horizontal="right" vertical="center"/>
    </xf>
    <xf numFmtId="170" fontId="1" fillId="2" borderId="0" xfId="2" applyNumberFormat="1" applyFont="1" applyFill="1" applyBorder="1" applyAlignment="1" applyProtection="1">
      <alignment horizontal="right" vertical="center"/>
      <protection locked="0"/>
    </xf>
    <xf numFmtId="3" fontId="32" fillId="2" borderId="0" xfId="7" applyNumberFormat="1" applyFont="1" applyFill="1" applyBorder="1" applyAlignment="1">
      <alignment horizontal="right" vertical="center"/>
    </xf>
    <xf numFmtId="4" fontId="32" fillId="2" borderId="0" xfId="8" applyNumberFormat="1" applyFont="1" applyFill="1" applyBorder="1" applyAlignment="1">
      <alignment horizontal="center" vertical="center"/>
    </xf>
    <xf numFmtId="3" fontId="32" fillId="2" borderId="0" xfId="5" applyNumberFormat="1" applyFont="1" applyFill="1" applyBorder="1" applyAlignment="1">
      <alignment horizontal="center" vertical="center"/>
    </xf>
    <xf numFmtId="2" fontId="14" fillId="2" borderId="11" xfId="7" applyNumberFormat="1" applyFont="1" applyFill="1" applyBorder="1" applyAlignment="1">
      <alignment horizontal="center" vertical="center"/>
    </xf>
    <xf numFmtId="3" fontId="27" fillId="2" borderId="0" xfId="5" applyNumberFormat="1" applyFont="1" applyFill="1" applyBorder="1" applyAlignment="1">
      <alignment vertical="center"/>
    </xf>
    <xf numFmtId="3" fontId="35" fillId="2" borderId="0" xfId="5" applyNumberFormat="1" applyFont="1" applyFill="1" applyBorder="1" applyAlignment="1" applyProtection="1">
      <alignment horizontal="right" vertical="center" indent="1"/>
    </xf>
    <xf numFmtId="3" fontId="14" fillId="2" borderId="0" xfId="5" applyNumberFormat="1" applyFont="1" applyFill="1" applyBorder="1" applyAlignment="1">
      <alignment vertical="center" wrapText="1"/>
    </xf>
    <xf numFmtId="3" fontId="33" fillId="2" borderId="0" xfId="5" applyNumberFormat="1" applyFont="1" applyFill="1" applyBorder="1" applyAlignment="1">
      <alignment horizontal="center" vertical="center"/>
    </xf>
    <xf numFmtId="3" fontId="16" fillId="2" borderId="0" xfId="5" applyNumberFormat="1" applyFont="1" applyFill="1" applyBorder="1" applyAlignment="1" applyProtection="1">
      <alignment horizontal="right" vertical="center" wrapText="1"/>
    </xf>
    <xf numFmtId="171" fontId="13" fillId="2" borderId="0" xfId="5" applyNumberFormat="1" applyFont="1" applyFill="1" applyBorder="1"/>
    <xf numFmtId="2" fontId="32" fillId="2" borderId="0" xfId="7" applyNumberFormat="1" applyFont="1" applyFill="1" applyBorder="1" applyAlignment="1" applyProtection="1">
      <alignment horizontal="right" vertical="center"/>
      <protection locked="0"/>
    </xf>
    <xf numFmtId="3" fontId="34" fillId="2" borderId="0" xfId="5" applyNumberFormat="1" applyFont="1" applyFill="1" applyBorder="1" applyAlignment="1" applyProtection="1">
      <alignment horizontal="right" vertical="center"/>
    </xf>
    <xf numFmtId="3" fontId="14" fillId="2" borderId="0" xfId="5" applyNumberFormat="1" applyFont="1" applyFill="1" applyBorder="1" applyAlignment="1">
      <alignment vertical="center"/>
    </xf>
    <xf numFmtId="3" fontId="16" fillId="2" borderId="0" xfId="5" applyNumberFormat="1" applyFont="1" applyFill="1" applyBorder="1" applyAlignment="1" applyProtection="1">
      <alignment horizontal="right" vertical="center"/>
    </xf>
    <xf numFmtId="3" fontId="13" fillId="2" borderId="0" xfId="5" applyNumberFormat="1" applyFont="1" applyFill="1" applyAlignment="1">
      <alignment vertical="center"/>
    </xf>
    <xf numFmtId="3" fontId="36" fillId="2" borderId="0" xfId="5" applyNumberFormat="1" applyFont="1" applyFill="1" applyBorder="1"/>
    <xf numFmtId="170" fontId="14" fillId="2" borderId="0" xfId="8" applyNumberFormat="1" applyFont="1" applyFill="1" applyBorder="1" applyAlignment="1">
      <alignment horizontal="center" vertical="center"/>
    </xf>
    <xf numFmtId="3" fontId="37" fillId="2" borderId="0" xfId="5" applyNumberFormat="1" applyFont="1" applyFill="1" applyBorder="1" applyAlignment="1" applyProtection="1">
      <alignment horizontal="right" vertical="center"/>
    </xf>
    <xf numFmtId="3" fontId="17" fillId="2" borderId="0" xfId="5" applyNumberFormat="1" applyFont="1" applyFill="1" applyBorder="1" applyAlignment="1">
      <alignment horizontal="left" vertical="center"/>
    </xf>
    <xf numFmtId="0" fontId="33" fillId="2" borderId="0" xfId="5" applyFont="1" applyFill="1" applyBorder="1" applyAlignment="1">
      <alignment horizontal="right" vertical="center"/>
    </xf>
    <xf numFmtId="170" fontId="33" fillId="2" borderId="0" xfId="7" applyNumberFormat="1" applyFont="1" applyFill="1" applyBorder="1" applyAlignment="1">
      <alignment horizontal="center" vertical="center"/>
    </xf>
    <xf numFmtId="2" fontId="33" fillId="2" borderId="0" xfId="7" applyNumberFormat="1" applyFont="1" applyFill="1" applyBorder="1" applyAlignment="1">
      <alignment horizontal="center" vertical="center"/>
    </xf>
    <xf numFmtId="170" fontId="33" fillId="2" borderId="0" xfId="8" applyNumberFormat="1" applyFont="1" applyFill="1" applyBorder="1" applyAlignment="1">
      <alignment horizontal="center" vertical="center"/>
    </xf>
    <xf numFmtId="2" fontId="33" fillId="2" borderId="0" xfId="5" applyNumberFormat="1" applyFont="1" applyFill="1" applyBorder="1" applyAlignment="1">
      <alignment horizontal="center" vertical="center"/>
    </xf>
    <xf numFmtId="3" fontId="39" fillId="2" borderId="0" xfId="5" applyNumberFormat="1" applyFont="1" applyFill="1" applyBorder="1" applyAlignment="1" applyProtection="1">
      <alignment horizontal="right" vertical="center" indent="1"/>
    </xf>
    <xf numFmtId="3" fontId="1" fillId="2" borderId="0" xfId="2" applyNumberFormat="1" applyFont="1" applyFill="1" applyBorder="1" applyAlignment="1">
      <alignment horizontal="right" vertical="center"/>
    </xf>
    <xf numFmtId="0" fontId="1" fillId="2" borderId="0" xfId="9" applyNumberFormat="1" applyFont="1" applyFill="1" applyBorder="1" applyAlignment="1">
      <alignment horizontal="right" vertical="center"/>
    </xf>
    <xf numFmtId="49" fontId="1" fillId="2" borderId="0" xfId="2" applyNumberFormat="1" applyFont="1" applyFill="1" applyBorder="1" applyAlignment="1">
      <alignment horizontal="right" vertical="center"/>
    </xf>
    <xf numFmtId="3" fontId="2" fillId="2" borderId="0" xfId="2" applyNumberFormat="1" applyFont="1" applyFill="1" applyBorder="1" applyAlignment="1">
      <alignment horizontal="right" vertical="center"/>
    </xf>
    <xf numFmtId="0" fontId="1" fillId="2" borderId="0" xfId="2" applyFont="1" applyFill="1" applyBorder="1"/>
    <xf numFmtId="1" fontId="1" fillId="2" borderId="0" xfId="2" applyNumberFormat="1" applyFont="1" applyFill="1" applyBorder="1" applyAlignment="1">
      <alignment horizontal="right" vertical="center"/>
    </xf>
    <xf numFmtId="3" fontId="36" fillId="2" borderId="0" xfId="5" applyNumberFormat="1" applyFont="1" applyFill="1"/>
    <xf numFmtId="3" fontId="17" fillId="2" borderId="0" xfId="5" applyNumberFormat="1" applyFont="1" applyFill="1" applyBorder="1" applyAlignment="1" applyProtection="1">
      <alignment horizontal="right" vertical="center"/>
    </xf>
    <xf numFmtId="3" fontId="36" fillId="2" borderId="0" xfId="5" applyNumberFormat="1" applyFont="1" applyFill="1" applyBorder="1" applyAlignment="1">
      <alignment vertical="center"/>
    </xf>
    <xf numFmtId="3" fontId="36" fillId="2" borderId="0" xfId="5" applyNumberFormat="1" applyFont="1" applyFill="1" applyBorder="1" applyAlignment="1" applyProtection="1">
      <alignment horizontal="right" vertical="center"/>
    </xf>
    <xf numFmtId="3" fontId="36" fillId="2" borderId="0" xfId="5" applyNumberFormat="1" applyFont="1" applyFill="1" applyAlignment="1">
      <alignment vertical="center"/>
    </xf>
    <xf numFmtId="4" fontId="33" fillId="2" borderId="0" xfId="8" applyNumberFormat="1" applyFont="1" applyFill="1" applyBorder="1" applyAlignment="1">
      <alignment horizontal="center" vertical="center"/>
    </xf>
    <xf numFmtId="3" fontId="33" fillId="2" borderId="0" xfId="7" applyNumberFormat="1" applyFont="1" applyFill="1" applyBorder="1" applyAlignment="1">
      <alignment horizontal="right" vertical="center"/>
    </xf>
    <xf numFmtId="3" fontId="33" fillId="2" borderId="0" xfId="7" quotePrefix="1" applyNumberFormat="1" applyFont="1" applyFill="1" applyBorder="1" applyAlignment="1">
      <alignment horizontal="right" vertical="center"/>
    </xf>
    <xf numFmtId="3" fontId="8" fillId="2" borderId="0" xfId="5" applyNumberFormat="1" applyFont="1" applyFill="1" applyBorder="1" applyAlignment="1">
      <alignment horizontal="center"/>
    </xf>
    <xf numFmtId="3" fontId="42" fillId="2" borderId="0" xfId="5" applyNumberFormat="1" applyFont="1" applyFill="1" applyBorder="1" applyAlignment="1" applyProtection="1">
      <alignment horizontal="right" vertical="center"/>
    </xf>
    <xf numFmtId="3" fontId="39" fillId="2" borderId="0" xfId="5" applyNumberFormat="1" applyFont="1" applyFill="1" applyBorder="1" applyAlignment="1" applyProtection="1">
      <alignment horizontal="right" vertical="center"/>
    </xf>
    <xf numFmtId="3" fontId="34" fillId="2" borderId="0" xfId="5" applyNumberFormat="1" applyFont="1" applyFill="1" applyBorder="1" applyAlignment="1">
      <alignment horizontal="right" vertical="center" indent="1"/>
    </xf>
    <xf numFmtId="3" fontId="36" fillId="2" borderId="0" xfId="5" applyNumberFormat="1" applyFont="1" applyFill="1" applyBorder="1" applyAlignment="1">
      <alignment horizontal="right" vertical="center"/>
    </xf>
    <xf numFmtId="3" fontId="34" fillId="2" borderId="0" xfId="5" applyNumberFormat="1" applyFont="1" applyFill="1" applyBorder="1" applyAlignment="1">
      <alignment horizontal="right" vertical="center"/>
    </xf>
    <xf numFmtId="2" fontId="33" fillId="2" borderId="11" xfId="7" applyNumberFormat="1" applyFont="1" applyFill="1" applyBorder="1" applyAlignment="1">
      <alignment horizontal="center" vertical="center"/>
    </xf>
    <xf numFmtId="3" fontId="36" fillId="2" borderId="0" xfId="5" applyNumberFormat="1" applyFont="1" applyFill="1" applyBorder="1" applyAlignment="1" applyProtection="1">
      <alignment vertical="center"/>
    </xf>
    <xf numFmtId="3" fontId="33" fillId="2" borderId="0" xfId="5" applyNumberFormat="1" applyFont="1" applyFill="1" applyAlignment="1">
      <alignment horizontal="right" vertical="center"/>
    </xf>
    <xf numFmtId="3" fontId="36" fillId="2" borderId="1" xfId="5" applyNumberFormat="1" applyFont="1" applyFill="1" applyBorder="1"/>
    <xf numFmtId="3" fontId="33" fillId="2" borderId="1" xfId="5" applyNumberFormat="1" applyFont="1" applyFill="1" applyBorder="1" applyAlignment="1">
      <alignment horizontal="right" vertical="center"/>
    </xf>
    <xf numFmtId="3" fontId="33" fillId="2" borderId="1" xfId="5" applyNumberFormat="1" applyFont="1" applyFill="1" applyBorder="1" applyAlignment="1">
      <alignment horizontal="center" vertical="center"/>
    </xf>
    <xf numFmtId="170" fontId="33" fillId="2" borderId="1" xfId="7" applyNumberFormat="1" applyFont="1" applyFill="1" applyBorder="1" applyAlignment="1">
      <alignment horizontal="center" vertical="center"/>
    </xf>
    <xf numFmtId="2" fontId="33" fillId="2" borderId="1" xfId="7" applyNumberFormat="1" applyFont="1" applyFill="1" applyBorder="1" applyAlignment="1">
      <alignment horizontal="center" vertical="center"/>
    </xf>
    <xf numFmtId="3" fontId="33" fillId="2" borderId="4" xfId="5" applyNumberFormat="1" applyFont="1" applyFill="1" applyBorder="1" applyAlignment="1">
      <alignment horizontal="right" vertical="center"/>
    </xf>
    <xf numFmtId="3" fontId="32" fillId="2" borderId="1" xfId="5" applyNumberFormat="1" applyFont="1" applyFill="1" applyBorder="1" applyAlignment="1" applyProtection="1">
      <alignment horizontal="right" vertical="center"/>
      <protection locked="0"/>
    </xf>
    <xf numFmtId="3" fontId="34" fillId="2" borderId="1" xfId="5" applyNumberFormat="1" applyFont="1" applyFill="1" applyBorder="1" applyAlignment="1" applyProtection="1">
      <alignment horizontal="right" vertical="center" indent="1"/>
    </xf>
    <xf numFmtId="164" fontId="43" fillId="2" borderId="2" xfId="1" applyNumberFormat="1" applyFont="1" applyFill="1" applyBorder="1" applyAlignment="1" applyProtection="1">
      <alignment horizontal="left" vertical="center"/>
      <protection locked="0"/>
    </xf>
    <xf numFmtId="164" fontId="33" fillId="2" borderId="2" xfId="1" applyNumberFormat="1" applyFont="1" applyFill="1" applyBorder="1" applyAlignment="1" applyProtection="1">
      <alignment horizontal="right"/>
      <protection locked="0"/>
    </xf>
    <xf numFmtId="164" fontId="33" fillId="2" borderId="2" xfId="1" applyNumberFormat="1" applyFont="1" applyFill="1" applyBorder="1" applyAlignment="1" applyProtection="1">
      <alignment horizontal="center"/>
      <protection locked="0"/>
    </xf>
    <xf numFmtId="3" fontId="36" fillId="2" borderId="2" xfId="5" applyNumberFormat="1" applyFont="1" applyFill="1" applyBorder="1" applyAlignment="1" applyProtection="1">
      <alignment horizontal="right"/>
      <protection locked="0"/>
    </xf>
    <xf numFmtId="3" fontId="36" fillId="2" borderId="2" xfId="5" applyNumberFormat="1" applyFont="1" applyFill="1" applyBorder="1" applyAlignment="1" applyProtection="1">
      <alignment horizontal="center" vertical="center"/>
      <protection locked="0"/>
    </xf>
    <xf numFmtId="164" fontId="35" fillId="2" borderId="0" xfId="1" applyNumberFormat="1" applyFont="1" applyFill="1" applyBorder="1" applyAlignment="1" applyProtection="1">
      <alignment horizontal="center" vertical="center"/>
      <protection locked="0"/>
    </xf>
    <xf numFmtId="164" fontId="35" fillId="2" borderId="0" xfId="1" applyNumberFormat="1" applyFont="1" applyFill="1" applyBorder="1" applyAlignment="1" applyProtection="1">
      <alignment horizontal="right"/>
      <protection locked="0"/>
    </xf>
    <xf numFmtId="164" fontId="36" fillId="2" borderId="0" xfId="1" applyNumberFormat="1" applyFont="1" applyFill="1" applyAlignment="1" applyProtection="1">
      <alignment horizontal="right" vertical="center"/>
      <protection locked="0"/>
    </xf>
    <xf numFmtId="164" fontId="34" fillId="2" borderId="0" xfId="1" applyNumberFormat="1" applyFont="1" applyFill="1" applyBorder="1" applyAlignment="1" applyProtection="1">
      <alignment horizontal="right" vertical="center"/>
      <protection locked="0"/>
    </xf>
    <xf numFmtId="3" fontId="13" fillId="2" borderId="0" xfId="5" applyNumberFormat="1" applyFont="1" applyFill="1" applyBorder="1" applyProtection="1">
      <protection locked="0"/>
    </xf>
    <xf numFmtId="3" fontId="13" fillId="2" borderId="0" xfId="5" applyNumberFormat="1" applyFont="1" applyFill="1" applyProtection="1">
      <protection locked="0"/>
    </xf>
    <xf numFmtId="164" fontId="43" fillId="2" borderId="0" xfId="1" applyNumberFormat="1" applyFont="1" applyFill="1" applyBorder="1" applyAlignment="1" applyProtection="1">
      <alignment horizontal="left" vertical="center" indent="3"/>
      <protection locked="0"/>
    </xf>
    <xf numFmtId="164" fontId="33" fillId="2" borderId="0" xfId="1" applyNumberFormat="1" applyFont="1" applyFill="1" applyBorder="1" applyAlignment="1" applyProtection="1">
      <alignment horizontal="right"/>
      <protection locked="0"/>
    </xf>
    <xf numFmtId="164" fontId="33" fillId="2" borderId="0" xfId="1" applyNumberFormat="1" applyFont="1" applyFill="1" applyBorder="1" applyAlignment="1" applyProtection="1">
      <alignment horizontal="center"/>
      <protection locked="0"/>
    </xf>
    <xf numFmtId="3" fontId="36" fillId="2" borderId="0" xfId="5" applyNumberFormat="1" applyFont="1" applyFill="1" applyBorder="1" applyAlignment="1" applyProtection="1">
      <alignment horizontal="right"/>
      <protection locked="0"/>
    </xf>
    <xf numFmtId="3" fontId="36" fillId="2" borderId="0" xfId="5" applyNumberFormat="1" applyFont="1" applyFill="1" applyBorder="1" applyAlignment="1" applyProtection="1">
      <alignment horizontal="center" vertical="center"/>
      <protection locked="0"/>
    </xf>
    <xf numFmtId="3" fontId="43" fillId="2" borderId="0" xfId="5" applyNumberFormat="1" applyFont="1" applyFill="1" applyAlignment="1" applyProtection="1">
      <alignment vertical="center"/>
      <protection locked="0"/>
    </xf>
    <xf numFmtId="3" fontId="36" fillId="2" borderId="0" xfId="5" applyNumberFormat="1" applyFont="1" applyFill="1" applyAlignment="1" applyProtection="1">
      <alignment horizontal="right"/>
      <protection locked="0"/>
    </xf>
    <xf numFmtId="3" fontId="36" fillId="2" borderId="0" xfId="5" applyNumberFormat="1" applyFont="1" applyFill="1" applyAlignment="1" applyProtection="1">
      <alignment horizontal="center"/>
      <protection locked="0"/>
    </xf>
    <xf numFmtId="3" fontId="36" fillId="2" borderId="0" xfId="5" applyNumberFormat="1" applyFont="1" applyFill="1" applyAlignment="1" applyProtection="1">
      <alignment horizontal="center" vertical="center"/>
      <protection locked="0"/>
    </xf>
    <xf numFmtId="3" fontId="13" fillId="2" borderId="0" xfId="5" applyNumberFormat="1" applyFont="1" applyFill="1" applyAlignment="1" applyProtection="1">
      <alignment horizontal="center"/>
      <protection locked="0"/>
    </xf>
    <xf numFmtId="3" fontId="13" fillId="2" borderId="0" xfId="5" applyNumberFormat="1" applyFont="1" applyFill="1" applyBorder="1" applyAlignment="1" applyProtection="1">
      <alignment horizontal="center"/>
      <protection locked="0"/>
    </xf>
    <xf numFmtId="0" fontId="34" fillId="2" borderId="0" xfId="5" applyFont="1" applyFill="1" applyBorder="1" applyAlignment="1" applyProtection="1">
      <alignment horizontal="right" vertical="center"/>
      <protection locked="0"/>
    </xf>
    <xf numFmtId="0" fontId="36" fillId="2" borderId="0" xfId="5" applyFont="1" applyFill="1" applyAlignment="1" applyProtection="1">
      <alignment horizontal="right" vertical="center"/>
      <protection locked="0"/>
    </xf>
    <xf numFmtId="3" fontId="36" fillId="2" borderId="0" xfId="5" applyNumberFormat="1" applyFont="1" applyFill="1" applyBorder="1" applyAlignment="1" applyProtection="1">
      <alignment horizontal="center"/>
      <protection locked="0"/>
    </xf>
    <xf numFmtId="3" fontId="17" fillId="2" borderId="0" xfId="5" applyNumberFormat="1" applyFont="1" applyFill="1" applyAlignment="1" applyProtection="1">
      <alignment horizontal="right" vertical="center"/>
      <protection locked="0"/>
    </xf>
    <xf numFmtId="3" fontId="17" fillId="2" borderId="0" xfId="5" applyNumberFormat="1" applyFont="1" applyFill="1" applyBorder="1" applyAlignment="1" applyProtection="1">
      <alignment horizontal="right"/>
      <protection locked="0"/>
    </xf>
    <xf numFmtId="3" fontId="17" fillId="2" borderId="0" xfId="5" applyNumberFormat="1" applyFont="1" applyFill="1" applyBorder="1" applyAlignment="1" applyProtection="1">
      <alignment horizontal="center"/>
      <protection locked="0"/>
    </xf>
    <xf numFmtId="3" fontId="17" fillId="2" borderId="0" xfId="5" applyNumberFormat="1" applyFont="1" applyFill="1" applyBorder="1" applyAlignment="1" applyProtection="1">
      <alignment horizontal="center" vertical="center"/>
      <protection locked="0"/>
    </xf>
    <xf numFmtId="164" fontId="11" fillId="2" borderId="0" xfId="1" applyNumberFormat="1" applyFont="1" applyFill="1" applyAlignment="1" applyProtection="1">
      <alignment vertical="center"/>
      <protection locked="0"/>
    </xf>
    <xf numFmtId="49" fontId="44" fillId="2" borderId="0" xfId="1" applyNumberFormat="1" applyFont="1" applyFill="1" applyBorder="1" applyAlignment="1" applyProtection="1">
      <alignment horizontal="right" vertical="center"/>
      <protection locked="0"/>
    </xf>
    <xf numFmtId="164" fontId="44" fillId="2" borderId="0" xfId="1" applyNumberFormat="1" applyFont="1" applyFill="1" applyBorder="1" applyAlignment="1" applyProtection="1">
      <alignment horizontal="right" vertical="center"/>
      <protection locked="0"/>
    </xf>
    <xf numFmtId="37" fontId="44" fillId="2" borderId="0" xfId="1" applyNumberFormat="1" applyFont="1" applyFill="1" applyBorder="1" applyAlignment="1" applyProtection="1">
      <alignment horizontal="right"/>
      <protection locked="0"/>
    </xf>
    <xf numFmtId="37" fontId="44" fillId="2" borderId="0" xfId="1" applyNumberFormat="1" applyFont="1" applyFill="1" applyBorder="1" applyAlignment="1" applyProtection="1">
      <alignment horizontal="center"/>
      <protection locked="0"/>
    </xf>
    <xf numFmtId="164" fontId="44" fillId="2" borderId="0" xfId="1" applyNumberFormat="1" applyFont="1" applyFill="1" applyAlignment="1" applyProtection="1">
      <alignment horizontal="right" vertical="center"/>
      <protection locked="0"/>
    </xf>
    <xf numFmtId="37" fontId="44" fillId="2" borderId="0" xfId="1" applyNumberFormat="1" applyFont="1" applyFill="1" applyBorder="1" applyAlignment="1" applyProtection="1">
      <alignment horizontal="right" vertical="center"/>
      <protection locked="0"/>
    </xf>
    <xf numFmtId="4" fontId="44" fillId="2" borderId="0" xfId="1" applyNumberFormat="1" applyFont="1" applyFill="1" applyBorder="1" applyAlignment="1" applyProtection="1">
      <alignment horizontal="right" vertical="center"/>
      <protection locked="0"/>
    </xf>
    <xf numFmtId="164" fontId="44" fillId="2" borderId="0" xfId="1" applyNumberFormat="1" applyFont="1" applyFill="1" applyBorder="1" applyAlignment="1" applyProtection="1">
      <alignment horizontal="center" vertical="center"/>
      <protection locked="0"/>
    </xf>
    <xf numFmtId="2" fontId="11" fillId="2" borderId="0" xfId="1" applyNumberFormat="1" applyFont="1" applyFill="1" applyBorder="1" applyAlignment="1" applyProtection="1">
      <alignment horizontal="center"/>
      <protection locked="0"/>
    </xf>
    <xf numFmtId="164" fontId="11" fillId="2" borderId="0" xfId="1" applyNumberFormat="1" applyFont="1" applyFill="1" applyBorder="1" applyAlignment="1" applyProtection="1">
      <alignment vertical="center"/>
      <protection locked="0"/>
    </xf>
    <xf numFmtId="164" fontId="44" fillId="2" borderId="0" xfId="1" applyNumberFormat="1" applyFont="1" applyFill="1" applyAlignment="1" applyProtection="1">
      <alignment vertical="center"/>
      <protection locked="0"/>
    </xf>
    <xf numFmtId="3" fontId="36" fillId="2" borderId="0" xfId="5" applyNumberFormat="1" applyFont="1" applyFill="1" applyBorder="1" applyAlignment="1" applyProtection="1">
      <alignment horizontal="left" vertical="center"/>
      <protection locked="0"/>
    </xf>
    <xf numFmtId="3" fontId="17" fillId="2" borderId="0" xfId="5" applyNumberFormat="1" applyFont="1" applyFill="1" applyAlignment="1" applyProtection="1">
      <alignment horizontal="right"/>
      <protection locked="0"/>
    </xf>
    <xf numFmtId="164" fontId="47" fillId="2" borderId="0" xfId="1" applyNumberFormat="1" applyFont="1" applyFill="1" applyBorder="1" applyAlignment="1" applyProtection="1">
      <alignment horizontal="right"/>
      <protection locked="0"/>
    </xf>
    <xf numFmtId="164" fontId="33" fillId="2" borderId="0" xfId="1" applyNumberFormat="1" applyFont="1" applyFill="1" applyAlignment="1" applyProtection="1">
      <alignment horizontal="right"/>
      <protection locked="0"/>
    </xf>
    <xf numFmtId="3" fontId="43" fillId="2" borderId="0" xfId="5" applyNumberFormat="1" applyFont="1" applyFill="1" applyBorder="1" applyAlignment="1" applyProtection="1">
      <alignment horizontal="left" vertical="center"/>
      <protection locked="0"/>
    </xf>
    <xf numFmtId="3" fontId="43" fillId="2" borderId="0" xfId="5" applyNumberFormat="1" applyFont="1" applyFill="1" applyBorder="1" applyAlignment="1" applyProtection="1">
      <alignment horizontal="right"/>
      <protection locked="0"/>
    </xf>
    <xf numFmtId="3" fontId="43" fillId="2" borderId="0" xfId="5" applyNumberFormat="1" applyFont="1" applyFill="1" applyBorder="1" applyAlignment="1" applyProtection="1">
      <alignment horizontal="center"/>
      <protection locked="0"/>
    </xf>
    <xf numFmtId="3" fontId="43" fillId="2" borderId="0" xfId="5" applyNumberFormat="1" applyFont="1" applyFill="1" applyBorder="1" applyAlignment="1" applyProtection="1">
      <alignment horizontal="center" vertical="center"/>
      <protection locked="0"/>
    </xf>
    <xf numFmtId="3" fontId="49" fillId="2" borderId="0" xfId="5" applyNumberFormat="1" applyFont="1" applyFill="1" applyBorder="1" applyAlignment="1" applyProtection="1">
      <alignment horizontal="center"/>
      <protection locked="0"/>
    </xf>
    <xf numFmtId="164" fontId="50" fillId="2" borderId="0" xfId="1" applyNumberFormat="1" applyFont="1" applyFill="1" applyBorder="1" applyAlignment="1" applyProtection="1">
      <alignment horizontal="right"/>
      <protection locked="0"/>
    </xf>
    <xf numFmtId="3" fontId="53" fillId="2" borderId="0" xfId="5" applyNumberFormat="1" applyFont="1" applyFill="1" applyBorder="1" applyAlignment="1" applyProtection="1">
      <alignment horizontal="left" vertical="center" indent="2"/>
      <protection locked="0"/>
    </xf>
    <xf numFmtId="3" fontId="8" fillId="2" borderId="0" xfId="5" applyNumberFormat="1" applyFont="1" applyFill="1" applyBorder="1" applyAlignment="1" applyProtection="1">
      <alignment horizontal="center"/>
      <protection locked="0"/>
    </xf>
    <xf numFmtId="3" fontId="8" fillId="2" borderId="0" xfId="5" applyNumberFormat="1" applyFont="1" applyFill="1" applyBorder="1" applyProtection="1">
      <protection locked="0"/>
    </xf>
    <xf numFmtId="164" fontId="47" fillId="2" borderId="0" xfId="1" applyNumberFormat="1" applyFont="1" applyFill="1" applyBorder="1" applyAlignment="1" applyProtection="1">
      <alignment horizontal="right" vertical="center"/>
      <protection locked="0"/>
    </xf>
    <xf numFmtId="3" fontId="8" fillId="2" borderId="0" xfId="5" applyNumberFormat="1" applyFont="1" applyFill="1" applyBorder="1" applyAlignment="1" applyProtection="1">
      <alignment horizontal="center" vertical="center"/>
      <protection locked="0"/>
    </xf>
    <xf numFmtId="3" fontId="47" fillId="2" borderId="0" xfId="5" applyNumberFormat="1" applyFont="1" applyFill="1" applyBorder="1" applyProtection="1">
      <protection locked="0"/>
    </xf>
    <xf numFmtId="4" fontId="8" fillId="2" borderId="0" xfId="5" applyNumberFormat="1" applyFont="1" applyFill="1" applyBorder="1" applyAlignment="1" applyProtection="1">
      <alignment horizontal="center"/>
      <protection locked="0"/>
    </xf>
    <xf numFmtId="3" fontId="47" fillId="2" borderId="0" xfId="5" applyNumberFormat="1" applyFont="1" applyFill="1" applyBorder="1" applyAlignment="1" applyProtection="1">
      <alignment horizontal="right" readingOrder="2"/>
      <protection locked="0"/>
    </xf>
    <xf numFmtId="3" fontId="53" fillId="2" borderId="0" xfId="5" applyNumberFormat="1" applyFont="1" applyFill="1" applyBorder="1" applyAlignment="1" applyProtection="1">
      <alignment horizontal="center" vertical="center" wrapText="1"/>
      <protection locked="0"/>
    </xf>
    <xf numFmtId="164" fontId="47" fillId="2" borderId="0" xfId="1" applyNumberFormat="1" applyFont="1" applyFill="1" applyBorder="1" applyAlignment="1" applyProtection="1">
      <alignment wrapText="1"/>
      <protection locked="0"/>
    </xf>
    <xf numFmtId="164" fontId="33" fillId="2" borderId="0" xfId="1" applyNumberFormat="1" applyFont="1" applyFill="1" applyBorder="1" applyAlignment="1" applyProtection="1">
      <alignment horizontal="right" wrapText="1"/>
      <protection locked="0"/>
    </xf>
    <xf numFmtId="3" fontId="33" fillId="2" borderId="0" xfId="5" applyNumberFormat="1" applyFont="1" applyFill="1" applyBorder="1" applyAlignment="1" applyProtection="1">
      <alignment horizontal="right" readingOrder="2"/>
      <protection locked="0"/>
    </xf>
    <xf numFmtId="3" fontId="53" fillId="2" borderId="0" xfId="5" applyNumberFormat="1" applyFont="1" applyFill="1" applyBorder="1" applyAlignment="1" applyProtection="1">
      <alignment horizontal="left" vertical="center"/>
      <protection locked="0"/>
    </xf>
    <xf numFmtId="3" fontId="8" fillId="2" borderId="0" xfId="5" applyNumberFormat="1" applyFont="1" applyFill="1" applyBorder="1" applyAlignment="1" applyProtection="1">
      <alignment horizontal="right"/>
      <protection locked="0"/>
    </xf>
    <xf numFmtId="3" fontId="20" fillId="2" borderId="0" xfId="5" applyNumberFormat="1" applyFont="1" applyFill="1" applyBorder="1" applyAlignment="1" applyProtection="1">
      <alignment horizontal="right"/>
      <protection locked="0"/>
    </xf>
    <xf numFmtId="3" fontId="13" fillId="2" borderId="0" xfId="5" applyNumberFormat="1" applyFont="1" applyFill="1" applyBorder="1" applyAlignment="1" applyProtection="1">
      <alignment horizontal="right"/>
      <protection locked="0"/>
    </xf>
    <xf numFmtId="3" fontId="13" fillId="2" borderId="0" xfId="5" applyNumberFormat="1" applyFont="1" applyFill="1" applyBorder="1" applyAlignment="1" applyProtection="1">
      <alignment horizontal="center" vertical="center"/>
      <protection locked="0"/>
    </xf>
    <xf numFmtId="3" fontId="47" fillId="2" borderId="0" xfId="5" applyNumberFormat="1" applyFont="1" applyFill="1" applyBorder="1" applyAlignment="1" applyProtection="1">
      <alignment horizontal="right" vertical="center"/>
      <protection locked="0"/>
    </xf>
    <xf numFmtId="3" fontId="33" fillId="2" borderId="0" xfId="5" applyNumberFormat="1" applyFont="1" applyFill="1" applyBorder="1" applyAlignment="1" applyProtection="1">
      <alignment horizontal="right"/>
      <protection locked="0"/>
    </xf>
    <xf numFmtId="3" fontId="8" fillId="2" borderId="0" xfId="5" applyNumberFormat="1" applyFont="1" applyFill="1" applyAlignment="1">
      <alignment horizontal="right"/>
    </xf>
    <xf numFmtId="3" fontId="8" fillId="2" borderId="0" xfId="5" applyNumberFormat="1" applyFont="1" applyFill="1" applyAlignment="1">
      <alignment horizontal="center"/>
    </xf>
    <xf numFmtId="3" fontId="8" fillId="2" borderId="0" xfId="5" applyNumberFormat="1" applyFont="1" applyFill="1" applyBorder="1" applyAlignment="1">
      <alignment horizontal="center" vertical="center"/>
    </xf>
    <xf numFmtId="3" fontId="8" fillId="2" borderId="0" xfId="5" applyNumberFormat="1" applyFont="1" applyFill="1" applyBorder="1" applyAlignment="1">
      <alignment horizontal="right"/>
    </xf>
    <xf numFmtId="3" fontId="33" fillId="2" borderId="0" xfId="5" applyNumberFormat="1" applyFont="1" applyFill="1" applyAlignment="1">
      <alignment horizontal="right"/>
    </xf>
    <xf numFmtId="3" fontId="8" fillId="2" borderId="0" xfId="5" applyNumberFormat="1" applyFont="1" applyFill="1" applyAlignment="1">
      <alignment horizontal="center" vertical="center"/>
    </xf>
    <xf numFmtId="164" fontId="47" fillId="2" borderId="0" xfId="1" applyNumberFormat="1" applyFont="1" applyFill="1" applyBorder="1" applyAlignment="1" applyProtection="1">
      <alignment horizontal="right" wrapText="1"/>
      <protection locked="0"/>
    </xf>
    <xf numFmtId="3" fontId="53" fillId="2" borderId="0" xfId="5" applyNumberFormat="1" applyFont="1" applyFill="1" applyBorder="1" applyAlignment="1" applyProtection="1">
      <alignment horizontal="left" vertical="center" wrapText="1" indent="2"/>
      <protection locked="0"/>
    </xf>
    <xf numFmtId="3" fontId="17" fillId="2" borderId="10" xfId="5" applyNumberFormat="1" applyFont="1" applyFill="1" applyBorder="1" applyAlignment="1">
      <alignment horizontal="center" vertical="center" wrapText="1"/>
    </xf>
    <xf numFmtId="3" fontId="17" fillId="2" borderId="1" xfId="5" applyNumberFormat="1" applyFont="1" applyFill="1" applyBorder="1" applyAlignment="1">
      <alignment horizontal="center" vertical="center" wrapText="1"/>
    </xf>
    <xf numFmtId="3" fontId="6" fillId="2" borderId="0" xfId="5" applyNumberFormat="1" applyFont="1" applyFill="1" applyAlignment="1">
      <alignment horizontal="center" vertical="center" readingOrder="2"/>
    </xf>
    <xf numFmtId="3" fontId="7" fillId="2" borderId="0" xfId="5" applyNumberFormat="1" applyFont="1" applyFill="1" applyAlignment="1" applyProtection="1">
      <alignment horizontal="center" vertical="center"/>
    </xf>
    <xf numFmtId="49" fontId="14" fillId="2" borderId="6" xfId="6" applyNumberFormat="1" applyFont="1" applyFill="1" applyBorder="1" applyAlignment="1">
      <alignment horizontal="center" vertical="center"/>
    </xf>
    <xf numFmtId="3" fontId="15" fillId="2" borderId="2" xfId="5" applyNumberFormat="1" applyFont="1" applyFill="1" applyBorder="1" applyAlignment="1" applyProtection="1">
      <alignment horizontal="center" vertical="center"/>
    </xf>
    <xf numFmtId="3" fontId="15" fillId="2" borderId="0" xfId="5" applyNumberFormat="1" applyFont="1" applyFill="1" applyBorder="1" applyAlignment="1" applyProtection="1">
      <alignment horizontal="center" vertical="center"/>
    </xf>
    <xf numFmtId="3" fontId="15" fillId="2" borderId="5" xfId="5" applyNumberFormat="1" applyFont="1" applyFill="1" applyBorder="1" applyAlignment="1" applyProtection="1">
      <alignment horizontal="center" vertical="center"/>
    </xf>
    <xf numFmtId="3" fontId="16" fillId="2" borderId="2" xfId="5" applyNumberFormat="1" applyFont="1" applyFill="1" applyBorder="1" applyAlignment="1" applyProtection="1">
      <alignment horizontal="center" wrapText="1"/>
    </xf>
    <xf numFmtId="3" fontId="16" fillId="2" borderId="0" xfId="5" applyNumberFormat="1" applyFont="1" applyFill="1" applyBorder="1" applyAlignment="1" applyProtection="1">
      <alignment horizontal="center" wrapText="1"/>
    </xf>
    <xf numFmtId="3" fontId="16" fillId="2" borderId="5" xfId="5" applyNumberFormat="1" applyFont="1" applyFill="1" applyBorder="1" applyAlignment="1" applyProtection="1">
      <alignment horizontal="center" wrapText="1"/>
    </xf>
    <xf numFmtId="3" fontId="16" fillId="2" borderId="2" xfId="5" applyNumberFormat="1" applyFont="1" applyFill="1" applyBorder="1" applyAlignment="1" applyProtection="1">
      <alignment horizontal="center" vertical="center" wrapText="1"/>
    </xf>
    <xf numFmtId="3" fontId="16" fillId="2" borderId="0" xfId="5" applyNumberFormat="1" applyFont="1" applyFill="1" applyBorder="1" applyAlignment="1" applyProtection="1">
      <alignment horizontal="center" vertical="center" wrapText="1"/>
    </xf>
    <xf numFmtId="3" fontId="16" fillId="2" borderId="5" xfId="5" applyNumberFormat="1" applyFont="1" applyFill="1" applyBorder="1" applyAlignment="1" applyProtection="1">
      <alignment horizontal="center" vertical="center" wrapText="1"/>
    </xf>
    <xf numFmtId="49" fontId="14" fillId="2" borderId="2" xfId="6" applyNumberFormat="1" applyFont="1" applyFill="1" applyBorder="1" applyAlignment="1">
      <alignment horizontal="center" vertical="center"/>
    </xf>
    <xf numFmtId="3" fontId="16" fillId="2" borderId="7" xfId="5" applyNumberFormat="1" applyFont="1" applyFill="1" applyBorder="1" applyAlignment="1">
      <alignment horizontal="center" vertical="center" wrapText="1"/>
    </xf>
    <xf numFmtId="3" fontId="16" fillId="2" borderId="2" xfId="5" applyNumberFormat="1" applyFont="1" applyFill="1" applyBorder="1" applyAlignment="1">
      <alignment horizontal="center" vertical="center" wrapText="1"/>
    </xf>
    <xf numFmtId="164" fontId="47" fillId="2" borderId="0" xfId="1" applyNumberFormat="1" applyFont="1" applyFill="1" applyBorder="1" applyAlignment="1" applyProtection="1">
      <alignment horizontal="right" wrapText="1"/>
      <protection locked="0"/>
    </xf>
    <xf numFmtId="3" fontId="17" fillId="2" borderId="10" xfId="5" applyNumberFormat="1" applyFont="1" applyFill="1" applyBorder="1" applyAlignment="1">
      <alignment horizontal="right" vertical="center" wrapText="1"/>
    </xf>
    <xf numFmtId="3" fontId="17" fillId="2" borderId="1" xfId="5" applyNumberFormat="1" applyFont="1" applyFill="1" applyBorder="1" applyAlignment="1">
      <alignment horizontal="right" vertical="center" wrapText="1"/>
    </xf>
    <xf numFmtId="164" fontId="35" fillId="2" borderId="0" xfId="1" applyNumberFormat="1" applyFont="1" applyFill="1" applyBorder="1" applyAlignment="1" applyProtection="1">
      <alignment horizontal="center" vertical="center"/>
      <protection locked="0"/>
    </xf>
    <xf numFmtId="3" fontId="43" fillId="2" borderId="0" xfId="5" applyNumberFormat="1" applyFont="1" applyFill="1" applyBorder="1" applyAlignment="1" applyProtection="1">
      <alignment horizontal="left" vertical="center" wrapText="1"/>
      <protection locked="0"/>
    </xf>
    <xf numFmtId="3" fontId="53" fillId="2" borderId="0" xfId="5" applyNumberFormat="1" applyFont="1" applyFill="1" applyBorder="1" applyAlignment="1" applyProtection="1">
      <alignment horizontal="left" vertical="center" wrapText="1" indent="2"/>
      <protection locked="0"/>
    </xf>
    <xf numFmtId="3" fontId="15" fillId="2" borderId="2" xfId="5" applyNumberFormat="1" applyFont="1" applyFill="1" applyBorder="1" applyAlignment="1">
      <alignment horizontal="right" vertical="center" wrapText="1"/>
    </xf>
    <xf numFmtId="3" fontId="15" fillId="2" borderId="0" xfId="5" applyNumberFormat="1" applyFont="1" applyFill="1" applyBorder="1" applyAlignment="1">
      <alignment horizontal="right" vertical="center" wrapText="1"/>
    </xf>
    <xf numFmtId="3" fontId="15" fillId="2" borderId="1" xfId="5" applyNumberFormat="1" applyFont="1" applyFill="1" applyBorder="1" applyAlignment="1">
      <alignment horizontal="right" vertical="center" wrapText="1"/>
    </xf>
    <xf numFmtId="49" fontId="14" fillId="2" borderId="5" xfId="6" applyNumberFormat="1" applyFont="1" applyFill="1" applyBorder="1" applyAlignment="1">
      <alignment horizontal="center" vertical="center"/>
    </xf>
    <xf numFmtId="3" fontId="16" fillId="2" borderId="3" xfId="5" applyNumberFormat="1" applyFont="1" applyFill="1" applyBorder="1" applyAlignment="1">
      <alignment horizontal="center" vertical="center" wrapText="1"/>
    </xf>
    <xf numFmtId="3" fontId="16" fillId="2" borderId="0" xfId="5" applyNumberFormat="1" applyFont="1" applyFill="1" applyBorder="1" applyAlignment="1">
      <alignment horizontal="center" vertical="center" wrapText="1"/>
    </xf>
    <xf numFmtId="3" fontId="20" fillId="2" borderId="5" xfId="5" applyNumberFormat="1" applyFont="1" applyFill="1" applyBorder="1" applyAlignment="1" applyProtection="1">
      <alignment horizontal="center" vertical="center"/>
    </xf>
    <xf numFmtId="3" fontId="20" fillId="2" borderId="8" xfId="5" applyNumberFormat="1" applyFont="1" applyFill="1" applyBorder="1" applyAlignment="1">
      <alignment horizontal="center" vertical="center"/>
    </xf>
    <xf numFmtId="3" fontId="20" fillId="2" borderId="5" xfId="5" applyNumberFormat="1" applyFont="1" applyFill="1" applyBorder="1" applyAlignment="1">
      <alignment horizontal="center" vertical="center"/>
    </xf>
    <xf numFmtId="3" fontId="20" fillId="2" borderId="9" xfId="5" applyNumberFormat="1" applyFont="1" applyFill="1" applyBorder="1" applyAlignment="1">
      <alignment horizontal="center" vertical="center" wrapText="1"/>
    </xf>
    <xf numFmtId="3" fontId="20" fillId="2" borderId="5" xfId="5" applyNumberFormat="1" applyFont="1" applyFill="1" applyBorder="1" applyAlignment="1">
      <alignment horizontal="center" vertical="center" wrapText="1"/>
    </xf>
    <xf numFmtId="3" fontId="17" fillId="2" borderId="10" xfId="5" applyNumberFormat="1" applyFont="1" applyFill="1" applyBorder="1" applyAlignment="1">
      <alignment horizontal="center" wrapText="1"/>
    </xf>
    <xf numFmtId="3" fontId="17" fillId="2" borderId="1" xfId="5" applyNumberFormat="1" applyFont="1" applyFill="1" applyBorder="1" applyAlignment="1">
      <alignment horizontal="center" wrapText="1"/>
    </xf>
    <xf numFmtId="3" fontId="48" fillId="2" borderId="0" xfId="5" applyNumberFormat="1" applyFont="1" applyFill="1" applyBorder="1" applyAlignment="1" applyProtection="1">
      <alignment horizontal="right"/>
      <protection locked="0"/>
    </xf>
    <xf numFmtId="164" fontId="33" fillId="2" borderId="0" xfId="1" applyNumberFormat="1" applyFont="1" applyFill="1" applyBorder="1" applyAlignment="1" applyProtection="1">
      <alignment horizontal="right" vertical="center"/>
      <protection locked="0"/>
    </xf>
    <xf numFmtId="3" fontId="33" fillId="2" borderId="0" xfId="5" applyNumberFormat="1" applyFont="1" applyFill="1" applyBorder="1" applyProtection="1">
      <protection locked="0"/>
    </xf>
    <xf numFmtId="0" fontId="53" fillId="2" borderId="0" xfId="10" applyFont="1" applyFill="1" applyBorder="1" applyAlignment="1">
      <alignment vertical="center"/>
    </xf>
    <xf numFmtId="0" fontId="53" fillId="2" borderId="0" xfId="10" applyFont="1" applyFill="1" applyBorder="1" applyAlignment="1">
      <alignment horizontal="left" vertical="center" indent="2"/>
    </xf>
    <xf numFmtId="3" fontId="55" fillId="2" borderId="0" xfId="5" applyNumberFormat="1" applyFont="1" applyFill="1" applyBorder="1" applyAlignment="1" applyProtection="1">
      <alignment horizontal="right"/>
      <protection locked="0"/>
    </xf>
    <xf numFmtId="0" fontId="56" fillId="2" borderId="0" xfId="0" applyFont="1" applyFill="1" applyBorder="1" applyAlignment="1">
      <alignment vertical="center"/>
    </xf>
    <xf numFmtId="0" fontId="57" fillId="2" borderId="0" xfId="0" applyFont="1" applyFill="1" applyBorder="1"/>
    <xf numFmtId="0" fontId="55" fillId="2" borderId="0" xfId="0" applyFont="1" applyFill="1" applyBorder="1"/>
    <xf numFmtId="3" fontId="33" fillId="2" borderId="0" xfId="5" applyNumberFormat="1" applyFont="1" applyFill="1" applyBorder="1" applyAlignment="1">
      <alignment horizontal="right"/>
    </xf>
  </cellXfs>
  <cellStyles count="15">
    <cellStyle name="Comma 3" xfId="9"/>
    <cellStyle name="Comma 4" xfId="4"/>
    <cellStyle name="Comma_II-15(Population) 2" xfId="6"/>
    <cellStyle name="Currency_II-15(Population) 2" xfId="8"/>
    <cellStyle name="Normal" xfId="0" builtinId="0"/>
    <cellStyle name="Normal 11" xfId="10"/>
    <cellStyle name="Normal 2" xfId="7"/>
    <cellStyle name="Normal 20" xfId="3"/>
    <cellStyle name="Normal 32" xfId="11"/>
    <cellStyle name="Normal 4" xfId="14"/>
    <cellStyle name="Normal 44" xfId="12"/>
    <cellStyle name="Normal 48" xfId="13"/>
    <cellStyle name="Normal 5" xfId="2"/>
    <cellStyle name="Normal_3 Population." xfId="1"/>
    <cellStyle name="Normal_II-15(Population) 2" xfId="5"/>
  </cellStyles>
  <dxfs count="0"/>
  <tableStyles count="0" defaultTableStyle="TableStyleMedium2" defaultPivotStyle="PivotStyleLight16"/>
  <colors>
    <mruColors>
      <color rgb="FF336600"/>
      <color rgb="FF990099"/>
      <color rgb="FF663300"/>
      <color rgb="FFFF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  <cell r="AH7" t="str">
            <v>Female</v>
          </cell>
        </row>
        <row r="8">
          <cell r="AF8" t="str">
            <v>0-4</v>
          </cell>
          <cell r="AG8">
            <v>-19113</v>
          </cell>
          <cell r="AH8">
            <v>17859</v>
          </cell>
        </row>
        <row r="9">
          <cell r="AF9" t="str">
            <v>5 - 9</v>
          </cell>
          <cell r="AG9">
            <v>-20840</v>
          </cell>
          <cell r="AH9">
            <v>19919</v>
          </cell>
        </row>
        <row r="10">
          <cell r="AF10" t="str">
            <v>10 - 14</v>
          </cell>
          <cell r="AG10">
            <v>-18286</v>
          </cell>
          <cell r="AH10">
            <v>17584</v>
          </cell>
        </row>
        <row r="11">
          <cell r="AF11" t="str">
            <v>15 - 19</v>
          </cell>
          <cell r="AG11">
            <v>-12343</v>
          </cell>
          <cell r="AH11">
            <v>12562</v>
          </cell>
        </row>
        <row r="12">
          <cell r="AF12" t="str">
            <v>20 - 24</v>
          </cell>
          <cell r="AG12">
            <v>-9944</v>
          </cell>
          <cell r="AH12">
            <v>11077</v>
          </cell>
        </row>
        <row r="13">
          <cell r="AF13" t="str">
            <v>25 - 29</v>
          </cell>
          <cell r="AG13">
            <v>-8802</v>
          </cell>
          <cell r="AH13">
            <v>9389</v>
          </cell>
        </row>
        <row r="14">
          <cell r="AF14" t="str">
            <v>30 - 34</v>
          </cell>
          <cell r="AG14">
            <v>-7579</v>
          </cell>
          <cell r="AH14">
            <v>7785</v>
          </cell>
        </row>
        <row r="15">
          <cell r="AF15" t="str">
            <v>35 - 39</v>
          </cell>
          <cell r="AG15">
            <v>-6315</v>
          </cell>
          <cell r="AH15">
            <v>6317</v>
          </cell>
        </row>
        <row r="16">
          <cell r="AF16" t="str">
            <v>40 - 44</v>
          </cell>
          <cell r="AG16">
            <v>-3625</v>
          </cell>
          <cell r="AH16">
            <v>3297</v>
          </cell>
        </row>
        <row r="17">
          <cell r="AF17" t="str">
            <v>45 - 49</v>
          </cell>
          <cell r="AG17">
            <v>-3369</v>
          </cell>
          <cell r="AH17">
            <v>3215</v>
          </cell>
        </row>
        <row r="18">
          <cell r="AF18" t="str">
            <v>50 - 54</v>
          </cell>
          <cell r="AG18">
            <v>-3205</v>
          </cell>
          <cell r="AH18">
            <v>3042</v>
          </cell>
        </row>
        <row r="19">
          <cell r="AF19" t="str">
            <v>55 - 59</v>
          </cell>
          <cell r="AG19">
            <v>-3240</v>
          </cell>
          <cell r="AH19">
            <v>2722</v>
          </cell>
        </row>
        <row r="20">
          <cell r="AF20" t="str">
            <v>60 - 64</v>
          </cell>
          <cell r="AG20">
            <v>-3010</v>
          </cell>
          <cell r="AH20">
            <v>2284</v>
          </cell>
        </row>
        <row r="21">
          <cell r="AF21" t="str">
            <v>65 - 69</v>
          </cell>
          <cell r="AG21">
            <v>-1897</v>
          </cell>
          <cell r="AH21">
            <v>1304</v>
          </cell>
        </row>
        <row r="22">
          <cell r="AF22" t="str">
            <v>70 - 74</v>
          </cell>
          <cell r="AG22">
            <v>-1279</v>
          </cell>
          <cell r="AH22">
            <v>822</v>
          </cell>
        </row>
        <row r="23">
          <cell r="AF23" t="str">
            <v>75+</v>
          </cell>
          <cell r="AG23">
            <v>-1384</v>
          </cell>
          <cell r="AH23">
            <v>862</v>
          </cell>
        </row>
        <row r="31">
          <cell r="AG31" t="str">
            <v>Male</v>
          </cell>
          <cell r="AH31" t="str">
            <v>Female</v>
          </cell>
        </row>
        <row r="32">
          <cell r="AF32" t="str">
            <v>0-4</v>
          </cell>
          <cell r="AG32">
            <v>-15699</v>
          </cell>
          <cell r="AH32">
            <v>15213</v>
          </cell>
        </row>
        <row r="33">
          <cell r="AF33" t="str">
            <v>5 - 9</v>
          </cell>
          <cell r="AG33">
            <v>-19336</v>
          </cell>
          <cell r="AH33">
            <v>18591</v>
          </cell>
        </row>
        <row r="34">
          <cell r="AF34" t="str">
            <v>10 - 14</v>
          </cell>
          <cell r="AG34">
            <v>-20897</v>
          </cell>
          <cell r="AH34">
            <v>20192</v>
          </cell>
        </row>
        <row r="35">
          <cell r="AF35" t="str">
            <v>15 - 19</v>
          </cell>
          <cell r="AG35">
            <v>-16590</v>
          </cell>
          <cell r="AH35">
            <v>16676</v>
          </cell>
        </row>
        <row r="36">
          <cell r="AF36" t="str">
            <v>20 - 24</v>
          </cell>
          <cell r="AG36">
            <v>-11620</v>
          </cell>
          <cell r="AH36">
            <v>11894</v>
          </cell>
        </row>
        <row r="37">
          <cell r="AF37" t="str">
            <v>25 - 29</v>
          </cell>
          <cell r="AG37">
            <v>-9805</v>
          </cell>
          <cell r="AH37">
            <v>10285</v>
          </cell>
        </row>
        <row r="38">
          <cell r="AF38" t="str">
            <v>30 - 34</v>
          </cell>
          <cell r="AG38">
            <v>-8890</v>
          </cell>
          <cell r="AH38">
            <v>9271</v>
          </cell>
        </row>
        <row r="39">
          <cell r="AF39" t="str">
            <v>35 - 39</v>
          </cell>
          <cell r="AG39">
            <v>-7828</v>
          </cell>
          <cell r="AH39">
            <v>7871</v>
          </cell>
        </row>
        <row r="40">
          <cell r="AF40" t="str">
            <v>40 - 44</v>
          </cell>
          <cell r="AG40">
            <v>-6272</v>
          </cell>
          <cell r="AH40">
            <v>6130</v>
          </cell>
        </row>
        <row r="41">
          <cell r="AF41" t="str">
            <v>45 - 49</v>
          </cell>
          <cell r="AG41">
            <v>-3977</v>
          </cell>
          <cell r="AH41">
            <v>3484</v>
          </cell>
        </row>
        <row r="42">
          <cell r="AF42" t="str">
            <v>50 - 54</v>
          </cell>
          <cell r="AG42">
            <v>-3051</v>
          </cell>
          <cell r="AH42">
            <v>2916</v>
          </cell>
        </row>
        <row r="43">
          <cell r="AF43" t="str">
            <v>55 - 59</v>
          </cell>
          <cell r="AG43">
            <v>-3131</v>
          </cell>
          <cell r="AH43">
            <v>2865</v>
          </cell>
        </row>
        <row r="44">
          <cell r="AF44" t="str">
            <v>60 - 64</v>
          </cell>
          <cell r="AG44">
            <v>-3370</v>
          </cell>
          <cell r="AH44">
            <v>2942</v>
          </cell>
        </row>
        <row r="45">
          <cell r="AF45" t="str">
            <v>65 - 69</v>
          </cell>
          <cell r="AG45">
            <v>-2650</v>
          </cell>
          <cell r="AH45">
            <v>1961</v>
          </cell>
        </row>
        <row r="46">
          <cell r="AF46" t="str">
            <v>70 - 74</v>
          </cell>
          <cell r="AG46">
            <v>-1737</v>
          </cell>
          <cell r="AH46">
            <v>1136</v>
          </cell>
        </row>
        <row r="47">
          <cell r="AF47" t="str">
            <v>75+</v>
          </cell>
          <cell r="AG47">
            <v>-1532</v>
          </cell>
          <cell r="AH47">
            <v>1013</v>
          </cell>
        </row>
        <row r="56">
          <cell r="AG56" t="str">
            <v>Male</v>
          </cell>
          <cell r="AH56" t="str">
            <v>Female</v>
          </cell>
        </row>
        <row r="57">
          <cell r="AF57" t="str">
            <v>0-4</v>
          </cell>
          <cell r="AG57">
            <v>-13362</v>
          </cell>
          <cell r="AH57">
            <v>12809</v>
          </cell>
        </row>
        <row r="58">
          <cell r="AF58" t="str">
            <v>5 - 9</v>
          </cell>
          <cell r="AG58">
            <v>-15352</v>
          </cell>
          <cell r="AH58">
            <v>14515</v>
          </cell>
        </row>
        <row r="59">
          <cell r="AF59" t="str">
            <v>10 - 14</v>
          </cell>
          <cell r="AG59">
            <v>-19111</v>
          </cell>
          <cell r="AH59">
            <v>17888</v>
          </cell>
        </row>
        <row r="60">
          <cell r="AF60" t="str">
            <v>15 - 19</v>
          </cell>
          <cell r="AG60">
            <v>-20155</v>
          </cell>
          <cell r="AH60">
            <v>19749</v>
          </cell>
        </row>
        <row r="61">
          <cell r="AF61" t="str">
            <v>20 - 24</v>
          </cell>
          <cell r="AG61">
            <v>-16933</v>
          </cell>
          <cell r="AH61">
            <v>17876</v>
          </cell>
        </row>
        <row r="62">
          <cell r="AF62" t="str">
            <v>25 - 29</v>
          </cell>
          <cell r="AG62">
            <v>-11915</v>
          </cell>
          <cell r="AH62">
            <v>12666</v>
          </cell>
        </row>
        <row r="63">
          <cell r="AF63" t="str">
            <v>30 - 34</v>
          </cell>
          <cell r="AG63">
            <v>-10022</v>
          </cell>
          <cell r="AH63">
            <v>10613</v>
          </cell>
        </row>
        <row r="64">
          <cell r="AF64" t="str">
            <v>35 - 39</v>
          </cell>
          <cell r="AG64">
            <v>-8780</v>
          </cell>
          <cell r="AH64">
            <v>9394</v>
          </cell>
        </row>
        <row r="65">
          <cell r="AF65" t="str">
            <v>40 - 44</v>
          </cell>
          <cell r="AG65">
            <v>-7828</v>
          </cell>
          <cell r="AH65">
            <v>8043</v>
          </cell>
        </row>
        <row r="66">
          <cell r="AF66" t="str">
            <v>45 - 49</v>
          </cell>
          <cell r="AG66">
            <v>-6872</v>
          </cell>
          <cell r="AH66">
            <v>6697</v>
          </cell>
        </row>
        <row r="67">
          <cell r="AF67" t="str">
            <v>50 - 54</v>
          </cell>
          <cell r="AG67">
            <v>-4147</v>
          </cell>
          <cell r="AH67">
            <v>3789</v>
          </cell>
        </row>
        <row r="68">
          <cell r="AF68" t="str">
            <v>55 - 59</v>
          </cell>
          <cell r="AG68">
            <v>-3046</v>
          </cell>
          <cell r="AH68">
            <v>2813</v>
          </cell>
        </row>
        <row r="69">
          <cell r="AF69" t="str">
            <v>60 - 64</v>
          </cell>
          <cell r="AG69">
            <v>-2852</v>
          </cell>
          <cell r="AH69">
            <v>2714</v>
          </cell>
        </row>
        <row r="70">
          <cell r="AF70" t="str">
            <v>65 - 69</v>
          </cell>
          <cell r="AG70">
            <v>-3014</v>
          </cell>
          <cell r="AH70">
            <v>2664</v>
          </cell>
        </row>
        <row r="71">
          <cell r="AF71" t="str">
            <v>70 - 74</v>
          </cell>
          <cell r="AG71">
            <v>-2333</v>
          </cell>
          <cell r="AH71">
            <v>1853</v>
          </cell>
        </row>
        <row r="72">
          <cell r="AF72" t="str">
            <v>75+</v>
          </cell>
          <cell r="AG72">
            <v>-2443</v>
          </cell>
          <cell r="AH72">
            <v>1637</v>
          </cell>
        </row>
        <row r="79">
          <cell r="AF79" t="str">
            <v>0-4</v>
          </cell>
          <cell r="AG79">
            <v>-18863</v>
          </cell>
          <cell r="AH79">
            <v>17223</v>
          </cell>
        </row>
        <row r="80">
          <cell r="AF80" t="str">
            <v>5 - 9</v>
          </cell>
          <cell r="AG80">
            <v>-16364</v>
          </cell>
          <cell r="AH80">
            <v>15616</v>
          </cell>
        </row>
        <row r="81">
          <cell r="AF81" t="str">
            <v>10 - 14</v>
          </cell>
          <cell r="AG81">
            <v>-13571</v>
          </cell>
          <cell r="AH81">
            <v>12787</v>
          </cell>
        </row>
        <row r="82">
          <cell r="AF82" t="str">
            <v>15 - 19</v>
          </cell>
          <cell r="AG82">
            <v>-15922</v>
          </cell>
          <cell r="AH82">
            <v>15461</v>
          </cell>
        </row>
        <row r="83">
          <cell r="AF83" t="str">
            <v>20 - 24</v>
          </cell>
          <cell r="AG83">
            <v>-19349</v>
          </cell>
          <cell r="AH83">
            <v>18537</v>
          </cell>
        </row>
        <row r="84">
          <cell r="AF84" t="str">
            <v>25 - 29</v>
          </cell>
          <cell r="AG84">
            <v>-19451</v>
          </cell>
          <cell r="AH84">
            <v>19738</v>
          </cell>
        </row>
        <row r="85">
          <cell r="AF85" t="str">
            <v>30 - 34</v>
          </cell>
          <cell r="AG85">
            <v>-15494</v>
          </cell>
          <cell r="AH85">
            <v>15868</v>
          </cell>
        </row>
        <row r="86">
          <cell r="AF86" t="str">
            <v>35 - 39</v>
          </cell>
          <cell r="AG86">
            <v>-11386</v>
          </cell>
          <cell r="AH86">
            <v>11518</v>
          </cell>
        </row>
        <row r="87">
          <cell r="AF87" t="str">
            <v>40 - 44</v>
          </cell>
          <cell r="AG87">
            <v>-9811</v>
          </cell>
          <cell r="AH87">
            <v>10064</v>
          </cell>
        </row>
        <row r="88">
          <cell r="AF88" t="str">
            <v>45 - 49</v>
          </cell>
          <cell r="AG88">
            <v>-8784</v>
          </cell>
          <cell r="AH88">
            <v>8795</v>
          </cell>
        </row>
        <row r="89">
          <cell r="AF89" t="str">
            <v>50 - 54</v>
          </cell>
          <cell r="AG89">
            <v>-7645</v>
          </cell>
          <cell r="AH89">
            <v>7405</v>
          </cell>
        </row>
        <row r="90">
          <cell r="AF90" t="str">
            <v>55 - 59</v>
          </cell>
          <cell r="AG90">
            <v>-6031</v>
          </cell>
          <cell r="AH90">
            <v>5672</v>
          </cell>
        </row>
        <row r="91">
          <cell r="AF91" t="str">
            <v>60 - 64</v>
          </cell>
          <cell r="AG91">
            <v>-3327</v>
          </cell>
          <cell r="AH91">
            <v>2922</v>
          </cell>
        </row>
        <row r="92">
          <cell r="AF92" t="str">
            <v>65 - 69</v>
          </cell>
          <cell r="AG92">
            <v>-2445</v>
          </cell>
          <cell r="AH92">
            <v>2426</v>
          </cell>
        </row>
        <row r="93">
          <cell r="AF93" t="str">
            <v>70 - 74</v>
          </cell>
          <cell r="AG93">
            <v>-2471</v>
          </cell>
          <cell r="AH93">
            <v>2372</v>
          </cell>
        </row>
        <row r="94">
          <cell r="AF94" t="str">
            <v>75+</v>
          </cell>
          <cell r="AG94">
            <v>-3752</v>
          </cell>
          <cell r="AH94">
            <v>2953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  <cell r="AF4" t="str">
            <v>Resident Foreigners 2019</v>
          </cell>
        </row>
        <row r="5">
          <cell r="AD5" t="str">
            <v>Male</v>
          </cell>
          <cell r="AE5" t="str">
            <v>Female</v>
          </cell>
          <cell r="AF5" t="str">
            <v>Male</v>
          </cell>
          <cell r="AG5" t="str">
            <v>Female</v>
          </cell>
        </row>
        <row r="6">
          <cell r="AC6" t="str">
            <v xml:space="preserve">  0-4</v>
          </cell>
          <cell r="AD6">
            <v>-19724.416485149974</v>
          </cell>
          <cell r="AE6">
            <v>18162.416485149974</v>
          </cell>
          <cell r="AF6">
            <v>-815.97856670881845</v>
          </cell>
          <cell r="AG6">
            <v>578.02289746464908</v>
          </cell>
        </row>
        <row r="7">
          <cell r="AC7" t="str">
            <v xml:space="preserve">  5-9</v>
          </cell>
          <cell r="AD7">
            <v>-18614.694141916621</v>
          </cell>
          <cell r="AE7">
            <v>16897.138828383326</v>
          </cell>
          <cell r="AF7">
            <v>-472.96968028534508</v>
          </cell>
          <cell r="AG7">
            <v>273.40823825715955</v>
          </cell>
        </row>
        <row r="8">
          <cell r="AC8" t="str">
            <v xml:space="preserve"> 10-14</v>
          </cell>
          <cell r="AD8">
            <v>-16219.555313533299</v>
          </cell>
          <cell r="AE8">
            <v>15422.555313533299</v>
          </cell>
          <cell r="AF8">
            <v>-269.3419260358865</v>
          </cell>
          <cell r="AG8">
            <v>137.64032738660978</v>
          </cell>
        </row>
        <row r="9">
          <cell r="AC9" t="str">
            <v xml:space="preserve"> 15-19</v>
          </cell>
          <cell r="AD9">
            <v>-14451.314340309933</v>
          </cell>
          <cell r="AE9">
            <v>12838.275478566336</v>
          </cell>
          <cell r="AF9">
            <v>-2735.8487528397136</v>
          </cell>
          <cell r="AG9">
            <v>236.80233907298222</v>
          </cell>
        </row>
        <row r="10">
          <cell r="AC10" t="str">
            <v xml:space="preserve"> 20-24</v>
          </cell>
          <cell r="AD10">
            <v>-19043.819094086619</v>
          </cell>
          <cell r="AE10">
            <v>15548.212541331939</v>
          </cell>
          <cell r="AF10">
            <v>-26281.020701051348</v>
          </cell>
          <cell r="AG10">
            <v>1560.756590145168</v>
          </cell>
        </row>
        <row r="11">
          <cell r="AC11" t="str">
            <v xml:space="preserve"> 25-29</v>
          </cell>
          <cell r="AD11">
            <v>-18815.148912373446</v>
          </cell>
          <cell r="AE11">
            <v>17735.494554499215</v>
          </cell>
          <cell r="AF11">
            <v>-42810.005150890131</v>
          </cell>
          <cell r="AG11">
            <v>3829.646623308925</v>
          </cell>
        </row>
        <row r="12">
          <cell r="AC12" t="str">
            <v xml:space="preserve"> 30-34</v>
          </cell>
          <cell r="AD12">
            <v>-18471.758680914587</v>
          </cell>
          <cell r="AE12">
            <v>19192.108448866282</v>
          </cell>
          <cell r="AF12">
            <v>-30029.426498622553</v>
          </cell>
          <cell r="AG12">
            <v>3063.7032320789885</v>
          </cell>
        </row>
        <row r="13">
          <cell r="AC13" t="str">
            <v xml:space="preserve"> 35-39</v>
          </cell>
          <cell r="AD13">
            <v>-14631.891205271668</v>
          </cell>
          <cell r="AE13">
            <v>15573.637739283167</v>
          </cell>
          <cell r="AF13">
            <v>-19238.369187388162</v>
          </cell>
          <cell r="AG13">
            <v>2040.7047695430938</v>
          </cell>
        </row>
        <row r="14">
          <cell r="AC14" t="str">
            <v xml:space="preserve"> 40-44</v>
          </cell>
          <cell r="AD14">
            <v>-11020.689554941297</v>
          </cell>
          <cell r="AE14">
            <v>11390.943597366544</v>
          </cell>
          <cell r="AF14">
            <v>-11973.313403508051</v>
          </cell>
          <cell r="AG14">
            <v>1155.9770250405613</v>
          </cell>
        </row>
        <row r="15">
          <cell r="AC15" t="str">
            <v xml:space="preserve"> 45-49</v>
          </cell>
          <cell r="AD15">
            <v>-9382.7937626943021</v>
          </cell>
          <cell r="AE15">
            <v>9914.5553135332993</v>
          </cell>
          <cell r="AF15">
            <v>-6837.1672357207717</v>
          </cell>
          <cell r="AG15">
            <v>757.71444886177483</v>
          </cell>
        </row>
        <row r="16">
          <cell r="AC16" t="str">
            <v xml:space="preserve"> 50-54</v>
          </cell>
          <cell r="AD16">
            <v>-8383.806831896185</v>
          </cell>
          <cell r="AE16">
            <v>8588.3882838332465</v>
          </cell>
          <cell r="AF16">
            <v>-3232.4764221897558</v>
          </cell>
          <cell r="AG16">
            <v>409.00422440586743</v>
          </cell>
        </row>
        <row r="17">
          <cell r="AC17" t="str">
            <v xml:space="preserve"> 55-59</v>
          </cell>
          <cell r="AD17">
            <v>-7092.5704456481444</v>
          </cell>
          <cell r="AE17">
            <v>7154.4164851499736</v>
          </cell>
          <cell r="AF17">
            <v>-1274.0356562071674</v>
          </cell>
          <cell r="AG17">
            <v>231.07620386763517</v>
          </cell>
        </row>
        <row r="18">
          <cell r="AC18" t="str">
            <v xml:space="preserve"> 60-64</v>
          </cell>
          <cell r="AD18">
            <v>-5527.6051815658129</v>
          </cell>
          <cell r="AE18">
            <v>5403.4164851499736</v>
          </cell>
          <cell r="AF18">
            <v>-476.94839289090748</v>
          </cell>
          <cell r="AG18">
            <v>100.89688842495897</v>
          </cell>
        </row>
        <row r="19">
          <cell r="AC19" t="str">
            <v xml:space="preserve"> 65-69</v>
          </cell>
          <cell r="AD19">
            <v>-2935.830792099634</v>
          </cell>
          <cell r="AE19">
            <v>2695</v>
          </cell>
          <cell r="AF19">
            <v>-170.05418680278638</v>
          </cell>
          <cell r="AG19">
            <v>36.686130721036911</v>
          </cell>
        </row>
        <row r="20">
          <cell r="AC20" t="str">
            <v xml:space="preserve"> 70-74</v>
          </cell>
          <cell r="AD20">
            <v>-2029.9435973665447</v>
          </cell>
          <cell r="AE20">
            <v>2125.1388283833248</v>
          </cell>
          <cell r="AF20">
            <v>-80.99079911261019</v>
          </cell>
          <cell r="AG20">
            <v>10.999535309843537</v>
          </cell>
        </row>
        <row r="21">
          <cell r="AC21" t="str">
            <v xml:space="preserve"> 75+</v>
          </cell>
          <cell r="AD21">
            <v>-4047.6941419166233</v>
          </cell>
          <cell r="AE21">
            <v>3704.1388283833248</v>
          </cell>
          <cell r="AF21">
            <v>-75.579123400131138</v>
          </cell>
          <cell r="AG21">
            <v>5.5083638910138646</v>
          </cell>
        </row>
        <row r="31">
          <cell r="AD31" t="str">
            <v>Residential Maldivian 2030</v>
          </cell>
          <cell r="AF31" t="str">
            <v>Resident Foreigners 2030</v>
          </cell>
        </row>
        <row r="32">
          <cell r="AD32" t="str">
            <v>Male</v>
          </cell>
          <cell r="AE32" t="str">
            <v>Female</v>
          </cell>
          <cell r="AF32" t="str">
            <v>Male</v>
          </cell>
          <cell r="AG32" t="str">
            <v>Female</v>
          </cell>
        </row>
        <row r="33">
          <cell r="AC33" t="str">
            <v xml:space="preserve">  0-4</v>
          </cell>
          <cell r="AD33">
            <v>-17612.54765760661</v>
          </cell>
          <cell r="AE33">
            <v>16348.547657606612</v>
          </cell>
          <cell r="AF33">
            <v>-1157.9287043641234</v>
          </cell>
          <cell r="AG33">
            <v>820.25353613593177</v>
          </cell>
        </row>
        <row r="34">
          <cell r="AC34" t="str">
            <v xml:space="preserve">  5-9</v>
          </cell>
          <cell r="AD34">
            <v>-18841.579429344354</v>
          </cell>
          <cell r="AE34">
            <v>17330.51588586887</v>
          </cell>
          <cell r="AF34">
            <v>-671.17592476146115</v>
          </cell>
          <cell r="AG34">
            <v>387.98475842878872</v>
          </cell>
        </row>
        <row r="35">
          <cell r="AC35" t="str">
            <v xml:space="preserve"> 10-14</v>
          </cell>
          <cell r="AD35">
            <v>-19544.063543475484</v>
          </cell>
          <cell r="AE35">
            <v>17864.063543475484</v>
          </cell>
          <cell r="AF35">
            <v>-382.21438671313183</v>
          </cell>
          <cell r="AG35">
            <v>195.32092197208985</v>
          </cell>
        </row>
        <row r="36">
          <cell r="AC36" t="str">
            <v xml:space="preserve"> 15-19</v>
          </cell>
          <cell r="AD36">
            <v>-20066.779776636948</v>
          </cell>
          <cell r="AE36">
            <v>17018.603663017082</v>
          </cell>
          <cell r="AF36">
            <v>-3882.3541830141735</v>
          </cell>
          <cell r="AG36">
            <v>336.03851480944616</v>
          </cell>
        </row>
        <row r="37">
          <cell r="AC37" t="str">
            <v xml:space="preserve"> 20-24</v>
          </cell>
          <cell r="AD37">
            <v>-22716.290361734587</v>
          </cell>
          <cell r="AE37">
            <v>16906.541739019292</v>
          </cell>
          <cell r="AF37">
            <v>-37294.543620769597</v>
          </cell>
          <cell r="AG37">
            <v>2214.8190283280746</v>
          </cell>
        </row>
        <row r="38">
          <cell r="AC38" t="str">
            <v xml:space="preserve"> 25-29</v>
          </cell>
          <cell r="AD38">
            <v>-18331.420128317488</v>
          </cell>
          <cell r="AE38">
            <v>12976.429728198351</v>
          </cell>
          <cell r="AF38">
            <v>-60750.289064738405</v>
          </cell>
          <cell r="AG38">
            <v>5434.5272457174424</v>
          </cell>
        </row>
        <row r="39">
          <cell r="AC39" t="str">
            <v xml:space="preserve"> 30-34</v>
          </cell>
          <cell r="AD39">
            <v>-18446.18638980946</v>
          </cell>
          <cell r="AE39">
            <v>14632.698978230304</v>
          </cell>
          <cell r="AF39">
            <v>-42613.784647061708</v>
          </cell>
          <cell r="AG39">
            <v>4347.6018351635703</v>
          </cell>
        </row>
        <row r="40">
          <cell r="AC40" t="str">
            <v xml:space="preserve"> 35-39</v>
          </cell>
          <cell r="AD40">
            <v>-16998.77117841769</v>
          </cell>
          <cell r="AE40">
            <v>16851.801831508539</v>
          </cell>
          <cell r="AF40">
            <v>-27300.545401678988</v>
          </cell>
          <cell r="AG40">
            <v>2895.8979147180862</v>
          </cell>
        </row>
        <row r="41">
          <cell r="AC41" t="str">
            <v xml:space="preserve"> 40-44</v>
          </cell>
          <cell r="AD41">
            <v>-17280.369983001696</v>
          </cell>
          <cell r="AE41">
            <v>18907.222402164189</v>
          </cell>
          <cell r="AF41">
            <v>-16990.940500054967</v>
          </cell>
          <cell r="AG41">
            <v>1640.4094831544364</v>
          </cell>
        </row>
        <row r="42">
          <cell r="AC42" t="str">
            <v xml:space="preserve"> 45-49</v>
          </cell>
          <cell r="AD42">
            <v>-14798.389358241351</v>
          </cell>
          <cell r="AE42">
            <v>16686.063543475484</v>
          </cell>
          <cell r="AF42">
            <v>-9702.4021485164158</v>
          </cell>
          <cell r="AG42">
            <v>1075.2479854799701</v>
          </cell>
        </row>
        <row r="43">
          <cell r="AC43" t="str">
            <v xml:space="preserve"> 50-54</v>
          </cell>
          <cell r="AD43">
            <v>-10751.958010565308</v>
          </cell>
          <cell r="AE43">
            <v>11935.158858688706</v>
          </cell>
          <cell r="AF43">
            <v>-4587.1023923223202</v>
          </cell>
          <cell r="AG43">
            <v>580.40462209192083</v>
          </cell>
        </row>
        <row r="44">
          <cell r="AC44" t="str">
            <v xml:space="preserve"> 55-59</v>
          </cell>
          <cell r="AD44">
            <v>-8602.8836900694314</v>
          </cell>
          <cell r="AE44">
            <v>9795.5476576066121</v>
          </cell>
          <cell r="AF44">
            <v>-1807.9426554743077</v>
          </cell>
          <cell r="AG44">
            <v>327.91274216068092</v>
          </cell>
        </row>
        <row r="45">
          <cell r="AC45" t="str">
            <v xml:space="preserve"> 60-64</v>
          </cell>
          <cell r="AD45">
            <v>-7288.5568151493153</v>
          </cell>
          <cell r="AE45">
            <v>8232.5476576066121</v>
          </cell>
          <cell r="AF45">
            <v>-676.82198670519392</v>
          </cell>
          <cell r="AG45">
            <v>143.17950011789392</v>
          </cell>
        </row>
        <row r="46">
          <cell r="AC46" t="str">
            <v xml:space="preserve"> 65-69</v>
          </cell>
          <cell r="AD46">
            <v>-6204.6672064925642</v>
          </cell>
          <cell r="AE46">
            <v>6786</v>
          </cell>
          <cell r="AF46">
            <v>-241.31837799425</v>
          </cell>
          <cell r="AG46">
            <v>52.060097589673653</v>
          </cell>
        </row>
        <row r="47">
          <cell r="AC47" t="str">
            <v xml:space="preserve"> 70-74</v>
          </cell>
          <cell r="AD47">
            <v>-4648.2224021641878</v>
          </cell>
          <cell r="AE47">
            <v>4972.515885868871</v>
          </cell>
          <cell r="AF47">
            <v>-114.93141475534074</v>
          </cell>
          <cell r="AG47">
            <v>15.609083607804646</v>
          </cell>
        </row>
        <row r="48">
          <cell r="AC48" t="str">
            <v xml:space="preserve"> 75+</v>
          </cell>
          <cell r="AD48">
            <v>-4509.5794293443523</v>
          </cell>
          <cell r="AE48">
            <v>4660.5158858688701</v>
          </cell>
          <cell r="AF48">
            <v>-107.25188136825139</v>
          </cell>
          <cell r="AG48">
            <v>7.8167404435806649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  <cell r="T97" t="str">
            <v>20 - 24</v>
          </cell>
          <cell r="U97" t="str">
            <v>25 - 29</v>
          </cell>
          <cell r="V97" t="str">
            <v>30 - 34</v>
          </cell>
          <cell r="W97" t="str">
            <v>35 - 39</v>
          </cell>
          <cell r="X97" t="str">
            <v>40 - 44</v>
          </cell>
          <cell r="Y97" t="str">
            <v>45 - 49</v>
          </cell>
          <cell r="Z97" t="str">
            <v>50 &amp; Over</v>
          </cell>
        </row>
        <row r="98">
          <cell r="R98" t="str">
            <v>Persons married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</row>
        <row r="99">
          <cell r="R99" t="str">
            <v>Persons divorced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  <cell r="H4">
            <v>2015</v>
          </cell>
        </row>
        <row r="5">
          <cell r="F5" t="str">
            <v>Male</v>
          </cell>
          <cell r="G5" t="str">
            <v>Female</v>
          </cell>
          <cell r="H5" t="str">
            <v>Male</v>
          </cell>
          <cell r="I5" t="str">
            <v>Female</v>
          </cell>
        </row>
        <row r="8">
          <cell r="A8" t="str">
            <v>First</v>
          </cell>
          <cell r="F8">
            <v>3085</v>
          </cell>
          <cell r="G8">
            <v>3021</v>
          </cell>
          <cell r="H8">
            <v>3026</v>
          </cell>
          <cell r="I8">
            <v>2999</v>
          </cell>
        </row>
        <row r="9">
          <cell r="A9" t="str">
            <v>Second</v>
          </cell>
          <cell r="F9">
            <v>1451</v>
          </cell>
          <cell r="G9">
            <v>1442</v>
          </cell>
          <cell r="H9">
            <v>1464</v>
          </cell>
          <cell r="I9">
            <v>1547</v>
          </cell>
        </row>
        <row r="10">
          <cell r="A10" t="str">
            <v xml:space="preserve">Third </v>
          </cell>
          <cell r="F10">
            <v>535</v>
          </cell>
          <cell r="G10">
            <v>586</v>
          </cell>
          <cell r="H10">
            <v>635</v>
          </cell>
          <cell r="I10">
            <v>631</v>
          </cell>
        </row>
        <row r="11">
          <cell r="A11" t="str">
            <v>Fourth or more</v>
          </cell>
          <cell r="F11">
            <v>516</v>
          </cell>
          <cell r="G11">
            <v>538</v>
          </cell>
          <cell r="H11">
            <v>638</v>
          </cell>
          <cell r="I11">
            <v>586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E343"/>
  <sheetViews>
    <sheetView tabSelected="1" topLeftCell="A91" zoomScaleNormal="100" zoomScaleSheetLayoutView="39" workbookViewId="0">
      <selection activeCell="S232" sqref="S232"/>
    </sheetView>
  </sheetViews>
  <sheetFormatPr defaultRowHeight="12.75"/>
  <cols>
    <col min="1" max="1" width="29.42578125" style="18" customWidth="1"/>
    <col min="2" max="4" width="8.85546875" style="194" hidden="1" customWidth="1"/>
    <col min="5" max="5" width="11" style="194" hidden="1" customWidth="1"/>
    <col min="6" max="6" width="10.28515625" style="194" hidden="1" customWidth="1"/>
    <col min="7" max="9" width="8.85546875" style="194" hidden="1" customWidth="1"/>
    <col min="10" max="10" width="12.5703125" style="198" hidden="1" customWidth="1"/>
    <col min="11" max="13" width="8.85546875" style="194" customWidth="1"/>
    <col min="14" max="14" width="1.28515625" style="194" customWidth="1"/>
    <col min="15" max="15" width="16.42578125" style="194" customWidth="1"/>
    <col min="16" max="16" width="13.42578125" style="194" customWidth="1"/>
    <col min="17" max="17" width="10.28515625" style="194" customWidth="1"/>
    <col min="18" max="18" width="11.7109375" style="194" customWidth="1"/>
    <col min="19" max="19" width="2" style="194" customWidth="1"/>
    <col min="20" max="20" width="32.7109375" style="193" customWidth="1"/>
    <col min="21" max="21" width="2.140625" style="197" customWidth="1"/>
    <col min="22" max="22" width="9.140625" style="196"/>
    <col min="23" max="23" width="8.5703125" style="3" customWidth="1"/>
    <col min="24" max="83" width="9.140625" style="3"/>
    <col min="84" max="256" width="9.140625" style="4"/>
    <col min="257" max="257" width="29.42578125" style="4" customWidth="1"/>
    <col min="258" max="266" width="0" style="4" hidden="1" customWidth="1"/>
    <col min="267" max="269" width="8.85546875" style="4" customWidth="1"/>
    <col min="270" max="270" width="1.28515625" style="4" customWidth="1"/>
    <col min="271" max="271" width="16.42578125" style="4" customWidth="1"/>
    <col min="272" max="272" width="13.42578125" style="4" customWidth="1"/>
    <col min="273" max="273" width="10.28515625" style="4" customWidth="1"/>
    <col min="274" max="275" width="11.7109375" style="4" customWidth="1"/>
    <col min="276" max="276" width="28.5703125" style="4" customWidth="1"/>
    <col min="277" max="277" width="2.140625" style="4" customWidth="1"/>
    <col min="278" max="278" width="9.140625" style="4"/>
    <col min="279" max="279" width="8.5703125" style="4" customWidth="1"/>
    <col min="280" max="512" width="9.140625" style="4"/>
    <col min="513" max="513" width="29.42578125" style="4" customWidth="1"/>
    <col min="514" max="522" width="0" style="4" hidden="1" customWidth="1"/>
    <col min="523" max="525" width="8.85546875" style="4" customWidth="1"/>
    <col min="526" max="526" width="1.28515625" style="4" customWidth="1"/>
    <col min="527" max="527" width="16.42578125" style="4" customWidth="1"/>
    <col min="528" max="528" width="13.42578125" style="4" customWidth="1"/>
    <col min="529" max="529" width="10.28515625" style="4" customWidth="1"/>
    <col min="530" max="531" width="11.7109375" style="4" customWidth="1"/>
    <col min="532" max="532" width="28.5703125" style="4" customWidth="1"/>
    <col min="533" max="533" width="2.140625" style="4" customWidth="1"/>
    <col min="534" max="534" width="9.140625" style="4"/>
    <col min="535" max="535" width="8.5703125" style="4" customWidth="1"/>
    <col min="536" max="768" width="9.140625" style="4"/>
    <col min="769" max="769" width="29.42578125" style="4" customWidth="1"/>
    <col min="770" max="778" width="0" style="4" hidden="1" customWidth="1"/>
    <col min="779" max="781" width="8.85546875" style="4" customWidth="1"/>
    <col min="782" max="782" width="1.28515625" style="4" customWidth="1"/>
    <col min="783" max="783" width="16.42578125" style="4" customWidth="1"/>
    <col min="784" max="784" width="13.42578125" style="4" customWidth="1"/>
    <col min="785" max="785" width="10.28515625" style="4" customWidth="1"/>
    <col min="786" max="787" width="11.7109375" style="4" customWidth="1"/>
    <col min="788" max="788" width="28.5703125" style="4" customWidth="1"/>
    <col min="789" max="789" width="2.140625" style="4" customWidth="1"/>
    <col min="790" max="790" width="9.140625" style="4"/>
    <col min="791" max="791" width="8.5703125" style="4" customWidth="1"/>
    <col min="792" max="1024" width="9.140625" style="4"/>
    <col min="1025" max="1025" width="29.42578125" style="4" customWidth="1"/>
    <col min="1026" max="1034" width="0" style="4" hidden="1" customWidth="1"/>
    <col min="1035" max="1037" width="8.85546875" style="4" customWidth="1"/>
    <col min="1038" max="1038" width="1.28515625" style="4" customWidth="1"/>
    <col min="1039" max="1039" width="16.42578125" style="4" customWidth="1"/>
    <col min="1040" max="1040" width="13.42578125" style="4" customWidth="1"/>
    <col min="1041" max="1041" width="10.28515625" style="4" customWidth="1"/>
    <col min="1042" max="1043" width="11.7109375" style="4" customWidth="1"/>
    <col min="1044" max="1044" width="28.5703125" style="4" customWidth="1"/>
    <col min="1045" max="1045" width="2.140625" style="4" customWidth="1"/>
    <col min="1046" max="1046" width="9.140625" style="4"/>
    <col min="1047" max="1047" width="8.5703125" style="4" customWidth="1"/>
    <col min="1048" max="1280" width="9.140625" style="4"/>
    <col min="1281" max="1281" width="29.42578125" style="4" customWidth="1"/>
    <col min="1282" max="1290" width="0" style="4" hidden="1" customWidth="1"/>
    <col min="1291" max="1293" width="8.85546875" style="4" customWidth="1"/>
    <col min="1294" max="1294" width="1.28515625" style="4" customWidth="1"/>
    <col min="1295" max="1295" width="16.42578125" style="4" customWidth="1"/>
    <col min="1296" max="1296" width="13.42578125" style="4" customWidth="1"/>
    <col min="1297" max="1297" width="10.28515625" style="4" customWidth="1"/>
    <col min="1298" max="1299" width="11.7109375" style="4" customWidth="1"/>
    <col min="1300" max="1300" width="28.5703125" style="4" customWidth="1"/>
    <col min="1301" max="1301" width="2.140625" style="4" customWidth="1"/>
    <col min="1302" max="1302" width="9.140625" style="4"/>
    <col min="1303" max="1303" width="8.5703125" style="4" customWidth="1"/>
    <col min="1304" max="1536" width="9.140625" style="4"/>
    <col min="1537" max="1537" width="29.42578125" style="4" customWidth="1"/>
    <col min="1538" max="1546" width="0" style="4" hidden="1" customWidth="1"/>
    <col min="1547" max="1549" width="8.85546875" style="4" customWidth="1"/>
    <col min="1550" max="1550" width="1.28515625" style="4" customWidth="1"/>
    <col min="1551" max="1551" width="16.42578125" style="4" customWidth="1"/>
    <col min="1552" max="1552" width="13.42578125" style="4" customWidth="1"/>
    <col min="1553" max="1553" width="10.28515625" style="4" customWidth="1"/>
    <col min="1554" max="1555" width="11.7109375" style="4" customWidth="1"/>
    <col min="1556" max="1556" width="28.5703125" style="4" customWidth="1"/>
    <col min="1557" max="1557" width="2.140625" style="4" customWidth="1"/>
    <col min="1558" max="1558" width="9.140625" style="4"/>
    <col min="1559" max="1559" width="8.5703125" style="4" customWidth="1"/>
    <col min="1560" max="1792" width="9.140625" style="4"/>
    <col min="1793" max="1793" width="29.42578125" style="4" customWidth="1"/>
    <col min="1794" max="1802" width="0" style="4" hidden="1" customWidth="1"/>
    <col min="1803" max="1805" width="8.85546875" style="4" customWidth="1"/>
    <col min="1806" max="1806" width="1.28515625" style="4" customWidth="1"/>
    <col min="1807" max="1807" width="16.42578125" style="4" customWidth="1"/>
    <col min="1808" max="1808" width="13.42578125" style="4" customWidth="1"/>
    <col min="1809" max="1809" width="10.28515625" style="4" customWidth="1"/>
    <col min="1810" max="1811" width="11.7109375" style="4" customWidth="1"/>
    <col min="1812" max="1812" width="28.5703125" style="4" customWidth="1"/>
    <col min="1813" max="1813" width="2.140625" style="4" customWidth="1"/>
    <col min="1814" max="1814" width="9.140625" style="4"/>
    <col min="1815" max="1815" width="8.5703125" style="4" customWidth="1"/>
    <col min="1816" max="2048" width="9.140625" style="4"/>
    <col min="2049" max="2049" width="29.42578125" style="4" customWidth="1"/>
    <col min="2050" max="2058" width="0" style="4" hidden="1" customWidth="1"/>
    <col min="2059" max="2061" width="8.85546875" style="4" customWidth="1"/>
    <col min="2062" max="2062" width="1.28515625" style="4" customWidth="1"/>
    <col min="2063" max="2063" width="16.42578125" style="4" customWidth="1"/>
    <col min="2064" max="2064" width="13.42578125" style="4" customWidth="1"/>
    <col min="2065" max="2065" width="10.28515625" style="4" customWidth="1"/>
    <col min="2066" max="2067" width="11.7109375" style="4" customWidth="1"/>
    <col min="2068" max="2068" width="28.5703125" style="4" customWidth="1"/>
    <col min="2069" max="2069" width="2.140625" style="4" customWidth="1"/>
    <col min="2070" max="2070" width="9.140625" style="4"/>
    <col min="2071" max="2071" width="8.5703125" style="4" customWidth="1"/>
    <col min="2072" max="2304" width="9.140625" style="4"/>
    <col min="2305" max="2305" width="29.42578125" style="4" customWidth="1"/>
    <col min="2306" max="2314" width="0" style="4" hidden="1" customWidth="1"/>
    <col min="2315" max="2317" width="8.85546875" style="4" customWidth="1"/>
    <col min="2318" max="2318" width="1.28515625" style="4" customWidth="1"/>
    <col min="2319" max="2319" width="16.42578125" style="4" customWidth="1"/>
    <col min="2320" max="2320" width="13.42578125" style="4" customWidth="1"/>
    <col min="2321" max="2321" width="10.28515625" style="4" customWidth="1"/>
    <col min="2322" max="2323" width="11.7109375" style="4" customWidth="1"/>
    <col min="2324" max="2324" width="28.5703125" style="4" customWidth="1"/>
    <col min="2325" max="2325" width="2.140625" style="4" customWidth="1"/>
    <col min="2326" max="2326" width="9.140625" style="4"/>
    <col min="2327" max="2327" width="8.5703125" style="4" customWidth="1"/>
    <col min="2328" max="2560" width="9.140625" style="4"/>
    <col min="2561" max="2561" width="29.42578125" style="4" customWidth="1"/>
    <col min="2562" max="2570" width="0" style="4" hidden="1" customWidth="1"/>
    <col min="2571" max="2573" width="8.85546875" style="4" customWidth="1"/>
    <col min="2574" max="2574" width="1.28515625" style="4" customWidth="1"/>
    <col min="2575" max="2575" width="16.42578125" style="4" customWidth="1"/>
    <col min="2576" max="2576" width="13.42578125" style="4" customWidth="1"/>
    <col min="2577" max="2577" width="10.28515625" style="4" customWidth="1"/>
    <col min="2578" max="2579" width="11.7109375" style="4" customWidth="1"/>
    <col min="2580" max="2580" width="28.5703125" style="4" customWidth="1"/>
    <col min="2581" max="2581" width="2.140625" style="4" customWidth="1"/>
    <col min="2582" max="2582" width="9.140625" style="4"/>
    <col min="2583" max="2583" width="8.5703125" style="4" customWidth="1"/>
    <col min="2584" max="2816" width="9.140625" style="4"/>
    <col min="2817" max="2817" width="29.42578125" style="4" customWidth="1"/>
    <col min="2818" max="2826" width="0" style="4" hidden="1" customWidth="1"/>
    <col min="2827" max="2829" width="8.85546875" style="4" customWidth="1"/>
    <col min="2830" max="2830" width="1.28515625" style="4" customWidth="1"/>
    <col min="2831" max="2831" width="16.42578125" style="4" customWidth="1"/>
    <col min="2832" max="2832" width="13.42578125" style="4" customWidth="1"/>
    <col min="2833" max="2833" width="10.28515625" style="4" customWidth="1"/>
    <col min="2834" max="2835" width="11.7109375" style="4" customWidth="1"/>
    <col min="2836" max="2836" width="28.5703125" style="4" customWidth="1"/>
    <col min="2837" max="2837" width="2.140625" style="4" customWidth="1"/>
    <col min="2838" max="2838" width="9.140625" style="4"/>
    <col min="2839" max="2839" width="8.5703125" style="4" customWidth="1"/>
    <col min="2840" max="3072" width="9.140625" style="4"/>
    <col min="3073" max="3073" width="29.42578125" style="4" customWidth="1"/>
    <col min="3074" max="3082" width="0" style="4" hidden="1" customWidth="1"/>
    <col min="3083" max="3085" width="8.85546875" style="4" customWidth="1"/>
    <col min="3086" max="3086" width="1.28515625" style="4" customWidth="1"/>
    <col min="3087" max="3087" width="16.42578125" style="4" customWidth="1"/>
    <col min="3088" max="3088" width="13.42578125" style="4" customWidth="1"/>
    <col min="3089" max="3089" width="10.28515625" style="4" customWidth="1"/>
    <col min="3090" max="3091" width="11.7109375" style="4" customWidth="1"/>
    <col min="3092" max="3092" width="28.5703125" style="4" customWidth="1"/>
    <col min="3093" max="3093" width="2.140625" style="4" customWidth="1"/>
    <col min="3094" max="3094" width="9.140625" style="4"/>
    <col min="3095" max="3095" width="8.5703125" style="4" customWidth="1"/>
    <col min="3096" max="3328" width="9.140625" style="4"/>
    <col min="3329" max="3329" width="29.42578125" style="4" customWidth="1"/>
    <col min="3330" max="3338" width="0" style="4" hidden="1" customWidth="1"/>
    <col min="3339" max="3341" width="8.85546875" style="4" customWidth="1"/>
    <col min="3342" max="3342" width="1.28515625" style="4" customWidth="1"/>
    <col min="3343" max="3343" width="16.42578125" style="4" customWidth="1"/>
    <col min="3344" max="3344" width="13.42578125" style="4" customWidth="1"/>
    <col min="3345" max="3345" width="10.28515625" style="4" customWidth="1"/>
    <col min="3346" max="3347" width="11.7109375" style="4" customWidth="1"/>
    <col min="3348" max="3348" width="28.5703125" style="4" customWidth="1"/>
    <col min="3349" max="3349" width="2.140625" style="4" customWidth="1"/>
    <col min="3350" max="3350" width="9.140625" style="4"/>
    <col min="3351" max="3351" width="8.5703125" style="4" customWidth="1"/>
    <col min="3352" max="3584" width="9.140625" style="4"/>
    <col min="3585" max="3585" width="29.42578125" style="4" customWidth="1"/>
    <col min="3586" max="3594" width="0" style="4" hidden="1" customWidth="1"/>
    <col min="3595" max="3597" width="8.85546875" style="4" customWidth="1"/>
    <col min="3598" max="3598" width="1.28515625" style="4" customWidth="1"/>
    <col min="3599" max="3599" width="16.42578125" style="4" customWidth="1"/>
    <col min="3600" max="3600" width="13.42578125" style="4" customWidth="1"/>
    <col min="3601" max="3601" width="10.28515625" style="4" customWidth="1"/>
    <col min="3602" max="3603" width="11.7109375" style="4" customWidth="1"/>
    <col min="3604" max="3604" width="28.5703125" style="4" customWidth="1"/>
    <col min="3605" max="3605" width="2.140625" style="4" customWidth="1"/>
    <col min="3606" max="3606" width="9.140625" style="4"/>
    <col min="3607" max="3607" width="8.5703125" style="4" customWidth="1"/>
    <col min="3608" max="3840" width="9.140625" style="4"/>
    <col min="3841" max="3841" width="29.42578125" style="4" customWidth="1"/>
    <col min="3842" max="3850" width="0" style="4" hidden="1" customWidth="1"/>
    <col min="3851" max="3853" width="8.85546875" style="4" customWidth="1"/>
    <col min="3854" max="3854" width="1.28515625" style="4" customWidth="1"/>
    <col min="3855" max="3855" width="16.42578125" style="4" customWidth="1"/>
    <col min="3856" max="3856" width="13.42578125" style="4" customWidth="1"/>
    <col min="3857" max="3857" width="10.28515625" style="4" customWidth="1"/>
    <col min="3858" max="3859" width="11.7109375" style="4" customWidth="1"/>
    <col min="3860" max="3860" width="28.5703125" style="4" customWidth="1"/>
    <col min="3861" max="3861" width="2.140625" style="4" customWidth="1"/>
    <col min="3862" max="3862" width="9.140625" style="4"/>
    <col min="3863" max="3863" width="8.5703125" style="4" customWidth="1"/>
    <col min="3864" max="4096" width="9.140625" style="4"/>
    <col min="4097" max="4097" width="29.42578125" style="4" customWidth="1"/>
    <col min="4098" max="4106" width="0" style="4" hidden="1" customWidth="1"/>
    <col min="4107" max="4109" width="8.85546875" style="4" customWidth="1"/>
    <col min="4110" max="4110" width="1.28515625" style="4" customWidth="1"/>
    <col min="4111" max="4111" width="16.42578125" style="4" customWidth="1"/>
    <col min="4112" max="4112" width="13.42578125" style="4" customWidth="1"/>
    <col min="4113" max="4113" width="10.28515625" style="4" customWidth="1"/>
    <col min="4114" max="4115" width="11.7109375" style="4" customWidth="1"/>
    <col min="4116" max="4116" width="28.5703125" style="4" customWidth="1"/>
    <col min="4117" max="4117" width="2.140625" style="4" customWidth="1"/>
    <col min="4118" max="4118" width="9.140625" style="4"/>
    <col min="4119" max="4119" width="8.5703125" style="4" customWidth="1"/>
    <col min="4120" max="4352" width="9.140625" style="4"/>
    <col min="4353" max="4353" width="29.42578125" style="4" customWidth="1"/>
    <col min="4354" max="4362" width="0" style="4" hidden="1" customWidth="1"/>
    <col min="4363" max="4365" width="8.85546875" style="4" customWidth="1"/>
    <col min="4366" max="4366" width="1.28515625" style="4" customWidth="1"/>
    <col min="4367" max="4367" width="16.42578125" style="4" customWidth="1"/>
    <col min="4368" max="4368" width="13.42578125" style="4" customWidth="1"/>
    <col min="4369" max="4369" width="10.28515625" style="4" customWidth="1"/>
    <col min="4370" max="4371" width="11.7109375" style="4" customWidth="1"/>
    <col min="4372" max="4372" width="28.5703125" style="4" customWidth="1"/>
    <col min="4373" max="4373" width="2.140625" style="4" customWidth="1"/>
    <col min="4374" max="4374" width="9.140625" style="4"/>
    <col min="4375" max="4375" width="8.5703125" style="4" customWidth="1"/>
    <col min="4376" max="4608" width="9.140625" style="4"/>
    <col min="4609" max="4609" width="29.42578125" style="4" customWidth="1"/>
    <col min="4610" max="4618" width="0" style="4" hidden="1" customWidth="1"/>
    <col min="4619" max="4621" width="8.85546875" style="4" customWidth="1"/>
    <col min="4622" max="4622" width="1.28515625" style="4" customWidth="1"/>
    <col min="4623" max="4623" width="16.42578125" style="4" customWidth="1"/>
    <col min="4624" max="4624" width="13.42578125" style="4" customWidth="1"/>
    <col min="4625" max="4625" width="10.28515625" style="4" customWidth="1"/>
    <col min="4626" max="4627" width="11.7109375" style="4" customWidth="1"/>
    <col min="4628" max="4628" width="28.5703125" style="4" customWidth="1"/>
    <col min="4629" max="4629" width="2.140625" style="4" customWidth="1"/>
    <col min="4630" max="4630" width="9.140625" style="4"/>
    <col min="4631" max="4631" width="8.5703125" style="4" customWidth="1"/>
    <col min="4632" max="4864" width="9.140625" style="4"/>
    <col min="4865" max="4865" width="29.42578125" style="4" customWidth="1"/>
    <col min="4866" max="4874" width="0" style="4" hidden="1" customWidth="1"/>
    <col min="4875" max="4877" width="8.85546875" style="4" customWidth="1"/>
    <col min="4878" max="4878" width="1.28515625" style="4" customWidth="1"/>
    <col min="4879" max="4879" width="16.42578125" style="4" customWidth="1"/>
    <col min="4880" max="4880" width="13.42578125" style="4" customWidth="1"/>
    <col min="4881" max="4881" width="10.28515625" style="4" customWidth="1"/>
    <col min="4882" max="4883" width="11.7109375" style="4" customWidth="1"/>
    <col min="4884" max="4884" width="28.5703125" style="4" customWidth="1"/>
    <col min="4885" max="4885" width="2.140625" style="4" customWidth="1"/>
    <col min="4886" max="4886" width="9.140625" style="4"/>
    <col min="4887" max="4887" width="8.5703125" style="4" customWidth="1"/>
    <col min="4888" max="5120" width="9.140625" style="4"/>
    <col min="5121" max="5121" width="29.42578125" style="4" customWidth="1"/>
    <col min="5122" max="5130" width="0" style="4" hidden="1" customWidth="1"/>
    <col min="5131" max="5133" width="8.85546875" style="4" customWidth="1"/>
    <col min="5134" max="5134" width="1.28515625" style="4" customWidth="1"/>
    <col min="5135" max="5135" width="16.42578125" style="4" customWidth="1"/>
    <col min="5136" max="5136" width="13.42578125" style="4" customWidth="1"/>
    <col min="5137" max="5137" width="10.28515625" style="4" customWidth="1"/>
    <col min="5138" max="5139" width="11.7109375" style="4" customWidth="1"/>
    <col min="5140" max="5140" width="28.5703125" style="4" customWidth="1"/>
    <col min="5141" max="5141" width="2.140625" style="4" customWidth="1"/>
    <col min="5142" max="5142" width="9.140625" style="4"/>
    <col min="5143" max="5143" width="8.5703125" style="4" customWidth="1"/>
    <col min="5144" max="5376" width="9.140625" style="4"/>
    <col min="5377" max="5377" width="29.42578125" style="4" customWidth="1"/>
    <col min="5378" max="5386" width="0" style="4" hidden="1" customWidth="1"/>
    <col min="5387" max="5389" width="8.85546875" style="4" customWidth="1"/>
    <col min="5390" max="5390" width="1.28515625" style="4" customWidth="1"/>
    <col min="5391" max="5391" width="16.42578125" style="4" customWidth="1"/>
    <col min="5392" max="5392" width="13.42578125" style="4" customWidth="1"/>
    <col min="5393" max="5393" width="10.28515625" style="4" customWidth="1"/>
    <col min="5394" max="5395" width="11.7109375" style="4" customWidth="1"/>
    <col min="5396" max="5396" width="28.5703125" style="4" customWidth="1"/>
    <col min="5397" max="5397" width="2.140625" style="4" customWidth="1"/>
    <col min="5398" max="5398" width="9.140625" style="4"/>
    <col min="5399" max="5399" width="8.5703125" style="4" customWidth="1"/>
    <col min="5400" max="5632" width="9.140625" style="4"/>
    <col min="5633" max="5633" width="29.42578125" style="4" customWidth="1"/>
    <col min="5634" max="5642" width="0" style="4" hidden="1" customWidth="1"/>
    <col min="5643" max="5645" width="8.85546875" style="4" customWidth="1"/>
    <col min="5646" max="5646" width="1.28515625" style="4" customWidth="1"/>
    <col min="5647" max="5647" width="16.42578125" style="4" customWidth="1"/>
    <col min="5648" max="5648" width="13.42578125" style="4" customWidth="1"/>
    <col min="5649" max="5649" width="10.28515625" style="4" customWidth="1"/>
    <col min="5650" max="5651" width="11.7109375" style="4" customWidth="1"/>
    <col min="5652" max="5652" width="28.5703125" style="4" customWidth="1"/>
    <col min="5653" max="5653" width="2.140625" style="4" customWidth="1"/>
    <col min="5654" max="5654" width="9.140625" style="4"/>
    <col min="5655" max="5655" width="8.5703125" style="4" customWidth="1"/>
    <col min="5656" max="5888" width="9.140625" style="4"/>
    <col min="5889" max="5889" width="29.42578125" style="4" customWidth="1"/>
    <col min="5890" max="5898" width="0" style="4" hidden="1" customWidth="1"/>
    <col min="5899" max="5901" width="8.85546875" style="4" customWidth="1"/>
    <col min="5902" max="5902" width="1.28515625" style="4" customWidth="1"/>
    <col min="5903" max="5903" width="16.42578125" style="4" customWidth="1"/>
    <col min="5904" max="5904" width="13.42578125" style="4" customWidth="1"/>
    <col min="5905" max="5905" width="10.28515625" style="4" customWidth="1"/>
    <col min="5906" max="5907" width="11.7109375" style="4" customWidth="1"/>
    <col min="5908" max="5908" width="28.5703125" style="4" customWidth="1"/>
    <col min="5909" max="5909" width="2.140625" style="4" customWidth="1"/>
    <col min="5910" max="5910" width="9.140625" style="4"/>
    <col min="5911" max="5911" width="8.5703125" style="4" customWidth="1"/>
    <col min="5912" max="6144" width="9.140625" style="4"/>
    <col min="6145" max="6145" width="29.42578125" style="4" customWidth="1"/>
    <col min="6146" max="6154" width="0" style="4" hidden="1" customWidth="1"/>
    <col min="6155" max="6157" width="8.85546875" style="4" customWidth="1"/>
    <col min="6158" max="6158" width="1.28515625" style="4" customWidth="1"/>
    <col min="6159" max="6159" width="16.42578125" style="4" customWidth="1"/>
    <col min="6160" max="6160" width="13.42578125" style="4" customWidth="1"/>
    <col min="6161" max="6161" width="10.28515625" style="4" customWidth="1"/>
    <col min="6162" max="6163" width="11.7109375" style="4" customWidth="1"/>
    <col min="6164" max="6164" width="28.5703125" style="4" customWidth="1"/>
    <col min="6165" max="6165" width="2.140625" style="4" customWidth="1"/>
    <col min="6166" max="6166" width="9.140625" style="4"/>
    <col min="6167" max="6167" width="8.5703125" style="4" customWidth="1"/>
    <col min="6168" max="6400" width="9.140625" style="4"/>
    <col min="6401" max="6401" width="29.42578125" style="4" customWidth="1"/>
    <col min="6402" max="6410" width="0" style="4" hidden="1" customWidth="1"/>
    <col min="6411" max="6413" width="8.85546875" style="4" customWidth="1"/>
    <col min="6414" max="6414" width="1.28515625" style="4" customWidth="1"/>
    <col min="6415" max="6415" width="16.42578125" style="4" customWidth="1"/>
    <col min="6416" max="6416" width="13.42578125" style="4" customWidth="1"/>
    <col min="6417" max="6417" width="10.28515625" style="4" customWidth="1"/>
    <col min="6418" max="6419" width="11.7109375" style="4" customWidth="1"/>
    <col min="6420" max="6420" width="28.5703125" style="4" customWidth="1"/>
    <col min="6421" max="6421" width="2.140625" style="4" customWidth="1"/>
    <col min="6422" max="6422" width="9.140625" style="4"/>
    <col min="6423" max="6423" width="8.5703125" style="4" customWidth="1"/>
    <col min="6424" max="6656" width="9.140625" style="4"/>
    <col min="6657" max="6657" width="29.42578125" style="4" customWidth="1"/>
    <col min="6658" max="6666" width="0" style="4" hidden="1" customWidth="1"/>
    <col min="6667" max="6669" width="8.85546875" style="4" customWidth="1"/>
    <col min="6670" max="6670" width="1.28515625" style="4" customWidth="1"/>
    <col min="6671" max="6671" width="16.42578125" style="4" customWidth="1"/>
    <col min="6672" max="6672" width="13.42578125" style="4" customWidth="1"/>
    <col min="6673" max="6673" width="10.28515625" style="4" customWidth="1"/>
    <col min="6674" max="6675" width="11.7109375" style="4" customWidth="1"/>
    <col min="6676" max="6676" width="28.5703125" style="4" customWidth="1"/>
    <col min="6677" max="6677" width="2.140625" style="4" customWidth="1"/>
    <col min="6678" max="6678" width="9.140625" style="4"/>
    <col min="6679" max="6679" width="8.5703125" style="4" customWidth="1"/>
    <col min="6680" max="6912" width="9.140625" style="4"/>
    <col min="6913" max="6913" width="29.42578125" style="4" customWidth="1"/>
    <col min="6914" max="6922" width="0" style="4" hidden="1" customWidth="1"/>
    <col min="6923" max="6925" width="8.85546875" style="4" customWidth="1"/>
    <col min="6926" max="6926" width="1.28515625" style="4" customWidth="1"/>
    <col min="6927" max="6927" width="16.42578125" style="4" customWidth="1"/>
    <col min="6928" max="6928" width="13.42578125" style="4" customWidth="1"/>
    <col min="6929" max="6929" width="10.28515625" style="4" customWidth="1"/>
    <col min="6930" max="6931" width="11.7109375" style="4" customWidth="1"/>
    <col min="6932" max="6932" width="28.5703125" style="4" customWidth="1"/>
    <col min="6933" max="6933" width="2.140625" style="4" customWidth="1"/>
    <col min="6934" max="6934" width="9.140625" style="4"/>
    <col min="6935" max="6935" width="8.5703125" style="4" customWidth="1"/>
    <col min="6936" max="7168" width="9.140625" style="4"/>
    <col min="7169" max="7169" width="29.42578125" style="4" customWidth="1"/>
    <col min="7170" max="7178" width="0" style="4" hidden="1" customWidth="1"/>
    <col min="7179" max="7181" width="8.85546875" style="4" customWidth="1"/>
    <col min="7182" max="7182" width="1.28515625" style="4" customWidth="1"/>
    <col min="7183" max="7183" width="16.42578125" style="4" customWidth="1"/>
    <col min="7184" max="7184" width="13.42578125" style="4" customWidth="1"/>
    <col min="7185" max="7185" width="10.28515625" style="4" customWidth="1"/>
    <col min="7186" max="7187" width="11.7109375" style="4" customWidth="1"/>
    <col min="7188" max="7188" width="28.5703125" style="4" customWidth="1"/>
    <col min="7189" max="7189" width="2.140625" style="4" customWidth="1"/>
    <col min="7190" max="7190" width="9.140625" style="4"/>
    <col min="7191" max="7191" width="8.5703125" style="4" customWidth="1"/>
    <col min="7192" max="7424" width="9.140625" style="4"/>
    <col min="7425" max="7425" width="29.42578125" style="4" customWidth="1"/>
    <col min="7426" max="7434" width="0" style="4" hidden="1" customWidth="1"/>
    <col min="7435" max="7437" width="8.85546875" style="4" customWidth="1"/>
    <col min="7438" max="7438" width="1.28515625" style="4" customWidth="1"/>
    <col min="7439" max="7439" width="16.42578125" style="4" customWidth="1"/>
    <col min="7440" max="7440" width="13.42578125" style="4" customWidth="1"/>
    <col min="7441" max="7441" width="10.28515625" style="4" customWidth="1"/>
    <col min="7442" max="7443" width="11.7109375" style="4" customWidth="1"/>
    <col min="7444" max="7444" width="28.5703125" style="4" customWidth="1"/>
    <col min="7445" max="7445" width="2.140625" style="4" customWidth="1"/>
    <col min="7446" max="7446" width="9.140625" style="4"/>
    <col min="7447" max="7447" width="8.5703125" style="4" customWidth="1"/>
    <col min="7448" max="7680" width="9.140625" style="4"/>
    <col min="7681" max="7681" width="29.42578125" style="4" customWidth="1"/>
    <col min="7682" max="7690" width="0" style="4" hidden="1" customWidth="1"/>
    <col min="7691" max="7693" width="8.85546875" style="4" customWidth="1"/>
    <col min="7694" max="7694" width="1.28515625" style="4" customWidth="1"/>
    <col min="7695" max="7695" width="16.42578125" style="4" customWidth="1"/>
    <col min="7696" max="7696" width="13.42578125" style="4" customWidth="1"/>
    <col min="7697" max="7697" width="10.28515625" style="4" customWidth="1"/>
    <col min="7698" max="7699" width="11.7109375" style="4" customWidth="1"/>
    <col min="7700" max="7700" width="28.5703125" style="4" customWidth="1"/>
    <col min="7701" max="7701" width="2.140625" style="4" customWidth="1"/>
    <col min="7702" max="7702" width="9.140625" style="4"/>
    <col min="7703" max="7703" width="8.5703125" style="4" customWidth="1"/>
    <col min="7704" max="7936" width="9.140625" style="4"/>
    <col min="7937" max="7937" width="29.42578125" style="4" customWidth="1"/>
    <col min="7938" max="7946" width="0" style="4" hidden="1" customWidth="1"/>
    <col min="7947" max="7949" width="8.85546875" style="4" customWidth="1"/>
    <col min="7950" max="7950" width="1.28515625" style="4" customWidth="1"/>
    <col min="7951" max="7951" width="16.42578125" style="4" customWidth="1"/>
    <col min="7952" max="7952" width="13.42578125" style="4" customWidth="1"/>
    <col min="7953" max="7953" width="10.28515625" style="4" customWidth="1"/>
    <col min="7954" max="7955" width="11.7109375" style="4" customWidth="1"/>
    <col min="7956" max="7956" width="28.5703125" style="4" customWidth="1"/>
    <col min="7957" max="7957" width="2.140625" style="4" customWidth="1"/>
    <col min="7958" max="7958" width="9.140625" style="4"/>
    <col min="7959" max="7959" width="8.5703125" style="4" customWidth="1"/>
    <col min="7960" max="8192" width="9.140625" style="4"/>
    <col min="8193" max="8193" width="29.42578125" style="4" customWidth="1"/>
    <col min="8194" max="8202" width="0" style="4" hidden="1" customWidth="1"/>
    <col min="8203" max="8205" width="8.85546875" style="4" customWidth="1"/>
    <col min="8206" max="8206" width="1.28515625" style="4" customWidth="1"/>
    <col min="8207" max="8207" width="16.42578125" style="4" customWidth="1"/>
    <col min="8208" max="8208" width="13.42578125" style="4" customWidth="1"/>
    <col min="8209" max="8209" width="10.28515625" style="4" customWidth="1"/>
    <col min="8210" max="8211" width="11.7109375" style="4" customWidth="1"/>
    <col min="8212" max="8212" width="28.5703125" style="4" customWidth="1"/>
    <col min="8213" max="8213" width="2.140625" style="4" customWidth="1"/>
    <col min="8214" max="8214" width="9.140625" style="4"/>
    <col min="8215" max="8215" width="8.5703125" style="4" customWidth="1"/>
    <col min="8216" max="8448" width="9.140625" style="4"/>
    <col min="8449" max="8449" width="29.42578125" style="4" customWidth="1"/>
    <col min="8450" max="8458" width="0" style="4" hidden="1" customWidth="1"/>
    <col min="8459" max="8461" width="8.85546875" style="4" customWidth="1"/>
    <col min="8462" max="8462" width="1.28515625" style="4" customWidth="1"/>
    <col min="8463" max="8463" width="16.42578125" style="4" customWidth="1"/>
    <col min="8464" max="8464" width="13.42578125" style="4" customWidth="1"/>
    <col min="8465" max="8465" width="10.28515625" style="4" customWidth="1"/>
    <col min="8466" max="8467" width="11.7109375" style="4" customWidth="1"/>
    <col min="8468" max="8468" width="28.5703125" style="4" customWidth="1"/>
    <col min="8469" max="8469" width="2.140625" style="4" customWidth="1"/>
    <col min="8470" max="8470" width="9.140625" style="4"/>
    <col min="8471" max="8471" width="8.5703125" style="4" customWidth="1"/>
    <col min="8472" max="8704" width="9.140625" style="4"/>
    <col min="8705" max="8705" width="29.42578125" style="4" customWidth="1"/>
    <col min="8706" max="8714" width="0" style="4" hidden="1" customWidth="1"/>
    <col min="8715" max="8717" width="8.85546875" style="4" customWidth="1"/>
    <col min="8718" max="8718" width="1.28515625" style="4" customWidth="1"/>
    <col min="8719" max="8719" width="16.42578125" style="4" customWidth="1"/>
    <col min="8720" max="8720" width="13.42578125" style="4" customWidth="1"/>
    <col min="8721" max="8721" width="10.28515625" style="4" customWidth="1"/>
    <col min="8722" max="8723" width="11.7109375" style="4" customWidth="1"/>
    <col min="8724" max="8724" width="28.5703125" style="4" customWidth="1"/>
    <col min="8725" max="8725" width="2.140625" style="4" customWidth="1"/>
    <col min="8726" max="8726" width="9.140625" style="4"/>
    <col min="8727" max="8727" width="8.5703125" style="4" customWidth="1"/>
    <col min="8728" max="8960" width="9.140625" style="4"/>
    <col min="8961" max="8961" width="29.42578125" style="4" customWidth="1"/>
    <col min="8962" max="8970" width="0" style="4" hidden="1" customWidth="1"/>
    <col min="8971" max="8973" width="8.85546875" style="4" customWidth="1"/>
    <col min="8974" max="8974" width="1.28515625" style="4" customWidth="1"/>
    <col min="8975" max="8975" width="16.42578125" style="4" customWidth="1"/>
    <col min="8976" max="8976" width="13.42578125" style="4" customWidth="1"/>
    <col min="8977" max="8977" width="10.28515625" style="4" customWidth="1"/>
    <col min="8978" max="8979" width="11.7109375" style="4" customWidth="1"/>
    <col min="8980" max="8980" width="28.5703125" style="4" customWidth="1"/>
    <col min="8981" max="8981" width="2.140625" style="4" customWidth="1"/>
    <col min="8982" max="8982" width="9.140625" style="4"/>
    <col min="8983" max="8983" width="8.5703125" style="4" customWidth="1"/>
    <col min="8984" max="9216" width="9.140625" style="4"/>
    <col min="9217" max="9217" width="29.42578125" style="4" customWidth="1"/>
    <col min="9218" max="9226" width="0" style="4" hidden="1" customWidth="1"/>
    <col min="9227" max="9229" width="8.85546875" style="4" customWidth="1"/>
    <col min="9230" max="9230" width="1.28515625" style="4" customWidth="1"/>
    <col min="9231" max="9231" width="16.42578125" style="4" customWidth="1"/>
    <col min="9232" max="9232" width="13.42578125" style="4" customWidth="1"/>
    <col min="9233" max="9233" width="10.28515625" style="4" customWidth="1"/>
    <col min="9234" max="9235" width="11.7109375" style="4" customWidth="1"/>
    <col min="9236" max="9236" width="28.5703125" style="4" customWidth="1"/>
    <col min="9237" max="9237" width="2.140625" style="4" customWidth="1"/>
    <col min="9238" max="9238" width="9.140625" style="4"/>
    <col min="9239" max="9239" width="8.5703125" style="4" customWidth="1"/>
    <col min="9240" max="9472" width="9.140625" style="4"/>
    <col min="9473" max="9473" width="29.42578125" style="4" customWidth="1"/>
    <col min="9474" max="9482" width="0" style="4" hidden="1" customWidth="1"/>
    <col min="9483" max="9485" width="8.85546875" style="4" customWidth="1"/>
    <col min="9486" max="9486" width="1.28515625" style="4" customWidth="1"/>
    <col min="9487" max="9487" width="16.42578125" style="4" customWidth="1"/>
    <col min="9488" max="9488" width="13.42578125" style="4" customWidth="1"/>
    <col min="9489" max="9489" width="10.28515625" style="4" customWidth="1"/>
    <col min="9490" max="9491" width="11.7109375" style="4" customWidth="1"/>
    <col min="9492" max="9492" width="28.5703125" style="4" customWidth="1"/>
    <col min="9493" max="9493" width="2.140625" style="4" customWidth="1"/>
    <col min="9494" max="9494" width="9.140625" style="4"/>
    <col min="9495" max="9495" width="8.5703125" style="4" customWidth="1"/>
    <col min="9496" max="9728" width="9.140625" style="4"/>
    <col min="9729" max="9729" width="29.42578125" style="4" customWidth="1"/>
    <col min="9730" max="9738" width="0" style="4" hidden="1" customWidth="1"/>
    <col min="9739" max="9741" width="8.85546875" style="4" customWidth="1"/>
    <col min="9742" max="9742" width="1.28515625" style="4" customWidth="1"/>
    <col min="9743" max="9743" width="16.42578125" style="4" customWidth="1"/>
    <col min="9744" max="9744" width="13.42578125" style="4" customWidth="1"/>
    <col min="9745" max="9745" width="10.28515625" style="4" customWidth="1"/>
    <col min="9746" max="9747" width="11.7109375" style="4" customWidth="1"/>
    <col min="9748" max="9748" width="28.5703125" style="4" customWidth="1"/>
    <col min="9749" max="9749" width="2.140625" style="4" customWidth="1"/>
    <col min="9750" max="9750" width="9.140625" style="4"/>
    <col min="9751" max="9751" width="8.5703125" style="4" customWidth="1"/>
    <col min="9752" max="9984" width="9.140625" style="4"/>
    <col min="9985" max="9985" width="29.42578125" style="4" customWidth="1"/>
    <col min="9986" max="9994" width="0" style="4" hidden="1" customWidth="1"/>
    <col min="9995" max="9997" width="8.85546875" style="4" customWidth="1"/>
    <col min="9998" max="9998" width="1.28515625" style="4" customWidth="1"/>
    <col min="9999" max="9999" width="16.42578125" style="4" customWidth="1"/>
    <col min="10000" max="10000" width="13.42578125" style="4" customWidth="1"/>
    <col min="10001" max="10001" width="10.28515625" style="4" customWidth="1"/>
    <col min="10002" max="10003" width="11.7109375" style="4" customWidth="1"/>
    <col min="10004" max="10004" width="28.5703125" style="4" customWidth="1"/>
    <col min="10005" max="10005" width="2.140625" style="4" customWidth="1"/>
    <col min="10006" max="10006" width="9.140625" style="4"/>
    <col min="10007" max="10007" width="8.5703125" style="4" customWidth="1"/>
    <col min="10008" max="10240" width="9.140625" style="4"/>
    <col min="10241" max="10241" width="29.42578125" style="4" customWidth="1"/>
    <col min="10242" max="10250" width="0" style="4" hidden="1" customWidth="1"/>
    <col min="10251" max="10253" width="8.85546875" style="4" customWidth="1"/>
    <col min="10254" max="10254" width="1.28515625" style="4" customWidth="1"/>
    <col min="10255" max="10255" width="16.42578125" style="4" customWidth="1"/>
    <col min="10256" max="10256" width="13.42578125" style="4" customWidth="1"/>
    <col min="10257" max="10257" width="10.28515625" style="4" customWidth="1"/>
    <col min="10258" max="10259" width="11.7109375" style="4" customWidth="1"/>
    <col min="10260" max="10260" width="28.5703125" style="4" customWidth="1"/>
    <col min="10261" max="10261" width="2.140625" style="4" customWidth="1"/>
    <col min="10262" max="10262" width="9.140625" style="4"/>
    <col min="10263" max="10263" width="8.5703125" style="4" customWidth="1"/>
    <col min="10264" max="10496" width="9.140625" style="4"/>
    <col min="10497" max="10497" width="29.42578125" style="4" customWidth="1"/>
    <col min="10498" max="10506" width="0" style="4" hidden="1" customWidth="1"/>
    <col min="10507" max="10509" width="8.85546875" style="4" customWidth="1"/>
    <col min="10510" max="10510" width="1.28515625" style="4" customWidth="1"/>
    <col min="10511" max="10511" width="16.42578125" style="4" customWidth="1"/>
    <col min="10512" max="10512" width="13.42578125" style="4" customWidth="1"/>
    <col min="10513" max="10513" width="10.28515625" style="4" customWidth="1"/>
    <col min="10514" max="10515" width="11.7109375" style="4" customWidth="1"/>
    <col min="10516" max="10516" width="28.5703125" style="4" customWidth="1"/>
    <col min="10517" max="10517" width="2.140625" style="4" customWidth="1"/>
    <col min="10518" max="10518" width="9.140625" style="4"/>
    <col min="10519" max="10519" width="8.5703125" style="4" customWidth="1"/>
    <col min="10520" max="10752" width="9.140625" style="4"/>
    <col min="10753" max="10753" width="29.42578125" style="4" customWidth="1"/>
    <col min="10754" max="10762" width="0" style="4" hidden="1" customWidth="1"/>
    <col min="10763" max="10765" width="8.85546875" style="4" customWidth="1"/>
    <col min="10766" max="10766" width="1.28515625" style="4" customWidth="1"/>
    <col min="10767" max="10767" width="16.42578125" style="4" customWidth="1"/>
    <col min="10768" max="10768" width="13.42578125" style="4" customWidth="1"/>
    <col min="10769" max="10769" width="10.28515625" style="4" customWidth="1"/>
    <col min="10770" max="10771" width="11.7109375" style="4" customWidth="1"/>
    <col min="10772" max="10772" width="28.5703125" style="4" customWidth="1"/>
    <col min="10773" max="10773" width="2.140625" style="4" customWidth="1"/>
    <col min="10774" max="10774" width="9.140625" style="4"/>
    <col min="10775" max="10775" width="8.5703125" style="4" customWidth="1"/>
    <col min="10776" max="11008" width="9.140625" style="4"/>
    <col min="11009" max="11009" width="29.42578125" style="4" customWidth="1"/>
    <col min="11010" max="11018" width="0" style="4" hidden="1" customWidth="1"/>
    <col min="11019" max="11021" width="8.85546875" style="4" customWidth="1"/>
    <col min="11022" max="11022" width="1.28515625" style="4" customWidth="1"/>
    <col min="11023" max="11023" width="16.42578125" style="4" customWidth="1"/>
    <col min="11024" max="11024" width="13.42578125" style="4" customWidth="1"/>
    <col min="11025" max="11025" width="10.28515625" style="4" customWidth="1"/>
    <col min="11026" max="11027" width="11.7109375" style="4" customWidth="1"/>
    <col min="11028" max="11028" width="28.5703125" style="4" customWidth="1"/>
    <col min="11029" max="11029" width="2.140625" style="4" customWidth="1"/>
    <col min="11030" max="11030" width="9.140625" style="4"/>
    <col min="11031" max="11031" width="8.5703125" style="4" customWidth="1"/>
    <col min="11032" max="11264" width="9.140625" style="4"/>
    <col min="11265" max="11265" width="29.42578125" style="4" customWidth="1"/>
    <col min="11266" max="11274" width="0" style="4" hidden="1" customWidth="1"/>
    <col min="11275" max="11277" width="8.85546875" style="4" customWidth="1"/>
    <col min="11278" max="11278" width="1.28515625" style="4" customWidth="1"/>
    <col min="11279" max="11279" width="16.42578125" style="4" customWidth="1"/>
    <col min="11280" max="11280" width="13.42578125" style="4" customWidth="1"/>
    <col min="11281" max="11281" width="10.28515625" style="4" customWidth="1"/>
    <col min="11282" max="11283" width="11.7109375" style="4" customWidth="1"/>
    <col min="11284" max="11284" width="28.5703125" style="4" customWidth="1"/>
    <col min="11285" max="11285" width="2.140625" style="4" customWidth="1"/>
    <col min="11286" max="11286" width="9.140625" style="4"/>
    <col min="11287" max="11287" width="8.5703125" style="4" customWidth="1"/>
    <col min="11288" max="11520" width="9.140625" style="4"/>
    <col min="11521" max="11521" width="29.42578125" style="4" customWidth="1"/>
    <col min="11522" max="11530" width="0" style="4" hidden="1" customWidth="1"/>
    <col min="11531" max="11533" width="8.85546875" style="4" customWidth="1"/>
    <col min="11534" max="11534" width="1.28515625" style="4" customWidth="1"/>
    <col min="11535" max="11535" width="16.42578125" style="4" customWidth="1"/>
    <col min="11536" max="11536" width="13.42578125" style="4" customWidth="1"/>
    <col min="11537" max="11537" width="10.28515625" style="4" customWidth="1"/>
    <col min="11538" max="11539" width="11.7109375" style="4" customWidth="1"/>
    <col min="11540" max="11540" width="28.5703125" style="4" customWidth="1"/>
    <col min="11541" max="11541" width="2.140625" style="4" customWidth="1"/>
    <col min="11542" max="11542" width="9.140625" style="4"/>
    <col min="11543" max="11543" width="8.5703125" style="4" customWidth="1"/>
    <col min="11544" max="11776" width="9.140625" style="4"/>
    <col min="11777" max="11777" width="29.42578125" style="4" customWidth="1"/>
    <col min="11778" max="11786" width="0" style="4" hidden="1" customWidth="1"/>
    <col min="11787" max="11789" width="8.85546875" style="4" customWidth="1"/>
    <col min="11790" max="11790" width="1.28515625" style="4" customWidth="1"/>
    <col min="11791" max="11791" width="16.42578125" style="4" customWidth="1"/>
    <col min="11792" max="11792" width="13.42578125" style="4" customWidth="1"/>
    <col min="11793" max="11793" width="10.28515625" style="4" customWidth="1"/>
    <col min="11794" max="11795" width="11.7109375" style="4" customWidth="1"/>
    <col min="11796" max="11796" width="28.5703125" style="4" customWidth="1"/>
    <col min="11797" max="11797" width="2.140625" style="4" customWidth="1"/>
    <col min="11798" max="11798" width="9.140625" style="4"/>
    <col min="11799" max="11799" width="8.5703125" style="4" customWidth="1"/>
    <col min="11800" max="12032" width="9.140625" style="4"/>
    <col min="12033" max="12033" width="29.42578125" style="4" customWidth="1"/>
    <col min="12034" max="12042" width="0" style="4" hidden="1" customWidth="1"/>
    <col min="12043" max="12045" width="8.85546875" style="4" customWidth="1"/>
    <col min="12046" max="12046" width="1.28515625" style="4" customWidth="1"/>
    <col min="12047" max="12047" width="16.42578125" style="4" customWidth="1"/>
    <col min="12048" max="12048" width="13.42578125" style="4" customWidth="1"/>
    <col min="12049" max="12049" width="10.28515625" style="4" customWidth="1"/>
    <col min="12050" max="12051" width="11.7109375" style="4" customWidth="1"/>
    <col min="12052" max="12052" width="28.5703125" style="4" customWidth="1"/>
    <col min="12053" max="12053" width="2.140625" style="4" customWidth="1"/>
    <col min="12054" max="12054" width="9.140625" style="4"/>
    <col min="12055" max="12055" width="8.5703125" style="4" customWidth="1"/>
    <col min="12056" max="12288" width="9.140625" style="4"/>
    <col min="12289" max="12289" width="29.42578125" style="4" customWidth="1"/>
    <col min="12290" max="12298" width="0" style="4" hidden="1" customWidth="1"/>
    <col min="12299" max="12301" width="8.85546875" style="4" customWidth="1"/>
    <col min="12302" max="12302" width="1.28515625" style="4" customWidth="1"/>
    <col min="12303" max="12303" width="16.42578125" style="4" customWidth="1"/>
    <col min="12304" max="12304" width="13.42578125" style="4" customWidth="1"/>
    <col min="12305" max="12305" width="10.28515625" style="4" customWidth="1"/>
    <col min="12306" max="12307" width="11.7109375" style="4" customWidth="1"/>
    <col min="12308" max="12308" width="28.5703125" style="4" customWidth="1"/>
    <col min="12309" max="12309" width="2.140625" style="4" customWidth="1"/>
    <col min="12310" max="12310" width="9.140625" style="4"/>
    <col min="12311" max="12311" width="8.5703125" style="4" customWidth="1"/>
    <col min="12312" max="12544" width="9.140625" style="4"/>
    <col min="12545" max="12545" width="29.42578125" style="4" customWidth="1"/>
    <col min="12546" max="12554" width="0" style="4" hidden="1" customWidth="1"/>
    <col min="12555" max="12557" width="8.85546875" style="4" customWidth="1"/>
    <col min="12558" max="12558" width="1.28515625" style="4" customWidth="1"/>
    <col min="12559" max="12559" width="16.42578125" style="4" customWidth="1"/>
    <col min="12560" max="12560" width="13.42578125" style="4" customWidth="1"/>
    <col min="12561" max="12561" width="10.28515625" style="4" customWidth="1"/>
    <col min="12562" max="12563" width="11.7109375" style="4" customWidth="1"/>
    <col min="12564" max="12564" width="28.5703125" style="4" customWidth="1"/>
    <col min="12565" max="12565" width="2.140625" style="4" customWidth="1"/>
    <col min="12566" max="12566" width="9.140625" style="4"/>
    <col min="12567" max="12567" width="8.5703125" style="4" customWidth="1"/>
    <col min="12568" max="12800" width="9.140625" style="4"/>
    <col min="12801" max="12801" width="29.42578125" style="4" customWidth="1"/>
    <col min="12802" max="12810" width="0" style="4" hidden="1" customWidth="1"/>
    <col min="12811" max="12813" width="8.85546875" style="4" customWidth="1"/>
    <col min="12814" max="12814" width="1.28515625" style="4" customWidth="1"/>
    <col min="12815" max="12815" width="16.42578125" style="4" customWidth="1"/>
    <col min="12816" max="12816" width="13.42578125" style="4" customWidth="1"/>
    <col min="12817" max="12817" width="10.28515625" style="4" customWidth="1"/>
    <col min="12818" max="12819" width="11.7109375" style="4" customWidth="1"/>
    <col min="12820" max="12820" width="28.5703125" style="4" customWidth="1"/>
    <col min="12821" max="12821" width="2.140625" style="4" customWidth="1"/>
    <col min="12822" max="12822" width="9.140625" style="4"/>
    <col min="12823" max="12823" width="8.5703125" style="4" customWidth="1"/>
    <col min="12824" max="13056" width="9.140625" style="4"/>
    <col min="13057" max="13057" width="29.42578125" style="4" customWidth="1"/>
    <col min="13058" max="13066" width="0" style="4" hidden="1" customWidth="1"/>
    <col min="13067" max="13069" width="8.85546875" style="4" customWidth="1"/>
    <col min="13070" max="13070" width="1.28515625" style="4" customWidth="1"/>
    <col min="13071" max="13071" width="16.42578125" style="4" customWidth="1"/>
    <col min="13072" max="13072" width="13.42578125" style="4" customWidth="1"/>
    <col min="13073" max="13073" width="10.28515625" style="4" customWidth="1"/>
    <col min="13074" max="13075" width="11.7109375" style="4" customWidth="1"/>
    <col min="13076" max="13076" width="28.5703125" style="4" customWidth="1"/>
    <col min="13077" max="13077" width="2.140625" style="4" customWidth="1"/>
    <col min="13078" max="13078" width="9.140625" style="4"/>
    <col min="13079" max="13079" width="8.5703125" style="4" customWidth="1"/>
    <col min="13080" max="13312" width="9.140625" style="4"/>
    <col min="13313" max="13313" width="29.42578125" style="4" customWidth="1"/>
    <col min="13314" max="13322" width="0" style="4" hidden="1" customWidth="1"/>
    <col min="13323" max="13325" width="8.85546875" style="4" customWidth="1"/>
    <col min="13326" max="13326" width="1.28515625" style="4" customWidth="1"/>
    <col min="13327" max="13327" width="16.42578125" style="4" customWidth="1"/>
    <col min="13328" max="13328" width="13.42578125" style="4" customWidth="1"/>
    <col min="13329" max="13329" width="10.28515625" style="4" customWidth="1"/>
    <col min="13330" max="13331" width="11.7109375" style="4" customWidth="1"/>
    <col min="13332" max="13332" width="28.5703125" style="4" customWidth="1"/>
    <col min="13333" max="13333" width="2.140625" style="4" customWidth="1"/>
    <col min="13334" max="13334" width="9.140625" style="4"/>
    <col min="13335" max="13335" width="8.5703125" style="4" customWidth="1"/>
    <col min="13336" max="13568" width="9.140625" style="4"/>
    <col min="13569" max="13569" width="29.42578125" style="4" customWidth="1"/>
    <col min="13570" max="13578" width="0" style="4" hidden="1" customWidth="1"/>
    <col min="13579" max="13581" width="8.85546875" style="4" customWidth="1"/>
    <col min="13582" max="13582" width="1.28515625" style="4" customWidth="1"/>
    <col min="13583" max="13583" width="16.42578125" style="4" customWidth="1"/>
    <col min="13584" max="13584" width="13.42578125" style="4" customWidth="1"/>
    <col min="13585" max="13585" width="10.28515625" style="4" customWidth="1"/>
    <col min="13586" max="13587" width="11.7109375" style="4" customWidth="1"/>
    <col min="13588" max="13588" width="28.5703125" style="4" customWidth="1"/>
    <col min="13589" max="13589" width="2.140625" style="4" customWidth="1"/>
    <col min="13590" max="13590" width="9.140625" style="4"/>
    <col min="13591" max="13591" width="8.5703125" style="4" customWidth="1"/>
    <col min="13592" max="13824" width="9.140625" style="4"/>
    <col min="13825" max="13825" width="29.42578125" style="4" customWidth="1"/>
    <col min="13826" max="13834" width="0" style="4" hidden="1" customWidth="1"/>
    <col min="13835" max="13837" width="8.85546875" style="4" customWidth="1"/>
    <col min="13838" max="13838" width="1.28515625" style="4" customWidth="1"/>
    <col min="13839" max="13839" width="16.42578125" style="4" customWidth="1"/>
    <col min="13840" max="13840" width="13.42578125" style="4" customWidth="1"/>
    <col min="13841" max="13841" width="10.28515625" style="4" customWidth="1"/>
    <col min="13842" max="13843" width="11.7109375" style="4" customWidth="1"/>
    <col min="13844" max="13844" width="28.5703125" style="4" customWidth="1"/>
    <col min="13845" max="13845" width="2.140625" style="4" customWidth="1"/>
    <col min="13846" max="13846" width="9.140625" style="4"/>
    <col min="13847" max="13847" width="8.5703125" style="4" customWidth="1"/>
    <col min="13848" max="14080" width="9.140625" style="4"/>
    <col min="14081" max="14081" width="29.42578125" style="4" customWidth="1"/>
    <col min="14082" max="14090" width="0" style="4" hidden="1" customWidth="1"/>
    <col min="14091" max="14093" width="8.85546875" style="4" customWidth="1"/>
    <col min="14094" max="14094" width="1.28515625" style="4" customWidth="1"/>
    <col min="14095" max="14095" width="16.42578125" style="4" customWidth="1"/>
    <col min="14096" max="14096" width="13.42578125" style="4" customWidth="1"/>
    <col min="14097" max="14097" width="10.28515625" style="4" customWidth="1"/>
    <col min="14098" max="14099" width="11.7109375" style="4" customWidth="1"/>
    <col min="14100" max="14100" width="28.5703125" style="4" customWidth="1"/>
    <col min="14101" max="14101" width="2.140625" style="4" customWidth="1"/>
    <col min="14102" max="14102" width="9.140625" style="4"/>
    <col min="14103" max="14103" width="8.5703125" style="4" customWidth="1"/>
    <col min="14104" max="14336" width="9.140625" style="4"/>
    <col min="14337" max="14337" width="29.42578125" style="4" customWidth="1"/>
    <col min="14338" max="14346" width="0" style="4" hidden="1" customWidth="1"/>
    <col min="14347" max="14349" width="8.85546875" style="4" customWidth="1"/>
    <col min="14350" max="14350" width="1.28515625" style="4" customWidth="1"/>
    <col min="14351" max="14351" width="16.42578125" style="4" customWidth="1"/>
    <col min="14352" max="14352" width="13.42578125" style="4" customWidth="1"/>
    <col min="14353" max="14353" width="10.28515625" style="4" customWidth="1"/>
    <col min="14354" max="14355" width="11.7109375" style="4" customWidth="1"/>
    <col min="14356" max="14356" width="28.5703125" style="4" customWidth="1"/>
    <col min="14357" max="14357" width="2.140625" style="4" customWidth="1"/>
    <col min="14358" max="14358" width="9.140625" style="4"/>
    <col min="14359" max="14359" width="8.5703125" style="4" customWidth="1"/>
    <col min="14360" max="14592" width="9.140625" style="4"/>
    <col min="14593" max="14593" width="29.42578125" style="4" customWidth="1"/>
    <col min="14594" max="14602" width="0" style="4" hidden="1" customWidth="1"/>
    <col min="14603" max="14605" width="8.85546875" style="4" customWidth="1"/>
    <col min="14606" max="14606" width="1.28515625" style="4" customWidth="1"/>
    <col min="14607" max="14607" width="16.42578125" style="4" customWidth="1"/>
    <col min="14608" max="14608" width="13.42578125" style="4" customWidth="1"/>
    <col min="14609" max="14609" width="10.28515625" style="4" customWidth="1"/>
    <col min="14610" max="14611" width="11.7109375" style="4" customWidth="1"/>
    <col min="14612" max="14612" width="28.5703125" style="4" customWidth="1"/>
    <col min="14613" max="14613" width="2.140625" style="4" customWidth="1"/>
    <col min="14614" max="14614" width="9.140625" style="4"/>
    <col min="14615" max="14615" width="8.5703125" style="4" customWidth="1"/>
    <col min="14616" max="14848" width="9.140625" style="4"/>
    <col min="14849" max="14849" width="29.42578125" style="4" customWidth="1"/>
    <col min="14850" max="14858" width="0" style="4" hidden="1" customWidth="1"/>
    <col min="14859" max="14861" width="8.85546875" style="4" customWidth="1"/>
    <col min="14862" max="14862" width="1.28515625" style="4" customWidth="1"/>
    <col min="14863" max="14863" width="16.42578125" style="4" customWidth="1"/>
    <col min="14864" max="14864" width="13.42578125" style="4" customWidth="1"/>
    <col min="14865" max="14865" width="10.28515625" style="4" customWidth="1"/>
    <col min="14866" max="14867" width="11.7109375" style="4" customWidth="1"/>
    <col min="14868" max="14868" width="28.5703125" style="4" customWidth="1"/>
    <col min="14869" max="14869" width="2.140625" style="4" customWidth="1"/>
    <col min="14870" max="14870" width="9.140625" style="4"/>
    <col min="14871" max="14871" width="8.5703125" style="4" customWidth="1"/>
    <col min="14872" max="15104" width="9.140625" style="4"/>
    <col min="15105" max="15105" width="29.42578125" style="4" customWidth="1"/>
    <col min="15106" max="15114" width="0" style="4" hidden="1" customWidth="1"/>
    <col min="15115" max="15117" width="8.85546875" style="4" customWidth="1"/>
    <col min="15118" max="15118" width="1.28515625" style="4" customWidth="1"/>
    <col min="15119" max="15119" width="16.42578125" style="4" customWidth="1"/>
    <col min="15120" max="15120" width="13.42578125" style="4" customWidth="1"/>
    <col min="15121" max="15121" width="10.28515625" style="4" customWidth="1"/>
    <col min="15122" max="15123" width="11.7109375" style="4" customWidth="1"/>
    <col min="15124" max="15124" width="28.5703125" style="4" customWidth="1"/>
    <col min="15125" max="15125" width="2.140625" style="4" customWidth="1"/>
    <col min="15126" max="15126" width="9.140625" style="4"/>
    <col min="15127" max="15127" width="8.5703125" style="4" customWidth="1"/>
    <col min="15128" max="15360" width="9.140625" style="4"/>
    <col min="15361" max="15361" width="29.42578125" style="4" customWidth="1"/>
    <col min="15362" max="15370" width="0" style="4" hidden="1" customWidth="1"/>
    <col min="15371" max="15373" width="8.85546875" style="4" customWidth="1"/>
    <col min="15374" max="15374" width="1.28515625" style="4" customWidth="1"/>
    <col min="15375" max="15375" width="16.42578125" style="4" customWidth="1"/>
    <col min="15376" max="15376" width="13.42578125" style="4" customWidth="1"/>
    <col min="15377" max="15377" width="10.28515625" style="4" customWidth="1"/>
    <col min="15378" max="15379" width="11.7109375" style="4" customWidth="1"/>
    <col min="15380" max="15380" width="28.5703125" style="4" customWidth="1"/>
    <col min="15381" max="15381" width="2.140625" style="4" customWidth="1"/>
    <col min="15382" max="15382" width="9.140625" style="4"/>
    <col min="15383" max="15383" width="8.5703125" style="4" customWidth="1"/>
    <col min="15384" max="15616" width="9.140625" style="4"/>
    <col min="15617" max="15617" width="29.42578125" style="4" customWidth="1"/>
    <col min="15618" max="15626" width="0" style="4" hidden="1" customWidth="1"/>
    <col min="15627" max="15629" width="8.85546875" style="4" customWidth="1"/>
    <col min="15630" max="15630" width="1.28515625" style="4" customWidth="1"/>
    <col min="15631" max="15631" width="16.42578125" style="4" customWidth="1"/>
    <col min="15632" max="15632" width="13.42578125" style="4" customWidth="1"/>
    <col min="15633" max="15633" width="10.28515625" style="4" customWidth="1"/>
    <col min="15634" max="15635" width="11.7109375" style="4" customWidth="1"/>
    <col min="15636" max="15636" width="28.5703125" style="4" customWidth="1"/>
    <col min="15637" max="15637" width="2.140625" style="4" customWidth="1"/>
    <col min="15638" max="15638" width="9.140625" style="4"/>
    <col min="15639" max="15639" width="8.5703125" style="4" customWidth="1"/>
    <col min="15640" max="15872" width="9.140625" style="4"/>
    <col min="15873" max="15873" width="29.42578125" style="4" customWidth="1"/>
    <col min="15874" max="15882" width="0" style="4" hidden="1" customWidth="1"/>
    <col min="15883" max="15885" width="8.85546875" style="4" customWidth="1"/>
    <col min="15886" max="15886" width="1.28515625" style="4" customWidth="1"/>
    <col min="15887" max="15887" width="16.42578125" style="4" customWidth="1"/>
    <col min="15888" max="15888" width="13.42578125" style="4" customWidth="1"/>
    <col min="15889" max="15889" width="10.28515625" style="4" customWidth="1"/>
    <col min="15890" max="15891" width="11.7109375" style="4" customWidth="1"/>
    <col min="15892" max="15892" width="28.5703125" style="4" customWidth="1"/>
    <col min="15893" max="15893" width="2.140625" style="4" customWidth="1"/>
    <col min="15894" max="15894" width="9.140625" style="4"/>
    <col min="15895" max="15895" width="8.5703125" style="4" customWidth="1"/>
    <col min="15896" max="16128" width="9.140625" style="4"/>
    <col min="16129" max="16129" width="29.42578125" style="4" customWidth="1"/>
    <col min="16130" max="16138" width="0" style="4" hidden="1" customWidth="1"/>
    <col min="16139" max="16141" width="8.85546875" style="4" customWidth="1"/>
    <col min="16142" max="16142" width="1.28515625" style="4" customWidth="1"/>
    <col min="16143" max="16143" width="16.42578125" style="4" customWidth="1"/>
    <col min="16144" max="16144" width="13.42578125" style="4" customWidth="1"/>
    <col min="16145" max="16145" width="10.28515625" style="4" customWidth="1"/>
    <col min="16146" max="16147" width="11.7109375" style="4" customWidth="1"/>
    <col min="16148" max="16148" width="28.5703125" style="4" customWidth="1"/>
    <col min="16149" max="16149" width="2.140625" style="4" customWidth="1"/>
    <col min="16150" max="16150" width="9.140625" style="4"/>
    <col min="16151" max="16151" width="8.5703125" style="4" customWidth="1"/>
    <col min="16152" max="16384" width="9.140625" style="4"/>
  </cols>
  <sheetData>
    <row r="2" spans="1:83" ht="17.45" customHeight="1">
      <c r="A2" s="203" t="s">
        <v>6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1"/>
      <c r="V2" s="2"/>
    </row>
    <row r="3" spans="1:83" s="8" customFormat="1" ht="11.45" customHeight="1">
      <c r="A3" s="204" t="s">
        <v>7</v>
      </c>
      <c r="B3" s="204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5"/>
      <c r="V3" s="6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</row>
    <row r="4" spans="1:83" ht="14.4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10"/>
      <c r="L4" s="9"/>
      <c r="M4" s="9"/>
      <c r="N4" s="9"/>
      <c r="O4" s="11"/>
      <c r="P4" s="11"/>
      <c r="Q4" s="11"/>
      <c r="R4" s="11"/>
      <c r="S4" s="11"/>
      <c r="T4" s="9"/>
      <c r="U4" s="6"/>
      <c r="V4" s="6"/>
    </row>
    <row r="5" spans="1:83" s="18" customFormat="1" ht="15.75" customHeight="1">
      <c r="A5" s="12"/>
      <c r="B5" s="205" t="s">
        <v>8</v>
      </c>
      <c r="C5" s="205"/>
      <c r="D5" s="205"/>
      <c r="E5" s="206" t="s">
        <v>9</v>
      </c>
      <c r="F5" s="209" t="s">
        <v>10</v>
      </c>
      <c r="G5" s="205" t="s">
        <v>11</v>
      </c>
      <c r="H5" s="205"/>
      <c r="I5" s="205"/>
      <c r="J5" s="212" t="s">
        <v>12</v>
      </c>
      <c r="K5" s="215" t="s">
        <v>13</v>
      </c>
      <c r="L5" s="215"/>
      <c r="M5" s="215"/>
      <c r="N5" s="13"/>
      <c r="O5" s="212" t="s">
        <v>12</v>
      </c>
      <c r="P5" s="216" t="s">
        <v>14</v>
      </c>
      <c r="Q5" s="217"/>
      <c r="R5" s="217"/>
      <c r="S5" s="14"/>
      <c r="T5" s="224" t="s">
        <v>15</v>
      </c>
      <c r="U5" s="15"/>
      <c r="V5" s="16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</row>
    <row r="6" spans="1:83" s="18" customFormat="1" ht="15.75" customHeight="1">
      <c r="A6" s="17"/>
      <c r="B6" s="19"/>
      <c r="C6" s="19"/>
      <c r="D6" s="19"/>
      <c r="E6" s="207"/>
      <c r="F6" s="210"/>
      <c r="G6" s="19"/>
      <c r="H6" s="19"/>
      <c r="I6" s="19"/>
      <c r="J6" s="213"/>
      <c r="K6" s="227" t="s">
        <v>16</v>
      </c>
      <c r="L6" s="227"/>
      <c r="M6" s="227"/>
      <c r="N6" s="20"/>
      <c r="O6" s="213"/>
      <c r="P6" s="228" t="s">
        <v>17</v>
      </c>
      <c r="Q6" s="229"/>
      <c r="R6" s="229"/>
      <c r="S6" s="21"/>
      <c r="T6" s="225"/>
      <c r="U6" s="15"/>
      <c r="V6" s="16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</row>
    <row r="7" spans="1:83" s="18" customFormat="1" ht="21.6" customHeight="1">
      <c r="A7" s="22" t="s">
        <v>18</v>
      </c>
      <c r="B7" s="230" t="s">
        <v>19</v>
      </c>
      <c r="C7" s="230"/>
      <c r="D7" s="230"/>
      <c r="E7" s="208"/>
      <c r="F7" s="211"/>
      <c r="G7" s="231" t="s">
        <v>20</v>
      </c>
      <c r="H7" s="231"/>
      <c r="I7" s="231"/>
      <c r="J7" s="214"/>
      <c r="K7" s="232" t="s">
        <v>21</v>
      </c>
      <c r="L7" s="232"/>
      <c r="M7" s="232"/>
      <c r="N7" s="23"/>
      <c r="O7" s="214"/>
      <c r="P7" s="233" t="s">
        <v>22</v>
      </c>
      <c r="Q7" s="234"/>
      <c r="R7" s="234"/>
      <c r="S7" s="24"/>
      <c r="T7" s="225"/>
      <c r="U7" s="15"/>
      <c r="V7" s="16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</row>
    <row r="8" spans="1:83" s="18" customFormat="1" ht="21.6" customHeight="1">
      <c r="A8" s="17"/>
      <c r="B8" s="25" t="s">
        <v>0</v>
      </c>
      <c r="C8" s="25" t="s">
        <v>1</v>
      </c>
      <c r="D8" s="25" t="s">
        <v>2</v>
      </c>
      <c r="E8" s="235" t="s">
        <v>23</v>
      </c>
      <c r="F8" s="235" t="s">
        <v>24</v>
      </c>
      <c r="G8" s="25" t="s">
        <v>0</v>
      </c>
      <c r="H8" s="25" t="s">
        <v>1</v>
      </c>
      <c r="I8" s="25" t="s">
        <v>2</v>
      </c>
      <c r="J8" s="201" t="s">
        <v>25</v>
      </c>
      <c r="K8" s="26" t="s">
        <v>0</v>
      </c>
      <c r="L8" s="26" t="s">
        <v>1</v>
      </c>
      <c r="M8" s="26" t="s">
        <v>2</v>
      </c>
      <c r="N8" s="26"/>
      <c r="O8" s="219" t="s">
        <v>25</v>
      </c>
      <c r="P8" s="27" t="s">
        <v>0</v>
      </c>
      <c r="Q8" s="26" t="s">
        <v>1</v>
      </c>
      <c r="R8" s="26" t="s">
        <v>2</v>
      </c>
      <c r="S8" s="26"/>
      <c r="T8" s="225"/>
      <c r="U8" s="15"/>
      <c r="V8" s="16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</row>
    <row r="9" spans="1:83" s="18" customFormat="1" ht="15">
      <c r="A9" s="28"/>
      <c r="B9" s="29" t="s">
        <v>3</v>
      </c>
      <c r="C9" s="29" t="s">
        <v>4</v>
      </c>
      <c r="D9" s="29" t="s">
        <v>5</v>
      </c>
      <c r="E9" s="236"/>
      <c r="F9" s="236"/>
      <c r="G9" s="29" t="s">
        <v>3</v>
      </c>
      <c r="H9" s="29" t="s">
        <v>4</v>
      </c>
      <c r="I9" s="29" t="s">
        <v>5</v>
      </c>
      <c r="J9" s="202"/>
      <c r="K9" s="30" t="s">
        <v>3</v>
      </c>
      <c r="L9" s="30" t="s">
        <v>4</v>
      </c>
      <c r="M9" s="30" t="s">
        <v>5</v>
      </c>
      <c r="N9" s="30"/>
      <c r="O9" s="220"/>
      <c r="P9" s="31" t="s">
        <v>3</v>
      </c>
      <c r="Q9" s="32" t="s">
        <v>4</v>
      </c>
      <c r="R9" s="32" t="s">
        <v>5</v>
      </c>
      <c r="S9" s="32"/>
      <c r="T9" s="226"/>
      <c r="U9" s="15"/>
      <c r="V9" s="16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</row>
    <row r="10" spans="1:83" s="18" customFormat="1" ht="15">
      <c r="B10" s="33"/>
      <c r="C10" s="33"/>
      <c r="D10" s="33"/>
      <c r="E10" s="33"/>
      <c r="F10" s="34"/>
      <c r="G10" s="35"/>
      <c r="H10" s="35"/>
      <c r="I10" s="35"/>
      <c r="J10" s="36"/>
      <c r="K10" s="37"/>
      <c r="L10" s="35"/>
      <c r="M10" s="35"/>
      <c r="N10" s="35"/>
      <c r="O10" s="38"/>
      <c r="P10" s="39"/>
      <c r="Q10" s="40"/>
      <c r="R10" s="40"/>
      <c r="S10" s="40"/>
      <c r="T10" s="41"/>
      <c r="U10" s="15"/>
      <c r="V10" s="16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</row>
    <row r="11" spans="1:83" s="49" customFormat="1" ht="15">
      <c r="A11" s="42" t="s">
        <v>26</v>
      </c>
      <c r="B11" s="43">
        <f>SUM(C11:D11)</f>
        <v>270101</v>
      </c>
      <c r="C11" s="43">
        <f>SUM(C13,C23)</f>
        <v>137200</v>
      </c>
      <c r="D11" s="43">
        <f>SUM(D13,D23)</f>
        <v>132901</v>
      </c>
      <c r="E11" s="43">
        <f>SUM(E13,E23)</f>
        <v>41051</v>
      </c>
      <c r="F11" s="44">
        <v>6.601999413375049</v>
      </c>
      <c r="G11" s="45">
        <f>SUM(H11:I11)</f>
        <v>298968</v>
      </c>
      <c r="H11" s="45">
        <f>SUM(H13,H23)</f>
        <v>151459</v>
      </c>
      <c r="I11" s="45">
        <f>SUM(I13,I23)</f>
        <v>147509</v>
      </c>
      <c r="J11" s="46">
        <f>LN(G11/B11)/6.02*100</f>
        <v>1.6867206167394615</v>
      </c>
      <c r="K11" s="45">
        <f>SUM(L11:M11)</f>
        <v>344023</v>
      </c>
      <c r="L11" s="45">
        <f>SUM(L13,L23)</f>
        <v>174666</v>
      </c>
      <c r="M11" s="45">
        <f>SUM(M13,M23)</f>
        <v>169357</v>
      </c>
      <c r="N11" s="45"/>
      <c r="O11" s="46">
        <f>LN(K11/G11)/8.5*100</f>
        <v>1.6514349570770839</v>
      </c>
      <c r="P11" s="47">
        <f>SUM(Q11:R11)</f>
        <v>374775</v>
      </c>
      <c r="Q11" s="45">
        <f>Q13+Q23</f>
        <v>191830</v>
      </c>
      <c r="R11" s="45">
        <f>R13+R23</f>
        <v>182945</v>
      </c>
      <c r="S11" s="45"/>
      <c r="T11" s="26" t="s">
        <v>27</v>
      </c>
      <c r="U11" s="15"/>
      <c r="V11" s="16"/>
      <c r="W11" s="17"/>
      <c r="X11" s="17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</row>
    <row r="12" spans="1:83" s="18" customFormat="1" ht="5.25" customHeight="1">
      <c r="A12" s="42"/>
      <c r="B12" s="43"/>
      <c r="C12" s="43"/>
      <c r="D12" s="43"/>
      <c r="E12" s="43"/>
      <c r="F12" s="44"/>
      <c r="G12" s="45"/>
      <c r="H12" s="45"/>
      <c r="I12" s="45"/>
      <c r="J12" s="50"/>
      <c r="K12" s="45"/>
      <c r="L12" s="45"/>
      <c r="M12" s="45"/>
      <c r="N12" s="45"/>
      <c r="O12" s="46"/>
      <c r="P12" s="47"/>
      <c r="Q12" s="46"/>
      <c r="R12" s="46"/>
      <c r="S12" s="46"/>
      <c r="T12" s="51"/>
      <c r="U12" s="15"/>
      <c r="V12" s="16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</row>
    <row r="13" spans="1:83" s="49" customFormat="1" ht="15">
      <c r="A13" s="52" t="s">
        <v>28</v>
      </c>
      <c r="B13" s="43">
        <v>74069</v>
      </c>
      <c r="C13" s="43">
        <v>38559</v>
      </c>
      <c r="D13" s="43">
        <v>35510</v>
      </c>
      <c r="E13" s="43">
        <v>9700</v>
      </c>
      <c r="F13" s="44">
        <v>7.635979381443299</v>
      </c>
      <c r="G13" s="45">
        <f t="shared" ref="G13:G19" si="0">SUM(H13:I13)</f>
        <v>103693</v>
      </c>
      <c r="H13" s="45">
        <f>SUM(H14:H21)</f>
        <v>51992</v>
      </c>
      <c r="I13" s="45">
        <f>SUM(I14:I21)</f>
        <v>51701</v>
      </c>
      <c r="J13" s="50">
        <f>LN(G13/B13)/6.02*100</f>
        <v>5.58866311220548</v>
      </c>
      <c r="K13" s="45">
        <v>133412</v>
      </c>
      <c r="L13" s="45">
        <v>66328</v>
      </c>
      <c r="M13" s="45">
        <v>67084</v>
      </c>
      <c r="N13" s="45"/>
      <c r="O13" s="46">
        <f>LN(K13/G13)/8.5*100</f>
        <v>2.9647938107295366</v>
      </c>
      <c r="P13" s="47">
        <f>SUM(Q13:R13)</f>
        <v>67742</v>
      </c>
      <c r="Q13" s="53">
        <f>SUM(Q14:Q20)</f>
        <v>34919</v>
      </c>
      <c r="R13" s="53">
        <f>SUM(R14:R20)</f>
        <v>32823</v>
      </c>
      <c r="S13" s="53"/>
      <c r="T13" s="26" t="s">
        <v>29</v>
      </c>
      <c r="U13" s="15"/>
      <c r="V13" s="16"/>
      <c r="W13" s="17"/>
      <c r="X13" s="17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</row>
    <row r="14" spans="1:83" s="63" customFormat="1" ht="14.25" customHeight="1">
      <c r="A14" s="54" t="s">
        <v>30</v>
      </c>
      <c r="B14" s="43"/>
      <c r="C14" s="43"/>
      <c r="D14" s="43"/>
      <c r="E14" s="43"/>
      <c r="F14" s="44"/>
      <c r="G14" s="45">
        <f t="shared" si="0"/>
        <v>23597</v>
      </c>
      <c r="H14" s="55">
        <v>11648</v>
      </c>
      <c r="I14" s="55">
        <v>11949</v>
      </c>
      <c r="J14" s="56">
        <v>4.4054426417850001</v>
      </c>
      <c r="K14" s="57">
        <v>27254</v>
      </c>
      <c r="L14" s="57">
        <v>13447</v>
      </c>
      <c r="M14" s="57">
        <v>13807</v>
      </c>
      <c r="N14" s="57"/>
      <c r="O14" s="46">
        <f t="shared" ref="O14:O21" si="1">LN(K14/G14)/8.5*100</f>
        <v>1.6950672237693192</v>
      </c>
      <c r="P14" s="58">
        <f t="shared" ref="P14:P19" si="2">SUM(Q14:R14)</f>
        <v>14938</v>
      </c>
      <c r="Q14" s="59">
        <v>7528</v>
      </c>
      <c r="R14" s="59">
        <v>7410</v>
      </c>
      <c r="S14" s="59"/>
      <c r="T14" s="60" t="s">
        <v>31</v>
      </c>
      <c r="U14" s="15"/>
      <c r="V14" s="16"/>
      <c r="W14" s="61"/>
      <c r="X14" s="61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</row>
    <row r="15" spans="1:83" s="63" customFormat="1" ht="14.25" customHeight="1">
      <c r="A15" s="54" t="s">
        <v>32</v>
      </c>
      <c r="B15" s="43"/>
      <c r="C15" s="43"/>
      <c r="D15" s="43"/>
      <c r="E15" s="43"/>
      <c r="F15" s="44"/>
      <c r="G15" s="45">
        <f t="shared" si="0"/>
        <v>19414</v>
      </c>
      <c r="H15" s="55">
        <v>9578</v>
      </c>
      <c r="I15" s="55">
        <v>9836</v>
      </c>
      <c r="J15" s="56">
        <v>5.5762392493800235</v>
      </c>
      <c r="K15" s="57">
        <v>23062</v>
      </c>
      <c r="L15" s="57">
        <v>11307</v>
      </c>
      <c r="M15" s="57">
        <v>11755</v>
      </c>
      <c r="N15" s="57"/>
      <c r="O15" s="46">
        <f t="shared" si="1"/>
        <v>2.0257857183398822</v>
      </c>
      <c r="P15" s="58">
        <f t="shared" si="2"/>
        <v>10782</v>
      </c>
      <c r="Q15" s="59">
        <v>5510</v>
      </c>
      <c r="R15" s="59">
        <v>5272</v>
      </c>
      <c r="S15" s="59"/>
      <c r="T15" s="60" t="s">
        <v>33</v>
      </c>
      <c r="U15" s="15"/>
      <c r="V15" s="16"/>
      <c r="W15" s="61"/>
      <c r="X15" s="61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</row>
    <row r="16" spans="1:83" s="63" customFormat="1" ht="14.25" customHeight="1">
      <c r="A16" s="64" t="s">
        <v>34</v>
      </c>
      <c r="B16" s="43"/>
      <c r="C16" s="43"/>
      <c r="D16" s="43"/>
      <c r="E16" s="43"/>
      <c r="F16" s="44"/>
      <c r="G16" s="45">
        <f t="shared" si="0"/>
        <v>19580</v>
      </c>
      <c r="H16" s="65">
        <v>9544</v>
      </c>
      <c r="I16" s="65">
        <v>10036</v>
      </c>
      <c r="J16" s="56">
        <v>6.0672424445847835</v>
      </c>
      <c r="K16" s="57">
        <v>22745</v>
      </c>
      <c r="L16" s="57">
        <v>11099</v>
      </c>
      <c r="M16" s="57">
        <v>11646</v>
      </c>
      <c r="N16" s="57"/>
      <c r="O16" s="46">
        <f t="shared" si="1"/>
        <v>1.7627847519953304</v>
      </c>
      <c r="P16" s="58">
        <f t="shared" si="2"/>
        <v>11329</v>
      </c>
      <c r="Q16" s="59">
        <v>5685</v>
      </c>
      <c r="R16" s="59">
        <v>5644</v>
      </c>
      <c r="S16" s="59"/>
      <c r="T16" s="60" t="s">
        <v>35</v>
      </c>
      <c r="U16" s="66"/>
      <c r="V16" s="16"/>
      <c r="W16" s="61"/>
      <c r="X16" s="61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</row>
    <row r="17" spans="1:83" s="63" customFormat="1" ht="14.25" customHeight="1">
      <c r="A17" s="64" t="s">
        <v>36</v>
      </c>
      <c r="B17" s="43"/>
      <c r="C17" s="43"/>
      <c r="D17" s="43"/>
      <c r="E17" s="43"/>
      <c r="F17" s="44"/>
      <c r="G17" s="45">
        <f t="shared" si="0"/>
        <v>29964</v>
      </c>
      <c r="H17" s="65">
        <v>14833</v>
      </c>
      <c r="I17" s="65">
        <v>15131</v>
      </c>
      <c r="J17" s="56">
        <v>4.8535960818321433</v>
      </c>
      <c r="K17" s="57">
        <v>36437</v>
      </c>
      <c r="L17" s="57">
        <v>17869</v>
      </c>
      <c r="M17" s="57">
        <v>18568</v>
      </c>
      <c r="N17" s="57"/>
      <c r="O17" s="46">
        <f t="shared" si="1"/>
        <v>2.3010362447528925</v>
      </c>
      <c r="P17" s="58">
        <f t="shared" si="2"/>
        <v>19322</v>
      </c>
      <c r="Q17" s="59">
        <v>9917</v>
      </c>
      <c r="R17" s="59">
        <v>9405</v>
      </c>
      <c r="S17" s="59"/>
      <c r="T17" s="60" t="s">
        <v>37</v>
      </c>
      <c r="U17" s="15"/>
      <c r="V17" s="16"/>
      <c r="W17" s="61"/>
      <c r="X17" s="61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</row>
    <row r="18" spans="1:83" s="63" customFormat="1" ht="14.25" customHeight="1">
      <c r="A18" s="64" t="s">
        <v>38</v>
      </c>
      <c r="B18" s="43"/>
      <c r="C18" s="43"/>
      <c r="D18" s="43"/>
      <c r="E18" s="43"/>
      <c r="F18" s="44"/>
      <c r="G18" s="45">
        <f t="shared" si="0"/>
        <v>6956</v>
      </c>
      <c r="H18" s="67">
        <v>3462</v>
      </c>
      <c r="I18" s="67">
        <v>3494</v>
      </c>
      <c r="J18" s="56">
        <v>8.0246642937317105</v>
      </c>
      <c r="K18" s="57">
        <v>7516</v>
      </c>
      <c r="L18" s="57">
        <v>3681</v>
      </c>
      <c r="M18" s="57">
        <v>3835</v>
      </c>
      <c r="N18" s="57"/>
      <c r="O18" s="46">
        <f t="shared" si="1"/>
        <v>0.91093511834332008</v>
      </c>
      <c r="P18" s="58">
        <f t="shared" si="2"/>
        <v>2941</v>
      </c>
      <c r="Q18" s="59">
        <v>1522</v>
      </c>
      <c r="R18" s="59">
        <v>1419</v>
      </c>
      <c r="S18" s="59"/>
      <c r="T18" s="60" t="s">
        <v>39</v>
      </c>
      <c r="U18" s="15"/>
      <c r="V18" s="16"/>
      <c r="W18" s="61"/>
      <c r="X18" s="61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</row>
    <row r="19" spans="1:83" s="63" customFormat="1" ht="14.25" customHeight="1">
      <c r="A19" s="64" t="s">
        <v>40</v>
      </c>
      <c r="B19" s="43"/>
      <c r="C19" s="43"/>
      <c r="D19" s="43"/>
      <c r="E19" s="43"/>
      <c r="F19" s="44"/>
      <c r="G19" s="45">
        <f t="shared" si="0"/>
        <v>2866</v>
      </c>
      <c r="H19" s="65">
        <v>1620</v>
      </c>
      <c r="I19" s="65">
        <v>1246</v>
      </c>
      <c r="J19" s="68" t="s">
        <v>41</v>
      </c>
      <c r="K19" s="57">
        <v>14843</v>
      </c>
      <c r="L19" s="57">
        <v>7372</v>
      </c>
      <c r="M19" s="57">
        <v>7471</v>
      </c>
      <c r="N19" s="57"/>
      <c r="O19" s="46">
        <f t="shared" si="1"/>
        <v>19.348365226313501</v>
      </c>
      <c r="P19" s="58">
        <f t="shared" si="2"/>
        <v>8430</v>
      </c>
      <c r="Q19" s="59">
        <v>4757</v>
      </c>
      <c r="R19" s="59">
        <v>3673</v>
      </c>
      <c r="S19" s="59"/>
      <c r="T19" s="60" t="s">
        <v>42</v>
      </c>
      <c r="U19" s="15"/>
      <c r="V19" s="16"/>
      <c r="W19" s="61"/>
      <c r="X19" s="61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</row>
    <row r="20" spans="1:83" s="63" customFormat="1" ht="14.25" customHeight="1">
      <c r="A20" s="64" t="s">
        <v>43</v>
      </c>
      <c r="B20" s="43"/>
      <c r="C20" s="43"/>
      <c r="D20" s="43"/>
      <c r="E20" s="43"/>
      <c r="F20" s="44"/>
      <c r="G20" s="45" t="s">
        <v>44</v>
      </c>
      <c r="H20" s="45" t="s">
        <v>44</v>
      </c>
      <c r="I20" s="45" t="s">
        <v>44</v>
      </c>
      <c r="J20" s="69" t="s">
        <v>44</v>
      </c>
      <c r="K20" s="57" t="s">
        <v>44</v>
      </c>
      <c r="L20" s="57" t="s">
        <v>44</v>
      </c>
      <c r="M20" s="57" t="s">
        <v>44</v>
      </c>
      <c r="N20" s="57"/>
      <c r="O20" s="70" t="s">
        <v>44</v>
      </c>
      <c r="P20" s="57" t="s">
        <v>44</v>
      </c>
      <c r="Q20" s="57" t="s">
        <v>44</v>
      </c>
      <c r="R20" s="57" t="s">
        <v>44</v>
      </c>
      <c r="S20" s="59"/>
      <c r="T20" s="60" t="s">
        <v>45</v>
      </c>
      <c r="U20" s="15"/>
      <c r="V20" s="16"/>
      <c r="W20" s="61"/>
      <c r="X20" s="61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  <c r="BX20" s="62"/>
      <c r="BY20" s="62"/>
      <c r="BZ20" s="62"/>
      <c r="CA20" s="62"/>
      <c r="CB20" s="62"/>
      <c r="CC20" s="62"/>
      <c r="CD20" s="62"/>
      <c r="CE20" s="62"/>
    </row>
    <row r="21" spans="1:83" s="49" customFormat="1" ht="19.5" customHeight="1">
      <c r="A21" s="71" t="s">
        <v>46</v>
      </c>
      <c r="B21" s="43"/>
      <c r="C21" s="43"/>
      <c r="D21" s="43"/>
      <c r="E21" s="43"/>
      <c r="F21" s="44"/>
      <c r="G21" s="45">
        <f>SUM(H21:I21)</f>
        <v>1316</v>
      </c>
      <c r="H21" s="57">
        <v>1307</v>
      </c>
      <c r="I21" s="65">
        <v>9</v>
      </c>
      <c r="J21" s="68" t="s">
        <v>41</v>
      </c>
      <c r="K21" s="57">
        <v>1555</v>
      </c>
      <c r="L21" s="57">
        <v>1553</v>
      </c>
      <c r="M21" s="57">
        <v>2</v>
      </c>
      <c r="N21" s="57"/>
      <c r="O21" s="46">
        <f t="shared" si="1"/>
        <v>1.9632789732714344</v>
      </c>
      <c r="P21" s="58" t="s">
        <v>44</v>
      </c>
      <c r="Q21" s="57" t="s">
        <v>44</v>
      </c>
      <c r="R21" s="57" t="s">
        <v>44</v>
      </c>
      <c r="S21" s="57"/>
      <c r="T21" s="72" t="s">
        <v>47</v>
      </c>
      <c r="U21" s="15"/>
      <c r="V21" s="16"/>
      <c r="W21" s="17"/>
      <c r="X21" s="17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</row>
    <row r="22" spans="1:83" s="49" customFormat="1" ht="14.25" customHeight="1">
      <c r="A22" s="52"/>
      <c r="B22" s="43"/>
      <c r="C22" s="43"/>
      <c r="D22" s="43"/>
      <c r="E22" s="43"/>
      <c r="F22" s="44"/>
      <c r="G22" s="45"/>
      <c r="H22" s="45"/>
      <c r="I22" s="45"/>
      <c r="J22" s="50"/>
      <c r="K22" s="45"/>
      <c r="L22" s="45"/>
      <c r="M22" s="45"/>
      <c r="N22" s="45"/>
      <c r="O22" s="46"/>
      <c r="P22" s="58"/>
      <c r="Q22" s="59"/>
      <c r="R22" s="59"/>
      <c r="S22" s="59"/>
      <c r="T22" s="26"/>
      <c r="U22" s="15"/>
      <c r="V22" s="16"/>
      <c r="W22" s="17"/>
      <c r="X22" s="17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</row>
    <row r="23" spans="1:83" s="18" customFormat="1" ht="36.75" customHeight="1">
      <c r="A23" s="73" t="s">
        <v>48</v>
      </c>
      <c r="B23" s="45">
        <f>C23+D23</f>
        <v>196032</v>
      </c>
      <c r="C23" s="45">
        <f>SUM(C25:C26)</f>
        <v>98641</v>
      </c>
      <c r="D23" s="45">
        <f>SUM(D25:D26)</f>
        <v>97391</v>
      </c>
      <c r="E23" s="45">
        <f>SUM(E25:E26)</f>
        <v>31351</v>
      </c>
      <c r="F23" s="74"/>
      <c r="G23" s="45">
        <f>SUM(G25:G26)</f>
        <v>195275</v>
      </c>
      <c r="H23" s="45">
        <f>SUM(H25:H26)</f>
        <v>99467</v>
      </c>
      <c r="I23" s="45">
        <f>SUM(I25:I26)</f>
        <v>95808</v>
      </c>
      <c r="J23" s="50">
        <f>LN(G23/B23)/6.02*100</f>
        <v>-6.4270593254967548E-2</v>
      </c>
      <c r="K23" s="45">
        <f>SUM(K25:K26)</f>
        <v>210611</v>
      </c>
      <c r="L23" s="45">
        <f>SUM(L25:L26)</f>
        <v>108338</v>
      </c>
      <c r="M23" s="45">
        <f>SUM(M25:M26)</f>
        <v>102273</v>
      </c>
      <c r="N23" s="57"/>
      <c r="O23" s="46">
        <f t="shared" ref="O23:O80" si="3">LN(K23/G23)/8.5*100</f>
        <v>0.88945892421627926</v>
      </c>
      <c r="P23" s="47">
        <f>SUM(Q23:R23)</f>
        <v>307033</v>
      </c>
      <c r="Q23" s="53">
        <f>Q28+Q46+Q64+Q82+Q97+Q115+Q130+Q137+Q148+Q158+Q170+Q177+Q188+Q195+Q205+Q220+Q235+Q247+Q260+Q263</f>
        <v>156911</v>
      </c>
      <c r="R23" s="53">
        <f>R28+R46+R64+R82+R97+R115+R130+R137+R148+R158+R170+R177+R188+R195+R205+R220+R235+R247+R260+R263</f>
        <v>150122</v>
      </c>
      <c r="S23" s="53"/>
      <c r="T23" s="75" t="s">
        <v>49</v>
      </c>
      <c r="U23" s="15"/>
      <c r="V23" s="16"/>
      <c r="W23" s="76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</row>
    <row r="24" spans="1:83" s="18" customFormat="1" ht="14.25" customHeight="1">
      <c r="A24" s="73"/>
      <c r="B24" s="45"/>
      <c r="C24" s="45"/>
      <c r="D24" s="45"/>
      <c r="E24" s="45"/>
      <c r="F24" s="74"/>
      <c r="G24" s="45"/>
      <c r="H24" s="45"/>
      <c r="I24" s="45"/>
      <c r="J24" s="50"/>
      <c r="K24" s="45"/>
      <c r="L24" s="45"/>
      <c r="M24" s="45"/>
      <c r="N24" s="57"/>
      <c r="O24" s="46"/>
      <c r="P24" s="58"/>
      <c r="Q24" s="77"/>
      <c r="R24" s="59"/>
      <c r="S24" s="59"/>
      <c r="T24" s="78"/>
      <c r="U24" s="15"/>
      <c r="V24" s="16"/>
      <c r="W24" s="76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</row>
    <row r="25" spans="1:83" s="81" customFormat="1" ht="14.45" customHeight="1">
      <c r="A25" s="79" t="s">
        <v>50</v>
      </c>
      <c r="B25" s="45">
        <f>SUM(C25:D25)</f>
        <v>188117</v>
      </c>
      <c r="C25" s="45">
        <f>SUM(C28,C46,C64,C82,C97,C115,C130,C137,C148,C158,C170,C177,C188,C195,C205,C220,C235,C247,C260,C263)</f>
        <v>90848</v>
      </c>
      <c r="D25" s="45">
        <f>SUM(D28,D46,D64,D82,D97,D115,D130,D137,D148,D158,D170,D177,D188,D195,D205,D220,D235,D247,D260,D263)</f>
        <v>97269</v>
      </c>
      <c r="E25" s="45">
        <v>31212</v>
      </c>
      <c r="F25" s="44">
        <v>6.2806612841214919</v>
      </c>
      <c r="G25" s="45">
        <f>SUM(H25:I25)</f>
        <v>184408</v>
      </c>
      <c r="H25" s="45">
        <f>SUM(H28,H46,H64,H82,H97,H115,H130,H137,H148,H158,H170,H177,H188,H195,H205,H220,H235,H247,H260,H263)</f>
        <v>88922</v>
      </c>
      <c r="I25" s="45">
        <f>SUM(I28,I46,I64,I82,I97,I115,I130,I137,I148,I158,I170,I177,I188,I195,I205,I220,I235,I247,I260,I263)</f>
        <v>95486</v>
      </c>
      <c r="J25" s="50">
        <f>LN(G25/B25)/6.02*100</f>
        <v>-0.33078763376429005</v>
      </c>
      <c r="K25" s="45">
        <f>SUM(L25:M25)</f>
        <v>197056</v>
      </c>
      <c r="L25" s="45">
        <f>SUM(L28,L46,L64,L82,L97,L115,L130,L137,L148,L158,L170,L177,L188,L195,L205,L220,L235,L247,L260,L263)</f>
        <v>95190</v>
      </c>
      <c r="M25" s="45">
        <f>SUM(M28,M46,M64,M82,M97,M115,M130,M137,M148,M158,M170,M177,M188,M195,M205,M220,M235,M247,M260,M263)</f>
        <v>101866</v>
      </c>
      <c r="N25" s="45"/>
      <c r="O25" s="46">
        <f t="shared" si="3"/>
        <v>0.78043833144304486</v>
      </c>
      <c r="P25" s="58" t="s">
        <v>44</v>
      </c>
      <c r="Q25" s="57" t="s">
        <v>44</v>
      </c>
      <c r="R25" s="57" t="s">
        <v>44</v>
      </c>
      <c r="S25" s="57"/>
      <c r="T25" s="80" t="s">
        <v>51</v>
      </c>
      <c r="U25" s="15"/>
      <c r="V25" s="16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</row>
    <row r="26" spans="1:83" s="81" customFormat="1" ht="14.45" customHeight="1">
      <c r="A26" s="79" t="s">
        <v>52</v>
      </c>
      <c r="B26" s="45">
        <v>7915</v>
      </c>
      <c r="C26" s="45">
        <v>7793</v>
      </c>
      <c r="D26" s="45">
        <v>122</v>
      </c>
      <c r="E26" s="45">
        <v>139</v>
      </c>
      <c r="F26" s="44"/>
      <c r="G26" s="45">
        <v>10867</v>
      </c>
      <c r="H26" s="45">
        <v>10545</v>
      </c>
      <c r="I26" s="45">
        <v>322</v>
      </c>
      <c r="J26" s="50">
        <v>5.2652986835172593</v>
      </c>
      <c r="K26" s="45">
        <v>13555</v>
      </c>
      <c r="L26" s="45">
        <v>13148</v>
      </c>
      <c r="M26" s="45">
        <v>407</v>
      </c>
      <c r="N26" s="45"/>
      <c r="O26" s="46">
        <f t="shared" si="3"/>
        <v>2.600291869057815</v>
      </c>
      <c r="P26" s="58" t="s">
        <v>44</v>
      </c>
      <c r="Q26" s="57" t="s">
        <v>44</v>
      </c>
      <c r="R26" s="57" t="s">
        <v>44</v>
      </c>
      <c r="S26" s="57"/>
      <c r="T26" s="80" t="s">
        <v>53</v>
      </c>
      <c r="U26" s="15"/>
      <c r="V26" s="16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</row>
    <row r="27" spans="1:83" s="18" customFormat="1" ht="14.45" customHeight="1">
      <c r="A27" s="82"/>
      <c r="B27" s="57"/>
      <c r="C27" s="57"/>
      <c r="D27" s="57"/>
      <c r="E27" s="57"/>
      <c r="F27" s="74"/>
      <c r="G27" s="57"/>
      <c r="H27" s="57"/>
      <c r="I27" s="57"/>
      <c r="J27" s="83"/>
      <c r="K27" s="57"/>
      <c r="L27" s="57"/>
      <c r="M27" s="57"/>
      <c r="N27" s="57"/>
      <c r="O27" s="46"/>
      <c r="P27" s="58"/>
      <c r="Q27" s="17"/>
      <c r="R27" s="17"/>
      <c r="S27" s="17"/>
      <c r="T27" s="84"/>
      <c r="U27" s="15"/>
      <c r="V27" s="16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</row>
    <row r="28" spans="1:83" s="49" customFormat="1" ht="15">
      <c r="A28" s="85" t="s">
        <v>54</v>
      </c>
      <c r="B28" s="45">
        <f>SUM(C28:D28)</f>
        <v>14141</v>
      </c>
      <c r="C28" s="45">
        <f>SUM(C29:C44)</f>
        <v>6618</v>
      </c>
      <c r="D28" s="45">
        <f>SUM(D29:D44)</f>
        <v>7523</v>
      </c>
      <c r="E28" s="45">
        <f>SUM(E29:E44)</f>
        <v>2350</v>
      </c>
      <c r="F28" s="44">
        <v>6.0233943002977455</v>
      </c>
      <c r="G28" s="45">
        <f>SUM(G29:G44)</f>
        <v>13314</v>
      </c>
      <c r="H28" s="45">
        <f>SUM(H29:H44)</f>
        <v>6132</v>
      </c>
      <c r="I28" s="45">
        <f>SUM(I29:I44)</f>
        <v>7182</v>
      </c>
      <c r="J28" s="50">
        <f>LN(G28/B28)/6.02*100</f>
        <v>-1.0010343213808577</v>
      </c>
      <c r="K28" s="45">
        <f>SUM(L28:M28)</f>
        <v>13004</v>
      </c>
      <c r="L28" s="45">
        <f>SUM(L29:L44)</f>
        <v>5913</v>
      </c>
      <c r="M28" s="45">
        <f>SUM(M29:M44)</f>
        <v>7091</v>
      </c>
      <c r="N28" s="45"/>
      <c r="O28" s="46">
        <f t="shared" si="3"/>
        <v>-0.27716600866885871</v>
      </c>
      <c r="P28" s="47">
        <f>SUM(Q28:R28)</f>
        <v>22761</v>
      </c>
      <c r="Q28" s="53">
        <f>SUM(Q29:Q44)</f>
        <v>11586</v>
      </c>
      <c r="R28" s="53">
        <f>SUM(R29:R44)</f>
        <v>11175</v>
      </c>
      <c r="S28" s="53"/>
      <c r="T28" s="26" t="s">
        <v>55</v>
      </c>
      <c r="U28" s="22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</row>
    <row r="29" spans="1:83" s="18" customFormat="1" ht="15">
      <c r="A29" s="82" t="s">
        <v>56</v>
      </c>
      <c r="B29" s="57">
        <v>412</v>
      </c>
      <c r="C29" s="57">
        <v>190</v>
      </c>
      <c r="D29" s="57">
        <v>222</v>
      </c>
      <c r="E29" s="86">
        <v>61</v>
      </c>
      <c r="F29" s="74">
        <v>6.7540983606557381</v>
      </c>
      <c r="G29" s="57">
        <f>SUM(H29:I29)</f>
        <v>347</v>
      </c>
      <c r="H29" s="57">
        <v>150</v>
      </c>
      <c r="I29" s="57">
        <v>197</v>
      </c>
      <c r="J29" s="87">
        <f>LN(G29/B29)/6.02*100</f>
        <v>-2.8521357043632434</v>
      </c>
      <c r="K29" s="57">
        <f>SUM(L29:M29)</f>
        <v>393</v>
      </c>
      <c r="L29" s="57">
        <v>181</v>
      </c>
      <c r="M29" s="57">
        <v>212</v>
      </c>
      <c r="N29" s="57"/>
      <c r="O29" s="88">
        <f t="shared" si="3"/>
        <v>1.4645274343812016</v>
      </c>
      <c r="P29" s="58">
        <f>SUM(Q29:R29)</f>
        <v>702</v>
      </c>
      <c r="Q29" s="59">
        <v>369</v>
      </c>
      <c r="R29" s="59">
        <v>333</v>
      </c>
      <c r="S29" s="59"/>
      <c r="T29" s="60" t="s">
        <v>57</v>
      </c>
      <c r="U29" s="82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</row>
    <row r="30" spans="1:83" s="18" customFormat="1" ht="15">
      <c r="A30" s="82" t="s">
        <v>58</v>
      </c>
      <c r="B30" s="57">
        <v>326</v>
      </c>
      <c r="C30" s="57">
        <v>156</v>
      </c>
      <c r="D30" s="57">
        <v>170</v>
      </c>
      <c r="E30" s="86">
        <v>57</v>
      </c>
      <c r="F30" s="74">
        <v>5.7192982456140351</v>
      </c>
      <c r="G30" s="57">
        <f t="shared" ref="G30:G44" si="4">SUM(H30:I30)</f>
        <v>267</v>
      </c>
      <c r="H30" s="57">
        <v>119</v>
      </c>
      <c r="I30" s="57">
        <v>148</v>
      </c>
      <c r="J30" s="87">
        <f>LN(G30/B30)/6.02*100</f>
        <v>-3.3164239695424933</v>
      </c>
      <c r="K30" s="57">
        <f>SUM(L30:M30)</f>
        <v>368</v>
      </c>
      <c r="L30" s="57">
        <v>171</v>
      </c>
      <c r="M30" s="57">
        <v>197</v>
      </c>
      <c r="N30" s="57"/>
      <c r="O30" s="88">
        <f t="shared" si="3"/>
        <v>3.7745209384550762</v>
      </c>
      <c r="P30" s="58">
        <f>SUM(Q30:R30)</f>
        <v>531</v>
      </c>
      <c r="Q30" s="59">
        <v>266</v>
      </c>
      <c r="R30" s="59">
        <v>265</v>
      </c>
      <c r="S30" s="59" t="s">
        <v>59</v>
      </c>
      <c r="T30" s="60" t="s">
        <v>60</v>
      </c>
      <c r="U30" s="82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</row>
    <row r="31" spans="1:83" s="18" customFormat="1" ht="15">
      <c r="A31" s="82" t="s">
        <v>61</v>
      </c>
      <c r="B31" s="57">
        <v>124</v>
      </c>
      <c r="C31" s="57">
        <v>55</v>
      </c>
      <c r="D31" s="57">
        <v>69</v>
      </c>
      <c r="E31" s="86">
        <v>21</v>
      </c>
      <c r="F31" s="74">
        <v>5.9047619047619051</v>
      </c>
      <c r="G31" s="57">
        <f t="shared" si="4"/>
        <v>0</v>
      </c>
      <c r="H31" s="57">
        <v>0</v>
      </c>
      <c r="I31" s="57">
        <v>0</v>
      </c>
      <c r="J31" s="89" t="s">
        <v>41</v>
      </c>
      <c r="K31" s="57" t="s">
        <v>44</v>
      </c>
      <c r="L31" s="57" t="s">
        <v>44</v>
      </c>
      <c r="M31" s="57" t="s">
        <v>44</v>
      </c>
      <c r="N31" s="57"/>
      <c r="O31" s="90" t="s">
        <v>44</v>
      </c>
      <c r="P31" s="58" t="s">
        <v>44</v>
      </c>
      <c r="Q31" s="57" t="s">
        <v>44</v>
      </c>
      <c r="R31" s="57" t="s">
        <v>44</v>
      </c>
      <c r="S31" s="57"/>
      <c r="T31" s="91" t="s">
        <v>62</v>
      </c>
      <c r="U31" s="82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</row>
    <row r="32" spans="1:83" s="18" customFormat="1" ht="15">
      <c r="A32" s="82" t="s">
        <v>63</v>
      </c>
      <c r="B32" s="57">
        <v>150</v>
      </c>
      <c r="C32" s="57">
        <v>74</v>
      </c>
      <c r="D32" s="57">
        <v>76</v>
      </c>
      <c r="E32" s="86">
        <v>32</v>
      </c>
      <c r="F32" s="74">
        <v>4.6875</v>
      </c>
      <c r="G32" s="57">
        <f t="shared" si="4"/>
        <v>101</v>
      </c>
      <c r="H32" s="57">
        <v>53</v>
      </c>
      <c r="I32" s="57">
        <v>48</v>
      </c>
      <c r="J32" s="87">
        <f t="shared" ref="J32:J44" si="5">LN(G32/B32)/6.02*100</f>
        <v>-6.5700129112125634</v>
      </c>
      <c r="K32" s="57" t="s">
        <v>44</v>
      </c>
      <c r="L32" s="57" t="s">
        <v>44</v>
      </c>
      <c r="M32" s="57" t="s">
        <v>44</v>
      </c>
      <c r="N32" s="57"/>
      <c r="O32" s="90" t="s">
        <v>44</v>
      </c>
      <c r="P32" s="58" t="s">
        <v>44</v>
      </c>
      <c r="Q32" s="57" t="s">
        <v>44</v>
      </c>
      <c r="R32" s="57" t="s">
        <v>44</v>
      </c>
      <c r="S32" s="57"/>
      <c r="T32" s="60" t="s">
        <v>64</v>
      </c>
      <c r="U32" s="92"/>
      <c r="V32" s="93"/>
      <c r="W32" s="94"/>
      <c r="X32" s="95"/>
      <c r="Y32" s="96"/>
      <c r="Z32" s="96"/>
      <c r="AA32" s="66"/>
      <c r="AB32" s="66"/>
      <c r="AC32" s="97"/>
      <c r="AD32" s="66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</row>
    <row r="33" spans="1:83" s="18" customFormat="1" ht="15">
      <c r="A33" s="82" t="s">
        <v>65</v>
      </c>
      <c r="B33" s="57">
        <v>264</v>
      </c>
      <c r="C33" s="57">
        <v>112</v>
      </c>
      <c r="D33" s="57">
        <v>152</v>
      </c>
      <c r="E33" s="86">
        <v>63</v>
      </c>
      <c r="F33" s="74">
        <v>4.1904761904761907</v>
      </c>
      <c r="G33" s="57">
        <f t="shared" si="4"/>
        <v>172</v>
      </c>
      <c r="H33" s="57">
        <v>84</v>
      </c>
      <c r="I33" s="57">
        <v>88</v>
      </c>
      <c r="J33" s="87">
        <f t="shared" si="5"/>
        <v>-7.1171864839346037</v>
      </c>
      <c r="K33" s="57">
        <f t="shared" ref="K33:K44" si="6">SUM(L33:M33)</f>
        <v>221</v>
      </c>
      <c r="L33" s="57">
        <v>103</v>
      </c>
      <c r="M33" s="57">
        <v>118</v>
      </c>
      <c r="N33" s="57"/>
      <c r="O33" s="88">
        <f t="shared" si="3"/>
        <v>2.949037937697645</v>
      </c>
      <c r="P33" s="58">
        <f t="shared" ref="P33:P44" si="7">SUM(Q33:R33)</f>
        <v>388</v>
      </c>
      <c r="Q33" s="59">
        <v>205</v>
      </c>
      <c r="R33" s="59">
        <v>183</v>
      </c>
      <c r="S33" s="59"/>
      <c r="T33" s="60" t="s">
        <v>66</v>
      </c>
      <c r="U33" s="82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</row>
    <row r="34" spans="1:83" s="18" customFormat="1" ht="15">
      <c r="A34" s="82" t="s">
        <v>67</v>
      </c>
      <c r="B34" s="57">
        <v>2221</v>
      </c>
      <c r="C34" s="57">
        <v>1044</v>
      </c>
      <c r="D34" s="57">
        <v>1177</v>
      </c>
      <c r="E34" s="86">
        <v>341</v>
      </c>
      <c r="F34" s="74">
        <v>6.5131964809384169</v>
      </c>
      <c r="G34" s="57">
        <f t="shared" si="4"/>
        <v>2204</v>
      </c>
      <c r="H34" s="57">
        <v>1051</v>
      </c>
      <c r="I34" s="57">
        <v>1153</v>
      </c>
      <c r="J34" s="87">
        <f t="shared" si="5"/>
        <v>-0.12763544221963966</v>
      </c>
      <c r="K34" s="57">
        <f t="shared" si="6"/>
        <v>1728</v>
      </c>
      <c r="L34" s="57">
        <v>816</v>
      </c>
      <c r="M34" s="57">
        <v>912</v>
      </c>
      <c r="N34" s="57"/>
      <c r="O34" s="88">
        <f t="shared" si="3"/>
        <v>-2.8624614224565201</v>
      </c>
      <c r="P34" s="58">
        <f t="shared" si="7"/>
        <v>3414</v>
      </c>
      <c r="Q34" s="59">
        <v>1730</v>
      </c>
      <c r="R34" s="59">
        <v>1684</v>
      </c>
      <c r="S34" s="59"/>
      <c r="T34" s="60" t="s">
        <v>68</v>
      </c>
      <c r="U34" s="82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</row>
    <row r="35" spans="1:83" s="18" customFormat="1" ht="15">
      <c r="A35" s="82" t="s">
        <v>69</v>
      </c>
      <c r="B35" s="57">
        <v>2062</v>
      </c>
      <c r="C35" s="57">
        <v>965</v>
      </c>
      <c r="D35" s="57">
        <v>1097</v>
      </c>
      <c r="E35" s="86">
        <v>253</v>
      </c>
      <c r="F35" s="74">
        <v>8.150197628458498</v>
      </c>
      <c r="G35" s="57">
        <f t="shared" si="4"/>
        <v>2447</v>
      </c>
      <c r="H35" s="57">
        <v>1209</v>
      </c>
      <c r="I35" s="57">
        <v>1238</v>
      </c>
      <c r="J35" s="87">
        <f t="shared" si="5"/>
        <v>2.8436278881356558</v>
      </c>
      <c r="K35" s="57">
        <f t="shared" si="6"/>
        <v>2468</v>
      </c>
      <c r="L35" s="57">
        <v>1187</v>
      </c>
      <c r="M35" s="57">
        <v>1281</v>
      </c>
      <c r="N35" s="57"/>
      <c r="O35" s="88">
        <f t="shared" si="3"/>
        <v>0.10053319508949209</v>
      </c>
      <c r="P35" s="58">
        <f t="shared" si="7"/>
        <v>3394</v>
      </c>
      <c r="Q35" s="59">
        <v>1745</v>
      </c>
      <c r="R35" s="59">
        <v>1649</v>
      </c>
      <c r="S35" s="59"/>
      <c r="T35" s="60" t="s">
        <v>70</v>
      </c>
      <c r="U35" s="82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</row>
    <row r="36" spans="1:83" s="18" customFormat="1" ht="15">
      <c r="A36" s="82" t="s">
        <v>71</v>
      </c>
      <c r="B36" s="57">
        <v>1196</v>
      </c>
      <c r="C36" s="57">
        <v>583</v>
      </c>
      <c r="D36" s="57">
        <v>613</v>
      </c>
      <c r="E36" s="86">
        <v>245</v>
      </c>
      <c r="F36" s="74">
        <v>4.8816326530612244</v>
      </c>
      <c r="G36" s="57">
        <f t="shared" si="4"/>
        <v>1200</v>
      </c>
      <c r="H36" s="57">
        <v>527</v>
      </c>
      <c r="I36" s="57">
        <v>673</v>
      </c>
      <c r="J36" s="87">
        <f t="shared" si="5"/>
        <v>5.5463476171339378E-2</v>
      </c>
      <c r="K36" s="57">
        <f t="shared" si="6"/>
        <v>1041</v>
      </c>
      <c r="L36" s="57">
        <v>457</v>
      </c>
      <c r="M36" s="57">
        <v>584</v>
      </c>
      <c r="N36" s="57"/>
      <c r="O36" s="88">
        <f t="shared" si="3"/>
        <v>-1.6722325548367378</v>
      </c>
      <c r="P36" s="58">
        <f t="shared" si="7"/>
        <v>2229</v>
      </c>
      <c r="Q36" s="59">
        <v>1172</v>
      </c>
      <c r="R36" s="59">
        <v>1057</v>
      </c>
      <c r="S36" s="59"/>
      <c r="T36" s="60" t="s">
        <v>72</v>
      </c>
      <c r="U36" s="82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</row>
    <row r="37" spans="1:83" s="18" customFormat="1" ht="15">
      <c r="A37" s="82" t="s">
        <v>73</v>
      </c>
      <c r="B37" s="57">
        <v>597</v>
      </c>
      <c r="C37" s="57">
        <v>284</v>
      </c>
      <c r="D37" s="57">
        <v>313</v>
      </c>
      <c r="E37" s="86">
        <v>86</v>
      </c>
      <c r="F37" s="74">
        <v>6.941860465116279</v>
      </c>
      <c r="G37" s="57">
        <f t="shared" si="4"/>
        <v>471</v>
      </c>
      <c r="H37" s="57">
        <v>210</v>
      </c>
      <c r="I37" s="57">
        <v>261</v>
      </c>
      <c r="J37" s="87">
        <f t="shared" si="5"/>
        <v>-3.937857464720671</v>
      </c>
      <c r="K37" s="57">
        <f t="shared" si="6"/>
        <v>426</v>
      </c>
      <c r="L37" s="57">
        <v>196</v>
      </c>
      <c r="M37" s="57">
        <v>230</v>
      </c>
      <c r="N37" s="57"/>
      <c r="O37" s="88">
        <f t="shared" si="3"/>
        <v>-1.1813970323182035</v>
      </c>
      <c r="P37" s="58">
        <f t="shared" si="7"/>
        <v>902</v>
      </c>
      <c r="Q37" s="59">
        <v>457</v>
      </c>
      <c r="R37" s="59">
        <v>445</v>
      </c>
      <c r="S37" s="59"/>
      <c r="T37" s="60" t="s">
        <v>74</v>
      </c>
      <c r="U37" s="82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</row>
    <row r="38" spans="1:83" s="18" customFormat="1" ht="15">
      <c r="A38" s="82" t="s">
        <v>75</v>
      </c>
      <c r="B38" s="57">
        <v>2766</v>
      </c>
      <c r="C38" s="57">
        <v>1293</v>
      </c>
      <c r="D38" s="57">
        <v>1473</v>
      </c>
      <c r="E38" s="86">
        <v>438</v>
      </c>
      <c r="F38" s="74">
        <v>6.3150684931506849</v>
      </c>
      <c r="G38" s="57">
        <f t="shared" si="4"/>
        <v>2512</v>
      </c>
      <c r="H38" s="57">
        <v>1130</v>
      </c>
      <c r="I38" s="57">
        <v>1382</v>
      </c>
      <c r="J38" s="87">
        <f t="shared" si="5"/>
        <v>-1.6000495786812987</v>
      </c>
      <c r="K38" s="57">
        <f t="shared" si="6"/>
        <v>2651</v>
      </c>
      <c r="L38" s="57">
        <v>1126</v>
      </c>
      <c r="M38" s="57">
        <v>1525</v>
      </c>
      <c r="N38" s="57"/>
      <c r="O38" s="88">
        <f t="shared" si="3"/>
        <v>0.63361974942278032</v>
      </c>
      <c r="P38" s="58">
        <f t="shared" si="7"/>
        <v>4246</v>
      </c>
      <c r="Q38" s="59">
        <v>2153</v>
      </c>
      <c r="R38" s="59">
        <v>2093</v>
      </c>
      <c r="S38" s="59"/>
      <c r="T38" s="60" t="s">
        <v>76</v>
      </c>
      <c r="U38" s="82"/>
      <c r="V38" s="17"/>
      <c r="W38" s="22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</row>
    <row r="39" spans="1:83" s="18" customFormat="1" ht="15">
      <c r="A39" s="82" t="s">
        <v>77</v>
      </c>
      <c r="B39" s="57">
        <v>659</v>
      </c>
      <c r="C39" s="57">
        <v>316</v>
      </c>
      <c r="D39" s="57">
        <v>343</v>
      </c>
      <c r="E39" s="86">
        <v>120</v>
      </c>
      <c r="F39" s="74">
        <v>5.4916666666666663</v>
      </c>
      <c r="G39" s="57">
        <f t="shared" si="4"/>
        <v>548</v>
      </c>
      <c r="H39" s="57">
        <v>253</v>
      </c>
      <c r="I39" s="57">
        <v>295</v>
      </c>
      <c r="J39" s="87">
        <f t="shared" si="5"/>
        <v>-3.0639243779815906</v>
      </c>
      <c r="K39" s="57">
        <f t="shared" si="6"/>
        <v>562</v>
      </c>
      <c r="L39" s="57">
        <v>260</v>
      </c>
      <c r="M39" s="57">
        <v>302</v>
      </c>
      <c r="N39" s="57"/>
      <c r="O39" s="88">
        <f t="shared" si="3"/>
        <v>0.29678309347853604</v>
      </c>
      <c r="P39" s="58">
        <f t="shared" si="7"/>
        <v>1122</v>
      </c>
      <c r="Q39" s="59">
        <v>563</v>
      </c>
      <c r="R39" s="59">
        <v>559</v>
      </c>
      <c r="S39" s="59"/>
      <c r="T39" s="60" t="s">
        <v>78</v>
      </c>
      <c r="U39" s="98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</row>
    <row r="40" spans="1:83" s="18" customFormat="1" ht="17.25">
      <c r="A40" s="82" t="s">
        <v>79</v>
      </c>
      <c r="B40" s="57">
        <v>520</v>
      </c>
      <c r="C40" s="57">
        <v>242</v>
      </c>
      <c r="D40" s="57">
        <v>278</v>
      </c>
      <c r="E40" s="86">
        <v>94</v>
      </c>
      <c r="F40" s="74">
        <v>5.5319148936170217</v>
      </c>
      <c r="G40" s="57">
        <f t="shared" si="4"/>
        <v>530</v>
      </c>
      <c r="H40" s="57">
        <v>264</v>
      </c>
      <c r="I40" s="57">
        <v>266</v>
      </c>
      <c r="J40" s="87">
        <f t="shared" si="5"/>
        <v>0.31641519884874436</v>
      </c>
      <c r="K40" s="57">
        <f t="shared" si="6"/>
        <v>647</v>
      </c>
      <c r="L40" s="57">
        <v>307</v>
      </c>
      <c r="M40" s="57">
        <v>340</v>
      </c>
      <c r="N40" s="57"/>
      <c r="O40" s="88">
        <f t="shared" si="3"/>
        <v>2.3466975053498014</v>
      </c>
      <c r="P40" s="58">
        <f t="shared" si="7"/>
        <v>1037</v>
      </c>
      <c r="Q40" s="59">
        <v>540</v>
      </c>
      <c r="R40" s="59">
        <v>497</v>
      </c>
      <c r="S40" s="59"/>
      <c r="T40" s="60" t="s">
        <v>80</v>
      </c>
      <c r="U40" s="98"/>
      <c r="V40" s="17"/>
      <c r="W40" s="80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</row>
    <row r="41" spans="1:83" s="18" customFormat="1" ht="15">
      <c r="A41" s="82" t="s">
        <v>81</v>
      </c>
      <c r="B41" s="57">
        <v>507</v>
      </c>
      <c r="C41" s="57">
        <v>224</v>
      </c>
      <c r="D41" s="57">
        <v>283</v>
      </c>
      <c r="E41" s="86">
        <v>114</v>
      </c>
      <c r="F41" s="74">
        <v>4.4473684210526319</v>
      </c>
      <c r="G41" s="57">
        <f t="shared" si="4"/>
        <v>340</v>
      </c>
      <c r="H41" s="57">
        <v>127</v>
      </c>
      <c r="I41" s="57">
        <v>213</v>
      </c>
      <c r="J41" s="87">
        <f t="shared" si="5"/>
        <v>-6.6372987704481092</v>
      </c>
      <c r="K41" s="57">
        <f t="shared" si="6"/>
        <v>336</v>
      </c>
      <c r="L41" s="57">
        <v>144</v>
      </c>
      <c r="M41" s="57">
        <v>192</v>
      </c>
      <c r="N41" s="57"/>
      <c r="O41" s="88">
        <f t="shared" si="3"/>
        <v>-0.13922891349415056</v>
      </c>
      <c r="P41" s="58">
        <f t="shared" si="7"/>
        <v>941</v>
      </c>
      <c r="Q41" s="59">
        <v>459</v>
      </c>
      <c r="R41" s="59">
        <v>482</v>
      </c>
      <c r="S41" s="59"/>
      <c r="T41" s="60" t="s">
        <v>82</v>
      </c>
      <c r="U41" s="98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</row>
    <row r="42" spans="1:83" s="18" customFormat="1" ht="15">
      <c r="A42" s="82" t="s">
        <v>83</v>
      </c>
      <c r="B42" s="57">
        <v>584</v>
      </c>
      <c r="C42" s="57">
        <v>265</v>
      </c>
      <c r="D42" s="57">
        <v>319</v>
      </c>
      <c r="E42" s="86">
        <v>99</v>
      </c>
      <c r="F42" s="74">
        <v>5.8989898989898988</v>
      </c>
      <c r="G42" s="57">
        <f t="shared" si="4"/>
        <v>521</v>
      </c>
      <c r="H42" s="57">
        <v>205</v>
      </c>
      <c r="I42" s="57">
        <v>316</v>
      </c>
      <c r="J42" s="87">
        <f t="shared" si="5"/>
        <v>-1.8961950344661163</v>
      </c>
      <c r="K42" s="57">
        <f t="shared" si="6"/>
        <v>538</v>
      </c>
      <c r="L42" s="57">
        <v>218</v>
      </c>
      <c r="M42" s="57">
        <v>320</v>
      </c>
      <c r="N42" s="57"/>
      <c r="O42" s="88">
        <f t="shared" si="3"/>
        <v>0.37774727539314729</v>
      </c>
      <c r="P42" s="58">
        <f t="shared" si="7"/>
        <v>955</v>
      </c>
      <c r="Q42" s="59">
        <v>472</v>
      </c>
      <c r="R42" s="59">
        <v>483</v>
      </c>
      <c r="S42" s="59"/>
      <c r="T42" s="60" t="s">
        <v>84</v>
      </c>
      <c r="U42" s="98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</row>
    <row r="43" spans="1:83" s="18" customFormat="1" ht="15">
      <c r="A43" s="82" t="s">
        <v>85</v>
      </c>
      <c r="B43" s="57">
        <v>483</v>
      </c>
      <c r="C43" s="57">
        <v>195</v>
      </c>
      <c r="D43" s="57">
        <v>288</v>
      </c>
      <c r="E43" s="86">
        <v>98</v>
      </c>
      <c r="F43" s="74">
        <v>4.9285714285714288</v>
      </c>
      <c r="G43" s="57">
        <f t="shared" si="4"/>
        <v>451</v>
      </c>
      <c r="H43" s="57">
        <v>193</v>
      </c>
      <c r="I43" s="57">
        <v>258</v>
      </c>
      <c r="J43" s="87">
        <f t="shared" si="5"/>
        <v>-1.1386929260779788</v>
      </c>
      <c r="K43" s="57">
        <f t="shared" si="6"/>
        <v>444</v>
      </c>
      <c r="L43" s="57">
        <v>190</v>
      </c>
      <c r="M43" s="57">
        <v>254</v>
      </c>
      <c r="N43" s="57"/>
      <c r="O43" s="88">
        <f t="shared" si="3"/>
        <v>-0.18403267141710089</v>
      </c>
      <c r="P43" s="58">
        <f t="shared" si="7"/>
        <v>897</v>
      </c>
      <c r="Q43" s="59">
        <v>441</v>
      </c>
      <c r="R43" s="59">
        <v>456</v>
      </c>
      <c r="S43" s="59"/>
      <c r="T43" s="60" t="s">
        <v>86</v>
      </c>
      <c r="U43" s="98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</row>
    <row r="44" spans="1:83" s="18" customFormat="1" ht="15">
      <c r="A44" s="82" t="s">
        <v>87</v>
      </c>
      <c r="B44" s="57">
        <v>1270</v>
      </c>
      <c r="C44" s="57">
        <v>620</v>
      </c>
      <c r="D44" s="57">
        <v>650</v>
      </c>
      <c r="E44" s="86">
        <v>228</v>
      </c>
      <c r="F44" s="74">
        <v>5.5701754385964914</v>
      </c>
      <c r="G44" s="57">
        <f t="shared" si="4"/>
        <v>1203</v>
      </c>
      <c r="H44" s="57">
        <v>557</v>
      </c>
      <c r="I44" s="57">
        <v>646</v>
      </c>
      <c r="J44" s="87">
        <f t="shared" si="5"/>
        <v>-0.90030670229166165</v>
      </c>
      <c r="K44" s="57">
        <f t="shared" si="6"/>
        <v>1181</v>
      </c>
      <c r="L44" s="57">
        <v>557</v>
      </c>
      <c r="M44" s="57">
        <v>624</v>
      </c>
      <c r="N44" s="57"/>
      <c r="O44" s="88">
        <f t="shared" si="3"/>
        <v>-0.21713999738019554</v>
      </c>
      <c r="P44" s="58">
        <f t="shared" si="7"/>
        <v>2003</v>
      </c>
      <c r="Q44" s="59">
        <v>1014</v>
      </c>
      <c r="R44" s="59">
        <v>989</v>
      </c>
      <c r="S44" s="59"/>
      <c r="T44" s="60" t="s">
        <v>88</v>
      </c>
      <c r="U44" s="98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</row>
    <row r="45" spans="1:83" s="18" customFormat="1">
      <c r="B45" s="57"/>
      <c r="C45" s="57"/>
      <c r="D45" s="57"/>
      <c r="E45" s="86"/>
      <c r="F45" s="74"/>
      <c r="G45" s="57"/>
      <c r="H45" s="57"/>
      <c r="I45" s="57"/>
      <c r="J45" s="87"/>
      <c r="K45" s="57"/>
      <c r="L45" s="57"/>
      <c r="M45" s="57"/>
      <c r="N45" s="57"/>
      <c r="O45" s="88"/>
      <c r="P45" s="58"/>
      <c r="Q45" s="59"/>
      <c r="R45" s="59"/>
      <c r="S45" s="59"/>
      <c r="U45" s="82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</row>
    <row r="46" spans="1:83" s="49" customFormat="1" ht="17.45" customHeight="1">
      <c r="A46" s="85" t="s">
        <v>89</v>
      </c>
      <c r="B46" s="45">
        <f t="shared" ref="B46:B62" si="8">SUM(C46:D46)</f>
        <v>16863</v>
      </c>
      <c r="C46" s="45">
        <f>SUM(C47:C62)</f>
        <v>7881</v>
      </c>
      <c r="D46" s="45">
        <f>SUM(D47:D62)</f>
        <v>8982</v>
      </c>
      <c r="E46" s="45">
        <f>SUM(E47:E62)</f>
        <v>2934</v>
      </c>
      <c r="F46" s="44">
        <v>5.7732379979570991</v>
      </c>
      <c r="G46" s="45">
        <f>SUM(H46:I46)</f>
        <v>16214</v>
      </c>
      <c r="H46" s="45">
        <f>SUM(H47:H62)</f>
        <v>7486</v>
      </c>
      <c r="I46" s="45">
        <f>SUM(I47:I62)</f>
        <v>8728</v>
      </c>
      <c r="J46" s="50">
        <f t="shared" ref="J46:J62" si="9">LN(G46/B46)/6.02*100</f>
        <v>-0.65194030103874212</v>
      </c>
      <c r="K46" s="45">
        <f>SUM(L46:M46)</f>
        <v>18570</v>
      </c>
      <c r="L46" s="45">
        <f>SUM(L47:L62)</f>
        <v>8486</v>
      </c>
      <c r="M46" s="45">
        <f>SUM(M47:M62)</f>
        <v>10084</v>
      </c>
      <c r="N46" s="45"/>
      <c r="O46" s="46">
        <f t="shared" si="3"/>
        <v>1.5961448094011641</v>
      </c>
      <c r="P46" s="47">
        <f>SUM(Q46:R46)</f>
        <v>27259</v>
      </c>
      <c r="Q46" s="53">
        <f>SUM(Q47:Q62)</f>
        <v>13933</v>
      </c>
      <c r="R46" s="53">
        <f>SUM(R47:R62)</f>
        <v>13326</v>
      </c>
      <c r="S46" s="53"/>
      <c r="T46" s="26" t="s">
        <v>90</v>
      </c>
      <c r="U46" s="99"/>
      <c r="V46" s="26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</row>
    <row r="47" spans="1:83" s="81" customFormat="1" ht="14.45" customHeight="1">
      <c r="A47" s="100" t="s">
        <v>91</v>
      </c>
      <c r="B47" s="57">
        <f t="shared" si="8"/>
        <v>159</v>
      </c>
      <c r="C47" s="57">
        <v>62</v>
      </c>
      <c r="D47" s="57">
        <v>97</v>
      </c>
      <c r="E47" s="86">
        <v>36</v>
      </c>
      <c r="F47" s="74">
        <v>4.416666666666667</v>
      </c>
      <c r="G47" s="57">
        <f>SUM(H47:I47)</f>
        <v>87</v>
      </c>
      <c r="H47" s="57">
        <v>38</v>
      </c>
      <c r="I47" s="57">
        <v>49</v>
      </c>
      <c r="J47" s="87">
        <f t="shared" si="9"/>
        <v>-10.016546238632024</v>
      </c>
      <c r="K47" s="57" t="s">
        <v>44</v>
      </c>
      <c r="L47" s="57" t="s">
        <v>44</v>
      </c>
      <c r="M47" s="57" t="s">
        <v>44</v>
      </c>
      <c r="N47" s="57"/>
      <c r="O47" s="90" t="s">
        <v>44</v>
      </c>
      <c r="P47" s="58" t="s">
        <v>44</v>
      </c>
      <c r="Q47" s="57" t="s">
        <v>44</v>
      </c>
      <c r="R47" s="57" t="s">
        <v>44</v>
      </c>
      <c r="S47" s="59"/>
      <c r="T47" s="60" t="s">
        <v>92</v>
      </c>
      <c r="U47" s="101"/>
      <c r="V47" s="78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  <c r="BV47" s="61"/>
      <c r="BW47" s="61"/>
      <c r="BX47" s="61"/>
      <c r="BY47" s="61"/>
      <c r="BZ47" s="61"/>
      <c r="CA47" s="61"/>
      <c r="CB47" s="61"/>
      <c r="CC47" s="61"/>
      <c r="CD47" s="61"/>
      <c r="CE47" s="61"/>
    </row>
    <row r="48" spans="1:83" s="81" customFormat="1" ht="14.45" customHeight="1">
      <c r="A48" s="100" t="s">
        <v>93</v>
      </c>
      <c r="B48" s="57">
        <f t="shared" si="8"/>
        <v>1009</v>
      </c>
      <c r="C48" s="57">
        <v>466</v>
      </c>
      <c r="D48" s="57">
        <v>543</v>
      </c>
      <c r="E48" s="86">
        <v>198</v>
      </c>
      <c r="F48" s="74">
        <v>5.095959595959596</v>
      </c>
      <c r="G48" s="57">
        <f t="shared" ref="G48:G62" si="10">SUM(H48:I48)</f>
        <v>1184</v>
      </c>
      <c r="H48" s="57">
        <v>583</v>
      </c>
      <c r="I48" s="57">
        <v>601</v>
      </c>
      <c r="J48" s="87">
        <f t="shared" si="9"/>
        <v>2.6567906161186383</v>
      </c>
      <c r="K48" s="57">
        <f t="shared" ref="K48:K55" si="11">SUM(L48:M48)</f>
        <v>1618</v>
      </c>
      <c r="L48" s="57">
        <v>790</v>
      </c>
      <c r="M48" s="57">
        <v>828</v>
      </c>
      <c r="N48" s="57"/>
      <c r="O48" s="88">
        <f t="shared" si="3"/>
        <v>3.6740268491115988</v>
      </c>
      <c r="P48" s="47">
        <f t="shared" ref="P48:P62" si="12">SUM(Q48:R48)</f>
        <v>2199</v>
      </c>
      <c r="Q48" s="59">
        <v>1117</v>
      </c>
      <c r="R48" s="59">
        <v>1082</v>
      </c>
      <c r="S48" s="59"/>
      <c r="T48" s="60" t="s">
        <v>94</v>
      </c>
      <c r="U48" s="101"/>
      <c r="V48" s="78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61"/>
      <c r="BS48" s="61"/>
      <c r="BT48" s="61"/>
      <c r="BU48" s="61"/>
      <c r="BV48" s="61"/>
      <c r="BW48" s="61"/>
      <c r="BX48" s="61"/>
      <c r="BY48" s="61"/>
      <c r="BZ48" s="61"/>
      <c r="CA48" s="61"/>
      <c r="CB48" s="61"/>
      <c r="CC48" s="61"/>
      <c r="CD48" s="61"/>
      <c r="CE48" s="61"/>
    </row>
    <row r="49" spans="1:83" s="81" customFormat="1" ht="14.45" customHeight="1">
      <c r="A49" s="100" t="s">
        <v>95</v>
      </c>
      <c r="B49" s="57">
        <f t="shared" si="8"/>
        <v>327</v>
      </c>
      <c r="C49" s="57">
        <v>138</v>
      </c>
      <c r="D49" s="57">
        <v>189</v>
      </c>
      <c r="E49" s="86">
        <v>71</v>
      </c>
      <c r="F49" s="74">
        <v>4.605633802816901</v>
      </c>
      <c r="G49" s="57">
        <f t="shared" si="10"/>
        <v>291</v>
      </c>
      <c r="H49" s="57">
        <v>116</v>
      </c>
      <c r="I49" s="57">
        <v>175</v>
      </c>
      <c r="J49" s="87">
        <f t="shared" si="9"/>
        <v>-1.9374900951123073</v>
      </c>
      <c r="K49" s="57">
        <f t="shared" si="11"/>
        <v>389</v>
      </c>
      <c r="L49" s="57">
        <v>175</v>
      </c>
      <c r="M49" s="57">
        <v>214</v>
      </c>
      <c r="N49" s="57"/>
      <c r="O49" s="88">
        <f t="shared" si="3"/>
        <v>3.4147773699641615</v>
      </c>
      <c r="P49" s="47">
        <f t="shared" si="12"/>
        <v>580</v>
      </c>
      <c r="Q49" s="59">
        <v>275</v>
      </c>
      <c r="R49" s="59">
        <v>305</v>
      </c>
      <c r="S49" s="59"/>
      <c r="T49" s="60" t="s">
        <v>96</v>
      </c>
      <c r="U49" s="101"/>
      <c r="V49" s="78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61"/>
      <c r="BU49" s="61"/>
      <c r="BV49" s="61"/>
      <c r="BW49" s="61"/>
      <c r="BX49" s="61"/>
      <c r="BY49" s="61"/>
      <c r="BZ49" s="61"/>
      <c r="CA49" s="61"/>
      <c r="CB49" s="61"/>
      <c r="CC49" s="61"/>
      <c r="CD49" s="61"/>
      <c r="CE49" s="61"/>
    </row>
    <row r="50" spans="1:83" s="81" customFormat="1" ht="14.45" customHeight="1">
      <c r="A50" s="100" t="s">
        <v>97</v>
      </c>
      <c r="B50" s="57">
        <f t="shared" si="8"/>
        <v>469</v>
      </c>
      <c r="C50" s="57">
        <v>191</v>
      </c>
      <c r="D50" s="57">
        <v>278</v>
      </c>
      <c r="E50" s="86">
        <v>108</v>
      </c>
      <c r="F50" s="74">
        <v>4.3425925925925926</v>
      </c>
      <c r="G50" s="57">
        <f t="shared" si="10"/>
        <v>375</v>
      </c>
      <c r="H50" s="57">
        <v>160</v>
      </c>
      <c r="I50" s="57">
        <v>215</v>
      </c>
      <c r="J50" s="87">
        <f t="shared" si="9"/>
        <v>-3.7155605062436647</v>
      </c>
      <c r="K50" s="57">
        <f t="shared" si="11"/>
        <v>397</v>
      </c>
      <c r="L50" s="57">
        <v>176</v>
      </c>
      <c r="M50" s="57">
        <v>221</v>
      </c>
      <c r="N50" s="57"/>
      <c r="O50" s="88">
        <f t="shared" si="3"/>
        <v>0.67070887902093623</v>
      </c>
      <c r="P50" s="47">
        <f t="shared" si="12"/>
        <v>829</v>
      </c>
      <c r="Q50" s="59">
        <v>424</v>
      </c>
      <c r="R50" s="59">
        <v>405</v>
      </c>
      <c r="S50" s="59"/>
      <c r="T50" s="60" t="s">
        <v>98</v>
      </c>
      <c r="U50" s="101"/>
      <c r="V50" s="78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BS50" s="61"/>
      <c r="BT50" s="61"/>
      <c r="BU50" s="61"/>
      <c r="BV50" s="61"/>
      <c r="BW50" s="61"/>
      <c r="BX50" s="61"/>
      <c r="BY50" s="61"/>
      <c r="BZ50" s="61"/>
      <c r="CA50" s="61"/>
      <c r="CB50" s="61"/>
      <c r="CC50" s="61"/>
      <c r="CD50" s="61"/>
      <c r="CE50" s="61"/>
    </row>
    <row r="51" spans="1:83" s="81" customFormat="1" ht="14.45" customHeight="1">
      <c r="A51" s="100" t="s">
        <v>99</v>
      </c>
      <c r="B51" s="57">
        <f t="shared" si="8"/>
        <v>375</v>
      </c>
      <c r="C51" s="57">
        <v>159</v>
      </c>
      <c r="D51" s="57">
        <v>216</v>
      </c>
      <c r="E51" s="86">
        <v>59</v>
      </c>
      <c r="F51" s="74">
        <v>6.3559322033898304</v>
      </c>
      <c r="G51" s="57">
        <f t="shared" si="10"/>
        <v>351</v>
      </c>
      <c r="H51" s="57">
        <v>156</v>
      </c>
      <c r="I51" s="57">
        <v>195</v>
      </c>
      <c r="J51" s="87">
        <f t="shared" si="9"/>
        <v>-1.0986678156901155</v>
      </c>
      <c r="K51" s="57">
        <f t="shared" si="11"/>
        <v>315</v>
      </c>
      <c r="L51" s="57">
        <v>147</v>
      </c>
      <c r="M51" s="57">
        <v>168</v>
      </c>
      <c r="N51" s="57"/>
      <c r="O51" s="88">
        <f t="shared" si="3"/>
        <v>-1.2731009957674437</v>
      </c>
      <c r="P51" s="47">
        <f t="shared" si="12"/>
        <v>566</v>
      </c>
      <c r="Q51" s="59">
        <v>296</v>
      </c>
      <c r="R51" s="59">
        <v>270</v>
      </c>
      <c r="S51" s="59"/>
      <c r="T51" s="60" t="s">
        <v>100</v>
      </c>
      <c r="U51" s="102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61"/>
      <c r="BV51" s="61"/>
      <c r="BW51" s="61"/>
      <c r="BX51" s="61"/>
      <c r="BY51" s="61"/>
      <c r="BZ51" s="61"/>
      <c r="CA51" s="61"/>
      <c r="CB51" s="61"/>
      <c r="CC51" s="61"/>
      <c r="CD51" s="61"/>
      <c r="CE51" s="61"/>
    </row>
    <row r="52" spans="1:83" s="81" customFormat="1" ht="14.45" customHeight="1">
      <c r="A52" s="100" t="s">
        <v>101</v>
      </c>
      <c r="B52" s="57">
        <f t="shared" si="8"/>
        <v>418</v>
      </c>
      <c r="C52" s="57">
        <v>182</v>
      </c>
      <c r="D52" s="57">
        <v>236</v>
      </c>
      <c r="E52" s="86">
        <v>72</v>
      </c>
      <c r="F52" s="74">
        <v>5.8055555555555554</v>
      </c>
      <c r="G52" s="57">
        <f t="shared" si="10"/>
        <v>260</v>
      </c>
      <c r="H52" s="57">
        <v>118</v>
      </c>
      <c r="I52" s="57">
        <v>142</v>
      </c>
      <c r="J52" s="87">
        <f t="shared" si="9"/>
        <v>-7.8870398921798772</v>
      </c>
      <c r="K52" s="57">
        <f t="shared" si="11"/>
        <v>991</v>
      </c>
      <c r="L52" s="57">
        <v>428</v>
      </c>
      <c r="M52" s="57">
        <v>563</v>
      </c>
      <c r="N52" s="57"/>
      <c r="O52" s="88">
        <f t="shared" si="3"/>
        <v>15.741563568405414</v>
      </c>
      <c r="P52" s="47">
        <f t="shared" si="12"/>
        <v>1870</v>
      </c>
      <c r="Q52" s="59">
        <v>914</v>
      </c>
      <c r="R52" s="59">
        <v>956</v>
      </c>
      <c r="S52" s="59"/>
      <c r="T52" s="60" t="s">
        <v>102</v>
      </c>
      <c r="U52" s="102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BS52" s="61"/>
      <c r="BT52" s="61"/>
      <c r="BU52" s="61"/>
      <c r="BV52" s="61"/>
      <c r="BW52" s="61"/>
      <c r="BX52" s="61"/>
      <c r="BY52" s="61"/>
      <c r="BZ52" s="61"/>
      <c r="CA52" s="61"/>
      <c r="CB52" s="61"/>
      <c r="CC52" s="61"/>
      <c r="CD52" s="61"/>
      <c r="CE52" s="61"/>
    </row>
    <row r="53" spans="1:83" s="81" customFormat="1" ht="14.45" customHeight="1">
      <c r="A53" s="100" t="s">
        <v>103</v>
      </c>
      <c r="B53" s="57">
        <f t="shared" si="8"/>
        <v>749</v>
      </c>
      <c r="C53" s="57">
        <v>334</v>
      </c>
      <c r="D53" s="57">
        <v>415</v>
      </c>
      <c r="E53" s="86">
        <v>136</v>
      </c>
      <c r="F53" s="74">
        <v>5.507352941176471</v>
      </c>
      <c r="G53" s="57">
        <f t="shared" si="10"/>
        <v>717</v>
      </c>
      <c r="H53" s="57">
        <v>319</v>
      </c>
      <c r="I53" s="57">
        <v>398</v>
      </c>
      <c r="J53" s="87">
        <f t="shared" si="9"/>
        <v>-0.72530137736875544</v>
      </c>
      <c r="K53" s="57">
        <f t="shared" si="11"/>
        <v>827</v>
      </c>
      <c r="L53" s="57">
        <v>358</v>
      </c>
      <c r="M53" s="57">
        <v>469</v>
      </c>
      <c r="N53" s="57"/>
      <c r="O53" s="88">
        <f t="shared" si="3"/>
        <v>1.679162993224365</v>
      </c>
      <c r="P53" s="47">
        <f t="shared" si="12"/>
        <v>1303</v>
      </c>
      <c r="Q53" s="59">
        <v>671</v>
      </c>
      <c r="R53" s="59">
        <v>632</v>
      </c>
      <c r="S53" s="59"/>
      <c r="T53" s="60" t="s">
        <v>104</v>
      </c>
      <c r="U53" s="102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61"/>
      <c r="BU53" s="61"/>
      <c r="BV53" s="61"/>
      <c r="BW53" s="61"/>
      <c r="BX53" s="61"/>
      <c r="BY53" s="61"/>
      <c r="BZ53" s="61"/>
      <c r="CA53" s="61"/>
      <c r="CB53" s="61"/>
      <c r="CC53" s="61"/>
      <c r="CD53" s="61"/>
      <c r="CE53" s="61"/>
    </row>
    <row r="54" spans="1:83" s="81" customFormat="1" ht="14.45" customHeight="1">
      <c r="A54" s="100" t="s">
        <v>105</v>
      </c>
      <c r="B54" s="57">
        <f t="shared" si="8"/>
        <v>1556</v>
      </c>
      <c r="C54" s="57">
        <v>775</v>
      </c>
      <c r="D54" s="57">
        <v>781</v>
      </c>
      <c r="E54" s="86">
        <v>271</v>
      </c>
      <c r="F54" s="74">
        <v>5.7416974169741701</v>
      </c>
      <c r="G54" s="57">
        <f t="shared" si="10"/>
        <v>1554</v>
      </c>
      <c r="H54" s="57">
        <v>707</v>
      </c>
      <c r="I54" s="57">
        <v>847</v>
      </c>
      <c r="J54" s="87">
        <f t="shared" si="9"/>
        <v>-2.1365013467510276E-2</v>
      </c>
      <c r="K54" s="57">
        <f t="shared" si="11"/>
        <v>1830</v>
      </c>
      <c r="L54" s="57">
        <v>811</v>
      </c>
      <c r="M54" s="57">
        <v>1019</v>
      </c>
      <c r="N54" s="57"/>
      <c r="O54" s="88">
        <f t="shared" si="3"/>
        <v>1.9233378224455759</v>
      </c>
      <c r="P54" s="47">
        <f t="shared" si="12"/>
        <v>2681</v>
      </c>
      <c r="Q54" s="59">
        <v>1368</v>
      </c>
      <c r="R54" s="59">
        <v>1313</v>
      </c>
      <c r="S54" s="59"/>
      <c r="T54" s="60" t="s">
        <v>106</v>
      </c>
      <c r="U54" s="102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  <c r="BV54" s="61"/>
      <c r="BW54" s="61"/>
      <c r="BX54" s="61"/>
      <c r="BY54" s="61"/>
      <c r="BZ54" s="61"/>
      <c r="CA54" s="61"/>
      <c r="CB54" s="61"/>
      <c r="CC54" s="61"/>
      <c r="CD54" s="61"/>
      <c r="CE54" s="61"/>
    </row>
    <row r="55" spans="1:83" s="81" customFormat="1" ht="14.45" customHeight="1">
      <c r="A55" s="100" t="s">
        <v>107</v>
      </c>
      <c r="B55" s="57">
        <f t="shared" si="8"/>
        <v>463</v>
      </c>
      <c r="C55" s="57">
        <v>212</v>
      </c>
      <c r="D55" s="57">
        <v>251</v>
      </c>
      <c r="E55" s="86">
        <v>82</v>
      </c>
      <c r="F55" s="74">
        <v>5.6463414634146343</v>
      </c>
      <c r="G55" s="57">
        <f t="shared" si="10"/>
        <v>430</v>
      </c>
      <c r="H55" s="57">
        <v>207</v>
      </c>
      <c r="I55" s="57">
        <v>223</v>
      </c>
      <c r="J55" s="87">
        <f t="shared" si="9"/>
        <v>-1.2282698571200323</v>
      </c>
      <c r="K55" s="57">
        <f t="shared" si="11"/>
        <v>448</v>
      </c>
      <c r="L55" s="57">
        <v>214</v>
      </c>
      <c r="M55" s="57">
        <v>234</v>
      </c>
      <c r="N55" s="57"/>
      <c r="O55" s="88">
        <f t="shared" si="3"/>
        <v>0.48244733796914163</v>
      </c>
      <c r="P55" s="47">
        <f t="shared" si="12"/>
        <v>744</v>
      </c>
      <c r="Q55" s="59">
        <v>394</v>
      </c>
      <c r="R55" s="59">
        <v>350</v>
      </c>
      <c r="S55" s="59"/>
      <c r="T55" s="60" t="s">
        <v>108</v>
      </c>
      <c r="U55" s="102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/>
      <c r="BZ55" s="61"/>
      <c r="CA55" s="61"/>
      <c r="CB55" s="61"/>
      <c r="CC55" s="61"/>
      <c r="CD55" s="61"/>
      <c r="CE55" s="61"/>
    </row>
    <row r="56" spans="1:83" s="81" customFormat="1" ht="14.45" customHeight="1">
      <c r="A56" s="100" t="s">
        <v>109</v>
      </c>
      <c r="B56" s="57">
        <f t="shared" si="8"/>
        <v>241</v>
      </c>
      <c r="C56" s="57">
        <v>118</v>
      </c>
      <c r="D56" s="57">
        <v>123</v>
      </c>
      <c r="E56" s="86">
        <v>50</v>
      </c>
      <c r="F56" s="74">
        <v>4.82</v>
      </c>
      <c r="G56" s="57">
        <f t="shared" si="10"/>
        <v>85</v>
      </c>
      <c r="H56" s="57">
        <v>35</v>
      </c>
      <c r="I56" s="57">
        <v>50</v>
      </c>
      <c r="J56" s="87">
        <f t="shared" si="9"/>
        <v>-17.311389983394328</v>
      </c>
      <c r="K56" s="57" t="s">
        <v>44</v>
      </c>
      <c r="L56" s="57" t="s">
        <v>44</v>
      </c>
      <c r="M56" s="57" t="s">
        <v>44</v>
      </c>
      <c r="N56" s="57"/>
      <c r="O56" s="88"/>
      <c r="P56" s="47">
        <f t="shared" si="12"/>
        <v>2</v>
      </c>
      <c r="Q56" s="59">
        <v>1</v>
      </c>
      <c r="R56" s="59">
        <v>1</v>
      </c>
      <c r="S56" s="59"/>
      <c r="T56" s="60" t="s">
        <v>110</v>
      </c>
      <c r="U56" s="102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  <c r="BY56" s="61"/>
      <c r="BZ56" s="61"/>
      <c r="CA56" s="61"/>
      <c r="CB56" s="61"/>
      <c r="CC56" s="61"/>
      <c r="CD56" s="61"/>
      <c r="CE56" s="61"/>
    </row>
    <row r="57" spans="1:83" s="81" customFormat="1" ht="14.45" customHeight="1">
      <c r="A57" s="100" t="s">
        <v>111</v>
      </c>
      <c r="B57" s="57">
        <f t="shared" si="8"/>
        <v>6581</v>
      </c>
      <c r="C57" s="57">
        <v>3131</v>
      </c>
      <c r="D57" s="57">
        <v>3450</v>
      </c>
      <c r="E57" s="86">
        <v>1018</v>
      </c>
      <c r="F57" s="74">
        <v>6.4646365422396856</v>
      </c>
      <c r="G57" s="57">
        <f t="shared" si="10"/>
        <v>6998</v>
      </c>
      <c r="H57" s="57">
        <v>3299</v>
      </c>
      <c r="I57" s="57">
        <v>3699</v>
      </c>
      <c r="J57" s="87">
        <f t="shared" si="9"/>
        <v>1.0205595427161827</v>
      </c>
      <c r="K57" s="57">
        <f>SUM(L57:M57)</f>
        <v>8226</v>
      </c>
      <c r="L57" s="57">
        <v>3790</v>
      </c>
      <c r="M57" s="57">
        <v>4436</v>
      </c>
      <c r="N57" s="57"/>
      <c r="O57" s="88">
        <f t="shared" si="3"/>
        <v>1.9020644219145413</v>
      </c>
      <c r="P57" s="47">
        <f t="shared" si="12"/>
        <v>9984</v>
      </c>
      <c r="Q57" s="59">
        <v>5117</v>
      </c>
      <c r="R57" s="59">
        <v>4867</v>
      </c>
      <c r="S57" s="59"/>
      <c r="T57" s="60" t="s">
        <v>112</v>
      </c>
      <c r="U57" s="102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  <c r="BV57" s="61"/>
      <c r="BW57" s="61"/>
      <c r="BX57" s="61"/>
      <c r="BY57" s="61"/>
      <c r="BZ57" s="61"/>
      <c r="CA57" s="61"/>
      <c r="CB57" s="61"/>
      <c r="CC57" s="61"/>
      <c r="CD57" s="61"/>
      <c r="CE57" s="61"/>
    </row>
    <row r="58" spans="1:83" s="81" customFormat="1" ht="14.45" customHeight="1">
      <c r="A58" s="100" t="s">
        <v>113</v>
      </c>
      <c r="B58" s="57">
        <f t="shared" si="8"/>
        <v>963</v>
      </c>
      <c r="C58" s="57">
        <v>419</v>
      </c>
      <c r="D58" s="57">
        <v>544</v>
      </c>
      <c r="E58" s="86">
        <v>181</v>
      </c>
      <c r="F58" s="74">
        <v>5.3204419889502761</v>
      </c>
      <c r="G58" s="57">
        <f t="shared" si="10"/>
        <v>889</v>
      </c>
      <c r="H58" s="57">
        <v>402</v>
      </c>
      <c r="I58" s="57">
        <v>487</v>
      </c>
      <c r="J58" s="87">
        <f t="shared" si="9"/>
        <v>-1.3281756857844025</v>
      </c>
      <c r="K58" s="57">
        <f>SUM(L58:M58)</f>
        <v>859</v>
      </c>
      <c r="L58" s="57">
        <v>375</v>
      </c>
      <c r="M58" s="57">
        <v>484</v>
      </c>
      <c r="N58" s="57"/>
      <c r="O58" s="88">
        <f t="shared" si="3"/>
        <v>-0.40386251211351987</v>
      </c>
      <c r="P58" s="47">
        <f t="shared" si="12"/>
        <v>1487</v>
      </c>
      <c r="Q58" s="59">
        <v>751</v>
      </c>
      <c r="R58" s="59">
        <v>736</v>
      </c>
      <c r="S58" s="59"/>
      <c r="T58" s="60" t="s">
        <v>114</v>
      </c>
      <c r="U58" s="102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  <c r="BV58" s="61"/>
      <c r="BW58" s="61"/>
      <c r="BX58" s="61"/>
      <c r="BY58" s="61"/>
      <c r="BZ58" s="61"/>
      <c r="CA58" s="61"/>
      <c r="CB58" s="61"/>
      <c r="CC58" s="61"/>
      <c r="CD58" s="61"/>
      <c r="CE58" s="61"/>
    </row>
    <row r="59" spans="1:83" s="81" customFormat="1" ht="14.45" customHeight="1">
      <c r="A59" s="100" t="s">
        <v>115</v>
      </c>
      <c r="B59" s="57">
        <f t="shared" si="8"/>
        <v>950</v>
      </c>
      <c r="C59" s="57">
        <v>465</v>
      </c>
      <c r="D59" s="57">
        <v>485</v>
      </c>
      <c r="E59" s="86">
        <v>190</v>
      </c>
      <c r="F59" s="74">
        <v>5</v>
      </c>
      <c r="G59" s="57">
        <f t="shared" si="10"/>
        <v>835</v>
      </c>
      <c r="H59" s="57">
        <v>370</v>
      </c>
      <c r="I59" s="57">
        <v>465</v>
      </c>
      <c r="J59" s="87">
        <f t="shared" si="9"/>
        <v>-2.1433597964074935</v>
      </c>
      <c r="K59" s="57">
        <f>SUM(L59:M59)</f>
        <v>711</v>
      </c>
      <c r="L59" s="57">
        <v>303</v>
      </c>
      <c r="M59" s="57">
        <v>408</v>
      </c>
      <c r="N59" s="57"/>
      <c r="O59" s="88">
        <f t="shared" si="3"/>
        <v>-1.8912858240895842</v>
      </c>
      <c r="P59" s="47">
        <f t="shared" si="12"/>
        <v>1375</v>
      </c>
      <c r="Q59" s="59">
        <v>733</v>
      </c>
      <c r="R59" s="59">
        <v>642</v>
      </c>
      <c r="S59" s="59"/>
      <c r="T59" s="60" t="s">
        <v>116</v>
      </c>
      <c r="U59" s="102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  <c r="BV59" s="61"/>
      <c r="BW59" s="61"/>
      <c r="BX59" s="61"/>
      <c r="BY59" s="61"/>
      <c r="BZ59" s="61"/>
      <c r="CA59" s="61"/>
      <c r="CB59" s="61"/>
      <c r="CC59" s="61"/>
      <c r="CD59" s="61"/>
      <c r="CE59" s="61"/>
    </row>
    <row r="60" spans="1:83" s="81" customFormat="1" ht="14.45" customHeight="1">
      <c r="A60" s="100" t="s">
        <v>117</v>
      </c>
      <c r="B60" s="57">
        <f t="shared" si="8"/>
        <v>1210</v>
      </c>
      <c r="C60" s="57">
        <v>556</v>
      </c>
      <c r="D60" s="57">
        <v>654</v>
      </c>
      <c r="E60" s="86">
        <v>206</v>
      </c>
      <c r="F60" s="74">
        <v>5.8737864077669899</v>
      </c>
      <c r="G60" s="57">
        <f t="shared" si="10"/>
        <v>923</v>
      </c>
      <c r="H60" s="57">
        <v>395</v>
      </c>
      <c r="I60" s="57">
        <v>528</v>
      </c>
      <c r="J60" s="87">
        <f t="shared" si="9"/>
        <v>-4.4974485728892812</v>
      </c>
      <c r="K60" s="57">
        <f>SUM(L60:M60)</f>
        <v>746</v>
      </c>
      <c r="L60" s="57">
        <v>356</v>
      </c>
      <c r="M60" s="57">
        <v>390</v>
      </c>
      <c r="N60" s="57"/>
      <c r="O60" s="88">
        <f t="shared" si="3"/>
        <v>-2.5047486388128393</v>
      </c>
      <c r="P60" s="47">
        <f t="shared" si="12"/>
        <v>1821</v>
      </c>
      <c r="Q60" s="59">
        <v>922</v>
      </c>
      <c r="R60" s="59">
        <v>899</v>
      </c>
      <c r="S60" s="59"/>
      <c r="T60" s="60" t="s">
        <v>118</v>
      </c>
      <c r="U60" s="102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  <c r="BV60" s="61"/>
      <c r="BW60" s="61"/>
      <c r="BX60" s="61"/>
      <c r="BY60" s="61"/>
      <c r="BZ60" s="61"/>
      <c r="CA60" s="61"/>
      <c r="CB60" s="61"/>
      <c r="CC60" s="61"/>
      <c r="CD60" s="61"/>
      <c r="CE60" s="61"/>
    </row>
    <row r="61" spans="1:83" s="81" customFormat="1" ht="14.45" customHeight="1">
      <c r="A61" s="100" t="s">
        <v>119</v>
      </c>
      <c r="B61" s="57">
        <f t="shared" si="8"/>
        <v>320</v>
      </c>
      <c r="C61" s="57">
        <v>141</v>
      </c>
      <c r="D61" s="57">
        <v>179</v>
      </c>
      <c r="E61" s="86">
        <v>71</v>
      </c>
      <c r="F61" s="74">
        <v>4.507042253521127</v>
      </c>
      <c r="G61" s="57">
        <f t="shared" si="10"/>
        <v>190</v>
      </c>
      <c r="H61" s="57">
        <v>76</v>
      </c>
      <c r="I61" s="57">
        <v>114</v>
      </c>
      <c r="J61" s="87">
        <f t="shared" si="9"/>
        <v>-8.6594173361010984</v>
      </c>
      <c r="K61" s="57" t="s">
        <v>44</v>
      </c>
      <c r="L61" s="57" t="s">
        <v>44</v>
      </c>
      <c r="M61" s="57" t="s">
        <v>44</v>
      </c>
      <c r="N61" s="57"/>
      <c r="O61" s="88"/>
      <c r="P61" s="47">
        <f t="shared" si="12"/>
        <v>28</v>
      </c>
      <c r="Q61" s="59">
        <v>15</v>
      </c>
      <c r="R61" s="59">
        <v>13</v>
      </c>
      <c r="S61" s="59"/>
      <c r="T61" s="60" t="s">
        <v>120</v>
      </c>
      <c r="U61" s="102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BX61" s="61"/>
      <c r="BY61" s="61"/>
      <c r="BZ61" s="61"/>
      <c r="CA61" s="61"/>
      <c r="CB61" s="61"/>
      <c r="CC61" s="61"/>
      <c r="CD61" s="61"/>
      <c r="CE61" s="61"/>
    </row>
    <row r="62" spans="1:83" s="81" customFormat="1" ht="14.45" customHeight="1">
      <c r="A62" s="100" t="s">
        <v>121</v>
      </c>
      <c r="B62" s="57">
        <f t="shared" si="8"/>
        <v>1073</v>
      </c>
      <c r="C62" s="57">
        <v>532</v>
      </c>
      <c r="D62" s="57">
        <v>541</v>
      </c>
      <c r="E62" s="86">
        <v>185</v>
      </c>
      <c r="F62" s="74">
        <v>5.8</v>
      </c>
      <c r="G62" s="57">
        <f t="shared" si="10"/>
        <v>1045</v>
      </c>
      <c r="H62" s="57">
        <v>505</v>
      </c>
      <c r="I62" s="57">
        <v>540</v>
      </c>
      <c r="J62" s="87">
        <f t="shared" si="9"/>
        <v>-0.43922887428217738</v>
      </c>
      <c r="K62" s="57">
        <f>SUM(L62:M62)</f>
        <v>1213</v>
      </c>
      <c r="L62" s="57">
        <v>563</v>
      </c>
      <c r="M62" s="57">
        <v>650</v>
      </c>
      <c r="N62" s="57"/>
      <c r="O62" s="88">
        <f t="shared" si="3"/>
        <v>1.753879347589868</v>
      </c>
      <c r="P62" s="47">
        <f t="shared" si="12"/>
        <v>1790</v>
      </c>
      <c r="Q62" s="59">
        <v>935</v>
      </c>
      <c r="R62" s="59">
        <v>855</v>
      </c>
      <c r="S62" s="59"/>
      <c r="T62" s="60" t="s">
        <v>122</v>
      </c>
      <c r="U62" s="102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/>
      <c r="BZ62" s="61"/>
      <c r="CA62" s="61"/>
      <c r="CB62" s="61"/>
      <c r="CC62" s="61"/>
      <c r="CD62" s="61"/>
      <c r="CE62" s="61"/>
    </row>
    <row r="63" spans="1:83" s="81" customFormat="1" ht="14.45" customHeight="1">
      <c r="A63" s="100"/>
      <c r="B63" s="57"/>
      <c r="C63" s="57"/>
      <c r="D63" s="57"/>
      <c r="E63" s="86"/>
      <c r="F63" s="74"/>
      <c r="G63" s="57"/>
      <c r="H63" s="57"/>
      <c r="I63" s="57"/>
      <c r="J63" s="87"/>
      <c r="K63" s="57"/>
      <c r="L63" s="57"/>
      <c r="M63" s="57"/>
      <c r="N63" s="57"/>
      <c r="O63" s="88"/>
      <c r="P63" s="58"/>
      <c r="Q63" s="59"/>
      <c r="R63" s="59"/>
      <c r="S63" s="59"/>
      <c r="T63" s="60"/>
      <c r="U63" s="102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61"/>
      <c r="BL63" s="61"/>
      <c r="BM63" s="61"/>
      <c r="BN63" s="61"/>
      <c r="BO63" s="61"/>
      <c r="BP63" s="61"/>
      <c r="BQ63" s="61"/>
      <c r="BR63" s="61"/>
      <c r="BS63" s="61"/>
      <c r="BT63" s="61"/>
      <c r="BU63" s="61"/>
      <c r="BV63" s="61"/>
      <c r="BW63" s="61"/>
      <c r="BX63" s="61"/>
      <c r="BY63" s="61"/>
      <c r="BZ63" s="61"/>
      <c r="CA63" s="61"/>
      <c r="CB63" s="61"/>
      <c r="CC63" s="61"/>
      <c r="CD63" s="61"/>
      <c r="CE63" s="61"/>
    </row>
    <row r="64" spans="1:83" s="49" customFormat="1" ht="15">
      <c r="A64" s="85" t="s">
        <v>123</v>
      </c>
      <c r="B64" s="45">
        <f t="shared" ref="B64:B79" si="13">SUM(C64:D64)</f>
        <v>11391</v>
      </c>
      <c r="C64" s="45">
        <f>SUM(C65:C80)</f>
        <v>5409</v>
      </c>
      <c r="D64" s="45">
        <f>SUM(D65:D80)</f>
        <v>5982</v>
      </c>
      <c r="E64" s="45">
        <f>SUM(E65:E80)</f>
        <v>1992</v>
      </c>
      <c r="F64" s="44">
        <v>5.697302697302697</v>
      </c>
      <c r="G64" s="45">
        <f>SUM(H64:I64)</f>
        <v>11830</v>
      </c>
      <c r="H64" s="45">
        <f>SUM(H65:H80)</f>
        <v>5535</v>
      </c>
      <c r="I64" s="45">
        <f>SUM(I65:I80)</f>
        <v>6295</v>
      </c>
      <c r="J64" s="50">
        <f t="shared" ref="J64:J72" si="14">LN(G64/B64)/6.02*100</f>
        <v>0.62815794140399273</v>
      </c>
      <c r="K64" s="45">
        <f t="shared" ref="K64:K72" si="15">SUM(L64:M64)</f>
        <v>12127</v>
      </c>
      <c r="L64" s="45">
        <f>SUM(L65:L80)</f>
        <v>5517</v>
      </c>
      <c r="M64" s="45">
        <f>SUM(M65:M80)</f>
        <v>6610</v>
      </c>
      <c r="N64" s="45"/>
      <c r="O64" s="46">
        <f t="shared" si="3"/>
        <v>0.2917140433454038</v>
      </c>
      <c r="P64" s="47">
        <f t="shared" ref="P64:P72" si="16">SUM(Q64:R64)</f>
        <v>18274</v>
      </c>
      <c r="Q64" s="53">
        <f>SUM(Q65:Q80)</f>
        <v>9325</v>
      </c>
      <c r="R64" s="53">
        <f>SUM(R65:R80)</f>
        <v>8949</v>
      </c>
      <c r="S64" s="53"/>
      <c r="T64" s="26" t="s">
        <v>124</v>
      </c>
      <c r="U64" s="42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  <c r="BW64" s="48"/>
      <c r="BX64" s="48"/>
      <c r="BY64" s="48"/>
      <c r="BZ64" s="48"/>
      <c r="CA64" s="48"/>
      <c r="CB64" s="48"/>
      <c r="CC64" s="48"/>
      <c r="CD64" s="48"/>
      <c r="CE64" s="48"/>
    </row>
    <row r="65" spans="1:83" s="18" customFormat="1" ht="15">
      <c r="A65" s="82" t="s">
        <v>125</v>
      </c>
      <c r="B65" s="57">
        <f t="shared" si="13"/>
        <v>1082</v>
      </c>
      <c r="C65" s="57">
        <v>524</v>
      </c>
      <c r="D65" s="57">
        <v>558</v>
      </c>
      <c r="E65" s="57">
        <v>157</v>
      </c>
      <c r="F65" s="74">
        <v>6.8917197452229297</v>
      </c>
      <c r="G65" s="57">
        <f>SUM(H65:I65)</f>
        <v>1148</v>
      </c>
      <c r="H65" s="57">
        <v>531</v>
      </c>
      <c r="I65" s="57">
        <v>617</v>
      </c>
      <c r="J65" s="87">
        <f t="shared" si="14"/>
        <v>0.98355676865589692</v>
      </c>
      <c r="K65" s="57">
        <f t="shared" si="15"/>
        <v>1071</v>
      </c>
      <c r="L65" s="57">
        <v>454</v>
      </c>
      <c r="M65" s="57">
        <v>617</v>
      </c>
      <c r="N65" s="57"/>
      <c r="O65" s="88">
        <f t="shared" si="3"/>
        <v>-0.81680595802074007</v>
      </c>
      <c r="P65" s="58">
        <f t="shared" si="16"/>
        <v>1570</v>
      </c>
      <c r="Q65" s="59">
        <v>767</v>
      </c>
      <c r="R65" s="59">
        <v>803</v>
      </c>
      <c r="S65" s="59"/>
      <c r="T65" s="60" t="s">
        <v>126</v>
      </c>
      <c r="U65" s="98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</row>
    <row r="66" spans="1:83" s="18" customFormat="1" ht="15">
      <c r="A66" s="82" t="s">
        <v>127</v>
      </c>
      <c r="B66" s="57">
        <f t="shared" si="13"/>
        <v>465</v>
      </c>
      <c r="C66" s="57">
        <v>207</v>
      </c>
      <c r="D66" s="57">
        <v>258</v>
      </c>
      <c r="E66" s="57">
        <v>87</v>
      </c>
      <c r="F66" s="74">
        <v>5.3448275862068968</v>
      </c>
      <c r="G66" s="57">
        <f t="shared" ref="G66:G79" si="17">SUM(H66:I66)</f>
        <v>412</v>
      </c>
      <c r="H66" s="57">
        <v>174</v>
      </c>
      <c r="I66" s="57">
        <v>238</v>
      </c>
      <c r="J66" s="87">
        <f t="shared" si="14"/>
        <v>-2.0102002697313948</v>
      </c>
      <c r="K66" s="57">
        <f t="shared" si="15"/>
        <v>337</v>
      </c>
      <c r="L66" s="57">
        <v>153</v>
      </c>
      <c r="M66" s="57">
        <v>184</v>
      </c>
      <c r="N66" s="57"/>
      <c r="O66" s="88">
        <f t="shared" si="3"/>
        <v>-2.364004929378408</v>
      </c>
      <c r="P66" s="58">
        <f t="shared" si="16"/>
        <v>500</v>
      </c>
      <c r="Q66" s="59">
        <v>265</v>
      </c>
      <c r="R66" s="59">
        <v>235</v>
      </c>
      <c r="S66" s="59"/>
      <c r="T66" s="60" t="s">
        <v>128</v>
      </c>
      <c r="U66" s="98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</row>
    <row r="67" spans="1:83" s="18" customFormat="1" ht="15">
      <c r="A67" s="82" t="s">
        <v>129</v>
      </c>
      <c r="B67" s="57">
        <f t="shared" si="13"/>
        <v>437</v>
      </c>
      <c r="C67" s="57">
        <v>199</v>
      </c>
      <c r="D67" s="57">
        <v>238</v>
      </c>
      <c r="E67" s="57">
        <v>88</v>
      </c>
      <c r="F67" s="74">
        <v>4.9659090909090908</v>
      </c>
      <c r="G67" s="57">
        <f t="shared" si="17"/>
        <v>416</v>
      </c>
      <c r="H67" s="57">
        <v>180</v>
      </c>
      <c r="I67" s="57">
        <v>236</v>
      </c>
      <c r="J67" s="87">
        <f t="shared" si="14"/>
        <v>-0.81807200721473128</v>
      </c>
      <c r="K67" s="57">
        <f t="shared" si="15"/>
        <v>497</v>
      </c>
      <c r="L67" s="57">
        <v>229</v>
      </c>
      <c r="M67" s="57">
        <v>268</v>
      </c>
      <c r="N67" s="57"/>
      <c r="O67" s="88">
        <f t="shared" si="3"/>
        <v>2.0929972451219472</v>
      </c>
      <c r="P67" s="58">
        <f t="shared" si="16"/>
        <v>741</v>
      </c>
      <c r="Q67" s="59">
        <v>394</v>
      </c>
      <c r="R67" s="59">
        <v>347</v>
      </c>
      <c r="S67" s="59"/>
      <c r="T67" s="60" t="s">
        <v>130</v>
      </c>
      <c r="U67" s="101"/>
      <c r="V67" s="78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</row>
    <row r="68" spans="1:83" s="18" customFormat="1" ht="15">
      <c r="A68" s="82" t="s">
        <v>131</v>
      </c>
      <c r="B68" s="57">
        <f t="shared" si="13"/>
        <v>657</v>
      </c>
      <c r="C68" s="57">
        <v>298</v>
      </c>
      <c r="D68" s="57">
        <v>359</v>
      </c>
      <c r="E68" s="57">
        <v>142</v>
      </c>
      <c r="F68" s="74">
        <v>4.626760563380282</v>
      </c>
      <c r="G68" s="57">
        <f t="shared" si="17"/>
        <v>695</v>
      </c>
      <c r="H68" s="57">
        <v>324</v>
      </c>
      <c r="I68" s="57">
        <v>371</v>
      </c>
      <c r="J68" s="87">
        <f t="shared" si="14"/>
        <v>0.93401706113258687</v>
      </c>
      <c r="K68" s="57">
        <f t="shared" si="15"/>
        <v>723</v>
      </c>
      <c r="L68" s="57">
        <v>325</v>
      </c>
      <c r="M68" s="57">
        <v>398</v>
      </c>
      <c r="N68" s="57"/>
      <c r="O68" s="88">
        <f t="shared" si="3"/>
        <v>0.46467501875261741</v>
      </c>
      <c r="P68" s="58">
        <f t="shared" si="16"/>
        <v>1258</v>
      </c>
      <c r="Q68" s="59">
        <v>642</v>
      </c>
      <c r="R68" s="59">
        <v>616</v>
      </c>
      <c r="S68" s="59"/>
      <c r="T68" s="60" t="s">
        <v>132</v>
      </c>
      <c r="U68" s="98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</row>
    <row r="69" spans="1:83" s="18" customFormat="1" ht="15">
      <c r="A69" s="82" t="s">
        <v>133</v>
      </c>
      <c r="B69" s="57">
        <f t="shared" si="13"/>
        <v>696</v>
      </c>
      <c r="C69" s="57">
        <v>328</v>
      </c>
      <c r="D69" s="57">
        <v>368</v>
      </c>
      <c r="E69" s="57">
        <v>131</v>
      </c>
      <c r="F69" s="74">
        <v>5.3129770992366412</v>
      </c>
      <c r="G69" s="57">
        <f t="shared" si="17"/>
        <v>746</v>
      </c>
      <c r="H69" s="57">
        <v>350</v>
      </c>
      <c r="I69" s="57">
        <v>396</v>
      </c>
      <c r="J69" s="87">
        <f t="shared" si="14"/>
        <v>1.1524242503212834</v>
      </c>
      <c r="K69" s="57">
        <f t="shared" si="15"/>
        <v>613</v>
      </c>
      <c r="L69" s="57">
        <v>270</v>
      </c>
      <c r="M69" s="57">
        <v>343</v>
      </c>
      <c r="N69" s="57"/>
      <c r="O69" s="88">
        <f t="shared" si="3"/>
        <v>-2.3101254619711704</v>
      </c>
      <c r="P69" s="58">
        <f t="shared" si="16"/>
        <v>1124</v>
      </c>
      <c r="Q69" s="59">
        <v>559</v>
      </c>
      <c r="R69" s="59">
        <v>565</v>
      </c>
      <c r="S69" s="59"/>
      <c r="T69" s="60" t="s">
        <v>134</v>
      </c>
      <c r="U69" s="98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</row>
    <row r="70" spans="1:83" s="18" customFormat="1" ht="15">
      <c r="A70" s="82" t="s">
        <v>135</v>
      </c>
      <c r="B70" s="57">
        <f t="shared" si="13"/>
        <v>451</v>
      </c>
      <c r="C70" s="57">
        <v>237</v>
      </c>
      <c r="D70" s="57">
        <v>214</v>
      </c>
      <c r="E70" s="57">
        <v>93</v>
      </c>
      <c r="F70" s="74">
        <v>4.849462365591398</v>
      </c>
      <c r="G70" s="57">
        <f t="shared" si="17"/>
        <v>398</v>
      </c>
      <c r="H70" s="57">
        <v>175</v>
      </c>
      <c r="I70" s="57">
        <v>223</v>
      </c>
      <c r="J70" s="87">
        <f t="shared" si="14"/>
        <v>-2.0766666813661248</v>
      </c>
      <c r="K70" s="57">
        <f t="shared" si="15"/>
        <v>465</v>
      </c>
      <c r="L70" s="57">
        <v>223</v>
      </c>
      <c r="M70" s="57">
        <v>242</v>
      </c>
      <c r="N70" s="57"/>
      <c r="O70" s="88">
        <f t="shared" si="3"/>
        <v>1.8304164741519826</v>
      </c>
      <c r="P70" s="58">
        <f t="shared" si="16"/>
        <v>706</v>
      </c>
      <c r="Q70" s="59">
        <v>362</v>
      </c>
      <c r="R70" s="59">
        <v>344</v>
      </c>
      <c r="S70" s="59"/>
      <c r="T70" s="60" t="s">
        <v>136</v>
      </c>
      <c r="U70" s="98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</row>
    <row r="71" spans="1:83" s="18" customFormat="1" ht="15">
      <c r="A71" s="82" t="s">
        <v>137</v>
      </c>
      <c r="B71" s="57">
        <f t="shared" si="13"/>
        <v>1061</v>
      </c>
      <c r="C71" s="57">
        <v>487</v>
      </c>
      <c r="D71" s="57">
        <v>574</v>
      </c>
      <c r="E71" s="57">
        <v>172</v>
      </c>
      <c r="F71" s="74">
        <v>6.1686046511627906</v>
      </c>
      <c r="G71" s="57">
        <f t="shared" si="17"/>
        <v>1201</v>
      </c>
      <c r="H71" s="57">
        <v>566</v>
      </c>
      <c r="I71" s="57">
        <v>635</v>
      </c>
      <c r="J71" s="87">
        <f t="shared" si="14"/>
        <v>2.0588485625581465</v>
      </c>
      <c r="K71" s="57">
        <f t="shared" si="15"/>
        <v>1320</v>
      </c>
      <c r="L71" s="57">
        <v>607</v>
      </c>
      <c r="M71" s="57">
        <v>713</v>
      </c>
      <c r="N71" s="57"/>
      <c r="O71" s="88">
        <f t="shared" si="3"/>
        <v>1.1114963941227403</v>
      </c>
      <c r="P71" s="58">
        <f t="shared" si="16"/>
        <v>1793</v>
      </c>
      <c r="Q71" s="59">
        <v>907</v>
      </c>
      <c r="R71" s="59">
        <v>886</v>
      </c>
      <c r="S71" s="59"/>
      <c r="T71" s="60" t="s">
        <v>138</v>
      </c>
      <c r="U71" s="98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</row>
    <row r="72" spans="1:83" s="18" customFormat="1" ht="15">
      <c r="A72" s="82" t="s">
        <v>139</v>
      </c>
      <c r="B72" s="57">
        <f t="shared" si="13"/>
        <v>406</v>
      </c>
      <c r="C72" s="57">
        <v>197</v>
      </c>
      <c r="D72" s="57">
        <v>209</v>
      </c>
      <c r="E72" s="57">
        <v>65</v>
      </c>
      <c r="F72" s="74">
        <v>6.2461538461538462</v>
      </c>
      <c r="G72" s="57">
        <f t="shared" si="17"/>
        <v>426</v>
      </c>
      <c r="H72" s="57">
        <v>202</v>
      </c>
      <c r="I72" s="57">
        <v>224</v>
      </c>
      <c r="J72" s="87">
        <f t="shared" si="14"/>
        <v>0.79877386491092572</v>
      </c>
      <c r="K72" s="57">
        <f t="shared" si="15"/>
        <v>472</v>
      </c>
      <c r="L72" s="57">
        <v>218</v>
      </c>
      <c r="M72" s="57">
        <v>254</v>
      </c>
      <c r="N72" s="57"/>
      <c r="O72" s="88">
        <f t="shared" si="3"/>
        <v>1.20634869783747</v>
      </c>
      <c r="P72" s="58">
        <f t="shared" si="16"/>
        <v>633</v>
      </c>
      <c r="Q72" s="59">
        <v>335</v>
      </c>
      <c r="R72" s="59">
        <v>298</v>
      </c>
      <c r="S72" s="59"/>
      <c r="T72" s="60" t="s">
        <v>140</v>
      </c>
      <c r="U72" s="98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</row>
    <row r="73" spans="1:83" s="18" customFormat="1" ht="15">
      <c r="A73" s="82" t="s">
        <v>141</v>
      </c>
      <c r="B73" s="57">
        <f t="shared" si="13"/>
        <v>1606</v>
      </c>
      <c r="C73" s="57">
        <v>766</v>
      </c>
      <c r="D73" s="57">
        <v>840</v>
      </c>
      <c r="E73" s="57">
        <v>239</v>
      </c>
      <c r="F73" s="74">
        <v>6.7196652719665275</v>
      </c>
      <c r="G73" s="57" t="s">
        <v>44</v>
      </c>
      <c r="H73" s="57" t="s">
        <v>44</v>
      </c>
      <c r="I73" s="57" t="s">
        <v>44</v>
      </c>
      <c r="J73" s="89" t="s">
        <v>41</v>
      </c>
      <c r="K73" s="57" t="s">
        <v>44</v>
      </c>
      <c r="L73" s="57" t="s">
        <v>44</v>
      </c>
      <c r="M73" s="57" t="s">
        <v>44</v>
      </c>
      <c r="N73" s="57"/>
      <c r="O73" s="88"/>
      <c r="P73" s="58" t="s">
        <v>44</v>
      </c>
      <c r="Q73" s="57" t="s">
        <v>44</v>
      </c>
      <c r="R73" s="57" t="s">
        <v>44</v>
      </c>
      <c r="S73" s="57"/>
      <c r="T73" s="60" t="s">
        <v>142</v>
      </c>
      <c r="U73" s="98"/>
      <c r="V73" s="17"/>
      <c r="W73" s="17"/>
      <c r="X73" s="17"/>
      <c r="Y73" s="57"/>
      <c r="Z73" s="57"/>
      <c r="AA73" s="57"/>
      <c r="AB73" s="57"/>
      <c r="AC73" s="74"/>
      <c r="AD73" s="57"/>
      <c r="AE73" s="57"/>
      <c r="AF73" s="57"/>
      <c r="AG73" s="103"/>
      <c r="AH73" s="57"/>
      <c r="AI73" s="57"/>
      <c r="AJ73" s="57"/>
      <c r="AK73" s="57"/>
      <c r="AL73" s="88"/>
      <c r="AM73" s="57"/>
      <c r="AN73" s="59"/>
      <c r="AO73" s="59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</row>
    <row r="74" spans="1:83" s="18" customFormat="1" ht="15">
      <c r="A74" s="82" t="s">
        <v>143</v>
      </c>
      <c r="B74" s="57">
        <f>SUM(C74:D74)</f>
        <v>608</v>
      </c>
      <c r="C74" s="57">
        <v>277</v>
      </c>
      <c r="D74" s="57">
        <v>331</v>
      </c>
      <c r="E74" s="57">
        <v>118</v>
      </c>
      <c r="F74" s="74">
        <v>5.1525423728813555</v>
      </c>
      <c r="G74" s="57">
        <f t="shared" si="17"/>
        <v>495</v>
      </c>
      <c r="H74" s="57">
        <v>231</v>
      </c>
      <c r="I74" s="57">
        <v>264</v>
      </c>
      <c r="J74" s="87">
        <f>LN(G74/B74)/6.02*100</f>
        <v>-3.4155667673999446</v>
      </c>
      <c r="K74" s="57">
        <f>SUM(L74:M74)</f>
        <v>426</v>
      </c>
      <c r="L74" s="57">
        <v>186</v>
      </c>
      <c r="M74" s="57">
        <v>240</v>
      </c>
      <c r="N74" s="57"/>
      <c r="O74" s="88">
        <f t="shared" si="3"/>
        <v>-1.7660990152861162</v>
      </c>
      <c r="P74" s="58">
        <f>SUM(Q74:R74)</f>
        <v>975</v>
      </c>
      <c r="Q74" s="59">
        <v>481</v>
      </c>
      <c r="R74" s="59">
        <v>494</v>
      </c>
      <c r="S74" s="59"/>
      <c r="T74" s="60" t="s">
        <v>144</v>
      </c>
      <c r="U74" s="98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</row>
    <row r="75" spans="1:83" s="18" customFormat="1" ht="15">
      <c r="A75" s="82" t="s">
        <v>145</v>
      </c>
      <c r="B75" s="57">
        <f t="shared" si="13"/>
        <v>493</v>
      </c>
      <c r="C75" s="57">
        <v>215</v>
      </c>
      <c r="D75" s="57">
        <v>278</v>
      </c>
      <c r="E75" s="57">
        <v>88</v>
      </c>
      <c r="F75" s="74">
        <v>5.6022727272727275</v>
      </c>
      <c r="G75" s="57">
        <f t="shared" si="17"/>
        <v>529</v>
      </c>
      <c r="H75" s="57">
        <v>245</v>
      </c>
      <c r="I75" s="57">
        <v>284</v>
      </c>
      <c r="J75" s="87">
        <f>LN(G75/B75)/6.02*100</f>
        <v>1.1707517909569654</v>
      </c>
      <c r="K75" s="57">
        <f>SUM(L75:M75)</f>
        <v>562</v>
      </c>
      <c r="L75" s="57">
        <v>269</v>
      </c>
      <c r="M75" s="57">
        <v>293</v>
      </c>
      <c r="N75" s="57"/>
      <c r="O75" s="88">
        <f t="shared" si="3"/>
        <v>0.71192256512225449</v>
      </c>
      <c r="P75" s="58">
        <f>SUM(Q75:R75)</f>
        <v>822</v>
      </c>
      <c r="Q75" s="59">
        <v>427</v>
      </c>
      <c r="R75" s="59">
        <v>395</v>
      </c>
      <c r="S75" s="59"/>
      <c r="T75" s="60" t="s">
        <v>146</v>
      </c>
      <c r="U75" s="98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</row>
    <row r="76" spans="1:83" s="18" customFormat="1" ht="15">
      <c r="A76" s="82" t="s">
        <v>147</v>
      </c>
      <c r="B76" s="57">
        <f t="shared" si="13"/>
        <v>413</v>
      </c>
      <c r="C76" s="57">
        <v>192</v>
      </c>
      <c r="D76" s="57">
        <v>221</v>
      </c>
      <c r="E76" s="57">
        <v>67</v>
      </c>
      <c r="F76" s="74">
        <v>6.1641791044776122</v>
      </c>
      <c r="G76" s="57">
        <f t="shared" si="17"/>
        <v>0</v>
      </c>
      <c r="H76" s="104">
        <v>0</v>
      </c>
      <c r="I76" s="105">
        <v>0</v>
      </c>
      <c r="J76" s="89" t="s">
        <v>41</v>
      </c>
      <c r="K76" s="57" t="s">
        <v>44</v>
      </c>
      <c r="L76" s="57" t="s">
        <v>44</v>
      </c>
      <c r="M76" s="57" t="s">
        <v>44</v>
      </c>
      <c r="N76" s="57"/>
      <c r="O76" s="88"/>
      <c r="P76" s="58" t="s">
        <v>44</v>
      </c>
      <c r="Q76" s="57" t="s">
        <v>44</v>
      </c>
      <c r="R76" s="57" t="s">
        <v>44</v>
      </c>
      <c r="S76" s="57"/>
      <c r="T76" s="60" t="s">
        <v>148</v>
      </c>
      <c r="U76" s="98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</row>
    <row r="77" spans="1:83" s="18" customFormat="1" ht="15">
      <c r="A77" s="82" t="s">
        <v>149</v>
      </c>
      <c r="B77" s="57">
        <f t="shared" si="13"/>
        <v>1525</v>
      </c>
      <c r="C77" s="57">
        <v>758</v>
      </c>
      <c r="D77" s="57">
        <v>767</v>
      </c>
      <c r="E77" s="57">
        <v>261</v>
      </c>
      <c r="F77" s="74">
        <v>5.842911877394636</v>
      </c>
      <c r="G77" s="57">
        <f t="shared" si="17"/>
        <v>1333</v>
      </c>
      <c r="H77" s="57">
        <v>644</v>
      </c>
      <c r="I77" s="57">
        <v>689</v>
      </c>
      <c r="J77" s="87">
        <f>LN(G77/B77)/6.02*100</f>
        <v>-2.2352552967243091</v>
      </c>
      <c r="K77" s="57">
        <f>SUM(L77:M77)</f>
        <v>1063</v>
      </c>
      <c r="L77" s="57">
        <v>507</v>
      </c>
      <c r="M77" s="57">
        <v>556</v>
      </c>
      <c r="N77" s="57"/>
      <c r="O77" s="88">
        <f t="shared" si="3"/>
        <v>-2.6627875510207146</v>
      </c>
      <c r="P77" s="58">
        <f>SUM(Q77:R77)</f>
        <v>1871</v>
      </c>
      <c r="Q77" s="59">
        <v>944</v>
      </c>
      <c r="R77" s="59">
        <v>927</v>
      </c>
      <c r="S77" s="59"/>
      <c r="T77" s="60" t="s">
        <v>150</v>
      </c>
      <c r="U77" s="98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</row>
    <row r="78" spans="1:83" s="18" customFormat="1" ht="15">
      <c r="A78" s="82" t="s">
        <v>151</v>
      </c>
      <c r="B78" s="57">
        <f t="shared" si="13"/>
        <v>692</v>
      </c>
      <c r="C78" s="57">
        <v>329</v>
      </c>
      <c r="D78" s="57">
        <v>363</v>
      </c>
      <c r="E78" s="57">
        <v>143</v>
      </c>
      <c r="F78" s="74">
        <v>4.8391608391608392</v>
      </c>
      <c r="G78" s="57">
        <f t="shared" si="17"/>
        <v>795</v>
      </c>
      <c r="H78" s="57">
        <v>381</v>
      </c>
      <c r="I78" s="57">
        <v>414</v>
      </c>
      <c r="J78" s="87">
        <f>LN(G78/B78)/6.02*100</f>
        <v>2.3049195853266187</v>
      </c>
      <c r="K78" s="57">
        <f>SUM(L78:M78)</f>
        <v>774</v>
      </c>
      <c r="L78" s="57">
        <v>351</v>
      </c>
      <c r="M78" s="57">
        <v>423</v>
      </c>
      <c r="N78" s="57"/>
      <c r="O78" s="88">
        <f t="shared" si="3"/>
        <v>-0.31494401252476212</v>
      </c>
      <c r="P78" s="58">
        <f>SUM(Q78:R78)</f>
        <v>1165</v>
      </c>
      <c r="Q78" s="59">
        <v>619</v>
      </c>
      <c r="R78" s="59">
        <v>546</v>
      </c>
      <c r="S78" s="59"/>
      <c r="T78" s="60" t="s">
        <v>152</v>
      </c>
      <c r="U78" s="98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</row>
    <row r="79" spans="1:83" s="18" customFormat="1" ht="15">
      <c r="A79" s="82" t="s">
        <v>153</v>
      </c>
      <c r="B79" s="57">
        <f t="shared" si="13"/>
        <v>799</v>
      </c>
      <c r="C79" s="57">
        <v>395</v>
      </c>
      <c r="D79" s="57">
        <v>404</v>
      </c>
      <c r="E79" s="57">
        <v>141</v>
      </c>
      <c r="F79" s="74">
        <v>5.666666666666667</v>
      </c>
      <c r="G79" s="57">
        <f t="shared" si="17"/>
        <v>1599</v>
      </c>
      <c r="H79" s="57">
        <v>767</v>
      </c>
      <c r="I79" s="57">
        <v>832</v>
      </c>
      <c r="J79" s="87">
        <f>LN(G79/B79)/6.02*100</f>
        <v>11.524464569230556</v>
      </c>
      <c r="K79" s="57">
        <f>SUM(L79:M79)</f>
        <v>2019</v>
      </c>
      <c r="L79" s="57">
        <v>940</v>
      </c>
      <c r="M79" s="57">
        <v>1079</v>
      </c>
      <c r="N79" s="57"/>
      <c r="O79" s="88">
        <f t="shared" si="3"/>
        <v>2.743810652692745</v>
      </c>
      <c r="P79" s="58">
        <f>SUM(Q79:R79)</f>
        <v>2574</v>
      </c>
      <c r="Q79" s="59">
        <v>1256</v>
      </c>
      <c r="R79" s="59">
        <v>1318</v>
      </c>
      <c r="S79" s="59"/>
      <c r="T79" s="60" t="s">
        <v>154</v>
      </c>
      <c r="U79" s="98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</row>
    <row r="80" spans="1:83" s="18" customFormat="1" ht="15">
      <c r="A80" s="82" t="s">
        <v>155</v>
      </c>
      <c r="B80" s="57" t="s">
        <v>44</v>
      </c>
      <c r="C80" s="57" t="s">
        <v>44</v>
      </c>
      <c r="D80" s="57" t="s">
        <v>44</v>
      </c>
      <c r="E80" s="57" t="s">
        <v>44</v>
      </c>
      <c r="F80" s="74" t="s">
        <v>44</v>
      </c>
      <c r="G80" s="57">
        <v>1637</v>
      </c>
      <c r="H80" s="57">
        <v>765</v>
      </c>
      <c r="I80" s="57">
        <v>872</v>
      </c>
      <c r="J80" s="89" t="s">
        <v>41</v>
      </c>
      <c r="K80" s="57">
        <f>SUM(L80:M80)</f>
        <v>1785</v>
      </c>
      <c r="L80" s="57">
        <v>785</v>
      </c>
      <c r="M80" s="57">
        <v>1000</v>
      </c>
      <c r="N80" s="57"/>
      <c r="O80" s="88">
        <f t="shared" si="3"/>
        <v>1.018271962854171</v>
      </c>
      <c r="P80" s="58">
        <f>SUM(Q80:R80)</f>
        <v>2542</v>
      </c>
      <c r="Q80" s="59">
        <v>1367</v>
      </c>
      <c r="R80" s="59">
        <v>1175</v>
      </c>
      <c r="S80" s="59"/>
      <c r="T80" s="91" t="s">
        <v>156</v>
      </c>
      <c r="U80" s="98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</row>
    <row r="81" spans="1:83" s="18" customFormat="1" ht="17.25">
      <c r="P81" s="58"/>
      <c r="Q81" s="17"/>
      <c r="R81" s="17"/>
      <c r="S81" s="17"/>
      <c r="U81" s="99"/>
      <c r="V81" s="80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</row>
    <row r="82" spans="1:83" s="49" customFormat="1" ht="15">
      <c r="A82" s="85" t="s">
        <v>157</v>
      </c>
      <c r="B82" s="45">
        <f t="shared" ref="B82:B95" si="18">SUM(C82:D82)</f>
        <v>10429</v>
      </c>
      <c r="C82" s="45">
        <f>SUM(C83:C95)</f>
        <v>4806</v>
      </c>
      <c r="D82" s="45">
        <f>SUM(D83:D95)</f>
        <v>5623</v>
      </c>
      <c r="E82" s="45">
        <v>1764</v>
      </c>
      <c r="F82" s="44">
        <v>5.9121315192743769</v>
      </c>
      <c r="G82" s="45">
        <f>SUM(H82:I82)</f>
        <v>10015</v>
      </c>
      <c r="H82" s="45">
        <f>SUM(H83:H95)</f>
        <v>4589</v>
      </c>
      <c r="I82" s="45">
        <f>SUM(I83:I95)</f>
        <v>5426</v>
      </c>
      <c r="J82" s="50">
        <f t="shared" ref="J82:J95" si="19">LN(G82/B82)/6.02*100</f>
        <v>-0.67286408673246223</v>
      </c>
      <c r="K82" s="45">
        <f t="shared" ref="K82:K95" si="20">SUM(L82:M82)</f>
        <v>10556</v>
      </c>
      <c r="L82" s="45">
        <f>SUM(L83:L95)</f>
        <v>4825</v>
      </c>
      <c r="M82" s="45">
        <f>SUM(M83:M95)</f>
        <v>5731</v>
      </c>
      <c r="N82" s="45"/>
      <c r="O82" s="46">
        <f t="shared" ref="O82:O145" si="21">LN(K82/G82)/8.5*100</f>
        <v>0.61894646497995365</v>
      </c>
      <c r="P82" s="47">
        <f t="shared" ref="P82:P95" si="22">SUM(Q82:R82)</f>
        <v>16789</v>
      </c>
      <c r="Q82" s="53">
        <f>SUM(Q83:Q95)</f>
        <v>8471</v>
      </c>
      <c r="R82" s="53">
        <f>SUM(R83:R95)</f>
        <v>8318</v>
      </c>
      <c r="S82" s="53"/>
      <c r="T82" s="26" t="s">
        <v>158</v>
      </c>
      <c r="U82" s="15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  <c r="BW82" s="48"/>
      <c r="BX82" s="48"/>
      <c r="BY82" s="48"/>
      <c r="BZ82" s="48"/>
      <c r="CA82" s="48"/>
      <c r="CB82" s="48"/>
      <c r="CC82" s="48"/>
      <c r="CD82" s="48"/>
      <c r="CE82" s="48"/>
    </row>
    <row r="83" spans="1:83" s="18" customFormat="1" ht="15">
      <c r="A83" s="82" t="s">
        <v>159</v>
      </c>
      <c r="B83" s="57">
        <f t="shared" si="18"/>
        <v>417</v>
      </c>
      <c r="C83" s="57">
        <v>171</v>
      </c>
      <c r="D83" s="57">
        <v>246</v>
      </c>
      <c r="E83" s="57">
        <v>81</v>
      </c>
      <c r="F83" s="74">
        <v>5.1481481481481479</v>
      </c>
      <c r="G83" s="57">
        <f>SUM(H83:I83)</f>
        <v>396</v>
      </c>
      <c r="H83" s="57">
        <v>160</v>
      </c>
      <c r="I83" s="57">
        <v>236</v>
      </c>
      <c r="J83" s="87">
        <f t="shared" si="19"/>
        <v>-0.85833904558672636</v>
      </c>
      <c r="K83" s="57">
        <f t="shared" si="20"/>
        <v>478</v>
      </c>
      <c r="L83" s="57">
        <v>182</v>
      </c>
      <c r="M83" s="57">
        <v>296</v>
      </c>
      <c r="N83" s="57"/>
      <c r="O83" s="88">
        <f t="shared" si="21"/>
        <v>2.214076720435004</v>
      </c>
      <c r="P83" s="58">
        <f t="shared" si="22"/>
        <v>763</v>
      </c>
      <c r="Q83" s="59">
        <v>381</v>
      </c>
      <c r="R83" s="59">
        <v>382</v>
      </c>
      <c r="S83" s="59"/>
      <c r="T83" s="60" t="s">
        <v>160</v>
      </c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</row>
    <row r="84" spans="1:83" s="18" customFormat="1" ht="15">
      <c r="A84" s="82" t="s">
        <v>161</v>
      </c>
      <c r="B84" s="57">
        <f t="shared" si="18"/>
        <v>1114</v>
      </c>
      <c r="C84" s="57">
        <v>507</v>
      </c>
      <c r="D84" s="57">
        <v>607</v>
      </c>
      <c r="E84" s="57">
        <v>191</v>
      </c>
      <c r="F84" s="74">
        <v>5.832460732984293</v>
      </c>
      <c r="G84" s="57">
        <f t="shared" ref="G84:G95" si="23">SUM(H84:I84)</f>
        <v>1204</v>
      </c>
      <c r="H84" s="57">
        <v>565</v>
      </c>
      <c r="I84" s="57">
        <v>639</v>
      </c>
      <c r="J84" s="87">
        <f t="shared" si="19"/>
        <v>1.2905681957065944</v>
      </c>
      <c r="K84" s="57">
        <f t="shared" si="20"/>
        <v>1288</v>
      </c>
      <c r="L84" s="57">
        <v>564</v>
      </c>
      <c r="M84" s="57">
        <v>724</v>
      </c>
      <c r="N84" s="57"/>
      <c r="O84" s="88">
        <f t="shared" si="21"/>
        <v>0.79342683288861748</v>
      </c>
      <c r="P84" s="58">
        <f t="shared" si="22"/>
        <v>1894</v>
      </c>
      <c r="Q84" s="59">
        <v>953</v>
      </c>
      <c r="R84" s="59">
        <v>941</v>
      </c>
      <c r="S84" s="59"/>
      <c r="T84" s="60" t="s">
        <v>162</v>
      </c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</row>
    <row r="85" spans="1:83" s="18" customFormat="1" ht="15">
      <c r="A85" s="82" t="s">
        <v>163</v>
      </c>
      <c r="B85" s="57">
        <f t="shared" si="18"/>
        <v>569</v>
      </c>
      <c r="C85" s="57">
        <v>276</v>
      </c>
      <c r="D85" s="57">
        <v>293</v>
      </c>
      <c r="E85" s="57">
        <v>100</v>
      </c>
      <c r="F85" s="74">
        <v>5.69</v>
      </c>
      <c r="G85" s="57">
        <f t="shared" si="23"/>
        <v>561</v>
      </c>
      <c r="H85" s="57">
        <v>278</v>
      </c>
      <c r="I85" s="57">
        <v>283</v>
      </c>
      <c r="J85" s="87">
        <f t="shared" si="19"/>
        <v>-0.23520811633944544</v>
      </c>
      <c r="K85" s="57">
        <f t="shared" si="20"/>
        <v>633</v>
      </c>
      <c r="L85" s="57">
        <v>305</v>
      </c>
      <c r="M85" s="57">
        <v>328</v>
      </c>
      <c r="N85" s="57"/>
      <c r="O85" s="88">
        <f t="shared" si="21"/>
        <v>1.4205825484879993</v>
      </c>
      <c r="P85" s="58">
        <f t="shared" si="22"/>
        <v>919</v>
      </c>
      <c r="Q85" s="59">
        <v>463</v>
      </c>
      <c r="R85" s="59">
        <v>456</v>
      </c>
      <c r="S85" s="59"/>
      <c r="T85" s="60" t="s">
        <v>164</v>
      </c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</row>
    <row r="86" spans="1:83" s="18" customFormat="1" ht="15">
      <c r="A86" s="82" t="s">
        <v>165</v>
      </c>
      <c r="B86" s="57">
        <f t="shared" si="18"/>
        <v>396</v>
      </c>
      <c r="C86" s="57">
        <v>191</v>
      </c>
      <c r="D86" s="57">
        <v>205</v>
      </c>
      <c r="E86" s="57">
        <v>78</v>
      </c>
      <c r="F86" s="74">
        <v>5.0769230769230766</v>
      </c>
      <c r="G86" s="57">
        <f t="shared" si="23"/>
        <v>373</v>
      </c>
      <c r="H86" s="57">
        <v>166</v>
      </c>
      <c r="I86" s="57">
        <v>207</v>
      </c>
      <c r="J86" s="87">
        <f t="shared" si="19"/>
        <v>-0.99395002675523247</v>
      </c>
      <c r="K86" s="57">
        <f t="shared" si="20"/>
        <v>415</v>
      </c>
      <c r="L86" s="57">
        <v>195</v>
      </c>
      <c r="M86" s="57">
        <v>220</v>
      </c>
      <c r="N86" s="57"/>
      <c r="O86" s="88">
        <f t="shared" si="21"/>
        <v>1.255295301022151</v>
      </c>
      <c r="P86" s="58">
        <f t="shared" si="22"/>
        <v>857</v>
      </c>
      <c r="Q86" s="59">
        <v>457</v>
      </c>
      <c r="R86" s="59">
        <v>400</v>
      </c>
      <c r="S86" s="59"/>
      <c r="T86" s="60" t="s">
        <v>166</v>
      </c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</row>
    <row r="87" spans="1:83" s="18" customFormat="1" ht="15">
      <c r="A87" s="82" t="s">
        <v>167</v>
      </c>
      <c r="B87" s="57">
        <f t="shared" si="18"/>
        <v>653</v>
      </c>
      <c r="C87" s="57">
        <v>280</v>
      </c>
      <c r="D87" s="57">
        <v>373</v>
      </c>
      <c r="E87" s="57">
        <v>126</v>
      </c>
      <c r="F87" s="74">
        <v>5.1825396825396828</v>
      </c>
      <c r="G87" s="57">
        <f t="shared" si="23"/>
        <v>582</v>
      </c>
      <c r="H87" s="57">
        <v>258</v>
      </c>
      <c r="I87" s="57">
        <v>324</v>
      </c>
      <c r="J87" s="87">
        <f t="shared" si="19"/>
        <v>-1.9120711220098543</v>
      </c>
      <c r="K87" s="57">
        <f t="shared" si="20"/>
        <v>652</v>
      </c>
      <c r="L87" s="57">
        <v>284</v>
      </c>
      <c r="M87" s="57">
        <v>368</v>
      </c>
      <c r="N87" s="57"/>
      <c r="O87" s="88">
        <f t="shared" si="21"/>
        <v>1.3361660493554721</v>
      </c>
      <c r="P87" s="58">
        <f t="shared" si="22"/>
        <v>1079</v>
      </c>
      <c r="Q87" s="59">
        <v>528</v>
      </c>
      <c r="R87" s="59">
        <v>551</v>
      </c>
      <c r="S87" s="59"/>
      <c r="T87" s="60" t="s">
        <v>168</v>
      </c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</row>
    <row r="88" spans="1:83" s="18" customFormat="1" ht="15">
      <c r="A88" s="82" t="s">
        <v>169</v>
      </c>
      <c r="B88" s="57">
        <f t="shared" si="18"/>
        <v>758</v>
      </c>
      <c r="C88" s="57">
        <v>323</v>
      </c>
      <c r="D88" s="57">
        <v>435</v>
      </c>
      <c r="E88" s="57">
        <v>120</v>
      </c>
      <c r="F88" s="74">
        <v>6.3166666666666664</v>
      </c>
      <c r="G88" s="57">
        <f t="shared" si="23"/>
        <v>710</v>
      </c>
      <c r="H88" s="57">
        <v>305</v>
      </c>
      <c r="I88" s="57">
        <v>405</v>
      </c>
      <c r="J88" s="87">
        <f t="shared" si="19"/>
        <v>-1.0866846446347269</v>
      </c>
      <c r="K88" s="57">
        <f t="shared" si="20"/>
        <v>697</v>
      </c>
      <c r="L88" s="57">
        <v>319</v>
      </c>
      <c r="M88" s="57">
        <v>378</v>
      </c>
      <c r="N88" s="57"/>
      <c r="O88" s="88">
        <f t="shared" si="21"/>
        <v>-0.21740657970396701</v>
      </c>
      <c r="P88" s="58">
        <f t="shared" si="22"/>
        <v>1212</v>
      </c>
      <c r="Q88" s="59">
        <v>583</v>
      </c>
      <c r="R88" s="59">
        <v>629</v>
      </c>
      <c r="S88" s="59"/>
      <c r="T88" s="60" t="s">
        <v>170</v>
      </c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</row>
    <row r="89" spans="1:83" s="18" customFormat="1" ht="15">
      <c r="A89" s="82" t="s">
        <v>171</v>
      </c>
      <c r="B89" s="57">
        <f t="shared" si="18"/>
        <v>526</v>
      </c>
      <c r="C89" s="57">
        <v>242</v>
      </c>
      <c r="D89" s="57">
        <v>284</v>
      </c>
      <c r="E89" s="57">
        <v>88</v>
      </c>
      <c r="F89" s="74">
        <v>5.9772727272727275</v>
      </c>
      <c r="G89" s="57">
        <f t="shared" si="23"/>
        <v>552</v>
      </c>
      <c r="H89" s="57">
        <v>272</v>
      </c>
      <c r="I89" s="57">
        <v>280</v>
      </c>
      <c r="J89" s="87">
        <f t="shared" si="19"/>
        <v>0.80144241759776635</v>
      </c>
      <c r="K89" s="57">
        <f t="shared" si="20"/>
        <v>576</v>
      </c>
      <c r="L89" s="57">
        <v>278</v>
      </c>
      <c r="M89" s="57">
        <v>298</v>
      </c>
      <c r="N89" s="57"/>
      <c r="O89" s="88">
        <f t="shared" si="21"/>
        <v>0.50070134610348127</v>
      </c>
      <c r="P89" s="58">
        <f t="shared" si="22"/>
        <v>928</v>
      </c>
      <c r="Q89" s="59">
        <v>479</v>
      </c>
      <c r="R89" s="59">
        <v>449</v>
      </c>
      <c r="S89" s="59"/>
      <c r="T89" s="60" t="s">
        <v>172</v>
      </c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</row>
    <row r="90" spans="1:83" s="18" customFormat="1" ht="15">
      <c r="A90" s="82" t="s">
        <v>173</v>
      </c>
      <c r="B90" s="57">
        <f t="shared" si="18"/>
        <v>811</v>
      </c>
      <c r="C90" s="57">
        <v>375</v>
      </c>
      <c r="D90" s="57">
        <v>436</v>
      </c>
      <c r="E90" s="57">
        <v>138</v>
      </c>
      <c r="F90" s="74">
        <v>5.8768115942028984</v>
      </c>
      <c r="G90" s="57">
        <f t="shared" si="23"/>
        <v>784</v>
      </c>
      <c r="H90" s="57">
        <v>336</v>
      </c>
      <c r="I90" s="57">
        <v>448</v>
      </c>
      <c r="J90" s="87">
        <f t="shared" si="19"/>
        <v>-0.5624424213455983</v>
      </c>
      <c r="K90" s="57">
        <f t="shared" si="20"/>
        <v>799</v>
      </c>
      <c r="L90" s="57">
        <v>338</v>
      </c>
      <c r="M90" s="57">
        <v>461</v>
      </c>
      <c r="N90" s="57"/>
      <c r="O90" s="88">
        <f t="shared" si="21"/>
        <v>0.22296382842196366</v>
      </c>
      <c r="P90" s="58">
        <f t="shared" si="22"/>
        <v>1499</v>
      </c>
      <c r="Q90" s="59">
        <v>747</v>
      </c>
      <c r="R90" s="59">
        <v>752</v>
      </c>
      <c r="S90" s="59"/>
      <c r="T90" s="60" t="s">
        <v>174</v>
      </c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</row>
    <row r="91" spans="1:83" s="18" customFormat="1" ht="15">
      <c r="A91" s="82" t="s">
        <v>175</v>
      </c>
      <c r="B91" s="57">
        <f t="shared" si="18"/>
        <v>242</v>
      </c>
      <c r="C91" s="57">
        <v>123</v>
      </c>
      <c r="D91" s="57">
        <v>119</v>
      </c>
      <c r="E91" s="57">
        <v>36</v>
      </c>
      <c r="F91" s="74">
        <v>6.7222222222222223</v>
      </c>
      <c r="G91" s="57">
        <f t="shared" si="23"/>
        <v>209</v>
      </c>
      <c r="H91" s="57">
        <v>92</v>
      </c>
      <c r="I91" s="57">
        <v>117</v>
      </c>
      <c r="J91" s="87">
        <f t="shared" si="19"/>
        <v>-2.435273657672349</v>
      </c>
      <c r="K91" s="57">
        <f t="shared" si="20"/>
        <v>255</v>
      </c>
      <c r="L91" s="57">
        <v>125</v>
      </c>
      <c r="M91" s="57">
        <v>130</v>
      </c>
      <c r="N91" s="57"/>
      <c r="O91" s="88">
        <f t="shared" si="21"/>
        <v>2.3403446258072376</v>
      </c>
      <c r="P91" s="58">
        <f t="shared" si="22"/>
        <v>425</v>
      </c>
      <c r="Q91" s="59">
        <v>223</v>
      </c>
      <c r="R91" s="59">
        <v>202</v>
      </c>
      <c r="S91" s="59"/>
      <c r="T91" s="60" t="s">
        <v>176</v>
      </c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</row>
    <row r="92" spans="1:83" s="18" customFormat="1" ht="15">
      <c r="A92" s="82" t="s">
        <v>177</v>
      </c>
      <c r="B92" s="57">
        <f t="shared" si="18"/>
        <v>1239</v>
      </c>
      <c r="C92" s="57">
        <v>613</v>
      </c>
      <c r="D92" s="57">
        <v>626</v>
      </c>
      <c r="E92" s="57">
        <v>191</v>
      </c>
      <c r="F92" s="74">
        <v>6.4869109947643979</v>
      </c>
      <c r="G92" s="57">
        <f t="shared" si="23"/>
        <v>1201</v>
      </c>
      <c r="H92" s="57">
        <v>565</v>
      </c>
      <c r="I92" s="57">
        <v>636</v>
      </c>
      <c r="J92" s="87">
        <f t="shared" si="19"/>
        <v>-0.51744284965380227</v>
      </c>
      <c r="K92" s="57">
        <f t="shared" si="20"/>
        <v>1311</v>
      </c>
      <c r="L92" s="57">
        <v>629</v>
      </c>
      <c r="M92" s="57">
        <v>682</v>
      </c>
      <c r="N92" s="57"/>
      <c r="O92" s="88">
        <f t="shared" si="21"/>
        <v>1.0310077845143091</v>
      </c>
      <c r="P92" s="58">
        <f t="shared" si="22"/>
        <v>1963</v>
      </c>
      <c r="Q92" s="59">
        <v>1021</v>
      </c>
      <c r="R92" s="59">
        <v>942</v>
      </c>
      <c r="S92" s="59"/>
      <c r="T92" s="60" t="s">
        <v>178</v>
      </c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</row>
    <row r="93" spans="1:83" s="18" customFormat="1" ht="15">
      <c r="A93" s="82" t="s">
        <v>179</v>
      </c>
      <c r="B93" s="57">
        <f t="shared" si="18"/>
        <v>1562</v>
      </c>
      <c r="C93" s="57">
        <v>713</v>
      </c>
      <c r="D93" s="57">
        <v>849</v>
      </c>
      <c r="E93" s="57">
        <v>257</v>
      </c>
      <c r="F93" s="74">
        <v>6.0778210116731515</v>
      </c>
      <c r="G93" s="57">
        <f t="shared" si="23"/>
        <v>1527</v>
      </c>
      <c r="H93" s="57">
        <v>680</v>
      </c>
      <c r="I93" s="57">
        <v>847</v>
      </c>
      <c r="J93" s="87">
        <f t="shared" si="19"/>
        <v>-0.37644560101326979</v>
      </c>
      <c r="K93" s="57">
        <f t="shared" si="20"/>
        <v>1515</v>
      </c>
      <c r="L93" s="57">
        <v>658</v>
      </c>
      <c r="M93" s="57">
        <v>857</v>
      </c>
      <c r="N93" s="57"/>
      <c r="O93" s="88">
        <f t="shared" si="21"/>
        <v>-9.2818673825446271E-2</v>
      </c>
      <c r="P93" s="58">
        <f t="shared" si="22"/>
        <v>2100</v>
      </c>
      <c r="Q93" s="59">
        <v>1021</v>
      </c>
      <c r="R93" s="59">
        <v>1079</v>
      </c>
      <c r="S93" s="59"/>
      <c r="T93" s="60" t="s">
        <v>180</v>
      </c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</row>
    <row r="94" spans="1:83" s="18" customFormat="1" ht="15">
      <c r="A94" s="82" t="s">
        <v>181</v>
      </c>
      <c r="B94" s="57">
        <f t="shared" si="18"/>
        <v>276</v>
      </c>
      <c r="C94" s="57">
        <v>132</v>
      </c>
      <c r="D94" s="57">
        <v>144</v>
      </c>
      <c r="E94" s="57">
        <v>54</v>
      </c>
      <c r="F94" s="74">
        <v>5.1111111111111107</v>
      </c>
      <c r="G94" s="57">
        <f t="shared" si="23"/>
        <v>200</v>
      </c>
      <c r="H94" s="57">
        <v>90</v>
      </c>
      <c r="I94" s="57">
        <v>110</v>
      </c>
      <c r="J94" s="87">
        <f t="shared" si="19"/>
        <v>-5.3502242386895906</v>
      </c>
      <c r="K94" s="57">
        <f t="shared" si="20"/>
        <v>215</v>
      </c>
      <c r="L94" s="57">
        <v>100</v>
      </c>
      <c r="M94" s="57">
        <v>115</v>
      </c>
      <c r="N94" s="57"/>
      <c r="O94" s="88">
        <f t="shared" si="21"/>
        <v>0.85083131270148327</v>
      </c>
      <c r="P94" s="58">
        <f t="shared" si="22"/>
        <v>482</v>
      </c>
      <c r="Q94" s="59">
        <v>244</v>
      </c>
      <c r="R94" s="59">
        <v>238</v>
      </c>
      <c r="S94" s="59"/>
      <c r="T94" s="60" t="s">
        <v>182</v>
      </c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</row>
    <row r="95" spans="1:83" s="18" customFormat="1" ht="15">
      <c r="A95" s="82" t="s">
        <v>183</v>
      </c>
      <c r="B95" s="57">
        <f t="shared" si="18"/>
        <v>1866</v>
      </c>
      <c r="C95" s="57">
        <v>860</v>
      </c>
      <c r="D95" s="57">
        <v>1006</v>
      </c>
      <c r="E95" s="57">
        <v>304</v>
      </c>
      <c r="F95" s="74">
        <v>6.1381578947368425</v>
      </c>
      <c r="G95" s="57">
        <f t="shared" si="23"/>
        <v>1716</v>
      </c>
      <c r="H95" s="57">
        <v>822</v>
      </c>
      <c r="I95" s="57">
        <v>894</v>
      </c>
      <c r="J95" s="87">
        <f t="shared" si="19"/>
        <v>-1.3920448730794273</v>
      </c>
      <c r="K95" s="57">
        <f t="shared" si="20"/>
        <v>1722</v>
      </c>
      <c r="L95" s="57">
        <v>848</v>
      </c>
      <c r="M95" s="57">
        <v>874</v>
      </c>
      <c r="N95" s="57"/>
      <c r="O95" s="88">
        <f t="shared" si="21"/>
        <v>4.1063587526689031E-2</v>
      </c>
      <c r="P95" s="58">
        <f t="shared" si="22"/>
        <v>2668</v>
      </c>
      <c r="Q95" s="59">
        <v>1371</v>
      </c>
      <c r="R95" s="59">
        <v>1297</v>
      </c>
      <c r="S95" s="59"/>
      <c r="T95" s="60" t="s">
        <v>184</v>
      </c>
      <c r="V95" s="17"/>
      <c r="W95" s="82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</row>
    <row r="96" spans="1:83" s="18" customFormat="1" ht="15">
      <c r="A96" s="82"/>
      <c r="B96" s="57"/>
      <c r="C96" s="57"/>
      <c r="D96" s="57"/>
      <c r="E96" s="57"/>
      <c r="F96" s="74"/>
      <c r="G96" s="57"/>
      <c r="H96" s="57"/>
      <c r="I96" s="57"/>
      <c r="J96" s="74"/>
      <c r="K96" s="57"/>
      <c r="L96" s="57"/>
      <c r="M96" s="57"/>
      <c r="N96" s="57"/>
      <c r="O96" s="88"/>
      <c r="P96" s="58"/>
      <c r="Q96" s="106"/>
      <c r="R96" s="106"/>
      <c r="S96" s="106"/>
      <c r="T96" s="78"/>
      <c r="U96" s="101"/>
      <c r="V96" s="101"/>
      <c r="W96" s="82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</row>
    <row r="97" spans="1:83" s="49" customFormat="1" ht="15">
      <c r="A97" s="85" t="s">
        <v>185</v>
      </c>
      <c r="B97" s="45">
        <f>SUM(C97:D97)</f>
        <v>14424</v>
      </c>
      <c r="C97" s="45">
        <f>SUM(C98:C113)</f>
        <v>7045</v>
      </c>
      <c r="D97" s="45">
        <f>SUM(D98:D113)</f>
        <v>7379</v>
      </c>
      <c r="E97" s="45">
        <f>SUM(E98:E113)</f>
        <v>2389</v>
      </c>
      <c r="F97" s="44">
        <v>6.061087866108787</v>
      </c>
      <c r="G97" s="45">
        <f>SUM(H97:I97)</f>
        <v>14643</v>
      </c>
      <c r="H97" s="45">
        <f>SUM(H98:H113)</f>
        <v>7024</v>
      </c>
      <c r="I97" s="45">
        <f>SUM(I98:I113)</f>
        <v>7619</v>
      </c>
      <c r="J97" s="50">
        <f t="shared" ref="J97:J102" si="24">LN(G97/B97)/6.02*100</f>
        <v>0.25031428026750963</v>
      </c>
      <c r="K97" s="45">
        <f t="shared" ref="K97:K102" si="25">SUM(L97:M97)</f>
        <v>14934</v>
      </c>
      <c r="L97" s="45">
        <f>SUM(L98:L113)</f>
        <v>7119</v>
      </c>
      <c r="M97" s="45">
        <f>SUM(M98:M113)</f>
        <v>7815</v>
      </c>
      <c r="N97" s="45"/>
      <c r="O97" s="46">
        <f t="shared" si="21"/>
        <v>0.23150690635752608</v>
      </c>
      <c r="P97" s="47">
        <f t="shared" ref="P97:P103" si="26">SUM(Q97:R97)</f>
        <v>23721</v>
      </c>
      <c r="Q97" s="53">
        <f>SUM(Q98:Q113)</f>
        <v>12232</v>
      </c>
      <c r="R97" s="53">
        <f>SUM(R98:R113)</f>
        <v>11489</v>
      </c>
      <c r="S97" s="53"/>
      <c r="T97" s="26" t="s">
        <v>186</v>
      </c>
      <c r="U97" s="101"/>
      <c r="V97" s="101"/>
      <c r="W97" s="82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  <c r="BW97" s="48"/>
      <c r="BX97" s="48"/>
      <c r="BY97" s="48"/>
      <c r="BZ97" s="48"/>
      <c r="CA97" s="48"/>
      <c r="CB97" s="48"/>
      <c r="CC97" s="48"/>
      <c r="CD97" s="48"/>
      <c r="CE97" s="48"/>
    </row>
    <row r="98" spans="1:83" s="18" customFormat="1" ht="15">
      <c r="A98" s="82" t="s">
        <v>187</v>
      </c>
      <c r="B98" s="57">
        <f t="shared" ref="B98:B113" si="27">SUM(C98:D98)</f>
        <v>1737</v>
      </c>
      <c r="C98" s="57">
        <v>825</v>
      </c>
      <c r="D98" s="57">
        <v>912</v>
      </c>
      <c r="E98" s="57">
        <v>286</v>
      </c>
      <c r="F98" s="74">
        <v>6.0734265734265733</v>
      </c>
      <c r="G98" s="57">
        <f>SUM(H98:I98)</f>
        <v>1974</v>
      </c>
      <c r="H98" s="57">
        <v>939</v>
      </c>
      <c r="I98" s="57">
        <v>1035</v>
      </c>
      <c r="J98" s="87">
        <f t="shared" si="24"/>
        <v>2.12462547761332</v>
      </c>
      <c r="K98" s="57">
        <f t="shared" si="25"/>
        <v>1578</v>
      </c>
      <c r="L98" s="57">
        <v>732</v>
      </c>
      <c r="M98" s="57">
        <v>846</v>
      </c>
      <c r="N98" s="57"/>
      <c r="O98" s="88">
        <f t="shared" si="21"/>
        <v>-2.6341613951483209</v>
      </c>
      <c r="P98" s="58">
        <f t="shared" si="26"/>
        <v>2811</v>
      </c>
      <c r="Q98" s="59">
        <v>1435</v>
      </c>
      <c r="R98" s="59">
        <v>1376</v>
      </c>
      <c r="S98" s="59"/>
      <c r="T98" s="60" t="s">
        <v>188</v>
      </c>
      <c r="U98" s="98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</row>
    <row r="99" spans="1:83" s="18" customFormat="1" ht="15">
      <c r="A99" s="82" t="s">
        <v>189</v>
      </c>
      <c r="B99" s="57">
        <f t="shared" si="27"/>
        <v>319</v>
      </c>
      <c r="C99" s="57">
        <v>149</v>
      </c>
      <c r="D99" s="57">
        <v>170</v>
      </c>
      <c r="E99" s="57">
        <v>64</v>
      </c>
      <c r="F99" s="74">
        <v>4.984375</v>
      </c>
      <c r="G99" s="57">
        <f t="shared" ref="G99:G113" si="28">SUM(H99:I99)</f>
        <v>320</v>
      </c>
      <c r="H99" s="57">
        <v>141</v>
      </c>
      <c r="I99" s="57">
        <v>179</v>
      </c>
      <c r="J99" s="87">
        <f t="shared" si="24"/>
        <v>5.1991578221388134E-2</v>
      </c>
      <c r="K99" s="57">
        <f t="shared" si="25"/>
        <v>375</v>
      </c>
      <c r="L99" s="57">
        <v>177</v>
      </c>
      <c r="M99" s="57">
        <v>198</v>
      </c>
      <c r="N99" s="57"/>
      <c r="O99" s="88">
        <f t="shared" si="21"/>
        <v>1.8659415314898655</v>
      </c>
      <c r="P99" s="58">
        <f t="shared" si="26"/>
        <v>606</v>
      </c>
      <c r="Q99" s="59">
        <v>305</v>
      </c>
      <c r="R99" s="59">
        <v>301</v>
      </c>
      <c r="S99" s="59"/>
      <c r="T99" s="60" t="s">
        <v>190</v>
      </c>
      <c r="U99" s="101"/>
      <c r="V99" s="78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</row>
    <row r="100" spans="1:83" s="18" customFormat="1" ht="15">
      <c r="A100" s="82" t="s">
        <v>191</v>
      </c>
      <c r="B100" s="57">
        <f t="shared" si="27"/>
        <v>587</v>
      </c>
      <c r="C100" s="57">
        <v>288</v>
      </c>
      <c r="D100" s="57">
        <v>299</v>
      </c>
      <c r="E100" s="57">
        <v>124</v>
      </c>
      <c r="F100" s="74">
        <v>4.7338709677419351</v>
      </c>
      <c r="G100" s="57">
        <f t="shared" si="28"/>
        <v>504</v>
      </c>
      <c r="H100" s="57">
        <v>236</v>
      </c>
      <c r="I100" s="57">
        <v>268</v>
      </c>
      <c r="J100" s="87">
        <f t="shared" si="24"/>
        <v>-2.5323679693808612</v>
      </c>
      <c r="K100" s="57">
        <f t="shared" si="25"/>
        <v>487</v>
      </c>
      <c r="L100" s="57">
        <v>223</v>
      </c>
      <c r="M100" s="57">
        <v>264</v>
      </c>
      <c r="N100" s="57"/>
      <c r="O100" s="88">
        <f t="shared" si="21"/>
        <v>-0.40367229398563309</v>
      </c>
      <c r="P100" s="58">
        <f t="shared" si="26"/>
        <v>975</v>
      </c>
      <c r="Q100" s="59">
        <v>490</v>
      </c>
      <c r="R100" s="59">
        <v>485</v>
      </c>
      <c r="S100" s="59"/>
      <c r="T100" s="60" t="s">
        <v>192</v>
      </c>
      <c r="U100" s="101"/>
      <c r="V100" s="78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</row>
    <row r="101" spans="1:83" s="18" customFormat="1" ht="15">
      <c r="A101" s="82" t="s">
        <v>193</v>
      </c>
      <c r="B101" s="57">
        <f t="shared" si="27"/>
        <v>345</v>
      </c>
      <c r="C101" s="57">
        <v>168</v>
      </c>
      <c r="D101" s="57">
        <v>177</v>
      </c>
      <c r="E101" s="57">
        <v>65</v>
      </c>
      <c r="F101" s="74">
        <v>5.3076923076923075</v>
      </c>
      <c r="G101" s="57">
        <f t="shared" si="28"/>
        <v>272</v>
      </c>
      <c r="H101" s="57">
        <v>111</v>
      </c>
      <c r="I101" s="57">
        <v>161</v>
      </c>
      <c r="J101" s="87">
        <f t="shared" si="24"/>
        <v>-3.9492084839761201</v>
      </c>
      <c r="K101" s="57">
        <f t="shared" si="25"/>
        <v>373</v>
      </c>
      <c r="L101" s="57">
        <v>180</v>
      </c>
      <c r="M101" s="57">
        <v>193</v>
      </c>
      <c r="N101" s="57"/>
      <c r="O101" s="88">
        <f t="shared" si="21"/>
        <v>3.7150159217390377</v>
      </c>
      <c r="P101" s="58">
        <f t="shared" si="26"/>
        <v>530</v>
      </c>
      <c r="Q101" s="59">
        <v>257</v>
      </c>
      <c r="R101" s="59">
        <v>273</v>
      </c>
      <c r="S101" s="59"/>
      <c r="T101" s="60" t="s">
        <v>194</v>
      </c>
      <c r="U101" s="101"/>
      <c r="V101" s="78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</row>
    <row r="102" spans="1:83" s="18" customFormat="1" ht="15">
      <c r="A102" s="82" t="s">
        <v>195</v>
      </c>
      <c r="B102" s="57">
        <f t="shared" si="27"/>
        <v>1089</v>
      </c>
      <c r="C102" s="57">
        <v>548</v>
      </c>
      <c r="D102" s="57">
        <v>541</v>
      </c>
      <c r="E102" s="57">
        <v>153</v>
      </c>
      <c r="F102" s="74">
        <v>7.117647058823529</v>
      </c>
      <c r="G102" s="57">
        <f t="shared" si="28"/>
        <v>2988</v>
      </c>
      <c r="H102" s="57">
        <v>1471</v>
      </c>
      <c r="I102" s="57">
        <v>1517</v>
      </c>
      <c r="J102" s="87">
        <f t="shared" si="24"/>
        <v>16.766518659796471</v>
      </c>
      <c r="K102" s="57">
        <f t="shared" si="25"/>
        <v>1388</v>
      </c>
      <c r="L102" s="57">
        <v>663</v>
      </c>
      <c r="M102" s="57">
        <v>725</v>
      </c>
      <c r="N102" s="57"/>
      <c r="O102" s="88">
        <f t="shared" si="21"/>
        <v>-9.0204753551289194</v>
      </c>
      <c r="P102" s="58">
        <f t="shared" si="26"/>
        <v>1730</v>
      </c>
      <c r="Q102" s="59">
        <v>896</v>
      </c>
      <c r="R102" s="59">
        <v>834</v>
      </c>
      <c r="S102" s="59"/>
      <c r="T102" s="60" t="s">
        <v>196</v>
      </c>
      <c r="U102" s="101"/>
      <c r="V102" s="78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</row>
    <row r="103" spans="1:83" s="18" customFormat="1" ht="15">
      <c r="A103" s="82" t="s">
        <v>197</v>
      </c>
      <c r="B103" s="57">
        <f>SUM(C103:D103)</f>
        <v>2717</v>
      </c>
      <c r="C103" s="57">
        <v>1289</v>
      </c>
      <c r="D103" s="57">
        <v>1428</v>
      </c>
      <c r="E103" s="57">
        <v>413</v>
      </c>
      <c r="F103" s="74">
        <v>6.5786924939467308</v>
      </c>
      <c r="G103" s="57">
        <f>SUM(H103:I103)</f>
        <v>0</v>
      </c>
      <c r="H103" s="57">
        <v>0</v>
      </c>
      <c r="I103" s="57">
        <v>0</v>
      </c>
      <c r="J103" s="89" t="s">
        <v>41</v>
      </c>
      <c r="K103" s="57" t="s">
        <v>44</v>
      </c>
      <c r="L103" s="57" t="s">
        <v>44</v>
      </c>
      <c r="M103" s="57" t="s">
        <v>44</v>
      </c>
      <c r="N103" s="57"/>
      <c r="O103" s="90" t="s">
        <v>44</v>
      </c>
      <c r="P103" s="58">
        <f t="shared" si="26"/>
        <v>4760</v>
      </c>
      <c r="Q103" s="59">
        <v>2460</v>
      </c>
      <c r="R103" s="59">
        <v>2300</v>
      </c>
      <c r="S103" s="59"/>
      <c r="T103" s="91" t="s">
        <v>198</v>
      </c>
      <c r="U103" s="107"/>
      <c r="V103" s="108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</row>
    <row r="104" spans="1:83" ht="15">
      <c r="A104" s="82" t="s">
        <v>199</v>
      </c>
      <c r="B104" s="57" t="s">
        <v>44</v>
      </c>
      <c r="C104" s="57" t="s">
        <v>44</v>
      </c>
      <c r="D104" s="57" t="s">
        <v>44</v>
      </c>
      <c r="E104" s="57" t="s">
        <v>44</v>
      </c>
      <c r="F104" s="74" t="s">
        <v>44</v>
      </c>
      <c r="G104" s="57" t="s">
        <v>44</v>
      </c>
      <c r="H104" s="57" t="s">
        <v>44</v>
      </c>
      <c r="I104" s="57" t="s">
        <v>44</v>
      </c>
      <c r="J104" s="89" t="s">
        <v>44</v>
      </c>
      <c r="K104" s="57">
        <v>2924</v>
      </c>
      <c r="L104" s="57">
        <v>1376</v>
      </c>
      <c r="M104" s="57">
        <v>1548</v>
      </c>
      <c r="N104" s="57"/>
      <c r="O104" s="90" t="s">
        <v>44</v>
      </c>
      <c r="P104" s="58" t="s">
        <v>44</v>
      </c>
      <c r="Q104" s="57" t="s">
        <v>44</v>
      </c>
      <c r="R104" s="57" t="s">
        <v>44</v>
      </c>
      <c r="S104" s="57"/>
      <c r="T104" s="60" t="s">
        <v>200</v>
      </c>
      <c r="U104" s="101"/>
      <c r="V104" s="78"/>
    </row>
    <row r="105" spans="1:83" s="18" customFormat="1" ht="15">
      <c r="A105" s="82" t="s">
        <v>201</v>
      </c>
      <c r="B105" s="57">
        <f t="shared" si="27"/>
        <v>810</v>
      </c>
      <c r="C105" s="57">
        <v>388</v>
      </c>
      <c r="D105" s="57">
        <v>422</v>
      </c>
      <c r="E105" s="57">
        <v>138</v>
      </c>
      <c r="F105" s="74">
        <v>5.8695652173913047</v>
      </c>
      <c r="G105" s="57">
        <f t="shared" si="28"/>
        <v>877</v>
      </c>
      <c r="H105" s="57">
        <v>413</v>
      </c>
      <c r="I105" s="57">
        <v>464</v>
      </c>
      <c r="J105" s="87">
        <f t="shared" ref="J105:J113" si="29">LN(G105/B105)/6.02*100</f>
        <v>1.3201452608920048</v>
      </c>
      <c r="K105" s="57">
        <f t="shared" ref="K105:K113" si="30">SUM(L105:M105)</f>
        <v>769</v>
      </c>
      <c r="L105" s="57">
        <v>375</v>
      </c>
      <c r="M105" s="57">
        <v>394</v>
      </c>
      <c r="N105" s="57"/>
      <c r="O105" s="88">
        <f t="shared" si="21"/>
        <v>-1.546070857253401</v>
      </c>
      <c r="P105" s="58">
        <f t="shared" ref="P105:P113" si="31">SUM(Q105:R105)</f>
        <v>1330</v>
      </c>
      <c r="Q105" s="59">
        <v>679</v>
      </c>
      <c r="R105" s="59">
        <v>651</v>
      </c>
      <c r="S105" s="59"/>
      <c r="T105" s="60" t="s">
        <v>202</v>
      </c>
      <c r="U105" s="101"/>
      <c r="V105" s="78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</row>
    <row r="106" spans="1:83" s="18" customFormat="1" ht="15">
      <c r="A106" s="82" t="s">
        <v>203</v>
      </c>
      <c r="B106" s="57">
        <f t="shared" si="27"/>
        <v>544</v>
      </c>
      <c r="C106" s="57">
        <v>269</v>
      </c>
      <c r="D106" s="57">
        <v>275</v>
      </c>
      <c r="E106" s="57">
        <v>116</v>
      </c>
      <c r="F106" s="74">
        <v>4.6896551724137927</v>
      </c>
      <c r="G106" s="57">
        <f t="shared" si="28"/>
        <v>487</v>
      </c>
      <c r="H106" s="57">
        <v>242</v>
      </c>
      <c r="I106" s="57">
        <v>245</v>
      </c>
      <c r="J106" s="87">
        <f t="shared" si="29"/>
        <v>-1.8386233184942327</v>
      </c>
      <c r="K106" s="57">
        <f t="shared" si="30"/>
        <v>496</v>
      </c>
      <c r="L106" s="57">
        <v>249</v>
      </c>
      <c r="M106" s="57">
        <v>247</v>
      </c>
      <c r="N106" s="57"/>
      <c r="O106" s="88">
        <f t="shared" si="21"/>
        <v>0.21543298402750222</v>
      </c>
      <c r="P106" s="58">
        <f t="shared" si="31"/>
        <v>871</v>
      </c>
      <c r="Q106" s="59">
        <v>471</v>
      </c>
      <c r="R106" s="59">
        <v>400</v>
      </c>
      <c r="S106" s="59"/>
      <c r="T106" s="60" t="s">
        <v>204</v>
      </c>
      <c r="U106" s="101"/>
      <c r="V106" s="78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</row>
    <row r="107" spans="1:83" s="18" customFormat="1" ht="15">
      <c r="A107" s="82" t="s">
        <v>205</v>
      </c>
      <c r="B107" s="57">
        <f t="shared" si="27"/>
        <v>492</v>
      </c>
      <c r="C107" s="57">
        <v>230</v>
      </c>
      <c r="D107" s="57">
        <v>262</v>
      </c>
      <c r="E107" s="57">
        <v>101</v>
      </c>
      <c r="F107" s="74">
        <v>4.8712871287128712</v>
      </c>
      <c r="G107" s="57">
        <f t="shared" si="28"/>
        <v>537</v>
      </c>
      <c r="H107" s="57">
        <v>266</v>
      </c>
      <c r="I107" s="57">
        <v>271</v>
      </c>
      <c r="J107" s="87">
        <f t="shared" si="29"/>
        <v>1.4538102660557586</v>
      </c>
      <c r="K107" s="57">
        <f t="shared" si="30"/>
        <v>504</v>
      </c>
      <c r="L107" s="57">
        <v>257</v>
      </c>
      <c r="M107" s="57">
        <v>247</v>
      </c>
      <c r="N107" s="57"/>
      <c r="O107" s="88">
        <f t="shared" si="21"/>
        <v>-0.74613913455877723</v>
      </c>
      <c r="P107" s="58">
        <f t="shared" si="31"/>
        <v>878</v>
      </c>
      <c r="Q107" s="59">
        <v>458</v>
      </c>
      <c r="R107" s="59">
        <v>420</v>
      </c>
      <c r="S107" s="59"/>
      <c r="T107" s="60" t="s">
        <v>206</v>
      </c>
      <c r="U107" s="101"/>
      <c r="V107" s="78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</row>
    <row r="108" spans="1:83" s="18" customFormat="1" ht="15">
      <c r="A108" s="82" t="s">
        <v>207</v>
      </c>
      <c r="B108" s="57">
        <f t="shared" si="27"/>
        <v>1530</v>
      </c>
      <c r="C108" s="57">
        <v>774</v>
      </c>
      <c r="D108" s="57">
        <v>756</v>
      </c>
      <c r="E108" s="57">
        <v>233</v>
      </c>
      <c r="F108" s="74">
        <v>6.5665236051502145</v>
      </c>
      <c r="G108" s="57">
        <f t="shared" si="28"/>
        <v>1558</v>
      </c>
      <c r="H108" s="57">
        <v>745</v>
      </c>
      <c r="I108" s="57">
        <v>813</v>
      </c>
      <c r="J108" s="87">
        <f t="shared" si="29"/>
        <v>0.30124936950518871</v>
      </c>
      <c r="K108" s="57">
        <f t="shared" si="30"/>
        <v>1398</v>
      </c>
      <c r="L108" s="57">
        <v>701</v>
      </c>
      <c r="M108" s="57">
        <v>697</v>
      </c>
      <c r="N108" s="57"/>
      <c r="O108" s="88">
        <f t="shared" si="21"/>
        <v>-1.2748271016110349</v>
      </c>
      <c r="P108" s="58">
        <f t="shared" si="31"/>
        <v>2457</v>
      </c>
      <c r="Q108" s="59">
        <v>1297</v>
      </c>
      <c r="R108" s="59">
        <v>1160</v>
      </c>
      <c r="S108" s="59"/>
      <c r="T108" s="60" t="s">
        <v>208</v>
      </c>
      <c r="U108" s="101"/>
      <c r="V108" s="78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</row>
    <row r="109" spans="1:83" s="18" customFormat="1" ht="15">
      <c r="A109" s="82" t="s">
        <v>209</v>
      </c>
      <c r="B109" s="57">
        <f t="shared" si="27"/>
        <v>1274</v>
      </c>
      <c r="C109" s="57">
        <v>614</v>
      </c>
      <c r="D109" s="57">
        <v>660</v>
      </c>
      <c r="E109" s="57">
        <v>198</v>
      </c>
      <c r="F109" s="74">
        <v>6.4343434343434343</v>
      </c>
      <c r="G109" s="57">
        <f t="shared" si="28"/>
        <v>1278</v>
      </c>
      <c r="H109" s="57">
        <v>614</v>
      </c>
      <c r="I109" s="57">
        <v>664</v>
      </c>
      <c r="J109" s="87">
        <f t="shared" si="29"/>
        <v>5.2073069856669076E-2</v>
      </c>
      <c r="K109" s="57">
        <f t="shared" si="30"/>
        <v>1134</v>
      </c>
      <c r="L109" s="57">
        <v>513</v>
      </c>
      <c r="M109" s="57">
        <v>621</v>
      </c>
      <c r="N109" s="57"/>
      <c r="O109" s="88">
        <f t="shared" si="21"/>
        <v>-1.4064135370562669</v>
      </c>
      <c r="P109" s="58">
        <f t="shared" si="31"/>
        <v>1993</v>
      </c>
      <c r="Q109" s="59">
        <v>1011</v>
      </c>
      <c r="R109" s="59">
        <v>982</v>
      </c>
      <c r="S109" s="59"/>
      <c r="T109" s="60" t="s">
        <v>210</v>
      </c>
      <c r="U109" s="101"/>
      <c r="V109" s="78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</row>
    <row r="110" spans="1:83" s="18" customFormat="1" ht="15">
      <c r="A110" s="82" t="s">
        <v>211</v>
      </c>
      <c r="B110" s="57">
        <f t="shared" si="27"/>
        <v>249</v>
      </c>
      <c r="C110" s="57">
        <v>108</v>
      </c>
      <c r="D110" s="57">
        <v>141</v>
      </c>
      <c r="E110" s="57">
        <v>42</v>
      </c>
      <c r="F110" s="74">
        <v>5.9285714285714288</v>
      </c>
      <c r="G110" s="57">
        <f t="shared" si="28"/>
        <v>251</v>
      </c>
      <c r="H110" s="57">
        <v>120</v>
      </c>
      <c r="I110" s="57">
        <v>131</v>
      </c>
      <c r="J110" s="87">
        <f t="shared" si="29"/>
        <v>0.13289107420392643</v>
      </c>
      <c r="K110" s="57">
        <f t="shared" si="30"/>
        <v>304</v>
      </c>
      <c r="L110" s="57">
        <v>149</v>
      </c>
      <c r="M110" s="57">
        <v>155</v>
      </c>
      <c r="N110" s="57"/>
      <c r="O110" s="88">
        <f t="shared" si="21"/>
        <v>2.2538207326404454</v>
      </c>
      <c r="P110" s="58">
        <f t="shared" si="31"/>
        <v>463</v>
      </c>
      <c r="Q110" s="59">
        <v>246</v>
      </c>
      <c r="R110" s="59">
        <v>217</v>
      </c>
      <c r="S110" s="59"/>
      <c r="T110" s="60" t="s">
        <v>212</v>
      </c>
      <c r="U110" s="101"/>
      <c r="V110" s="78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</row>
    <row r="111" spans="1:83" s="18" customFormat="1" ht="15">
      <c r="A111" s="82" t="s">
        <v>213</v>
      </c>
      <c r="B111" s="57">
        <f t="shared" si="27"/>
        <v>1430</v>
      </c>
      <c r="C111" s="57">
        <v>778</v>
      </c>
      <c r="D111" s="57">
        <v>652</v>
      </c>
      <c r="E111" s="57">
        <v>210</v>
      </c>
      <c r="F111" s="74">
        <v>6.8095238095238093</v>
      </c>
      <c r="G111" s="57">
        <f t="shared" si="28"/>
        <v>1736</v>
      </c>
      <c r="H111" s="57">
        <v>838</v>
      </c>
      <c r="I111" s="57">
        <v>898</v>
      </c>
      <c r="J111" s="87">
        <f t="shared" si="29"/>
        <v>3.2210825908030309</v>
      </c>
      <c r="K111" s="57">
        <f t="shared" si="30"/>
        <v>1669</v>
      </c>
      <c r="L111" s="57">
        <v>807</v>
      </c>
      <c r="M111" s="57">
        <v>862</v>
      </c>
      <c r="N111" s="57"/>
      <c r="O111" s="88">
        <f t="shared" si="21"/>
        <v>-0.4630467242171814</v>
      </c>
      <c r="P111" s="58">
        <f t="shared" si="31"/>
        <v>2141</v>
      </c>
      <c r="Q111" s="59">
        <v>1128</v>
      </c>
      <c r="R111" s="59">
        <v>1013</v>
      </c>
      <c r="S111" s="59"/>
      <c r="T111" s="60" t="s">
        <v>214</v>
      </c>
      <c r="U111" s="101"/>
      <c r="V111" s="78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</row>
    <row r="112" spans="1:83" s="18" customFormat="1" ht="15">
      <c r="A112" s="82" t="s">
        <v>215</v>
      </c>
      <c r="B112" s="57">
        <f t="shared" si="27"/>
        <v>362</v>
      </c>
      <c r="C112" s="57">
        <v>164</v>
      </c>
      <c r="D112" s="57">
        <v>198</v>
      </c>
      <c r="E112" s="57">
        <v>62</v>
      </c>
      <c r="F112" s="74">
        <v>5.838709677419355</v>
      </c>
      <c r="G112" s="57">
        <f t="shared" si="28"/>
        <v>345</v>
      </c>
      <c r="H112" s="57">
        <v>163</v>
      </c>
      <c r="I112" s="57">
        <v>182</v>
      </c>
      <c r="J112" s="87">
        <f t="shared" si="29"/>
        <v>-0.79899991352842781</v>
      </c>
      <c r="K112" s="57">
        <f t="shared" si="30"/>
        <v>432</v>
      </c>
      <c r="L112" s="57">
        <v>206</v>
      </c>
      <c r="M112" s="57">
        <v>226</v>
      </c>
      <c r="N112" s="57"/>
      <c r="O112" s="88">
        <f t="shared" si="21"/>
        <v>2.6456608377970663</v>
      </c>
      <c r="P112" s="58">
        <f t="shared" si="31"/>
        <v>638</v>
      </c>
      <c r="Q112" s="59">
        <v>323</v>
      </c>
      <c r="R112" s="59">
        <v>315</v>
      </c>
      <c r="S112" s="59"/>
      <c r="T112" s="60" t="s">
        <v>216</v>
      </c>
      <c r="U112" s="101"/>
      <c r="V112" s="78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</row>
    <row r="113" spans="1:83" s="18" customFormat="1" ht="15">
      <c r="A113" s="82" t="s">
        <v>217</v>
      </c>
      <c r="B113" s="57">
        <f t="shared" si="27"/>
        <v>939</v>
      </c>
      <c r="C113" s="57">
        <v>453</v>
      </c>
      <c r="D113" s="57">
        <v>486</v>
      </c>
      <c r="E113" s="57">
        <v>184</v>
      </c>
      <c r="F113" s="74">
        <v>5.1032608695652177</v>
      </c>
      <c r="G113" s="57">
        <f t="shared" si="28"/>
        <v>1516</v>
      </c>
      <c r="H113" s="57">
        <v>725</v>
      </c>
      <c r="I113" s="57">
        <v>791</v>
      </c>
      <c r="J113" s="87">
        <f t="shared" si="29"/>
        <v>7.9570612457484078</v>
      </c>
      <c r="K113" s="57">
        <f t="shared" si="30"/>
        <v>1103</v>
      </c>
      <c r="L113" s="57">
        <v>511</v>
      </c>
      <c r="M113" s="57">
        <v>592</v>
      </c>
      <c r="N113" s="57"/>
      <c r="O113" s="88">
        <f t="shared" si="21"/>
        <v>-3.7416652582213472</v>
      </c>
      <c r="P113" s="58">
        <f t="shared" si="31"/>
        <v>1538</v>
      </c>
      <c r="Q113" s="59">
        <v>776</v>
      </c>
      <c r="R113" s="59">
        <v>762</v>
      </c>
      <c r="S113" s="59"/>
      <c r="T113" s="60" t="s">
        <v>218</v>
      </c>
      <c r="U113" s="101"/>
      <c r="V113" s="78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</row>
    <row r="114" spans="1:83" s="18" customFormat="1" ht="15">
      <c r="A114" s="82"/>
      <c r="B114" s="57"/>
      <c r="C114" s="57"/>
      <c r="D114" s="57"/>
      <c r="E114" s="57"/>
      <c r="F114" s="74"/>
      <c r="G114" s="57"/>
      <c r="H114" s="57"/>
      <c r="I114" s="57"/>
      <c r="J114" s="89"/>
      <c r="K114" s="57"/>
      <c r="L114" s="57"/>
      <c r="M114" s="57"/>
      <c r="N114" s="57"/>
      <c r="O114" s="88"/>
      <c r="P114" s="58"/>
      <c r="Q114" s="59"/>
      <c r="R114" s="59"/>
      <c r="S114" s="59"/>
      <c r="T114" s="78"/>
      <c r="U114" s="101"/>
      <c r="V114" s="78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</row>
    <row r="115" spans="1:83" s="49" customFormat="1" ht="15">
      <c r="A115" s="85" t="s">
        <v>219</v>
      </c>
      <c r="B115" s="45">
        <f t="shared" ref="B115:B128" si="32">SUM(C115:D115)</f>
        <v>9172</v>
      </c>
      <c r="C115" s="45">
        <f>SUM(C116:C128)</f>
        <v>4561</v>
      </c>
      <c r="D115" s="45">
        <f>SUM(D116:D128)</f>
        <v>4611</v>
      </c>
      <c r="E115" s="45">
        <f>SUM(E116:E128)</f>
        <v>1478</v>
      </c>
      <c r="F115" s="44">
        <v>6.4770889487870624</v>
      </c>
      <c r="G115" s="45">
        <f>SUM(H115:I115)</f>
        <v>8893</v>
      </c>
      <c r="H115" s="45">
        <f>SUM(H116:H128)</f>
        <v>4316</v>
      </c>
      <c r="I115" s="45">
        <f>SUM(I116:I128)</f>
        <v>4577</v>
      </c>
      <c r="J115" s="50">
        <f t="shared" ref="J115:J128" si="33">LN(G115/B115)/6.02*100</f>
        <v>-0.51313811591619674</v>
      </c>
      <c r="K115" s="45">
        <f t="shared" ref="K115:K128" si="34">SUM(L115:M115)</f>
        <v>8919</v>
      </c>
      <c r="L115" s="45">
        <f>SUM(L116:L128)</f>
        <v>4303</v>
      </c>
      <c r="M115" s="45">
        <f>SUM(M116:M128)</f>
        <v>4616</v>
      </c>
      <c r="N115" s="45"/>
      <c r="O115" s="46">
        <f t="shared" si="21"/>
        <v>3.4345673724320312E-2</v>
      </c>
      <c r="P115" s="47">
        <f t="shared" ref="P115:P128" si="35">SUM(Q115:R115)</f>
        <v>14624</v>
      </c>
      <c r="Q115" s="53">
        <f>SUM(Q116:Q128)</f>
        <v>7504</v>
      </c>
      <c r="R115" s="53">
        <f>SUM(R116:R128)</f>
        <v>7120</v>
      </c>
      <c r="S115" s="53"/>
      <c r="T115" s="26" t="s">
        <v>220</v>
      </c>
      <c r="U115" s="99"/>
      <c r="V115" s="26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  <c r="BW115" s="48"/>
      <c r="BX115" s="48"/>
      <c r="BY115" s="48"/>
      <c r="BZ115" s="48"/>
      <c r="CA115" s="48"/>
      <c r="CB115" s="48"/>
      <c r="CC115" s="48"/>
      <c r="CD115" s="48"/>
      <c r="CE115" s="48"/>
    </row>
    <row r="116" spans="1:83" s="18" customFormat="1" ht="15">
      <c r="A116" s="82" t="s">
        <v>221</v>
      </c>
      <c r="B116" s="57">
        <f t="shared" si="32"/>
        <v>388</v>
      </c>
      <c r="C116" s="57">
        <v>184</v>
      </c>
      <c r="D116" s="57">
        <v>204</v>
      </c>
      <c r="E116" s="57">
        <v>63</v>
      </c>
      <c r="F116" s="74">
        <v>6.1587301587301591</v>
      </c>
      <c r="G116" s="57">
        <f>SUM(H116:I116)</f>
        <v>355</v>
      </c>
      <c r="H116" s="104">
        <v>159</v>
      </c>
      <c r="I116" s="104">
        <v>196</v>
      </c>
      <c r="J116" s="87">
        <f t="shared" si="33"/>
        <v>-1.4765373778713902</v>
      </c>
      <c r="K116" s="57">
        <f t="shared" si="34"/>
        <v>410</v>
      </c>
      <c r="L116" s="57">
        <v>197</v>
      </c>
      <c r="M116" s="57">
        <v>213</v>
      </c>
      <c r="N116" s="57"/>
      <c r="O116" s="88">
        <f t="shared" si="21"/>
        <v>1.6945808261522082</v>
      </c>
      <c r="P116" s="58">
        <f t="shared" si="35"/>
        <v>639</v>
      </c>
      <c r="Q116" s="59">
        <v>320</v>
      </c>
      <c r="R116" s="59">
        <v>319</v>
      </c>
      <c r="S116" s="59"/>
      <c r="T116" s="60" t="s">
        <v>222</v>
      </c>
      <c r="U116" s="101"/>
      <c r="V116" s="78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</row>
    <row r="117" spans="1:83" s="18" customFormat="1" ht="15">
      <c r="A117" s="82" t="s">
        <v>223</v>
      </c>
      <c r="B117" s="57">
        <f t="shared" si="32"/>
        <v>257</v>
      </c>
      <c r="C117" s="57">
        <v>140</v>
      </c>
      <c r="D117" s="57">
        <v>117</v>
      </c>
      <c r="E117" s="57">
        <v>56</v>
      </c>
      <c r="F117" s="74">
        <v>4.5892857142857144</v>
      </c>
      <c r="G117" s="57">
        <f t="shared" ref="G117:G128" si="36">SUM(H117:I117)</f>
        <v>231</v>
      </c>
      <c r="H117" s="104">
        <v>117</v>
      </c>
      <c r="I117" s="104">
        <v>114</v>
      </c>
      <c r="J117" s="87">
        <f t="shared" si="33"/>
        <v>-1.7717337935785091</v>
      </c>
      <c r="K117" s="57">
        <f t="shared" si="34"/>
        <v>354</v>
      </c>
      <c r="L117" s="57">
        <v>198</v>
      </c>
      <c r="M117" s="57">
        <v>156</v>
      </c>
      <c r="N117" s="57"/>
      <c r="O117" s="88">
        <f t="shared" si="21"/>
        <v>5.0221082660233058</v>
      </c>
      <c r="P117" s="58">
        <f t="shared" si="35"/>
        <v>536</v>
      </c>
      <c r="Q117" s="59">
        <v>267</v>
      </c>
      <c r="R117" s="59">
        <v>269</v>
      </c>
      <c r="S117" s="59"/>
      <c r="T117" s="60" t="s">
        <v>224</v>
      </c>
      <c r="U117" s="101"/>
      <c r="V117" s="78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</row>
    <row r="118" spans="1:83" s="18" customFormat="1" ht="15">
      <c r="A118" s="82" t="s">
        <v>225</v>
      </c>
      <c r="B118" s="57">
        <f t="shared" si="32"/>
        <v>758</v>
      </c>
      <c r="C118" s="57">
        <v>380</v>
      </c>
      <c r="D118" s="57">
        <v>378</v>
      </c>
      <c r="E118" s="57">
        <v>116</v>
      </c>
      <c r="F118" s="74">
        <v>6.5344827586206895</v>
      </c>
      <c r="G118" s="57">
        <f t="shared" si="36"/>
        <v>858</v>
      </c>
      <c r="H118" s="104">
        <v>435</v>
      </c>
      <c r="I118" s="104">
        <v>423</v>
      </c>
      <c r="J118" s="87">
        <f t="shared" si="33"/>
        <v>2.0584836186975202</v>
      </c>
      <c r="K118" s="57">
        <f t="shared" si="34"/>
        <v>830</v>
      </c>
      <c r="L118" s="57">
        <v>425</v>
      </c>
      <c r="M118" s="57">
        <v>405</v>
      </c>
      <c r="N118" s="57"/>
      <c r="O118" s="88">
        <f t="shared" si="21"/>
        <v>-0.3903341023213962</v>
      </c>
      <c r="P118" s="58">
        <f t="shared" si="35"/>
        <v>1316</v>
      </c>
      <c r="Q118" s="59">
        <v>705</v>
      </c>
      <c r="R118" s="59">
        <v>611</v>
      </c>
      <c r="S118" s="59"/>
      <c r="T118" s="60" t="s">
        <v>226</v>
      </c>
      <c r="U118" s="101"/>
      <c r="V118" s="78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</row>
    <row r="119" spans="1:83" s="18" customFormat="1" ht="15">
      <c r="A119" s="82" t="s">
        <v>227</v>
      </c>
      <c r="B119" s="57">
        <f t="shared" si="32"/>
        <v>268</v>
      </c>
      <c r="C119" s="57">
        <v>118</v>
      </c>
      <c r="D119" s="57">
        <v>150</v>
      </c>
      <c r="E119" s="57">
        <v>47</v>
      </c>
      <c r="F119" s="74">
        <v>5.7021276595744679</v>
      </c>
      <c r="G119" s="57">
        <f t="shared" si="36"/>
        <v>275</v>
      </c>
      <c r="H119" s="104">
        <v>127</v>
      </c>
      <c r="I119" s="104">
        <v>148</v>
      </c>
      <c r="J119" s="87">
        <f t="shared" si="33"/>
        <v>0.42830759394874807</v>
      </c>
      <c r="K119" s="57">
        <f t="shared" si="34"/>
        <v>345</v>
      </c>
      <c r="L119" s="57">
        <v>156</v>
      </c>
      <c r="M119" s="57">
        <v>189</v>
      </c>
      <c r="N119" s="57"/>
      <c r="O119" s="88">
        <f t="shared" si="21"/>
        <v>2.6679214042916297</v>
      </c>
      <c r="P119" s="58">
        <f t="shared" si="35"/>
        <v>498</v>
      </c>
      <c r="Q119" s="59">
        <v>243</v>
      </c>
      <c r="R119" s="59">
        <v>255</v>
      </c>
      <c r="S119" s="59"/>
      <c r="T119" s="60" t="s">
        <v>228</v>
      </c>
      <c r="U119" s="101"/>
      <c r="V119" s="78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</row>
    <row r="120" spans="1:83" s="18" customFormat="1" ht="15">
      <c r="A120" s="82" t="s">
        <v>229</v>
      </c>
      <c r="B120" s="57">
        <f t="shared" si="32"/>
        <v>332</v>
      </c>
      <c r="C120" s="57">
        <v>159</v>
      </c>
      <c r="D120" s="57">
        <v>173</v>
      </c>
      <c r="E120" s="57">
        <v>68</v>
      </c>
      <c r="F120" s="74">
        <v>4.882352941176471</v>
      </c>
      <c r="G120" s="57">
        <f t="shared" si="36"/>
        <v>305</v>
      </c>
      <c r="H120" s="104">
        <v>147</v>
      </c>
      <c r="I120" s="104">
        <v>158</v>
      </c>
      <c r="J120" s="87">
        <f t="shared" si="33"/>
        <v>-1.4090231280577565</v>
      </c>
      <c r="K120" s="57">
        <f t="shared" si="34"/>
        <v>359</v>
      </c>
      <c r="L120" s="57">
        <v>168</v>
      </c>
      <c r="M120" s="57">
        <v>191</v>
      </c>
      <c r="N120" s="57"/>
      <c r="O120" s="88">
        <f t="shared" si="21"/>
        <v>1.9177719044807913</v>
      </c>
      <c r="P120" s="58">
        <f t="shared" si="35"/>
        <v>557</v>
      </c>
      <c r="Q120" s="59">
        <v>268</v>
      </c>
      <c r="R120" s="59">
        <v>289</v>
      </c>
      <c r="S120" s="59"/>
      <c r="T120" s="60" t="s">
        <v>230</v>
      </c>
      <c r="U120" s="101"/>
      <c r="V120" s="78"/>
      <c r="W120" s="17"/>
      <c r="X120" s="17" t="s">
        <v>59</v>
      </c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</row>
    <row r="121" spans="1:83" s="18" customFormat="1" ht="15">
      <c r="A121" s="82" t="s">
        <v>231</v>
      </c>
      <c r="B121" s="57">
        <f t="shared" si="32"/>
        <v>724</v>
      </c>
      <c r="C121" s="57">
        <v>351</v>
      </c>
      <c r="D121" s="57">
        <v>373</v>
      </c>
      <c r="E121" s="57">
        <v>128</v>
      </c>
      <c r="F121" s="74">
        <v>5.65625</v>
      </c>
      <c r="G121" s="57">
        <f t="shared" si="36"/>
        <v>740</v>
      </c>
      <c r="H121" s="104">
        <v>341</v>
      </c>
      <c r="I121" s="104">
        <v>399</v>
      </c>
      <c r="J121" s="87">
        <f t="shared" si="33"/>
        <v>0.36310288725081424</v>
      </c>
      <c r="K121" s="57">
        <f t="shared" si="34"/>
        <v>744</v>
      </c>
      <c r="L121" s="57">
        <v>383</v>
      </c>
      <c r="M121" s="57">
        <v>361</v>
      </c>
      <c r="N121" s="57"/>
      <c r="O121" s="88">
        <f t="shared" si="21"/>
        <v>6.3421748645604389E-2</v>
      </c>
      <c r="P121" s="58">
        <f t="shared" si="35"/>
        <v>1153</v>
      </c>
      <c r="Q121" s="59">
        <v>564</v>
      </c>
      <c r="R121" s="59">
        <v>589</v>
      </c>
      <c r="S121" s="59"/>
      <c r="T121" s="60" t="s">
        <v>232</v>
      </c>
      <c r="U121" s="101"/>
      <c r="V121" s="78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</row>
    <row r="122" spans="1:83" s="18" customFormat="1" ht="15">
      <c r="A122" s="82" t="s">
        <v>233</v>
      </c>
      <c r="B122" s="57">
        <f t="shared" si="32"/>
        <v>349</v>
      </c>
      <c r="C122" s="57">
        <v>175</v>
      </c>
      <c r="D122" s="57">
        <v>174</v>
      </c>
      <c r="E122" s="57">
        <v>67</v>
      </c>
      <c r="F122" s="74">
        <v>5.2089552238805972</v>
      </c>
      <c r="G122" s="57">
        <f t="shared" si="36"/>
        <v>392</v>
      </c>
      <c r="H122" s="104">
        <v>184</v>
      </c>
      <c r="I122" s="104">
        <v>208</v>
      </c>
      <c r="J122" s="87">
        <f t="shared" si="33"/>
        <v>1.9300650762132121</v>
      </c>
      <c r="K122" s="57">
        <f t="shared" si="34"/>
        <v>460</v>
      </c>
      <c r="L122" s="57">
        <v>201</v>
      </c>
      <c r="M122" s="57">
        <v>259</v>
      </c>
      <c r="N122" s="57"/>
      <c r="O122" s="88">
        <f t="shared" si="21"/>
        <v>1.881937055207979</v>
      </c>
      <c r="P122" s="58">
        <f t="shared" si="35"/>
        <v>728</v>
      </c>
      <c r="Q122" s="59">
        <v>357</v>
      </c>
      <c r="R122" s="59">
        <v>371</v>
      </c>
      <c r="S122" s="59"/>
      <c r="T122" s="60" t="s">
        <v>234</v>
      </c>
      <c r="U122" s="101"/>
      <c r="V122" s="78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</row>
    <row r="123" spans="1:83" s="18" customFormat="1" ht="15">
      <c r="A123" s="82" t="s">
        <v>235</v>
      </c>
      <c r="B123" s="57">
        <f t="shared" si="32"/>
        <v>2401</v>
      </c>
      <c r="C123" s="57">
        <v>1198</v>
      </c>
      <c r="D123" s="57">
        <v>1203</v>
      </c>
      <c r="E123" s="57">
        <v>345</v>
      </c>
      <c r="F123" s="74">
        <v>6.9594202898550721</v>
      </c>
      <c r="G123" s="57">
        <f t="shared" si="36"/>
        <v>2409</v>
      </c>
      <c r="H123" s="104">
        <v>1160</v>
      </c>
      <c r="I123" s="104">
        <v>1249</v>
      </c>
      <c r="J123" s="87">
        <f t="shared" si="33"/>
        <v>5.5255920159768025E-2</v>
      </c>
      <c r="K123" s="57">
        <f t="shared" si="34"/>
        <v>2554</v>
      </c>
      <c r="L123" s="57">
        <v>1210</v>
      </c>
      <c r="M123" s="57">
        <v>1344</v>
      </c>
      <c r="N123" s="57"/>
      <c r="O123" s="88">
        <f t="shared" si="21"/>
        <v>0.68763569385427437</v>
      </c>
      <c r="P123" s="58">
        <f t="shared" si="35"/>
        <v>3354</v>
      </c>
      <c r="Q123" s="59">
        <v>1747</v>
      </c>
      <c r="R123" s="59">
        <v>1607</v>
      </c>
      <c r="S123" s="59"/>
      <c r="T123" s="60" t="s">
        <v>236</v>
      </c>
      <c r="U123" s="101"/>
      <c r="V123" s="78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</row>
    <row r="124" spans="1:83" s="18" customFormat="1" ht="15">
      <c r="A124" s="82" t="s">
        <v>237</v>
      </c>
      <c r="B124" s="57">
        <f t="shared" si="32"/>
        <v>1941</v>
      </c>
      <c r="C124" s="57">
        <v>986</v>
      </c>
      <c r="D124" s="57">
        <v>955</v>
      </c>
      <c r="E124" s="57">
        <v>284</v>
      </c>
      <c r="F124" s="74">
        <v>6.834507042253521</v>
      </c>
      <c r="G124" s="57">
        <f t="shared" si="36"/>
        <v>1759</v>
      </c>
      <c r="H124" s="104">
        <v>860</v>
      </c>
      <c r="I124" s="104">
        <v>899</v>
      </c>
      <c r="J124" s="87">
        <f t="shared" si="33"/>
        <v>-1.6355122663031911</v>
      </c>
      <c r="K124" s="57">
        <f t="shared" si="34"/>
        <v>1412</v>
      </c>
      <c r="L124" s="57">
        <v>693</v>
      </c>
      <c r="M124" s="57">
        <v>719</v>
      </c>
      <c r="N124" s="57"/>
      <c r="O124" s="88">
        <f t="shared" si="21"/>
        <v>-2.5851567845220091</v>
      </c>
      <c r="P124" s="58">
        <f t="shared" si="35"/>
        <v>2981</v>
      </c>
      <c r="Q124" s="59">
        <v>1546</v>
      </c>
      <c r="R124" s="59">
        <v>1435</v>
      </c>
      <c r="S124" s="59"/>
      <c r="T124" s="60" t="s">
        <v>238</v>
      </c>
      <c r="U124" s="101"/>
      <c r="V124" s="78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</row>
    <row r="125" spans="1:83" s="18" customFormat="1" ht="15">
      <c r="A125" s="82" t="s">
        <v>239</v>
      </c>
      <c r="B125" s="57">
        <f t="shared" si="32"/>
        <v>916</v>
      </c>
      <c r="C125" s="57">
        <v>455</v>
      </c>
      <c r="D125" s="57">
        <v>461</v>
      </c>
      <c r="E125" s="57">
        <v>161</v>
      </c>
      <c r="F125" s="74">
        <v>5.6894409937888195</v>
      </c>
      <c r="G125" s="57">
        <f t="shared" si="36"/>
        <v>758</v>
      </c>
      <c r="H125" s="104">
        <v>369</v>
      </c>
      <c r="I125" s="104">
        <v>389</v>
      </c>
      <c r="J125" s="87">
        <f t="shared" si="33"/>
        <v>-3.1450660968730668</v>
      </c>
      <c r="K125" s="57">
        <f t="shared" si="34"/>
        <v>670</v>
      </c>
      <c r="L125" s="57">
        <v>293</v>
      </c>
      <c r="M125" s="57">
        <v>377</v>
      </c>
      <c r="N125" s="57"/>
      <c r="O125" s="88">
        <f t="shared" si="21"/>
        <v>-1.4518314500865868</v>
      </c>
      <c r="P125" s="58">
        <f t="shared" si="35"/>
        <v>1387</v>
      </c>
      <c r="Q125" s="59">
        <v>722</v>
      </c>
      <c r="R125" s="59">
        <v>665</v>
      </c>
      <c r="S125" s="59"/>
      <c r="T125" s="60" t="s">
        <v>240</v>
      </c>
      <c r="U125" s="101"/>
      <c r="V125" s="78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</row>
    <row r="126" spans="1:83" s="18" customFormat="1" ht="15">
      <c r="A126" s="82" t="s">
        <v>241</v>
      </c>
      <c r="B126" s="57">
        <f t="shared" si="32"/>
        <v>228</v>
      </c>
      <c r="C126" s="57">
        <v>123</v>
      </c>
      <c r="D126" s="57">
        <v>105</v>
      </c>
      <c r="E126" s="57">
        <v>44</v>
      </c>
      <c r="F126" s="74">
        <v>5.1818181818181817</v>
      </c>
      <c r="G126" s="57">
        <f t="shared" si="36"/>
        <v>194</v>
      </c>
      <c r="H126" s="104">
        <v>100</v>
      </c>
      <c r="I126" s="104">
        <v>94</v>
      </c>
      <c r="J126" s="87">
        <f t="shared" si="33"/>
        <v>-2.6825161111480509</v>
      </c>
      <c r="K126" s="57">
        <f t="shared" si="34"/>
        <v>175</v>
      </c>
      <c r="L126" s="57">
        <v>91</v>
      </c>
      <c r="M126" s="57">
        <v>84</v>
      </c>
      <c r="N126" s="57"/>
      <c r="O126" s="88">
        <f t="shared" si="21"/>
        <v>-1.2126139428213418</v>
      </c>
      <c r="P126" s="58">
        <f t="shared" si="35"/>
        <v>370</v>
      </c>
      <c r="Q126" s="59">
        <v>190</v>
      </c>
      <c r="R126" s="59">
        <v>180</v>
      </c>
      <c r="S126" s="59"/>
      <c r="T126" s="60" t="s">
        <v>242</v>
      </c>
      <c r="U126" s="101"/>
      <c r="V126" s="78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</row>
    <row r="127" spans="1:83" s="18" customFormat="1" ht="15">
      <c r="A127" s="82" t="s">
        <v>243</v>
      </c>
      <c r="B127" s="57">
        <f t="shared" si="32"/>
        <v>149</v>
      </c>
      <c r="C127" s="57">
        <v>79</v>
      </c>
      <c r="D127" s="57">
        <v>70</v>
      </c>
      <c r="E127" s="57">
        <v>30</v>
      </c>
      <c r="F127" s="74">
        <v>4.9666666666666668</v>
      </c>
      <c r="G127" s="57">
        <f t="shared" si="36"/>
        <v>114</v>
      </c>
      <c r="H127" s="104">
        <v>62</v>
      </c>
      <c r="I127" s="104">
        <v>52</v>
      </c>
      <c r="J127" s="87">
        <f t="shared" si="33"/>
        <v>-4.4476388297502281</v>
      </c>
      <c r="K127" s="57">
        <f t="shared" si="34"/>
        <v>99</v>
      </c>
      <c r="L127" s="57">
        <v>48</v>
      </c>
      <c r="M127" s="57">
        <v>51</v>
      </c>
      <c r="N127" s="57"/>
      <c r="O127" s="88">
        <f t="shared" si="21"/>
        <v>-1.6597482148224176</v>
      </c>
      <c r="P127" s="58">
        <f t="shared" si="35"/>
        <v>299</v>
      </c>
      <c r="Q127" s="59">
        <v>158</v>
      </c>
      <c r="R127" s="59">
        <v>141</v>
      </c>
      <c r="S127" s="59"/>
      <c r="T127" s="60" t="s">
        <v>244</v>
      </c>
      <c r="U127" s="101"/>
      <c r="V127" s="78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</row>
    <row r="128" spans="1:83" s="18" customFormat="1" ht="15">
      <c r="A128" s="82" t="s">
        <v>129</v>
      </c>
      <c r="B128" s="57">
        <f t="shared" si="32"/>
        <v>461</v>
      </c>
      <c r="C128" s="57">
        <v>213</v>
      </c>
      <c r="D128" s="57">
        <v>248</v>
      </c>
      <c r="E128" s="57">
        <v>69</v>
      </c>
      <c r="F128" s="74">
        <v>6.6811594202898554</v>
      </c>
      <c r="G128" s="57">
        <f t="shared" si="36"/>
        <v>503</v>
      </c>
      <c r="H128" s="104">
        <v>255</v>
      </c>
      <c r="I128" s="104">
        <v>248</v>
      </c>
      <c r="J128" s="87">
        <f t="shared" si="33"/>
        <v>1.4483742043702763</v>
      </c>
      <c r="K128" s="57">
        <f t="shared" si="34"/>
        <v>507</v>
      </c>
      <c r="L128" s="57">
        <v>240</v>
      </c>
      <c r="M128" s="57">
        <v>267</v>
      </c>
      <c r="N128" s="57"/>
      <c r="O128" s="88">
        <f t="shared" si="21"/>
        <v>9.3186276369930099E-2</v>
      </c>
      <c r="P128" s="58">
        <f t="shared" si="35"/>
        <v>806</v>
      </c>
      <c r="Q128" s="59">
        <v>417</v>
      </c>
      <c r="R128" s="59">
        <v>389</v>
      </c>
      <c r="S128" s="59"/>
      <c r="T128" s="60" t="s">
        <v>130</v>
      </c>
      <c r="U128" s="101"/>
      <c r="V128" s="78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</row>
    <row r="129" spans="1:83" s="18" customFormat="1" ht="15">
      <c r="A129" s="82"/>
      <c r="B129" s="57"/>
      <c r="C129" s="57"/>
      <c r="D129" s="57"/>
      <c r="E129" s="57"/>
      <c r="F129" s="74"/>
      <c r="G129" s="57"/>
      <c r="H129" s="57"/>
      <c r="I129" s="57"/>
      <c r="J129" s="103"/>
      <c r="K129" s="57"/>
      <c r="L129" s="57"/>
      <c r="M129" s="57"/>
      <c r="N129" s="57"/>
      <c r="O129" s="88"/>
      <c r="P129" s="58"/>
      <c r="Q129" s="59"/>
      <c r="R129" s="59"/>
      <c r="S129" s="59"/>
      <c r="T129" s="60"/>
      <c r="U129" s="101"/>
      <c r="V129" s="78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</row>
    <row r="130" spans="1:83" s="49" customFormat="1" ht="15">
      <c r="A130" s="85" t="s">
        <v>245</v>
      </c>
      <c r="B130" s="45">
        <f t="shared" ref="B130:B135" si="37">SUM(C130:D130)</f>
        <v>8629</v>
      </c>
      <c r="C130" s="45">
        <f>SUM(C131:C135)</f>
        <v>4178</v>
      </c>
      <c r="D130" s="45">
        <f>SUM(D131:D135)</f>
        <v>4451</v>
      </c>
      <c r="E130" s="45">
        <f>SUM(E131:E135)</f>
        <v>1390</v>
      </c>
      <c r="F130" s="44">
        <v>6.7227793696275073</v>
      </c>
      <c r="G130" s="45">
        <f t="shared" ref="G130:G135" si="38">SUM(H130:I130)</f>
        <v>8346</v>
      </c>
      <c r="H130" s="45">
        <f>SUM(H131:H135)</f>
        <v>3973</v>
      </c>
      <c r="I130" s="45">
        <f>SUM(I131:I135)</f>
        <v>4373</v>
      </c>
      <c r="J130" s="50">
        <f t="shared" ref="J130:J135" si="39">LN(G130/B130)/6.02*100</f>
        <v>-0.55392427503006036</v>
      </c>
      <c r="K130" s="45">
        <f>SUM(L130:M130)</f>
        <v>7996</v>
      </c>
      <c r="L130" s="45">
        <f>SUM(L131:L135)</f>
        <v>3706</v>
      </c>
      <c r="M130" s="45">
        <f>SUM(M131:M135)</f>
        <v>4290</v>
      </c>
      <c r="N130" s="45"/>
      <c r="O130" s="46">
        <f t="shared" si="21"/>
        <v>-0.50401135919067375</v>
      </c>
      <c r="P130" s="47">
        <f>SUM(Q130:R130)</f>
        <v>13238</v>
      </c>
      <c r="Q130" s="53">
        <f>SUM(Q131:Q135)</f>
        <v>6783</v>
      </c>
      <c r="R130" s="53">
        <f>SUM(R131:R135)</f>
        <v>6455</v>
      </c>
      <c r="S130" s="53"/>
      <c r="T130" s="26" t="s">
        <v>246</v>
      </c>
      <c r="U130" s="99"/>
      <c r="V130" s="26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  <c r="BW130" s="48"/>
      <c r="BX130" s="48"/>
      <c r="BY130" s="48"/>
      <c r="BZ130" s="48"/>
      <c r="CA130" s="48"/>
      <c r="CB130" s="48"/>
      <c r="CC130" s="48"/>
      <c r="CD130" s="48"/>
      <c r="CE130" s="48"/>
    </row>
    <row r="131" spans="1:83" s="18" customFormat="1" ht="15">
      <c r="A131" s="82" t="s">
        <v>247</v>
      </c>
      <c r="B131" s="57">
        <f t="shared" si="37"/>
        <v>3212</v>
      </c>
      <c r="C131" s="57">
        <v>1461</v>
      </c>
      <c r="D131" s="57">
        <v>1751</v>
      </c>
      <c r="E131" s="57">
        <v>456</v>
      </c>
      <c r="F131" s="74">
        <v>7.0438596491228074</v>
      </c>
      <c r="G131" s="57">
        <f t="shared" si="38"/>
        <v>3017</v>
      </c>
      <c r="H131" s="57">
        <v>1358</v>
      </c>
      <c r="I131" s="57">
        <v>1659</v>
      </c>
      <c r="J131" s="87">
        <f t="shared" si="39"/>
        <v>-1.0403793340131433</v>
      </c>
      <c r="K131" s="57">
        <f>SUM(L131:M131)</f>
        <v>2449</v>
      </c>
      <c r="L131" s="57">
        <v>1050</v>
      </c>
      <c r="M131" s="57">
        <v>1399</v>
      </c>
      <c r="N131" s="57"/>
      <c r="O131" s="88">
        <f t="shared" si="21"/>
        <v>-2.4539197906693331</v>
      </c>
      <c r="P131" s="58">
        <f>SUM(Q131:R131)</f>
        <v>4901</v>
      </c>
      <c r="Q131" s="59">
        <v>2502</v>
      </c>
      <c r="R131" s="59">
        <v>2399</v>
      </c>
      <c r="S131" s="59"/>
      <c r="T131" s="60" t="s">
        <v>248</v>
      </c>
      <c r="U131" s="101"/>
      <c r="V131" s="78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</row>
    <row r="132" spans="1:83" s="18" customFormat="1" ht="15">
      <c r="A132" s="82" t="s">
        <v>249</v>
      </c>
      <c r="B132" s="57">
        <f t="shared" si="37"/>
        <v>3707</v>
      </c>
      <c r="C132" s="57">
        <v>1878</v>
      </c>
      <c r="D132" s="57">
        <v>1829</v>
      </c>
      <c r="E132" s="57">
        <v>597</v>
      </c>
      <c r="F132" s="74">
        <v>6.2093802345058631</v>
      </c>
      <c r="G132" s="57">
        <f t="shared" si="38"/>
        <v>3687</v>
      </c>
      <c r="H132" s="57">
        <v>1847</v>
      </c>
      <c r="I132" s="57">
        <v>1840</v>
      </c>
      <c r="J132" s="87">
        <f t="shared" si="39"/>
        <v>-8.9863869046307651E-2</v>
      </c>
      <c r="K132" s="57">
        <f>SUM(L132:M132)</f>
        <v>3868</v>
      </c>
      <c r="L132" s="57">
        <v>1880</v>
      </c>
      <c r="M132" s="57">
        <v>1988</v>
      </c>
      <c r="N132" s="57"/>
      <c r="O132" s="88">
        <f t="shared" si="21"/>
        <v>0.56381715692988654</v>
      </c>
      <c r="P132" s="58">
        <f>SUM(Q132:R132)</f>
        <v>5542</v>
      </c>
      <c r="Q132" s="59">
        <v>2851</v>
      </c>
      <c r="R132" s="59">
        <v>2691</v>
      </c>
      <c r="S132" s="59"/>
      <c r="T132" s="60" t="s">
        <v>250</v>
      </c>
      <c r="U132" s="101"/>
      <c r="V132" s="78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</row>
    <row r="133" spans="1:83" s="18" customFormat="1" ht="15">
      <c r="A133" s="82" t="s">
        <v>251</v>
      </c>
      <c r="B133" s="57">
        <f t="shared" si="37"/>
        <v>1202</v>
      </c>
      <c r="C133" s="57">
        <v>571</v>
      </c>
      <c r="D133" s="57">
        <v>631</v>
      </c>
      <c r="E133" s="57">
        <v>229</v>
      </c>
      <c r="F133" s="74">
        <v>5.248908296943231</v>
      </c>
      <c r="G133" s="57">
        <f t="shared" si="38"/>
        <v>1218</v>
      </c>
      <c r="H133" s="57">
        <v>570</v>
      </c>
      <c r="I133" s="57">
        <v>648</v>
      </c>
      <c r="J133" s="87">
        <f t="shared" si="39"/>
        <v>0.21965669725397732</v>
      </c>
      <c r="K133" s="57">
        <f>SUM(L133:M133)</f>
        <v>1179</v>
      </c>
      <c r="L133" s="57">
        <v>563</v>
      </c>
      <c r="M133" s="57">
        <v>616</v>
      </c>
      <c r="N133" s="57"/>
      <c r="O133" s="88">
        <f t="shared" si="21"/>
        <v>-0.38286526744084026</v>
      </c>
      <c r="P133" s="58">
        <f>SUM(Q133:R133)</f>
        <v>2040</v>
      </c>
      <c r="Q133" s="59">
        <v>1062</v>
      </c>
      <c r="R133" s="59">
        <v>978</v>
      </c>
      <c r="S133" s="59"/>
      <c r="T133" s="60" t="s">
        <v>252</v>
      </c>
      <c r="U133" s="101"/>
      <c r="V133" s="78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</row>
    <row r="134" spans="1:83" s="18" customFormat="1" ht="15">
      <c r="A134" s="82" t="s">
        <v>253</v>
      </c>
      <c r="B134" s="57">
        <f t="shared" si="37"/>
        <v>400</v>
      </c>
      <c r="C134" s="57">
        <v>206</v>
      </c>
      <c r="D134" s="57">
        <v>194</v>
      </c>
      <c r="E134" s="57">
        <v>73</v>
      </c>
      <c r="F134" s="74">
        <v>5.4794520547945202</v>
      </c>
      <c r="G134" s="57">
        <f t="shared" si="38"/>
        <v>294</v>
      </c>
      <c r="H134" s="57">
        <v>124</v>
      </c>
      <c r="I134" s="57">
        <v>170</v>
      </c>
      <c r="J134" s="87">
        <f t="shared" si="39"/>
        <v>-5.1143651124468512</v>
      </c>
      <c r="K134" s="57">
        <f>SUM(L134:M134)</f>
        <v>500</v>
      </c>
      <c r="L134" s="57">
        <v>213</v>
      </c>
      <c r="M134" s="57">
        <v>287</v>
      </c>
      <c r="N134" s="57"/>
      <c r="O134" s="88">
        <f t="shared" si="21"/>
        <v>6.2473921303942364</v>
      </c>
      <c r="P134" s="58">
        <f>SUM(Q134:R134)</f>
        <v>755</v>
      </c>
      <c r="Q134" s="59">
        <v>368</v>
      </c>
      <c r="R134" s="59">
        <v>387</v>
      </c>
      <c r="S134" s="59"/>
      <c r="T134" s="60" t="s">
        <v>254</v>
      </c>
      <c r="U134" s="101"/>
      <c r="V134" s="78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</row>
    <row r="135" spans="1:83" s="18" customFormat="1" ht="15" hidden="1">
      <c r="A135" s="82" t="s">
        <v>255</v>
      </c>
      <c r="B135" s="57">
        <f t="shared" si="37"/>
        <v>108</v>
      </c>
      <c r="C135" s="57">
        <v>62</v>
      </c>
      <c r="D135" s="57">
        <v>46</v>
      </c>
      <c r="E135" s="57">
        <v>35</v>
      </c>
      <c r="F135" s="74">
        <v>3.0857142857142859</v>
      </c>
      <c r="G135" s="57">
        <f t="shared" si="38"/>
        <v>130</v>
      </c>
      <c r="H135" s="57">
        <v>74</v>
      </c>
      <c r="I135" s="57">
        <v>56</v>
      </c>
      <c r="J135" s="87">
        <f t="shared" si="39"/>
        <v>3.0797877629794477</v>
      </c>
      <c r="K135" s="57" t="s">
        <v>44</v>
      </c>
      <c r="L135" s="57" t="s">
        <v>44</v>
      </c>
      <c r="M135" s="57" t="s">
        <v>44</v>
      </c>
      <c r="N135" s="57"/>
      <c r="O135" s="74" t="s">
        <v>44</v>
      </c>
      <c r="P135" s="58" t="s">
        <v>44</v>
      </c>
      <c r="Q135" s="57" t="s">
        <v>44</v>
      </c>
      <c r="R135" s="57" t="s">
        <v>44</v>
      </c>
      <c r="S135" s="57"/>
      <c r="T135" s="60" t="s">
        <v>256</v>
      </c>
      <c r="U135" s="101"/>
      <c r="V135" s="78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</row>
    <row r="136" spans="1:83" s="18" customFormat="1" ht="17.25">
      <c r="A136" s="22"/>
      <c r="B136" s="57"/>
      <c r="C136" s="57"/>
      <c r="D136" s="57"/>
      <c r="E136" s="57"/>
      <c r="F136" s="74"/>
      <c r="G136" s="57"/>
      <c r="H136" s="57"/>
      <c r="I136" s="57"/>
      <c r="J136" s="103"/>
      <c r="K136" s="57"/>
      <c r="L136" s="57"/>
      <c r="M136" s="57"/>
      <c r="N136" s="57"/>
      <c r="O136" s="88"/>
      <c r="P136" s="58"/>
      <c r="Q136" s="106"/>
      <c r="R136" s="106"/>
      <c r="S136" s="106"/>
      <c r="T136" s="80"/>
      <c r="U136" s="99"/>
      <c r="V136" s="80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</row>
    <row r="137" spans="1:83" s="49" customFormat="1" ht="15">
      <c r="A137" s="85" t="s">
        <v>257</v>
      </c>
      <c r="B137" s="45">
        <f t="shared" ref="B137:B146" si="40">SUM(C137:D137)</f>
        <v>9438</v>
      </c>
      <c r="C137" s="45">
        <f>SUM(C138:C146)</f>
        <v>5355</v>
      </c>
      <c r="D137" s="45">
        <f>SUM(D138:D146)</f>
        <v>4083</v>
      </c>
      <c r="E137" s="45">
        <f>SUM(E138:E146)</f>
        <v>1348</v>
      </c>
      <c r="F137" s="44">
        <v>9.5832147937411101</v>
      </c>
      <c r="G137" s="45">
        <f>SUM(H137:I137)</f>
        <v>10149</v>
      </c>
      <c r="H137" s="45">
        <f>SUM(H138:H146)</f>
        <v>5715</v>
      </c>
      <c r="I137" s="45">
        <f>SUM(I138:I146)</f>
        <v>4434</v>
      </c>
      <c r="J137" s="50">
        <f t="shared" ref="J137:J146" si="41">LN(G137/B137)/6.02*100</f>
        <v>1.2064964312705213</v>
      </c>
      <c r="K137" s="45">
        <f t="shared" ref="K137:K146" si="42">SUM(L137:M137)</f>
        <v>12232</v>
      </c>
      <c r="L137" s="45">
        <f>SUM(L138:L146)</f>
        <v>6812</v>
      </c>
      <c r="M137" s="45">
        <f>SUM(M138:M146)</f>
        <v>5420</v>
      </c>
      <c r="N137" s="45"/>
      <c r="O137" s="46">
        <f t="shared" si="21"/>
        <v>2.196238707765648</v>
      </c>
      <c r="P137" s="47">
        <f t="shared" ref="P137:P145" si="43">SUM(Q137:R137)</f>
        <v>12036</v>
      </c>
      <c r="Q137" s="53">
        <f>SUM(Q138:Q146)</f>
        <v>6209</v>
      </c>
      <c r="R137" s="53">
        <f>SUM(R138:R146)</f>
        <v>5827</v>
      </c>
      <c r="S137" s="53"/>
      <c r="T137" s="26" t="s">
        <v>258</v>
      </c>
      <c r="U137" s="99"/>
      <c r="V137" s="26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  <c r="AX137" s="48"/>
      <c r="AY137" s="48"/>
      <c r="AZ137" s="48"/>
      <c r="BA137" s="48"/>
      <c r="BB137" s="48"/>
      <c r="BC137" s="48"/>
      <c r="BD137" s="48"/>
      <c r="BE137" s="48"/>
      <c r="BF137" s="48"/>
      <c r="BG137" s="48"/>
      <c r="BH137" s="48"/>
      <c r="BI137" s="48"/>
      <c r="BJ137" s="48"/>
      <c r="BK137" s="48"/>
      <c r="BL137" s="48"/>
      <c r="BM137" s="48"/>
      <c r="BN137" s="48"/>
      <c r="BO137" s="48"/>
      <c r="BP137" s="48"/>
      <c r="BQ137" s="48"/>
      <c r="BR137" s="48"/>
      <c r="BS137" s="48"/>
      <c r="BT137" s="48"/>
      <c r="BU137" s="48"/>
      <c r="BV137" s="48"/>
      <c r="BW137" s="48"/>
      <c r="BX137" s="48"/>
      <c r="BY137" s="48"/>
      <c r="BZ137" s="48"/>
      <c r="CA137" s="48"/>
      <c r="CB137" s="48"/>
      <c r="CC137" s="48"/>
      <c r="CD137" s="48"/>
      <c r="CE137" s="48"/>
    </row>
    <row r="138" spans="1:83" s="18" customFormat="1" ht="15">
      <c r="A138" s="82" t="s">
        <v>259</v>
      </c>
      <c r="B138" s="57">
        <f t="shared" si="40"/>
        <v>1572</v>
      </c>
      <c r="C138" s="57">
        <v>764</v>
      </c>
      <c r="D138" s="57">
        <v>808</v>
      </c>
      <c r="E138" s="57">
        <v>261</v>
      </c>
      <c r="F138" s="74">
        <v>6.0229885057471266</v>
      </c>
      <c r="G138" s="57">
        <f>SUM(H138:I138)</f>
        <v>1696</v>
      </c>
      <c r="H138" s="57">
        <v>818</v>
      </c>
      <c r="I138" s="57">
        <v>878</v>
      </c>
      <c r="J138" s="87">
        <f t="shared" si="41"/>
        <v>1.2611934113404755</v>
      </c>
      <c r="K138" s="57">
        <f t="shared" si="42"/>
        <v>1728</v>
      </c>
      <c r="L138" s="57">
        <v>826</v>
      </c>
      <c r="M138" s="57">
        <v>902</v>
      </c>
      <c r="N138" s="57"/>
      <c r="O138" s="88">
        <f t="shared" si="21"/>
        <v>0.21990744720179464</v>
      </c>
      <c r="P138" s="58">
        <f t="shared" si="43"/>
        <v>2478</v>
      </c>
      <c r="Q138" s="59">
        <v>1300</v>
      </c>
      <c r="R138" s="59">
        <v>1178</v>
      </c>
      <c r="S138" s="59"/>
      <c r="T138" s="60" t="s">
        <v>260</v>
      </c>
      <c r="U138" s="101"/>
      <c r="V138" s="78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</row>
    <row r="139" spans="1:83" s="18" customFormat="1" ht="15">
      <c r="A139" s="82" t="s">
        <v>261</v>
      </c>
      <c r="B139" s="57">
        <f t="shared" si="40"/>
        <v>849</v>
      </c>
      <c r="C139" s="57">
        <v>455</v>
      </c>
      <c r="D139" s="57">
        <v>394</v>
      </c>
      <c r="E139" s="57">
        <v>136</v>
      </c>
      <c r="F139" s="74">
        <v>6.242647058823529</v>
      </c>
      <c r="G139" s="57">
        <f t="shared" ref="G139:G146" si="44">SUM(H139:I139)</f>
        <v>800</v>
      </c>
      <c r="H139" s="57">
        <v>401</v>
      </c>
      <c r="I139" s="57">
        <v>399</v>
      </c>
      <c r="J139" s="87">
        <f t="shared" si="41"/>
        <v>-0.98749931301362115</v>
      </c>
      <c r="K139" s="57">
        <f t="shared" si="42"/>
        <v>1013</v>
      </c>
      <c r="L139" s="57">
        <v>521</v>
      </c>
      <c r="M139" s="57">
        <v>492</v>
      </c>
      <c r="N139" s="57"/>
      <c r="O139" s="88">
        <f t="shared" si="21"/>
        <v>2.7771738421265431</v>
      </c>
      <c r="P139" s="58">
        <f t="shared" si="43"/>
        <v>1478</v>
      </c>
      <c r="Q139" s="59">
        <v>755</v>
      </c>
      <c r="R139" s="59">
        <v>723</v>
      </c>
      <c r="S139" s="59"/>
      <c r="T139" s="60" t="s">
        <v>262</v>
      </c>
      <c r="U139" s="101"/>
      <c r="V139" s="78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</row>
    <row r="140" spans="1:83" s="18" customFormat="1" ht="15">
      <c r="A140" s="82" t="s">
        <v>263</v>
      </c>
      <c r="B140" s="57">
        <f t="shared" si="40"/>
        <v>893</v>
      </c>
      <c r="C140" s="57">
        <v>450</v>
      </c>
      <c r="D140" s="57">
        <v>443</v>
      </c>
      <c r="E140" s="57">
        <v>135</v>
      </c>
      <c r="F140" s="74">
        <v>6.6148148148148147</v>
      </c>
      <c r="G140" s="57">
        <f t="shared" si="44"/>
        <v>767</v>
      </c>
      <c r="H140" s="57">
        <v>383</v>
      </c>
      <c r="I140" s="57">
        <v>384</v>
      </c>
      <c r="J140" s="87">
        <f t="shared" si="41"/>
        <v>-2.5265744104525387</v>
      </c>
      <c r="K140" s="57">
        <f t="shared" si="42"/>
        <v>967</v>
      </c>
      <c r="L140" s="57">
        <v>467</v>
      </c>
      <c r="M140" s="57">
        <v>500</v>
      </c>
      <c r="N140" s="57"/>
      <c r="O140" s="88">
        <f t="shared" si="21"/>
        <v>2.7260199304239774</v>
      </c>
      <c r="P140" s="58">
        <f t="shared" si="43"/>
        <v>1329</v>
      </c>
      <c r="Q140" s="59">
        <v>669</v>
      </c>
      <c r="R140" s="59">
        <v>660</v>
      </c>
      <c r="S140" s="59"/>
      <c r="T140" s="60" t="s">
        <v>264</v>
      </c>
      <c r="U140" s="101"/>
      <c r="V140" s="78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</row>
    <row r="141" spans="1:83" s="18" customFormat="1" ht="15">
      <c r="A141" s="82" t="s">
        <v>265</v>
      </c>
      <c r="B141" s="57">
        <f t="shared" si="40"/>
        <v>837</v>
      </c>
      <c r="C141" s="57">
        <v>452</v>
      </c>
      <c r="D141" s="57">
        <v>385</v>
      </c>
      <c r="E141" s="57">
        <v>135</v>
      </c>
      <c r="F141" s="74">
        <v>6.2</v>
      </c>
      <c r="G141" s="57">
        <f t="shared" si="44"/>
        <v>1148</v>
      </c>
      <c r="H141" s="57">
        <v>594</v>
      </c>
      <c r="I141" s="57">
        <v>554</v>
      </c>
      <c r="J141" s="87">
        <f t="shared" si="41"/>
        <v>5.24838050481788</v>
      </c>
      <c r="K141" s="57">
        <f t="shared" si="42"/>
        <v>1133</v>
      </c>
      <c r="L141" s="57">
        <v>554</v>
      </c>
      <c r="M141" s="57">
        <v>579</v>
      </c>
      <c r="N141" s="57"/>
      <c r="O141" s="88">
        <f t="shared" si="21"/>
        <v>-0.15473312766476893</v>
      </c>
      <c r="P141" s="58">
        <f t="shared" si="43"/>
        <v>1517</v>
      </c>
      <c r="Q141" s="59">
        <v>793</v>
      </c>
      <c r="R141" s="59">
        <v>724</v>
      </c>
      <c r="S141" s="59"/>
      <c r="T141" s="60" t="s">
        <v>266</v>
      </c>
      <c r="U141" s="101"/>
      <c r="V141" s="78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</row>
    <row r="142" spans="1:83" s="18" customFormat="1" ht="15">
      <c r="A142" s="82" t="s">
        <v>267</v>
      </c>
      <c r="B142" s="57">
        <f t="shared" si="40"/>
        <v>703</v>
      </c>
      <c r="C142" s="57">
        <v>360</v>
      </c>
      <c r="D142" s="57">
        <v>343</v>
      </c>
      <c r="E142" s="57">
        <v>111</v>
      </c>
      <c r="F142" s="74">
        <v>6.333333333333333</v>
      </c>
      <c r="G142" s="57">
        <f t="shared" si="44"/>
        <v>849</v>
      </c>
      <c r="H142" s="57">
        <v>510</v>
      </c>
      <c r="I142" s="57">
        <v>339</v>
      </c>
      <c r="J142" s="87">
        <f t="shared" si="41"/>
        <v>3.134589609645889</v>
      </c>
      <c r="K142" s="57">
        <f t="shared" si="42"/>
        <v>1014</v>
      </c>
      <c r="L142" s="57">
        <v>495</v>
      </c>
      <c r="M142" s="57">
        <v>519</v>
      </c>
      <c r="N142" s="57"/>
      <c r="O142" s="88">
        <f t="shared" si="21"/>
        <v>2.0893999745856613</v>
      </c>
      <c r="P142" s="58">
        <f t="shared" si="43"/>
        <v>1199</v>
      </c>
      <c r="Q142" s="59">
        <v>606</v>
      </c>
      <c r="R142" s="59">
        <v>593</v>
      </c>
      <c r="S142" s="59"/>
      <c r="T142" s="60" t="s">
        <v>268</v>
      </c>
      <c r="U142" s="101"/>
      <c r="V142" s="78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</row>
    <row r="143" spans="1:83" s="18" customFormat="1" ht="15">
      <c r="A143" s="82" t="s">
        <v>269</v>
      </c>
      <c r="B143" s="57">
        <f t="shared" si="40"/>
        <v>878</v>
      </c>
      <c r="C143" s="57">
        <v>525</v>
      </c>
      <c r="D143" s="57">
        <v>353</v>
      </c>
      <c r="E143" s="57">
        <v>120</v>
      </c>
      <c r="F143" s="74">
        <v>7.3166666666666664</v>
      </c>
      <c r="G143" s="57">
        <f t="shared" si="44"/>
        <v>1007</v>
      </c>
      <c r="H143" s="57">
        <v>657</v>
      </c>
      <c r="I143" s="57">
        <v>350</v>
      </c>
      <c r="J143" s="87">
        <f t="shared" si="41"/>
        <v>2.2771478253064066</v>
      </c>
      <c r="K143" s="57">
        <f t="shared" si="42"/>
        <v>1334</v>
      </c>
      <c r="L143" s="57">
        <v>865</v>
      </c>
      <c r="M143" s="57">
        <v>469</v>
      </c>
      <c r="N143" s="57"/>
      <c r="O143" s="88">
        <f t="shared" si="21"/>
        <v>3.3083098089059613</v>
      </c>
      <c r="P143" s="58">
        <f t="shared" si="43"/>
        <v>1138</v>
      </c>
      <c r="Q143" s="59">
        <v>597</v>
      </c>
      <c r="R143" s="59">
        <v>541</v>
      </c>
      <c r="S143" s="59"/>
      <c r="T143" s="60" t="s">
        <v>270</v>
      </c>
      <c r="U143" s="101"/>
      <c r="V143" s="78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</row>
    <row r="144" spans="1:83" s="18" customFormat="1" ht="15">
      <c r="A144" s="82" t="s">
        <v>271</v>
      </c>
      <c r="B144" s="57">
        <f t="shared" si="40"/>
        <v>623</v>
      </c>
      <c r="C144" s="57">
        <v>357</v>
      </c>
      <c r="D144" s="57">
        <v>266</v>
      </c>
      <c r="E144" s="57">
        <v>94</v>
      </c>
      <c r="F144" s="74">
        <v>6.6276595744680851</v>
      </c>
      <c r="G144" s="57">
        <f t="shared" si="44"/>
        <v>662</v>
      </c>
      <c r="H144" s="57">
        <v>352</v>
      </c>
      <c r="I144" s="57">
        <v>310</v>
      </c>
      <c r="J144" s="87">
        <f t="shared" si="41"/>
        <v>1.0086218795607167</v>
      </c>
      <c r="K144" s="57">
        <f t="shared" si="42"/>
        <v>832</v>
      </c>
      <c r="L144" s="57">
        <v>448</v>
      </c>
      <c r="M144" s="57">
        <v>384</v>
      </c>
      <c r="N144" s="57"/>
      <c r="O144" s="88">
        <f t="shared" si="21"/>
        <v>2.6890221751082395</v>
      </c>
      <c r="P144" s="58">
        <f t="shared" si="43"/>
        <v>948</v>
      </c>
      <c r="Q144" s="59">
        <v>501</v>
      </c>
      <c r="R144" s="59">
        <v>447</v>
      </c>
      <c r="S144" s="59"/>
      <c r="T144" s="60" t="s">
        <v>272</v>
      </c>
      <c r="U144" s="101"/>
      <c r="V144" s="78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</row>
    <row r="145" spans="1:83" s="18" customFormat="1" ht="15">
      <c r="A145" s="82" t="s">
        <v>273</v>
      </c>
      <c r="B145" s="57">
        <f t="shared" si="40"/>
        <v>1858</v>
      </c>
      <c r="C145" s="57">
        <v>1307</v>
      </c>
      <c r="D145" s="57">
        <v>551</v>
      </c>
      <c r="E145" s="57">
        <v>147</v>
      </c>
      <c r="F145" s="74">
        <v>12.639455782312925</v>
      </c>
      <c r="G145" s="57">
        <f t="shared" si="44"/>
        <v>2000</v>
      </c>
      <c r="H145" s="57">
        <v>1326</v>
      </c>
      <c r="I145" s="57">
        <v>674</v>
      </c>
      <c r="J145" s="87">
        <f t="shared" si="41"/>
        <v>1.223364454622899</v>
      </c>
      <c r="K145" s="57">
        <f t="shared" si="42"/>
        <v>2631</v>
      </c>
      <c r="L145" s="57">
        <v>1770</v>
      </c>
      <c r="M145" s="57">
        <v>861</v>
      </c>
      <c r="N145" s="57"/>
      <c r="O145" s="88">
        <f t="shared" si="21"/>
        <v>3.2260802529201218</v>
      </c>
      <c r="P145" s="58">
        <f t="shared" si="43"/>
        <v>1949</v>
      </c>
      <c r="Q145" s="59">
        <v>988</v>
      </c>
      <c r="R145" s="59">
        <v>961</v>
      </c>
      <c r="S145" s="59"/>
      <c r="T145" s="60" t="s">
        <v>274</v>
      </c>
      <c r="U145" s="101"/>
      <c r="V145" s="78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</row>
    <row r="146" spans="1:83" s="18" customFormat="1" ht="15">
      <c r="A146" s="82" t="s">
        <v>275</v>
      </c>
      <c r="B146" s="57">
        <f t="shared" si="40"/>
        <v>1225</v>
      </c>
      <c r="C146" s="57">
        <v>685</v>
      </c>
      <c r="D146" s="57">
        <v>540</v>
      </c>
      <c r="E146" s="57">
        <v>209</v>
      </c>
      <c r="F146" s="74">
        <v>5.8612440191387556</v>
      </c>
      <c r="G146" s="57">
        <f t="shared" si="44"/>
        <v>1220</v>
      </c>
      <c r="H146" s="57">
        <v>674</v>
      </c>
      <c r="I146" s="57">
        <v>546</v>
      </c>
      <c r="J146" s="87">
        <f t="shared" si="41"/>
        <v>-6.7939954344271872E-2</v>
      </c>
      <c r="K146" s="57">
        <f t="shared" si="42"/>
        <v>1580</v>
      </c>
      <c r="L146" s="57">
        <v>866</v>
      </c>
      <c r="M146" s="57">
        <v>714</v>
      </c>
      <c r="N146" s="57"/>
      <c r="O146" s="88">
        <f t="shared" ref="O146:O209" si="45">LN(K146/G146)/8.5*100</f>
        <v>3.0420469211024743</v>
      </c>
      <c r="P146" s="58" t="s">
        <v>44</v>
      </c>
      <c r="Q146" s="57" t="s">
        <v>44</v>
      </c>
      <c r="R146" s="57" t="s">
        <v>44</v>
      </c>
      <c r="S146" s="59"/>
      <c r="T146" s="60" t="s">
        <v>276</v>
      </c>
      <c r="U146" s="101"/>
      <c r="V146" s="78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</row>
    <row r="147" spans="1:83" s="18" customFormat="1" ht="15">
      <c r="A147" s="82"/>
      <c r="B147" s="57"/>
      <c r="C147" s="57"/>
      <c r="D147" s="57"/>
      <c r="E147" s="57"/>
      <c r="F147" s="74"/>
      <c r="G147" s="57"/>
      <c r="H147" s="57"/>
      <c r="I147" s="57"/>
      <c r="J147" s="87"/>
      <c r="K147" s="57"/>
      <c r="L147" s="57"/>
      <c r="M147" s="57"/>
      <c r="N147" s="57"/>
      <c r="O147" s="88"/>
      <c r="P147" s="58"/>
      <c r="Q147" s="106"/>
      <c r="R147" s="106"/>
      <c r="S147" s="106"/>
      <c r="T147" s="78"/>
      <c r="U147" s="101"/>
      <c r="V147" s="78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</row>
    <row r="148" spans="1:83" s="49" customFormat="1" ht="15">
      <c r="A148" s="85" t="s">
        <v>277</v>
      </c>
      <c r="B148" s="45">
        <f t="shared" ref="B148:B156" si="46">SUM(C148:D148)</f>
        <v>4840</v>
      </c>
      <c r="C148" s="45">
        <f>SUM(C149:C156)</f>
        <v>2471</v>
      </c>
      <c r="D148" s="45">
        <f>SUM(D149:D156)</f>
        <v>2369</v>
      </c>
      <c r="E148" s="45">
        <f>SUM(E149:E156)</f>
        <v>768</v>
      </c>
      <c r="F148" s="44">
        <v>7.0834403080872912</v>
      </c>
      <c r="G148" s="45">
        <f>SUM(H148:I148)</f>
        <v>4855</v>
      </c>
      <c r="H148" s="45">
        <f>SUM(H149:H156)</f>
        <v>2412</v>
      </c>
      <c r="I148" s="45">
        <f>SUM(I149:I156)</f>
        <v>2443</v>
      </c>
      <c r="J148" s="50">
        <f t="shared" ref="J148:J156" si="47">LN(G148/B148)/6.02*100</f>
        <v>5.1401677985843885E-2</v>
      </c>
      <c r="K148" s="45">
        <f t="shared" ref="K148:K156" si="48">SUM(L148:M148)</f>
        <v>5915</v>
      </c>
      <c r="L148" s="45">
        <f>SUM(L149:L156)</f>
        <v>2999</v>
      </c>
      <c r="M148" s="45">
        <f>SUM(M149:M156)</f>
        <v>2916</v>
      </c>
      <c r="N148" s="45"/>
      <c r="O148" s="46">
        <f t="shared" si="45"/>
        <v>2.3233223022007286</v>
      </c>
      <c r="P148" s="47">
        <f t="shared" ref="P148:P155" si="49">SUM(Q148:R148)</f>
        <v>7614</v>
      </c>
      <c r="Q148" s="53">
        <f>SUM(Q149:Q156)</f>
        <v>3927</v>
      </c>
      <c r="R148" s="53">
        <f>SUM(R149:R156)</f>
        <v>3687</v>
      </c>
      <c r="S148" s="53"/>
      <c r="T148" s="26" t="s">
        <v>278</v>
      </c>
      <c r="U148" s="99"/>
      <c r="V148" s="26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/>
      <c r="AR148" s="48"/>
      <c r="AS148" s="48"/>
      <c r="AT148" s="48"/>
      <c r="AU148" s="48"/>
      <c r="AV148" s="48"/>
      <c r="AW148" s="48"/>
      <c r="AX148" s="48"/>
      <c r="AY148" s="48"/>
      <c r="AZ148" s="48"/>
      <c r="BA148" s="48"/>
      <c r="BB148" s="48"/>
      <c r="BC148" s="48"/>
      <c r="BD148" s="48"/>
      <c r="BE148" s="48"/>
      <c r="BF148" s="48"/>
      <c r="BG148" s="48"/>
      <c r="BH148" s="48"/>
      <c r="BI148" s="48"/>
      <c r="BJ148" s="48"/>
      <c r="BK148" s="48"/>
      <c r="BL148" s="48"/>
      <c r="BM148" s="48"/>
      <c r="BN148" s="48"/>
      <c r="BO148" s="48"/>
      <c r="BP148" s="48"/>
      <c r="BQ148" s="48"/>
      <c r="BR148" s="48"/>
      <c r="BS148" s="48"/>
      <c r="BT148" s="48"/>
      <c r="BU148" s="48"/>
      <c r="BV148" s="48"/>
      <c r="BW148" s="48"/>
      <c r="BX148" s="48"/>
      <c r="BY148" s="48"/>
      <c r="BZ148" s="48"/>
      <c r="CA148" s="48"/>
      <c r="CB148" s="48"/>
      <c r="CC148" s="48"/>
      <c r="CD148" s="48"/>
      <c r="CE148" s="48"/>
    </row>
    <row r="149" spans="1:83" s="18" customFormat="1" ht="15">
      <c r="A149" s="82" t="s">
        <v>279</v>
      </c>
      <c r="B149" s="57">
        <f t="shared" si="46"/>
        <v>1071</v>
      </c>
      <c r="C149" s="57">
        <v>531</v>
      </c>
      <c r="D149" s="57">
        <v>540</v>
      </c>
      <c r="E149" s="57">
        <v>179</v>
      </c>
      <c r="F149" s="74">
        <v>5.983240223463687</v>
      </c>
      <c r="G149" s="57">
        <f>SUM(H149:I149)</f>
        <v>1199</v>
      </c>
      <c r="H149" s="57">
        <v>593</v>
      </c>
      <c r="I149" s="57">
        <v>606</v>
      </c>
      <c r="J149" s="87">
        <f t="shared" si="47"/>
        <v>1.8753336308931148</v>
      </c>
      <c r="K149" s="57">
        <f t="shared" si="48"/>
        <v>1348</v>
      </c>
      <c r="L149" s="57">
        <v>670</v>
      </c>
      <c r="M149" s="57">
        <v>678</v>
      </c>
      <c r="N149" s="57"/>
      <c r="O149" s="88">
        <f t="shared" si="45"/>
        <v>1.3780486640557426</v>
      </c>
      <c r="P149" s="58">
        <f t="shared" si="49"/>
        <v>2017</v>
      </c>
      <c r="Q149" s="59">
        <v>1042</v>
      </c>
      <c r="R149" s="59">
        <v>975</v>
      </c>
      <c r="S149" s="59"/>
      <c r="T149" s="60" t="s">
        <v>280</v>
      </c>
      <c r="U149" s="101"/>
      <c r="V149" s="78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</row>
    <row r="150" spans="1:83" s="81" customFormat="1" ht="15">
      <c r="A150" s="82" t="s">
        <v>281</v>
      </c>
      <c r="B150" s="57">
        <f t="shared" si="46"/>
        <v>921</v>
      </c>
      <c r="C150" s="57">
        <v>508</v>
      </c>
      <c r="D150" s="57">
        <v>413</v>
      </c>
      <c r="E150" s="57">
        <v>145</v>
      </c>
      <c r="F150" s="74">
        <v>6.3517241379310345</v>
      </c>
      <c r="G150" s="57">
        <f t="shared" ref="G150:G156" si="50">SUM(H150:I150)</f>
        <v>900</v>
      </c>
      <c r="H150" s="57">
        <v>447</v>
      </c>
      <c r="I150" s="57">
        <v>453</v>
      </c>
      <c r="J150" s="87">
        <f t="shared" si="47"/>
        <v>-0.38314406862119776</v>
      </c>
      <c r="K150" s="57">
        <f t="shared" si="48"/>
        <v>949</v>
      </c>
      <c r="L150" s="57">
        <v>482</v>
      </c>
      <c r="M150" s="57">
        <v>467</v>
      </c>
      <c r="N150" s="57"/>
      <c r="O150" s="88">
        <f t="shared" si="45"/>
        <v>0.62369453277196685</v>
      </c>
      <c r="P150" s="58">
        <f t="shared" si="49"/>
        <v>1216</v>
      </c>
      <c r="Q150" s="59">
        <v>644</v>
      </c>
      <c r="R150" s="59">
        <v>572</v>
      </c>
      <c r="S150" s="59"/>
      <c r="T150" s="60" t="s">
        <v>282</v>
      </c>
      <c r="U150" s="101"/>
      <c r="V150" s="78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  <c r="AI150" s="61"/>
      <c r="AJ150" s="61"/>
      <c r="AK150" s="61"/>
      <c r="AL150" s="61"/>
      <c r="AM150" s="61"/>
      <c r="AN150" s="61"/>
      <c r="AO150" s="61"/>
      <c r="AP150" s="61"/>
      <c r="AQ150" s="61"/>
      <c r="AR150" s="61"/>
      <c r="AS150" s="61"/>
      <c r="AT150" s="61"/>
      <c r="AU150" s="61"/>
      <c r="AV150" s="61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  <c r="BV150" s="61"/>
      <c r="BW150" s="61"/>
      <c r="BX150" s="61"/>
      <c r="BY150" s="61"/>
      <c r="BZ150" s="61"/>
      <c r="CA150" s="61"/>
      <c r="CB150" s="61"/>
      <c r="CC150" s="61"/>
      <c r="CD150" s="61"/>
      <c r="CE150" s="61"/>
    </row>
    <row r="151" spans="1:83" s="18" customFormat="1" ht="15">
      <c r="A151" s="82" t="s">
        <v>283</v>
      </c>
      <c r="B151" s="57">
        <f t="shared" si="46"/>
        <v>535</v>
      </c>
      <c r="C151" s="57">
        <v>278</v>
      </c>
      <c r="D151" s="57">
        <v>257</v>
      </c>
      <c r="E151" s="57">
        <v>86</v>
      </c>
      <c r="F151" s="74">
        <v>6.2209302325581399</v>
      </c>
      <c r="G151" s="57">
        <f t="shared" si="50"/>
        <v>615</v>
      </c>
      <c r="H151" s="57">
        <v>313</v>
      </c>
      <c r="I151" s="57">
        <v>302</v>
      </c>
      <c r="J151" s="87">
        <f t="shared" si="47"/>
        <v>2.3148757626330787</v>
      </c>
      <c r="K151" s="57">
        <f t="shared" si="48"/>
        <v>921</v>
      </c>
      <c r="L151" s="57">
        <v>469</v>
      </c>
      <c r="M151" s="57">
        <v>452</v>
      </c>
      <c r="N151" s="57"/>
      <c r="O151" s="88">
        <f t="shared" si="45"/>
        <v>4.7510325699857523</v>
      </c>
      <c r="P151" s="58">
        <f t="shared" si="49"/>
        <v>1079</v>
      </c>
      <c r="Q151" s="59">
        <v>544</v>
      </c>
      <c r="R151" s="59">
        <v>535</v>
      </c>
      <c r="S151" s="59"/>
      <c r="T151" s="60" t="s">
        <v>284</v>
      </c>
      <c r="U151" s="101"/>
      <c r="V151" s="78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</row>
    <row r="152" spans="1:83" s="18" customFormat="1" ht="15">
      <c r="A152" s="82" t="s">
        <v>285</v>
      </c>
      <c r="B152" s="57">
        <f t="shared" si="46"/>
        <v>512</v>
      </c>
      <c r="C152" s="57">
        <v>260</v>
      </c>
      <c r="D152" s="57">
        <v>252</v>
      </c>
      <c r="E152" s="57">
        <v>66</v>
      </c>
      <c r="F152" s="74">
        <v>7.7575757575757578</v>
      </c>
      <c r="G152" s="57">
        <f t="shared" si="50"/>
        <v>483</v>
      </c>
      <c r="H152" s="57">
        <v>244</v>
      </c>
      <c r="I152" s="57">
        <v>239</v>
      </c>
      <c r="J152" s="87">
        <f t="shared" si="47"/>
        <v>-0.96857095327134712</v>
      </c>
      <c r="K152" s="57">
        <f t="shared" si="48"/>
        <v>623</v>
      </c>
      <c r="L152" s="57">
        <v>308</v>
      </c>
      <c r="M152" s="57">
        <v>315</v>
      </c>
      <c r="N152" s="57"/>
      <c r="O152" s="88">
        <f t="shared" si="45"/>
        <v>2.994469001586828</v>
      </c>
      <c r="P152" s="58">
        <f t="shared" si="49"/>
        <v>946</v>
      </c>
      <c r="Q152" s="59">
        <v>490</v>
      </c>
      <c r="R152" s="59">
        <v>456</v>
      </c>
      <c r="S152" s="59"/>
      <c r="T152" s="60" t="s">
        <v>286</v>
      </c>
      <c r="U152" s="101"/>
      <c r="V152" s="78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</row>
    <row r="153" spans="1:83" s="18" customFormat="1" ht="15">
      <c r="A153" s="100" t="s">
        <v>287</v>
      </c>
      <c r="B153" s="57">
        <f t="shared" si="46"/>
        <v>458</v>
      </c>
      <c r="C153" s="57">
        <v>223</v>
      </c>
      <c r="D153" s="57">
        <v>235</v>
      </c>
      <c r="E153" s="57">
        <v>50</v>
      </c>
      <c r="F153" s="74">
        <v>9.16</v>
      </c>
      <c r="G153" s="57">
        <f t="shared" si="50"/>
        <v>456</v>
      </c>
      <c r="H153" s="57">
        <v>237</v>
      </c>
      <c r="I153" s="57">
        <v>219</v>
      </c>
      <c r="J153" s="87">
        <f t="shared" si="47"/>
        <v>-7.2697252488353625E-2</v>
      </c>
      <c r="K153" s="57">
        <f t="shared" si="48"/>
        <v>586</v>
      </c>
      <c r="L153" s="57">
        <v>294</v>
      </c>
      <c r="M153" s="57">
        <v>292</v>
      </c>
      <c r="N153" s="57"/>
      <c r="O153" s="88">
        <f t="shared" si="45"/>
        <v>2.950905647795607</v>
      </c>
      <c r="P153" s="58">
        <f t="shared" si="49"/>
        <v>807</v>
      </c>
      <c r="Q153" s="59">
        <v>409</v>
      </c>
      <c r="R153" s="59">
        <v>398</v>
      </c>
      <c r="S153" s="59"/>
      <c r="T153" s="109" t="s">
        <v>288</v>
      </c>
      <c r="U153" s="110"/>
      <c r="V153" s="111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</row>
    <row r="154" spans="1:83" s="18" customFormat="1" ht="15">
      <c r="A154" s="82" t="s">
        <v>289</v>
      </c>
      <c r="B154" s="57">
        <f t="shared" si="46"/>
        <v>483</v>
      </c>
      <c r="C154" s="57">
        <v>235</v>
      </c>
      <c r="D154" s="57">
        <v>248</v>
      </c>
      <c r="E154" s="57">
        <v>90</v>
      </c>
      <c r="F154" s="74">
        <v>5.3666666666666663</v>
      </c>
      <c r="G154" s="57">
        <f t="shared" si="50"/>
        <v>439</v>
      </c>
      <c r="H154" s="57">
        <v>208</v>
      </c>
      <c r="I154" s="57">
        <v>231</v>
      </c>
      <c r="J154" s="87">
        <f t="shared" si="47"/>
        <v>-1.5866651258704547</v>
      </c>
      <c r="K154" s="57">
        <f t="shared" si="48"/>
        <v>413</v>
      </c>
      <c r="L154" s="57">
        <v>217</v>
      </c>
      <c r="M154" s="57">
        <v>196</v>
      </c>
      <c r="N154" s="57"/>
      <c r="O154" s="88">
        <f t="shared" si="45"/>
        <v>-0.71825670722516055</v>
      </c>
      <c r="P154" s="58">
        <f t="shared" si="49"/>
        <v>814</v>
      </c>
      <c r="Q154" s="59">
        <v>443</v>
      </c>
      <c r="R154" s="59">
        <v>371</v>
      </c>
      <c r="S154" s="59"/>
      <c r="T154" s="60" t="s">
        <v>290</v>
      </c>
      <c r="U154" s="101"/>
      <c r="V154" s="78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</row>
    <row r="155" spans="1:83" s="18" customFormat="1" ht="15">
      <c r="A155" s="82" t="s">
        <v>233</v>
      </c>
      <c r="B155" s="57">
        <f t="shared" si="46"/>
        <v>389</v>
      </c>
      <c r="C155" s="57">
        <v>191</v>
      </c>
      <c r="D155" s="57">
        <v>198</v>
      </c>
      <c r="E155" s="57">
        <v>75</v>
      </c>
      <c r="F155" s="74">
        <v>5.1866666666666665</v>
      </c>
      <c r="G155" s="57">
        <f t="shared" si="50"/>
        <v>248</v>
      </c>
      <c r="H155" s="57">
        <v>110</v>
      </c>
      <c r="I155" s="57">
        <v>138</v>
      </c>
      <c r="J155" s="87">
        <f t="shared" si="47"/>
        <v>-7.4775846753067139</v>
      </c>
      <c r="K155" s="57">
        <f t="shared" si="48"/>
        <v>408</v>
      </c>
      <c r="L155" s="57">
        <v>216</v>
      </c>
      <c r="M155" s="57">
        <v>192</v>
      </c>
      <c r="N155" s="57"/>
      <c r="O155" s="88">
        <f t="shared" si="45"/>
        <v>5.8569226851668184</v>
      </c>
      <c r="P155" s="58">
        <f t="shared" si="49"/>
        <v>735</v>
      </c>
      <c r="Q155" s="59">
        <v>355</v>
      </c>
      <c r="R155" s="59">
        <v>380</v>
      </c>
      <c r="S155" s="59"/>
      <c r="T155" s="60" t="s">
        <v>234</v>
      </c>
      <c r="U155" s="101"/>
      <c r="V155" s="78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</row>
    <row r="156" spans="1:83" s="18" customFormat="1" ht="15">
      <c r="A156" s="82" t="s">
        <v>291</v>
      </c>
      <c r="B156" s="57">
        <f t="shared" si="46"/>
        <v>471</v>
      </c>
      <c r="C156" s="57">
        <v>245</v>
      </c>
      <c r="D156" s="57">
        <v>226</v>
      </c>
      <c r="E156" s="57">
        <v>77</v>
      </c>
      <c r="F156" s="74">
        <v>6.116883116883117</v>
      </c>
      <c r="G156" s="57">
        <f t="shared" si="50"/>
        <v>515</v>
      </c>
      <c r="H156" s="57">
        <v>260</v>
      </c>
      <c r="I156" s="57">
        <v>255</v>
      </c>
      <c r="J156" s="87">
        <f t="shared" si="47"/>
        <v>1.4835349941415015</v>
      </c>
      <c r="K156" s="57">
        <f t="shared" si="48"/>
        <v>667</v>
      </c>
      <c r="L156" s="57">
        <v>343</v>
      </c>
      <c r="M156" s="57">
        <v>324</v>
      </c>
      <c r="N156" s="57"/>
      <c r="O156" s="88">
        <f t="shared" si="45"/>
        <v>3.0426252382575014</v>
      </c>
      <c r="P156" s="58" t="s">
        <v>44</v>
      </c>
      <c r="Q156" s="57" t="s">
        <v>44</v>
      </c>
      <c r="R156" s="57" t="s">
        <v>44</v>
      </c>
      <c r="S156" s="59"/>
      <c r="T156" s="60" t="s">
        <v>292</v>
      </c>
      <c r="U156" s="101"/>
      <c r="V156" s="78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</row>
    <row r="157" spans="1:83" s="18" customFormat="1" ht="15">
      <c r="A157" s="82"/>
      <c r="B157" s="57"/>
      <c r="C157" s="57"/>
      <c r="D157" s="57"/>
      <c r="E157" s="57"/>
      <c r="F157" s="74"/>
      <c r="G157" s="57"/>
      <c r="H157" s="57"/>
      <c r="I157" s="57"/>
      <c r="J157" s="87"/>
      <c r="K157" s="57"/>
      <c r="L157" s="57"/>
      <c r="M157" s="57"/>
      <c r="N157" s="57"/>
      <c r="O157" s="88"/>
      <c r="P157" s="58"/>
      <c r="Q157" s="106"/>
      <c r="R157" s="106"/>
      <c r="S157" s="106"/>
      <c r="T157" s="78"/>
      <c r="U157" s="101"/>
      <c r="V157" s="78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</row>
    <row r="158" spans="1:83" s="49" customFormat="1" ht="15">
      <c r="A158" s="85" t="s">
        <v>293</v>
      </c>
      <c r="B158" s="45">
        <f t="shared" ref="B158:B168" si="51">SUM(C158:D158)</f>
        <v>6620</v>
      </c>
      <c r="C158" s="45">
        <f>SUM(C159:C168)</f>
        <v>3235</v>
      </c>
      <c r="D158" s="45">
        <f>SUM(D159:D168)</f>
        <v>3385</v>
      </c>
      <c r="E158" s="45">
        <f>SUM(E159:E168)</f>
        <v>961</v>
      </c>
      <c r="F158" s="44">
        <v>7.9785276073619631</v>
      </c>
      <c r="G158" s="45">
        <f>SUM(H158:I158)</f>
        <v>6921</v>
      </c>
      <c r="H158" s="45">
        <f>SUM(H159:H168)</f>
        <v>3314</v>
      </c>
      <c r="I158" s="45">
        <f>SUM(I159:I168)</f>
        <v>3607</v>
      </c>
      <c r="J158" s="50">
        <f t="shared" ref="J158:J168" si="52">LN(G158/B158)/6.02*100</f>
        <v>0.7386195666247406</v>
      </c>
      <c r="K158" s="45">
        <f t="shared" ref="K158:K168" si="53">SUM(L158:M158)</f>
        <v>8183</v>
      </c>
      <c r="L158" s="45">
        <f>SUM(L159:L168)</f>
        <v>4058</v>
      </c>
      <c r="M158" s="45">
        <f>SUM(M159:M168)</f>
        <v>4125</v>
      </c>
      <c r="N158" s="45"/>
      <c r="O158" s="46">
        <f t="shared" si="45"/>
        <v>1.9705713374766871</v>
      </c>
      <c r="P158" s="47">
        <f t="shared" ref="P158:P168" si="54">SUM(Q158:R158)</f>
        <v>11439</v>
      </c>
      <c r="Q158" s="53">
        <f>SUM(Q159:Q168)</f>
        <v>5905</v>
      </c>
      <c r="R158" s="53">
        <f>SUM(R159:R168)</f>
        <v>5534</v>
      </c>
      <c r="S158" s="53"/>
      <c r="T158" s="26" t="s">
        <v>294</v>
      </c>
      <c r="U158" s="99"/>
      <c r="V158" s="26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8"/>
      <c r="AJ158" s="48"/>
      <c r="AK158" s="48"/>
      <c r="AL158" s="48"/>
      <c r="AM158" s="48"/>
      <c r="AN158" s="48"/>
      <c r="AO158" s="48"/>
      <c r="AP158" s="48"/>
      <c r="AQ158" s="48"/>
      <c r="AR158" s="48"/>
      <c r="AS158" s="48"/>
      <c r="AT158" s="48"/>
      <c r="AU158" s="48"/>
      <c r="AV158" s="48"/>
      <c r="AW158" s="48"/>
      <c r="AX158" s="48"/>
      <c r="AY158" s="48"/>
      <c r="AZ158" s="48"/>
      <c r="BA158" s="48"/>
      <c r="BB158" s="48"/>
      <c r="BC158" s="48"/>
      <c r="BD158" s="48"/>
      <c r="BE158" s="48"/>
      <c r="BF158" s="48"/>
      <c r="BG158" s="48"/>
      <c r="BH158" s="48"/>
      <c r="BI158" s="48"/>
      <c r="BJ158" s="48"/>
      <c r="BK158" s="48"/>
      <c r="BL158" s="48"/>
      <c r="BM158" s="48"/>
      <c r="BN158" s="48"/>
      <c r="BO158" s="48"/>
      <c r="BP158" s="48"/>
      <c r="BQ158" s="48"/>
      <c r="BR158" s="48"/>
      <c r="BS158" s="48"/>
      <c r="BT158" s="48"/>
      <c r="BU158" s="48"/>
      <c r="BV158" s="48"/>
      <c r="BW158" s="48"/>
      <c r="BX158" s="48"/>
      <c r="BY158" s="48"/>
      <c r="BZ158" s="48"/>
      <c r="CA158" s="48"/>
      <c r="CB158" s="48"/>
      <c r="CC158" s="48"/>
      <c r="CD158" s="48"/>
      <c r="CE158" s="48"/>
    </row>
    <row r="159" spans="1:83" s="18" customFormat="1" ht="15">
      <c r="A159" s="82" t="s">
        <v>295</v>
      </c>
      <c r="B159" s="57">
        <f t="shared" si="51"/>
        <v>439</v>
      </c>
      <c r="C159" s="57">
        <v>213</v>
      </c>
      <c r="D159" s="57">
        <v>226</v>
      </c>
      <c r="E159" s="57">
        <v>75</v>
      </c>
      <c r="F159" s="74">
        <v>5.8533333333333335</v>
      </c>
      <c r="G159" s="57">
        <f>SUM(H159:I159)</f>
        <v>458</v>
      </c>
      <c r="H159" s="57">
        <v>213</v>
      </c>
      <c r="I159" s="57">
        <v>245</v>
      </c>
      <c r="J159" s="87">
        <f t="shared" si="52"/>
        <v>0.70381679466800129</v>
      </c>
      <c r="K159" s="57">
        <f t="shared" si="53"/>
        <v>481</v>
      </c>
      <c r="L159" s="57">
        <v>240</v>
      </c>
      <c r="M159" s="57">
        <v>241</v>
      </c>
      <c r="N159" s="57"/>
      <c r="O159" s="88">
        <f t="shared" si="45"/>
        <v>0.57644807048913149</v>
      </c>
      <c r="P159" s="58">
        <f t="shared" si="54"/>
        <v>731</v>
      </c>
      <c r="Q159" s="59">
        <v>386</v>
      </c>
      <c r="R159" s="59">
        <v>345</v>
      </c>
      <c r="S159" s="59"/>
      <c r="T159" s="60" t="s">
        <v>296</v>
      </c>
      <c r="U159" s="101"/>
      <c r="V159" s="78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</row>
    <row r="160" spans="1:83" s="18" customFormat="1" ht="15">
      <c r="A160" s="82" t="s">
        <v>297</v>
      </c>
      <c r="B160" s="57">
        <f t="shared" si="51"/>
        <v>638</v>
      </c>
      <c r="C160" s="57">
        <v>282</v>
      </c>
      <c r="D160" s="57">
        <v>356</v>
      </c>
      <c r="E160" s="57">
        <v>84</v>
      </c>
      <c r="F160" s="74">
        <v>7.5952380952380949</v>
      </c>
      <c r="G160" s="57">
        <f t="shared" ref="G160:G168" si="55">SUM(H160:I160)</f>
        <v>676</v>
      </c>
      <c r="H160" s="57">
        <v>303</v>
      </c>
      <c r="I160" s="57">
        <v>373</v>
      </c>
      <c r="J160" s="87">
        <f t="shared" si="52"/>
        <v>0.96104306807598316</v>
      </c>
      <c r="K160" s="57">
        <f t="shared" si="53"/>
        <v>843</v>
      </c>
      <c r="L160" s="57">
        <v>414</v>
      </c>
      <c r="M160" s="57">
        <v>429</v>
      </c>
      <c r="N160" s="57"/>
      <c r="O160" s="88">
        <f t="shared" si="45"/>
        <v>2.5973397877516642</v>
      </c>
      <c r="P160" s="58">
        <f t="shared" si="54"/>
        <v>1107</v>
      </c>
      <c r="Q160" s="59">
        <v>550</v>
      </c>
      <c r="R160" s="59">
        <v>557</v>
      </c>
      <c r="S160" s="59"/>
      <c r="T160" s="60" t="s">
        <v>298</v>
      </c>
      <c r="U160" s="101"/>
      <c r="V160" s="78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</row>
    <row r="161" spans="1:83" s="81" customFormat="1" ht="15">
      <c r="A161" s="82" t="s">
        <v>299</v>
      </c>
      <c r="B161" s="57">
        <f t="shared" si="51"/>
        <v>384</v>
      </c>
      <c r="C161" s="57">
        <v>187</v>
      </c>
      <c r="D161" s="57">
        <v>197</v>
      </c>
      <c r="E161" s="57">
        <v>51</v>
      </c>
      <c r="F161" s="74">
        <v>7.5294117647058822</v>
      </c>
      <c r="G161" s="57">
        <f t="shared" si="55"/>
        <v>322</v>
      </c>
      <c r="H161" s="57">
        <v>148</v>
      </c>
      <c r="I161" s="57">
        <v>174</v>
      </c>
      <c r="J161" s="87">
        <f t="shared" si="52"/>
        <v>-2.9250997847727342</v>
      </c>
      <c r="K161" s="57">
        <f t="shared" si="53"/>
        <v>438</v>
      </c>
      <c r="L161" s="57">
        <v>209</v>
      </c>
      <c r="M161" s="57">
        <v>229</v>
      </c>
      <c r="N161" s="57"/>
      <c r="O161" s="88">
        <f t="shared" si="45"/>
        <v>3.6196160568475038</v>
      </c>
      <c r="P161" s="58">
        <f t="shared" si="54"/>
        <v>612</v>
      </c>
      <c r="Q161" s="59">
        <v>338</v>
      </c>
      <c r="R161" s="59">
        <v>274</v>
      </c>
      <c r="S161" s="59"/>
      <c r="T161" s="60" t="s">
        <v>110</v>
      </c>
      <c r="U161" s="101"/>
      <c r="V161" s="78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61"/>
      <c r="BJ161" s="61"/>
      <c r="BK161" s="61"/>
      <c r="BL161" s="61"/>
      <c r="BM161" s="61"/>
      <c r="BN161" s="61"/>
      <c r="BO161" s="61"/>
      <c r="BP161" s="61"/>
      <c r="BQ161" s="61"/>
      <c r="BR161" s="61"/>
      <c r="BS161" s="61"/>
      <c r="BT161" s="61"/>
      <c r="BU161" s="61"/>
      <c r="BV161" s="61"/>
      <c r="BW161" s="61"/>
      <c r="BX161" s="61"/>
      <c r="BY161" s="61"/>
      <c r="BZ161" s="61"/>
      <c r="CA161" s="61"/>
      <c r="CB161" s="61"/>
      <c r="CC161" s="61"/>
      <c r="CD161" s="61"/>
      <c r="CE161" s="61"/>
    </row>
    <row r="162" spans="1:83" s="81" customFormat="1" ht="15">
      <c r="A162" s="82" t="s">
        <v>300</v>
      </c>
      <c r="B162" s="57">
        <f t="shared" si="51"/>
        <v>1714</v>
      </c>
      <c r="C162" s="57">
        <v>871</v>
      </c>
      <c r="D162" s="57">
        <v>843</v>
      </c>
      <c r="E162" s="57">
        <v>211</v>
      </c>
      <c r="F162" s="74">
        <v>8.1232227488151665</v>
      </c>
      <c r="G162" s="57">
        <f t="shared" si="55"/>
        <v>1780</v>
      </c>
      <c r="H162" s="57">
        <v>839</v>
      </c>
      <c r="I162" s="57">
        <v>941</v>
      </c>
      <c r="J162" s="87">
        <f t="shared" si="52"/>
        <v>0.62763362339544582</v>
      </c>
      <c r="K162" s="57">
        <f t="shared" si="53"/>
        <v>1939</v>
      </c>
      <c r="L162" s="57">
        <v>994</v>
      </c>
      <c r="M162" s="57">
        <v>945</v>
      </c>
      <c r="N162" s="57"/>
      <c r="O162" s="88">
        <f t="shared" si="45"/>
        <v>1.0065766112531884</v>
      </c>
      <c r="P162" s="58">
        <f t="shared" si="54"/>
        <v>2465</v>
      </c>
      <c r="Q162" s="59">
        <v>1267</v>
      </c>
      <c r="R162" s="59">
        <v>1198</v>
      </c>
      <c r="S162" s="59"/>
      <c r="T162" s="60" t="s">
        <v>301</v>
      </c>
      <c r="U162" s="101"/>
      <c r="V162" s="78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  <c r="AH162" s="61"/>
      <c r="AI162" s="61"/>
      <c r="AJ162" s="61"/>
      <c r="AK162" s="61"/>
      <c r="AL162" s="61"/>
      <c r="AM162" s="61"/>
      <c r="AN162" s="61"/>
      <c r="AO162" s="61"/>
      <c r="AP162" s="61"/>
      <c r="AQ162" s="61"/>
      <c r="AR162" s="61"/>
      <c r="AS162" s="61"/>
      <c r="AT162" s="61"/>
      <c r="AU162" s="61"/>
      <c r="AV162" s="61"/>
      <c r="AW162" s="61"/>
      <c r="AX162" s="61"/>
      <c r="AY162" s="61"/>
      <c r="AZ162" s="61"/>
      <c r="BA162" s="61"/>
      <c r="BB162" s="61"/>
      <c r="BC162" s="61"/>
      <c r="BD162" s="61"/>
      <c r="BE162" s="61"/>
      <c r="BF162" s="61"/>
      <c r="BG162" s="61"/>
      <c r="BH162" s="61"/>
      <c r="BI162" s="61"/>
      <c r="BJ162" s="61"/>
      <c r="BK162" s="61"/>
      <c r="BL162" s="61"/>
      <c r="BM162" s="61"/>
      <c r="BN162" s="61"/>
      <c r="BO162" s="61"/>
      <c r="BP162" s="61"/>
      <c r="BQ162" s="61"/>
      <c r="BR162" s="61"/>
      <c r="BS162" s="61"/>
      <c r="BT162" s="61"/>
      <c r="BU162" s="61"/>
      <c r="BV162" s="61"/>
      <c r="BW162" s="61"/>
      <c r="BX162" s="61"/>
      <c r="BY162" s="61"/>
      <c r="BZ162" s="61"/>
      <c r="CA162" s="61"/>
      <c r="CB162" s="61"/>
      <c r="CC162" s="61"/>
      <c r="CD162" s="61"/>
      <c r="CE162" s="61"/>
    </row>
    <row r="163" spans="1:83" s="18" customFormat="1" ht="15">
      <c r="A163" s="82" t="s">
        <v>302</v>
      </c>
      <c r="B163" s="57">
        <f t="shared" si="51"/>
        <v>279</v>
      </c>
      <c r="C163" s="57">
        <v>136</v>
      </c>
      <c r="D163" s="57">
        <v>143</v>
      </c>
      <c r="E163" s="57">
        <v>41</v>
      </c>
      <c r="F163" s="74">
        <v>6.8048780487804876</v>
      </c>
      <c r="G163" s="57">
        <f t="shared" si="55"/>
        <v>294</v>
      </c>
      <c r="H163" s="57">
        <v>165</v>
      </c>
      <c r="I163" s="57">
        <v>129</v>
      </c>
      <c r="J163" s="87">
        <f t="shared" si="52"/>
        <v>0.86990009164976645</v>
      </c>
      <c r="K163" s="57">
        <f t="shared" si="53"/>
        <v>295</v>
      </c>
      <c r="L163" s="57">
        <v>157</v>
      </c>
      <c r="M163" s="57">
        <v>138</v>
      </c>
      <c r="N163" s="57"/>
      <c r="O163" s="88">
        <f t="shared" si="45"/>
        <v>3.9948105895742443E-2</v>
      </c>
      <c r="P163" s="58">
        <f t="shared" si="54"/>
        <v>476</v>
      </c>
      <c r="Q163" s="59">
        <v>252</v>
      </c>
      <c r="R163" s="59">
        <v>224</v>
      </c>
      <c r="S163" s="59"/>
      <c r="T163" s="60" t="s">
        <v>303</v>
      </c>
      <c r="U163" s="101"/>
      <c r="V163" s="78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</row>
    <row r="164" spans="1:83" s="18" customFormat="1" ht="15">
      <c r="A164" s="100" t="s">
        <v>304</v>
      </c>
      <c r="B164" s="57">
        <f t="shared" si="51"/>
        <v>600</v>
      </c>
      <c r="C164" s="57">
        <v>323</v>
      </c>
      <c r="D164" s="57">
        <v>277</v>
      </c>
      <c r="E164" s="57">
        <v>102</v>
      </c>
      <c r="F164" s="74">
        <v>5.882352941176471</v>
      </c>
      <c r="G164" s="57">
        <f t="shared" si="55"/>
        <v>624</v>
      </c>
      <c r="H164" s="57">
        <v>303</v>
      </c>
      <c r="I164" s="57">
        <v>321</v>
      </c>
      <c r="J164" s="87">
        <f t="shared" si="52"/>
        <v>0.65150686301131788</v>
      </c>
      <c r="K164" s="57">
        <f t="shared" si="53"/>
        <v>713</v>
      </c>
      <c r="L164" s="57">
        <v>348</v>
      </c>
      <c r="M164" s="57">
        <v>365</v>
      </c>
      <c r="N164" s="57"/>
      <c r="O164" s="88">
        <f t="shared" si="45"/>
        <v>1.5686006122925673</v>
      </c>
      <c r="P164" s="58">
        <f t="shared" si="54"/>
        <v>1071</v>
      </c>
      <c r="Q164" s="59">
        <v>549</v>
      </c>
      <c r="R164" s="59">
        <v>522</v>
      </c>
      <c r="S164" s="59"/>
      <c r="T164" s="60" t="s">
        <v>305</v>
      </c>
      <c r="U164" s="101"/>
      <c r="V164" s="78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</row>
    <row r="165" spans="1:83" s="18" customFormat="1" ht="15">
      <c r="A165" s="100" t="s">
        <v>306</v>
      </c>
      <c r="B165" s="57">
        <f t="shared" si="51"/>
        <v>363</v>
      </c>
      <c r="C165" s="57">
        <v>175</v>
      </c>
      <c r="D165" s="57">
        <v>188</v>
      </c>
      <c r="E165" s="57">
        <v>81</v>
      </c>
      <c r="F165" s="74">
        <v>4.4814814814814818</v>
      </c>
      <c r="G165" s="57">
        <f t="shared" si="55"/>
        <v>420</v>
      </c>
      <c r="H165" s="57">
        <v>210</v>
      </c>
      <c r="I165" s="57">
        <v>210</v>
      </c>
      <c r="J165" s="87">
        <f t="shared" si="52"/>
        <v>2.4227886546937398</v>
      </c>
      <c r="K165" s="57">
        <f t="shared" si="53"/>
        <v>529</v>
      </c>
      <c r="L165" s="57">
        <v>247</v>
      </c>
      <c r="M165" s="57">
        <v>282</v>
      </c>
      <c r="N165" s="57"/>
      <c r="O165" s="88">
        <f t="shared" si="45"/>
        <v>2.714514359775122</v>
      </c>
      <c r="P165" s="58">
        <f t="shared" si="54"/>
        <v>668</v>
      </c>
      <c r="Q165" s="59">
        <v>349</v>
      </c>
      <c r="R165" s="59">
        <v>319</v>
      </c>
      <c r="S165" s="59"/>
      <c r="T165" s="109" t="s">
        <v>307</v>
      </c>
      <c r="U165" s="110"/>
      <c r="V165" s="111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</row>
    <row r="166" spans="1:83" s="18" customFormat="1" ht="15">
      <c r="A166" s="82" t="s">
        <v>308</v>
      </c>
      <c r="B166" s="57">
        <f t="shared" si="51"/>
        <v>539</v>
      </c>
      <c r="C166" s="57">
        <v>276</v>
      </c>
      <c r="D166" s="57">
        <v>263</v>
      </c>
      <c r="E166" s="57">
        <v>86</v>
      </c>
      <c r="F166" s="74">
        <v>6.2674418604651159</v>
      </c>
      <c r="G166" s="57">
        <f t="shared" si="55"/>
        <v>560</v>
      </c>
      <c r="H166" s="57">
        <v>278</v>
      </c>
      <c r="I166" s="57">
        <v>282</v>
      </c>
      <c r="J166" s="87">
        <f t="shared" si="52"/>
        <v>0.63490386744514404</v>
      </c>
      <c r="K166" s="57">
        <f t="shared" si="53"/>
        <v>729</v>
      </c>
      <c r="L166" s="57">
        <v>357</v>
      </c>
      <c r="M166" s="57">
        <v>372</v>
      </c>
      <c r="N166" s="57"/>
      <c r="O166" s="88">
        <f t="shared" si="45"/>
        <v>3.1027876268172148</v>
      </c>
      <c r="P166" s="58">
        <f t="shared" si="54"/>
        <v>1065</v>
      </c>
      <c r="Q166" s="59">
        <v>546</v>
      </c>
      <c r="R166" s="59">
        <v>519</v>
      </c>
      <c r="S166" s="59"/>
      <c r="T166" s="60" t="s">
        <v>309</v>
      </c>
      <c r="U166" s="101"/>
      <c r="V166" s="78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</row>
    <row r="167" spans="1:83" s="18" customFormat="1" ht="15">
      <c r="A167" s="82" t="s">
        <v>75</v>
      </c>
      <c r="B167" s="57">
        <f t="shared" si="51"/>
        <v>113</v>
      </c>
      <c r="C167" s="57">
        <v>51</v>
      </c>
      <c r="D167" s="57">
        <v>62</v>
      </c>
      <c r="E167" s="57">
        <v>26</v>
      </c>
      <c r="F167" s="74">
        <v>4.3461538461538458</v>
      </c>
      <c r="G167" s="57">
        <f t="shared" si="55"/>
        <v>116</v>
      </c>
      <c r="H167" s="57">
        <v>55</v>
      </c>
      <c r="I167" s="57">
        <v>61</v>
      </c>
      <c r="J167" s="87">
        <f t="shared" si="52"/>
        <v>0.43525535538246046</v>
      </c>
      <c r="K167" s="57">
        <f t="shared" si="53"/>
        <v>137</v>
      </c>
      <c r="L167" s="57">
        <v>61</v>
      </c>
      <c r="M167" s="57">
        <v>76</v>
      </c>
      <c r="N167" s="57"/>
      <c r="O167" s="88">
        <f t="shared" si="45"/>
        <v>1.9575380555501214</v>
      </c>
      <c r="P167" s="58">
        <f t="shared" si="54"/>
        <v>213</v>
      </c>
      <c r="Q167" s="59">
        <v>110</v>
      </c>
      <c r="R167" s="59">
        <v>103</v>
      </c>
      <c r="S167" s="59"/>
      <c r="T167" s="60" t="s">
        <v>76</v>
      </c>
      <c r="U167" s="101"/>
      <c r="V167" s="78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</row>
    <row r="168" spans="1:83" s="18" customFormat="1" ht="15">
      <c r="A168" s="82" t="s">
        <v>310</v>
      </c>
      <c r="B168" s="57">
        <f t="shared" si="51"/>
        <v>1551</v>
      </c>
      <c r="C168" s="57">
        <v>721</v>
      </c>
      <c r="D168" s="57">
        <v>830</v>
      </c>
      <c r="E168" s="57">
        <v>204</v>
      </c>
      <c r="F168" s="74">
        <v>7.6029411764705879</v>
      </c>
      <c r="G168" s="57">
        <f t="shared" si="55"/>
        <v>1671</v>
      </c>
      <c r="H168" s="57">
        <v>800</v>
      </c>
      <c r="I168" s="57">
        <v>871</v>
      </c>
      <c r="J168" s="87">
        <f t="shared" si="52"/>
        <v>1.2379130468248314</v>
      </c>
      <c r="K168" s="57">
        <f t="shared" si="53"/>
        <v>2079</v>
      </c>
      <c r="L168" s="57">
        <v>1031</v>
      </c>
      <c r="M168" s="57">
        <v>1048</v>
      </c>
      <c r="N168" s="57"/>
      <c r="O168" s="88">
        <f t="shared" si="45"/>
        <v>2.5701736383837566</v>
      </c>
      <c r="P168" s="58">
        <f t="shared" si="54"/>
        <v>3031</v>
      </c>
      <c r="Q168" s="59">
        <v>1558</v>
      </c>
      <c r="R168" s="59">
        <v>1473</v>
      </c>
      <c r="S168" s="59"/>
      <c r="T168" s="60" t="s">
        <v>311</v>
      </c>
      <c r="U168" s="101"/>
      <c r="V168" s="78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</row>
    <row r="169" spans="1:83" s="18" customFormat="1" ht="15">
      <c r="A169" s="82"/>
      <c r="B169" s="57"/>
      <c r="C169" s="57"/>
      <c r="D169" s="57"/>
      <c r="E169" s="57"/>
      <c r="F169" s="74"/>
      <c r="G169" s="57"/>
      <c r="H169" s="57"/>
      <c r="I169" s="57"/>
      <c r="J169" s="87"/>
      <c r="K169" s="57"/>
      <c r="L169" s="57"/>
      <c r="M169" s="57"/>
      <c r="N169" s="57"/>
      <c r="O169" s="88"/>
      <c r="P169" s="58"/>
      <c r="Q169" s="106"/>
      <c r="R169" s="106"/>
      <c r="S169" s="106"/>
      <c r="T169" s="78"/>
      <c r="U169" s="101"/>
      <c r="V169" s="78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</row>
    <row r="170" spans="1:83" s="49" customFormat="1" ht="15">
      <c r="A170" s="85" t="s">
        <v>312</v>
      </c>
      <c r="B170" s="45">
        <f t="shared" ref="B170:B175" si="56">SUM(C170:D170)</f>
        <v>1649</v>
      </c>
      <c r="C170" s="45">
        <f>SUM(C171:C175)</f>
        <v>879</v>
      </c>
      <c r="D170" s="45">
        <f>SUM(D171:D175)</f>
        <v>770</v>
      </c>
      <c r="E170" s="45">
        <f>SUM(E171:E175)</f>
        <v>278</v>
      </c>
      <c r="F170" s="44">
        <v>6.2607142857142861</v>
      </c>
      <c r="G170" s="45">
        <f t="shared" ref="G170:G175" si="57">SUM(H170:I170)</f>
        <v>1502</v>
      </c>
      <c r="H170" s="45">
        <f>SUM(H171:H175)</f>
        <v>778</v>
      </c>
      <c r="I170" s="45">
        <f>SUM(I171:I175)</f>
        <v>724</v>
      </c>
      <c r="J170" s="50">
        <f t="shared" ref="J170:J175" si="58">LN(G170/B170)/6.02*100</f>
        <v>-1.5510214324837024</v>
      </c>
      <c r="K170" s="45">
        <f t="shared" ref="K170:K175" si="59">SUM(L170:M170)</f>
        <v>1622</v>
      </c>
      <c r="L170" s="45">
        <f>SUM(L171:L175)</f>
        <v>884</v>
      </c>
      <c r="M170" s="45">
        <f>SUM(M171:M175)</f>
        <v>738</v>
      </c>
      <c r="N170" s="45"/>
      <c r="O170" s="46">
        <f t="shared" si="45"/>
        <v>0.90426355707386064</v>
      </c>
      <c r="P170" s="47">
        <f t="shared" ref="P170:P175" si="60">SUM(Q170:R170)</f>
        <v>2599</v>
      </c>
      <c r="Q170" s="53">
        <f>SUM(Q171:Q175)</f>
        <v>1356</v>
      </c>
      <c r="R170" s="53">
        <f>SUM(R171:R175)</f>
        <v>1243</v>
      </c>
      <c r="S170" s="53"/>
      <c r="T170" s="26" t="s">
        <v>313</v>
      </c>
      <c r="U170" s="99"/>
      <c r="V170" s="26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48"/>
      <c r="AW170" s="48"/>
      <c r="AX170" s="48"/>
      <c r="AY170" s="48"/>
      <c r="AZ170" s="48"/>
      <c r="BA170" s="48"/>
      <c r="BB170" s="48"/>
      <c r="BC170" s="48"/>
      <c r="BD170" s="48"/>
      <c r="BE170" s="48"/>
      <c r="BF170" s="48"/>
      <c r="BG170" s="48"/>
      <c r="BH170" s="48"/>
      <c r="BI170" s="48"/>
      <c r="BJ170" s="48"/>
      <c r="BK170" s="48"/>
      <c r="BL170" s="48"/>
      <c r="BM170" s="48"/>
      <c r="BN170" s="48"/>
      <c r="BO170" s="48"/>
      <c r="BP170" s="48"/>
      <c r="BQ170" s="48"/>
      <c r="BR170" s="48"/>
      <c r="BS170" s="48"/>
      <c r="BT170" s="48"/>
      <c r="BU170" s="48"/>
      <c r="BV170" s="48"/>
      <c r="BW170" s="48"/>
      <c r="BX170" s="48"/>
      <c r="BY170" s="48"/>
      <c r="BZ170" s="48"/>
      <c r="CA170" s="48"/>
      <c r="CB170" s="48"/>
      <c r="CC170" s="48"/>
      <c r="CD170" s="48"/>
      <c r="CE170" s="48"/>
    </row>
    <row r="171" spans="1:83" s="18" customFormat="1" ht="15">
      <c r="A171" s="82" t="s">
        <v>314</v>
      </c>
      <c r="B171" s="57">
        <f t="shared" si="56"/>
        <v>323</v>
      </c>
      <c r="C171" s="57">
        <v>189</v>
      </c>
      <c r="D171" s="57">
        <v>134</v>
      </c>
      <c r="E171" s="57">
        <v>50</v>
      </c>
      <c r="F171" s="74">
        <v>6.46</v>
      </c>
      <c r="G171" s="57">
        <f t="shared" si="57"/>
        <v>331</v>
      </c>
      <c r="H171" s="57">
        <v>174</v>
      </c>
      <c r="I171" s="57">
        <v>157</v>
      </c>
      <c r="J171" s="87">
        <f t="shared" si="58"/>
        <v>0.40641282648515653</v>
      </c>
      <c r="K171" s="57">
        <f t="shared" si="59"/>
        <v>324</v>
      </c>
      <c r="L171" s="57">
        <v>183</v>
      </c>
      <c r="M171" s="57">
        <v>141</v>
      </c>
      <c r="N171" s="57"/>
      <c r="O171" s="88">
        <f t="shared" si="45"/>
        <v>-0.2514689362909831</v>
      </c>
      <c r="P171" s="58">
        <f t="shared" si="60"/>
        <v>500</v>
      </c>
      <c r="Q171" s="59">
        <v>278</v>
      </c>
      <c r="R171" s="59">
        <v>222</v>
      </c>
      <c r="S171" s="59" t="s">
        <v>59</v>
      </c>
      <c r="T171" s="60" t="s">
        <v>315</v>
      </c>
      <c r="U171" s="101"/>
      <c r="V171" s="78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</row>
    <row r="172" spans="1:83" s="18" customFormat="1" ht="15">
      <c r="A172" s="82" t="s">
        <v>316</v>
      </c>
      <c r="B172" s="57">
        <f t="shared" si="56"/>
        <v>114</v>
      </c>
      <c r="C172" s="57">
        <v>48</v>
      </c>
      <c r="D172" s="57">
        <v>66</v>
      </c>
      <c r="E172" s="57">
        <v>32</v>
      </c>
      <c r="F172" s="74">
        <v>3.5625</v>
      </c>
      <c r="G172" s="57">
        <f t="shared" si="57"/>
        <v>55</v>
      </c>
      <c r="H172" s="57">
        <v>30</v>
      </c>
      <c r="I172" s="57">
        <v>25</v>
      </c>
      <c r="J172" s="87">
        <f t="shared" si="58"/>
        <v>-12.107396398040276</v>
      </c>
      <c r="K172" s="57">
        <f t="shared" si="59"/>
        <v>73</v>
      </c>
      <c r="L172" s="57">
        <v>47</v>
      </c>
      <c r="M172" s="57">
        <v>26</v>
      </c>
      <c r="N172" s="57"/>
      <c r="O172" s="88">
        <f t="shared" si="45"/>
        <v>3.3308971284225914</v>
      </c>
      <c r="P172" s="58">
        <f t="shared" si="60"/>
        <v>211</v>
      </c>
      <c r="Q172" s="59">
        <v>102</v>
      </c>
      <c r="R172" s="59">
        <v>109</v>
      </c>
      <c r="S172" s="59"/>
      <c r="T172" s="60" t="s">
        <v>317</v>
      </c>
      <c r="U172" s="101"/>
      <c r="V172" s="78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</row>
    <row r="173" spans="1:83" s="18" customFormat="1" ht="15">
      <c r="A173" s="82" t="s">
        <v>318</v>
      </c>
      <c r="B173" s="57">
        <f t="shared" si="56"/>
        <v>469</v>
      </c>
      <c r="C173" s="57">
        <v>264</v>
      </c>
      <c r="D173" s="57">
        <v>205</v>
      </c>
      <c r="E173" s="57">
        <v>75</v>
      </c>
      <c r="F173" s="74">
        <v>6.253333333333333</v>
      </c>
      <c r="G173" s="57">
        <f t="shared" si="57"/>
        <v>448</v>
      </c>
      <c r="H173" s="57">
        <v>243</v>
      </c>
      <c r="I173" s="57">
        <v>205</v>
      </c>
      <c r="J173" s="87">
        <f t="shared" si="58"/>
        <v>-0.76095574802814325</v>
      </c>
      <c r="K173" s="57">
        <f t="shared" si="59"/>
        <v>489</v>
      </c>
      <c r="L173" s="57">
        <v>254</v>
      </c>
      <c r="M173" s="57">
        <v>235</v>
      </c>
      <c r="N173" s="57"/>
      <c r="O173" s="88">
        <f t="shared" si="45"/>
        <v>1.0302265536457287</v>
      </c>
      <c r="P173" s="58">
        <f t="shared" si="60"/>
        <v>667</v>
      </c>
      <c r="Q173" s="59">
        <v>367</v>
      </c>
      <c r="R173" s="59">
        <v>300</v>
      </c>
      <c r="S173" s="59"/>
      <c r="T173" s="60" t="s">
        <v>319</v>
      </c>
      <c r="U173" s="101"/>
      <c r="V173" s="78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</row>
    <row r="174" spans="1:83" s="18" customFormat="1" ht="15">
      <c r="A174" s="82" t="s">
        <v>320</v>
      </c>
      <c r="B174" s="57">
        <f t="shared" si="56"/>
        <v>506</v>
      </c>
      <c r="C174" s="57">
        <v>253</v>
      </c>
      <c r="D174" s="57">
        <v>253</v>
      </c>
      <c r="E174" s="57">
        <v>83</v>
      </c>
      <c r="F174" s="74">
        <v>6.096385542168675</v>
      </c>
      <c r="G174" s="57">
        <f t="shared" si="57"/>
        <v>510</v>
      </c>
      <c r="H174" s="57">
        <v>262</v>
      </c>
      <c r="I174" s="57">
        <v>248</v>
      </c>
      <c r="J174" s="87">
        <f t="shared" si="58"/>
        <v>0.13079827958315393</v>
      </c>
      <c r="K174" s="57">
        <f t="shared" si="59"/>
        <v>635</v>
      </c>
      <c r="L174" s="57">
        <v>334</v>
      </c>
      <c r="M174" s="57">
        <v>301</v>
      </c>
      <c r="N174" s="57"/>
      <c r="O174" s="88">
        <f t="shared" si="45"/>
        <v>2.5789914491096493</v>
      </c>
      <c r="P174" s="58">
        <f t="shared" si="60"/>
        <v>859</v>
      </c>
      <c r="Q174" s="59">
        <v>435</v>
      </c>
      <c r="R174" s="59">
        <v>424</v>
      </c>
      <c r="S174" s="59"/>
      <c r="T174" s="60" t="s">
        <v>321</v>
      </c>
      <c r="U174" s="101"/>
      <c r="V174" s="78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</row>
    <row r="175" spans="1:83" s="18" customFormat="1" ht="15">
      <c r="A175" s="82" t="s">
        <v>322</v>
      </c>
      <c r="B175" s="57">
        <f t="shared" si="56"/>
        <v>237</v>
      </c>
      <c r="C175" s="57">
        <v>125</v>
      </c>
      <c r="D175" s="57">
        <v>112</v>
      </c>
      <c r="E175" s="57">
        <v>38</v>
      </c>
      <c r="F175" s="74">
        <v>6.2368421052631575</v>
      </c>
      <c r="G175" s="57">
        <f t="shared" si="57"/>
        <v>158</v>
      </c>
      <c r="H175" s="57">
        <v>69</v>
      </c>
      <c r="I175" s="57">
        <v>89</v>
      </c>
      <c r="J175" s="87">
        <f t="shared" si="58"/>
        <v>-6.7353007991389449</v>
      </c>
      <c r="K175" s="57">
        <f t="shared" si="59"/>
        <v>101</v>
      </c>
      <c r="L175" s="57">
        <v>66</v>
      </c>
      <c r="M175" s="57">
        <v>35</v>
      </c>
      <c r="N175" s="57"/>
      <c r="O175" s="88">
        <f t="shared" si="45"/>
        <v>-5.2644060727730277</v>
      </c>
      <c r="P175" s="58">
        <f t="shared" si="60"/>
        <v>362</v>
      </c>
      <c r="Q175" s="59">
        <v>174</v>
      </c>
      <c r="R175" s="59">
        <v>188</v>
      </c>
      <c r="S175" s="59"/>
      <c r="T175" s="60" t="s">
        <v>323</v>
      </c>
      <c r="U175" s="101"/>
      <c r="V175" s="78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</row>
    <row r="176" spans="1:83" s="18" customFormat="1" ht="15">
      <c r="A176" s="82"/>
      <c r="B176" s="57"/>
      <c r="C176" s="57"/>
      <c r="D176" s="57"/>
      <c r="E176" s="57"/>
      <c r="F176" s="74"/>
      <c r="G176" s="57"/>
      <c r="H176" s="57"/>
      <c r="I176" s="57"/>
      <c r="J176" s="87"/>
      <c r="K176" s="57"/>
      <c r="L176" s="57"/>
      <c r="M176" s="57"/>
      <c r="N176" s="57"/>
      <c r="O176" s="88"/>
      <c r="P176" s="58"/>
      <c r="Q176" s="106"/>
      <c r="R176" s="106"/>
      <c r="S176" s="106"/>
      <c r="T176" s="78"/>
      <c r="U176" s="101"/>
      <c r="V176" s="78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</row>
    <row r="177" spans="1:83" s="49" customFormat="1" ht="15">
      <c r="A177" s="22" t="s">
        <v>324</v>
      </c>
      <c r="B177" s="45">
        <f t="shared" ref="B177:B186" si="61">SUM(C177:D177)</f>
        <v>5020</v>
      </c>
      <c r="C177" s="45">
        <f>SUM(C178:C186)</f>
        <v>2435</v>
      </c>
      <c r="D177" s="45">
        <f>SUM(D178:D186)</f>
        <v>2585</v>
      </c>
      <c r="E177" s="45">
        <f>SUM(E178:E186)</f>
        <v>785</v>
      </c>
      <c r="F177" s="44">
        <v>6.4599745870393903</v>
      </c>
      <c r="G177" s="45">
        <f>SUM(H177:I177)</f>
        <v>4654</v>
      </c>
      <c r="H177" s="45">
        <f>SUM(H178:H186)</f>
        <v>2364</v>
      </c>
      <c r="I177" s="45">
        <f>SUM(I178:I186)</f>
        <v>2290</v>
      </c>
      <c r="J177" s="50">
        <f>LN(G177/B177)/6.02*100</f>
        <v>-1.2575227379325229</v>
      </c>
      <c r="K177" s="45">
        <f>SUM(L177:M177)</f>
        <v>4711</v>
      </c>
      <c r="L177" s="45">
        <f>SUM(L178:L186)</f>
        <v>2296</v>
      </c>
      <c r="M177" s="45">
        <f>SUM(M178:M186)</f>
        <v>2415</v>
      </c>
      <c r="N177" s="45"/>
      <c r="O177" s="46">
        <f t="shared" si="45"/>
        <v>0.1432133510329901</v>
      </c>
      <c r="P177" s="47">
        <f>SUM(Q177:R177)</f>
        <v>7415</v>
      </c>
      <c r="Q177" s="53">
        <f>SUM(Q178:Q186)</f>
        <v>3826</v>
      </c>
      <c r="R177" s="53">
        <f>SUM(R178:R186)</f>
        <v>3589</v>
      </c>
      <c r="S177" s="53"/>
      <c r="T177" s="26" t="s">
        <v>325</v>
      </c>
      <c r="U177" s="99"/>
      <c r="V177" s="26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  <c r="AR177" s="48"/>
      <c r="AS177" s="48"/>
      <c r="AT177" s="48"/>
      <c r="AU177" s="48"/>
      <c r="AV177" s="48"/>
      <c r="AW177" s="48"/>
      <c r="AX177" s="48"/>
      <c r="AY177" s="48"/>
      <c r="AZ177" s="48"/>
      <c r="BA177" s="48"/>
      <c r="BB177" s="48"/>
      <c r="BC177" s="48"/>
      <c r="BD177" s="48"/>
      <c r="BE177" s="48"/>
      <c r="BF177" s="48"/>
      <c r="BG177" s="48"/>
      <c r="BH177" s="48"/>
      <c r="BI177" s="48"/>
      <c r="BJ177" s="48"/>
      <c r="BK177" s="48"/>
      <c r="BL177" s="48"/>
      <c r="BM177" s="48"/>
      <c r="BN177" s="48"/>
      <c r="BO177" s="48"/>
      <c r="BP177" s="48"/>
      <c r="BQ177" s="48"/>
      <c r="BR177" s="48"/>
      <c r="BS177" s="48"/>
      <c r="BT177" s="48"/>
      <c r="BU177" s="48"/>
      <c r="BV177" s="48"/>
      <c r="BW177" s="48"/>
      <c r="BX177" s="48"/>
      <c r="BY177" s="48"/>
      <c r="BZ177" s="48"/>
      <c r="CA177" s="48"/>
      <c r="CB177" s="48"/>
      <c r="CC177" s="48"/>
      <c r="CD177" s="48"/>
      <c r="CE177" s="48"/>
    </row>
    <row r="178" spans="1:83" s="18" customFormat="1" ht="15">
      <c r="A178" s="82" t="s">
        <v>326</v>
      </c>
      <c r="B178" s="57">
        <f t="shared" si="61"/>
        <v>171</v>
      </c>
      <c r="C178" s="57">
        <v>83</v>
      </c>
      <c r="D178" s="57">
        <v>88</v>
      </c>
      <c r="E178" s="57">
        <v>33</v>
      </c>
      <c r="F178" s="74">
        <v>5.1818181818181817</v>
      </c>
      <c r="G178" s="57">
        <f>SUM(H178:I178)</f>
        <v>156</v>
      </c>
      <c r="H178" s="57">
        <v>80</v>
      </c>
      <c r="I178" s="57">
        <v>76</v>
      </c>
      <c r="J178" s="87">
        <f>LN(G178/B178)/6.02*100</f>
        <v>-1.5250423463973899</v>
      </c>
      <c r="K178" s="57">
        <f>SUM(L178:M178)</f>
        <v>112</v>
      </c>
      <c r="L178" s="57">
        <v>55</v>
      </c>
      <c r="M178" s="57">
        <v>57</v>
      </c>
      <c r="N178" s="57"/>
      <c r="O178" s="88">
        <f t="shared" si="45"/>
        <v>-3.8983192465228531</v>
      </c>
      <c r="P178" s="58">
        <f>SUM(Q178:R178)</f>
        <v>232</v>
      </c>
      <c r="Q178" s="59">
        <v>118</v>
      </c>
      <c r="R178" s="59">
        <v>114</v>
      </c>
      <c r="S178" s="59"/>
      <c r="T178" s="60" t="s">
        <v>327</v>
      </c>
      <c r="U178" s="101"/>
      <c r="V178" s="78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</row>
    <row r="179" spans="1:83" s="18" customFormat="1" ht="15" hidden="1">
      <c r="A179" s="82" t="s">
        <v>328</v>
      </c>
      <c r="B179" s="57">
        <f t="shared" si="61"/>
        <v>122</v>
      </c>
      <c r="C179" s="57">
        <v>56</v>
      </c>
      <c r="D179" s="57">
        <v>66</v>
      </c>
      <c r="E179" s="57">
        <v>24</v>
      </c>
      <c r="F179" s="74">
        <v>5.083333333333333</v>
      </c>
      <c r="G179" s="57">
        <f t="shared" ref="G179:G186" si="62">SUM(H179:I179)</f>
        <v>0</v>
      </c>
      <c r="H179" s="57">
        <v>0</v>
      </c>
      <c r="I179" s="57">
        <v>0</v>
      </c>
      <c r="J179" s="87" t="s">
        <v>41</v>
      </c>
      <c r="K179" s="57" t="s">
        <v>44</v>
      </c>
      <c r="L179" s="57" t="s">
        <v>44</v>
      </c>
      <c r="M179" s="57" t="s">
        <v>44</v>
      </c>
      <c r="N179" s="74"/>
      <c r="O179" s="90" t="s">
        <v>44</v>
      </c>
      <c r="P179" s="58" t="s">
        <v>44</v>
      </c>
      <c r="Q179" s="57"/>
      <c r="R179" s="57"/>
      <c r="S179" s="57"/>
      <c r="T179" s="60" t="s">
        <v>329</v>
      </c>
      <c r="U179" s="101"/>
      <c r="V179" s="78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</row>
    <row r="180" spans="1:83" s="18" customFormat="1" ht="15">
      <c r="A180" s="82" t="s">
        <v>330</v>
      </c>
      <c r="B180" s="57">
        <f t="shared" si="61"/>
        <v>182</v>
      </c>
      <c r="C180" s="57">
        <v>92</v>
      </c>
      <c r="D180" s="57">
        <v>90</v>
      </c>
      <c r="E180" s="57">
        <v>28</v>
      </c>
      <c r="F180" s="74">
        <v>6.5</v>
      </c>
      <c r="G180" s="57">
        <f t="shared" si="62"/>
        <v>174</v>
      </c>
      <c r="H180" s="57">
        <v>93</v>
      </c>
      <c r="I180" s="57">
        <v>81</v>
      </c>
      <c r="J180" s="87">
        <f t="shared" ref="J180:J186" si="63">LN(G180/B180)/6.02*100</f>
        <v>-0.74670079505425713</v>
      </c>
      <c r="K180" s="57">
        <f t="shared" ref="K180:K186" si="64">SUM(L180:M180)</f>
        <v>223</v>
      </c>
      <c r="L180" s="57">
        <v>122</v>
      </c>
      <c r="M180" s="57">
        <v>101</v>
      </c>
      <c r="N180" s="57"/>
      <c r="O180" s="88">
        <f t="shared" si="45"/>
        <v>2.9190173205363492</v>
      </c>
      <c r="P180" s="58">
        <f t="shared" ref="P180:P186" si="65">SUM(Q180:R180)</f>
        <v>317</v>
      </c>
      <c r="Q180" s="59">
        <v>187</v>
      </c>
      <c r="R180" s="59">
        <v>130</v>
      </c>
      <c r="S180" s="59"/>
      <c r="T180" s="60" t="s">
        <v>331</v>
      </c>
      <c r="U180" s="101"/>
      <c r="V180" s="78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</row>
    <row r="181" spans="1:83" s="18" customFormat="1" ht="15">
      <c r="A181" s="82" t="s">
        <v>332</v>
      </c>
      <c r="B181" s="57">
        <f t="shared" si="61"/>
        <v>1200</v>
      </c>
      <c r="C181" s="57">
        <v>575</v>
      </c>
      <c r="D181" s="57">
        <v>625</v>
      </c>
      <c r="E181" s="57">
        <v>165</v>
      </c>
      <c r="F181" s="74">
        <v>7.2727272727272725</v>
      </c>
      <c r="G181" s="57">
        <f t="shared" si="62"/>
        <v>1129</v>
      </c>
      <c r="H181" s="57">
        <v>553</v>
      </c>
      <c r="I181" s="57">
        <v>576</v>
      </c>
      <c r="J181" s="87">
        <f t="shared" si="63"/>
        <v>-1.0131108243592974</v>
      </c>
      <c r="K181" s="57">
        <f t="shared" si="64"/>
        <v>1195</v>
      </c>
      <c r="L181" s="57">
        <v>589</v>
      </c>
      <c r="M181" s="57">
        <v>606</v>
      </c>
      <c r="N181" s="57"/>
      <c r="O181" s="88">
        <f t="shared" si="45"/>
        <v>0.66839882606998968</v>
      </c>
      <c r="P181" s="58">
        <f t="shared" si="65"/>
        <v>1810</v>
      </c>
      <c r="Q181" s="59">
        <v>920</v>
      </c>
      <c r="R181" s="59">
        <v>890</v>
      </c>
      <c r="S181" s="59"/>
      <c r="T181" s="60" t="s">
        <v>333</v>
      </c>
      <c r="U181" s="101"/>
      <c r="V181" s="78"/>
      <c r="W181" s="17"/>
      <c r="X181" s="17"/>
      <c r="Y181" s="5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</row>
    <row r="182" spans="1:83" s="18" customFormat="1" ht="15">
      <c r="A182" s="82" t="s">
        <v>334</v>
      </c>
      <c r="B182" s="57">
        <f t="shared" si="61"/>
        <v>787</v>
      </c>
      <c r="C182" s="57">
        <v>374</v>
      </c>
      <c r="D182" s="57">
        <v>413</v>
      </c>
      <c r="E182" s="57">
        <v>119</v>
      </c>
      <c r="F182" s="74">
        <v>6.6134453781512601</v>
      </c>
      <c r="G182" s="57">
        <f t="shared" si="62"/>
        <v>746</v>
      </c>
      <c r="H182" s="57">
        <v>389</v>
      </c>
      <c r="I182" s="57">
        <v>357</v>
      </c>
      <c r="J182" s="87">
        <f t="shared" si="63"/>
        <v>-0.88874830919671788</v>
      </c>
      <c r="K182" s="57">
        <f t="shared" si="64"/>
        <v>776</v>
      </c>
      <c r="L182" s="57">
        <v>383</v>
      </c>
      <c r="M182" s="57">
        <v>393</v>
      </c>
      <c r="N182" s="57"/>
      <c r="O182" s="88">
        <f t="shared" si="45"/>
        <v>0.46384611740538728</v>
      </c>
      <c r="P182" s="58">
        <f t="shared" si="65"/>
        <v>982</v>
      </c>
      <c r="Q182" s="59">
        <v>513</v>
      </c>
      <c r="R182" s="59">
        <v>469</v>
      </c>
      <c r="S182" s="59"/>
      <c r="T182" s="60" t="s">
        <v>335</v>
      </c>
      <c r="U182" s="101"/>
      <c r="V182" s="78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</row>
    <row r="183" spans="1:83" s="18" customFormat="1" ht="15">
      <c r="A183" s="82" t="s">
        <v>336</v>
      </c>
      <c r="B183" s="57">
        <f t="shared" si="61"/>
        <v>295</v>
      </c>
      <c r="C183" s="57">
        <v>147</v>
      </c>
      <c r="D183" s="57">
        <v>148</v>
      </c>
      <c r="E183" s="57">
        <v>47</v>
      </c>
      <c r="F183" s="74">
        <v>6.2765957446808507</v>
      </c>
      <c r="G183" s="57">
        <f t="shared" si="62"/>
        <v>321</v>
      </c>
      <c r="H183" s="57">
        <v>161</v>
      </c>
      <c r="I183" s="57">
        <v>160</v>
      </c>
      <c r="J183" s="87">
        <f t="shared" si="63"/>
        <v>1.4030858270796678</v>
      </c>
      <c r="K183" s="57">
        <f t="shared" si="64"/>
        <v>406</v>
      </c>
      <c r="L183" s="57">
        <v>198</v>
      </c>
      <c r="M183" s="57">
        <v>208</v>
      </c>
      <c r="N183" s="57"/>
      <c r="O183" s="88">
        <f t="shared" si="45"/>
        <v>2.7636710173143144</v>
      </c>
      <c r="P183" s="58">
        <f t="shared" si="65"/>
        <v>538</v>
      </c>
      <c r="Q183" s="59">
        <v>285</v>
      </c>
      <c r="R183" s="59">
        <v>253</v>
      </c>
      <c r="S183" s="59"/>
      <c r="T183" s="60" t="s">
        <v>337</v>
      </c>
      <c r="U183" s="101"/>
      <c r="V183" s="78"/>
      <c r="W183" s="17"/>
      <c r="X183" s="17"/>
      <c r="Y183" s="57"/>
      <c r="Z183" s="57"/>
      <c r="AA183" s="17"/>
      <c r="AB183" s="17"/>
      <c r="AC183" s="17"/>
      <c r="AD183" s="17"/>
      <c r="AE183" s="17"/>
      <c r="AF183" s="17"/>
      <c r="AG183" s="4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</row>
    <row r="184" spans="1:83" s="18" customFormat="1" ht="15">
      <c r="A184" s="82" t="s">
        <v>338</v>
      </c>
      <c r="B184" s="57">
        <f t="shared" si="61"/>
        <v>936</v>
      </c>
      <c r="C184" s="57">
        <v>439</v>
      </c>
      <c r="D184" s="57">
        <v>497</v>
      </c>
      <c r="E184" s="57">
        <v>150</v>
      </c>
      <c r="F184" s="74">
        <v>6.24</v>
      </c>
      <c r="G184" s="57">
        <f t="shared" si="62"/>
        <v>811</v>
      </c>
      <c r="H184" s="57">
        <v>405</v>
      </c>
      <c r="I184" s="57">
        <v>406</v>
      </c>
      <c r="J184" s="87">
        <f t="shared" si="63"/>
        <v>-2.3811864179763971</v>
      </c>
      <c r="K184" s="57">
        <f t="shared" si="64"/>
        <v>702</v>
      </c>
      <c r="L184" s="57">
        <v>331</v>
      </c>
      <c r="M184" s="57">
        <v>371</v>
      </c>
      <c r="N184" s="57"/>
      <c r="O184" s="88">
        <f t="shared" si="45"/>
        <v>-1.6980547069364911</v>
      </c>
      <c r="P184" s="58">
        <f t="shared" si="65"/>
        <v>1427</v>
      </c>
      <c r="Q184" s="59">
        <v>733</v>
      </c>
      <c r="R184" s="59">
        <v>694</v>
      </c>
      <c r="S184" s="59"/>
      <c r="T184" s="60" t="s">
        <v>339</v>
      </c>
      <c r="U184" s="101"/>
      <c r="V184" s="78"/>
      <c r="W184" s="17"/>
      <c r="X184" s="17"/>
      <c r="Y184" s="5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</row>
    <row r="185" spans="1:83" s="18" customFormat="1" ht="15">
      <c r="A185" s="82" t="s">
        <v>340</v>
      </c>
      <c r="B185" s="57">
        <f t="shared" si="61"/>
        <v>876</v>
      </c>
      <c r="C185" s="57">
        <v>435</v>
      </c>
      <c r="D185" s="57">
        <v>441</v>
      </c>
      <c r="E185" s="57">
        <v>140</v>
      </c>
      <c r="F185" s="74">
        <v>6.2571428571428571</v>
      </c>
      <c r="G185" s="57">
        <f t="shared" si="62"/>
        <v>909</v>
      </c>
      <c r="H185" s="57">
        <v>456</v>
      </c>
      <c r="I185" s="57">
        <v>453</v>
      </c>
      <c r="J185" s="87">
        <f t="shared" si="63"/>
        <v>0.61426915682869487</v>
      </c>
      <c r="K185" s="57">
        <f t="shared" si="64"/>
        <v>947</v>
      </c>
      <c r="L185" s="57">
        <v>429</v>
      </c>
      <c r="M185" s="57">
        <v>518</v>
      </c>
      <c r="N185" s="57"/>
      <c r="O185" s="88">
        <f t="shared" si="45"/>
        <v>0.48181175304234591</v>
      </c>
      <c r="P185" s="58">
        <f t="shared" si="65"/>
        <v>1388</v>
      </c>
      <c r="Q185" s="59">
        <v>703</v>
      </c>
      <c r="R185" s="59">
        <v>685</v>
      </c>
      <c r="S185" s="59"/>
      <c r="T185" s="60" t="s">
        <v>341</v>
      </c>
      <c r="U185" s="101"/>
      <c r="V185" s="78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</row>
    <row r="186" spans="1:83" s="18" customFormat="1" ht="15">
      <c r="A186" s="82" t="s">
        <v>207</v>
      </c>
      <c r="B186" s="57">
        <f t="shared" si="61"/>
        <v>451</v>
      </c>
      <c r="C186" s="57">
        <v>234</v>
      </c>
      <c r="D186" s="57">
        <v>217</v>
      </c>
      <c r="E186" s="57">
        <v>79</v>
      </c>
      <c r="F186" s="74">
        <v>5.7088607594936711</v>
      </c>
      <c r="G186" s="57">
        <f t="shared" si="62"/>
        <v>408</v>
      </c>
      <c r="H186" s="57">
        <v>227</v>
      </c>
      <c r="I186" s="57">
        <v>181</v>
      </c>
      <c r="J186" s="87">
        <f t="shared" si="63"/>
        <v>-1.6644545697428015</v>
      </c>
      <c r="K186" s="57">
        <f t="shared" si="64"/>
        <v>350</v>
      </c>
      <c r="L186" s="57">
        <v>189</v>
      </c>
      <c r="M186" s="57">
        <v>161</v>
      </c>
      <c r="N186" s="57"/>
      <c r="O186" s="88">
        <f t="shared" si="45"/>
        <v>-1.8039296461259104</v>
      </c>
      <c r="P186" s="58">
        <f t="shared" si="65"/>
        <v>721</v>
      </c>
      <c r="Q186" s="59">
        <v>367</v>
      </c>
      <c r="R186" s="59">
        <v>354</v>
      </c>
      <c r="S186" s="59"/>
      <c r="T186" s="60" t="s">
        <v>208</v>
      </c>
      <c r="U186" s="101"/>
      <c r="V186" s="78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</row>
    <row r="187" spans="1:83" s="18" customFormat="1" ht="15">
      <c r="A187" s="82"/>
      <c r="B187" s="57"/>
      <c r="C187" s="57"/>
      <c r="D187" s="57"/>
      <c r="E187" s="57"/>
      <c r="F187" s="74"/>
      <c r="G187" s="57"/>
      <c r="H187" s="57"/>
      <c r="I187" s="57"/>
      <c r="J187" s="87"/>
      <c r="K187" s="57"/>
      <c r="L187" s="57"/>
      <c r="M187" s="57"/>
      <c r="N187" s="57"/>
      <c r="O187" s="88"/>
      <c r="P187" s="58"/>
      <c r="Q187" s="106"/>
      <c r="R187" s="106"/>
      <c r="S187" s="106"/>
      <c r="T187" s="78"/>
      <c r="U187" s="101"/>
      <c r="V187" s="78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</row>
    <row r="188" spans="1:83" s="49" customFormat="1" ht="15">
      <c r="A188" s="85" t="s">
        <v>342</v>
      </c>
      <c r="B188" s="45">
        <f t="shared" ref="B188:B193" si="66">SUM(C188:D188)</f>
        <v>3779</v>
      </c>
      <c r="C188" s="45">
        <f>SUM(C189:C193)</f>
        <v>1884</v>
      </c>
      <c r="D188" s="45">
        <f>SUM(D189:D193)</f>
        <v>1895</v>
      </c>
      <c r="E188" s="45">
        <f>SUM(E189:E193)</f>
        <v>552</v>
      </c>
      <c r="F188" s="44">
        <v>6.9204339963833634</v>
      </c>
      <c r="G188" s="45">
        <f t="shared" ref="G188:G193" si="67">SUM(H188:I188)</f>
        <v>3662</v>
      </c>
      <c r="H188" s="45">
        <f>SUM(H189:H193)</f>
        <v>1727</v>
      </c>
      <c r="I188" s="45">
        <f>SUM(I189:I193)</f>
        <v>1935</v>
      </c>
      <c r="J188" s="50">
        <f>LN(G188/B188)/6.02*100</f>
        <v>-0.52242488563177714</v>
      </c>
      <c r="K188" s="45">
        <f t="shared" ref="K188:K193" si="68">SUM(L188:M188)</f>
        <v>4140</v>
      </c>
      <c r="L188" s="45">
        <f>SUM(L189:L193)</f>
        <v>1980</v>
      </c>
      <c r="M188" s="45">
        <f>SUM(M189:M193)</f>
        <v>2160</v>
      </c>
      <c r="N188" s="45"/>
      <c r="O188" s="46">
        <f t="shared" si="45"/>
        <v>1.4433687245282836</v>
      </c>
      <c r="P188" s="47">
        <f t="shared" ref="P188:P193" si="69">SUM(Q188:R188)</f>
        <v>6264</v>
      </c>
      <c r="Q188" s="53">
        <f>SUM(Q189:Q193)</f>
        <v>3209</v>
      </c>
      <c r="R188" s="53">
        <f>SUM(R189:R193)</f>
        <v>3055</v>
      </c>
      <c r="S188" s="53"/>
      <c r="T188" s="26" t="s">
        <v>343</v>
      </c>
      <c r="U188" s="99"/>
      <c r="V188" s="26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  <c r="AK188" s="48"/>
      <c r="AL188" s="48"/>
      <c r="AM188" s="48"/>
      <c r="AN188" s="48"/>
      <c r="AO188" s="48"/>
      <c r="AP188" s="48"/>
      <c r="AQ188" s="48"/>
      <c r="AR188" s="48"/>
      <c r="AS188" s="48"/>
      <c r="AT188" s="48"/>
      <c r="AU188" s="48"/>
      <c r="AV188" s="48"/>
      <c r="AW188" s="48"/>
      <c r="AX188" s="48"/>
      <c r="AY188" s="48"/>
      <c r="AZ188" s="48"/>
      <c r="BA188" s="48"/>
      <c r="BB188" s="48"/>
      <c r="BC188" s="48"/>
      <c r="BD188" s="48"/>
      <c r="BE188" s="48"/>
      <c r="BF188" s="48"/>
      <c r="BG188" s="48"/>
      <c r="BH188" s="48"/>
      <c r="BI188" s="48"/>
      <c r="BJ188" s="48"/>
      <c r="BK188" s="48"/>
      <c r="BL188" s="48"/>
      <c r="BM188" s="48"/>
      <c r="BN188" s="48"/>
      <c r="BO188" s="48"/>
      <c r="BP188" s="48"/>
      <c r="BQ188" s="48"/>
      <c r="BR188" s="48"/>
      <c r="BS188" s="48"/>
      <c r="BT188" s="48"/>
      <c r="BU188" s="48"/>
      <c r="BV188" s="48"/>
      <c r="BW188" s="48"/>
      <c r="BX188" s="48"/>
      <c r="BY188" s="48"/>
      <c r="BZ188" s="48"/>
      <c r="CA188" s="48"/>
      <c r="CB188" s="48"/>
      <c r="CC188" s="48"/>
      <c r="CD188" s="48"/>
      <c r="CE188" s="48"/>
    </row>
    <row r="189" spans="1:83" s="18" customFormat="1" ht="15">
      <c r="A189" s="82" t="s">
        <v>344</v>
      </c>
      <c r="B189" s="57">
        <f t="shared" si="66"/>
        <v>799</v>
      </c>
      <c r="C189" s="57">
        <v>390</v>
      </c>
      <c r="D189" s="57">
        <v>409</v>
      </c>
      <c r="E189" s="57">
        <v>128</v>
      </c>
      <c r="F189" s="74">
        <v>6.2421875</v>
      </c>
      <c r="G189" s="57">
        <f t="shared" si="67"/>
        <v>741</v>
      </c>
      <c r="H189" s="104">
        <v>320</v>
      </c>
      <c r="I189" s="104">
        <v>421</v>
      </c>
      <c r="J189" s="89">
        <v>-1.4165595517822882</v>
      </c>
      <c r="K189" s="57">
        <f t="shared" si="68"/>
        <v>810</v>
      </c>
      <c r="L189" s="57">
        <v>372</v>
      </c>
      <c r="M189" s="57">
        <v>438</v>
      </c>
      <c r="N189" s="57"/>
      <c r="O189" s="88">
        <f t="shared" si="45"/>
        <v>1.0474543808282075</v>
      </c>
      <c r="P189" s="58">
        <f t="shared" si="69"/>
        <v>1286</v>
      </c>
      <c r="Q189" s="59">
        <v>643</v>
      </c>
      <c r="R189" s="59">
        <v>643</v>
      </c>
      <c r="S189" s="59"/>
      <c r="T189" s="60" t="s">
        <v>345</v>
      </c>
      <c r="U189" s="101"/>
      <c r="V189" s="78"/>
      <c r="W189" s="17"/>
      <c r="X189" s="57"/>
      <c r="Y189" s="57"/>
      <c r="Z189" s="5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</row>
    <row r="190" spans="1:83" s="18" customFormat="1" ht="15">
      <c r="A190" s="82" t="s">
        <v>346</v>
      </c>
      <c r="B190" s="57">
        <f t="shared" si="66"/>
        <v>827</v>
      </c>
      <c r="C190" s="57">
        <v>419</v>
      </c>
      <c r="D190" s="57">
        <v>408</v>
      </c>
      <c r="E190" s="57">
        <v>136</v>
      </c>
      <c r="F190" s="74">
        <v>6.0808823529411766</v>
      </c>
      <c r="G190" s="57">
        <f t="shared" si="67"/>
        <v>821</v>
      </c>
      <c r="H190" s="104">
        <v>389</v>
      </c>
      <c r="I190" s="104">
        <v>432</v>
      </c>
      <c r="J190" s="89">
        <v>-0.57502085571647177</v>
      </c>
      <c r="K190" s="57">
        <f t="shared" si="68"/>
        <v>869</v>
      </c>
      <c r="L190" s="57">
        <v>423</v>
      </c>
      <c r="M190" s="57">
        <v>446</v>
      </c>
      <c r="N190" s="57"/>
      <c r="O190" s="88">
        <f t="shared" si="45"/>
        <v>0.66847077427016133</v>
      </c>
      <c r="P190" s="58">
        <f t="shared" si="69"/>
        <v>1357</v>
      </c>
      <c r="Q190" s="59">
        <v>707</v>
      </c>
      <c r="R190" s="59">
        <v>650</v>
      </c>
      <c r="S190" s="59"/>
      <c r="T190" s="60" t="s">
        <v>347</v>
      </c>
      <c r="U190" s="101"/>
      <c r="V190" s="78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</row>
    <row r="191" spans="1:83" s="18" customFormat="1" ht="15">
      <c r="A191" s="82" t="s">
        <v>175</v>
      </c>
      <c r="B191" s="57">
        <f t="shared" si="66"/>
        <v>422</v>
      </c>
      <c r="C191" s="57">
        <v>188</v>
      </c>
      <c r="D191" s="57">
        <v>234</v>
      </c>
      <c r="E191" s="57">
        <v>73</v>
      </c>
      <c r="F191" s="74">
        <v>5.7808219178082192</v>
      </c>
      <c r="G191" s="57">
        <f t="shared" si="67"/>
        <v>518</v>
      </c>
      <c r="H191" s="104">
        <v>248</v>
      </c>
      <c r="I191" s="104">
        <v>270</v>
      </c>
      <c r="J191" s="89">
        <v>3.4862019622614571</v>
      </c>
      <c r="K191" s="57">
        <f t="shared" si="68"/>
        <v>524</v>
      </c>
      <c r="L191" s="57">
        <v>261</v>
      </c>
      <c r="M191" s="57">
        <v>263</v>
      </c>
      <c r="N191" s="57"/>
      <c r="O191" s="88">
        <f t="shared" si="45"/>
        <v>0.13548755366540097</v>
      </c>
      <c r="P191" s="58">
        <f t="shared" si="69"/>
        <v>863</v>
      </c>
      <c r="Q191" s="59">
        <v>441</v>
      </c>
      <c r="R191" s="59">
        <v>422</v>
      </c>
      <c r="S191" s="59"/>
      <c r="T191" s="60" t="s">
        <v>176</v>
      </c>
      <c r="U191" s="101"/>
      <c r="V191" s="78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</row>
    <row r="192" spans="1:83" s="18" customFormat="1" ht="15">
      <c r="A192" s="82" t="s">
        <v>348</v>
      </c>
      <c r="B192" s="57">
        <f t="shared" si="66"/>
        <v>227</v>
      </c>
      <c r="C192" s="57">
        <v>125</v>
      </c>
      <c r="D192" s="57">
        <v>102</v>
      </c>
      <c r="E192" s="57">
        <v>38</v>
      </c>
      <c r="F192" s="74">
        <v>5.9736842105263159</v>
      </c>
      <c r="G192" s="57">
        <f t="shared" si="67"/>
        <v>279</v>
      </c>
      <c r="H192" s="104">
        <v>144</v>
      </c>
      <c r="I192" s="104">
        <v>135</v>
      </c>
      <c r="J192" s="89">
        <v>3.4434351308841897</v>
      </c>
      <c r="K192" s="57">
        <f t="shared" si="68"/>
        <v>384</v>
      </c>
      <c r="L192" s="57">
        <v>195</v>
      </c>
      <c r="M192" s="57">
        <v>189</v>
      </c>
      <c r="N192" s="57"/>
      <c r="O192" s="88">
        <f t="shared" si="45"/>
        <v>3.7580090678395446</v>
      </c>
      <c r="P192" s="58">
        <f t="shared" si="69"/>
        <v>586</v>
      </c>
      <c r="Q192" s="59">
        <v>320</v>
      </c>
      <c r="R192" s="59">
        <v>266</v>
      </c>
      <c r="S192" s="59"/>
      <c r="T192" s="60" t="s">
        <v>349</v>
      </c>
      <c r="U192" s="101"/>
      <c r="V192" s="78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</row>
    <row r="193" spans="1:83" s="18" customFormat="1" ht="15">
      <c r="A193" s="82" t="s">
        <v>350</v>
      </c>
      <c r="B193" s="57">
        <f t="shared" si="66"/>
        <v>1504</v>
      </c>
      <c r="C193" s="57">
        <v>762</v>
      </c>
      <c r="D193" s="57">
        <v>742</v>
      </c>
      <c r="E193" s="57">
        <v>177</v>
      </c>
      <c r="F193" s="74">
        <v>8.4971751412429377</v>
      </c>
      <c r="G193" s="57">
        <f t="shared" si="67"/>
        <v>1303</v>
      </c>
      <c r="H193" s="104">
        <v>626</v>
      </c>
      <c r="I193" s="104">
        <v>677</v>
      </c>
      <c r="J193" s="89">
        <v>-2.5365078492026369</v>
      </c>
      <c r="K193" s="57">
        <f t="shared" si="68"/>
        <v>1553</v>
      </c>
      <c r="L193" s="57">
        <v>729</v>
      </c>
      <c r="M193" s="57">
        <v>824</v>
      </c>
      <c r="N193" s="57"/>
      <c r="O193" s="88">
        <f t="shared" si="45"/>
        <v>2.0649323061628468</v>
      </c>
      <c r="P193" s="58">
        <f t="shared" si="69"/>
        <v>2172</v>
      </c>
      <c r="Q193" s="59">
        <v>1098</v>
      </c>
      <c r="R193" s="59">
        <v>1074</v>
      </c>
      <c r="S193" s="59"/>
      <c r="T193" s="60" t="s">
        <v>351</v>
      </c>
      <c r="U193" s="101"/>
      <c r="V193" s="78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</row>
    <row r="194" spans="1:83" s="17" customFormat="1" ht="15">
      <c r="A194" s="99"/>
      <c r="B194" s="57"/>
      <c r="C194" s="57"/>
      <c r="D194" s="57"/>
      <c r="E194" s="57"/>
      <c r="F194" s="74"/>
      <c r="G194" s="57"/>
      <c r="H194" s="57"/>
      <c r="I194" s="57"/>
      <c r="J194" s="87"/>
      <c r="K194" s="57"/>
      <c r="L194" s="57"/>
      <c r="M194" s="57"/>
      <c r="N194" s="57"/>
      <c r="O194" s="88"/>
      <c r="P194" s="58"/>
      <c r="Q194" s="106"/>
      <c r="R194" s="106"/>
      <c r="S194" s="106"/>
      <c r="T194" s="78"/>
      <c r="U194" s="101"/>
      <c r="V194" s="78"/>
    </row>
    <row r="195" spans="1:83" s="49" customFormat="1" ht="15">
      <c r="A195" s="85" t="s">
        <v>352</v>
      </c>
      <c r="B195" s="45">
        <f t="shared" ref="B195:B203" si="70">SUM(C195:D195)</f>
        <v>4927</v>
      </c>
      <c r="C195" s="45">
        <f>SUM(C196:C203)</f>
        <v>2422</v>
      </c>
      <c r="D195" s="45">
        <f>SUM(D196:D203)</f>
        <v>2505</v>
      </c>
      <c r="E195" s="45">
        <f>SUM(E196:E203)</f>
        <v>809</v>
      </c>
      <c r="F195" s="44">
        <v>6.2401477832512313</v>
      </c>
      <c r="G195" s="45">
        <f>SUM(H195:I195)</f>
        <v>4720</v>
      </c>
      <c r="H195" s="45">
        <f>SUM(H196:H203)</f>
        <v>2335</v>
      </c>
      <c r="I195" s="45">
        <f>SUM(I196:I203)</f>
        <v>2385</v>
      </c>
      <c r="J195" s="50">
        <f>LN(G195/B195)/6.02*100</f>
        <v>-0.71298146120202699</v>
      </c>
      <c r="K195" s="45">
        <f>SUM(L195:M195)</f>
        <v>5329</v>
      </c>
      <c r="L195" s="45">
        <f>SUM(L196:L203)</f>
        <v>2603</v>
      </c>
      <c r="M195" s="45">
        <f>SUM(M196:M203)</f>
        <v>2726</v>
      </c>
      <c r="N195" s="45"/>
      <c r="O195" s="46">
        <f t="shared" si="45"/>
        <v>1.4277035731433079</v>
      </c>
      <c r="P195" s="47">
        <f t="shared" ref="P195:P203" si="71">SUM(Q195:R195)</f>
        <v>7932</v>
      </c>
      <c r="Q195" s="53">
        <f>SUM(Q196:Q203)</f>
        <v>4037</v>
      </c>
      <c r="R195" s="53">
        <f>SUM(R196:R203)</f>
        <v>3895</v>
      </c>
      <c r="S195" s="53"/>
      <c r="T195" s="26" t="s">
        <v>353</v>
      </c>
      <c r="U195" s="99"/>
      <c r="V195" s="26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/>
      <c r="AR195" s="48"/>
      <c r="AS195" s="48"/>
      <c r="AT195" s="48"/>
      <c r="AU195" s="48"/>
      <c r="AV195" s="48"/>
      <c r="AW195" s="48"/>
      <c r="AX195" s="48"/>
      <c r="AY195" s="48"/>
      <c r="AZ195" s="48"/>
      <c r="BA195" s="48"/>
      <c r="BB195" s="48"/>
      <c r="BC195" s="48"/>
      <c r="BD195" s="48"/>
      <c r="BE195" s="48"/>
      <c r="BF195" s="48"/>
      <c r="BG195" s="48"/>
      <c r="BH195" s="48"/>
      <c r="BI195" s="48"/>
      <c r="BJ195" s="48"/>
      <c r="BK195" s="48"/>
      <c r="BL195" s="48"/>
      <c r="BM195" s="48"/>
      <c r="BN195" s="48"/>
      <c r="BO195" s="48"/>
      <c r="BP195" s="48"/>
      <c r="BQ195" s="48"/>
      <c r="BR195" s="48"/>
      <c r="BS195" s="48"/>
      <c r="BT195" s="48"/>
      <c r="BU195" s="48"/>
      <c r="BV195" s="48"/>
      <c r="BW195" s="48"/>
      <c r="BX195" s="48"/>
      <c r="BY195" s="48"/>
      <c r="BZ195" s="48"/>
      <c r="CA195" s="48"/>
      <c r="CB195" s="48"/>
      <c r="CC195" s="48"/>
      <c r="CD195" s="48"/>
      <c r="CE195" s="48"/>
    </row>
    <row r="196" spans="1:83" s="18" customFormat="1" ht="15">
      <c r="A196" s="82" t="s">
        <v>213</v>
      </c>
      <c r="B196" s="57">
        <f t="shared" si="70"/>
        <v>908</v>
      </c>
      <c r="C196" s="57">
        <v>476</v>
      </c>
      <c r="D196" s="57">
        <v>432</v>
      </c>
      <c r="E196" s="57">
        <v>124</v>
      </c>
      <c r="F196" s="74">
        <v>7.32258064516129</v>
      </c>
      <c r="G196" s="57">
        <f>SUM(H196:I196)</f>
        <v>919</v>
      </c>
      <c r="H196" s="57">
        <v>519</v>
      </c>
      <c r="I196" s="57">
        <v>400</v>
      </c>
      <c r="J196" s="87">
        <f>LN(G196/B196)/6.02*100</f>
        <v>0.20002896601982864</v>
      </c>
      <c r="K196" s="57">
        <f>SUM(L196:M196)</f>
        <v>870</v>
      </c>
      <c r="L196" s="57">
        <v>472</v>
      </c>
      <c r="M196" s="57">
        <v>398</v>
      </c>
      <c r="N196" s="57"/>
      <c r="O196" s="88">
        <f t="shared" si="45"/>
        <v>-0.64462247890656044</v>
      </c>
      <c r="P196" s="58">
        <f t="shared" si="71"/>
        <v>1419</v>
      </c>
      <c r="Q196" s="59">
        <v>765</v>
      </c>
      <c r="R196" s="59">
        <v>654</v>
      </c>
      <c r="S196" s="59"/>
      <c r="T196" s="60" t="s">
        <v>214</v>
      </c>
      <c r="U196" s="101"/>
      <c r="V196" s="78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</row>
    <row r="197" spans="1:83" s="18" customFormat="1" ht="15">
      <c r="A197" s="82" t="s">
        <v>354</v>
      </c>
      <c r="B197" s="57">
        <f t="shared" si="70"/>
        <v>578</v>
      </c>
      <c r="C197" s="57">
        <v>293</v>
      </c>
      <c r="D197" s="57">
        <v>285</v>
      </c>
      <c r="E197" s="57">
        <v>77</v>
      </c>
      <c r="F197" s="74">
        <v>7.5064935064935066</v>
      </c>
      <c r="G197" s="57">
        <f t="shared" ref="G197:G203" si="72">SUM(H197:I197)</f>
        <v>578</v>
      </c>
      <c r="H197" s="57">
        <v>294</v>
      </c>
      <c r="I197" s="57">
        <v>284</v>
      </c>
      <c r="J197" s="87">
        <f>LN(G197/B197)/6.02*100</f>
        <v>0</v>
      </c>
      <c r="K197" s="57">
        <f>SUM(L197:M197)</f>
        <v>716</v>
      </c>
      <c r="L197" s="57">
        <v>393</v>
      </c>
      <c r="M197" s="57">
        <v>323</v>
      </c>
      <c r="N197" s="57"/>
      <c r="O197" s="88">
        <f t="shared" si="45"/>
        <v>2.5188976269208028</v>
      </c>
      <c r="P197" s="58">
        <f t="shared" si="71"/>
        <v>974</v>
      </c>
      <c r="Q197" s="59">
        <v>502</v>
      </c>
      <c r="R197" s="59">
        <v>472</v>
      </c>
      <c r="S197" s="59"/>
      <c r="T197" s="60" t="s">
        <v>355</v>
      </c>
      <c r="U197" s="101"/>
      <c r="V197" s="78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</row>
    <row r="198" spans="1:83" s="18" customFormat="1" ht="15">
      <c r="A198" s="82" t="s">
        <v>356</v>
      </c>
      <c r="B198" s="57">
        <f t="shared" si="70"/>
        <v>420</v>
      </c>
      <c r="C198" s="57">
        <v>193</v>
      </c>
      <c r="D198" s="57">
        <v>227</v>
      </c>
      <c r="E198" s="57">
        <v>92</v>
      </c>
      <c r="F198" s="74">
        <v>4.5652173913043477</v>
      </c>
      <c r="G198" s="57">
        <f t="shared" si="72"/>
        <v>207</v>
      </c>
      <c r="H198" s="57">
        <v>98</v>
      </c>
      <c r="I198" s="57">
        <v>109</v>
      </c>
      <c r="J198" s="87">
        <f>LN(G198/B198)/6.02*100</f>
        <v>-11.753088339070514</v>
      </c>
      <c r="K198" s="57">
        <f>SUM(L198:M198)</f>
        <v>255</v>
      </c>
      <c r="L198" s="57">
        <v>130</v>
      </c>
      <c r="M198" s="57">
        <v>125</v>
      </c>
      <c r="N198" s="57"/>
      <c r="O198" s="88">
        <f t="shared" si="45"/>
        <v>2.4534676693300823</v>
      </c>
      <c r="P198" s="58">
        <f t="shared" si="71"/>
        <v>417</v>
      </c>
      <c r="Q198" s="59">
        <v>217</v>
      </c>
      <c r="R198" s="59">
        <v>200</v>
      </c>
      <c r="S198" s="59"/>
      <c r="T198" s="60" t="s">
        <v>357</v>
      </c>
      <c r="U198" s="101"/>
      <c r="V198" s="78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</row>
    <row r="199" spans="1:83" s="18" customFormat="1" ht="15">
      <c r="A199" s="82" t="s">
        <v>358</v>
      </c>
      <c r="B199" s="57">
        <f t="shared" si="70"/>
        <v>524</v>
      </c>
      <c r="C199" s="57">
        <v>240</v>
      </c>
      <c r="D199" s="57">
        <v>284</v>
      </c>
      <c r="E199" s="57">
        <v>97</v>
      </c>
      <c r="F199" s="74">
        <v>5.4020618556701034</v>
      </c>
      <c r="G199" s="57">
        <f t="shared" si="72"/>
        <v>566</v>
      </c>
      <c r="H199" s="57">
        <v>261</v>
      </c>
      <c r="I199" s="57">
        <v>305</v>
      </c>
      <c r="J199" s="87">
        <f>LN(G199/B199)/6.02*100</f>
        <v>1.280770662494034</v>
      </c>
      <c r="K199" s="57">
        <f>SUM(L199:M199)</f>
        <v>681</v>
      </c>
      <c r="L199" s="57">
        <v>328</v>
      </c>
      <c r="M199" s="57">
        <v>353</v>
      </c>
      <c r="N199" s="57"/>
      <c r="O199" s="88">
        <f t="shared" si="45"/>
        <v>2.1760967993685805</v>
      </c>
      <c r="P199" s="58">
        <f t="shared" si="71"/>
        <v>943</v>
      </c>
      <c r="Q199" s="59">
        <v>471</v>
      </c>
      <c r="R199" s="59">
        <v>472</v>
      </c>
      <c r="S199" s="59"/>
      <c r="T199" s="60" t="s">
        <v>359</v>
      </c>
      <c r="U199" s="101"/>
      <c r="V199" s="78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</row>
    <row r="200" spans="1:83" s="18" customFormat="1" ht="15">
      <c r="A200" s="82" t="s">
        <v>360</v>
      </c>
      <c r="B200" s="57">
        <f t="shared" si="70"/>
        <v>322</v>
      </c>
      <c r="C200" s="57">
        <v>146</v>
      </c>
      <c r="D200" s="57">
        <v>176</v>
      </c>
      <c r="E200" s="57">
        <v>62</v>
      </c>
      <c r="F200" s="74">
        <v>5.193548387096774</v>
      </c>
      <c r="G200" s="57">
        <f t="shared" si="72"/>
        <v>0</v>
      </c>
      <c r="H200" s="57">
        <v>0</v>
      </c>
      <c r="I200" s="57">
        <v>0</v>
      </c>
      <c r="J200" s="87" t="s">
        <v>41</v>
      </c>
      <c r="K200" s="57" t="s">
        <v>44</v>
      </c>
      <c r="L200" s="57" t="s">
        <v>44</v>
      </c>
      <c r="M200" s="57" t="s">
        <v>44</v>
      </c>
      <c r="N200" s="57"/>
      <c r="O200" s="74" t="s">
        <v>44</v>
      </c>
      <c r="P200" s="58">
        <f t="shared" si="71"/>
        <v>1</v>
      </c>
      <c r="Q200" s="59">
        <v>0</v>
      </c>
      <c r="R200" s="59">
        <v>1</v>
      </c>
      <c r="S200" s="59"/>
      <c r="T200" s="91" t="s">
        <v>361</v>
      </c>
      <c r="U200" s="107"/>
      <c r="V200" s="108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</row>
    <row r="201" spans="1:83" s="18" customFormat="1" ht="15">
      <c r="A201" s="82" t="s">
        <v>362</v>
      </c>
      <c r="B201" s="57">
        <f t="shared" si="70"/>
        <v>346</v>
      </c>
      <c r="C201" s="57">
        <v>168</v>
      </c>
      <c r="D201" s="57">
        <v>178</v>
      </c>
      <c r="E201" s="57">
        <v>59</v>
      </c>
      <c r="F201" s="74">
        <v>5.8644067796610173</v>
      </c>
      <c r="G201" s="57">
        <f t="shared" si="72"/>
        <v>211</v>
      </c>
      <c r="H201" s="57">
        <v>93</v>
      </c>
      <c r="I201" s="57">
        <v>118</v>
      </c>
      <c r="J201" s="87">
        <f>LN(G201/B201)/6.02*100</f>
        <v>-8.2156252754428198</v>
      </c>
      <c r="K201" s="57" t="s">
        <v>44</v>
      </c>
      <c r="L201" s="57" t="s">
        <v>44</v>
      </c>
      <c r="M201" s="57" t="s">
        <v>44</v>
      </c>
      <c r="N201" s="57"/>
      <c r="O201" s="74" t="s">
        <v>44</v>
      </c>
      <c r="P201" s="58">
        <f t="shared" si="71"/>
        <v>12</v>
      </c>
      <c r="Q201" s="59">
        <v>8</v>
      </c>
      <c r="R201" s="59">
        <v>4</v>
      </c>
      <c r="S201" s="59"/>
      <c r="T201" s="60" t="s">
        <v>363</v>
      </c>
      <c r="U201" s="101"/>
      <c r="V201" s="78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</row>
    <row r="202" spans="1:83" s="18" customFormat="1" ht="15">
      <c r="A202" s="82" t="s">
        <v>364</v>
      </c>
      <c r="B202" s="57">
        <f t="shared" si="70"/>
        <v>597</v>
      </c>
      <c r="C202" s="57">
        <v>293</v>
      </c>
      <c r="D202" s="57">
        <v>304</v>
      </c>
      <c r="E202" s="57">
        <v>99</v>
      </c>
      <c r="F202" s="74">
        <v>6.0303030303030303</v>
      </c>
      <c r="G202" s="57">
        <f t="shared" si="72"/>
        <v>600</v>
      </c>
      <c r="H202" s="57">
        <v>295</v>
      </c>
      <c r="I202" s="57">
        <v>305</v>
      </c>
      <c r="J202" s="87">
        <f>LN(G202/B202)/6.02*100</f>
        <v>8.3264814344587934E-2</v>
      </c>
      <c r="K202" s="57">
        <f>SUM(L202:M202)</f>
        <v>591</v>
      </c>
      <c r="L202" s="57">
        <v>262</v>
      </c>
      <c r="M202" s="57">
        <v>329</v>
      </c>
      <c r="N202" s="57"/>
      <c r="O202" s="88">
        <f t="shared" si="45"/>
        <v>-0.17780750364762571</v>
      </c>
      <c r="P202" s="58">
        <f t="shared" si="71"/>
        <v>1004</v>
      </c>
      <c r="Q202" s="59">
        <v>510</v>
      </c>
      <c r="R202" s="59">
        <v>494</v>
      </c>
      <c r="S202" s="59"/>
      <c r="T202" s="60" t="s">
        <v>365</v>
      </c>
      <c r="U202" s="101"/>
      <c r="V202" s="78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</row>
    <row r="203" spans="1:83" s="18" customFormat="1" ht="15">
      <c r="A203" s="82" t="s">
        <v>366</v>
      </c>
      <c r="B203" s="57">
        <f t="shared" si="70"/>
        <v>1232</v>
      </c>
      <c r="C203" s="57">
        <v>613</v>
      </c>
      <c r="D203" s="57">
        <v>619</v>
      </c>
      <c r="E203" s="57">
        <v>199</v>
      </c>
      <c r="F203" s="74">
        <v>6.1909547738693469</v>
      </c>
      <c r="G203" s="57">
        <f t="shared" si="72"/>
        <v>1639</v>
      </c>
      <c r="H203" s="57">
        <v>775</v>
      </c>
      <c r="I203" s="57">
        <v>864</v>
      </c>
      <c r="J203" s="87">
        <f>LN(G203/B203)/6.02*100</f>
        <v>4.7416517383781489</v>
      </c>
      <c r="K203" s="57">
        <f>SUM(L203:M203)</f>
        <v>2216</v>
      </c>
      <c r="L203" s="57">
        <v>1018</v>
      </c>
      <c r="M203" s="57">
        <v>1198</v>
      </c>
      <c r="N203" s="57"/>
      <c r="O203" s="88">
        <f t="shared" si="45"/>
        <v>3.5484408132158212</v>
      </c>
      <c r="P203" s="58">
        <f t="shared" si="71"/>
        <v>3162</v>
      </c>
      <c r="Q203" s="59">
        <v>1564</v>
      </c>
      <c r="R203" s="59">
        <v>1598</v>
      </c>
      <c r="S203" s="59"/>
      <c r="T203" s="60" t="s">
        <v>367</v>
      </c>
      <c r="U203" s="101"/>
      <c r="V203" s="78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</row>
    <row r="204" spans="1:83" s="18" customFormat="1" ht="15">
      <c r="A204" s="82"/>
      <c r="B204" s="57"/>
      <c r="C204" s="57"/>
      <c r="D204" s="57"/>
      <c r="E204" s="57"/>
      <c r="F204" s="74"/>
      <c r="G204" s="57"/>
      <c r="H204" s="57"/>
      <c r="I204" s="57"/>
      <c r="J204" s="87"/>
      <c r="K204" s="57"/>
      <c r="L204" s="57"/>
      <c r="M204" s="57"/>
      <c r="N204" s="57"/>
      <c r="O204" s="88"/>
      <c r="P204" s="58"/>
      <c r="Q204" s="106"/>
      <c r="R204" s="106"/>
      <c r="S204" s="106"/>
      <c r="T204" s="78"/>
      <c r="U204" s="101"/>
      <c r="V204" s="78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</row>
    <row r="205" spans="1:83" s="49" customFormat="1" ht="15">
      <c r="A205" s="85" t="s">
        <v>368</v>
      </c>
      <c r="B205" s="45">
        <f t="shared" ref="B205:B218" si="73">SUM(C205:D205)</f>
        <v>9302</v>
      </c>
      <c r="C205" s="45">
        <f>SUM(C206:C218)</f>
        <v>4505</v>
      </c>
      <c r="D205" s="45">
        <f>SUM(D206:D218)</f>
        <v>4797</v>
      </c>
      <c r="E205" s="45">
        <f>SUM(E206:E218)</f>
        <v>1570</v>
      </c>
      <c r="F205" s="44">
        <v>5.919211195928753</v>
      </c>
      <c r="G205" s="45">
        <f>SUM(H205:I205)</f>
        <v>8451</v>
      </c>
      <c r="H205" s="45">
        <f>SUM(H206:H218)</f>
        <v>4174</v>
      </c>
      <c r="I205" s="45">
        <f>SUM(I206:I218)</f>
        <v>4277</v>
      </c>
      <c r="J205" s="50">
        <f>LN(G205/B205)/6.02*100</f>
        <v>-1.593765003979402</v>
      </c>
      <c r="K205" s="45">
        <f t="shared" ref="K205:K218" si="74">SUM(L205:M205)</f>
        <v>8923</v>
      </c>
      <c r="L205" s="45">
        <f>SUM(L206:L218)</f>
        <v>4396</v>
      </c>
      <c r="M205" s="45">
        <f>SUM(M206:M218)</f>
        <v>4527</v>
      </c>
      <c r="N205" s="45"/>
      <c r="O205" s="46">
        <f t="shared" si="45"/>
        <v>0.6393815924196381</v>
      </c>
      <c r="P205" s="47">
        <f t="shared" ref="P205:P218" si="75">SUM(Q205:R205)</f>
        <v>16161</v>
      </c>
      <c r="Q205" s="53">
        <f>SUM(Q206:Q218)</f>
        <v>8231</v>
      </c>
      <c r="R205" s="53">
        <f>SUM(R206:R218)</f>
        <v>7930</v>
      </c>
      <c r="S205" s="53"/>
      <c r="T205" s="26" t="s">
        <v>369</v>
      </c>
      <c r="U205" s="99"/>
      <c r="V205" s="26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48"/>
      <c r="AJ205" s="48"/>
      <c r="AK205" s="48"/>
      <c r="AL205" s="48"/>
      <c r="AM205" s="48"/>
      <c r="AN205" s="48"/>
      <c r="AO205" s="48"/>
      <c r="AP205" s="48"/>
      <c r="AQ205" s="48"/>
      <c r="AR205" s="48"/>
      <c r="AS205" s="48"/>
      <c r="AT205" s="48"/>
      <c r="AU205" s="48"/>
      <c r="AV205" s="48"/>
      <c r="AW205" s="48"/>
      <c r="AX205" s="48"/>
      <c r="AY205" s="48"/>
      <c r="AZ205" s="48"/>
      <c r="BA205" s="48"/>
      <c r="BB205" s="48"/>
      <c r="BC205" s="48"/>
      <c r="BD205" s="48"/>
      <c r="BE205" s="48"/>
      <c r="BF205" s="48"/>
      <c r="BG205" s="48"/>
      <c r="BH205" s="48"/>
      <c r="BI205" s="48"/>
      <c r="BJ205" s="48"/>
      <c r="BK205" s="48"/>
      <c r="BL205" s="48"/>
      <c r="BM205" s="48"/>
      <c r="BN205" s="48"/>
      <c r="BO205" s="48"/>
      <c r="BP205" s="48"/>
      <c r="BQ205" s="48"/>
      <c r="BR205" s="48"/>
      <c r="BS205" s="48"/>
      <c r="BT205" s="48"/>
      <c r="BU205" s="48"/>
      <c r="BV205" s="48"/>
      <c r="BW205" s="48"/>
      <c r="BX205" s="48"/>
      <c r="BY205" s="48"/>
      <c r="BZ205" s="48"/>
      <c r="CA205" s="48"/>
      <c r="CB205" s="48"/>
      <c r="CC205" s="48"/>
      <c r="CD205" s="48"/>
      <c r="CE205" s="48"/>
    </row>
    <row r="206" spans="1:83" s="18" customFormat="1" ht="15">
      <c r="A206" s="82" t="s">
        <v>370</v>
      </c>
      <c r="B206" s="57">
        <f t="shared" si="73"/>
        <v>304</v>
      </c>
      <c r="C206" s="57">
        <v>130</v>
      </c>
      <c r="D206" s="57">
        <v>174</v>
      </c>
      <c r="E206" s="57">
        <v>70</v>
      </c>
      <c r="F206" s="74">
        <v>4.3428571428571425</v>
      </c>
      <c r="G206" s="57">
        <f>SUM(H206:I206)</f>
        <v>1130</v>
      </c>
      <c r="H206" s="57">
        <v>552</v>
      </c>
      <c r="I206" s="57">
        <v>578</v>
      </c>
      <c r="J206" s="87">
        <f>LN(G206/B206)/6.02*100</f>
        <v>21.80972110133164</v>
      </c>
      <c r="K206" s="57">
        <f t="shared" si="74"/>
        <v>312</v>
      </c>
      <c r="L206" s="57">
        <v>145</v>
      </c>
      <c r="M206" s="57">
        <v>167</v>
      </c>
      <c r="N206" s="57"/>
      <c r="O206" s="88">
        <f t="shared" si="45"/>
        <v>-15.140820281140046</v>
      </c>
      <c r="P206" s="58">
        <f t="shared" si="75"/>
        <v>605</v>
      </c>
      <c r="Q206" s="59">
        <v>287</v>
      </c>
      <c r="R206" s="59">
        <v>318</v>
      </c>
      <c r="S206" s="59"/>
      <c r="T206" s="60" t="s">
        <v>371</v>
      </c>
      <c r="U206" s="101"/>
      <c r="V206" s="78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</row>
    <row r="207" spans="1:83" s="18" customFormat="1" ht="15">
      <c r="A207" s="82" t="s">
        <v>372</v>
      </c>
      <c r="B207" s="57">
        <f t="shared" si="73"/>
        <v>1155</v>
      </c>
      <c r="C207" s="57">
        <v>556</v>
      </c>
      <c r="D207" s="57">
        <v>599</v>
      </c>
      <c r="E207" s="57">
        <v>186</v>
      </c>
      <c r="F207" s="74">
        <v>6.209677419354839</v>
      </c>
      <c r="G207" s="57">
        <f t="shared" ref="G207:G218" si="76">SUM(H207:I207)</f>
        <v>16</v>
      </c>
      <c r="H207" s="57">
        <v>14</v>
      </c>
      <c r="I207" s="57">
        <v>2</v>
      </c>
      <c r="J207" s="87" t="s">
        <v>41</v>
      </c>
      <c r="K207" s="57">
        <f t="shared" si="74"/>
        <v>976</v>
      </c>
      <c r="L207" s="57">
        <v>463</v>
      </c>
      <c r="M207" s="57">
        <v>513</v>
      </c>
      <c r="N207" s="57"/>
      <c r="O207" s="88">
        <f t="shared" si="45"/>
        <v>48.363221931450724</v>
      </c>
      <c r="P207" s="58">
        <f t="shared" si="75"/>
        <v>2112</v>
      </c>
      <c r="Q207" s="59">
        <v>1061</v>
      </c>
      <c r="R207" s="59">
        <v>1051</v>
      </c>
      <c r="S207" s="59"/>
      <c r="T207" s="91" t="s">
        <v>373</v>
      </c>
      <c r="U207" s="107"/>
      <c r="V207" s="108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</row>
    <row r="208" spans="1:83" s="18" customFormat="1" ht="15">
      <c r="A208" s="82" t="s">
        <v>374</v>
      </c>
      <c r="B208" s="57">
        <f t="shared" si="73"/>
        <v>664</v>
      </c>
      <c r="C208" s="57">
        <v>292</v>
      </c>
      <c r="D208" s="57">
        <v>372</v>
      </c>
      <c r="E208" s="57">
        <v>104</v>
      </c>
      <c r="F208" s="74">
        <v>6.384615384615385</v>
      </c>
      <c r="G208" s="57">
        <f t="shared" si="76"/>
        <v>720</v>
      </c>
      <c r="H208" s="57">
        <v>357</v>
      </c>
      <c r="I208" s="57">
        <v>363</v>
      </c>
      <c r="J208" s="87">
        <f t="shared" ref="J208:J218" si="77">LN(G208/B208)/6.02*100</f>
        <v>1.345001038765234</v>
      </c>
      <c r="K208" s="57">
        <f t="shared" si="74"/>
        <v>742</v>
      </c>
      <c r="L208" s="57">
        <v>342</v>
      </c>
      <c r="M208" s="57">
        <v>400</v>
      </c>
      <c r="N208" s="57"/>
      <c r="O208" s="88">
        <f t="shared" si="45"/>
        <v>0.35409448420328643</v>
      </c>
      <c r="P208" s="58">
        <f t="shared" si="75"/>
        <v>1347</v>
      </c>
      <c r="Q208" s="59">
        <v>654</v>
      </c>
      <c r="R208" s="59">
        <v>693</v>
      </c>
      <c r="S208" s="59"/>
      <c r="T208" s="60" t="s">
        <v>375</v>
      </c>
      <c r="U208" s="101"/>
      <c r="V208" s="78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</row>
    <row r="209" spans="1:83" s="18" customFormat="1" ht="15">
      <c r="A209" s="82" t="s">
        <v>376</v>
      </c>
      <c r="B209" s="57">
        <f t="shared" si="73"/>
        <v>484</v>
      </c>
      <c r="C209" s="57">
        <v>249</v>
      </c>
      <c r="D209" s="57">
        <v>235</v>
      </c>
      <c r="E209" s="57">
        <v>97</v>
      </c>
      <c r="F209" s="74">
        <v>4.9896907216494846</v>
      </c>
      <c r="G209" s="57">
        <f t="shared" si="76"/>
        <v>452</v>
      </c>
      <c r="H209" s="57">
        <v>218</v>
      </c>
      <c r="I209" s="57">
        <v>234</v>
      </c>
      <c r="J209" s="87">
        <f t="shared" si="77"/>
        <v>-1.1362579216677828</v>
      </c>
      <c r="K209" s="57">
        <f t="shared" si="74"/>
        <v>511</v>
      </c>
      <c r="L209" s="57">
        <v>231</v>
      </c>
      <c r="M209" s="57">
        <v>280</v>
      </c>
      <c r="N209" s="57"/>
      <c r="O209" s="88">
        <f t="shared" si="45"/>
        <v>1.4433812984879197</v>
      </c>
      <c r="P209" s="58">
        <f t="shared" si="75"/>
        <v>904</v>
      </c>
      <c r="Q209" s="59">
        <v>472</v>
      </c>
      <c r="R209" s="59">
        <v>432</v>
      </c>
      <c r="S209" s="59"/>
      <c r="T209" s="60" t="s">
        <v>377</v>
      </c>
      <c r="U209" s="101"/>
      <c r="V209" s="78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</row>
    <row r="210" spans="1:83" s="18" customFormat="1" ht="15">
      <c r="A210" s="82" t="s">
        <v>275</v>
      </c>
      <c r="B210" s="57">
        <f t="shared" si="73"/>
        <v>1433</v>
      </c>
      <c r="C210" s="57">
        <v>703</v>
      </c>
      <c r="D210" s="57">
        <v>730</v>
      </c>
      <c r="E210" s="57">
        <v>198</v>
      </c>
      <c r="F210" s="74">
        <v>7.237373737373737</v>
      </c>
      <c r="G210" s="57">
        <f t="shared" si="76"/>
        <v>1137</v>
      </c>
      <c r="H210" s="57">
        <v>535</v>
      </c>
      <c r="I210" s="57">
        <v>602</v>
      </c>
      <c r="J210" s="87">
        <f t="shared" si="77"/>
        <v>-3.8434706657414579</v>
      </c>
      <c r="K210" s="57">
        <f t="shared" si="74"/>
        <v>1212</v>
      </c>
      <c r="L210" s="57">
        <v>616</v>
      </c>
      <c r="M210" s="57">
        <v>596</v>
      </c>
      <c r="N210" s="57"/>
      <c r="O210" s="88">
        <f t="shared" ref="O210:O218" si="78">LN(K210/G210)/8.5*100</f>
        <v>0.75151379857321954</v>
      </c>
      <c r="P210" s="58">
        <f t="shared" si="75"/>
        <v>2089</v>
      </c>
      <c r="Q210" s="59">
        <v>1073</v>
      </c>
      <c r="R210" s="59">
        <v>1016</v>
      </c>
      <c r="S210" s="59"/>
      <c r="T210" s="60" t="s">
        <v>276</v>
      </c>
      <c r="U210" s="101"/>
      <c r="V210" s="78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</row>
    <row r="211" spans="1:83" s="18" customFormat="1" ht="15">
      <c r="A211" s="82" t="s">
        <v>378</v>
      </c>
      <c r="B211" s="57">
        <f t="shared" si="73"/>
        <v>390</v>
      </c>
      <c r="C211" s="57">
        <v>188</v>
      </c>
      <c r="D211" s="57">
        <v>202</v>
      </c>
      <c r="E211" s="57">
        <v>81</v>
      </c>
      <c r="F211" s="74">
        <v>4.8148148148148149</v>
      </c>
      <c r="G211" s="57">
        <f t="shared" si="76"/>
        <v>347</v>
      </c>
      <c r="H211" s="57">
        <v>159</v>
      </c>
      <c r="I211" s="57">
        <v>188</v>
      </c>
      <c r="J211" s="87">
        <f t="shared" si="77"/>
        <v>-1.9405641059274583</v>
      </c>
      <c r="K211" s="57">
        <f t="shared" si="74"/>
        <v>370</v>
      </c>
      <c r="L211" s="57">
        <v>185</v>
      </c>
      <c r="M211" s="57">
        <v>185</v>
      </c>
      <c r="N211" s="57"/>
      <c r="O211" s="88">
        <f t="shared" si="78"/>
        <v>0.75503794931071755</v>
      </c>
      <c r="P211" s="58">
        <f t="shared" si="75"/>
        <v>669</v>
      </c>
      <c r="Q211" s="59">
        <v>324</v>
      </c>
      <c r="R211" s="59">
        <v>345</v>
      </c>
      <c r="S211" s="59"/>
      <c r="T211" s="60" t="s">
        <v>379</v>
      </c>
      <c r="U211" s="101"/>
      <c r="V211" s="78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</row>
    <row r="212" spans="1:83" s="18" customFormat="1" ht="15">
      <c r="A212" s="82" t="s">
        <v>380</v>
      </c>
      <c r="B212" s="57">
        <f t="shared" si="73"/>
        <v>273</v>
      </c>
      <c r="C212" s="57">
        <v>141</v>
      </c>
      <c r="D212" s="57">
        <v>132</v>
      </c>
      <c r="E212" s="57">
        <v>47</v>
      </c>
      <c r="F212" s="74">
        <v>5.8085106382978724</v>
      </c>
      <c r="G212" s="57">
        <f t="shared" si="76"/>
        <v>268</v>
      </c>
      <c r="H212" s="57">
        <v>138</v>
      </c>
      <c r="I212" s="57">
        <v>130</v>
      </c>
      <c r="J212" s="87">
        <f t="shared" si="77"/>
        <v>-0.30705672216118113</v>
      </c>
      <c r="K212" s="57">
        <f t="shared" si="74"/>
        <v>275</v>
      </c>
      <c r="L212" s="57">
        <v>142</v>
      </c>
      <c r="M212" s="57">
        <v>133</v>
      </c>
      <c r="N212" s="57"/>
      <c r="O212" s="88">
        <f t="shared" si="78"/>
        <v>0.30334255477311334</v>
      </c>
      <c r="P212" s="58">
        <f t="shared" si="75"/>
        <v>397</v>
      </c>
      <c r="Q212" s="59">
        <v>213</v>
      </c>
      <c r="R212" s="59">
        <v>184</v>
      </c>
      <c r="S212" s="59"/>
      <c r="T212" s="60" t="s">
        <v>381</v>
      </c>
      <c r="U212" s="101"/>
      <c r="V212" s="78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</row>
    <row r="213" spans="1:83" s="18" customFormat="1" ht="15">
      <c r="A213" s="82" t="s">
        <v>382</v>
      </c>
      <c r="B213" s="57">
        <f t="shared" si="73"/>
        <v>759</v>
      </c>
      <c r="C213" s="57">
        <v>369</v>
      </c>
      <c r="D213" s="57">
        <v>390</v>
      </c>
      <c r="E213" s="57">
        <v>123</v>
      </c>
      <c r="F213" s="74">
        <v>6.1707317073170733</v>
      </c>
      <c r="G213" s="57">
        <f t="shared" si="76"/>
        <v>845</v>
      </c>
      <c r="H213" s="57">
        <v>448</v>
      </c>
      <c r="I213" s="57">
        <v>397</v>
      </c>
      <c r="J213" s="87">
        <f t="shared" si="77"/>
        <v>1.7829709295937519</v>
      </c>
      <c r="K213" s="57">
        <f t="shared" si="74"/>
        <v>953</v>
      </c>
      <c r="L213" s="57">
        <v>499</v>
      </c>
      <c r="M213" s="57">
        <v>454</v>
      </c>
      <c r="N213" s="57"/>
      <c r="O213" s="88">
        <f t="shared" si="78"/>
        <v>1.4150385446709217</v>
      </c>
      <c r="P213" s="58">
        <f t="shared" si="75"/>
        <v>1191</v>
      </c>
      <c r="Q213" s="59">
        <v>623</v>
      </c>
      <c r="R213" s="59">
        <v>568</v>
      </c>
      <c r="S213" s="59"/>
      <c r="T213" s="60" t="s">
        <v>383</v>
      </c>
      <c r="U213" s="101"/>
      <c r="V213" s="78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</row>
    <row r="214" spans="1:83" s="18" customFormat="1" ht="15">
      <c r="A214" s="82" t="s">
        <v>384</v>
      </c>
      <c r="B214" s="57">
        <f t="shared" si="73"/>
        <v>312</v>
      </c>
      <c r="C214" s="57">
        <v>134</v>
      </c>
      <c r="D214" s="57">
        <v>178</v>
      </c>
      <c r="E214" s="57">
        <v>61</v>
      </c>
      <c r="F214" s="74">
        <v>5.1147540983606561</v>
      </c>
      <c r="G214" s="57">
        <f t="shared" si="76"/>
        <v>198</v>
      </c>
      <c r="H214" s="57">
        <v>100</v>
      </c>
      <c r="I214" s="57">
        <v>98</v>
      </c>
      <c r="J214" s="87">
        <f t="shared" si="77"/>
        <v>-7.5537567627067652</v>
      </c>
      <c r="K214" s="57">
        <f t="shared" si="74"/>
        <v>239</v>
      </c>
      <c r="L214" s="57">
        <v>116</v>
      </c>
      <c r="M214" s="57">
        <v>123</v>
      </c>
      <c r="N214" s="57"/>
      <c r="O214" s="88">
        <f t="shared" si="78"/>
        <v>2.214076720435004</v>
      </c>
      <c r="P214" s="58">
        <f t="shared" si="75"/>
        <v>704</v>
      </c>
      <c r="Q214" s="59">
        <v>344</v>
      </c>
      <c r="R214" s="59">
        <v>360</v>
      </c>
      <c r="S214" s="59"/>
      <c r="T214" s="60" t="s">
        <v>385</v>
      </c>
      <c r="U214" s="101"/>
      <c r="V214" s="78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</row>
    <row r="215" spans="1:83" s="18" customFormat="1" ht="15">
      <c r="A215" s="82" t="s">
        <v>386</v>
      </c>
      <c r="B215" s="57">
        <f t="shared" si="73"/>
        <v>1537</v>
      </c>
      <c r="C215" s="57">
        <v>782</v>
      </c>
      <c r="D215" s="57">
        <v>755</v>
      </c>
      <c r="E215" s="57">
        <v>250</v>
      </c>
      <c r="F215" s="74">
        <v>6.1479999999999997</v>
      </c>
      <c r="G215" s="57">
        <f t="shared" si="76"/>
        <v>1237</v>
      </c>
      <c r="H215" s="57">
        <v>601</v>
      </c>
      <c r="I215" s="57">
        <v>636</v>
      </c>
      <c r="J215" s="87">
        <f t="shared" si="77"/>
        <v>-3.6070327432908305</v>
      </c>
      <c r="K215" s="57">
        <f t="shared" si="74"/>
        <v>1102</v>
      </c>
      <c r="L215" s="57">
        <v>551</v>
      </c>
      <c r="M215" s="57">
        <v>551</v>
      </c>
      <c r="N215" s="57"/>
      <c r="O215" s="88">
        <f t="shared" si="78"/>
        <v>-1.3595574432897417</v>
      </c>
      <c r="P215" s="58">
        <f t="shared" si="75"/>
        <v>2586</v>
      </c>
      <c r="Q215" s="59">
        <v>1369</v>
      </c>
      <c r="R215" s="59">
        <v>1217</v>
      </c>
      <c r="S215" s="59"/>
      <c r="T215" s="60" t="s">
        <v>387</v>
      </c>
      <c r="U215" s="101"/>
      <c r="V215" s="78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</row>
    <row r="216" spans="1:83" s="18" customFormat="1" ht="15">
      <c r="A216" s="82" t="s">
        <v>388</v>
      </c>
      <c r="B216" s="57">
        <f t="shared" si="73"/>
        <v>763</v>
      </c>
      <c r="C216" s="57">
        <v>369</v>
      </c>
      <c r="D216" s="57">
        <v>394</v>
      </c>
      <c r="E216" s="57">
        <v>137</v>
      </c>
      <c r="F216" s="74">
        <v>5.5693430656934311</v>
      </c>
      <c r="G216" s="57">
        <f t="shared" si="76"/>
        <v>928</v>
      </c>
      <c r="H216" s="57">
        <v>480</v>
      </c>
      <c r="I216" s="57">
        <v>448</v>
      </c>
      <c r="J216" s="87">
        <f t="shared" si="77"/>
        <v>3.2520548422216535</v>
      </c>
      <c r="K216" s="57">
        <f t="shared" si="74"/>
        <v>1052</v>
      </c>
      <c r="L216" s="57">
        <v>525</v>
      </c>
      <c r="M216" s="57">
        <v>527</v>
      </c>
      <c r="N216" s="57"/>
      <c r="O216" s="88">
        <f t="shared" si="78"/>
        <v>1.4754901236641713</v>
      </c>
      <c r="P216" s="58">
        <f t="shared" si="75"/>
        <v>1321</v>
      </c>
      <c r="Q216" s="59">
        <v>671</v>
      </c>
      <c r="R216" s="59">
        <v>650</v>
      </c>
      <c r="S216" s="59"/>
      <c r="T216" s="60" t="s">
        <v>389</v>
      </c>
      <c r="U216" s="101"/>
      <c r="V216" s="78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</row>
    <row r="217" spans="1:83" s="18" customFormat="1" ht="15">
      <c r="A217" s="82" t="s">
        <v>390</v>
      </c>
      <c r="B217" s="57">
        <f t="shared" si="73"/>
        <v>833</v>
      </c>
      <c r="C217" s="57">
        <v>396</v>
      </c>
      <c r="D217" s="57">
        <v>437</v>
      </c>
      <c r="E217" s="57">
        <v>138</v>
      </c>
      <c r="F217" s="74">
        <v>6.0362318840579707</v>
      </c>
      <c r="G217" s="57">
        <f t="shared" si="76"/>
        <v>808</v>
      </c>
      <c r="H217" s="57">
        <v>390</v>
      </c>
      <c r="I217" s="57">
        <v>418</v>
      </c>
      <c r="J217" s="87">
        <f t="shared" si="77"/>
        <v>-0.50617248580975638</v>
      </c>
      <c r="K217" s="57">
        <f t="shared" si="74"/>
        <v>764</v>
      </c>
      <c r="L217" s="57">
        <v>364</v>
      </c>
      <c r="M217" s="57">
        <v>400</v>
      </c>
      <c r="N217" s="57"/>
      <c r="O217" s="88">
        <f t="shared" si="78"/>
        <v>-0.65875611005382284</v>
      </c>
      <c r="P217" s="58">
        <f t="shared" si="75"/>
        <v>1448</v>
      </c>
      <c r="Q217" s="59">
        <v>734</v>
      </c>
      <c r="R217" s="59">
        <v>714</v>
      </c>
      <c r="S217" s="59"/>
      <c r="T217" s="60" t="s">
        <v>391</v>
      </c>
      <c r="U217" s="101"/>
      <c r="V217" s="78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</row>
    <row r="218" spans="1:83" s="18" customFormat="1" ht="15">
      <c r="A218" s="82" t="s">
        <v>297</v>
      </c>
      <c r="B218" s="57">
        <f t="shared" si="73"/>
        <v>395</v>
      </c>
      <c r="C218" s="57">
        <v>196</v>
      </c>
      <c r="D218" s="57">
        <v>199</v>
      </c>
      <c r="E218" s="57">
        <v>78</v>
      </c>
      <c r="F218" s="74">
        <v>5.0641025641025639</v>
      </c>
      <c r="G218" s="57">
        <f t="shared" si="76"/>
        <v>365</v>
      </c>
      <c r="H218" s="57">
        <v>182</v>
      </c>
      <c r="I218" s="57">
        <v>183</v>
      </c>
      <c r="J218" s="87">
        <f t="shared" si="77"/>
        <v>-1.3120998557912016</v>
      </c>
      <c r="K218" s="57">
        <f t="shared" si="74"/>
        <v>415</v>
      </c>
      <c r="L218" s="57">
        <v>217</v>
      </c>
      <c r="M218" s="57">
        <v>198</v>
      </c>
      <c r="N218" s="57"/>
      <c r="O218" s="88">
        <f t="shared" si="78"/>
        <v>1.510366666449493</v>
      </c>
      <c r="P218" s="58">
        <f t="shared" si="75"/>
        <v>788</v>
      </c>
      <c r="Q218" s="59">
        <v>406</v>
      </c>
      <c r="R218" s="59">
        <v>382</v>
      </c>
      <c r="S218" s="59"/>
      <c r="T218" s="60" t="s">
        <v>298</v>
      </c>
      <c r="U218" s="101"/>
      <c r="V218" s="78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</row>
    <row r="219" spans="1:83" s="18" customFormat="1" ht="15">
      <c r="A219" s="82"/>
      <c r="B219" s="57"/>
      <c r="C219" s="57"/>
      <c r="D219" s="57"/>
      <c r="E219" s="57"/>
      <c r="F219" s="74"/>
      <c r="G219" s="57"/>
      <c r="H219" s="57"/>
      <c r="I219" s="57"/>
      <c r="J219" s="87"/>
      <c r="K219" s="57"/>
      <c r="L219" s="57"/>
      <c r="M219" s="57"/>
      <c r="N219" s="57"/>
      <c r="O219" s="88"/>
      <c r="P219" s="58"/>
      <c r="Q219" s="106"/>
      <c r="R219" s="106"/>
      <c r="S219" s="106"/>
      <c r="T219" s="78"/>
      <c r="U219" s="101"/>
      <c r="V219" s="78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</row>
    <row r="220" spans="1:83" s="49" customFormat="1" ht="15">
      <c r="A220" s="85" t="s">
        <v>392</v>
      </c>
      <c r="B220" s="45">
        <f t="shared" ref="B220:B232" si="79">SUM(C220:D220)</f>
        <v>11497</v>
      </c>
      <c r="C220" s="45">
        <f>SUM(C221:C233)</f>
        <v>5754</v>
      </c>
      <c r="D220" s="45">
        <f>SUM(D221:D233)</f>
        <v>5743</v>
      </c>
      <c r="E220" s="45">
        <f>SUM(E221:E233)</f>
        <v>1887</v>
      </c>
      <c r="F220" s="44">
        <v>6.1247357293868925</v>
      </c>
      <c r="G220" s="45">
        <f>SUM(H220:I220)</f>
        <v>11743</v>
      </c>
      <c r="H220" s="45">
        <f>SUM(H221:H233)</f>
        <v>5928</v>
      </c>
      <c r="I220" s="45">
        <f>SUM(I221:I233)</f>
        <v>5815</v>
      </c>
      <c r="J220" s="50">
        <f t="shared" ref="J220:J232" si="80">LN(G220/B220)/6.02*100</f>
        <v>0.35168084071994915</v>
      </c>
      <c r="K220" s="45">
        <f t="shared" ref="K220:K233" si="81">SUM(L220:M220)</f>
        <v>11841</v>
      </c>
      <c r="L220" s="45">
        <f>SUM(L221:L233)</f>
        <v>5884</v>
      </c>
      <c r="M220" s="45">
        <f>SUM(M221:M233)</f>
        <v>5957</v>
      </c>
      <c r="N220" s="45"/>
      <c r="O220" s="46">
        <f>LN(K220/G220)/8.5*100</f>
        <v>9.7773729010300819E-2</v>
      </c>
      <c r="P220" s="47">
        <f>SUM(Q220:R220)</f>
        <v>16977</v>
      </c>
      <c r="Q220" s="53">
        <f>SUM(Q221:Q233)</f>
        <v>8691</v>
      </c>
      <c r="R220" s="53">
        <f>SUM(R221:R233)</f>
        <v>8286</v>
      </c>
      <c r="S220" s="53"/>
      <c r="T220" s="26" t="s">
        <v>393</v>
      </c>
      <c r="U220" s="99"/>
      <c r="V220" s="26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48"/>
      <c r="AL220" s="48"/>
      <c r="AM220" s="48"/>
      <c r="AN220" s="48"/>
      <c r="AO220" s="48"/>
      <c r="AP220" s="48"/>
      <c r="AQ220" s="48"/>
      <c r="AR220" s="48"/>
      <c r="AS220" s="48"/>
      <c r="AT220" s="48"/>
      <c r="AU220" s="48"/>
      <c r="AV220" s="48"/>
      <c r="AW220" s="48"/>
      <c r="AX220" s="48"/>
      <c r="AY220" s="48"/>
      <c r="AZ220" s="48"/>
      <c r="BA220" s="48"/>
      <c r="BB220" s="48"/>
      <c r="BC220" s="48"/>
      <c r="BD220" s="48"/>
      <c r="BE220" s="48"/>
      <c r="BF220" s="48"/>
      <c r="BG220" s="48"/>
      <c r="BH220" s="48"/>
      <c r="BI220" s="48"/>
      <c r="BJ220" s="48"/>
      <c r="BK220" s="48"/>
      <c r="BL220" s="48"/>
      <c r="BM220" s="48"/>
      <c r="BN220" s="48"/>
      <c r="BO220" s="48"/>
      <c r="BP220" s="48"/>
      <c r="BQ220" s="48"/>
      <c r="BR220" s="48"/>
      <c r="BS220" s="48"/>
      <c r="BT220" s="48"/>
      <c r="BU220" s="48"/>
      <c r="BV220" s="48"/>
      <c r="BW220" s="48"/>
      <c r="BX220" s="48"/>
      <c r="BY220" s="48"/>
      <c r="BZ220" s="48"/>
      <c r="CA220" s="48"/>
      <c r="CB220" s="48"/>
      <c r="CC220" s="48"/>
      <c r="CD220" s="48"/>
      <c r="CE220" s="48"/>
    </row>
    <row r="221" spans="1:83" s="18" customFormat="1" ht="15">
      <c r="A221" s="82" t="s">
        <v>394</v>
      </c>
      <c r="B221" s="57">
        <f t="shared" si="79"/>
        <v>1432</v>
      </c>
      <c r="C221" s="57">
        <v>688</v>
      </c>
      <c r="D221" s="57">
        <v>744</v>
      </c>
      <c r="E221" s="57">
        <v>257</v>
      </c>
      <c r="F221" s="74">
        <v>5.5719844357976651</v>
      </c>
      <c r="G221" s="57">
        <f>SUM(H221:I221)</f>
        <v>1559</v>
      </c>
      <c r="H221" s="57">
        <v>755</v>
      </c>
      <c r="I221" s="57">
        <v>804</v>
      </c>
      <c r="J221" s="87">
        <f t="shared" si="80"/>
        <v>1.4115036800196927</v>
      </c>
      <c r="K221" s="57">
        <f t="shared" si="81"/>
        <v>909</v>
      </c>
      <c r="L221" s="57">
        <v>426</v>
      </c>
      <c r="M221" s="57">
        <v>483</v>
      </c>
      <c r="N221" s="57"/>
      <c r="O221" s="88">
        <f>LN(K221/G221)/8.5*100</f>
        <v>-6.3465267632976206</v>
      </c>
      <c r="P221" s="58">
        <f>SUM(Q221:R221)</f>
        <v>1380</v>
      </c>
      <c r="Q221" s="59">
        <v>710</v>
      </c>
      <c r="R221" s="59">
        <v>670</v>
      </c>
      <c r="S221" s="59"/>
      <c r="T221" s="60" t="s">
        <v>395</v>
      </c>
      <c r="U221" s="101"/>
      <c r="V221" s="78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</row>
    <row r="222" spans="1:83" s="18" customFormat="1" ht="15">
      <c r="A222" s="82" t="s">
        <v>396</v>
      </c>
      <c r="B222" s="57">
        <f t="shared" si="79"/>
        <v>601</v>
      </c>
      <c r="C222" s="57">
        <v>283</v>
      </c>
      <c r="D222" s="57">
        <v>318</v>
      </c>
      <c r="E222" s="57">
        <v>106</v>
      </c>
      <c r="F222" s="74">
        <v>5.6698113207547172</v>
      </c>
      <c r="G222" s="57">
        <f t="shared" ref="G222:G232" si="82">SUM(H222:I222)</f>
        <v>537</v>
      </c>
      <c r="H222" s="57">
        <v>263</v>
      </c>
      <c r="I222" s="57">
        <v>274</v>
      </c>
      <c r="J222" s="87">
        <f t="shared" si="80"/>
        <v>-1.8703794024309452</v>
      </c>
      <c r="K222" s="57">
        <f t="shared" si="81"/>
        <v>622</v>
      </c>
      <c r="L222" s="57">
        <v>327</v>
      </c>
      <c r="M222" s="57">
        <v>295</v>
      </c>
      <c r="N222" s="57"/>
      <c r="O222" s="88">
        <f>LN(K222/G222)/8.5*100</f>
        <v>1.7287293909448795</v>
      </c>
      <c r="P222" s="58">
        <f>SUM(Q222:R222)</f>
        <v>1050</v>
      </c>
      <c r="Q222" s="59">
        <v>532</v>
      </c>
      <c r="R222" s="59">
        <v>518</v>
      </c>
      <c r="S222" s="59"/>
      <c r="T222" s="60" t="s">
        <v>397</v>
      </c>
      <c r="U222" s="101"/>
      <c r="V222" s="78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</row>
    <row r="223" spans="1:83" s="18" customFormat="1" ht="15">
      <c r="A223" s="82" t="s">
        <v>398</v>
      </c>
      <c r="B223" s="57">
        <f t="shared" si="79"/>
        <v>793</v>
      </c>
      <c r="C223" s="57">
        <v>413</v>
      </c>
      <c r="D223" s="57">
        <v>380</v>
      </c>
      <c r="E223" s="57">
        <v>113</v>
      </c>
      <c r="F223" s="74">
        <v>7.0176991150442474</v>
      </c>
      <c r="G223" s="57">
        <f t="shared" si="82"/>
        <v>690</v>
      </c>
      <c r="H223" s="57">
        <v>351</v>
      </c>
      <c r="I223" s="57">
        <v>339</v>
      </c>
      <c r="J223" s="87">
        <f t="shared" si="80"/>
        <v>-2.311156545573803</v>
      </c>
      <c r="K223" s="57">
        <f t="shared" si="81"/>
        <v>608</v>
      </c>
      <c r="L223" s="57">
        <v>312</v>
      </c>
      <c r="M223" s="57">
        <v>296</v>
      </c>
      <c r="N223" s="57"/>
      <c r="O223" s="88">
        <f>LN(K223/G223)/8.5*100</f>
        <v>-1.4884319485310362</v>
      </c>
      <c r="P223" s="58">
        <f>SUM(Q223:R223)</f>
        <v>1126</v>
      </c>
      <c r="Q223" s="59">
        <v>586</v>
      </c>
      <c r="R223" s="59">
        <v>540</v>
      </c>
      <c r="S223" s="59"/>
      <c r="T223" s="60" t="s">
        <v>399</v>
      </c>
      <c r="U223" s="101"/>
      <c r="V223" s="78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</row>
    <row r="224" spans="1:83" s="49" customFormat="1" ht="15">
      <c r="A224" s="82" t="s">
        <v>400</v>
      </c>
      <c r="B224" s="57">
        <f t="shared" si="79"/>
        <v>517</v>
      </c>
      <c r="C224" s="57">
        <v>264</v>
      </c>
      <c r="D224" s="57">
        <v>253</v>
      </c>
      <c r="E224" s="57">
        <v>80</v>
      </c>
      <c r="F224" s="74">
        <v>6.4625000000000004</v>
      </c>
      <c r="G224" s="57">
        <f t="shared" si="82"/>
        <v>372</v>
      </c>
      <c r="H224" s="57">
        <v>206</v>
      </c>
      <c r="I224" s="57">
        <v>166</v>
      </c>
      <c r="J224" s="87">
        <f t="shared" si="80"/>
        <v>-5.4675916982605095</v>
      </c>
      <c r="K224" s="57">
        <f t="shared" si="81"/>
        <v>222</v>
      </c>
      <c r="L224" s="57">
        <v>118</v>
      </c>
      <c r="M224" s="57">
        <v>104</v>
      </c>
      <c r="N224" s="57"/>
      <c r="O224" s="88">
        <f>LN(K224/G224)/8.5*100</f>
        <v>-6.0731349694219654</v>
      </c>
      <c r="P224" s="58">
        <f>SUM(Q224:R224)</f>
        <v>295</v>
      </c>
      <c r="Q224" s="59">
        <v>155</v>
      </c>
      <c r="R224" s="59">
        <v>140</v>
      </c>
      <c r="S224" s="59"/>
      <c r="T224" s="60" t="s">
        <v>401</v>
      </c>
      <c r="U224" s="101"/>
      <c r="V224" s="7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  <c r="AR224" s="48"/>
      <c r="AS224" s="48"/>
      <c r="AT224" s="48"/>
      <c r="AU224" s="48"/>
      <c r="AV224" s="48"/>
      <c r="AW224" s="48"/>
      <c r="AX224" s="48"/>
      <c r="AY224" s="48"/>
      <c r="AZ224" s="48"/>
      <c r="BA224" s="48"/>
      <c r="BB224" s="48"/>
      <c r="BC224" s="48"/>
      <c r="BD224" s="48"/>
      <c r="BE224" s="48"/>
      <c r="BF224" s="48"/>
      <c r="BG224" s="48"/>
      <c r="BH224" s="48"/>
      <c r="BI224" s="48"/>
      <c r="BJ224" s="48"/>
      <c r="BK224" s="48"/>
      <c r="BL224" s="48"/>
      <c r="BM224" s="48"/>
      <c r="BN224" s="48"/>
      <c r="BO224" s="48"/>
      <c r="BP224" s="48"/>
      <c r="BQ224" s="48"/>
      <c r="BR224" s="48"/>
      <c r="BS224" s="48"/>
      <c r="BT224" s="48"/>
      <c r="BU224" s="48"/>
      <c r="BV224" s="48"/>
      <c r="BW224" s="48"/>
      <c r="BX224" s="48"/>
      <c r="BY224" s="48"/>
      <c r="BZ224" s="48"/>
      <c r="CA224" s="48"/>
      <c r="CB224" s="48"/>
      <c r="CC224" s="48"/>
      <c r="CD224" s="48"/>
      <c r="CE224" s="48"/>
    </row>
    <row r="225" spans="1:83" s="18" customFormat="1" ht="15" hidden="1">
      <c r="A225" s="82" t="s">
        <v>402</v>
      </c>
      <c r="B225" s="57">
        <f t="shared" si="79"/>
        <v>433</v>
      </c>
      <c r="C225" s="57">
        <v>225</v>
      </c>
      <c r="D225" s="57">
        <v>208</v>
      </c>
      <c r="E225" s="57">
        <v>71</v>
      </c>
      <c r="F225" s="74">
        <v>6.098591549295775</v>
      </c>
      <c r="G225" s="57">
        <f t="shared" si="82"/>
        <v>434</v>
      </c>
      <c r="H225" s="57">
        <v>233</v>
      </c>
      <c r="I225" s="57">
        <v>201</v>
      </c>
      <c r="J225" s="87">
        <f t="shared" si="80"/>
        <v>3.8319038171347047E-2</v>
      </c>
      <c r="K225" s="57" t="s">
        <v>44</v>
      </c>
      <c r="L225" s="57" t="s">
        <v>44</v>
      </c>
      <c r="M225" s="57" t="s">
        <v>44</v>
      </c>
      <c r="N225" s="57"/>
      <c r="O225" s="112" t="s">
        <v>44</v>
      </c>
      <c r="P225" s="57" t="s">
        <v>44</v>
      </c>
      <c r="Q225" s="57"/>
      <c r="R225" s="57"/>
      <c r="S225" s="57"/>
      <c r="T225" s="60" t="s">
        <v>403</v>
      </c>
      <c r="U225" s="101"/>
      <c r="V225" s="78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</row>
    <row r="226" spans="1:83" s="18" customFormat="1" ht="15">
      <c r="A226" s="82" t="s">
        <v>404</v>
      </c>
      <c r="B226" s="57">
        <f t="shared" si="79"/>
        <v>2244</v>
      </c>
      <c r="C226" s="57">
        <v>1176</v>
      </c>
      <c r="D226" s="57">
        <v>1068</v>
      </c>
      <c r="E226" s="57">
        <v>337</v>
      </c>
      <c r="F226" s="74">
        <v>6.6587537091988134</v>
      </c>
      <c r="G226" s="57">
        <f t="shared" si="82"/>
        <v>2502</v>
      </c>
      <c r="H226" s="57">
        <v>1277</v>
      </c>
      <c r="I226" s="57">
        <v>1225</v>
      </c>
      <c r="J226" s="87">
        <f t="shared" si="80"/>
        <v>1.8078143585426834</v>
      </c>
      <c r="K226" s="57">
        <f t="shared" si="81"/>
        <v>2809</v>
      </c>
      <c r="L226" s="57">
        <v>1404</v>
      </c>
      <c r="M226" s="57">
        <v>1405</v>
      </c>
      <c r="N226" s="57"/>
      <c r="O226" s="88">
        <f t="shared" ref="O226:O232" si="83">LN(K226/G226)/8.5*100</f>
        <v>1.3616251303222031</v>
      </c>
      <c r="P226" s="58">
        <f t="shared" ref="P226:P233" si="84">SUM(Q226:R226)</f>
        <v>3860</v>
      </c>
      <c r="Q226" s="59">
        <v>2006</v>
      </c>
      <c r="R226" s="59">
        <v>1854</v>
      </c>
      <c r="S226" s="59"/>
      <c r="T226" s="60" t="s">
        <v>405</v>
      </c>
      <c r="U226" s="101"/>
      <c r="V226" s="78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</row>
    <row r="227" spans="1:83" s="18" customFormat="1" ht="15">
      <c r="A227" s="82" t="s">
        <v>406</v>
      </c>
      <c r="B227" s="57">
        <f t="shared" si="79"/>
        <v>1351</v>
      </c>
      <c r="C227" s="57">
        <v>637</v>
      </c>
      <c r="D227" s="57">
        <v>714</v>
      </c>
      <c r="E227" s="57">
        <v>222</v>
      </c>
      <c r="F227" s="74">
        <v>6.0855855855855854</v>
      </c>
      <c r="G227" s="57">
        <f t="shared" si="82"/>
        <v>1373</v>
      </c>
      <c r="H227" s="57">
        <v>652</v>
      </c>
      <c r="I227" s="57">
        <v>721</v>
      </c>
      <c r="J227" s="87">
        <f t="shared" si="80"/>
        <v>0.26832338551116641</v>
      </c>
      <c r="K227" s="57">
        <f t="shared" si="81"/>
        <v>1400</v>
      </c>
      <c r="L227" s="57">
        <v>687</v>
      </c>
      <c r="M227" s="57">
        <v>713</v>
      </c>
      <c r="N227" s="57"/>
      <c r="O227" s="88">
        <f t="shared" si="83"/>
        <v>0.22910717453386975</v>
      </c>
      <c r="P227" s="58">
        <f t="shared" si="84"/>
        <v>2033</v>
      </c>
      <c r="Q227" s="59">
        <v>1049</v>
      </c>
      <c r="R227" s="59">
        <v>984</v>
      </c>
      <c r="S227" s="59"/>
      <c r="T227" s="60" t="s">
        <v>407</v>
      </c>
      <c r="U227" s="101"/>
      <c r="V227" s="78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</row>
    <row r="228" spans="1:83" s="18" customFormat="1" ht="15">
      <c r="A228" s="82" t="s">
        <v>408</v>
      </c>
      <c r="B228" s="57">
        <f t="shared" si="79"/>
        <v>1740</v>
      </c>
      <c r="C228" s="57">
        <v>904</v>
      </c>
      <c r="D228" s="57">
        <v>836</v>
      </c>
      <c r="E228" s="57">
        <v>262</v>
      </c>
      <c r="F228" s="74">
        <v>6.6412213740458013</v>
      </c>
      <c r="G228" s="57">
        <f t="shared" si="82"/>
        <v>1762</v>
      </c>
      <c r="H228" s="57">
        <v>937</v>
      </c>
      <c r="I228" s="57">
        <v>825</v>
      </c>
      <c r="J228" s="87">
        <f t="shared" si="80"/>
        <v>0.20871120078986991</v>
      </c>
      <c r="K228" s="57">
        <f t="shared" si="81"/>
        <v>2101</v>
      </c>
      <c r="L228" s="57">
        <v>1037</v>
      </c>
      <c r="M228" s="57">
        <v>1064</v>
      </c>
      <c r="N228" s="57"/>
      <c r="O228" s="88">
        <f t="shared" si="83"/>
        <v>2.0701634629279484</v>
      </c>
      <c r="P228" s="58">
        <f t="shared" si="84"/>
        <v>2821</v>
      </c>
      <c r="Q228" s="59">
        <v>1449</v>
      </c>
      <c r="R228" s="59">
        <v>1372</v>
      </c>
      <c r="S228" s="59"/>
      <c r="T228" s="60" t="s">
        <v>409</v>
      </c>
      <c r="U228" s="101"/>
      <c r="V228" s="78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</row>
    <row r="229" spans="1:83" s="18" customFormat="1" ht="15">
      <c r="A229" s="82" t="s">
        <v>410</v>
      </c>
      <c r="B229" s="57">
        <f t="shared" si="79"/>
        <v>268</v>
      </c>
      <c r="C229" s="57">
        <v>124</v>
      </c>
      <c r="D229" s="57">
        <v>144</v>
      </c>
      <c r="E229" s="57">
        <v>65</v>
      </c>
      <c r="F229" s="74">
        <v>4.1230769230769226</v>
      </c>
      <c r="G229" s="57">
        <f t="shared" si="82"/>
        <v>231</v>
      </c>
      <c r="H229" s="57">
        <v>110</v>
      </c>
      <c r="I229" s="57">
        <v>121</v>
      </c>
      <c r="J229" s="87">
        <f t="shared" si="80"/>
        <v>-2.467928072908026</v>
      </c>
      <c r="K229" s="57">
        <f t="shared" si="81"/>
        <v>174</v>
      </c>
      <c r="L229" s="57">
        <v>83</v>
      </c>
      <c r="M229" s="57">
        <v>91</v>
      </c>
      <c r="N229" s="57"/>
      <c r="O229" s="88">
        <f t="shared" si="83"/>
        <v>-3.3336754271442879</v>
      </c>
      <c r="P229" s="58">
        <f t="shared" si="84"/>
        <v>1</v>
      </c>
      <c r="Q229" s="59">
        <v>1</v>
      </c>
      <c r="R229" s="59">
        <v>0</v>
      </c>
      <c r="S229" s="59"/>
      <c r="T229" s="60" t="s">
        <v>411</v>
      </c>
      <c r="U229" s="101"/>
      <c r="V229" s="78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</row>
    <row r="230" spans="1:83" s="18" customFormat="1" ht="15">
      <c r="A230" s="82" t="s">
        <v>412</v>
      </c>
      <c r="B230" s="57">
        <f t="shared" si="79"/>
        <v>896</v>
      </c>
      <c r="C230" s="57">
        <v>442</v>
      </c>
      <c r="D230" s="57">
        <v>454</v>
      </c>
      <c r="E230" s="57">
        <v>151</v>
      </c>
      <c r="F230" s="74">
        <v>5.9337748344370862</v>
      </c>
      <c r="G230" s="57">
        <f t="shared" si="82"/>
        <v>845</v>
      </c>
      <c r="H230" s="57">
        <v>401</v>
      </c>
      <c r="I230" s="57">
        <v>444</v>
      </c>
      <c r="J230" s="87">
        <f t="shared" si="80"/>
        <v>-0.97348481092619077</v>
      </c>
      <c r="K230" s="57">
        <f t="shared" si="81"/>
        <v>826</v>
      </c>
      <c r="L230" s="57">
        <v>406</v>
      </c>
      <c r="M230" s="57">
        <v>420</v>
      </c>
      <c r="N230" s="57"/>
      <c r="O230" s="88">
        <f t="shared" si="83"/>
        <v>-0.26755122160230388</v>
      </c>
      <c r="P230" s="58">
        <f t="shared" si="84"/>
        <v>1268</v>
      </c>
      <c r="Q230" s="59">
        <v>586</v>
      </c>
      <c r="R230" s="59">
        <v>682</v>
      </c>
      <c r="S230" s="59"/>
      <c r="T230" s="60" t="s">
        <v>413</v>
      </c>
      <c r="U230" s="101"/>
      <c r="V230" s="78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</row>
    <row r="231" spans="1:83" s="18" customFormat="1" ht="15">
      <c r="A231" s="82" t="s">
        <v>414</v>
      </c>
      <c r="B231" s="57">
        <f t="shared" si="79"/>
        <v>694</v>
      </c>
      <c r="C231" s="57">
        <v>348</v>
      </c>
      <c r="D231" s="57">
        <v>346</v>
      </c>
      <c r="E231" s="57">
        <v>135</v>
      </c>
      <c r="F231" s="74">
        <v>5.1407407407407408</v>
      </c>
      <c r="G231" s="57">
        <f t="shared" si="82"/>
        <v>836</v>
      </c>
      <c r="H231" s="57">
        <v>438</v>
      </c>
      <c r="I231" s="57">
        <v>398</v>
      </c>
      <c r="J231" s="87">
        <f t="shared" si="80"/>
        <v>3.0923031989683913</v>
      </c>
      <c r="K231" s="57">
        <f t="shared" si="81"/>
        <v>990</v>
      </c>
      <c r="L231" s="57">
        <v>508</v>
      </c>
      <c r="M231" s="57">
        <v>482</v>
      </c>
      <c r="N231" s="57"/>
      <c r="O231" s="88">
        <f t="shared" si="83"/>
        <v>1.9891332946345166</v>
      </c>
      <c r="P231" s="58">
        <f t="shared" si="84"/>
        <v>1220</v>
      </c>
      <c r="Q231" s="59">
        <v>625</v>
      </c>
      <c r="R231" s="59">
        <v>595</v>
      </c>
      <c r="S231" s="59"/>
      <c r="T231" s="60" t="s">
        <v>415</v>
      </c>
      <c r="U231" s="101"/>
      <c r="V231" s="78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</row>
    <row r="232" spans="1:83" s="18" customFormat="1" ht="15">
      <c r="A232" s="82" t="s">
        <v>416</v>
      </c>
      <c r="B232" s="57">
        <f t="shared" si="79"/>
        <v>528</v>
      </c>
      <c r="C232" s="57">
        <v>250</v>
      </c>
      <c r="D232" s="57">
        <v>278</v>
      </c>
      <c r="E232" s="57">
        <v>88</v>
      </c>
      <c r="F232" s="74">
        <v>6</v>
      </c>
      <c r="G232" s="57">
        <f t="shared" si="82"/>
        <v>602</v>
      </c>
      <c r="H232" s="57">
        <v>305</v>
      </c>
      <c r="I232" s="57">
        <v>297</v>
      </c>
      <c r="J232" s="87">
        <f t="shared" si="80"/>
        <v>2.1787568372518202</v>
      </c>
      <c r="K232" s="57">
        <f t="shared" si="81"/>
        <v>628</v>
      </c>
      <c r="L232" s="57">
        <v>307</v>
      </c>
      <c r="M232" s="57">
        <v>321</v>
      </c>
      <c r="N232" s="57"/>
      <c r="O232" s="88">
        <f t="shared" si="83"/>
        <v>0.4974437783456187</v>
      </c>
      <c r="P232" s="58">
        <f t="shared" si="84"/>
        <v>886</v>
      </c>
      <c r="Q232" s="57">
        <v>449</v>
      </c>
      <c r="R232" s="57">
        <v>437</v>
      </c>
      <c r="S232" s="57"/>
      <c r="T232" s="60" t="s">
        <v>417</v>
      </c>
      <c r="U232" s="101"/>
      <c r="V232" s="78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</row>
    <row r="233" spans="1:83" s="18" customFormat="1" ht="15">
      <c r="A233" s="113" t="s">
        <v>418</v>
      </c>
      <c r="B233" s="74" t="s">
        <v>44</v>
      </c>
      <c r="C233" s="74" t="s">
        <v>44</v>
      </c>
      <c r="D233" s="74" t="s">
        <v>44</v>
      </c>
      <c r="E233" s="74" t="s">
        <v>44</v>
      </c>
      <c r="F233" s="74" t="s">
        <v>44</v>
      </c>
      <c r="G233" s="57" t="s">
        <v>44</v>
      </c>
      <c r="H233" s="57" t="s">
        <v>44</v>
      </c>
      <c r="I233" s="57" t="s">
        <v>44</v>
      </c>
      <c r="J233" s="74" t="s">
        <v>44</v>
      </c>
      <c r="K233" s="57">
        <f t="shared" si="81"/>
        <v>552</v>
      </c>
      <c r="L233" s="57">
        <v>269</v>
      </c>
      <c r="M233" s="57">
        <v>283</v>
      </c>
      <c r="N233" s="57"/>
      <c r="O233" s="90" t="s">
        <v>44</v>
      </c>
      <c r="P233" s="58">
        <f t="shared" si="84"/>
        <v>1037</v>
      </c>
      <c r="Q233" s="57">
        <v>543</v>
      </c>
      <c r="R233" s="57">
        <v>494</v>
      </c>
      <c r="S233" s="57"/>
      <c r="T233" s="60" t="s">
        <v>419</v>
      </c>
      <c r="U233" s="101"/>
      <c r="V233" s="78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</row>
    <row r="234" spans="1:83" s="18" customFormat="1" ht="15">
      <c r="A234" s="82"/>
      <c r="B234" s="57"/>
      <c r="C234" s="57"/>
      <c r="D234" s="57"/>
      <c r="E234" s="57"/>
      <c r="F234" s="74"/>
      <c r="G234" s="57"/>
      <c r="H234" s="57"/>
      <c r="I234" s="57"/>
      <c r="J234" s="87"/>
      <c r="K234" s="57"/>
      <c r="L234" s="57"/>
      <c r="M234" s="57"/>
      <c r="N234" s="57"/>
      <c r="O234" s="88"/>
      <c r="P234" s="58"/>
      <c r="Q234" s="106"/>
      <c r="R234" s="106"/>
      <c r="S234" s="106"/>
      <c r="U234" s="101"/>
      <c r="V234" s="78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</row>
    <row r="235" spans="1:83" s="49" customFormat="1" ht="15">
      <c r="A235" s="85" t="s">
        <v>420</v>
      </c>
      <c r="B235" s="45">
        <f t="shared" ref="B235:B245" si="85">SUM(C235:D235)</f>
        <v>8129</v>
      </c>
      <c r="C235" s="45">
        <f>SUM(C236:C245)</f>
        <v>4011</v>
      </c>
      <c r="D235" s="45">
        <f>SUM(D236:D245)</f>
        <v>4118</v>
      </c>
      <c r="E235" s="45">
        <f>SUM(E236:E245)</f>
        <v>1411</v>
      </c>
      <c r="F235" s="44">
        <v>5.8420679886685551</v>
      </c>
      <c r="G235" s="45">
        <f>SUM(H235:I235)</f>
        <v>8007</v>
      </c>
      <c r="H235" s="45">
        <f>SUM(H236:H245)</f>
        <v>3934</v>
      </c>
      <c r="I235" s="45">
        <f>SUM(I236:I245)</f>
        <v>4073</v>
      </c>
      <c r="J235" s="50">
        <f t="shared" ref="J235:J241" si="86">LN(G235/B235)/6.02*100</f>
        <v>-0.25119195471658667</v>
      </c>
      <c r="K235" s="45">
        <f t="shared" ref="K235:K241" si="87">SUM(L235:M235)</f>
        <v>8477</v>
      </c>
      <c r="L235" s="45">
        <f>SUM(L236:L245)</f>
        <v>4404</v>
      </c>
      <c r="M235" s="45">
        <f>SUM(M236:M245)</f>
        <v>4073</v>
      </c>
      <c r="N235" s="45"/>
      <c r="O235" s="46">
        <f t="shared" ref="O235:O269" si="88">LN(K235/G235)/8.5*100</f>
        <v>0.67106417100907878</v>
      </c>
      <c r="P235" s="47">
        <f t="shared" ref="P235:P245" si="89">SUM(Q235:R235)</f>
        <v>14057</v>
      </c>
      <c r="Q235" s="53">
        <f>SUM(Q236:Q245)</f>
        <v>7030</v>
      </c>
      <c r="R235" s="53">
        <f>SUM(R236:R245)</f>
        <v>7027</v>
      </c>
      <c r="S235" s="53"/>
      <c r="T235" s="26" t="s">
        <v>421</v>
      </c>
      <c r="U235" s="99"/>
      <c r="V235" s="26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  <c r="AR235" s="48"/>
      <c r="AS235" s="48"/>
      <c r="AT235" s="48"/>
      <c r="AU235" s="48"/>
      <c r="AV235" s="48"/>
      <c r="AW235" s="48"/>
      <c r="AX235" s="48"/>
      <c r="AY235" s="48"/>
      <c r="AZ235" s="48"/>
      <c r="BA235" s="48"/>
      <c r="BB235" s="48"/>
      <c r="BC235" s="48"/>
      <c r="BD235" s="48"/>
      <c r="BE235" s="48"/>
      <c r="BF235" s="48"/>
      <c r="BG235" s="48"/>
      <c r="BH235" s="48"/>
      <c r="BI235" s="48"/>
      <c r="BJ235" s="48"/>
      <c r="BK235" s="48"/>
      <c r="BL235" s="48"/>
      <c r="BM235" s="48"/>
      <c r="BN235" s="48"/>
      <c r="BO235" s="48"/>
      <c r="BP235" s="48"/>
      <c r="BQ235" s="48"/>
      <c r="BR235" s="48"/>
      <c r="BS235" s="48"/>
      <c r="BT235" s="48"/>
      <c r="BU235" s="48"/>
      <c r="BV235" s="48"/>
      <c r="BW235" s="48"/>
      <c r="BX235" s="48"/>
      <c r="BY235" s="48"/>
      <c r="BZ235" s="48"/>
      <c r="CA235" s="48"/>
      <c r="CB235" s="48"/>
      <c r="CC235" s="48"/>
      <c r="CD235" s="48"/>
      <c r="CE235" s="48"/>
    </row>
    <row r="236" spans="1:83" s="18" customFormat="1" ht="15">
      <c r="A236" s="82" t="s">
        <v>422</v>
      </c>
      <c r="B236" s="57">
        <f t="shared" si="85"/>
        <v>1139</v>
      </c>
      <c r="C236" s="57">
        <v>560</v>
      </c>
      <c r="D236" s="57">
        <v>579</v>
      </c>
      <c r="E236" s="57">
        <v>184</v>
      </c>
      <c r="F236" s="74">
        <v>6.1902173913043477</v>
      </c>
      <c r="G236" s="57">
        <f>SUM(H236:I236)</f>
        <v>1087</v>
      </c>
      <c r="H236" s="57">
        <v>542</v>
      </c>
      <c r="I236" s="57">
        <v>545</v>
      </c>
      <c r="J236" s="87">
        <f t="shared" si="86"/>
        <v>-0.77623050375369862</v>
      </c>
      <c r="K236" s="57">
        <f t="shared" si="87"/>
        <v>894</v>
      </c>
      <c r="L236" s="57">
        <v>494</v>
      </c>
      <c r="M236" s="57">
        <v>400</v>
      </c>
      <c r="N236" s="57"/>
      <c r="O236" s="88">
        <f t="shared" si="88"/>
        <v>-2.2996601405611221</v>
      </c>
      <c r="P236" s="58">
        <f t="shared" si="89"/>
        <v>1291</v>
      </c>
      <c r="Q236" s="59">
        <v>475</v>
      </c>
      <c r="R236" s="59">
        <v>816</v>
      </c>
      <c r="S236" s="59"/>
      <c r="T236" s="60" t="s">
        <v>423</v>
      </c>
      <c r="U236" s="101"/>
      <c r="V236" s="78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</row>
    <row r="237" spans="1:83" s="18" customFormat="1" ht="15">
      <c r="A237" s="82" t="s">
        <v>424</v>
      </c>
      <c r="B237" s="57">
        <f t="shared" si="85"/>
        <v>2261</v>
      </c>
      <c r="C237" s="57">
        <v>1129</v>
      </c>
      <c r="D237" s="57">
        <v>1132</v>
      </c>
      <c r="E237" s="57">
        <v>364</v>
      </c>
      <c r="F237" s="74">
        <v>6.2115384615384617</v>
      </c>
      <c r="G237" s="57">
        <f t="shared" ref="G237:G245" si="90">SUM(H237:I237)</f>
        <v>1976</v>
      </c>
      <c r="H237" s="57">
        <v>951</v>
      </c>
      <c r="I237" s="57">
        <v>1025</v>
      </c>
      <c r="J237" s="87">
        <f t="shared" si="86"/>
        <v>-2.2380829563148961</v>
      </c>
      <c r="K237" s="57">
        <f t="shared" si="87"/>
        <v>2554</v>
      </c>
      <c r="L237" s="57">
        <v>1348</v>
      </c>
      <c r="M237" s="57">
        <v>1206</v>
      </c>
      <c r="N237" s="57"/>
      <c r="O237" s="88">
        <f t="shared" si="88"/>
        <v>3.0186606857020171</v>
      </c>
      <c r="P237" s="58">
        <f t="shared" si="89"/>
        <v>3654</v>
      </c>
      <c r="Q237" s="59">
        <v>1920</v>
      </c>
      <c r="R237" s="59">
        <v>1734</v>
      </c>
      <c r="S237" s="59"/>
      <c r="T237" s="60" t="s">
        <v>39</v>
      </c>
      <c r="U237" s="101"/>
      <c r="V237" s="78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</row>
    <row r="238" spans="1:83" s="18" customFormat="1" ht="15">
      <c r="A238" s="82" t="s">
        <v>412</v>
      </c>
      <c r="B238" s="57">
        <f t="shared" si="85"/>
        <v>886</v>
      </c>
      <c r="C238" s="57">
        <v>427</v>
      </c>
      <c r="D238" s="57">
        <v>459</v>
      </c>
      <c r="E238" s="57">
        <v>160</v>
      </c>
      <c r="F238" s="74">
        <v>5.5374999999999996</v>
      </c>
      <c r="G238" s="57">
        <f t="shared" si="90"/>
        <v>1000</v>
      </c>
      <c r="H238" s="57">
        <v>508</v>
      </c>
      <c r="I238" s="57">
        <v>492</v>
      </c>
      <c r="J238" s="87">
        <f t="shared" si="86"/>
        <v>2.0106034614128934</v>
      </c>
      <c r="K238" s="57">
        <f t="shared" si="87"/>
        <v>1055</v>
      </c>
      <c r="L238" s="57">
        <v>544</v>
      </c>
      <c r="M238" s="57">
        <v>511</v>
      </c>
      <c r="N238" s="57"/>
      <c r="O238" s="88">
        <f t="shared" si="88"/>
        <v>0.62989137562387953</v>
      </c>
      <c r="P238" s="58">
        <f t="shared" si="89"/>
        <v>1530</v>
      </c>
      <c r="Q238" s="59">
        <v>815</v>
      </c>
      <c r="R238" s="59">
        <v>715</v>
      </c>
      <c r="S238" s="59"/>
      <c r="T238" s="60" t="s">
        <v>413</v>
      </c>
      <c r="U238" s="101"/>
      <c r="V238" s="78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</row>
    <row r="239" spans="1:83" s="18" customFormat="1" ht="15">
      <c r="A239" s="82" t="s">
        <v>350</v>
      </c>
      <c r="B239" s="57">
        <f t="shared" si="85"/>
        <v>432</v>
      </c>
      <c r="C239" s="57">
        <v>214</v>
      </c>
      <c r="D239" s="57">
        <v>218</v>
      </c>
      <c r="E239" s="57">
        <v>82</v>
      </c>
      <c r="F239" s="74">
        <v>5.2682926829268295</v>
      </c>
      <c r="G239" s="57">
        <f t="shared" si="90"/>
        <v>534</v>
      </c>
      <c r="H239" s="57">
        <v>258</v>
      </c>
      <c r="I239" s="57">
        <v>276</v>
      </c>
      <c r="J239" s="87">
        <f t="shared" si="86"/>
        <v>3.5211005102339632</v>
      </c>
      <c r="K239" s="57">
        <f t="shared" si="87"/>
        <v>501</v>
      </c>
      <c r="L239" s="57">
        <v>266</v>
      </c>
      <c r="M239" s="57">
        <v>235</v>
      </c>
      <c r="N239" s="57"/>
      <c r="O239" s="88">
        <f t="shared" si="88"/>
        <v>-0.75046750441564802</v>
      </c>
      <c r="P239" s="58">
        <f t="shared" si="89"/>
        <v>899</v>
      </c>
      <c r="Q239" s="59">
        <v>456</v>
      </c>
      <c r="R239" s="59">
        <v>443</v>
      </c>
      <c r="S239" s="59"/>
      <c r="T239" s="60" t="s">
        <v>351</v>
      </c>
      <c r="U239" s="101"/>
      <c r="V239" s="78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</row>
    <row r="240" spans="1:83" s="18" customFormat="1" ht="15">
      <c r="A240" s="82" t="s">
        <v>425</v>
      </c>
      <c r="B240" s="57">
        <f t="shared" si="85"/>
        <v>1150</v>
      </c>
      <c r="C240" s="57">
        <v>556</v>
      </c>
      <c r="D240" s="57">
        <v>594</v>
      </c>
      <c r="E240" s="57">
        <v>189</v>
      </c>
      <c r="F240" s="74">
        <v>6.0846560846560847</v>
      </c>
      <c r="G240" s="57">
        <f t="shared" si="90"/>
        <v>1113</v>
      </c>
      <c r="H240" s="57">
        <v>534</v>
      </c>
      <c r="I240" s="57">
        <v>579</v>
      </c>
      <c r="J240" s="87">
        <f t="shared" si="86"/>
        <v>-0.54323704454735777</v>
      </c>
      <c r="K240" s="57">
        <f t="shared" si="87"/>
        <v>1044</v>
      </c>
      <c r="L240" s="57">
        <v>531</v>
      </c>
      <c r="M240" s="57">
        <v>513</v>
      </c>
      <c r="N240" s="57"/>
      <c r="O240" s="88">
        <f t="shared" si="88"/>
        <v>-0.75293626862306784</v>
      </c>
      <c r="P240" s="58">
        <f t="shared" si="89"/>
        <v>2010</v>
      </c>
      <c r="Q240" s="59">
        <v>997</v>
      </c>
      <c r="R240" s="59">
        <v>1013</v>
      </c>
      <c r="S240" s="59"/>
      <c r="T240" s="60" t="s">
        <v>426</v>
      </c>
      <c r="U240" s="101"/>
      <c r="V240" s="78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</row>
    <row r="241" spans="1:83" s="18" customFormat="1" ht="15">
      <c r="A241" s="82" t="s">
        <v>427</v>
      </c>
      <c r="B241" s="57">
        <f t="shared" si="85"/>
        <v>588</v>
      </c>
      <c r="C241" s="57">
        <v>301</v>
      </c>
      <c r="D241" s="57">
        <v>287</v>
      </c>
      <c r="E241" s="57">
        <v>124</v>
      </c>
      <c r="F241" s="74">
        <v>4.741935483870968</v>
      </c>
      <c r="G241" s="57">
        <f t="shared" si="90"/>
        <v>480</v>
      </c>
      <c r="H241" s="57">
        <v>254</v>
      </c>
      <c r="I241" s="57">
        <v>226</v>
      </c>
      <c r="J241" s="87">
        <f t="shared" si="86"/>
        <v>-3.3711103653935268</v>
      </c>
      <c r="K241" s="57">
        <f t="shared" si="87"/>
        <v>505</v>
      </c>
      <c r="L241" s="57">
        <v>267</v>
      </c>
      <c r="M241" s="57">
        <v>238</v>
      </c>
      <c r="N241" s="57"/>
      <c r="O241" s="88">
        <f t="shared" si="88"/>
        <v>0.59732147498144872</v>
      </c>
      <c r="P241" s="58">
        <f t="shared" si="89"/>
        <v>1333</v>
      </c>
      <c r="Q241" s="59">
        <v>682</v>
      </c>
      <c r="R241" s="59">
        <v>651</v>
      </c>
      <c r="S241" s="59"/>
      <c r="T241" s="60" t="s">
        <v>428</v>
      </c>
      <c r="U241" s="101"/>
      <c r="V241" s="78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</row>
    <row r="242" spans="1:83" s="18" customFormat="1" ht="15">
      <c r="A242" s="82" t="s">
        <v>429</v>
      </c>
      <c r="B242" s="57">
        <f t="shared" si="85"/>
        <v>260</v>
      </c>
      <c r="C242" s="57">
        <v>133</v>
      </c>
      <c r="D242" s="57">
        <v>127</v>
      </c>
      <c r="E242" s="57">
        <v>49</v>
      </c>
      <c r="F242" s="74">
        <v>5.3061224489795915</v>
      </c>
      <c r="G242" s="57">
        <f t="shared" si="90"/>
        <v>213</v>
      </c>
      <c r="H242" s="57">
        <v>95</v>
      </c>
      <c r="I242" s="57">
        <v>118</v>
      </c>
      <c r="J242" s="87">
        <f>LN(G242/B242)/6.02*100</f>
        <v>-3.3121173638887487</v>
      </c>
      <c r="K242" s="57">
        <f>SUM(L242:M242)</f>
        <v>259</v>
      </c>
      <c r="L242" s="57">
        <v>137</v>
      </c>
      <c r="M242" s="57">
        <v>122</v>
      </c>
      <c r="N242" s="57"/>
      <c r="O242" s="88">
        <f t="shared" si="88"/>
        <v>2.3004223057660314</v>
      </c>
      <c r="P242" s="58">
        <f t="shared" si="89"/>
        <v>559</v>
      </c>
      <c r="Q242" s="59">
        <v>271</v>
      </c>
      <c r="R242" s="59">
        <v>288</v>
      </c>
      <c r="S242" s="59"/>
      <c r="T242" s="60" t="s">
        <v>430</v>
      </c>
      <c r="U242" s="101"/>
      <c r="V242" s="78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</row>
    <row r="243" spans="1:83" s="18" customFormat="1" ht="15">
      <c r="A243" s="82" t="s">
        <v>431</v>
      </c>
      <c r="B243" s="57">
        <f t="shared" si="85"/>
        <v>139</v>
      </c>
      <c r="C243" s="57">
        <v>71</v>
      </c>
      <c r="D243" s="57">
        <v>68</v>
      </c>
      <c r="E243" s="57">
        <v>27</v>
      </c>
      <c r="F243" s="74">
        <v>5.1481481481481479</v>
      </c>
      <c r="G243" s="57">
        <f t="shared" si="90"/>
        <v>79</v>
      </c>
      <c r="H243" s="57">
        <v>34</v>
      </c>
      <c r="I243" s="57">
        <v>45</v>
      </c>
      <c r="J243" s="87">
        <f>LN(G243/B243)/6.02*100</f>
        <v>-9.3858152934164494</v>
      </c>
      <c r="K243" s="57" t="s">
        <v>44</v>
      </c>
      <c r="L243" s="57" t="s">
        <v>44</v>
      </c>
      <c r="M243" s="57" t="s">
        <v>44</v>
      </c>
      <c r="N243" s="57"/>
      <c r="O243" s="90" t="s">
        <v>44</v>
      </c>
      <c r="P243" s="58">
        <f t="shared" si="89"/>
        <v>6</v>
      </c>
      <c r="Q243" s="59">
        <v>5</v>
      </c>
      <c r="R243" s="59">
        <v>1</v>
      </c>
      <c r="S243" s="59"/>
      <c r="T243" s="60" t="s">
        <v>432</v>
      </c>
      <c r="V243" s="78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</row>
    <row r="244" spans="1:83" s="18" customFormat="1" ht="15">
      <c r="A244" s="82" t="s">
        <v>433</v>
      </c>
      <c r="B244" s="57">
        <f t="shared" si="85"/>
        <v>899</v>
      </c>
      <c r="C244" s="57">
        <v>448</v>
      </c>
      <c r="D244" s="57">
        <v>451</v>
      </c>
      <c r="E244" s="57">
        <v>163</v>
      </c>
      <c r="F244" s="74">
        <v>5.5153374233128831</v>
      </c>
      <c r="G244" s="57">
        <f t="shared" si="90"/>
        <v>1082</v>
      </c>
      <c r="H244" s="57">
        <v>533</v>
      </c>
      <c r="I244" s="57">
        <v>549</v>
      </c>
      <c r="J244" s="87">
        <f>LN(G244/B244)/6.02*100</f>
        <v>3.077797756392135</v>
      </c>
      <c r="K244" s="57">
        <f>SUM(L244:M244)</f>
        <v>1160</v>
      </c>
      <c r="L244" s="57">
        <v>578</v>
      </c>
      <c r="M244" s="57">
        <v>582</v>
      </c>
      <c r="N244" s="57"/>
      <c r="O244" s="88">
        <f t="shared" si="88"/>
        <v>0.81892734934098255</v>
      </c>
      <c r="P244" s="58">
        <f t="shared" si="89"/>
        <v>1808</v>
      </c>
      <c r="Q244" s="59">
        <v>934</v>
      </c>
      <c r="R244" s="59">
        <v>874</v>
      </c>
      <c r="S244" s="59"/>
      <c r="T244" s="60" t="s">
        <v>434</v>
      </c>
      <c r="U244" s="101"/>
      <c r="V244" s="78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</row>
    <row r="245" spans="1:83" s="18" customFormat="1" ht="15">
      <c r="A245" s="82" t="s">
        <v>435</v>
      </c>
      <c r="B245" s="57">
        <f t="shared" si="85"/>
        <v>375</v>
      </c>
      <c r="C245" s="57">
        <v>172</v>
      </c>
      <c r="D245" s="57">
        <v>203</v>
      </c>
      <c r="E245" s="57">
        <v>69</v>
      </c>
      <c r="F245" s="74">
        <v>5.4347826086956523</v>
      </c>
      <c r="G245" s="57">
        <f t="shared" si="90"/>
        <v>443</v>
      </c>
      <c r="H245" s="57">
        <v>225</v>
      </c>
      <c r="I245" s="57">
        <v>218</v>
      </c>
      <c r="J245" s="87">
        <f>LN(G245/B245)/6.02*100</f>
        <v>2.7681685062246655</v>
      </c>
      <c r="K245" s="57">
        <f>SUM(L245:M245)</f>
        <v>505</v>
      </c>
      <c r="L245" s="57">
        <v>239</v>
      </c>
      <c r="M245" s="57">
        <v>266</v>
      </c>
      <c r="N245" s="57"/>
      <c r="O245" s="88">
        <f t="shared" si="88"/>
        <v>1.5410430497673426</v>
      </c>
      <c r="P245" s="58">
        <f t="shared" si="89"/>
        <v>967</v>
      </c>
      <c r="Q245" s="57">
        <v>475</v>
      </c>
      <c r="R245" s="57">
        <v>492</v>
      </c>
      <c r="S245" s="57"/>
      <c r="T245" s="60" t="s">
        <v>436</v>
      </c>
      <c r="U245" s="101"/>
      <c r="V245" s="78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</row>
    <row r="246" spans="1:83" s="18" customFormat="1" ht="15">
      <c r="A246" s="82"/>
      <c r="B246" s="57"/>
      <c r="C246" s="57"/>
      <c r="D246" s="57"/>
      <c r="E246" s="57"/>
      <c r="F246" s="74"/>
      <c r="G246" s="57"/>
      <c r="H246" s="57"/>
      <c r="I246" s="57"/>
      <c r="J246" s="87"/>
      <c r="K246" s="57"/>
      <c r="L246" s="57"/>
      <c r="M246" s="57"/>
      <c r="N246" s="57"/>
      <c r="O246" s="88"/>
      <c r="P246" s="58"/>
      <c r="Q246" s="106"/>
      <c r="R246" s="106"/>
      <c r="S246" s="106"/>
      <c r="T246" s="78"/>
      <c r="U246" s="101"/>
      <c r="V246" s="78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</row>
    <row r="247" spans="1:83" s="49" customFormat="1" ht="15">
      <c r="A247" s="85" t="s">
        <v>437</v>
      </c>
      <c r="B247" s="45">
        <f t="shared" ref="B247:B258" si="91">SUM(C247:D247)</f>
        <v>11840</v>
      </c>
      <c r="C247" s="45">
        <f>SUM(C248:C258)</f>
        <v>5682</v>
      </c>
      <c r="D247" s="45">
        <f>SUM(D248:D258)</f>
        <v>6158</v>
      </c>
      <c r="E247" s="45">
        <f>SUM(E248:E258)</f>
        <v>2175</v>
      </c>
      <c r="F247" s="44">
        <v>5.459807073954984</v>
      </c>
      <c r="G247" s="45">
        <f>SUM(H247:I247)</f>
        <v>10991</v>
      </c>
      <c r="H247" s="45">
        <f>SUM(H248:H258)</f>
        <v>5373</v>
      </c>
      <c r="I247" s="45">
        <f>SUM(I248:I258)</f>
        <v>5618</v>
      </c>
      <c r="J247" s="50">
        <f t="shared" ref="J247:J254" si="92">LN(G247/B247)/6.02*100</f>
        <v>-1.2359945742374807</v>
      </c>
      <c r="K247" s="45">
        <f>SUM(L247:M247)</f>
        <v>11653</v>
      </c>
      <c r="L247" s="45">
        <f>SUM(L248:L258)</f>
        <v>5891</v>
      </c>
      <c r="M247" s="45">
        <f>SUM(M248:M258)</f>
        <v>5762</v>
      </c>
      <c r="N247" s="45"/>
      <c r="O247" s="46">
        <f t="shared" si="88"/>
        <v>0.68808119416897651</v>
      </c>
      <c r="P247" s="47">
        <f t="shared" ref="P247:P255" si="93">SUM(Q247:R247)</f>
        <v>21096</v>
      </c>
      <c r="Q247" s="53">
        <f>SUM(Q248:Q258)</f>
        <v>10791</v>
      </c>
      <c r="R247" s="53">
        <f>SUM(R248:R258)</f>
        <v>10305</v>
      </c>
      <c r="S247" s="53"/>
      <c r="T247" s="26" t="s">
        <v>438</v>
      </c>
      <c r="U247" s="99"/>
      <c r="V247" s="26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  <c r="AR247" s="48"/>
      <c r="AS247" s="48"/>
      <c r="AT247" s="48"/>
      <c r="AU247" s="48"/>
      <c r="AV247" s="48"/>
      <c r="AW247" s="48"/>
      <c r="AX247" s="48"/>
      <c r="AY247" s="48"/>
      <c r="AZ247" s="48"/>
      <c r="BA247" s="48"/>
      <c r="BB247" s="48"/>
      <c r="BC247" s="48"/>
      <c r="BD247" s="48"/>
      <c r="BE247" s="48"/>
      <c r="BF247" s="48"/>
      <c r="BG247" s="48"/>
      <c r="BH247" s="48"/>
      <c r="BI247" s="48"/>
      <c r="BJ247" s="48"/>
      <c r="BK247" s="48"/>
      <c r="BL247" s="48"/>
      <c r="BM247" s="48"/>
      <c r="BN247" s="48"/>
      <c r="BO247" s="48"/>
      <c r="BP247" s="48"/>
      <c r="BQ247" s="48"/>
      <c r="BR247" s="48"/>
      <c r="BS247" s="48"/>
      <c r="BT247" s="48"/>
      <c r="BU247" s="48"/>
      <c r="BV247" s="48"/>
      <c r="BW247" s="48"/>
      <c r="BX247" s="48"/>
      <c r="BY247" s="48"/>
      <c r="BZ247" s="48"/>
      <c r="CA247" s="48"/>
      <c r="CB247" s="48"/>
      <c r="CC247" s="48"/>
      <c r="CD247" s="48"/>
      <c r="CE247" s="48"/>
    </row>
    <row r="248" spans="1:83" s="18" customFormat="1" ht="15">
      <c r="A248" s="82" t="s">
        <v>439</v>
      </c>
      <c r="B248" s="57">
        <f t="shared" si="91"/>
        <v>939</v>
      </c>
      <c r="C248" s="57">
        <v>462</v>
      </c>
      <c r="D248" s="57">
        <v>477</v>
      </c>
      <c r="E248" s="57">
        <v>186</v>
      </c>
      <c r="F248" s="74">
        <v>5.0483870967741939</v>
      </c>
      <c r="G248" s="57">
        <f>SUM(H248:I248)</f>
        <v>1065</v>
      </c>
      <c r="H248" s="57">
        <v>508</v>
      </c>
      <c r="I248" s="57">
        <v>557</v>
      </c>
      <c r="J248" s="87">
        <f t="shared" si="92"/>
        <v>2.0916046334761225</v>
      </c>
      <c r="K248" s="57">
        <f t="shared" ref="K248:K255" si="94">SUM(L248:M248)</f>
        <v>1155</v>
      </c>
      <c r="L248" s="57">
        <v>563</v>
      </c>
      <c r="M248" s="57">
        <v>592</v>
      </c>
      <c r="N248" s="57"/>
      <c r="O248" s="88">
        <f t="shared" si="88"/>
        <v>0.95441817426315922</v>
      </c>
      <c r="P248" s="58">
        <f t="shared" si="93"/>
        <v>1976</v>
      </c>
      <c r="Q248" s="59">
        <v>1029</v>
      </c>
      <c r="R248" s="59">
        <v>947</v>
      </c>
      <c r="S248" s="59"/>
      <c r="T248" s="60" t="s">
        <v>440</v>
      </c>
      <c r="U248" s="101"/>
      <c r="V248" s="78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</row>
    <row r="249" spans="1:83" s="18" customFormat="1" ht="15">
      <c r="A249" s="82" t="s">
        <v>441</v>
      </c>
      <c r="B249" s="57">
        <f t="shared" si="91"/>
        <v>523</v>
      </c>
      <c r="C249" s="57">
        <v>241</v>
      </c>
      <c r="D249" s="57">
        <v>282</v>
      </c>
      <c r="E249" s="57">
        <v>127</v>
      </c>
      <c r="F249" s="74">
        <v>4.1181102362204722</v>
      </c>
      <c r="G249" s="57">
        <f t="shared" ref="G249:G258" si="95">SUM(H249:I249)</f>
        <v>668</v>
      </c>
      <c r="H249" s="57">
        <v>324</v>
      </c>
      <c r="I249" s="57">
        <v>344</v>
      </c>
      <c r="J249" s="87">
        <f t="shared" si="92"/>
        <v>4.064895506174798</v>
      </c>
      <c r="K249" s="57">
        <f t="shared" si="94"/>
        <v>803</v>
      </c>
      <c r="L249" s="57">
        <v>407</v>
      </c>
      <c r="M249" s="57">
        <v>396</v>
      </c>
      <c r="N249" s="57"/>
      <c r="O249" s="88">
        <f t="shared" si="88"/>
        <v>2.1654887107072471</v>
      </c>
      <c r="P249" s="58">
        <f t="shared" si="93"/>
        <v>1312</v>
      </c>
      <c r="Q249" s="59">
        <v>682</v>
      </c>
      <c r="R249" s="59">
        <v>630</v>
      </c>
      <c r="S249" s="59"/>
      <c r="T249" s="60" t="s">
        <v>442</v>
      </c>
      <c r="U249" s="101"/>
      <c r="V249" s="78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</row>
    <row r="250" spans="1:83" s="18" customFormat="1" ht="15">
      <c r="A250" s="82" t="s">
        <v>443</v>
      </c>
      <c r="B250" s="57">
        <f t="shared" si="91"/>
        <v>659</v>
      </c>
      <c r="C250" s="57">
        <v>307</v>
      </c>
      <c r="D250" s="57">
        <v>352</v>
      </c>
      <c r="E250" s="57">
        <v>134</v>
      </c>
      <c r="F250" s="74">
        <v>4.9179104477611943</v>
      </c>
      <c r="G250" s="57">
        <f t="shared" si="95"/>
        <v>614</v>
      </c>
      <c r="H250" s="57">
        <v>289</v>
      </c>
      <c r="I250" s="57">
        <v>325</v>
      </c>
      <c r="J250" s="87">
        <f t="shared" si="92"/>
        <v>-1.1748937932784851</v>
      </c>
      <c r="K250" s="57">
        <f t="shared" si="94"/>
        <v>738</v>
      </c>
      <c r="L250" s="57">
        <v>375</v>
      </c>
      <c r="M250" s="57">
        <v>363</v>
      </c>
      <c r="N250" s="57"/>
      <c r="O250" s="88">
        <f t="shared" si="88"/>
        <v>2.1641046641568247</v>
      </c>
      <c r="P250" s="58">
        <f t="shared" si="93"/>
        <v>1122</v>
      </c>
      <c r="Q250" s="59">
        <v>568</v>
      </c>
      <c r="R250" s="59">
        <v>554</v>
      </c>
      <c r="S250" s="59"/>
      <c r="T250" s="60" t="s">
        <v>444</v>
      </c>
      <c r="U250" s="101"/>
      <c r="V250" s="78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</row>
    <row r="251" spans="1:83" s="18" customFormat="1" ht="15">
      <c r="A251" s="82" t="s">
        <v>445</v>
      </c>
      <c r="B251" s="57">
        <f t="shared" si="91"/>
        <v>1701</v>
      </c>
      <c r="C251" s="57">
        <v>779</v>
      </c>
      <c r="D251" s="57">
        <v>922</v>
      </c>
      <c r="E251" s="57">
        <v>343</v>
      </c>
      <c r="F251" s="74">
        <v>4.9591836734693882</v>
      </c>
      <c r="G251" s="57">
        <f t="shared" si="95"/>
        <v>1439</v>
      </c>
      <c r="H251" s="57">
        <v>729</v>
      </c>
      <c r="I251" s="57">
        <v>710</v>
      </c>
      <c r="J251" s="87">
        <f t="shared" si="92"/>
        <v>-2.7785363041278073</v>
      </c>
      <c r="K251" s="57">
        <f t="shared" si="94"/>
        <v>1395</v>
      </c>
      <c r="L251" s="57">
        <v>722</v>
      </c>
      <c r="M251" s="57">
        <v>673</v>
      </c>
      <c r="N251" s="57"/>
      <c r="O251" s="88">
        <f t="shared" si="88"/>
        <v>-0.36534132508119732</v>
      </c>
      <c r="P251" s="58">
        <f t="shared" si="93"/>
        <v>3064</v>
      </c>
      <c r="Q251" s="59">
        <v>1577</v>
      </c>
      <c r="R251" s="59">
        <v>1487</v>
      </c>
      <c r="S251" s="59"/>
      <c r="T251" s="60" t="s">
        <v>446</v>
      </c>
      <c r="U251" s="101"/>
      <c r="V251" s="78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</row>
    <row r="252" spans="1:83" s="18" customFormat="1" ht="15">
      <c r="A252" s="82" t="s">
        <v>447</v>
      </c>
      <c r="B252" s="57">
        <f t="shared" si="91"/>
        <v>610</v>
      </c>
      <c r="C252" s="57">
        <v>307</v>
      </c>
      <c r="D252" s="57">
        <v>303</v>
      </c>
      <c r="E252" s="57">
        <v>134</v>
      </c>
      <c r="F252" s="74">
        <v>4.5522388059701493</v>
      </c>
      <c r="G252" s="57">
        <f t="shared" si="95"/>
        <v>492</v>
      </c>
      <c r="H252" s="57">
        <v>249</v>
      </c>
      <c r="I252" s="57">
        <v>243</v>
      </c>
      <c r="J252" s="87">
        <f t="shared" si="92"/>
        <v>-3.5711003434393507</v>
      </c>
      <c r="K252" s="57">
        <f t="shared" si="94"/>
        <v>515</v>
      </c>
      <c r="L252" s="57">
        <v>274</v>
      </c>
      <c r="M252" s="57">
        <v>241</v>
      </c>
      <c r="N252" s="57"/>
      <c r="O252" s="88">
        <f t="shared" si="88"/>
        <v>0.53750804907562266</v>
      </c>
      <c r="P252" s="58">
        <f t="shared" si="93"/>
        <v>1368</v>
      </c>
      <c r="Q252" s="59">
        <v>698</v>
      </c>
      <c r="R252" s="59">
        <v>670</v>
      </c>
      <c r="S252" s="59"/>
      <c r="T252" s="60" t="s">
        <v>448</v>
      </c>
      <c r="U252" s="101"/>
      <c r="V252" s="78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</row>
    <row r="253" spans="1:83" s="18" customFormat="1" ht="15">
      <c r="A253" s="82" t="s">
        <v>189</v>
      </c>
      <c r="B253" s="57">
        <f t="shared" si="91"/>
        <v>733</v>
      </c>
      <c r="C253" s="57">
        <v>335</v>
      </c>
      <c r="D253" s="57">
        <v>398</v>
      </c>
      <c r="E253" s="57">
        <v>146</v>
      </c>
      <c r="F253" s="74">
        <v>5.0205479452054798</v>
      </c>
      <c r="G253" s="57">
        <f t="shared" si="95"/>
        <v>662</v>
      </c>
      <c r="H253" s="57">
        <v>319</v>
      </c>
      <c r="I253" s="57">
        <v>343</v>
      </c>
      <c r="J253" s="87">
        <f t="shared" si="92"/>
        <v>-1.6923612283993912</v>
      </c>
      <c r="K253" s="57">
        <f t="shared" si="94"/>
        <v>661</v>
      </c>
      <c r="L253" s="57">
        <v>335</v>
      </c>
      <c r="M253" s="57">
        <v>326</v>
      </c>
      <c r="N253" s="57"/>
      <c r="O253" s="88">
        <f t="shared" si="88"/>
        <v>-1.7784895121434909E-2</v>
      </c>
      <c r="P253" s="58">
        <f t="shared" si="93"/>
        <v>1465</v>
      </c>
      <c r="Q253" s="59">
        <v>768</v>
      </c>
      <c r="R253" s="59">
        <v>697</v>
      </c>
      <c r="S253" s="59"/>
      <c r="T253" s="60" t="s">
        <v>190</v>
      </c>
      <c r="U253" s="101"/>
      <c r="V253" s="78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</row>
    <row r="254" spans="1:83" s="18" customFormat="1" ht="15">
      <c r="A254" s="82" t="s">
        <v>449</v>
      </c>
      <c r="B254" s="57">
        <f t="shared" si="91"/>
        <v>847</v>
      </c>
      <c r="C254" s="57">
        <v>388</v>
      </c>
      <c r="D254" s="57">
        <v>459</v>
      </c>
      <c r="E254" s="57">
        <v>168</v>
      </c>
      <c r="F254" s="74">
        <v>5.041666666666667</v>
      </c>
      <c r="G254" s="57">
        <f t="shared" si="95"/>
        <v>673</v>
      </c>
      <c r="H254" s="57">
        <v>316</v>
      </c>
      <c r="I254" s="57">
        <v>357</v>
      </c>
      <c r="J254" s="87">
        <f t="shared" si="92"/>
        <v>-3.8198565615834985</v>
      </c>
      <c r="K254" s="57">
        <f t="shared" si="94"/>
        <v>689</v>
      </c>
      <c r="L254" s="57">
        <v>348</v>
      </c>
      <c r="M254" s="57">
        <v>341</v>
      </c>
      <c r="N254" s="57"/>
      <c r="O254" s="88">
        <f t="shared" si="88"/>
        <v>0.27642283963447867</v>
      </c>
      <c r="P254" s="58">
        <f t="shared" si="93"/>
        <v>1510</v>
      </c>
      <c r="Q254" s="59">
        <v>765</v>
      </c>
      <c r="R254" s="59">
        <v>745</v>
      </c>
      <c r="S254" s="59"/>
      <c r="T254" s="60" t="s">
        <v>450</v>
      </c>
      <c r="U254" s="101"/>
      <c r="V254" s="78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</row>
    <row r="255" spans="1:83" s="18" customFormat="1" ht="14.25" customHeight="1">
      <c r="A255" s="82" t="s">
        <v>451</v>
      </c>
      <c r="B255" s="57" t="s">
        <v>44</v>
      </c>
      <c r="C255" s="57" t="s">
        <v>44</v>
      </c>
      <c r="D255" s="57" t="s">
        <v>44</v>
      </c>
      <c r="E255" s="57" t="s">
        <v>44</v>
      </c>
      <c r="F255" s="74" t="s">
        <v>44</v>
      </c>
      <c r="G255" s="57">
        <v>936</v>
      </c>
      <c r="H255" s="57">
        <v>471</v>
      </c>
      <c r="I255" s="57">
        <v>465</v>
      </c>
      <c r="J255" s="87">
        <v>1.7756597822341593E-2</v>
      </c>
      <c r="K255" s="57">
        <f t="shared" si="94"/>
        <v>1028</v>
      </c>
      <c r="L255" s="57">
        <v>527</v>
      </c>
      <c r="M255" s="57">
        <v>501</v>
      </c>
      <c r="N255" s="57"/>
      <c r="O255" s="88">
        <f t="shared" si="88"/>
        <v>1.1029996416178642</v>
      </c>
      <c r="P255" s="58">
        <f t="shared" si="93"/>
        <v>1792</v>
      </c>
      <c r="Q255" s="57">
        <v>904</v>
      </c>
      <c r="R255" s="57">
        <v>888</v>
      </c>
      <c r="S255" s="57"/>
      <c r="T255" s="60" t="s">
        <v>452</v>
      </c>
      <c r="U255" s="101"/>
      <c r="V255" s="78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</row>
    <row r="256" spans="1:83" s="18" customFormat="1" ht="15" hidden="1">
      <c r="A256" s="82" t="s">
        <v>453</v>
      </c>
      <c r="B256" s="57">
        <f t="shared" si="91"/>
        <v>485</v>
      </c>
      <c r="C256" s="57">
        <v>238</v>
      </c>
      <c r="D256" s="57">
        <v>247</v>
      </c>
      <c r="E256" s="57">
        <v>98</v>
      </c>
      <c r="F256" s="74">
        <v>4.9489795918367347</v>
      </c>
      <c r="G256" s="57" t="s">
        <v>44</v>
      </c>
      <c r="H256" s="57" t="s">
        <v>44</v>
      </c>
      <c r="I256" s="57" t="s">
        <v>44</v>
      </c>
      <c r="J256" s="87" t="s">
        <v>44</v>
      </c>
      <c r="K256" s="57" t="s">
        <v>44</v>
      </c>
      <c r="L256" s="57" t="s">
        <v>44</v>
      </c>
      <c r="M256" s="57" t="s">
        <v>44</v>
      </c>
      <c r="N256" s="57"/>
      <c r="O256" s="90" t="s">
        <v>44</v>
      </c>
      <c r="P256" s="58" t="s">
        <v>44</v>
      </c>
      <c r="Q256" s="57" t="s">
        <v>44</v>
      </c>
      <c r="R256" s="57" t="s">
        <v>44</v>
      </c>
      <c r="S256" s="57"/>
      <c r="T256" s="60" t="s">
        <v>454</v>
      </c>
      <c r="U256" s="101"/>
      <c r="V256" s="78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</row>
    <row r="257" spans="1:83" s="18" customFormat="1" ht="15" hidden="1">
      <c r="A257" s="82" t="s">
        <v>455</v>
      </c>
      <c r="B257" s="57">
        <f t="shared" si="91"/>
        <v>450</v>
      </c>
      <c r="C257" s="57">
        <v>238</v>
      </c>
      <c r="D257" s="57">
        <v>212</v>
      </c>
      <c r="E257" s="57">
        <v>97</v>
      </c>
      <c r="F257" s="74">
        <v>4.6391752577319592</v>
      </c>
      <c r="G257" s="57" t="s">
        <v>44</v>
      </c>
      <c r="H257" s="57" t="s">
        <v>44</v>
      </c>
      <c r="I257" s="57" t="s">
        <v>44</v>
      </c>
      <c r="J257" s="87" t="s">
        <v>44</v>
      </c>
      <c r="K257" s="57" t="s">
        <v>44</v>
      </c>
      <c r="L257" s="57" t="s">
        <v>44</v>
      </c>
      <c r="M257" s="57" t="s">
        <v>44</v>
      </c>
      <c r="N257" s="57"/>
      <c r="O257" s="90" t="s">
        <v>44</v>
      </c>
      <c r="P257" s="58" t="s">
        <v>44</v>
      </c>
      <c r="Q257" s="57" t="s">
        <v>44</v>
      </c>
      <c r="R257" s="57" t="s">
        <v>44</v>
      </c>
      <c r="S257" s="57"/>
      <c r="T257" s="60" t="s">
        <v>456</v>
      </c>
      <c r="U257" s="101"/>
      <c r="V257" s="78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</row>
    <row r="258" spans="1:83" s="18" customFormat="1" ht="15">
      <c r="A258" s="82" t="s">
        <v>316</v>
      </c>
      <c r="B258" s="57">
        <f t="shared" si="91"/>
        <v>4893</v>
      </c>
      <c r="C258" s="57">
        <v>2387</v>
      </c>
      <c r="D258" s="57">
        <v>2506</v>
      </c>
      <c r="E258" s="57">
        <v>742</v>
      </c>
      <c r="F258" s="74">
        <v>6.5943396226415096</v>
      </c>
      <c r="G258" s="57">
        <f t="shared" si="95"/>
        <v>4442</v>
      </c>
      <c r="H258" s="57">
        <v>2168</v>
      </c>
      <c r="I258" s="57">
        <v>2274</v>
      </c>
      <c r="J258" s="87">
        <f>LN(G258/B258)/6.02*100</f>
        <v>-1.6063270238330696</v>
      </c>
      <c r="K258" s="57">
        <f>SUM(L258:M258)</f>
        <v>4669</v>
      </c>
      <c r="L258" s="57">
        <v>2340</v>
      </c>
      <c r="M258" s="57">
        <v>2329</v>
      </c>
      <c r="N258" s="57"/>
      <c r="O258" s="88">
        <f t="shared" si="88"/>
        <v>0.58635518254781505</v>
      </c>
      <c r="P258" s="58">
        <f>SUM(Q258:R258)</f>
        <v>7487</v>
      </c>
      <c r="Q258" s="59">
        <v>3800</v>
      </c>
      <c r="R258" s="59">
        <v>3687</v>
      </c>
      <c r="S258" s="59"/>
      <c r="T258" s="60" t="s">
        <v>317</v>
      </c>
      <c r="U258" s="101"/>
      <c r="V258" s="78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</row>
    <row r="259" spans="1:83" s="18" customFormat="1" ht="15">
      <c r="A259" s="82"/>
      <c r="B259" s="57"/>
      <c r="C259" s="57"/>
      <c r="D259" s="57"/>
      <c r="E259" s="57"/>
      <c r="F259" s="74"/>
      <c r="G259" s="57"/>
      <c r="H259" s="57"/>
      <c r="I259" s="57"/>
      <c r="J259" s="87"/>
      <c r="K259" s="57"/>
      <c r="L259" s="57"/>
      <c r="M259" s="57"/>
      <c r="N259" s="57"/>
      <c r="O259" s="88"/>
      <c r="P259" s="58"/>
      <c r="Q259" s="106"/>
      <c r="R259" s="106"/>
      <c r="S259" s="106"/>
      <c r="T259" s="78"/>
      <c r="U259" s="101"/>
      <c r="V259" s="78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</row>
    <row r="260" spans="1:83" s="49" customFormat="1" ht="15">
      <c r="A260" s="85" t="s">
        <v>457</v>
      </c>
      <c r="B260" s="45">
        <f>SUM(C260:D260)</f>
        <v>7528</v>
      </c>
      <c r="C260" s="45">
        <f>SUM(C261)</f>
        <v>3464</v>
      </c>
      <c r="D260" s="45">
        <f>SUM(D261)</f>
        <v>4064</v>
      </c>
      <c r="E260" s="45">
        <v>1251</v>
      </c>
      <c r="F260" s="44">
        <v>6.0175859312549962</v>
      </c>
      <c r="G260" s="45">
        <f>SUM(H260:I260)</f>
        <v>7636</v>
      </c>
      <c r="H260" s="45">
        <f>SUM(H261)</f>
        <v>3557</v>
      </c>
      <c r="I260" s="45">
        <f>SUM(I261)</f>
        <v>4079</v>
      </c>
      <c r="J260" s="50">
        <f>LN(G260/B260)/6.02*100</f>
        <v>0.2366196608043622</v>
      </c>
      <c r="K260" s="45">
        <f>SUM(L260:M260)</f>
        <v>8095</v>
      </c>
      <c r="L260" s="45">
        <f>SUM(L261)</f>
        <v>3673</v>
      </c>
      <c r="M260" s="45">
        <f>SUM(M261)</f>
        <v>4422</v>
      </c>
      <c r="N260" s="45"/>
      <c r="O260" s="46">
        <f>LN(K260/G260)/8.5*100</f>
        <v>0.68673742665996873</v>
      </c>
      <c r="P260" s="47">
        <f>SUM(Q260:R260)</f>
        <v>12901</v>
      </c>
      <c r="Q260" s="53">
        <f>Q261</f>
        <v>6579</v>
      </c>
      <c r="R260" s="53">
        <f>R261</f>
        <v>6322</v>
      </c>
      <c r="S260" s="53"/>
      <c r="T260" s="26" t="s">
        <v>458</v>
      </c>
      <c r="U260" s="99"/>
      <c r="V260" s="26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  <c r="AS260" s="48"/>
      <c r="AT260" s="48"/>
      <c r="AU260" s="48"/>
      <c r="AV260" s="48"/>
      <c r="AW260" s="48"/>
      <c r="AX260" s="48"/>
      <c r="AY260" s="48"/>
      <c r="AZ260" s="48"/>
      <c r="BA260" s="48"/>
      <c r="BB260" s="48"/>
      <c r="BC260" s="48"/>
      <c r="BD260" s="48"/>
      <c r="BE260" s="48"/>
      <c r="BF260" s="48"/>
      <c r="BG260" s="48"/>
      <c r="BH260" s="48"/>
      <c r="BI260" s="48"/>
      <c r="BJ260" s="48"/>
      <c r="BK260" s="48"/>
      <c r="BL260" s="48"/>
      <c r="BM260" s="48"/>
      <c r="BN260" s="48"/>
      <c r="BO260" s="48"/>
      <c r="BP260" s="48"/>
      <c r="BQ260" s="48"/>
      <c r="BR260" s="48"/>
      <c r="BS260" s="48"/>
      <c r="BT260" s="48"/>
      <c r="BU260" s="48"/>
      <c r="BV260" s="48"/>
      <c r="BW260" s="48"/>
      <c r="BX260" s="48"/>
      <c r="BY260" s="48"/>
      <c r="BZ260" s="48"/>
      <c r="CA260" s="48"/>
      <c r="CB260" s="48"/>
      <c r="CC260" s="48"/>
      <c r="CD260" s="48"/>
      <c r="CE260" s="48"/>
    </row>
    <row r="261" spans="1:83" s="18" customFormat="1" ht="15">
      <c r="A261" s="82" t="s">
        <v>459</v>
      </c>
      <c r="B261" s="57">
        <f>SUM(C261:D261)</f>
        <v>7528</v>
      </c>
      <c r="C261" s="57">
        <v>3464</v>
      </c>
      <c r="D261" s="57">
        <v>4064</v>
      </c>
      <c r="E261" s="57">
        <v>1251</v>
      </c>
      <c r="F261" s="74">
        <v>6.0175859312549962</v>
      </c>
      <c r="G261" s="57">
        <f>SUM(H261:I261)</f>
        <v>7636</v>
      </c>
      <c r="H261" s="104">
        <v>3557</v>
      </c>
      <c r="I261" s="104">
        <v>4079</v>
      </c>
      <c r="J261" s="87">
        <f>LN(G261/B261)/6.02*100</f>
        <v>0.2366196608043622</v>
      </c>
      <c r="K261" s="57">
        <f>SUM(L261:M261)</f>
        <v>8095</v>
      </c>
      <c r="L261" s="57">
        <v>3673</v>
      </c>
      <c r="M261" s="57">
        <v>4422</v>
      </c>
      <c r="N261" s="57"/>
      <c r="O261" s="88">
        <f t="shared" si="88"/>
        <v>0.68673742665996873</v>
      </c>
      <c r="P261" s="58">
        <f>SUM(Q261:R261)</f>
        <v>12901</v>
      </c>
      <c r="Q261" s="59">
        <v>6579</v>
      </c>
      <c r="R261" s="59">
        <v>6322</v>
      </c>
      <c r="S261" s="59"/>
      <c r="T261" s="60" t="s">
        <v>460</v>
      </c>
      <c r="U261" s="101"/>
      <c r="V261" s="78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</row>
    <row r="262" spans="1:83" s="18" customFormat="1" ht="15">
      <c r="A262" s="82"/>
      <c r="B262" s="57"/>
      <c r="C262" s="57"/>
      <c r="D262" s="57"/>
      <c r="E262" s="57"/>
      <c r="F262" s="74"/>
      <c r="G262" s="57"/>
      <c r="H262" s="104"/>
      <c r="I262" s="104"/>
      <c r="J262" s="87"/>
      <c r="K262" s="57"/>
      <c r="L262" s="57"/>
      <c r="M262" s="57"/>
      <c r="N262" s="57"/>
      <c r="O262" s="88"/>
      <c r="P262" s="58"/>
      <c r="Q262" s="65"/>
      <c r="R262" s="65"/>
      <c r="S262" s="65"/>
      <c r="T262" s="78"/>
      <c r="U262" s="101"/>
      <c r="V262" s="78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</row>
    <row r="263" spans="1:83" s="49" customFormat="1" ht="15">
      <c r="A263" s="85" t="s">
        <v>461</v>
      </c>
      <c r="B263" s="45">
        <f t="shared" ref="B263:B269" si="96">SUM(C263:D263)</f>
        <v>18499</v>
      </c>
      <c r="C263" s="45">
        <f>SUM(C264:C269)</f>
        <v>8253</v>
      </c>
      <c r="D263" s="45">
        <f>SUM(D264:D269)</f>
        <v>10246</v>
      </c>
      <c r="E263" s="45">
        <f>SUM(E264:E269)</f>
        <v>2981</v>
      </c>
      <c r="F263" s="44">
        <v>6.1943793911007026</v>
      </c>
      <c r="G263" s="45">
        <f t="shared" ref="G263:G269" si="97">SUM(H263:I263)</f>
        <v>17862</v>
      </c>
      <c r="H263" s="45">
        <f>SUM(H264:H269)</f>
        <v>8256</v>
      </c>
      <c r="I263" s="45">
        <f>SUM(I264:I269)</f>
        <v>9606</v>
      </c>
      <c r="J263" s="50">
        <f t="shared" ref="J263:J269" si="98">LN(G263/B263)/6.02*100</f>
        <v>-0.58207849348102603</v>
      </c>
      <c r="K263" s="45">
        <f>SUM(L263:M263)</f>
        <v>19829</v>
      </c>
      <c r="L263" s="45">
        <f>SUM(L264:L269)</f>
        <v>9441</v>
      </c>
      <c r="M263" s="45">
        <f>SUM(M264:M269)</f>
        <v>10388</v>
      </c>
      <c r="N263" s="45"/>
      <c r="O263" s="46">
        <f t="shared" si="88"/>
        <v>1.2290583688820473</v>
      </c>
      <c r="P263" s="47">
        <f t="shared" ref="P263:P269" si="99">SUM(Q263:R263)</f>
        <v>33876</v>
      </c>
      <c r="Q263" s="53">
        <f>SUM(Q264:Q269)</f>
        <v>17286</v>
      </c>
      <c r="R263" s="53">
        <f>SUM(R264:R269)</f>
        <v>16590</v>
      </c>
      <c r="S263" s="53"/>
      <c r="T263" s="26" t="s">
        <v>462</v>
      </c>
      <c r="U263" s="99"/>
      <c r="V263" s="26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  <c r="AR263" s="48"/>
      <c r="AS263" s="48"/>
      <c r="AT263" s="48"/>
      <c r="AU263" s="48"/>
      <c r="AV263" s="48"/>
      <c r="AW263" s="48"/>
      <c r="AX263" s="48"/>
      <c r="AY263" s="48"/>
      <c r="AZ263" s="48"/>
      <c r="BA263" s="48"/>
      <c r="BB263" s="48"/>
      <c r="BC263" s="48"/>
      <c r="BD263" s="48"/>
      <c r="BE263" s="48"/>
      <c r="BF263" s="48"/>
      <c r="BG263" s="48"/>
      <c r="BH263" s="48"/>
      <c r="BI263" s="48"/>
      <c r="BJ263" s="48"/>
      <c r="BK263" s="48"/>
      <c r="BL263" s="48"/>
      <c r="BM263" s="48"/>
      <c r="BN263" s="48"/>
      <c r="BO263" s="48"/>
      <c r="BP263" s="48"/>
      <c r="BQ263" s="48"/>
      <c r="BR263" s="48"/>
      <c r="BS263" s="48"/>
      <c r="BT263" s="48"/>
      <c r="BU263" s="48"/>
      <c r="BV263" s="48"/>
      <c r="BW263" s="48"/>
      <c r="BX263" s="48"/>
      <c r="BY263" s="48"/>
      <c r="BZ263" s="48"/>
      <c r="CA263" s="48"/>
      <c r="CB263" s="48"/>
      <c r="CC263" s="48"/>
      <c r="CD263" s="48"/>
      <c r="CE263" s="48"/>
    </row>
    <row r="264" spans="1:83" s="18" customFormat="1" ht="15">
      <c r="A264" s="82" t="s">
        <v>213</v>
      </c>
      <c r="B264" s="57">
        <f t="shared" si="96"/>
        <v>1681</v>
      </c>
      <c r="C264" s="57">
        <v>707</v>
      </c>
      <c r="D264" s="57">
        <v>974</v>
      </c>
      <c r="E264" s="57">
        <v>318</v>
      </c>
      <c r="F264" s="74">
        <v>5.2861635220125782</v>
      </c>
      <c r="G264" s="57">
        <f t="shared" si="97"/>
        <v>1458</v>
      </c>
      <c r="H264" s="57">
        <v>641</v>
      </c>
      <c r="I264" s="57">
        <v>817</v>
      </c>
      <c r="J264" s="87">
        <f t="shared" si="98"/>
        <v>-2.3641731036546867</v>
      </c>
      <c r="K264" s="57">
        <f t="shared" ref="K264:K269" si="100">SUM(L264:M264)</f>
        <v>1777</v>
      </c>
      <c r="L264" s="57">
        <v>828</v>
      </c>
      <c r="M264" s="57">
        <v>949</v>
      </c>
      <c r="N264" s="57"/>
      <c r="O264" s="88">
        <f t="shared" si="88"/>
        <v>2.3277754774829162</v>
      </c>
      <c r="P264" s="58">
        <f t="shared" si="99"/>
        <v>2986</v>
      </c>
      <c r="Q264" s="59">
        <v>1519</v>
      </c>
      <c r="R264" s="59">
        <v>1467</v>
      </c>
      <c r="S264" s="59"/>
      <c r="T264" s="60" t="s">
        <v>214</v>
      </c>
      <c r="U264" s="101"/>
      <c r="V264" s="78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</row>
    <row r="265" spans="1:83" s="18" customFormat="1" ht="15">
      <c r="A265" s="82" t="s">
        <v>414</v>
      </c>
      <c r="B265" s="57">
        <f t="shared" si="96"/>
        <v>9461</v>
      </c>
      <c r="C265" s="57">
        <v>4184</v>
      </c>
      <c r="D265" s="57">
        <v>5277</v>
      </c>
      <c r="E265" s="57">
        <v>1408</v>
      </c>
      <c r="F265" s="74">
        <v>6.7194602272727275</v>
      </c>
      <c r="G265" s="57">
        <f t="shared" si="97"/>
        <v>9465</v>
      </c>
      <c r="H265" s="57">
        <v>4365</v>
      </c>
      <c r="I265" s="57">
        <v>5100</v>
      </c>
      <c r="J265" s="87">
        <f t="shared" si="98"/>
        <v>7.0215770594516929E-3</v>
      </c>
      <c r="K265" s="57">
        <f t="shared" si="100"/>
        <v>10398</v>
      </c>
      <c r="L265" s="57">
        <v>4929</v>
      </c>
      <c r="M265" s="57">
        <v>5469</v>
      </c>
      <c r="N265" s="57"/>
      <c r="O265" s="88">
        <f t="shared" si="88"/>
        <v>1.1060317094145626</v>
      </c>
      <c r="P265" s="58">
        <f t="shared" si="99"/>
        <v>16140</v>
      </c>
      <c r="Q265" s="59">
        <v>8213</v>
      </c>
      <c r="R265" s="59">
        <v>7927</v>
      </c>
      <c r="S265" s="59"/>
      <c r="T265" s="60" t="s">
        <v>415</v>
      </c>
      <c r="U265" s="101"/>
      <c r="V265" s="78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</row>
    <row r="266" spans="1:83" s="18" customFormat="1" ht="15">
      <c r="A266" s="82" t="s">
        <v>463</v>
      </c>
      <c r="B266" s="57">
        <f t="shared" si="96"/>
        <v>2066</v>
      </c>
      <c r="C266" s="57">
        <v>988</v>
      </c>
      <c r="D266" s="57">
        <v>1078</v>
      </c>
      <c r="E266" s="57">
        <v>323</v>
      </c>
      <c r="F266" s="74">
        <v>6.3962848297213624</v>
      </c>
      <c r="G266" s="57">
        <f t="shared" si="97"/>
        <v>2043</v>
      </c>
      <c r="H266" s="57">
        <v>1018</v>
      </c>
      <c r="I266" s="57">
        <v>1025</v>
      </c>
      <c r="J266" s="87">
        <f t="shared" si="98"/>
        <v>-0.18596436647777068</v>
      </c>
      <c r="K266" s="57">
        <f t="shared" si="100"/>
        <v>2195</v>
      </c>
      <c r="L266" s="57">
        <v>1086</v>
      </c>
      <c r="M266" s="57">
        <v>1109</v>
      </c>
      <c r="N266" s="57"/>
      <c r="O266" s="88">
        <f t="shared" si="88"/>
        <v>0.84426741990176057</v>
      </c>
      <c r="P266" s="58">
        <f t="shared" si="99"/>
        <v>3678</v>
      </c>
      <c r="Q266" s="59">
        <v>1878</v>
      </c>
      <c r="R266" s="59">
        <v>1800</v>
      </c>
      <c r="S266" s="59"/>
      <c r="T266" s="60" t="s">
        <v>464</v>
      </c>
      <c r="U266" s="101"/>
      <c r="V266" s="78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</row>
    <row r="267" spans="1:83" s="18" customFormat="1" ht="15">
      <c r="A267" s="82" t="s">
        <v>131</v>
      </c>
      <c r="B267" s="57">
        <f t="shared" si="96"/>
        <v>2829</v>
      </c>
      <c r="C267" s="57">
        <v>1262</v>
      </c>
      <c r="D267" s="57">
        <v>1567</v>
      </c>
      <c r="E267" s="57">
        <v>464</v>
      </c>
      <c r="F267" s="74">
        <v>6.0969827586206895</v>
      </c>
      <c r="G267" s="57">
        <f t="shared" si="97"/>
        <v>2724</v>
      </c>
      <c r="H267" s="57">
        <v>1223</v>
      </c>
      <c r="I267" s="57">
        <v>1501</v>
      </c>
      <c r="J267" s="87">
        <f t="shared" si="98"/>
        <v>-0.62827083109907234</v>
      </c>
      <c r="K267" s="57">
        <f t="shared" si="100"/>
        <v>3193</v>
      </c>
      <c r="L267" s="57">
        <v>1536</v>
      </c>
      <c r="M267" s="57">
        <v>1657</v>
      </c>
      <c r="N267" s="57"/>
      <c r="O267" s="88">
        <f t="shared" si="88"/>
        <v>1.8689355934750482</v>
      </c>
      <c r="P267" s="58">
        <f t="shared" si="99"/>
        <v>5537</v>
      </c>
      <c r="Q267" s="59">
        <v>2830</v>
      </c>
      <c r="R267" s="59">
        <v>2707</v>
      </c>
      <c r="S267" s="59"/>
      <c r="T267" s="60" t="s">
        <v>132</v>
      </c>
      <c r="U267" s="101"/>
      <c r="V267" s="78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</row>
    <row r="268" spans="1:83" s="18" customFormat="1" ht="15">
      <c r="A268" s="98" t="s">
        <v>465</v>
      </c>
      <c r="B268" s="114">
        <f t="shared" si="96"/>
        <v>1023</v>
      </c>
      <c r="C268" s="114">
        <v>444</v>
      </c>
      <c r="D268" s="114">
        <v>579</v>
      </c>
      <c r="E268" s="114">
        <v>179</v>
      </c>
      <c r="F268" s="74">
        <v>5.7150837988826817</v>
      </c>
      <c r="G268" s="57">
        <f t="shared" si="97"/>
        <v>1025</v>
      </c>
      <c r="H268" s="57">
        <v>467</v>
      </c>
      <c r="I268" s="57">
        <v>558</v>
      </c>
      <c r="J268" s="87">
        <f t="shared" si="98"/>
        <v>3.244394719073207E-2</v>
      </c>
      <c r="K268" s="57">
        <f t="shared" si="100"/>
        <v>1158</v>
      </c>
      <c r="L268" s="57">
        <v>524</v>
      </c>
      <c r="M268" s="57">
        <v>634</v>
      </c>
      <c r="N268" s="57"/>
      <c r="O268" s="88">
        <f t="shared" si="88"/>
        <v>1.4353149007109636</v>
      </c>
      <c r="P268" s="58">
        <f t="shared" si="99"/>
        <v>1863</v>
      </c>
      <c r="Q268" s="59">
        <v>944</v>
      </c>
      <c r="R268" s="59">
        <v>919</v>
      </c>
      <c r="S268" s="59"/>
      <c r="T268" s="60" t="s">
        <v>466</v>
      </c>
      <c r="U268" s="101"/>
      <c r="V268" s="78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</row>
    <row r="269" spans="1:83" s="18" customFormat="1" ht="15">
      <c r="A269" s="115" t="s">
        <v>467</v>
      </c>
      <c r="B269" s="116">
        <f t="shared" si="96"/>
        <v>1439</v>
      </c>
      <c r="C269" s="116">
        <v>668</v>
      </c>
      <c r="D269" s="116">
        <v>771</v>
      </c>
      <c r="E269" s="116">
        <v>289</v>
      </c>
      <c r="F269" s="117">
        <v>4.9792387543252596</v>
      </c>
      <c r="G269" s="116">
        <f t="shared" si="97"/>
        <v>1147</v>
      </c>
      <c r="H269" s="116">
        <v>542</v>
      </c>
      <c r="I269" s="116">
        <v>605</v>
      </c>
      <c r="J269" s="118">
        <f t="shared" si="98"/>
        <v>-3.7674184345182256</v>
      </c>
      <c r="K269" s="116">
        <f t="shared" si="100"/>
        <v>1108</v>
      </c>
      <c r="L269" s="116">
        <v>538</v>
      </c>
      <c r="M269" s="116">
        <v>570</v>
      </c>
      <c r="N269" s="116"/>
      <c r="O269" s="119">
        <f t="shared" si="88"/>
        <v>-0.40697940967225438</v>
      </c>
      <c r="P269" s="120">
        <f t="shared" si="99"/>
        <v>3672</v>
      </c>
      <c r="Q269" s="121">
        <v>1902</v>
      </c>
      <c r="R269" s="121">
        <v>1770</v>
      </c>
      <c r="S269" s="121"/>
      <c r="T269" s="122" t="s">
        <v>468</v>
      </c>
      <c r="U269" s="101"/>
      <c r="V269" s="78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</row>
    <row r="270" spans="1:83" s="133" customFormat="1" ht="17.25">
      <c r="A270" s="123" t="s">
        <v>469</v>
      </c>
      <c r="B270" s="124"/>
      <c r="C270" s="124"/>
      <c r="D270" s="124"/>
      <c r="E270" s="124"/>
      <c r="F270" s="125"/>
      <c r="G270" s="124"/>
      <c r="H270" s="124"/>
      <c r="I270" s="126"/>
      <c r="J270" s="127"/>
      <c r="K270" s="126"/>
      <c r="L270" s="126"/>
      <c r="M270" s="126"/>
      <c r="N270" s="126"/>
      <c r="O270" s="128"/>
      <c r="P270" s="128"/>
      <c r="Q270" s="59"/>
      <c r="R270" s="59"/>
      <c r="S270" s="59"/>
      <c r="T270" s="129" t="s">
        <v>470</v>
      </c>
      <c r="U270" s="130"/>
      <c r="V270" s="131"/>
      <c r="W270" s="132"/>
      <c r="X270" s="132"/>
      <c r="Y270" s="132"/>
      <c r="Z270" s="132"/>
      <c r="AA270" s="132"/>
      <c r="AB270" s="132"/>
      <c r="AC270" s="132"/>
      <c r="AD270" s="132"/>
      <c r="AE270" s="132"/>
      <c r="AF270" s="132"/>
      <c r="AG270" s="132"/>
      <c r="AH270" s="132"/>
      <c r="AI270" s="132"/>
      <c r="AJ270" s="132"/>
      <c r="AK270" s="132"/>
      <c r="AL270" s="132"/>
      <c r="AM270" s="132"/>
      <c r="AN270" s="132"/>
      <c r="AO270" s="132"/>
      <c r="AP270" s="132"/>
      <c r="AQ270" s="132"/>
      <c r="AR270" s="132"/>
      <c r="AS270" s="132"/>
      <c r="AT270" s="132"/>
      <c r="AU270" s="132"/>
      <c r="AV270" s="132"/>
      <c r="AW270" s="132"/>
      <c r="AX270" s="132"/>
      <c r="AY270" s="132"/>
      <c r="AZ270" s="132"/>
      <c r="BA270" s="132"/>
      <c r="BB270" s="132"/>
      <c r="BC270" s="132"/>
      <c r="BD270" s="132"/>
      <c r="BE270" s="132"/>
      <c r="BF270" s="132"/>
      <c r="BG270" s="132"/>
      <c r="BH270" s="132"/>
      <c r="BI270" s="132"/>
      <c r="BJ270" s="132"/>
      <c r="BK270" s="132"/>
      <c r="BL270" s="132"/>
      <c r="BM270" s="132"/>
      <c r="BN270" s="132"/>
      <c r="BO270" s="132"/>
      <c r="BP270" s="132"/>
      <c r="BQ270" s="132"/>
      <c r="BR270" s="132"/>
      <c r="BS270" s="132"/>
      <c r="BT270" s="132"/>
      <c r="BU270" s="132"/>
      <c r="BV270" s="132"/>
      <c r="BW270" s="132"/>
      <c r="BX270" s="132"/>
      <c r="BY270" s="132"/>
      <c r="BZ270" s="132"/>
      <c r="CA270" s="132"/>
      <c r="CB270" s="132"/>
      <c r="CC270" s="132"/>
      <c r="CD270" s="132"/>
      <c r="CE270" s="132"/>
    </row>
    <row r="271" spans="1:83" s="133" customFormat="1" ht="17.25">
      <c r="A271" s="134" t="s">
        <v>471</v>
      </c>
      <c r="B271" s="135"/>
      <c r="C271" s="135"/>
      <c r="D271" s="135"/>
      <c r="E271" s="135"/>
      <c r="F271" s="136"/>
      <c r="G271" s="135"/>
      <c r="H271" s="135"/>
      <c r="I271" s="137"/>
      <c r="J271" s="138"/>
      <c r="K271" s="137"/>
      <c r="L271" s="137"/>
      <c r="M271" s="137"/>
      <c r="N271" s="137"/>
      <c r="O271" s="128"/>
      <c r="P271" s="221"/>
      <c r="Q271" s="221"/>
      <c r="R271" s="221"/>
      <c r="S271" s="221"/>
      <c r="T271" s="221"/>
      <c r="U271" s="130"/>
      <c r="V271" s="131"/>
      <c r="W271" s="132"/>
      <c r="X271" s="132"/>
      <c r="Y271" s="132"/>
      <c r="Z271" s="132"/>
      <c r="AA271" s="132"/>
      <c r="AB271" s="132"/>
      <c r="AC271" s="132"/>
      <c r="AD271" s="132"/>
      <c r="AE271" s="132"/>
      <c r="AF271" s="132"/>
      <c r="AG271" s="132"/>
      <c r="AH271" s="132"/>
      <c r="AI271" s="132"/>
      <c r="AJ271" s="132"/>
      <c r="AK271" s="132"/>
      <c r="AL271" s="132"/>
      <c r="AM271" s="132"/>
      <c r="AN271" s="132"/>
      <c r="AO271" s="132"/>
      <c r="AP271" s="132"/>
      <c r="AQ271" s="132"/>
      <c r="AR271" s="132"/>
      <c r="AS271" s="132"/>
      <c r="AT271" s="132"/>
      <c r="AU271" s="132"/>
      <c r="AV271" s="132"/>
      <c r="AW271" s="132"/>
      <c r="AX271" s="132"/>
      <c r="AY271" s="132"/>
      <c r="AZ271" s="132"/>
      <c r="BA271" s="132"/>
      <c r="BB271" s="132"/>
      <c r="BC271" s="132"/>
      <c r="BD271" s="132"/>
      <c r="BE271" s="132"/>
      <c r="BF271" s="132"/>
      <c r="BG271" s="132"/>
      <c r="BH271" s="132"/>
      <c r="BI271" s="132"/>
      <c r="BJ271" s="132"/>
      <c r="BK271" s="132"/>
      <c r="BL271" s="132"/>
      <c r="BM271" s="132"/>
      <c r="BN271" s="132"/>
      <c r="BO271" s="132"/>
      <c r="BP271" s="132"/>
      <c r="BQ271" s="132"/>
      <c r="BR271" s="132"/>
      <c r="BS271" s="132"/>
      <c r="BT271" s="132"/>
      <c r="BU271" s="132"/>
      <c r="BV271" s="132"/>
      <c r="BW271" s="132"/>
      <c r="BX271" s="132"/>
      <c r="BY271" s="132"/>
      <c r="BZ271" s="132"/>
      <c r="CA271" s="132"/>
      <c r="CB271" s="132"/>
      <c r="CC271" s="132"/>
      <c r="CD271" s="132"/>
      <c r="CE271" s="132"/>
    </row>
    <row r="272" spans="1:83" s="133" customFormat="1" ht="15">
      <c r="A272" s="139" t="s">
        <v>472</v>
      </c>
      <c r="B272" s="140"/>
      <c r="C272" s="140"/>
      <c r="D272" s="140"/>
      <c r="E272" s="140"/>
      <c r="F272" s="141"/>
      <c r="G272" s="140"/>
      <c r="H272" s="140"/>
      <c r="I272" s="140"/>
      <c r="J272" s="142"/>
      <c r="K272" s="140"/>
      <c r="L272" s="140"/>
      <c r="M272" s="140"/>
      <c r="N272" s="140"/>
      <c r="O272" s="143"/>
      <c r="P272" s="144"/>
      <c r="Q272" s="59"/>
      <c r="R272" s="59"/>
      <c r="S272" s="59"/>
      <c r="T272" s="145" t="s">
        <v>473</v>
      </c>
      <c r="U272" s="146"/>
      <c r="V272" s="145"/>
      <c r="W272" s="132"/>
      <c r="X272" s="132"/>
      <c r="Y272" s="132"/>
      <c r="Z272" s="132"/>
      <c r="AA272" s="132"/>
      <c r="AB272" s="132"/>
      <c r="AC272" s="132"/>
      <c r="AD272" s="132"/>
      <c r="AE272" s="132"/>
      <c r="AF272" s="132"/>
      <c r="AG272" s="132"/>
      <c r="AH272" s="132"/>
      <c r="AI272" s="132"/>
      <c r="AJ272" s="132"/>
      <c r="AK272" s="132"/>
      <c r="AL272" s="132"/>
      <c r="AM272" s="132"/>
      <c r="AN272" s="132"/>
      <c r="AO272" s="132"/>
      <c r="AP272" s="132"/>
      <c r="AQ272" s="132"/>
      <c r="AR272" s="132"/>
      <c r="AS272" s="132"/>
      <c r="AT272" s="132"/>
      <c r="AU272" s="132"/>
      <c r="AV272" s="132"/>
      <c r="AW272" s="132"/>
      <c r="AX272" s="132"/>
      <c r="AY272" s="132"/>
      <c r="AZ272" s="132"/>
      <c r="BA272" s="132"/>
      <c r="BB272" s="132"/>
      <c r="BC272" s="132"/>
      <c r="BD272" s="132"/>
      <c r="BE272" s="132"/>
      <c r="BF272" s="132"/>
      <c r="BG272" s="132"/>
      <c r="BH272" s="132"/>
      <c r="BI272" s="132"/>
      <c r="BJ272" s="132"/>
      <c r="BK272" s="132"/>
      <c r="BL272" s="132"/>
      <c r="BM272" s="132"/>
      <c r="BN272" s="132"/>
      <c r="BO272" s="132"/>
      <c r="BP272" s="132"/>
      <c r="BQ272" s="132"/>
      <c r="BR272" s="132"/>
      <c r="BS272" s="132"/>
      <c r="BT272" s="132"/>
      <c r="BU272" s="132"/>
      <c r="BV272" s="132"/>
      <c r="BW272" s="132"/>
      <c r="BX272" s="132"/>
      <c r="BY272" s="132"/>
      <c r="BZ272" s="132"/>
      <c r="CA272" s="132"/>
      <c r="CB272" s="132"/>
      <c r="CC272" s="132"/>
      <c r="CD272" s="132"/>
      <c r="CE272" s="132"/>
    </row>
    <row r="273" spans="1:83" s="133" customFormat="1" ht="15">
      <c r="A273" s="139" t="s">
        <v>474</v>
      </c>
      <c r="B273" s="137"/>
      <c r="C273" s="137"/>
      <c r="D273" s="137"/>
      <c r="E273" s="137"/>
      <c r="F273" s="147"/>
      <c r="G273" s="137"/>
      <c r="H273" s="137"/>
      <c r="I273" s="137"/>
      <c r="J273" s="138"/>
      <c r="K273" s="137"/>
      <c r="L273" s="137"/>
      <c r="M273" s="137"/>
      <c r="N273" s="137"/>
      <c r="O273" s="144"/>
      <c r="P273" s="144"/>
      <c r="Q273" s="59"/>
      <c r="R273" s="59"/>
      <c r="S273" s="59"/>
      <c r="T273" s="145" t="s">
        <v>475</v>
      </c>
      <c r="U273" s="146"/>
      <c r="V273" s="145"/>
      <c r="W273" s="132"/>
      <c r="X273" s="132"/>
      <c r="Y273" s="132"/>
      <c r="Z273" s="132"/>
      <c r="AA273" s="132"/>
      <c r="AB273" s="132"/>
      <c r="AC273" s="132"/>
      <c r="AD273" s="132"/>
      <c r="AE273" s="132"/>
      <c r="AF273" s="132"/>
      <c r="AG273" s="132"/>
      <c r="AH273" s="132"/>
      <c r="AI273" s="132"/>
      <c r="AJ273" s="132"/>
      <c r="AK273" s="132"/>
      <c r="AL273" s="132"/>
      <c r="AM273" s="132"/>
      <c r="AN273" s="132"/>
      <c r="AO273" s="132"/>
      <c r="AP273" s="132"/>
      <c r="AQ273" s="132"/>
      <c r="AR273" s="132"/>
      <c r="AS273" s="132"/>
      <c r="AT273" s="132"/>
      <c r="AU273" s="132"/>
      <c r="AV273" s="132"/>
      <c r="AW273" s="132"/>
      <c r="AX273" s="132"/>
      <c r="AY273" s="132"/>
      <c r="AZ273" s="132"/>
      <c r="BA273" s="132"/>
      <c r="BB273" s="132"/>
      <c r="BC273" s="132"/>
      <c r="BD273" s="132"/>
      <c r="BE273" s="132"/>
      <c r="BF273" s="132"/>
      <c r="BG273" s="132"/>
      <c r="BH273" s="132"/>
      <c r="BI273" s="132"/>
      <c r="BJ273" s="132"/>
      <c r="BK273" s="132"/>
      <c r="BL273" s="132"/>
      <c r="BM273" s="132"/>
      <c r="BN273" s="132"/>
      <c r="BO273" s="132"/>
      <c r="BP273" s="132"/>
      <c r="BQ273" s="132"/>
      <c r="BR273" s="132"/>
      <c r="BS273" s="132"/>
      <c r="BT273" s="132"/>
      <c r="BU273" s="132"/>
      <c r="BV273" s="132"/>
      <c r="BW273" s="132"/>
      <c r="BX273" s="132"/>
      <c r="BY273" s="132"/>
      <c r="BZ273" s="132"/>
      <c r="CA273" s="132"/>
      <c r="CB273" s="132"/>
      <c r="CC273" s="132"/>
      <c r="CD273" s="132"/>
      <c r="CE273" s="132"/>
    </row>
    <row r="274" spans="1:83" s="133" customFormat="1" ht="15">
      <c r="A274" s="139" t="s">
        <v>476</v>
      </c>
      <c r="B274" s="148"/>
      <c r="C274" s="149"/>
      <c r="D274" s="149"/>
      <c r="E274" s="149"/>
      <c r="F274" s="150"/>
      <c r="G274" s="148"/>
      <c r="H274" s="149"/>
      <c r="I274" s="149"/>
      <c r="J274" s="151"/>
      <c r="K274" s="149"/>
      <c r="L274" s="149"/>
      <c r="M274" s="149"/>
      <c r="N274" s="149"/>
      <c r="O274" s="144"/>
      <c r="P274" s="144"/>
      <c r="Q274" s="144"/>
      <c r="R274" s="144"/>
      <c r="S274" s="144"/>
      <c r="T274" s="145" t="s">
        <v>477</v>
      </c>
      <c r="U274" s="146"/>
      <c r="V274" s="145"/>
      <c r="W274" s="132"/>
      <c r="X274" s="132"/>
      <c r="Y274" s="132"/>
      <c r="Z274" s="132"/>
      <c r="AA274" s="132"/>
      <c r="AB274" s="132"/>
      <c r="AC274" s="132"/>
      <c r="AD274" s="132"/>
      <c r="AE274" s="132"/>
      <c r="AF274" s="132"/>
      <c r="AG274" s="132"/>
      <c r="AH274" s="132"/>
      <c r="AI274" s="132"/>
      <c r="AJ274" s="132"/>
      <c r="AK274" s="132"/>
      <c r="AL274" s="132"/>
      <c r="AM274" s="132"/>
      <c r="AN274" s="132"/>
      <c r="AO274" s="132"/>
      <c r="AP274" s="132"/>
      <c r="AQ274" s="132"/>
      <c r="AR274" s="132"/>
      <c r="AS274" s="132"/>
      <c r="AT274" s="132"/>
      <c r="AU274" s="132"/>
      <c r="AV274" s="132"/>
      <c r="AW274" s="132"/>
      <c r="AX274" s="132"/>
      <c r="AY274" s="132"/>
      <c r="AZ274" s="132"/>
      <c r="BA274" s="132"/>
      <c r="BB274" s="132"/>
      <c r="BC274" s="132"/>
      <c r="BD274" s="132"/>
      <c r="BE274" s="132"/>
      <c r="BF274" s="132"/>
      <c r="BG274" s="132"/>
      <c r="BH274" s="132"/>
      <c r="BI274" s="132"/>
      <c r="BJ274" s="132"/>
      <c r="BK274" s="132"/>
      <c r="BL274" s="132"/>
      <c r="BM274" s="132"/>
      <c r="BN274" s="132"/>
      <c r="BO274" s="132"/>
      <c r="BP274" s="132"/>
      <c r="BQ274" s="132"/>
      <c r="BR274" s="132"/>
      <c r="BS274" s="132"/>
      <c r="BT274" s="132"/>
      <c r="BU274" s="132"/>
      <c r="BV274" s="132"/>
      <c r="BW274" s="132"/>
      <c r="BX274" s="132"/>
      <c r="BY274" s="132"/>
      <c r="BZ274" s="132"/>
      <c r="CA274" s="132"/>
      <c r="CB274" s="132"/>
      <c r="CC274" s="132"/>
      <c r="CD274" s="132"/>
      <c r="CE274" s="132"/>
    </row>
    <row r="275" spans="1:83" s="152" customFormat="1" ht="4.5" customHeight="1">
      <c r="B275" s="153"/>
      <c r="C275" s="153"/>
      <c r="D275" s="154"/>
      <c r="E275" s="155"/>
      <c r="F275" s="156"/>
      <c r="G275" s="157"/>
      <c r="H275" s="158"/>
      <c r="I275" s="159"/>
      <c r="J275" s="160"/>
      <c r="K275" s="154"/>
      <c r="L275" s="154"/>
      <c r="M275" s="154"/>
      <c r="N275" s="154"/>
      <c r="O275" s="161"/>
      <c r="P275" s="161"/>
      <c r="Q275" s="161"/>
      <c r="R275" s="161"/>
      <c r="S275" s="161"/>
      <c r="T275" s="162"/>
      <c r="U275" s="163"/>
      <c r="V275" s="162"/>
      <c r="W275" s="162"/>
      <c r="X275" s="162"/>
      <c r="Y275" s="162"/>
      <c r="Z275" s="162"/>
      <c r="AA275" s="162"/>
      <c r="AB275" s="162"/>
      <c r="AC275" s="162"/>
      <c r="AD275" s="162"/>
      <c r="AE275" s="162"/>
      <c r="AF275" s="162"/>
      <c r="AG275" s="162"/>
      <c r="AH275" s="162"/>
      <c r="AI275" s="162"/>
      <c r="AJ275" s="162"/>
      <c r="AK275" s="162"/>
      <c r="AL275" s="162"/>
      <c r="AM275" s="162"/>
      <c r="AN275" s="162"/>
      <c r="AO275" s="162"/>
      <c r="AP275" s="162"/>
      <c r="AQ275" s="162"/>
      <c r="AR275" s="162"/>
      <c r="AS275" s="162"/>
      <c r="AT275" s="162"/>
      <c r="AU275" s="162"/>
      <c r="AV275" s="162"/>
      <c r="AW275" s="162"/>
      <c r="AX275" s="162"/>
      <c r="AY275" s="162"/>
      <c r="AZ275" s="162"/>
      <c r="BA275" s="162"/>
      <c r="BB275" s="162"/>
      <c r="BC275" s="162"/>
      <c r="BD275" s="162"/>
      <c r="BE275" s="162"/>
      <c r="BF275" s="162"/>
      <c r="BG275" s="162"/>
      <c r="BH275" s="162"/>
      <c r="BI275" s="162"/>
      <c r="BJ275" s="162"/>
      <c r="BK275" s="162"/>
      <c r="BL275" s="162"/>
      <c r="BM275" s="162"/>
      <c r="BN275" s="162"/>
      <c r="BO275" s="162"/>
      <c r="BP275" s="162"/>
      <c r="BQ275" s="162"/>
      <c r="BR275" s="162"/>
      <c r="BS275" s="162"/>
      <c r="BT275" s="162"/>
      <c r="BU275" s="162"/>
      <c r="BV275" s="162"/>
      <c r="BW275" s="162"/>
      <c r="BX275" s="162"/>
      <c r="BY275" s="162"/>
      <c r="BZ275" s="162"/>
      <c r="CA275" s="162"/>
      <c r="CB275" s="162"/>
      <c r="CC275" s="162"/>
      <c r="CD275" s="162"/>
      <c r="CE275" s="162"/>
    </row>
    <row r="276" spans="1:83" s="133" customFormat="1" ht="18.75">
      <c r="A276" s="164" t="s">
        <v>478</v>
      </c>
      <c r="B276" s="165"/>
      <c r="C276" s="137"/>
      <c r="D276" s="137"/>
      <c r="E276" s="137"/>
      <c r="F276" s="147"/>
      <c r="G276" s="165"/>
      <c r="H276" s="137"/>
      <c r="I276" s="137"/>
      <c r="J276" s="138"/>
      <c r="K276" s="137"/>
      <c r="L276" s="137"/>
      <c r="M276" s="137"/>
      <c r="N276" s="137"/>
      <c r="O276" s="144"/>
      <c r="P276" s="144"/>
      <c r="Q276" s="144"/>
      <c r="R276" s="144"/>
      <c r="S276" s="144"/>
      <c r="T276" s="166"/>
      <c r="U276" s="167"/>
      <c r="V276" s="166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32"/>
      <c r="AI276" s="132"/>
      <c r="AJ276" s="132"/>
      <c r="AK276" s="132"/>
      <c r="AL276" s="132"/>
      <c r="AM276" s="132"/>
      <c r="AN276" s="132"/>
      <c r="AO276" s="132"/>
      <c r="AP276" s="132"/>
      <c r="AQ276" s="132"/>
      <c r="AR276" s="132"/>
      <c r="AS276" s="132"/>
      <c r="AT276" s="132"/>
      <c r="AU276" s="132"/>
      <c r="AV276" s="132"/>
      <c r="AW276" s="132"/>
      <c r="AX276" s="132"/>
      <c r="AY276" s="132"/>
      <c r="AZ276" s="132"/>
      <c r="BA276" s="132"/>
      <c r="BB276" s="132"/>
      <c r="BC276" s="132"/>
      <c r="BD276" s="132"/>
      <c r="BE276" s="132"/>
      <c r="BF276" s="132"/>
      <c r="BG276" s="132"/>
      <c r="BH276" s="132"/>
      <c r="BI276" s="132"/>
      <c r="BJ276" s="132"/>
      <c r="BK276" s="132"/>
      <c r="BL276" s="132"/>
      <c r="BM276" s="132"/>
      <c r="BN276" s="132"/>
      <c r="BO276" s="132"/>
      <c r="BP276" s="132"/>
      <c r="BQ276" s="132"/>
      <c r="BR276" s="132"/>
      <c r="BS276" s="132"/>
      <c r="BT276" s="132"/>
      <c r="BU276" s="132"/>
      <c r="BV276" s="132"/>
      <c r="BW276" s="132"/>
      <c r="BX276" s="132"/>
      <c r="BY276" s="132"/>
      <c r="BZ276" s="132"/>
      <c r="CA276" s="132"/>
      <c r="CB276" s="132"/>
      <c r="CC276" s="132"/>
      <c r="CD276" s="132"/>
      <c r="CE276" s="132"/>
    </row>
    <row r="277" spans="1:83" s="132" customFormat="1" ht="18.75">
      <c r="A277" s="168" t="s">
        <v>479</v>
      </c>
      <c r="B277" s="237"/>
      <c r="C277" s="169"/>
      <c r="D277" s="169"/>
      <c r="E277" s="169"/>
      <c r="F277" s="170"/>
      <c r="G277" s="237"/>
      <c r="H277" s="169"/>
      <c r="I277" s="169"/>
      <c r="J277" s="171"/>
      <c r="K277" s="169"/>
      <c r="L277" s="169"/>
      <c r="M277" s="169"/>
      <c r="N277" s="169"/>
      <c r="O277" s="172"/>
      <c r="P277" s="172"/>
      <c r="Q277" s="172"/>
      <c r="R277" s="172"/>
      <c r="S277" s="172"/>
      <c r="T277" s="173"/>
      <c r="U277" s="135"/>
      <c r="V277" s="166"/>
    </row>
    <row r="278" spans="1:83" s="132" customFormat="1" ht="25.5" customHeight="1">
      <c r="A278" s="222" t="s">
        <v>480</v>
      </c>
      <c r="B278" s="222"/>
      <c r="C278" s="222"/>
      <c r="D278" s="222"/>
      <c r="E278" s="222"/>
      <c r="F278" s="222"/>
      <c r="G278" s="222"/>
      <c r="H278" s="222"/>
      <c r="I278" s="222"/>
      <c r="J278" s="222"/>
      <c r="K278" s="222"/>
      <c r="L278" s="222"/>
      <c r="M278" s="222"/>
      <c r="N278" s="222"/>
      <c r="O278" s="222"/>
      <c r="P278" s="222"/>
      <c r="Q278" s="222"/>
      <c r="R278" s="222"/>
      <c r="S278" s="222"/>
      <c r="T278" s="222"/>
      <c r="U278" s="135"/>
      <c r="V278" s="166"/>
    </row>
    <row r="279" spans="1:83" s="176" customFormat="1" ht="21.6" customHeight="1">
      <c r="A279" s="174" t="s">
        <v>481</v>
      </c>
      <c r="B279" s="180"/>
      <c r="C279" s="180"/>
      <c r="D279" s="175"/>
      <c r="E279" s="180"/>
      <c r="F279" s="180"/>
      <c r="G279" s="191"/>
      <c r="J279" s="178"/>
      <c r="T279" s="177"/>
      <c r="U279" s="238"/>
      <c r="V279" s="177"/>
    </row>
    <row r="280" spans="1:83" s="176" customFormat="1" ht="21.6" customHeight="1">
      <c r="A280" s="174" t="s">
        <v>482</v>
      </c>
      <c r="B280" s="180"/>
      <c r="C280" s="180"/>
      <c r="D280" s="175"/>
      <c r="E280" s="180"/>
      <c r="F280" s="180"/>
      <c r="G280" s="191"/>
      <c r="J280" s="178"/>
      <c r="T280" s="177"/>
      <c r="U280" s="238"/>
      <c r="V280" s="177"/>
    </row>
    <row r="281" spans="1:83" s="176" customFormat="1" ht="21.6" customHeight="1">
      <c r="A281" s="174" t="s">
        <v>483</v>
      </c>
      <c r="B281" s="180"/>
      <c r="C281" s="180"/>
      <c r="D281" s="175"/>
      <c r="E281" s="180"/>
      <c r="F281" s="180"/>
      <c r="G281" s="191"/>
      <c r="J281" s="178"/>
      <c r="T281" s="177"/>
      <c r="U281" s="238"/>
      <c r="V281" s="177"/>
    </row>
    <row r="282" spans="1:83" s="176" customFormat="1" ht="21.6" customHeight="1">
      <c r="A282" s="174" t="s">
        <v>484</v>
      </c>
      <c r="B282" s="180"/>
      <c r="C282" s="180"/>
      <c r="D282" s="175"/>
      <c r="E282" s="180"/>
      <c r="F282" s="180"/>
      <c r="G282" s="191"/>
      <c r="J282" s="178"/>
      <c r="T282" s="177"/>
      <c r="U282" s="238"/>
      <c r="V282" s="177"/>
    </row>
    <row r="283" spans="1:83" s="176" customFormat="1" ht="21.6" customHeight="1">
      <c r="A283" s="174" t="s">
        <v>485</v>
      </c>
      <c r="B283" s="180"/>
      <c r="C283" s="180"/>
      <c r="D283" s="175"/>
      <c r="E283" s="180"/>
      <c r="F283" s="180"/>
      <c r="G283" s="191"/>
      <c r="J283" s="178"/>
      <c r="T283" s="177"/>
      <c r="U283" s="238"/>
      <c r="V283" s="177"/>
    </row>
    <row r="284" spans="1:83" s="176" customFormat="1" ht="26.25" customHeight="1">
      <c r="A284" s="223" t="s">
        <v>486</v>
      </c>
      <c r="B284" s="223"/>
      <c r="C284" s="223"/>
      <c r="D284" s="223"/>
      <c r="E284" s="223"/>
      <c r="F284" s="223"/>
      <c r="G284" s="223"/>
      <c r="H284" s="223"/>
      <c r="I284" s="223"/>
      <c r="J284" s="223"/>
      <c r="K284" s="223"/>
      <c r="L284" s="223"/>
      <c r="M284" s="223"/>
      <c r="N284" s="223"/>
      <c r="O284" s="223"/>
      <c r="P284" s="223"/>
      <c r="Q284" s="223"/>
      <c r="R284" s="223"/>
      <c r="S284" s="223"/>
      <c r="T284" s="223"/>
      <c r="U284" s="238"/>
      <c r="V284" s="177"/>
    </row>
    <row r="285" spans="1:83" s="176" customFormat="1" ht="21.6" customHeight="1">
      <c r="A285" s="174" t="s">
        <v>487</v>
      </c>
      <c r="B285" s="180"/>
      <c r="C285" s="180"/>
      <c r="D285" s="175"/>
      <c r="E285" s="180"/>
      <c r="F285" s="180"/>
      <c r="G285" s="191"/>
      <c r="J285" s="178"/>
      <c r="T285" s="179"/>
      <c r="U285" s="239"/>
      <c r="V285" s="179"/>
    </row>
    <row r="286" spans="1:83" s="176" customFormat="1" ht="23.25" customHeight="1">
      <c r="A286" s="174" t="s">
        <v>488</v>
      </c>
      <c r="B286" s="180"/>
      <c r="C286" s="180"/>
      <c r="D286" s="175"/>
      <c r="E286" s="180"/>
      <c r="F286" s="180"/>
      <c r="G286" s="191"/>
      <c r="J286" s="178"/>
      <c r="T286" s="181"/>
      <c r="U286" s="185"/>
      <c r="V286" s="181"/>
    </row>
    <row r="287" spans="1:83" s="174" customFormat="1" ht="28.5" customHeight="1">
      <c r="A287" s="223" t="s">
        <v>489</v>
      </c>
      <c r="B287" s="223"/>
      <c r="C287" s="223"/>
      <c r="D287" s="223"/>
      <c r="E287" s="223"/>
      <c r="F287" s="223"/>
      <c r="G287" s="223"/>
      <c r="H287" s="223"/>
      <c r="I287" s="223"/>
      <c r="J287" s="223"/>
      <c r="K287" s="223"/>
      <c r="L287" s="223"/>
      <c r="M287" s="223"/>
      <c r="N287" s="223"/>
      <c r="O287" s="223"/>
      <c r="P287" s="223"/>
      <c r="Q287" s="223"/>
      <c r="R287" s="223"/>
      <c r="S287" s="223"/>
      <c r="T287" s="223"/>
    </row>
    <row r="288" spans="1:83" s="176" customFormat="1" ht="21.6" customHeight="1">
      <c r="A288" s="174" t="s">
        <v>490</v>
      </c>
      <c r="B288" s="200"/>
      <c r="C288" s="200"/>
      <c r="D288" s="200"/>
      <c r="E288" s="200"/>
      <c r="F288" s="200"/>
      <c r="G288" s="200"/>
      <c r="H288" s="200"/>
      <c r="I288" s="200"/>
      <c r="J288" s="182"/>
      <c r="K288" s="200"/>
      <c r="L288" s="200"/>
      <c r="M288" s="200"/>
      <c r="N288" s="200"/>
      <c r="O288" s="183"/>
      <c r="P288" s="183"/>
      <c r="Q288" s="183"/>
      <c r="R288" s="183"/>
      <c r="S288" s="183"/>
      <c r="T288" s="183"/>
      <c r="U288" s="184"/>
      <c r="V288" s="199"/>
    </row>
    <row r="289" spans="1:22" s="176" customFormat="1" ht="21.6" customHeight="1">
      <c r="A289" s="174" t="s">
        <v>491</v>
      </c>
      <c r="B289" s="200"/>
      <c r="C289" s="200"/>
      <c r="D289" s="200"/>
      <c r="E289" s="200"/>
      <c r="F289" s="200"/>
      <c r="G289" s="200"/>
      <c r="H289" s="200"/>
      <c r="I289" s="200"/>
      <c r="J289" s="182"/>
      <c r="K289" s="200"/>
      <c r="L289" s="200"/>
      <c r="M289" s="200"/>
      <c r="N289" s="200"/>
      <c r="O289" s="183"/>
      <c r="P289" s="183"/>
      <c r="Q289" s="183"/>
      <c r="R289" s="183"/>
      <c r="S289" s="183"/>
      <c r="T289" s="183"/>
      <c r="U289" s="184"/>
      <c r="V289" s="199"/>
    </row>
    <row r="290" spans="1:22" s="176" customFormat="1" ht="21.6" customHeight="1">
      <c r="A290" s="174" t="s">
        <v>492</v>
      </c>
      <c r="B290" s="180"/>
      <c r="C290" s="180"/>
      <c r="D290" s="175"/>
      <c r="E290" s="180"/>
      <c r="F290" s="180"/>
      <c r="G290" s="191"/>
      <c r="J290" s="178"/>
      <c r="T290" s="166"/>
      <c r="U290" s="135"/>
      <c r="V290" s="166"/>
    </row>
    <row r="291" spans="1:22" s="176" customFormat="1" ht="21.6" customHeight="1">
      <c r="A291" s="240" t="s">
        <v>493</v>
      </c>
      <c r="B291" s="180"/>
      <c r="C291" s="180"/>
      <c r="D291" s="175"/>
      <c r="E291" s="180"/>
      <c r="F291" s="180"/>
      <c r="G291" s="191"/>
      <c r="J291" s="178"/>
      <c r="T291" s="181"/>
      <c r="U291" s="185"/>
      <c r="V291" s="181"/>
    </row>
    <row r="292" spans="1:22" s="176" customFormat="1" ht="21.6" customHeight="1">
      <c r="A292" s="241" t="s">
        <v>494</v>
      </c>
      <c r="B292" s="180"/>
      <c r="C292" s="180"/>
      <c r="D292" s="175"/>
      <c r="E292" s="180"/>
      <c r="F292" s="180"/>
      <c r="G292" s="191"/>
      <c r="J292" s="178"/>
      <c r="T292" s="181"/>
      <c r="U292" s="185"/>
      <c r="V292" s="181"/>
    </row>
    <row r="293" spans="1:22" s="176" customFormat="1" ht="21.6" customHeight="1">
      <c r="A293" s="174" t="s">
        <v>495</v>
      </c>
      <c r="B293" s="180"/>
      <c r="C293" s="180"/>
      <c r="D293" s="175"/>
      <c r="E293" s="180"/>
      <c r="F293" s="180"/>
      <c r="G293" s="191"/>
      <c r="J293" s="178"/>
      <c r="T293" s="166"/>
      <c r="U293" s="135"/>
      <c r="V293" s="166"/>
    </row>
    <row r="294" spans="1:22" s="176" customFormat="1" ht="21.6" customHeight="1">
      <c r="A294" s="186" t="s">
        <v>496</v>
      </c>
      <c r="B294" s="180"/>
      <c r="C294" s="180"/>
      <c r="D294" s="175"/>
      <c r="E294" s="180"/>
      <c r="F294" s="180"/>
      <c r="G294" s="191"/>
      <c r="J294" s="178"/>
      <c r="T294" s="166"/>
      <c r="U294" s="135"/>
      <c r="V294" s="166"/>
    </row>
    <row r="295" spans="1:22" s="176" customFormat="1" ht="21.6" customHeight="1">
      <c r="B295" s="242"/>
      <c r="C295" s="187"/>
      <c r="D295" s="187"/>
      <c r="E295" s="187"/>
      <c r="F295" s="175"/>
      <c r="G295" s="242"/>
      <c r="H295" s="187"/>
      <c r="I295" s="187"/>
      <c r="J295" s="178"/>
      <c r="U295" s="239"/>
    </row>
    <row r="296" spans="1:22" s="132" customFormat="1" ht="12">
      <c r="B296" s="188"/>
      <c r="C296" s="189"/>
      <c r="D296" s="189"/>
      <c r="E296" s="189"/>
      <c r="F296" s="144"/>
      <c r="G296" s="188"/>
      <c r="H296" s="189"/>
      <c r="I296" s="189"/>
      <c r="J296" s="190"/>
      <c r="K296" s="189"/>
      <c r="L296" s="189"/>
      <c r="M296" s="189"/>
      <c r="N296" s="189"/>
      <c r="O296" s="144"/>
      <c r="P296" s="144"/>
      <c r="Q296" s="144"/>
      <c r="R296" s="144"/>
      <c r="S296" s="144"/>
      <c r="T296" s="189"/>
      <c r="U296" s="137"/>
      <c r="V296" s="189"/>
    </row>
    <row r="297" spans="1:22" s="176" customFormat="1" ht="18.75">
      <c r="B297" s="180"/>
      <c r="C297" s="180"/>
      <c r="D297" s="175"/>
      <c r="E297" s="180"/>
      <c r="F297" s="180"/>
      <c r="G297" s="191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  <c r="U297" s="184"/>
      <c r="V297" s="199"/>
    </row>
    <row r="298" spans="1:22" s="176" customFormat="1" ht="18.75">
      <c r="B298" s="180"/>
      <c r="C298" s="180"/>
      <c r="D298" s="175"/>
      <c r="E298" s="180"/>
      <c r="F298" s="180"/>
      <c r="G298" s="191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T298" s="218"/>
      <c r="U298" s="184"/>
      <c r="V298" s="199"/>
    </row>
    <row r="299" spans="1:22" s="132" customFormat="1" ht="12">
      <c r="B299" s="188"/>
      <c r="C299" s="189"/>
      <c r="D299" s="189"/>
      <c r="E299" s="189"/>
      <c r="F299" s="144"/>
      <c r="G299" s="188"/>
      <c r="H299" s="189"/>
      <c r="I299" s="189"/>
      <c r="J299" s="190"/>
      <c r="K299" s="189"/>
      <c r="L299" s="189"/>
      <c r="M299" s="189"/>
      <c r="N299" s="189"/>
      <c r="O299" s="144"/>
      <c r="P299" s="144"/>
      <c r="Q299" s="144"/>
      <c r="R299" s="144"/>
      <c r="S299" s="144"/>
      <c r="T299" s="189"/>
      <c r="U299" s="137"/>
      <c r="V299" s="189"/>
    </row>
    <row r="300" spans="1:22" s="132" customFormat="1" ht="12">
      <c r="B300" s="188"/>
      <c r="C300" s="189"/>
      <c r="D300" s="189"/>
      <c r="E300" s="189"/>
      <c r="F300" s="144"/>
      <c r="G300" s="188"/>
      <c r="H300" s="189"/>
      <c r="I300" s="189"/>
      <c r="J300" s="190"/>
      <c r="K300" s="189"/>
      <c r="L300" s="189"/>
      <c r="M300" s="189"/>
      <c r="N300" s="189"/>
      <c r="O300" s="144"/>
      <c r="P300" s="144"/>
      <c r="Q300" s="144"/>
      <c r="R300" s="144"/>
      <c r="S300" s="144"/>
      <c r="T300" s="189"/>
      <c r="U300" s="137"/>
      <c r="V300" s="189"/>
    </row>
    <row r="301" spans="1:22" s="132" customFormat="1" ht="12">
      <c r="B301" s="188"/>
      <c r="C301" s="189"/>
      <c r="D301" s="189"/>
      <c r="E301" s="189"/>
      <c r="F301" s="144"/>
      <c r="G301" s="188"/>
      <c r="H301" s="189"/>
      <c r="I301" s="189"/>
      <c r="J301" s="190"/>
      <c r="K301" s="189"/>
      <c r="L301" s="189"/>
      <c r="M301" s="189"/>
      <c r="N301" s="189"/>
      <c r="O301" s="144"/>
      <c r="P301" s="144"/>
      <c r="Q301" s="144"/>
      <c r="R301" s="144"/>
      <c r="S301" s="144"/>
      <c r="T301" s="189"/>
      <c r="U301" s="137"/>
      <c r="V301" s="189"/>
    </row>
    <row r="302" spans="1:22" s="132" customFormat="1" ht="12">
      <c r="B302" s="189"/>
      <c r="C302" s="189"/>
      <c r="D302" s="189"/>
      <c r="E302" s="189"/>
      <c r="F302" s="144"/>
      <c r="G302" s="189"/>
      <c r="H302" s="189"/>
      <c r="I302" s="189"/>
      <c r="J302" s="190"/>
      <c r="K302" s="189"/>
      <c r="L302" s="189"/>
      <c r="M302" s="189"/>
      <c r="N302" s="189"/>
      <c r="O302" s="144"/>
      <c r="P302" s="144"/>
      <c r="Q302" s="144"/>
      <c r="R302" s="144"/>
      <c r="S302" s="144"/>
      <c r="T302" s="189"/>
      <c r="U302" s="137"/>
      <c r="V302" s="189"/>
    </row>
    <row r="303" spans="1:22" s="132" customFormat="1" ht="12">
      <c r="B303" s="189"/>
      <c r="C303" s="189"/>
      <c r="D303" s="189"/>
      <c r="E303" s="189"/>
      <c r="F303" s="144"/>
      <c r="G303" s="189"/>
      <c r="H303" s="189"/>
      <c r="I303" s="189"/>
      <c r="J303" s="190"/>
      <c r="K303" s="189"/>
      <c r="L303" s="189"/>
      <c r="M303" s="189"/>
      <c r="N303" s="189"/>
      <c r="O303" s="144"/>
      <c r="P303" s="144"/>
      <c r="Q303" s="144"/>
      <c r="R303" s="144"/>
      <c r="S303" s="144"/>
      <c r="T303" s="189"/>
      <c r="U303" s="137"/>
      <c r="V303" s="189"/>
    </row>
    <row r="304" spans="1:22" s="132" customFormat="1" ht="12">
      <c r="B304" s="188"/>
      <c r="C304" s="189"/>
      <c r="D304" s="189"/>
      <c r="E304" s="189"/>
      <c r="F304" s="144"/>
      <c r="G304" s="188"/>
      <c r="H304" s="189"/>
      <c r="I304" s="189"/>
      <c r="J304" s="190"/>
      <c r="K304" s="189"/>
      <c r="L304" s="189"/>
      <c r="M304" s="189"/>
      <c r="N304" s="189"/>
      <c r="O304" s="144"/>
      <c r="P304" s="144"/>
      <c r="Q304" s="144"/>
      <c r="R304" s="144"/>
      <c r="S304" s="144"/>
      <c r="T304" s="189"/>
      <c r="U304" s="137"/>
      <c r="V304" s="189"/>
    </row>
    <row r="305" spans="1:22" s="132" customFormat="1" ht="12">
      <c r="B305" s="189"/>
      <c r="C305" s="189"/>
      <c r="D305" s="189"/>
      <c r="E305" s="189"/>
      <c r="F305" s="144"/>
      <c r="G305" s="189"/>
      <c r="H305" s="189"/>
      <c r="I305" s="189"/>
      <c r="J305" s="190"/>
      <c r="K305" s="189"/>
      <c r="L305" s="189"/>
      <c r="M305" s="189"/>
      <c r="N305" s="189"/>
      <c r="O305" s="144"/>
      <c r="P305" s="144"/>
      <c r="Q305" s="144"/>
      <c r="R305" s="144"/>
      <c r="S305" s="144"/>
      <c r="T305" s="189"/>
      <c r="U305" s="137"/>
      <c r="V305" s="189"/>
    </row>
    <row r="306" spans="1:22" s="132" customFormat="1" ht="12">
      <c r="B306" s="189"/>
      <c r="C306" s="189"/>
      <c r="D306" s="189"/>
      <c r="E306" s="189"/>
      <c r="F306" s="144"/>
      <c r="G306" s="189"/>
      <c r="H306" s="189"/>
      <c r="I306" s="189"/>
      <c r="J306" s="190"/>
      <c r="K306" s="189"/>
      <c r="L306" s="189"/>
      <c r="M306" s="189"/>
      <c r="N306" s="189"/>
      <c r="O306" s="144"/>
      <c r="P306" s="144"/>
      <c r="Q306" s="144"/>
      <c r="R306" s="144"/>
      <c r="S306" s="144"/>
      <c r="T306" s="189"/>
      <c r="U306" s="137"/>
      <c r="V306" s="189"/>
    </row>
    <row r="307" spans="1:22" s="132" customFormat="1" ht="12">
      <c r="B307" s="189"/>
      <c r="C307" s="189"/>
      <c r="D307" s="189"/>
      <c r="E307" s="189"/>
      <c r="F307" s="144"/>
      <c r="G307" s="189"/>
      <c r="H307" s="189"/>
      <c r="I307" s="189"/>
      <c r="J307" s="190"/>
      <c r="K307" s="189"/>
      <c r="L307" s="189"/>
      <c r="M307" s="189"/>
      <c r="N307" s="189"/>
      <c r="O307" s="144"/>
      <c r="P307" s="144"/>
      <c r="Q307" s="144"/>
      <c r="R307" s="144"/>
      <c r="S307" s="144"/>
      <c r="T307" s="189"/>
      <c r="U307" s="137"/>
      <c r="V307" s="189"/>
    </row>
    <row r="308" spans="1:22" s="176" customFormat="1">
      <c r="A308" s="132"/>
      <c r="B308" s="187"/>
      <c r="C308" s="187"/>
      <c r="D308" s="187"/>
      <c r="E308" s="187"/>
      <c r="F308" s="175"/>
      <c r="G308" s="187"/>
      <c r="H308" s="187"/>
      <c r="I308" s="187"/>
      <c r="J308" s="178"/>
      <c r="K308" s="187"/>
      <c r="L308" s="187"/>
      <c r="M308" s="187"/>
      <c r="N308" s="187"/>
      <c r="O308" s="175"/>
      <c r="P308" s="175"/>
      <c r="Q308" s="175"/>
      <c r="R308" s="175"/>
      <c r="S308" s="175"/>
      <c r="T308" s="187"/>
      <c r="U308" s="192"/>
      <c r="V308" s="187"/>
    </row>
    <row r="309" spans="1:22" s="176" customFormat="1">
      <c r="A309" s="132"/>
      <c r="B309" s="187"/>
      <c r="C309" s="187"/>
      <c r="D309" s="187"/>
      <c r="E309" s="187"/>
      <c r="F309" s="175"/>
      <c r="G309" s="187"/>
      <c r="H309" s="187"/>
      <c r="I309" s="187"/>
      <c r="J309" s="178"/>
      <c r="K309" s="187"/>
      <c r="L309" s="187"/>
      <c r="M309" s="187"/>
      <c r="N309" s="187"/>
      <c r="O309" s="175"/>
      <c r="P309" s="175"/>
      <c r="Q309" s="175"/>
      <c r="R309" s="175"/>
      <c r="S309" s="175"/>
      <c r="T309" s="187"/>
      <c r="U309" s="192"/>
      <c r="V309" s="187"/>
    </row>
    <row r="310" spans="1:22" s="176" customFormat="1">
      <c r="A310" s="132"/>
      <c r="B310" s="187"/>
      <c r="C310" s="187"/>
      <c r="D310" s="187"/>
      <c r="E310" s="187"/>
      <c r="F310" s="175"/>
      <c r="G310" s="187"/>
      <c r="H310" s="187"/>
      <c r="I310" s="187"/>
      <c r="J310" s="178"/>
      <c r="K310" s="187"/>
      <c r="L310" s="187"/>
      <c r="M310" s="187"/>
      <c r="N310" s="187"/>
      <c r="O310" s="175"/>
      <c r="P310" s="175"/>
      <c r="Q310" s="175"/>
      <c r="R310" s="175"/>
      <c r="S310" s="175"/>
      <c r="T310" s="187"/>
      <c r="U310" s="192"/>
      <c r="V310" s="187"/>
    </row>
    <row r="311" spans="1:22" s="176" customFormat="1">
      <c r="A311" s="132"/>
      <c r="B311" s="187"/>
      <c r="C311" s="187"/>
      <c r="D311" s="187"/>
      <c r="E311" s="187"/>
      <c r="F311" s="175"/>
      <c r="G311" s="187"/>
      <c r="H311" s="187"/>
      <c r="I311" s="187"/>
      <c r="J311" s="178"/>
      <c r="K311" s="187"/>
      <c r="L311" s="187"/>
      <c r="M311" s="187"/>
      <c r="N311" s="187"/>
      <c r="O311" s="175"/>
      <c r="P311" s="175"/>
      <c r="Q311" s="175"/>
      <c r="R311" s="175"/>
      <c r="S311" s="175"/>
      <c r="T311" s="187"/>
      <c r="U311" s="192"/>
      <c r="V311" s="187"/>
    </row>
    <row r="312" spans="1:22" s="176" customFormat="1">
      <c r="A312" s="132"/>
      <c r="B312" s="187"/>
      <c r="C312" s="187"/>
      <c r="D312" s="187"/>
      <c r="E312" s="187"/>
      <c r="F312" s="175"/>
      <c r="G312" s="187"/>
      <c r="H312" s="187"/>
      <c r="I312" s="187"/>
      <c r="J312" s="178"/>
      <c r="K312" s="187"/>
      <c r="L312" s="187"/>
      <c r="M312" s="187"/>
      <c r="N312" s="187"/>
      <c r="O312" s="175"/>
      <c r="P312" s="175"/>
      <c r="Q312" s="175"/>
      <c r="R312" s="175"/>
      <c r="S312" s="175"/>
      <c r="T312" s="187"/>
      <c r="U312" s="192"/>
      <c r="V312" s="187"/>
    </row>
    <row r="313" spans="1:22" s="176" customFormat="1">
      <c r="A313" s="132"/>
      <c r="B313" s="187"/>
      <c r="C313" s="187"/>
      <c r="D313" s="187"/>
      <c r="E313" s="187"/>
      <c r="F313" s="175"/>
      <c r="G313" s="187"/>
      <c r="H313" s="187"/>
      <c r="I313" s="187"/>
      <c r="J313" s="178"/>
      <c r="K313" s="187"/>
      <c r="L313" s="187"/>
      <c r="M313" s="187"/>
      <c r="N313" s="187"/>
      <c r="O313" s="175"/>
      <c r="P313" s="175"/>
      <c r="Q313" s="175"/>
      <c r="R313" s="175"/>
      <c r="S313" s="175"/>
      <c r="T313" s="187"/>
      <c r="U313" s="192"/>
      <c r="V313" s="187"/>
    </row>
    <row r="314" spans="1:22" s="176" customFormat="1">
      <c r="A314" s="132"/>
      <c r="B314" s="187"/>
      <c r="C314" s="187"/>
      <c r="D314" s="187"/>
      <c r="E314" s="187"/>
      <c r="F314" s="175"/>
      <c r="G314" s="187"/>
      <c r="H314" s="187"/>
      <c r="I314" s="187"/>
      <c r="J314" s="178"/>
      <c r="K314" s="187"/>
      <c r="L314" s="187"/>
      <c r="M314" s="187"/>
      <c r="N314" s="187"/>
      <c r="O314" s="175"/>
      <c r="P314" s="175"/>
      <c r="Q314" s="175"/>
      <c r="R314" s="175"/>
      <c r="S314" s="175"/>
      <c r="T314" s="187"/>
      <c r="U314" s="192"/>
      <c r="V314" s="187"/>
    </row>
    <row r="315" spans="1:22" s="176" customFormat="1">
      <c r="A315" s="132"/>
      <c r="B315" s="187"/>
      <c r="C315" s="187"/>
      <c r="D315" s="187"/>
      <c r="E315" s="187"/>
      <c r="F315" s="175"/>
      <c r="G315" s="187"/>
      <c r="H315" s="187"/>
      <c r="I315" s="187"/>
      <c r="J315" s="178"/>
      <c r="K315" s="187"/>
      <c r="L315" s="187"/>
      <c r="M315" s="187"/>
      <c r="N315" s="187"/>
      <c r="O315" s="175"/>
      <c r="P315" s="175"/>
      <c r="Q315" s="175"/>
      <c r="R315" s="175"/>
      <c r="S315" s="175"/>
      <c r="T315" s="187"/>
      <c r="U315" s="192"/>
      <c r="V315" s="187"/>
    </row>
    <row r="316" spans="1:22" s="176" customFormat="1">
      <c r="A316" s="132"/>
      <c r="B316" s="187"/>
      <c r="C316" s="187"/>
      <c r="D316" s="187"/>
      <c r="E316" s="187"/>
      <c r="F316" s="175"/>
      <c r="G316" s="187"/>
      <c r="H316" s="187"/>
      <c r="I316" s="187"/>
      <c r="J316" s="178"/>
      <c r="K316" s="187"/>
      <c r="L316" s="187"/>
      <c r="M316" s="187"/>
      <c r="N316" s="187"/>
      <c r="O316" s="175"/>
      <c r="P316" s="175"/>
      <c r="Q316" s="175"/>
      <c r="R316" s="175"/>
      <c r="S316" s="175"/>
      <c r="T316" s="187"/>
      <c r="U316" s="192"/>
      <c r="V316" s="187"/>
    </row>
    <row r="317" spans="1:22" s="176" customFormat="1">
      <c r="A317" s="132"/>
      <c r="B317" s="187"/>
      <c r="C317" s="187"/>
      <c r="D317" s="187"/>
      <c r="E317" s="187"/>
      <c r="F317" s="175"/>
      <c r="G317" s="187"/>
      <c r="H317" s="187"/>
      <c r="I317" s="187"/>
      <c r="J317" s="178"/>
      <c r="K317" s="187"/>
      <c r="L317" s="187"/>
      <c r="M317" s="187"/>
      <c r="N317" s="187"/>
      <c r="O317" s="175"/>
      <c r="P317" s="175"/>
      <c r="Q317" s="175"/>
      <c r="R317" s="175"/>
      <c r="S317" s="175"/>
      <c r="T317" s="187"/>
      <c r="U317" s="192"/>
      <c r="V317" s="187"/>
    </row>
    <row r="318" spans="1:22" s="176" customFormat="1">
      <c r="A318" s="132"/>
      <c r="B318" s="187"/>
      <c r="C318" s="187"/>
      <c r="D318" s="187"/>
      <c r="E318" s="187"/>
      <c r="F318" s="175"/>
      <c r="G318" s="187"/>
      <c r="H318" s="187"/>
      <c r="I318" s="187"/>
      <c r="J318" s="178"/>
      <c r="K318" s="187"/>
      <c r="L318" s="187"/>
      <c r="M318" s="187"/>
      <c r="N318" s="187"/>
      <c r="O318" s="175"/>
      <c r="P318" s="175"/>
      <c r="Q318" s="175"/>
      <c r="R318" s="175"/>
      <c r="S318" s="175"/>
      <c r="T318" s="187"/>
      <c r="U318" s="192"/>
      <c r="V318" s="187"/>
    </row>
    <row r="319" spans="1:22" s="176" customFormat="1">
      <c r="A319" s="132"/>
      <c r="B319" s="187"/>
      <c r="C319" s="187"/>
      <c r="D319" s="187"/>
      <c r="E319" s="187"/>
      <c r="F319" s="175"/>
      <c r="G319" s="187"/>
      <c r="H319" s="187"/>
      <c r="I319" s="187"/>
      <c r="J319" s="178"/>
      <c r="K319" s="187"/>
      <c r="L319" s="187"/>
      <c r="M319" s="187"/>
      <c r="N319" s="187"/>
      <c r="O319" s="175"/>
      <c r="P319" s="175"/>
      <c r="Q319" s="175"/>
      <c r="R319" s="175"/>
      <c r="S319" s="175"/>
      <c r="T319" s="187"/>
      <c r="U319" s="192"/>
      <c r="V319" s="187"/>
    </row>
    <row r="320" spans="1:22" s="176" customFormat="1">
      <c r="A320" s="132"/>
      <c r="B320" s="187"/>
      <c r="C320" s="187"/>
      <c r="D320" s="187"/>
      <c r="E320" s="187"/>
      <c r="F320" s="175"/>
      <c r="G320" s="187"/>
      <c r="H320" s="187"/>
      <c r="I320" s="187"/>
      <c r="J320" s="178"/>
      <c r="K320" s="187"/>
      <c r="L320" s="187"/>
      <c r="M320" s="187"/>
      <c r="N320" s="187"/>
      <c r="O320" s="175"/>
      <c r="P320" s="175"/>
      <c r="Q320" s="175"/>
      <c r="R320" s="175"/>
      <c r="S320" s="175"/>
      <c r="T320" s="187"/>
      <c r="U320" s="192"/>
      <c r="V320" s="187"/>
    </row>
    <row r="321" spans="1:22" s="176" customFormat="1">
      <c r="A321" s="132"/>
      <c r="B321" s="187"/>
      <c r="C321" s="187"/>
      <c r="D321" s="187"/>
      <c r="E321" s="187"/>
      <c r="F321" s="175"/>
      <c r="G321" s="187"/>
      <c r="H321" s="187"/>
      <c r="I321" s="187"/>
      <c r="J321" s="178"/>
      <c r="K321" s="187"/>
      <c r="L321" s="187"/>
      <c r="M321" s="187"/>
      <c r="N321" s="187"/>
      <c r="O321" s="175"/>
      <c r="P321" s="175"/>
      <c r="Q321" s="175"/>
      <c r="R321" s="175"/>
      <c r="S321" s="175"/>
      <c r="T321" s="187"/>
      <c r="U321" s="192"/>
      <c r="V321" s="187"/>
    </row>
    <row r="322" spans="1:22" s="176" customFormat="1">
      <c r="A322" s="132"/>
      <c r="B322" s="187"/>
      <c r="C322" s="187"/>
      <c r="D322" s="187"/>
      <c r="E322" s="187"/>
      <c r="F322" s="175"/>
      <c r="G322" s="187"/>
      <c r="H322" s="187"/>
      <c r="I322" s="187"/>
      <c r="J322" s="178"/>
      <c r="K322" s="187"/>
      <c r="L322" s="187"/>
      <c r="M322" s="187"/>
      <c r="N322" s="187"/>
      <c r="O322" s="175"/>
      <c r="P322" s="175"/>
      <c r="Q322" s="175"/>
      <c r="R322" s="175"/>
      <c r="S322" s="175"/>
      <c r="T322" s="187"/>
      <c r="U322" s="192"/>
      <c r="V322" s="187"/>
    </row>
    <row r="323" spans="1:22" s="176" customFormat="1">
      <c r="A323" s="132"/>
      <c r="B323" s="187"/>
      <c r="C323" s="187"/>
      <c r="D323" s="187"/>
      <c r="E323" s="187"/>
      <c r="F323" s="175"/>
      <c r="G323" s="187"/>
      <c r="H323" s="187"/>
      <c r="I323" s="187"/>
      <c r="J323" s="178"/>
      <c r="K323" s="187"/>
      <c r="L323" s="187"/>
      <c r="M323" s="187"/>
      <c r="N323" s="187"/>
      <c r="O323" s="175"/>
      <c r="P323" s="175"/>
      <c r="Q323" s="175"/>
      <c r="R323" s="175"/>
      <c r="S323" s="175"/>
      <c r="T323" s="187"/>
      <c r="U323" s="192"/>
      <c r="V323" s="187"/>
    </row>
    <row r="324" spans="1:22" s="176" customFormat="1">
      <c r="A324" s="132"/>
      <c r="B324" s="187"/>
      <c r="C324" s="187"/>
      <c r="D324" s="187"/>
      <c r="E324" s="187"/>
      <c r="F324" s="175"/>
      <c r="G324" s="187"/>
      <c r="H324" s="187"/>
      <c r="I324" s="187"/>
      <c r="J324" s="178"/>
      <c r="K324" s="187"/>
      <c r="L324" s="187"/>
      <c r="M324" s="187"/>
      <c r="N324" s="187"/>
      <c r="O324" s="175"/>
      <c r="P324" s="175"/>
      <c r="Q324" s="175"/>
      <c r="R324" s="175"/>
      <c r="S324" s="175"/>
      <c r="T324" s="187"/>
      <c r="U324" s="192"/>
      <c r="V324" s="187"/>
    </row>
    <row r="325" spans="1:22" s="176" customFormat="1">
      <c r="A325" s="132"/>
      <c r="B325" s="187"/>
      <c r="C325" s="187"/>
      <c r="D325" s="187"/>
      <c r="E325" s="187"/>
      <c r="F325" s="175"/>
      <c r="G325" s="187"/>
      <c r="H325" s="187"/>
      <c r="I325" s="187"/>
      <c r="J325" s="178"/>
      <c r="K325" s="187"/>
      <c r="L325" s="187"/>
      <c r="M325" s="187"/>
      <c r="N325" s="187"/>
      <c r="O325" s="175"/>
      <c r="P325" s="175"/>
      <c r="Q325" s="175"/>
      <c r="R325" s="175"/>
      <c r="S325" s="175"/>
      <c r="T325" s="187"/>
      <c r="U325" s="192"/>
      <c r="V325" s="187"/>
    </row>
    <row r="326" spans="1:22" s="176" customFormat="1">
      <c r="A326" s="132"/>
      <c r="B326" s="187"/>
      <c r="C326" s="187"/>
      <c r="D326" s="187"/>
      <c r="E326" s="187"/>
      <c r="F326" s="175"/>
      <c r="G326" s="187"/>
      <c r="H326" s="187"/>
      <c r="I326" s="187"/>
      <c r="J326" s="178"/>
      <c r="K326" s="187"/>
      <c r="L326" s="187"/>
      <c r="M326" s="187"/>
      <c r="N326" s="187"/>
      <c r="O326" s="175"/>
      <c r="P326" s="175"/>
      <c r="Q326" s="175"/>
      <c r="R326" s="175"/>
      <c r="S326" s="175"/>
      <c r="T326" s="187"/>
      <c r="U326" s="192"/>
      <c r="V326" s="187"/>
    </row>
    <row r="327" spans="1:22" s="176" customFormat="1">
      <c r="A327" s="132"/>
      <c r="B327" s="187"/>
      <c r="C327" s="187"/>
      <c r="D327" s="187"/>
      <c r="E327" s="187"/>
      <c r="F327" s="175"/>
      <c r="G327" s="187"/>
      <c r="H327" s="187"/>
      <c r="I327" s="187"/>
      <c r="J327" s="178"/>
      <c r="K327" s="187"/>
      <c r="L327" s="187"/>
      <c r="M327" s="187"/>
      <c r="N327" s="187"/>
      <c r="O327" s="175"/>
      <c r="P327" s="175"/>
      <c r="Q327" s="175"/>
      <c r="R327" s="175"/>
      <c r="S327" s="175"/>
      <c r="T327" s="187"/>
      <c r="U327" s="192"/>
      <c r="V327" s="187"/>
    </row>
    <row r="328" spans="1:22" s="176" customFormat="1">
      <c r="A328" s="132"/>
      <c r="B328" s="187"/>
      <c r="C328" s="187"/>
      <c r="D328" s="187"/>
      <c r="E328" s="187"/>
      <c r="F328" s="175"/>
      <c r="G328" s="187"/>
      <c r="H328" s="187"/>
      <c r="I328" s="187"/>
      <c r="J328" s="178"/>
      <c r="K328" s="187"/>
      <c r="L328" s="187"/>
      <c r="M328" s="187"/>
      <c r="N328" s="187"/>
      <c r="O328" s="175"/>
      <c r="P328" s="175"/>
      <c r="Q328" s="175"/>
      <c r="R328" s="175"/>
      <c r="S328" s="175"/>
      <c r="T328" s="187"/>
      <c r="U328" s="192"/>
      <c r="V328" s="187"/>
    </row>
    <row r="329" spans="1:22" s="176" customFormat="1" ht="10.5" customHeight="1">
      <c r="A329" s="132"/>
      <c r="B329" s="187"/>
      <c r="C329" s="187"/>
      <c r="D329" s="187"/>
      <c r="E329" s="187"/>
      <c r="F329" s="175"/>
      <c r="G329" s="243"/>
      <c r="H329" s="187"/>
      <c r="I329" s="187"/>
      <c r="J329" s="178"/>
      <c r="K329" s="187"/>
      <c r="L329" s="187"/>
      <c r="M329" s="187"/>
      <c r="N329" s="187"/>
      <c r="O329" s="175"/>
      <c r="P329" s="175"/>
      <c r="Q329" s="175"/>
      <c r="R329" s="175"/>
      <c r="S329" s="175"/>
      <c r="T329" s="187"/>
      <c r="U329" s="192"/>
      <c r="V329" s="187"/>
    </row>
    <row r="330" spans="1:22" s="176" customFormat="1">
      <c r="A330" s="132"/>
      <c r="B330" s="187"/>
      <c r="C330" s="187"/>
      <c r="D330" s="187"/>
      <c r="E330" s="187"/>
      <c r="F330" s="175"/>
      <c r="G330" s="244"/>
      <c r="H330" s="187"/>
      <c r="I330" s="187"/>
      <c r="J330" s="178"/>
      <c r="K330" s="187"/>
      <c r="L330" s="187"/>
      <c r="M330" s="187"/>
      <c r="N330" s="187"/>
      <c r="O330" s="175"/>
      <c r="P330" s="175"/>
      <c r="Q330" s="175"/>
      <c r="R330" s="175"/>
      <c r="S330" s="175"/>
      <c r="T330" s="187"/>
      <c r="U330" s="192"/>
      <c r="V330" s="187"/>
    </row>
    <row r="331" spans="1:22" s="176" customFormat="1">
      <c r="A331" s="132"/>
      <c r="B331" s="187"/>
      <c r="C331" s="187"/>
      <c r="D331" s="187"/>
      <c r="E331" s="187"/>
      <c r="F331" s="175"/>
      <c r="G331" s="244"/>
      <c r="H331" s="187"/>
      <c r="I331" s="187"/>
      <c r="J331" s="178"/>
      <c r="K331" s="187"/>
      <c r="L331" s="187"/>
      <c r="M331" s="187"/>
      <c r="N331" s="187"/>
      <c r="O331" s="175"/>
      <c r="P331" s="175"/>
      <c r="Q331" s="175"/>
      <c r="R331" s="175"/>
      <c r="S331" s="175"/>
      <c r="T331" s="187"/>
      <c r="U331" s="192"/>
      <c r="V331" s="187"/>
    </row>
    <row r="332" spans="1:22" s="176" customFormat="1">
      <c r="A332" s="132"/>
      <c r="B332" s="187"/>
      <c r="C332" s="187"/>
      <c r="D332" s="187"/>
      <c r="E332" s="187"/>
      <c r="F332" s="175"/>
      <c r="G332" s="244"/>
      <c r="H332" s="187"/>
      <c r="I332" s="187"/>
      <c r="J332" s="178"/>
      <c r="K332" s="187"/>
      <c r="L332" s="187"/>
      <c r="M332" s="187"/>
      <c r="N332" s="187"/>
      <c r="O332" s="175"/>
      <c r="P332" s="175"/>
      <c r="Q332" s="175"/>
      <c r="R332" s="175"/>
      <c r="S332" s="175"/>
      <c r="T332" s="187"/>
      <c r="U332" s="192"/>
      <c r="V332" s="187"/>
    </row>
    <row r="333" spans="1:22" s="176" customFormat="1">
      <c r="A333" s="132"/>
      <c r="B333" s="187"/>
      <c r="C333" s="187"/>
      <c r="D333" s="187"/>
      <c r="E333" s="187"/>
      <c r="F333" s="175"/>
      <c r="G333" s="245"/>
      <c r="H333" s="187"/>
      <c r="I333" s="187"/>
      <c r="J333" s="178"/>
      <c r="K333" s="187"/>
      <c r="L333" s="187"/>
      <c r="M333" s="187"/>
      <c r="N333" s="187"/>
      <c r="O333" s="175"/>
      <c r="P333" s="175"/>
      <c r="Q333" s="175"/>
      <c r="R333" s="175"/>
      <c r="S333" s="175"/>
      <c r="T333" s="187"/>
      <c r="U333" s="192"/>
      <c r="V333" s="187"/>
    </row>
    <row r="334" spans="1:22" s="3" customFormat="1">
      <c r="A334" s="17"/>
      <c r="B334" s="196"/>
      <c r="C334" s="196"/>
      <c r="D334" s="196"/>
      <c r="E334" s="196"/>
      <c r="F334" s="106"/>
      <c r="G334" s="244"/>
      <c r="H334" s="196"/>
      <c r="I334" s="196"/>
      <c r="J334" s="195"/>
      <c r="K334" s="196"/>
      <c r="L334" s="196"/>
      <c r="M334" s="196"/>
      <c r="N334" s="196"/>
      <c r="O334" s="106"/>
      <c r="P334" s="106"/>
      <c r="Q334" s="106"/>
      <c r="R334" s="106"/>
      <c r="S334" s="106"/>
      <c r="T334" s="196"/>
      <c r="U334" s="246"/>
      <c r="V334" s="196"/>
    </row>
    <row r="335" spans="1:22" s="3" customFormat="1">
      <c r="A335" s="17"/>
      <c r="B335" s="196"/>
      <c r="C335" s="196"/>
      <c r="D335" s="196"/>
      <c r="E335" s="196"/>
      <c r="F335" s="106"/>
      <c r="G335" s="244"/>
      <c r="H335" s="196"/>
      <c r="I335" s="196"/>
      <c r="J335" s="195"/>
      <c r="K335" s="196"/>
      <c r="L335" s="196"/>
      <c r="M335" s="196"/>
      <c r="N335" s="196"/>
      <c r="O335" s="106"/>
      <c r="P335" s="106"/>
      <c r="Q335" s="106"/>
      <c r="R335" s="106"/>
      <c r="S335" s="106"/>
      <c r="T335" s="196"/>
      <c r="U335" s="246"/>
      <c r="V335" s="196"/>
    </row>
    <row r="336" spans="1:22" s="3" customFormat="1">
      <c r="A336" s="17"/>
      <c r="B336" s="196"/>
      <c r="C336" s="196"/>
      <c r="D336" s="196"/>
      <c r="E336" s="196"/>
      <c r="F336" s="106"/>
      <c r="G336" s="196"/>
      <c r="H336" s="196"/>
      <c r="I336" s="196"/>
      <c r="J336" s="195"/>
      <c r="K336" s="196"/>
      <c r="L336" s="196"/>
      <c r="M336" s="196"/>
      <c r="N336" s="196"/>
      <c r="O336" s="106"/>
      <c r="P336" s="106"/>
      <c r="Q336" s="106"/>
      <c r="R336" s="106"/>
      <c r="S336" s="106"/>
      <c r="T336" s="196"/>
      <c r="U336" s="246"/>
      <c r="V336" s="196"/>
    </row>
    <row r="337" spans="1:22" s="3" customFormat="1">
      <c r="A337" s="17"/>
      <c r="B337" s="196"/>
      <c r="C337" s="196"/>
      <c r="D337" s="196"/>
      <c r="E337" s="196"/>
      <c r="F337" s="106"/>
      <c r="G337" s="196"/>
      <c r="H337" s="196"/>
      <c r="I337" s="196"/>
      <c r="J337" s="195"/>
      <c r="K337" s="196"/>
      <c r="L337" s="196"/>
      <c r="M337" s="196"/>
      <c r="N337" s="196"/>
      <c r="O337" s="106"/>
      <c r="P337" s="106"/>
      <c r="Q337" s="106"/>
      <c r="R337" s="106"/>
      <c r="S337" s="106"/>
      <c r="T337" s="196"/>
      <c r="U337" s="246"/>
      <c r="V337" s="196"/>
    </row>
    <row r="338" spans="1:22" s="3" customFormat="1">
      <c r="A338" s="17"/>
      <c r="B338" s="196"/>
      <c r="C338" s="196"/>
      <c r="D338" s="196"/>
      <c r="E338" s="196"/>
      <c r="F338" s="106"/>
      <c r="G338" s="196"/>
      <c r="H338" s="196"/>
      <c r="I338" s="196"/>
      <c r="J338" s="195"/>
      <c r="K338" s="196"/>
      <c r="L338" s="196"/>
      <c r="M338" s="196"/>
      <c r="N338" s="196"/>
      <c r="O338" s="106"/>
      <c r="P338" s="106"/>
      <c r="Q338" s="106"/>
      <c r="R338" s="106"/>
      <c r="S338" s="106"/>
      <c r="T338" s="196"/>
      <c r="U338" s="246"/>
      <c r="V338" s="196"/>
    </row>
    <row r="339" spans="1:22" s="3" customFormat="1">
      <c r="A339" s="17"/>
      <c r="B339" s="196"/>
      <c r="C339" s="196"/>
      <c r="D339" s="196"/>
      <c r="E339" s="196"/>
      <c r="F339" s="106"/>
      <c r="G339" s="196"/>
      <c r="H339" s="196"/>
      <c r="I339" s="196"/>
      <c r="J339" s="195"/>
      <c r="K339" s="196"/>
      <c r="L339" s="196"/>
      <c r="M339" s="196"/>
      <c r="N339" s="196"/>
      <c r="O339" s="106"/>
      <c r="P339" s="106"/>
      <c r="Q339" s="106"/>
      <c r="R339" s="106"/>
      <c r="S339" s="106"/>
      <c r="T339" s="196"/>
      <c r="U339" s="246"/>
      <c r="V339" s="196"/>
    </row>
    <row r="340" spans="1:22" s="3" customFormat="1">
      <c r="A340" s="17"/>
      <c r="B340" s="196"/>
      <c r="C340" s="196"/>
      <c r="D340" s="196"/>
      <c r="E340" s="196"/>
      <c r="F340" s="106"/>
      <c r="G340" s="196"/>
      <c r="H340" s="196"/>
      <c r="I340" s="196"/>
      <c r="J340" s="195"/>
      <c r="K340" s="196"/>
      <c r="L340" s="196"/>
      <c r="M340" s="196"/>
      <c r="N340" s="196"/>
      <c r="O340" s="106"/>
      <c r="P340" s="106"/>
      <c r="Q340" s="106"/>
      <c r="R340" s="106"/>
      <c r="S340" s="106"/>
      <c r="T340" s="196"/>
      <c r="U340" s="246"/>
      <c r="V340" s="196"/>
    </row>
    <row r="341" spans="1:22" s="3" customFormat="1">
      <c r="A341" s="17"/>
      <c r="B341" s="106"/>
      <c r="C341" s="106"/>
      <c r="D341" s="106"/>
      <c r="E341" s="106"/>
      <c r="F341" s="106"/>
      <c r="G341" s="106"/>
      <c r="H341" s="106"/>
      <c r="I341" s="106"/>
      <c r="J341" s="195"/>
      <c r="K341" s="106"/>
      <c r="L341" s="106"/>
      <c r="M341" s="106"/>
      <c r="N341" s="106"/>
      <c r="O341" s="106"/>
      <c r="P341" s="106"/>
      <c r="Q341" s="106"/>
      <c r="R341" s="106"/>
      <c r="S341" s="106"/>
      <c r="T341" s="196"/>
      <c r="U341" s="246"/>
      <c r="V341" s="196"/>
    </row>
    <row r="342" spans="1:22" s="3" customFormat="1">
      <c r="A342" s="17"/>
      <c r="B342" s="106"/>
      <c r="C342" s="106"/>
      <c r="D342" s="106"/>
      <c r="E342" s="106"/>
      <c r="F342" s="106"/>
      <c r="G342" s="106"/>
      <c r="H342" s="106"/>
      <c r="I342" s="106"/>
      <c r="J342" s="195"/>
      <c r="K342" s="106"/>
      <c r="L342" s="106"/>
      <c r="M342" s="106"/>
      <c r="N342" s="106"/>
      <c r="O342" s="106"/>
      <c r="P342" s="106"/>
      <c r="Q342" s="106"/>
      <c r="R342" s="106"/>
      <c r="S342" s="106"/>
      <c r="T342" s="196"/>
      <c r="U342" s="246"/>
      <c r="V342" s="196"/>
    </row>
    <row r="343" spans="1:22" s="3" customFormat="1">
      <c r="A343" s="17"/>
      <c r="B343" s="106"/>
      <c r="C343" s="106"/>
      <c r="D343" s="106"/>
      <c r="E343" s="106"/>
      <c r="F343" s="106"/>
      <c r="G343" s="106"/>
      <c r="H343" s="106"/>
      <c r="I343" s="106"/>
      <c r="J343" s="195"/>
      <c r="K343" s="106"/>
      <c r="L343" s="106"/>
      <c r="M343" s="106"/>
      <c r="N343" s="106"/>
      <c r="O343" s="106"/>
      <c r="P343" s="106"/>
      <c r="Q343" s="106"/>
      <c r="R343" s="106"/>
      <c r="S343" s="106"/>
      <c r="T343" s="196"/>
      <c r="U343" s="246"/>
      <c r="V343" s="196"/>
    </row>
  </sheetData>
  <mergeCells count="27">
    <mergeCell ref="J298:T298"/>
    <mergeCell ref="O8:O9"/>
    <mergeCell ref="P271:T271"/>
    <mergeCell ref="A278:T278"/>
    <mergeCell ref="A284:T284"/>
    <mergeCell ref="A287:T287"/>
    <mergeCell ref="J297:T297"/>
    <mergeCell ref="T5:T9"/>
    <mergeCell ref="K6:M6"/>
    <mergeCell ref="P6:R6"/>
    <mergeCell ref="B7:D7"/>
    <mergeCell ref="G7:I7"/>
    <mergeCell ref="K7:M7"/>
    <mergeCell ref="P7:R7"/>
    <mergeCell ref="E8:E9"/>
    <mergeCell ref="F8:F9"/>
    <mergeCell ref="J8:J9"/>
    <mergeCell ref="A2:T2"/>
    <mergeCell ref="A3:T3"/>
    <mergeCell ref="B5:D5"/>
    <mergeCell ref="E5:E7"/>
    <mergeCell ref="F5:F7"/>
    <mergeCell ref="G5:I5"/>
    <mergeCell ref="J5:J7"/>
    <mergeCell ref="K5:M5"/>
    <mergeCell ref="O5:O7"/>
    <mergeCell ref="P5:R5"/>
  </mergeCells>
  <pageMargins left="0.7" right="0.7" top="0.75" bottom="0.75" header="0.3" footer="0.3"/>
  <pageSetup scale="53" orientation="portrait" r:id="rId1"/>
  <rowBreaks count="4" manualBreakCount="4">
    <brk id="80" max="20" man="1"/>
    <brk id="156" max="20" man="1"/>
    <brk id="233" max="20" man="1"/>
    <brk id="294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3.3</vt:lpstr>
      <vt:lpstr>'3.3'!Print_Area</vt:lpstr>
      <vt:lpstr>'3.3'!Print_Titles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2019-07-31T05:52:39Z</cp:lastPrinted>
  <dcterms:created xsi:type="dcterms:W3CDTF">2019-07-22T06:02:33Z</dcterms:created>
  <dcterms:modified xsi:type="dcterms:W3CDTF">2019-07-31T06:00:56Z</dcterms:modified>
</cp:coreProperties>
</file>