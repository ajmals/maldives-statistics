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3.POPULATION\"/>
    </mc:Choice>
  </mc:AlternateContent>
  <bookViews>
    <workbookView xWindow="0" yWindow="0" windowWidth="28800" windowHeight="11730" tabRatio="804"/>
  </bookViews>
  <sheets>
    <sheet name="3.11" sheetId="11" r:id="rId1"/>
  </sheets>
  <externalReferences>
    <externalReference r:id="rId2"/>
    <externalReference r:id="rId3"/>
    <externalReference r:id="rId4"/>
  </externalReferences>
  <definedNames>
    <definedName name="_xlnm.Print_Area" localSheetId="0">'3.11'!$A$1:$O$17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3" i="11" l="1"/>
  <c r="J13" i="11"/>
  <c r="I13" i="11"/>
  <c r="H13" i="11"/>
  <c r="G13" i="11"/>
  <c r="F13" i="11"/>
  <c r="E13" i="11"/>
  <c r="D13" i="11"/>
  <c r="C13" i="11"/>
  <c r="B13" i="11"/>
  <c r="M9" i="11"/>
  <c r="J9" i="11"/>
  <c r="I9" i="11"/>
  <c r="I5" i="11" s="1"/>
  <c r="H9" i="11"/>
  <c r="G9" i="11"/>
  <c r="F9" i="11"/>
  <c r="E9" i="11"/>
  <c r="D9" i="11"/>
  <c r="C9" i="11"/>
  <c r="B9" i="11"/>
  <c r="M8" i="11"/>
  <c r="L8" i="11"/>
  <c r="K8" i="11"/>
  <c r="J8" i="11"/>
  <c r="I8" i="11"/>
  <c r="H8" i="11"/>
  <c r="G8" i="11"/>
  <c r="F8" i="11"/>
  <c r="E8" i="11"/>
  <c r="D8" i="11"/>
  <c r="C8" i="11"/>
  <c r="B8" i="11"/>
  <c r="M7" i="11"/>
  <c r="L7" i="11"/>
  <c r="K7" i="11"/>
  <c r="J7" i="11"/>
  <c r="I7" i="11"/>
  <c r="H7" i="11"/>
  <c r="G7" i="11"/>
  <c r="F7" i="11"/>
  <c r="E7" i="11"/>
  <c r="D7" i="11"/>
  <c r="C7" i="11"/>
  <c r="B7" i="11"/>
  <c r="M6" i="11"/>
  <c r="L6" i="11"/>
  <c r="K6" i="11"/>
  <c r="J6" i="11"/>
  <c r="I6" i="11"/>
  <c r="H6" i="11"/>
  <c r="G6" i="11"/>
  <c r="F6" i="11"/>
  <c r="E6" i="11"/>
  <c r="D6" i="11"/>
  <c r="C6" i="11"/>
  <c r="B6" i="11"/>
  <c r="L5" i="11"/>
  <c r="K5" i="11"/>
  <c r="B5" i="11" l="1"/>
  <c r="J5" i="11"/>
  <c r="D5" i="11"/>
  <c r="H5" i="11"/>
  <c r="E5" i="11"/>
  <c r="C5" i="11"/>
  <c r="M5" i="11"/>
  <c r="F5" i="11"/>
  <c r="G5" i="11"/>
</calcChain>
</file>

<file path=xl/sharedStrings.xml><?xml version="1.0" encoding="utf-8"?>
<sst xmlns="http://schemas.openxmlformats.org/spreadsheetml/2006/main" count="30" uniqueCount="20">
  <si>
    <t>cnehirif</t>
  </si>
  <si>
    <t>cnehcnwa</t>
  </si>
  <si>
    <t>Both Sexes</t>
  </si>
  <si>
    <t>Male</t>
  </si>
  <si>
    <t>Female</t>
  </si>
  <si>
    <t xml:space="preserve">Source: Ministry of Health </t>
  </si>
  <si>
    <t xml:space="preserve">މަޢުލޫމާތު ދެއްވީ: މިނިސްޓްރީ އޮފް ހެލްތު </t>
  </si>
  <si>
    <t>caerumua Whiruh</t>
  </si>
  <si>
    <t>2017 - 2006 ,cnutogegurumua iaWscnij ,cnidukwDukivurwm : 3.11 ulwvWt</t>
  </si>
  <si>
    <t>Table 3.11 : INFANT DEATHS BY AGE AND SEX, 2006 - 2017</t>
  </si>
  <si>
    <t>Age (in days) and Sex</t>
  </si>
  <si>
    <t>uscnij idwa /(cnuhwvud) urumua</t>
  </si>
  <si>
    <t>Less than 7 days</t>
  </si>
  <si>
    <t>udwm eruvcSwhwvud 7</t>
  </si>
  <si>
    <t>7 - 27 days</t>
  </si>
  <si>
    <t>cswvud 27 - 7</t>
  </si>
  <si>
    <t>28 - 364</t>
  </si>
  <si>
    <t>364 - 28</t>
  </si>
  <si>
    <t>7 - 27</t>
  </si>
  <si>
    <t>27 - 7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</si>
</sst>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General_)"/>
    <numFmt numFmtId="168" formatCode="_-* #,##0.00\ _ރ_._-;_-* #,##0.00\ _ރ_.\-;_-* &quot;-&quot;??\ _ރ_.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Randhoo"/>
    </font>
    <font>
      <b/>
      <sz val="11"/>
      <name val="Calibri"/>
      <family val="2"/>
    </font>
    <font>
      <b/>
      <sz val="9"/>
      <name val="A_Randhoo"/>
    </font>
    <font>
      <i/>
      <sz val="9"/>
      <name val="Calibri"/>
      <family val="2"/>
    </font>
    <font>
      <sz val="9"/>
      <name val="Faruma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9"/>
      <name val="A_Randhoo"/>
    </font>
    <font>
      <b/>
      <sz val="9"/>
      <name val="Calibri"/>
      <family val="2"/>
    </font>
    <font>
      <sz val="9"/>
      <name val="Calibri"/>
      <family val="2"/>
    </font>
    <font>
      <b/>
      <i/>
      <sz val="12"/>
      <color indexed="1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8" fillId="0" borderId="0"/>
    <xf numFmtId="0" fontId="8" fillId="0" borderId="0"/>
    <xf numFmtId="168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9" fillId="0" borderId="0"/>
    <xf numFmtId="0" fontId="8" fillId="0" borderId="0"/>
    <xf numFmtId="0" fontId="8" fillId="0" borderId="0"/>
    <xf numFmtId="0" fontId="1" fillId="0" borderId="0"/>
    <xf numFmtId="164" fontId="2" fillId="0" borderId="0"/>
  </cellStyleXfs>
  <cellXfs count="32">
    <xf numFmtId="0" fontId="0" fillId="0" borderId="0" xfId="0"/>
    <xf numFmtId="164" fontId="8" fillId="2" borderId="0" xfId="0" applyNumberFormat="1" applyFont="1" applyFill="1" applyAlignment="1">
      <alignment vertical="center"/>
    </xf>
    <xf numFmtId="164" fontId="8" fillId="2" borderId="0" xfId="0" applyNumberFormat="1" applyFont="1" applyFill="1"/>
    <xf numFmtId="164" fontId="6" fillId="2" borderId="0" xfId="0" applyNumberFormat="1" applyFont="1" applyFill="1" applyAlignment="1" applyProtection="1">
      <alignment horizontal="left" vertical="center"/>
    </xf>
    <xf numFmtId="0" fontId="0" fillId="2" borderId="0" xfId="0" applyFill="1"/>
    <xf numFmtId="164" fontId="8" fillId="2" borderId="0" xfId="0" applyNumberFormat="1" applyFont="1" applyFill="1" applyBorder="1"/>
    <xf numFmtId="0" fontId="0" fillId="2" borderId="0" xfId="0" applyFill="1" applyBorder="1"/>
    <xf numFmtId="164" fontId="4" fillId="2" borderId="1" xfId="0" applyNumberFormat="1" applyFont="1" applyFill="1" applyBorder="1" applyAlignment="1" applyProtection="1">
      <alignment horizontal="center" vertical="center"/>
    </xf>
    <xf numFmtId="164" fontId="4" fillId="2" borderId="0" xfId="0" applyNumberFormat="1" applyFont="1" applyFill="1" applyBorder="1" applyAlignment="1" applyProtection="1">
      <alignment horizontal="center" vertical="center"/>
    </xf>
    <xf numFmtId="164" fontId="11" fillId="2" borderId="2" xfId="0" applyNumberFormat="1" applyFont="1" applyFill="1" applyBorder="1" applyAlignment="1" applyProtection="1">
      <alignment horizontal="left" vertical="center"/>
    </xf>
    <xf numFmtId="164" fontId="11" fillId="2" borderId="2" xfId="0" applyNumberFormat="1" applyFont="1" applyFill="1" applyBorder="1" applyAlignment="1">
      <alignment horizontal="right" vertical="center"/>
    </xf>
    <xf numFmtId="164" fontId="5" fillId="2" borderId="2" xfId="0" applyNumberFormat="1" applyFont="1" applyFill="1" applyBorder="1" applyAlignment="1">
      <alignment horizontal="right" vertical="center"/>
    </xf>
    <xf numFmtId="164" fontId="11" fillId="2" borderId="0" xfId="0" applyNumberFormat="1" applyFont="1" applyFill="1" applyAlignment="1" applyProtection="1">
      <alignment horizontal="left" vertical="center" indent="1"/>
    </xf>
    <xf numFmtId="164" fontId="11" fillId="2" borderId="0" xfId="0" applyNumberFormat="1" applyFont="1" applyFill="1" applyAlignment="1" applyProtection="1">
      <alignment vertical="center"/>
    </xf>
    <xf numFmtId="164" fontId="5" fillId="2" borderId="0" xfId="0" applyNumberFormat="1" applyFont="1" applyFill="1" applyBorder="1" applyAlignment="1">
      <alignment horizontal="right" vertical="center" indent="1"/>
    </xf>
    <xf numFmtId="164" fontId="12" fillId="2" borderId="0" xfId="0" applyNumberFormat="1" applyFont="1" applyFill="1" applyAlignment="1" applyProtection="1">
      <alignment horizontal="left" vertical="center" indent="1"/>
    </xf>
    <xf numFmtId="164" fontId="12" fillId="2" borderId="0" xfId="0" applyNumberFormat="1" applyFont="1" applyFill="1" applyAlignment="1" applyProtection="1">
      <alignment vertical="center"/>
    </xf>
    <xf numFmtId="164" fontId="10" fillId="2" borderId="0" xfId="0" applyNumberFormat="1" applyFont="1" applyFill="1" applyAlignment="1" applyProtection="1">
      <alignment horizontal="right" vertical="center" indent="1"/>
    </xf>
    <xf numFmtId="164" fontId="12" fillId="2" borderId="0" xfId="0" quotePrefix="1" applyNumberFormat="1" applyFont="1" applyFill="1" applyAlignment="1" applyProtection="1">
      <alignment horizontal="left" vertical="center" indent="1"/>
    </xf>
    <xf numFmtId="164" fontId="10" fillId="2" borderId="0" xfId="0" quotePrefix="1" applyNumberFormat="1" applyFont="1" applyFill="1" applyAlignment="1" applyProtection="1">
      <alignment horizontal="right" vertical="center" indent="1"/>
    </xf>
    <xf numFmtId="164" fontId="11" fillId="2" borderId="0" xfId="0" applyNumberFormat="1" applyFont="1" applyFill="1" applyBorder="1" applyAlignment="1">
      <alignment vertical="center"/>
    </xf>
    <xf numFmtId="164" fontId="12" fillId="2" borderId="0" xfId="0" applyNumberFormat="1" applyFont="1" applyFill="1" applyAlignment="1">
      <alignment vertical="center"/>
    </xf>
    <xf numFmtId="164" fontId="12" fillId="2" borderId="0" xfId="0" applyNumberFormat="1" applyFont="1" applyFill="1" applyBorder="1" applyAlignment="1">
      <alignment vertical="center"/>
    </xf>
    <xf numFmtId="164" fontId="12" fillId="2" borderId="1" xfId="0" quotePrefix="1" applyNumberFormat="1" applyFont="1" applyFill="1" applyBorder="1" applyAlignment="1" applyProtection="1">
      <alignment horizontal="left" vertical="center" indent="1"/>
    </xf>
    <xf numFmtId="164" fontId="12" fillId="2" borderId="1" xfId="0" applyNumberFormat="1" applyFont="1" applyFill="1" applyBorder="1" applyAlignment="1">
      <alignment vertical="center"/>
    </xf>
    <xf numFmtId="164" fontId="10" fillId="2" borderId="1" xfId="0" quotePrefix="1" applyNumberFormat="1" applyFont="1" applyFill="1" applyBorder="1" applyAlignment="1" applyProtection="1">
      <alignment horizontal="right" vertical="center" indent="1"/>
    </xf>
    <xf numFmtId="0" fontId="8" fillId="2" borderId="0" xfId="0" applyFont="1" applyFill="1" applyAlignment="1">
      <alignment vertical="center"/>
    </xf>
    <xf numFmtId="164" fontId="7" fillId="2" borderId="0" xfId="10" applyFont="1" applyFill="1" applyAlignment="1" applyProtection="1">
      <alignment horizontal="right"/>
      <protection hidden="1"/>
    </xf>
    <xf numFmtId="0" fontId="8" fillId="2" borderId="0" xfId="0" applyFont="1" applyFill="1"/>
    <xf numFmtId="0" fontId="13" fillId="2" borderId="0" xfId="0" applyFont="1" applyFill="1"/>
    <xf numFmtId="164" fontId="3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Border="1" applyAlignment="1" applyProtection="1">
      <alignment horizontal="center" vertical="center"/>
    </xf>
  </cellXfs>
  <cellStyles count="11">
    <cellStyle name="Comma 3" xfId="5"/>
    <cellStyle name="Comma 4" xfId="3"/>
    <cellStyle name="Normal" xfId="0" builtinId="0"/>
    <cellStyle name="Normal 11" xfId="6"/>
    <cellStyle name="Normal 2" xfId="4"/>
    <cellStyle name="Normal 20" xfId="2"/>
    <cellStyle name="Normal 32" xfId="7"/>
    <cellStyle name="Normal 4" xfId="10"/>
    <cellStyle name="Normal 44" xfId="8"/>
    <cellStyle name="Normal 48" xfId="9"/>
    <cellStyle name="Normal 5" xfId="1"/>
  </cellStyles>
  <dxfs count="0"/>
  <tableStyles count="0" defaultTableStyle="TableStyleMedium2" defaultPivotStyle="PivotStyleLight16"/>
  <colors>
    <mruColors>
      <color rgb="FF336600"/>
      <color rgb="FF990099"/>
      <color rgb="FF663300"/>
      <color rgb="FFFF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  <cell r="AH7" t="str">
            <v>Female</v>
          </cell>
        </row>
        <row r="8">
          <cell r="AF8" t="str">
            <v>0-4</v>
          </cell>
          <cell r="AG8">
            <v>-19113</v>
          </cell>
          <cell r="AH8">
            <v>17859</v>
          </cell>
        </row>
        <row r="9">
          <cell r="AF9" t="str">
            <v>5 - 9</v>
          </cell>
          <cell r="AG9">
            <v>-20840</v>
          </cell>
          <cell r="AH9">
            <v>19919</v>
          </cell>
        </row>
        <row r="10">
          <cell r="AF10" t="str">
            <v>10 - 14</v>
          </cell>
          <cell r="AG10">
            <v>-18286</v>
          </cell>
          <cell r="AH10">
            <v>17584</v>
          </cell>
        </row>
        <row r="11">
          <cell r="AF11" t="str">
            <v>15 - 19</v>
          </cell>
          <cell r="AG11">
            <v>-12343</v>
          </cell>
          <cell r="AH11">
            <v>12562</v>
          </cell>
        </row>
        <row r="12">
          <cell r="AF12" t="str">
            <v>20 - 24</v>
          </cell>
          <cell r="AG12">
            <v>-9944</v>
          </cell>
          <cell r="AH12">
            <v>11077</v>
          </cell>
        </row>
        <row r="13">
          <cell r="AF13" t="str">
            <v>25 - 29</v>
          </cell>
          <cell r="AG13">
            <v>-8802</v>
          </cell>
          <cell r="AH13">
            <v>9389</v>
          </cell>
        </row>
        <row r="14">
          <cell r="AF14" t="str">
            <v>30 - 34</v>
          </cell>
          <cell r="AG14">
            <v>-7579</v>
          </cell>
          <cell r="AH14">
            <v>7785</v>
          </cell>
        </row>
        <row r="15">
          <cell r="AF15" t="str">
            <v>35 - 39</v>
          </cell>
          <cell r="AG15">
            <v>-6315</v>
          </cell>
          <cell r="AH15">
            <v>6317</v>
          </cell>
        </row>
        <row r="16">
          <cell r="AF16" t="str">
            <v>40 - 44</v>
          </cell>
          <cell r="AG16">
            <v>-3625</v>
          </cell>
          <cell r="AH16">
            <v>3297</v>
          </cell>
        </row>
        <row r="17">
          <cell r="AF17" t="str">
            <v>45 - 49</v>
          </cell>
          <cell r="AG17">
            <v>-3369</v>
          </cell>
          <cell r="AH17">
            <v>3215</v>
          </cell>
        </row>
        <row r="18">
          <cell r="AF18" t="str">
            <v>50 - 54</v>
          </cell>
          <cell r="AG18">
            <v>-3205</v>
          </cell>
          <cell r="AH18">
            <v>3042</v>
          </cell>
        </row>
        <row r="19">
          <cell r="AF19" t="str">
            <v>55 - 59</v>
          </cell>
          <cell r="AG19">
            <v>-3240</v>
          </cell>
          <cell r="AH19">
            <v>2722</v>
          </cell>
        </row>
        <row r="20">
          <cell r="AF20" t="str">
            <v>60 - 64</v>
          </cell>
          <cell r="AG20">
            <v>-3010</v>
          </cell>
          <cell r="AH20">
            <v>2284</v>
          </cell>
        </row>
        <row r="21">
          <cell r="AF21" t="str">
            <v>65 - 69</v>
          </cell>
          <cell r="AG21">
            <v>-1897</v>
          </cell>
          <cell r="AH21">
            <v>1304</v>
          </cell>
        </row>
        <row r="22">
          <cell r="AF22" t="str">
            <v>70 - 74</v>
          </cell>
          <cell r="AG22">
            <v>-1279</v>
          </cell>
          <cell r="AH22">
            <v>822</v>
          </cell>
        </row>
        <row r="23">
          <cell r="AF23" t="str">
            <v>75+</v>
          </cell>
          <cell r="AG23">
            <v>-1384</v>
          </cell>
          <cell r="AH23">
            <v>862</v>
          </cell>
        </row>
        <row r="31">
          <cell r="AG31" t="str">
            <v>Male</v>
          </cell>
          <cell r="AH31" t="str">
            <v>Female</v>
          </cell>
        </row>
        <row r="32">
          <cell r="AF32" t="str">
            <v>0-4</v>
          </cell>
          <cell r="AG32">
            <v>-15699</v>
          </cell>
          <cell r="AH32">
            <v>15213</v>
          </cell>
        </row>
        <row r="33">
          <cell r="AF33" t="str">
            <v>5 - 9</v>
          </cell>
          <cell r="AG33">
            <v>-19336</v>
          </cell>
          <cell r="AH33">
            <v>18591</v>
          </cell>
        </row>
        <row r="34">
          <cell r="AF34" t="str">
            <v>10 - 14</v>
          </cell>
          <cell r="AG34">
            <v>-20897</v>
          </cell>
          <cell r="AH34">
            <v>20192</v>
          </cell>
        </row>
        <row r="35">
          <cell r="AF35" t="str">
            <v>15 - 19</v>
          </cell>
          <cell r="AG35">
            <v>-16590</v>
          </cell>
          <cell r="AH35">
            <v>16676</v>
          </cell>
        </row>
        <row r="36">
          <cell r="AF36" t="str">
            <v>20 - 24</v>
          </cell>
          <cell r="AG36">
            <v>-11620</v>
          </cell>
          <cell r="AH36">
            <v>11894</v>
          </cell>
        </row>
        <row r="37">
          <cell r="AF37" t="str">
            <v>25 - 29</v>
          </cell>
          <cell r="AG37">
            <v>-9805</v>
          </cell>
          <cell r="AH37">
            <v>10285</v>
          </cell>
        </row>
        <row r="38">
          <cell r="AF38" t="str">
            <v>30 - 34</v>
          </cell>
          <cell r="AG38">
            <v>-8890</v>
          </cell>
          <cell r="AH38">
            <v>9271</v>
          </cell>
        </row>
        <row r="39">
          <cell r="AF39" t="str">
            <v>35 - 39</v>
          </cell>
          <cell r="AG39">
            <v>-7828</v>
          </cell>
          <cell r="AH39">
            <v>7871</v>
          </cell>
        </row>
        <row r="40">
          <cell r="AF40" t="str">
            <v>40 - 44</v>
          </cell>
          <cell r="AG40">
            <v>-6272</v>
          </cell>
          <cell r="AH40">
            <v>6130</v>
          </cell>
        </row>
        <row r="41">
          <cell r="AF41" t="str">
            <v>45 - 49</v>
          </cell>
          <cell r="AG41">
            <v>-3977</v>
          </cell>
          <cell r="AH41">
            <v>3484</v>
          </cell>
        </row>
        <row r="42">
          <cell r="AF42" t="str">
            <v>50 - 54</v>
          </cell>
          <cell r="AG42">
            <v>-3051</v>
          </cell>
          <cell r="AH42">
            <v>2916</v>
          </cell>
        </row>
        <row r="43">
          <cell r="AF43" t="str">
            <v>55 - 59</v>
          </cell>
          <cell r="AG43">
            <v>-3131</v>
          </cell>
          <cell r="AH43">
            <v>2865</v>
          </cell>
        </row>
        <row r="44">
          <cell r="AF44" t="str">
            <v>60 - 64</v>
          </cell>
          <cell r="AG44">
            <v>-3370</v>
          </cell>
          <cell r="AH44">
            <v>2942</v>
          </cell>
        </row>
        <row r="45">
          <cell r="AF45" t="str">
            <v>65 - 69</v>
          </cell>
          <cell r="AG45">
            <v>-2650</v>
          </cell>
          <cell r="AH45">
            <v>1961</v>
          </cell>
        </row>
        <row r="46">
          <cell r="AF46" t="str">
            <v>70 - 74</v>
          </cell>
          <cell r="AG46">
            <v>-1737</v>
          </cell>
          <cell r="AH46">
            <v>1136</v>
          </cell>
        </row>
        <row r="47">
          <cell r="AF47" t="str">
            <v>75+</v>
          </cell>
          <cell r="AG47">
            <v>-1532</v>
          </cell>
          <cell r="AH47">
            <v>1013</v>
          </cell>
        </row>
        <row r="56">
          <cell r="AG56" t="str">
            <v>Male</v>
          </cell>
          <cell r="AH56" t="str">
            <v>Female</v>
          </cell>
        </row>
        <row r="57">
          <cell r="AF57" t="str">
            <v>0-4</v>
          </cell>
          <cell r="AG57">
            <v>-13362</v>
          </cell>
          <cell r="AH57">
            <v>12809</v>
          </cell>
        </row>
        <row r="58">
          <cell r="AF58" t="str">
            <v>5 - 9</v>
          </cell>
          <cell r="AG58">
            <v>-15352</v>
          </cell>
          <cell r="AH58">
            <v>14515</v>
          </cell>
        </row>
        <row r="59">
          <cell r="AF59" t="str">
            <v>10 - 14</v>
          </cell>
          <cell r="AG59">
            <v>-19111</v>
          </cell>
          <cell r="AH59">
            <v>17888</v>
          </cell>
        </row>
        <row r="60">
          <cell r="AF60" t="str">
            <v>15 - 19</v>
          </cell>
          <cell r="AG60">
            <v>-20155</v>
          </cell>
          <cell r="AH60">
            <v>19749</v>
          </cell>
        </row>
        <row r="61">
          <cell r="AF61" t="str">
            <v>20 - 24</v>
          </cell>
          <cell r="AG61">
            <v>-16933</v>
          </cell>
          <cell r="AH61">
            <v>17876</v>
          </cell>
        </row>
        <row r="62">
          <cell r="AF62" t="str">
            <v>25 - 29</v>
          </cell>
          <cell r="AG62">
            <v>-11915</v>
          </cell>
          <cell r="AH62">
            <v>12666</v>
          </cell>
        </row>
        <row r="63">
          <cell r="AF63" t="str">
            <v>30 - 34</v>
          </cell>
          <cell r="AG63">
            <v>-10022</v>
          </cell>
          <cell r="AH63">
            <v>10613</v>
          </cell>
        </row>
        <row r="64">
          <cell r="AF64" t="str">
            <v>35 - 39</v>
          </cell>
          <cell r="AG64">
            <v>-8780</v>
          </cell>
          <cell r="AH64">
            <v>9394</v>
          </cell>
        </row>
        <row r="65">
          <cell r="AF65" t="str">
            <v>40 - 44</v>
          </cell>
          <cell r="AG65">
            <v>-7828</v>
          </cell>
          <cell r="AH65">
            <v>8043</v>
          </cell>
        </row>
        <row r="66">
          <cell r="AF66" t="str">
            <v>45 - 49</v>
          </cell>
          <cell r="AG66">
            <v>-6872</v>
          </cell>
          <cell r="AH66">
            <v>6697</v>
          </cell>
        </row>
        <row r="67">
          <cell r="AF67" t="str">
            <v>50 - 54</v>
          </cell>
          <cell r="AG67">
            <v>-4147</v>
          </cell>
          <cell r="AH67">
            <v>3789</v>
          </cell>
        </row>
        <row r="68">
          <cell r="AF68" t="str">
            <v>55 - 59</v>
          </cell>
          <cell r="AG68">
            <v>-3046</v>
          </cell>
          <cell r="AH68">
            <v>2813</v>
          </cell>
        </row>
        <row r="69">
          <cell r="AF69" t="str">
            <v>60 - 64</v>
          </cell>
          <cell r="AG69">
            <v>-2852</v>
          </cell>
          <cell r="AH69">
            <v>2714</v>
          </cell>
        </row>
        <row r="70">
          <cell r="AF70" t="str">
            <v>65 - 69</v>
          </cell>
          <cell r="AG70">
            <v>-3014</v>
          </cell>
          <cell r="AH70">
            <v>2664</v>
          </cell>
        </row>
        <row r="71">
          <cell r="AF71" t="str">
            <v>70 - 74</v>
          </cell>
          <cell r="AG71">
            <v>-2333</v>
          </cell>
          <cell r="AH71">
            <v>1853</v>
          </cell>
        </row>
        <row r="72">
          <cell r="AF72" t="str">
            <v>75+</v>
          </cell>
          <cell r="AG72">
            <v>-2443</v>
          </cell>
          <cell r="AH72">
            <v>1637</v>
          </cell>
        </row>
        <row r="79">
          <cell r="AF79" t="str">
            <v>0-4</v>
          </cell>
          <cell r="AG79">
            <v>-18863</v>
          </cell>
          <cell r="AH79">
            <v>17223</v>
          </cell>
        </row>
        <row r="80">
          <cell r="AF80" t="str">
            <v>5 - 9</v>
          </cell>
          <cell r="AG80">
            <v>-16364</v>
          </cell>
          <cell r="AH80">
            <v>15616</v>
          </cell>
        </row>
        <row r="81">
          <cell r="AF81" t="str">
            <v>10 - 14</v>
          </cell>
          <cell r="AG81">
            <v>-13571</v>
          </cell>
          <cell r="AH81">
            <v>12787</v>
          </cell>
        </row>
        <row r="82">
          <cell r="AF82" t="str">
            <v>15 - 19</v>
          </cell>
          <cell r="AG82">
            <v>-15922</v>
          </cell>
          <cell r="AH82">
            <v>15461</v>
          </cell>
        </row>
        <row r="83">
          <cell r="AF83" t="str">
            <v>20 - 24</v>
          </cell>
          <cell r="AG83">
            <v>-19349</v>
          </cell>
          <cell r="AH83">
            <v>18537</v>
          </cell>
        </row>
        <row r="84">
          <cell r="AF84" t="str">
            <v>25 - 29</v>
          </cell>
          <cell r="AG84">
            <v>-19451</v>
          </cell>
          <cell r="AH84">
            <v>19738</v>
          </cell>
        </row>
        <row r="85">
          <cell r="AF85" t="str">
            <v>30 - 34</v>
          </cell>
          <cell r="AG85">
            <v>-15494</v>
          </cell>
          <cell r="AH85">
            <v>15868</v>
          </cell>
        </row>
        <row r="86">
          <cell r="AF86" t="str">
            <v>35 - 39</v>
          </cell>
          <cell r="AG86">
            <v>-11386</v>
          </cell>
          <cell r="AH86">
            <v>11518</v>
          </cell>
        </row>
        <row r="87">
          <cell r="AF87" t="str">
            <v>40 - 44</v>
          </cell>
          <cell r="AG87">
            <v>-9811</v>
          </cell>
          <cell r="AH87">
            <v>10064</v>
          </cell>
        </row>
        <row r="88">
          <cell r="AF88" t="str">
            <v>45 - 49</v>
          </cell>
          <cell r="AG88">
            <v>-8784</v>
          </cell>
          <cell r="AH88">
            <v>8795</v>
          </cell>
        </row>
        <row r="89">
          <cell r="AF89" t="str">
            <v>50 - 54</v>
          </cell>
          <cell r="AG89">
            <v>-7645</v>
          </cell>
          <cell r="AH89">
            <v>7405</v>
          </cell>
        </row>
        <row r="90">
          <cell r="AF90" t="str">
            <v>55 - 59</v>
          </cell>
          <cell r="AG90">
            <v>-6031</v>
          </cell>
          <cell r="AH90">
            <v>5672</v>
          </cell>
        </row>
        <row r="91">
          <cell r="AF91" t="str">
            <v>60 - 64</v>
          </cell>
          <cell r="AG91">
            <v>-3327</v>
          </cell>
          <cell r="AH91">
            <v>2922</v>
          </cell>
        </row>
        <row r="92">
          <cell r="AF92" t="str">
            <v>65 - 69</v>
          </cell>
          <cell r="AG92">
            <v>-2445</v>
          </cell>
          <cell r="AH92">
            <v>2426</v>
          </cell>
        </row>
        <row r="93">
          <cell r="AF93" t="str">
            <v>70 - 74</v>
          </cell>
          <cell r="AG93">
            <v>-2471</v>
          </cell>
          <cell r="AH93">
            <v>2372</v>
          </cell>
        </row>
        <row r="94">
          <cell r="AF94" t="str">
            <v>75+</v>
          </cell>
          <cell r="AG94">
            <v>-3752</v>
          </cell>
          <cell r="AH94">
            <v>2953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  <cell r="AF4" t="str">
            <v>Resident Foreigners 2019</v>
          </cell>
        </row>
        <row r="5">
          <cell r="AD5" t="str">
            <v>Male</v>
          </cell>
          <cell r="AE5" t="str">
            <v>Female</v>
          </cell>
          <cell r="AF5" t="str">
            <v>Male</v>
          </cell>
          <cell r="AG5" t="str">
            <v>Female</v>
          </cell>
        </row>
        <row r="6">
          <cell r="AC6" t="str">
            <v xml:space="preserve">  0-4</v>
          </cell>
          <cell r="AD6">
            <v>-19724.416485149974</v>
          </cell>
          <cell r="AE6">
            <v>18162.416485149974</v>
          </cell>
          <cell r="AF6">
            <v>-815.97856670881845</v>
          </cell>
          <cell r="AG6">
            <v>578.02289746464908</v>
          </cell>
        </row>
        <row r="7">
          <cell r="AC7" t="str">
            <v xml:space="preserve">  5-9</v>
          </cell>
          <cell r="AD7">
            <v>-18614.694141916621</v>
          </cell>
          <cell r="AE7">
            <v>16897.138828383326</v>
          </cell>
          <cell r="AF7">
            <v>-472.96968028534508</v>
          </cell>
          <cell r="AG7">
            <v>273.40823825715955</v>
          </cell>
        </row>
        <row r="8">
          <cell r="AC8" t="str">
            <v xml:space="preserve"> 10-14</v>
          </cell>
          <cell r="AD8">
            <v>-16219.555313533299</v>
          </cell>
          <cell r="AE8">
            <v>15422.555313533299</v>
          </cell>
          <cell r="AF8">
            <v>-269.3419260358865</v>
          </cell>
          <cell r="AG8">
            <v>137.64032738660978</v>
          </cell>
        </row>
        <row r="9">
          <cell r="AC9" t="str">
            <v xml:space="preserve"> 15-19</v>
          </cell>
          <cell r="AD9">
            <v>-14451.314340309933</v>
          </cell>
          <cell r="AE9">
            <v>12838.275478566336</v>
          </cell>
          <cell r="AF9">
            <v>-2735.8487528397136</v>
          </cell>
          <cell r="AG9">
            <v>236.80233907298222</v>
          </cell>
        </row>
        <row r="10">
          <cell r="AC10" t="str">
            <v xml:space="preserve"> 20-24</v>
          </cell>
          <cell r="AD10">
            <v>-19043.819094086619</v>
          </cell>
          <cell r="AE10">
            <v>15548.212541331939</v>
          </cell>
          <cell r="AF10">
            <v>-26281.020701051348</v>
          </cell>
          <cell r="AG10">
            <v>1560.756590145168</v>
          </cell>
        </row>
        <row r="11">
          <cell r="AC11" t="str">
            <v xml:space="preserve"> 25-29</v>
          </cell>
          <cell r="AD11">
            <v>-18815.148912373446</v>
          </cell>
          <cell r="AE11">
            <v>17735.494554499215</v>
          </cell>
          <cell r="AF11">
            <v>-42810.005150890131</v>
          </cell>
          <cell r="AG11">
            <v>3829.646623308925</v>
          </cell>
        </row>
        <row r="12">
          <cell r="AC12" t="str">
            <v xml:space="preserve"> 30-34</v>
          </cell>
          <cell r="AD12">
            <v>-18471.758680914587</v>
          </cell>
          <cell r="AE12">
            <v>19192.108448866282</v>
          </cell>
          <cell r="AF12">
            <v>-30029.426498622553</v>
          </cell>
          <cell r="AG12">
            <v>3063.7032320789885</v>
          </cell>
        </row>
        <row r="13">
          <cell r="AC13" t="str">
            <v xml:space="preserve"> 35-39</v>
          </cell>
          <cell r="AD13">
            <v>-14631.891205271668</v>
          </cell>
          <cell r="AE13">
            <v>15573.637739283167</v>
          </cell>
          <cell r="AF13">
            <v>-19238.369187388162</v>
          </cell>
          <cell r="AG13">
            <v>2040.7047695430938</v>
          </cell>
        </row>
        <row r="14">
          <cell r="AC14" t="str">
            <v xml:space="preserve"> 40-44</v>
          </cell>
          <cell r="AD14">
            <v>-11020.689554941297</v>
          </cell>
          <cell r="AE14">
            <v>11390.943597366544</v>
          </cell>
          <cell r="AF14">
            <v>-11973.313403508051</v>
          </cell>
          <cell r="AG14">
            <v>1155.9770250405613</v>
          </cell>
        </row>
        <row r="15">
          <cell r="AC15" t="str">
            <v xml:space="preserve"> 45-49</v>
          </cell>
          <cell r="AD15">
            <v>-9382.7937626943021</v>
          </cell>
          <cell r="AE15">
            <v>9914.5553135332993</v>
          </cell>
          <cell r="AF15">
            <v>-6837.1672357207717</v>
          </cell>
          <cell r="AG15">
            <v>757.71444886177483</v>
          </cell>
        </row>
        <row r="16">
          <cell r="AC16" t="str">
            <v xml:space="preserve"> 50-54</v>
          </cell>
          <cell r="AD16">
            <v>-8383.806831896185</v>
          </cell>
          <cell r="AE16">
            <v>8588.3882838332465</v>
          </cell>
          <cell r="AF16">
            <v>-3232.4764221897558</v>
          </cell>
          <cell r="AG16">
            <v>409.00422440586743</v>
          </cell>
        </row>
        <row r="17">
          <cell r="AC17" t="str">
            <v xml:space="preserve"> 55-59</v>
          </cell>
          <cell r="AD17">
            <v>-7092.5704456481444</v>
          </cell>
          <cell r="AE17">
            <v>7154.4164851499736</v>
          </cell>
          <cell r="AF17">
            <v>-1274.0356562071674</v>
          </cell>
          <cell r="AG17">
            <v>231.07620386763517</v>
          </cell>
        </row>
        <row r="18">
          <cell r="AC18" t="str">
            <v xml:space="preserve"> 60-64</v>
          </cell>
          <cell r="AD18">
            <v>-5527.6051815658129</v>
          </cell>
          <cell r="AE18">
            <v>5403.4164851499736</v>
          </cell>
          <cell r="AF18">
            <v>-476.94839289090748</v>
          </cell>
          <cell r="AG18">
            <v>100.89688842495897</v>
          </cell>
        </row>
        <row r="19">
          <cell r="AC19" t="str">
            <v xml:space="preserve"> 65-69</v>
          </cell>
          <cell r="AD19">
            <v>-2935.830792099634</v>
          </cell>
          <cell r="AE19">
            <v>2695</v>
          </cell>
          <cell r="AF19">
            <v>-170.05418680278638</v>
          </cell>
          <cell r="AG19">
            <v>36.686130721036911</v>
          </cell>
        </row>
        <row r="20">
          <cell r="AC20" t="str">
            <v xml:space="preserve"> 70-74</v>
          </cell>
          <cell r="AD20">
            <v>-2029.9435973665447</v>
          </cell>
          <cell r="AE20">
            <v>2125.1388283833248</v>
          </cell>
          <cell r="AF20">
            <v>-80.99079911261019</v>
          </cell>
          <cell r="AG20">
            <v>10.999535309843537</v>
          </cell>
        </row>
        <row r="21">
          <cell r="AC21" t="str">
            <v xml:space="preserve"> 75+</v>
          </cell>
          <cell r="AD21">
            <v>-4047.6941419166233</v>
          </cell>
          <cell r="AE21">
            <v>3704.1388283833248</v>
          </cell>
          <cell r="AF21">
            <v>-75.579123400131138</v>
          </cell>
          <cell r="AG21">
            <v>5.5083638910138646</v>
          </cell>
        </row>
        <row r="31">
          <cell r="AD31" t="str">
            <v>Residential Maldivian 2030</v>
          </cell>
          <cell r="AF31" t="str">
            <v>Resident Foreigners 2030</v>
          </cell>
        </row>
        <row r="32">
          <cell r="AD32" t="str">
            <v>Male</v>
          </cell>
          <cell r="AE32" t="str">
            <v>Female</v>
          </cell>
          <cell r="AF32" t="str">
            <v>Male</v>
          </cell>
          <cell r="AG32" t="str">
            <v>Female</v>
          </cell>
        </row>
        <row r="33">
          <cell r="AC33" t="str">
            <v xml:space="preserve">  0-4</v>
          </cell>
          <cell r="AD33">
            <v>-17612.54765760661</v>
          </cell>
          <cell r="AE33">
            <v>16348.547657606612</v>
          </cell>
          <cell r="AF33">
            <v>-1157.9287043641234</v>
          </cell>
          <cell r="AG33">
            <v>820.25353613593177</v>
          </cell>
        </row>
        <row r="34">
          <cell r="AC34" t="str">
            <v xml:space="preserve">  5-9</v>
          </cell>
          <cell r="AD34">
            <v>-18841.579429344354</v>
          </cell>
          <cell r="AE34">
            <v>17330.51588586887</v>
          </cell>
          <cell r="AF34">
            <v>-671.17592476146115</v>
          </cell>
          <cell r="AG34">
            <v>387.98475842878872</v>
          </cell>
        </row>
        <row r="35">
          <cell r="AC35" t="str">
            <v xml:space="preserve"> 10-14</v>
          </cell>
          <cell r="AD35">
            <v>-19544.063543475484</v>
          </cell>
          <cell r="AE35">
            <v>17864.063543475484</v>
          </cell>
          <cell r="AF35">
            <v>-382.21438671313183</v>
          </cell>
          <cell r="AG35">
            <v>195.32092197208985</v>
          </cell>
        </row>
        <row r="36">
          <cell r="AC36" t="str">
            <v xml:space="preserve"> 15-19</v>
          </cell>
          <cell r="AD36">
            <v>-20066.779776636948</v>
          </cell>
          <cell r="AE36">
            <v>17018.603663017082</v>
          </cell>
          <cell r="AF36">
            <v>-3882.3541830141735</v>
          </cell>
          <cell r="AG36">
            <v>336.03851480944616</v>
          </cell>
        </row>
        <row r="37">
          <cell r="AC37" t="str">
            <v xml:space="preserve"> 20-24</v>
          </cell>
          <cell r="AD37">
            <v>-22716.290361734587</v>
          </cell>
          <cell r="AE37">
            <v>16906.541739019292</v>
          </cell>
          <cell r="AF37">
            <v>-37294.543620769597</v>
          </cell>
          <cell r="AG37">
            <v>2214.8190283280746</v>
          </cell>
        </row>
        <row r="38">
          <cell r="AC38" t="str">
            <v xml:space="preserve"> 25-29</v>
          </cell>
          <cell r="AD38">
            <v>-18331.420128317488</v>
          </cell>
          <cell r="AE38">
            <v>12976.429728198351</v>
          </cell>
          <cell r="AF38">
            <v>-60750.289064738405</v>
          </cell>
          <cell r="AG38">
            <v>5434.5272457174424</v>
          </cell>
        </row>
        <row r="39">
          <cell r="AC39" t="str">
            <v xml:space="preserve"> 30-34</v>
          </cell>
          <cell r="AD39">
            <v>-18446.18638980946</v>
          </cell>
          <cell r="AE39">
            <v>14632.698978230304</v>
          </cell>
          <cell r="AF39">
            <v>-42613.784647061708</v>
          </cell>
          <cell r="AG39">
            <v>4347.6018351635703</v>
          </cell>
        </row>
        <row r="40">
          <cell r="AC40" t="str">
            <v xml:space="preserve"> 35-39</v>
          </cell>
          <cell r="AD40">
            <v>-16998.77117841769</v>
          </cell>
          <cell r="AE40">
            <v>16851.801831508539</v>
          </cell>
          <cell r="AF40">
            <v>-27300.545401678988</v>
          </cell>
          <cell r="AG40">
            <v>2895.8979147180862</v>
          </cell>
        </row>
        <row r="41">
          <cell r="AC41" t="str">
            <v xml:space="preserve"> 40-44</v>
          </cell>
          <cell r="AD41">
            <v>-17280.369983001696</v>
          </cell>
          <cell r="AE41">
            <v>18907.222402164189</v>
          </cell>
          <cell r="AF41">
            <v>-16990.940500054967</v>
          </cell>
          <cell r="AG41">
            <v>1640.4094831544364</v>
          </cell>
        </row>
        <row r="42">
          <cell r="AC42" t="str">
            <v xml:space="preserve"> 45-49</v>
          </cell>
          <cell r="AD42">
            <v>-14798.389358241351</v>
          </cell>
          <cell r="AE42">
            <v>16686.063543475484</v>
          </cell>
          <cell r="AF42">
            <v>-9702.4021485164158</v>
          </cell>
          <cell r="AG42">
            <v>1075.2479854799701</v>
          </cell>
        </row>
        <row r="43">
          <cell r="AC43" t="str">
            <v xml:space="preserve"> 50-54</v>
          </cell>
          <cell r="AD43">
            <v>-10751.958010565308</v>
          </cell>
          <cell r="AE43">
            <v>11935.158858688706</v>
          </cell>
          <cell r="AF43">
            <v>-4587.1023923223202</v>
          </cell>
          <cell r="AG43">
            <v>580.40462209192083</v>
          </cell>
        </row>
        <row r="44">
          <cell r="AC44" t="str">
            <v xml:space="preserve"> 55-59</v>
          </cell>
          <cell r="AD44">
            <v>-8602.8836900694314</v>
          </cell>
          <cell r="AE44">
            <v>9795.5476576066121</v>
          </cell>
          <cell r="AF44">
            <v>-1807.9426554743077</v>
          </cell>
          <cell r="AG44">
            <v>327.91274216068092</v>
          </cell>
        </row>
        <row r="45">
          <cell r="AC45" t="str">
            <v xml:space="preserve"> 60-64</v>
          </cell>
          <cell r="AD45">
            <v>-7288.5568151493153</v>
          </cell>
          <cell r="AE45">
            <v>8232.5476576066121</v>
          </cell>
          <cell r="AF45">
            <v>-676.82198670519392</v>
          </cell>
          <cell r="AG45">
            <v>143.17950011789392</v>
          </cell>
        </row>
        <row r="46">
          <cell r="AC46" t="str">
            <v xml:space="preserve"> 65-69</v>
          </cell>
          <cell r="AD46">
            <v>-6204.6672064925642</v>
          </cell>
          <cell r="AE46">
            <v>6786</v>
          </cell>
          <cell r="AF46">
            <v>-241.31837799425</v>
          </cell>
          <cell r="AG46">
            <v>52.060097589673653</v>
          </cell>
        </row>
        <row r="47">
          <cell r="AC47" t="str">
            <v xml:space="preserve"> 70-74</v>
          </cell>
          <cell r="AD47">
            <v>-4648.2224021641878</v>
          </cell>
          <cell r="AE47">
            <v>4972.515885868871</v>
          </cell>
          <cell r="AF47">
            <v>-114.93141475534074</v>
          </cell>
          <cell r="AG47">
            <v>15.609083607804646</v>
          </cell>
        </row>
        <row r="48">
          <cell r="AC48" t="str">
            <v xml:space="preserve"> 75+</v>
          </cell>
          <cell r="AD48">
            <v>-4509.5794293443523</v>
          </cell>
          <cell r="AE48">
            <v>4660.5158858688701</v>
          </cell>
          <cell r="AF48">
            <v>-107.25188136825139</v>
          </cell>
          <cell r="AG48">
            <v>7.8167404435806649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  <cell r="T97" t="str">
            <v>20 - 24</v>
          </cell>
          <cell r="U97" t="str">
            <v>25 - 29</v>
          </cell>
          <cell r="V97" t="str">
            <v>30 - 34</v>
          </cell>
          <cell r="W97" t="str">
            <v>35 - 39</v>
          </cell>
          <cell r="X97" t="str">
            <v>40 - 44</v>
          </cell>
          <cell r="Y97" t="str">
            <v>45 - 49</v>
          </cell>
          <cell r="Z97" t="str">
            <v>50 &amp; Over</v>
          </cell>
        </row>
        <row r="98">
          <cell r="R98" t="str">
            <v>Persons married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</row>
        <row r="99">
          <cell r="R99" t="str">
            <v>Persons divorced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  <cell r="H4">
            <v>2015</v>
          </cell>
        </row>
        <row r="5">
          <cell r="F5" t="str">
            <v>Male</v>
          </cell>
          <cell r="G5" t="str">
            <v>Female</v>
          </cell>
          <cell r="H5" t="str">
            <v>Male</v>
          </cell>
          <cell r="I5" t="str">
            <v>Female</v>
          </cell>
        </row>
        <row r="8">
          <cell r="A8" t="str">
            <v>First</v>
          </cell>
          <cell r="F8">
            <v>3085</v>
          </cell>
          <cell r="G8">
            <v>3021</v>
          </cell>
          <cell r="H8">
            <v>3026</v>
          </cell>
          <cell r="I8">
            <v>2999</v>
          </cell>
        </row>
        <row r="9">
          <cell r="A9" t="str">
            <v>Second</v>
          </cell>
          <cell r="F9">
            <v>1451</v>
          </cell>
          <cell r="G9">
            <v>1442</v>
          </cell>
          <cell r="H9">
            <v>1464</v>
          </cell>
          <cell r="I9">
            <v>1547</v>
          </cell>
        </row>
        <row r="10">
          <cell r="A10" t="str">
            <v xml:space="preserve">Third </v>
          </cell>
          <cell r="F10">
            <v>535</v>
          </cell>
          <cell r="G10">
            <v>586</v>
          </cell>
          <cell r="H10">
            <v>635</v>
          </cell>
          <cell r="I10">
            <v>631</v>
          </cell>
        </row>
        <row r="11">
          <cell r="A11" t="str">
            <v>Fourth or more</v>
          </cell>
          <cell r="F11">
            <v>516</v>
          </cell>
          <cell r="G11">
            <v>538</v>
          </cell>
          <cell r="H11">
            <v>638</v>
          </cell>
          <cell r="I11">
            <v>586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tabSelected="1" zoomScaleNormal="100" workbookViewId="0">
      <selection activeCell="X25" sqref="X25"/>
    </sheetView>
  </sheetViews>
  <sheetFormatPr defaultRowHeight="15" x14ac:dyDescent="0.25"/>
  <cols>
    <col min="1" max="1" width="19.140625" style="4" customWidth="1"/>
    <col min="2" max="11" width="8.140625" style="4" customWidth="1"/>
    <col min="12" max="13" width="8.5703125" style="4" customWidth="1"/>
    <col min="14" max="14" width="22.7109375" style="4" customWidth="1"/>
    <col min="15" max="15" width="4.42578125" style="4" customWidth="1"/>
    <col min="16" max="16384" width="9.140625" style="4"/>
  </cols>
  <sheetData>
    <row r="1" spans="1:15" ht="18" x14ac:dyDescent="0.25">
      <c r="A1" s="30" t="s">
        <v>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2"/>
    </row>
    <row r="2" spans="1:15" s="6" customFormat="1" x14ac:dyDescent="0.25">
      <c r="A2" s="31" t="s">
        <v>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5"/>
    </row>
    <row r="3" spans="1:15" x14ac:dyDescent="0.25">
      <c r="A3" s="7"/>
      <c r="B3" s="7"/>
      <c r="C3" s="7"/>
      <c r="D3" s="7"/>
      <c r="E3" s="7"/>
      <c r="F3" s="7"/>
      <c r="G3" s="7"/>
      <c r="H3" s="7"/>
      <c r="I3" s="8"/>
      <c r="J3" s="8"/>
      <c r="K3" s="8"/>
      <c r="L3" s="8"/>
      <c r="M3" s="8"/>
      <c r="N3" s="7"/>
      <c r="O3" s="2"/>
    </row>
    <row r="4" spans="1:15" x14ac:dyDescent="0.25">
      <c r="A4" s="9" t="s">
        <v>10</v>
      </c>
      <c r="B4" s="10">
        <v>2006</v>
      </c>
      <c r="C4" s="10">
        <v>2007</v>
      </c>
      <c r="D4" s="10">
        <v>2008</v>
      </c>
      <c r="E4" s="10">
        <v>2009</v>
      </c>
      <c r="F4" s="10">
        <v>2010</v>
      </c>
      <c r="G4" s="10">
        <v>2011</v>
      </c>
      <c r="H4" s="10">
        <v>2012</v>
      </c>
      <c r="I4" s="10">
        <v>2013</v>
      </c>
      <c r="J4" s="10">
        <v>2014</v>
      </c>
      <c r="K4" s="10">
        <v>2015</v>
      </c>
      <c r="L4" s="10">
        <v>2016</v>
      </c>
      <c r="M4" s="10">
        <v>2017</v>
      </c>
      <c r="N4" s="11" t="s">
        <v>11</v>
      </c>
      <c r="O4" s="2"/>
    </row>
    <row r="5" spans="1:15" x14ac:dyDescent="0.25">
      <c r="A5" s="12" t="s">
        <v>2</v>
      </c>
      <c r="B5" s="13">
        <f>B9+B13</f>
        <v>92</v>
      </c>
      <c r="C5" s="13">
        <f t="shared" ref="C5:M5" si="0">C9+C13</f>
        <v>66</v>
      </c>
      <c r="D5" s="13">
        <f t="shared" si="0"/>
        <v>76</v>
      </c>
      <c r="E5" s="13">
        <f t="shared" si="0"/>
        <v>81</v>
      </c>
      <c r="F5" s="13">
        <f t="shared" si="0"/>
        <v>78</v>
      </c>
      <c r="G5" s="13">
        <f t="shared" si="0"/>
        <v>65</v>
      </c>
      <c r="H5" s="13">
        <f t="shared" si="0"/>
        <v>66</v>
      </c>
      <c r="I5" s="13">
        <f t="shared" si="0"/>
        <v>46</v>
      </c>
      <c r="J5" s="13">
        <f t="shared" si="0"/>
        <v>59</v>
      </c>
      <c r="K5" s="13">
        <f t="shared" si="0"/>
        <v>63</v>
      </c>
      <c r="L5" s="13">
        <f t="shared" si="0"/>
        <v>53</v>
      </c>
      <c r="M5" s="13">
        <f t="shared" si="0"/>
        <v>64</v>
      </c>
      <c r="N5" s="14" t="s">
        <v>7</v>
      </c>
      <c r="O5" s="2"/>
    </row>
    <row r="6" spans="1:15" x14ac:dyDescent="0.25">
      <c r="A6" s="15" t="s">
        <v>12</v>
      </c>
      <c r="B6" s="16">
        <f t="shared" ref="B6:M8" si="1">B10+B14</f>
        <v>51</v>
      </c>
      <c r="C6" s="16">
        <f t="shared" si="1"/>
        <v>41</v>
      </c>
      <c r="D6" s="16">
        <f t="shared" si="1"/>
        <v>41</v>
      </c>
      <c r="E6" s="16">
        <f t="shared" si="1"/>
        <v>51</v>
      </c>
      <c r="F6" s="16">
        <f t="shared" si="1"/>
        <v>44</v>
      </c>
      <c r="G6" s="16">
        <f t="shared" si="1"/>
        <v>41</v>
      </c>
      <c r="H6" s="16">
        <f t="shared" si="1"/>
        <v>33</v>
      </c>
      <c r="I6" s="16">
        <f t="shared" si="1"/>
        <v>22</v>
      </c>
      <c r="J6" s="16">
        <f t="shared" si="1"/>
        <v>33</v>
      </c>
      <c r="K6" s="16">
        <f t="shared" si="1"/>
        <v>29</v>
      </c>
      <c r="L6" s="16">
        <f t="shared" si="1"/>
        <v>28</v>
      </c>
      <c r="M6" s="16">
        <f t="shared" si="1"/>
        <v>45</v>
      </c>
      <c r="N6" s="17" t="s">
        <v>13</v>
      </c>
      <c r="O6" s="2"/>
    </row>
    <row r="7" spans="1:15" x14ac:dyDescent="0.25">
      <c r="A7" s="18" t="s">
        <v>14</v>
      </c>
      <c r="B7" s="16">
        <f t="shared" si="1"/>
        <v>16</v>
      </c>
      <c r="C7" s="16">
        <f t="shared" si="1"/>
        <v>6</v>
      </c>
      <c r="D7" s="16">
        <f t="shared" si="1"/>
        <v>15</v>
      </c>
      <c r="E7" s="16">
        <f t="shared" si="1"/>
        <v>8</v>
      </c>
      <c r="F7" s="16">
        <f t="shared" si="1"/>
        <v>14</v>
      </c>
      <c r="G7" s="16">
        <f t="shared" si="1"/>
        <v>8</v>
      </c>
      <c r="H7" s="16">
        <f t="shared" si="1"/>
        <v>11</v>
      </c>
      <c r="I7" s="16">
        <f t="shared" si="1"/>
        <v>7</v>
      </c>
      <c r="J7" s="16">
        <f t="shared" si="1"/>
        <v>4</v>
      </c>
      <c r="K7" s="16">
        <f t="shared" si="1"/>
        <v>8</v>
      </c>
      <c r="L7" s="16">
        <f t="shared" si="1"/>
        <v>8</v>
      </c>
      <c r="M7" s="16">
        <f t="shared" si="1"/>
        <v>6</v>
      </c>
      <c r="N7" s="17" t="s">
        <v>15</v>
      </c>
      <c r="O7" s="2"/>
    </row>
    <row r="8" spans="1:15" x14ac:dyDescent="0.25">
      <c r="A8" s="18" t="s">
        <v>16</v>
      </c>
      <c r="B8" s="16">
        <f t="shared" si="1"/>
        <v>25</v>
      </c>
      <c r="C8" s="16">
        <f t="shared" si="1"/>
        <v>19</v>
      </c>
      <c r="D8" s="16">
        <f t="shared" si="1"/>
        <v>20</v>
      </c>
      <c r="E8" s="16">
        <f t="shared" si="1"/>
        <v>22</v>
      </c>
      <c r="F8" s="16">
        <f t="shared" si="1"/>
        <v>20</v>
      </c>
      <c r="G8" s="16">
        <f t="shared" si="1"/>
        <v>16</v>
      </c>
      <c r="H8" s="16">
        <f t="shared" si="1"/>
        <v>22</v>
      </c>
      <c r="I8" s="16">
        <f t="shared" si="1"/>
        <v>17</v>
      </c>
      <c r="J8" s="16">
        <f t="shared" si="1"/>
        <v>22</v>
      </c>
      <c r="K8" s="16">
        <f t="shared" si="1"/>
        <v>26</v>
      </c>
      <c r="L8" s="16">
        <f t="shared" si="1"/>
        <v>17</v>
      </c>
      <c r="M8" s="16">
        <f t="shared" si="1"/>
        <v>13</v>
      </c>
      <c r="N8" s="19" t="s">
        <v>17</v>
      </c>
      <c r="O8" s="2"/>
    </row>
    <row r="9" spans="1:15" x14ac:dyDescent="0.25">
      <c r="A9" s="12" t="s">
        <v>3</v>
      </c>
      <c r="B9" s="20">
        <f t="shared" ref="B9:G9" si="2">SUM(B10:B12)</f>
        <v>54</v>
      </c>
      <c r="C9" s="20">
        <f t="shared" si="2"/>
        <v>47</v>
      </c>
      <c r="D9" s="20">
        <f t="shared" si="2"/>
        <v>38</v>
      </c>
      <c r="E9" s="20">
        <f t="shared" si="2"/>
        <v>42</v>
      </c>
      <c r="F9" s="20">
        <f t="shared" si="2"/>
        <v>45</v>
      </c>
      <c r="G9" s="20">
        <f t="shared" si="2"/>
        <v>37</v>
      </c>
      <c r="H9" s="20">
        <f>SUM(H10:H12)</f>
        <v>40</v>
      </c>
      <c r="I9" s="20">
        <f>SUM(I10:I12)</f>
        <v>29</v>
      </c>
      <c r="J9" s="20">
        <f>SUM(J10:J12)</f>
        <v>32</v>
      </c>
      <c r="K9" s="20">
        <v>34</v>
      </c>
      <c r="L9" s="20">
        <v>21</v>
      </c>
      <c r="M9" s="20">
        <f>SUM(M10:M12)</f>
        <v>42</v>
      </c>
      <c r="N9" s="14" t="s">
        <v>0</v>
      </c>
      <c r="O9" s="2"/>
    </row>
    <row r="10" spans="1:15" x14ac:dyDescent="0.25">
      <c r="A10" s="15" t="s">
        <v>12</v>
      </c>
      <c r="B10" s="21">
        <v>33</v>
      </c>
      <c r="C10" s="21">
        <v>26</v>
      </c>
      <c r="D10" s="21">
        <v>22</v>
      </c>
      <c r="E10" s="21">
        <v>25</v>
      </c>
      <c r="F10" s="21">
        <v>25</v>
      </c>
      <c r="G10" s="21">
        <v>23</v>
      </c>
      <c r="H10" s="21">
        <v>19</v>
      </c>
      <c r="I10" s="22">
        <v>14</v>
      </c>
      <c r="J10" s="22">
        <v>21</v>
      </c>
      <c r="K10" s="22">
        <v>21</v>
      </c>
      <c r="L10" s="22">
        <v>9</v>
      </c>
      <c r="M10" s="22">
        <v>29</v>
      </c>
      <c r="N10" s="17" t="s">
        <v>13</v>
      </c>
      <c r="O10" s="2"/>
    </row>
    <row r="11" spans="1:15" x14ac:dyDescent="0.25">
      <c r="A11" s="18" t="s">
        <v>18</v>
      </c>
      <c r="B11" s="21">
        <v>7</v>
      </c>
      <c r="C11" s="21">
        <v>5</v>
      </c>
      <c r="D11" s="21">
        <v>6</v>
      </c>
      <c r="E11" s="21">
        <v>4</v>
      </c>
      <c r="F11" s="21">
        <v>9</v>
      </c>
      <c r="G11" s="21">
        <v>3</v>
      </c>
      <c r="H11" s="21">
        <v>8</v>
      </c>
      <c r="I11" s="22">
        <v>4</v>
      </c>
      <c r="J11" s="22">
        <v>1</v>
      </c>
      <c r="K11" s="22">
        <v>4</v>
      </c>
      <c r="L11" s="22">
        <v>3</v>
      </c>
      <c r="M11" s="22">
        <v>3</v>
      </c>
      <c r="N11" s="19" t="s">
        <v>19</v>
      </c>
      <c r="O11" s="2"/>
    </row>
    <row r="12" spans="1:15" x14ac:dyDescent="0.25">
      <c r="A12" s="18" t="s">
        <v>16</v>
      </c>
      <c r="B12" s="21">
        <v>14</v>
      </c>
      <c r="C12" s="21">
        <v>16</v>
      </c>
      <c r="D12" s="21">
        <v>10</v>
      </c>
      <c r="E12" s="21">
        <v>13</v>
      </c>
      <c r="F12" s="21">
        <v>11</v>
      </c>
      <c r="G12" s="21">
        <v>11</v>
      </c>
      <c r="H12" s="21">
        <v>13</v>
      </c>
      <c r="I12" s="22">
        <v>11</v>
      </c>
      <c r="J12" s="22">
        <v>10</v>
      </c>
      <c r="K12" s="22">
        <v>9</v>
      </c>
      <c r="L12" s="22">
        <v>9</v>
      </c>
      <c r="M12" s="22">
        <v>10</v>
      </c>
      <c r="N12" s="19" t="s">
        <v>17</v>
      </c>
      <c r="O12" s="2"/>
    </row>
    <row r="13" spans="1:15" x14ac:dyDescent="0.25">
      <c r="A13" s="12" t="s">
        <v>4</v>
      </c>
      <c r="B13" s="20">
        <f t="shared" ref="B13:G13" si="3">SUM(B14:B16)</f>
        <v>38</v>
      </c>
      <c r="C13" s="20">
        <f t="shared" si="3"/>
        <v>19</v>
      </c>
      <c r="D13" s="20">
        <f t="shared" si="3"/>
        <v>38</v>
      </c>
      <c r="E13" s="20">
        <f t="shared" si="3"/>
        <v>39</v>
      </c>
      <c r="F13" s="20">
        <f t="shared" si="3"/>
        <v>33</v>
      </c>
      <c r="G13" s="20">
        <f t="shared" si="3"/>
        <v>28</v>
      </c>
      <c r="H13" s="20">
        <f>SUM(H14:H16)</f>
        <v>26</v>
      </c>
      <c r="I13" s="20">
        <f>SUM(I14:I16)</f>
        <v>17</v>
      </c>
      <c r="J13" s="20">
        <f>SUM(J14:J16)</f>
        <v>27</v>
      </c>
      <c r="K13" s="20">
        <v>29</v>
      </c>
      <c r="L13" s="20">
        <v>32</v>
      </c>
      <c r="M13" s="20">
        <f>SUM(M14:M16)</f>
        <v>22</v>
      </c>
      <c r="N13" s="14" t="s">
        <v>1</v>
      </c>
      <c r="O13" s="2"/>
    </row>
    <row r="14" spans="1:15" x14ac:dyDescent="0.25">
      <c r="A14" s="15" t="s">
        <v>12</v>
      </c>
      <c r="B14" s="21">
        <v>18</v>
      </c>
      <c r="C14" s="21">
        <v>15</v>
      </c>
      <c r="D14" s="21">
        <v>19</v>
      </c>
      <c r="E14" s="21">
        <v>26</v>
      </c>
      <c r="F14" s="21">
        <v>19</v>
      </c>
      <c r="G14" s="21">
        <v>18</v>
      </c>
      <c r="H14" s="21">
        <v>14</v>
      </c>
      <c r="I14" s="22">
        <v>8</v>
      </c>
      <c r="J14" s="22">
        <v>12</v>
      </c>
      <c r="K14" s="22">
        <v>8</v>
      </c>
      <c r="L14" s="22">
        <v>19</v>
      </c>
      <c r="M14" s="22">
        <v>16</v>
      </c>
      <c r="N14" s="17" t="s">
        <v>13</v>
      </c>
      <c r="O14" s="2"/>
    </row>
    <row r="15" spans="1:15" x14ac:dyDescent="0.25">
      <c r="A15" s="18" t="s">
        <v>18</v>
      </c>
      <c r="B15" s="21">
        <v>9</v>
      </c>
      <c r="C15" s="21">
        <v>1</v>
      </c>
      <c r="D15" s="21">
        <v>9</v>
      </c>
      <c r="E15" s="21">
        <v>4</v>
      </c>
      <c r="F15" s="21">
        <v>5</v>
      </c>
      <c r="G15" s="21">
        <v>5</v>
      </c>
      <c r="H15" s="21">
        <v>3</v>
      </c>
      <c r="I15" s="22">
        <v>3</v>
      </c>
      <c r="J15" s="22">
        <v>3</v>
      </c>
      <c r="K15" s="22">
        <v>4</v>
      </c>
      <c r="L15" s="22">
        <v>5</v>
      </c>
      <c r="M15" s="22">
        <v>3</v>
      </c>
      <c r="N15" s="19" t="s">
        <v>19</v>
      </c>
      <c r="O15" s="2"/>
    </row>
    <row r="16" spans="1:15" x14ac:dyDescent="0.25">
      <c r="A16" s="23" t="s">
        <v>16</v>
      </c>
      <c r="B16" s="24">
        <v>11</v>
      </c>
      <c r="C16" s="24">
        <v>3</v>
      </c>
      <c r="D16" s="24">
        <v>10</v>
      </c>
      <c r="E16" s="24">
        <v>9</v>
      </c>
      <c r="F16" s="24">
        <v>9</v>
      </c>
      <c r="G16" s="24">
        <v>5</v>
      </c>
      <c r="H16" s="24">
        <v>9</v>
      </c>
      <c r="I16" s="24">
        <v>6</v>
      </c>
      <c r="J16" s="24">
        <v>12</v>
      </c>
      <c r="K16" s="24">
        <v>17</v>
      </c>
      <c r="L16" s="24">
        <v>8</v>
      </c>
      <c r="M16" s="24">
        <v>3</v>
      </c>
      <c r="N16" s="25" t="s">
        <v>17</v>
      </c>
      <c r="O16" s="2"/>
    </row>
    <row r="17" spans="1:15" s="28" customFormat="1" ht="17.25" x14ac:dyDescent="0.45">
      <c r="A17" s="3" t="s">
        <v>5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7" t="s">
        <v>6</v>
      </c>
    </row>
    <row r="18" spans="1:15" s="26" customFormat="1" ht="12.75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O18" s="1"/>
    </row>
    <row r="19" spans="1:15" s="28" customFormat="1" x14ac:dyDescent="0.2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29"/>
    </row>
    <row r="20" spans="1:15" s="28" customFormat="1" x14ac:dyDescent="0.2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29"/>
    </row>
    <row r="21" spans="1:15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5" x14ac:dyDescent="0.25">
      <c r="B22" s="1"/>
    </row>
    <row r="23" spans="1:15" x14ac:dyDescent="0.25">
      <c r="B23" s="1"/>
    </row>
    <row r="24" spans="1:15" x14ac:dyDescent="0.25">
      <c r="B24" s="1"/>
    </row>
    <row r="25" spans="1:15" x14ac:dyDescent="0.25">
      <c r="B25" s="1"/>
    </row>
  </sheetData>
  <mergeCells count="2">
    <mergeCell ref="A1:N1"/>
    <mergeCell ref="A2:N2"/>
  </mergeCells>
  <pageMargins left="0.7" right="0.7" top="0.75" bottom="0.75" header="0.3" footer="0.3"/>
  <pageSetup paperSize="9" scale="90" orientation="landscape" r:id="rId1"/>
  <colBreaks count="1" manualBreakCount="1">
    <brk id="15" max="2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3.11</vt:lpstr>
      <vt:lpstr>'3.11'!Print_Area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2019-07-31T06:28:32Z</cp:lastPrinted>
  <dcterms:created xsi:type="dcterms:W3CDTF">2019-07-22T06:02:33Z</dcterms:created>
  <dcterms:modified xsi:type="dcterms:W3CDTF">2019-07-31T06:28:39Z</dcterms:modified>
</cp:coreProperties>
</file>