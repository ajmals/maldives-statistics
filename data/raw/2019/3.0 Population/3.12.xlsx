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2" sheetId="12" r:id="rId1"/>
  </sheets>
  <externalReferences>
    <externalReference r:id="rId2"/>
    <externalReference r:id="rId3"/>
    <externalReference r:id="rId4"/>
  </externalReferences>
  <definedNames>
    <definedName name="_xlnm.Print_Area" localSheetId="0">'3.12'!$A$1:$S$30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2" l="1"/>
  <c r="C19" i="12"/>
  <c r="C18" i="12"/>
  <c r="B19" i="12"/>
  <c r="N26" i="12" l="1"/>
  <c r="J26" i="12"/>
  <c r="F26" i="12"/>
  <c r="D26" i="12"/>
  <c r="C26" i="12"/>
  <c r="B26" i="12"/>
  <c r="N25" i="12"/>
  <c r="J25" i="12"/>
  <c r="F25" i="12"/>
  <c r="D25" i="12"/>
  <c r="B25" i="12" s="1"/>
  <c r="C25" i="12"/>
  <c r="N24" i="12"/>
  <c r="J24" i="12"/>
  <c r="F24" i="12"/>
  <c r="D24" i="12"/>
  <c r="B24" i="12" s="1"/>
  <c r="C24" i="12"/>
  <c r="N23" i="12"/>
  <c r="J23" i="12"/>
  <c r="F23" i="12"/>
  <c r="D23" i="12"/>
  <c r="C23" i="12"/>
  <c r="B23" i="12" s="1"/>
  <c r="N22" i="12"/>
  <c r="J22" i="12"/>
  <c r="F22" i="12"/>
  <c r="D22" i="12"/>
  <c r="B22" i="12" s="1"/>
  <c r="C22" i="12"/>
  <c r="N21" i="12"/>
  <c r="J21" i="12"/>
  <c r="F21" i="12"/>
  <c r="D21" i="12"/>
  <c r="B21" i="12" s="1"/>
  <c r="C21" i="12"/>
  <c r="N20" i="12"/>
  <c r="J20" i="12"/>
  <c r="F20" i="12"/>
  <c r="D20" i="12"/>
  <c r="B20" i="12"/>
  <c r="N19" i="12"/>
  <c r="J19" i="12"/>
  <c r="F19" i="12"/>
  <c r="D19" i="12"/>
  <c r="N18" i="12"/>
  <c r="J18" i="12"/>
  <c r="F18" i="12"/>
  <c r="D18" i="12"/>
  <c r="B18" i="12"/>
  <c r="N17" i="12"/>
  <c r="J17" i="12"/>
  <c r="F17" i="12"/>
  <c r="D17" i="12"/>
  <c r="C17" i="12"/>
  <c r="N16" i="12"/>
  <c r="J16" i="12"/>
  <c r="F16" i="12"/>
  <c r="D16" i="12"/>
  <c r="B16" i="12" s="1"/>
  <c r="C16" i="12"/>
  <c r="N15" i="12"/>
  <c r="J15" i="12"/>
  <c r="F15" i="12"/>
  <c r="D15" i="12"/>
  <c r="C15" i="12"/>
  <c r="B15" i="12" s="1"/>
  <c r="N14" i="12"/>
  <c r="J14" i="12"/>
  <c r="F14" i="12"/>
  <c r="D14" i="12"/>
  <c r="C14" i="12"/>
  <c r="B14" i="12"/>
  <c r="N13" i="12"/>
  <c r="J13" i="12"/>
  <c r="F13" i="12"/>
  <c r="D13" i="12"/>
  <c r="B13" i="12" s="1"/>
  <c r="C13" i="12"/>
  <c r="N12" i="12"/>
  <c r="J12" i="12"/>
  <c r="F12" i="12"/>
  <c r="D12" i="12"/>
  <c r="C12" i="12"/>
  <c r="P11" i="12"/>
  <c r="O11" i="12"/>
  <c r="N11" i="12" s="1"/>
  <c r="L11" i="12"/>
  <c r="K11" i="12"/>
  <c r="J11" i="12" s="1"/>
  <c r="H11" i="12"/>
  <c r="G11" i="12"/>
  <c r="G7" i="12" s="1"/>
  <c r="N10" i="12"/>
  <c r="J10" i="12"/>
  <c r="F10" i="12"/>
  <c r="D10" i="12"/>
  <c r="B10" i="12" s="1"/>
  <c r="C10" i="12"/>
  <c r="N9" i="12"/>
  <c r="J9" i="12"/>
  <c r="F9" i="12"/>
  <c r="D9" i="12"/>
  <c r="C9" i="12"/>
  <c r="N8" i="12"/>
  <c r="J8" i="12"/>
  <c r="F8" i="12"/>
  <c r="D8" i="12"/>
  <c r="C8" i="12"/>
  <c r="B8" i="12" s="1"/>
  <c r="R7" i="12"/>
  <c r="P7" i="12"/>
  <c r="O7" i="12"/>
  <c r="L7" i="12"/>
  <c r="K7" i="12"/>
  <c r="J7" i="12" s="1"/>
  <c r="H7" i="12"/>
  <c r="D7" i="12" s="1"/>
  <c r="N7" i="12" l="1"/>
  <c r="B9" i="12"/>
  <c r="B12" i="12"/>
  <c r="B17" i="12"/>
  <c r="D11" i="12"/>
  <c r="F7" i="12"/>
  <c r="C7" i="12"/>
  <c r="B7" i="12" s="1"/>
  <c r="C11" i="12"/>
  <c r="F11" i="12"/>
  <c r="B11" i="12" l="1"/>
</calcChain>
</file>

<file path=xl/sharedStrings.xml><?xml version="1.0" encoding="utf-8"?>
<sst xmlns="http://schemas.openxmlformats.org/spreadsheetml/2006/main" count="57" uniqueCount="38">
  <si>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</si>
  <si>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</si>
  <si>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</si>
  <si>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</si>
  <si>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</si>
  <si>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</si>
  <si>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</si>
  <si>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</si>
  <si>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</si>
  <si>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</si>
  <si>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</si>
  <si>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</si>
  <si>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</si>
  <si>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</si>
  <si>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</si>
  <si>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</si>
  <si>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</si>
  <si>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</si>
  <si>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</si>
  <si>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Abroad</t>
  </si>
  <si>
    <t xml:space="preserve">Source: Ministry of Health </t>
  </si>
  <si>
    <t xml:space="preserve">މަޢުލޫމާތު ދެއްވީ: މިނިސްޓްރީ އޮފް ހެލްތު </t>
  </si>
  <si>
    <t>Less than 7 days</t>
  </si>
  <si>
    <t>7 - 27 days</t>
  </si>
  <si>
    <t>ތާވަލު 3.12: މާލެއާއި، ރާއްޖެ އަދި ރާއްޖޭންބޭރުގައި މަރުވި މީހުންގެ ޢަދަދު، ޖިންސާއި ޢުމުރުގެ ގޮތުން، 2017</t>
  </si>
  <si>
    <t>Table 3.12 :   DEATHS BY AGE AND SEX, BY MAJOR ADMINISTRATIVE UNITS, 2017</t>
  </si>
  <si>
    <t>Age Groups</t>
  </si>
  <si>
    <t>Not Stated</t>
  </si>
  <si>
    <t>Both  Sexes</t>
  </si>
  <si>
    <t>ދެޖިންސް</t>
  </si>
  <si>
    <t>ފިރިހެން</t>
  </si>
  <si>
    <t>އަންހެން</t>
  </si>
  <si>
    <t>All Ages</t>
  </si>
  <si>
    <t xml:space="preserve">28 - 364 days </t>
  </si>
  <si>
    <t>25 - 29 *</t>
  </si>
  <si>
    <r>
      <t>40 - 44</t>
    </r>
    <r>
      <rPr>
        <vertAlign val="superscript"/>
        <sz val="10"/>
        <rFont val="Calibri"/>
        <family val="2"/>
      </rPr>
      <t>1_/</t>
    </r>
  </si>
  <si>
    <t>70 &amp; Over *</t>
  </si>
  <si>
    <t>Note:  1_/:  Includes 1 male,death atoll /island no tstated (died in Paradise Island resort and death certified at HMH)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</si>
</sst>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b/>
      <sz val="9"/>
      <name val="Faruma"/>
    </font>
    <font>
      <sz val="9"/>
      <name val="Arial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b/>
      <sz val="10"/>
      <name val="Calibri"/>
      <family val="2"/>
      <scheme val="minor"/>
    </font>
    <font>
      <b/>
      <sz val="12"/>
      <color rgb="FFFF0000"/>
      <name val="Tahoma"/>
      <family val="2"/>
    </font>
    <font>
      <sz val="10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hair">
        <color indexed="8"/>
      </bottom>
      <diagonal/>
    </border>
    <border>
      <left style="thin">
        <color indexed="9"/>
      </left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9"/>
      </right>
      <top style="thin">
        <color indexed="64"/>
      </top>
      <bottom style="hair">
        <color indexed="8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 style="thin">
        <color indexed="9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1">
    <xf numFmtId="0" fontId="0" fillId="0" borderId="0"/>
    <xf numFmtId="0" fontId="11" fillId="0" borderId="0"/>
    <xf numFmtId="0" fontId="11" fillId="0" borderId="0"/>
    <xf numFmtId="168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4" fontId="2" fillId="0" borderId="0"/>
  </cellStyleXfs>
  <cellXfs count="74">
    <xf numFmtId="0" fontId="0" fillId="0" borderId="0" xfId="0"/>
    <xf numFmtId="164" fontId="4" fillId="2" borderId="0" xfId="0" applyNumberFormat="1" applyFont="1" applyFill="1" applyAlignment="1">
      <alignment vertical="center"/>
    </xf>
    <xf numFmtId="0" fontId="18" fillId="0" borderId="0" xfId="0" applyFont="1"/>
    <xf numFmtId="164" fontId="11" fillId="2" borderId="0" xfId="0" applyNumberFormat="1" applyFont="1" applyFill="1"/>
    <xf numFmtId="164" fontId="9" fillId="2" borderId="0" xfId="0" applyNumberFormat="1" applyFont="1" applyFill="1" applyAlignment="1" applyProtection="1">
      <alignment horizontal="left" vertical="center"/>
    </xf>
    <xf numFmtId="164" fontId="11" fillId="2" borderId="0" xfId="0" applyNumberFormat="1" applyFont="1" applyFill="1" applyBorder="1"/>
    <xf numFmtId="164" fontId="3" fillId="2" borderId="0" xfId="0" applyNumberFormat="1" applyFont="1" applyFill="1" applyBorder="1" applyAlignment="1" applyProtection="1">
      <alignment horizontal="center" vertical="center"/>
    </xf>
    <xf numFmtId="0" fontId="11" fillId="2" borderId="0" xfId="0" applyFont="1" applyFill="1" applyAlignment="1">
      <alignment vertical="center"/>
    </xf>
    <xf numFmtId="164" fontId="10" fillId="2" borderId="0" xfId="10" applyFont="1" applyFill="1" applyAlignment="1" applyProtection="1">
      <alignment horizontal="right"/>
      <protection hidden="1"/>
    </xf>
    <xf numFmtId="164" fontId="5" fillId="2" borderId="0" xfId="0" applyNumberFormat="1" applyFont="1" applyFill="1" applyAlignment="1">
      <alignment horizontal="center" vertical="center"/>
    </xf>
    <xf numFmtId="164" fontId="13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4" fontId="16" fillId="2" borderId="11" xfId="0" applyNumberFormat="1" applyFont="1" applyFill="1" applyBorder="1" applyAlignment="1" applyProtection="1">
      <alignment horizontal="center" vertical="center"/>
    </xf>
    <xf numFmtId="164" fontId="16" fillId="2" borderId="12" xfId="0" applyNumberFormat="1" applyFont="1" applyFill="1" applyBorder="1" applyAlignment="1" applyProtection="1">
      <alignment horizontal="center" vertical="center"/>
    </xf>
    <xf numFmtId="164" fontId="16" fillId="2" borderId="14" xfId="0" applyNumberFormat="1" applyFont="1" applyFill="1" applyBorder="1" applyAlignment="1" applyProtection="1">
      <alignment horizontal="center" vertical="center"/>
    </xf>
    <xf numFmtId="164" fontId="16" fillId="2" borderId="13" xfId="0" applyNumberFormat="1" applyFont="1" applyFill="1" applyBorder="1" applyAlignment="1" applyProtection="1">
      <alignment horizontal="center" vertical="center"/>
    </xf>
    <xf numFmtId="164" fontId="8" fillId="2" borderId="0" xfId="0" applyNumberFormat="1" applyFont="1" applyFill="1" applyAlignment="1">
      <alignment vertical="center"/>
    </xf>
    <xf numFmtId="164" fontId="16" fillId="2" borderId="16" xfId="0" applyNumberFormat="1" applyFont="1" applyFill="1" applyBorder="1" applyAlignment="1" applyProtection="1">
      <alignment horizontal="right" vertical="center"/>
    </xf>
    <xf numFmtId="164" fontId="16" fillId="2" borderId="17" xfId="0" applyNumberFormat="1" applyFont="1" applyFill="1" applyBorder="1" applyAlignment="1" applyProtection="1">
      <alignment horizontal="right" vertical="center"/>
    </xf>
    <xf numFmtId="164" fontId="16" fillId="2" borderId="17" xfId="0" applyNumberFormat="1" applyFont="1" applyFill="1" applyBorder="1" applyAlignment="1" applyProtection="1">
      <alignment horizontal="right" vertical="center" wrapText="1"/>
    </xf>
    <xf numFmtId="164" fontId="16" fillId="2" borderId="18" xfId="0" applyNumberFormat="1" applyFont="1" applyFill="1" applyBorder="1" applyAlignment="1" applyProtection="1">
      <alignment horizontal="right" vertical="center" wrapText="1"/>
    </xf>
    <xf numFmtId="164" fontId="16" fillId="2" borderId="19" xfId="0" applyNumberFormat="1" applyFont="1" applyFill="1" applyBorder="1" applyAlignment="1" applyProtection="1">
      <alignment horizontal="right" vertical="center" wrapText="1"/>
    </xf>
    <xf numFmtId="164" fontId="16" fillId="2" borderId="18" xfId="0" applyNumberFormat="1" applyFont="1" applyFill="1" applyBorder="1" applyAlignment="1" applyProtection="1">
      <alignment horizontal="right" vertical="center"/>
    </xf>
    <xf numFmtId="164" fontId="11" fillId="2" borderId="17" xfId="0" applyNumberFormat="1" applyFont="1" applyFill="1" applyBorder="1"/>
    <xf numFmtId="164" fontId="6" fillId="2" borderId="21" xfId="0" applyNumberFormat="1" applyFont="1" applyFill="1" applyBorder="1" applyAlignment="1" applyProtection="1">
      <alignment horizontal="right" vertical="center"/>
    </xf>
    <xf numFmtId="164" fontId="6" fillId="2" borderId="21" xfId="0" applyNumberFormat="1" applyFont="1" applyFill="1" applyBorder="1" applyAlignment="1" applyProtection="1">
      <alignment horizontal="right" vertical="center" wrapText="1"/>
    </xf>
    <xf numFmtId="164" fontId="6" fillId="2" borderId="22" xfId="0" applyNumberFormat="1" applyFont="1" applyFill="1" applyBorder="1" applyAlignment="1" applyProtection="1">
      <alignment horizontal="right" vertical="center" wrapText="1"/>
    </xf>
    <xf numFmtId="164" fontId="6" fillId="2" borderId="23" xfId="0" applyNumberFormat="1" applyFont="1" applyFill="1" applyBorder="1" applyAlignment="1" applyProtection="1">
      <alignment horizontal="right" vertical="center" wrapText="1"/>
    </xf>
    <xf numFmtId="164" fontId="6" fillId="2" borderId="22" xfId="0" applyNumberFormat="1" applyFont="1" applyFill="1" applyBorder="1" applyAlignment="1" applyProtection="1">
      <alignment horizontal="right" vertical="center"/>
    </xf>
    <xf numFmtId="164" fontId="19" fillId="2" borderId="0" xfId="0" applyNumberFormat="1" applyFont="1" applyFill="1"/>
    <xf numFmtId="164" fontId="12" fillId="3" borderId="16" xfId="0" applyNumberFormat="1" applyFont="1" applyFill="1" applyBorder="1" applyAlignment="1" applyProtection="1">
      <alignment horizontal="left"/>
    </xf>
    <xf numFmtId="3" fontId="17" fillId="3" borderId="0" xfId="0" applyNumberFormat="1" applyFont="1" applyFill="1" applyBorder="1" applyAlignment="1">
      <alignment horizontal="right" vertical="center"/>
    </xf>
    <xf numFmtId="3" fontId="17" fillId="3" borderId="3" xfId="0" applyNumberFormat="1" applyFont="1" applyFill="1" applyBorder="1" applyAlignment="1">
      <alignment horizontal="right" vertical="center"/>
    </xf>
    <xf numFmtId="3" fontId="17" fillId="3" borderId="5" xfId="0" applyNumberFormat="1" applyFont="1" applyFill="1" applyBorder="1" applyAlignment="1">
      <alignment horizontal="right" vertical="center"/>
    </xf>
    <xf numFmtId="164" fontId="11" fillId="3" borderId="0" xfId="0" applyNumberFormat="1" applyFont="1" applyFill="1"/>
    <xf numFmtId="3" fontId="22" fillId="3" borderId="0" xfId="0" applyNumberFormat="1" applyFont="1" applyFill="1" applyBorder="1" applyAlignment="1">
      <alignment horizontal="right" vertical="center"/>
    </xf>
    <xf numFmtId="3" fontId="22" fillId="3" borderId="3" xfId="0" applyNumberFormat="1" applyFont="1" applyFill="1" applyBorder="1" applyAlignment="1">
      <alignment horizontal="right" vertical="center"/>
    </xf>
    <xf numFmtId="3" fontId="22" fillId="3" borderId="5" xfId="0" applyNumberFormat="1" applyFont="1" applyFill="1" applyBorder="1" applyAlignment="1" applyProtection="1">
      <alignment horizontal="right" vertical="center"/>
      <protection locked="0"/>
    </xf>
    <xf numFmtId="3" fontId="22" fillId="3" borderId="0" xfId="0" applyNumberFormat="1" applyFont="1" applyFill="1" applyBorder="1" applyAlignment="1" applyProtection="1">
      <alignment horizontal="right" vertical="center"/>
      <protection locked="0"/>
    </xf>
    <xf numFmtId="3" fontId="22" fillId="3" borderId="5" xfId="0" applyNumberFormat="1" applyFont="1" applyFill="1" applyBorder="1" applyAlignment="1">
      <alignment horizontal="right" vertical="center"/>
    </xf>
    <xf numFmtId="164" fontId="14" fillId="2" borderId="24" xfId="0" quotePrefix="1" applyNumberFormat="1" applyFont="1" applyFill="1" applyBorder="1" applyAlignment="1" applyProtection="1">
      <alignment horizontal="left"/>
    </xf>
    <xf numFmtId="3" fontId="17" fillId="3" borderId="1" xfId="0" applyNumberFormat="1" applyFont="1" applyFill="1" applyBorder="1" applyAlignment="1">
      <alignment horizontal="right" vertical="center"/>
    </xf>
    <xf numFmtId="3" fontId="22" fillId="3" borderId="1" xfId="0" applyNumberFormat="1" applyFont="1" applyFill="1" applyBorder="1" applyAlignment="1">
      <alignment horizontal="right" vertical="center"/>
    </xf>
    <xf numFmtId="3" fontId="22" fillId="3" borderId="4" xfId="0" applyNumberFormat="1" applyFont="1" applyFill="1" applyBorder="1" applyAlignment="1">
      <alignment horizontal="right" vertical="center"/>
    </xf>
    <xf numFmtId="3" fontId="22" fillId="3" borderId="7" xfId="0" applyNumberFormat="1" applyFont="1" applyFill="1" applyBorder="1" applyAlignment="1" applyProtection="1">
      <alignment horizontal="right" vertical="center"/>
      <protection locked="0"/>
    </xf>
    <xf numFmtId="3" fontId="22" fillId="3" borderId="1" xfId="0" applyNumberFormat="1" applyFont="1" applyFill="1" applyBorder="1" applyAlignment="1" applyProtection="1">
      <alignment horizontal="right" vertical="center"/>
      <protection locked="0"/>
    </xf>
    <xf numFmtId="3" fontId="17" fillId="3" borderId="4" xfId="0" applyNumberFormat="1" applyFont="1" applyFill="1" applyBorder="1" applyAlignment="1">
      <alignment horizontal="right" vertical="center"/>
    </xf>
    <xf numFmtId="3" fontId="22" fillId="3" borderId="7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vertical="center"/>
    </xf>
    <xf numFmtId="164" fontId="21" fillId="3" borderId="2" xfId="0" applyNumberFormat="1" applyFont="1" applyFill="1" applyBorder="1" applyAlignment="1">
      <alignment horizontal="right" vertical="center"/>
    </xf>
    <xf numFmtId="164" fontId="20" fillId="3" borderId="0" xfId="0" applyNumberFormat="1" applyFont="1" applyFill="1" applyBorder="1" applyAlignment="1" applyProtection="1">
      <alignment horizontal="center" vertical="center"/>
    </xf>
    <xf numFmtId="164" fontId="11" fillId="3" borderId="0" xfId="0" applyNumberFormat="1" applyFont="1" applyFill="1" applyBorder="1"/>
    <xf numFmtId="164" fontId="20" fillId="3" borderId="0" xfId="0" applyNumberFormat="1" applyFont="1" applyFill="1" applyBorder="1" applyAlignment="1" applyProtection="1">
      <alignment horizontal="left" vertical="center"/>
    </xf>
    <xf numFmtId="164" fontId="20" fillId="3" borderId="0" xfId="0" applyNumberFormat="1" applyFont="1" applyFill="1" applyBorder="1" applyAlignment="1" applyProtection="1">
      <alignment horizontal="right" vertical="center"/>
    </xf>
    <xf numFmtId="164" fontId="20" fillId="3" borderId="0" xfId="0" applyNumberFormat="1" applyFont="1" applyFill="1" applyBorder="1" applyAlignment="1" applyProtection="1">
      <alignment horizontal="right" vertical="center" wrapText="1"/>
    </xf>
    <xf numFmtId="164" fontId="20" fillId="3" borderId="0" xfId="0" applyNumberFormat="1" applyFont="1" applyFill="1" applyBorder="1" applyAlignment="1" applyProtection="1">
      <alignment horizontal="center" vertical="center" wrapText="1"/>
    </xf>
    <xf numFmtId="164" fontId="12" fillId="3" borderId="0" xfId="0" applyNumberFormat="1" applyFont="1" applyFill="1" applyBorder="1" applyAlignment="1" applyProtection="1">
      <alignment horizontal="left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20" fillId="3" borderId="0" xfId="0" applyNumberFormat="1" applyFont="1" applyFill="1" applyBorder="1" applyAlignment="1" applyProtection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6" fillId="2" borderId="8" xfId="0" applyNumberFormat="1" applyFont="1" applyFill="1" applyBorder="1" applyAlignment="1" applyProtection="1">
      <alignment horizontal="left" vertical="center"/>
    </xf>
    <xf numFmtId="164" fontId="16" fillId="2" borderId="15" xfId="0" applyNumberFormat="1" applyFont="1" applyFill="1" applyBorder="1" applyAlignment="1" applyProtection="1">
      <alignment horizontal="left" vertical="center"/>
    </xf>
    <xf numFmtId="164" fontId="16" fillId="2" borderId="20" xfId="0" applyNumberFormat="1" applyFont="1" applyFill="1" applyBorder="1" applyAlignment="1" applyProtection="1">
      <alignment horizontal="left" vertical="center"/>
    </xf>
    <xf numFmtId="164" fontId="16" fillId="2" borderId="9" xfId="0" applyNumberFormat="1" applyFont="1" applyFill="1" applyBorder="1" applyAlignment="1" applyProtection="1">
      <alignment horizontal="center" vertical="center"/>
    </xf>
    <xf numFmtId="164" fontId="16" fillId="2" borderId="10" xfId="0" applyNumberFormat="1" applyFont="1" applyFill="1" applyBorder="1" applyAlignment="1" applyProtection="1">
      <alignment horizontal="center" vertical="center"/>
    </xf>
    <xf numFmtId="164" fontId="16" fillId="2" borderId="13" xfId="0" applyNumberFormat="1" applyFont="1" applyFill="1" applyBorder="1" applyAlignment="1" applyProtection="1">
      <alignment horizontal="center" vertical="center"/>
    </xf>
    <xf numFmtId="164" fontId="16" fillId="2" borderId="11" xfId="0" applyNumberFormat="1" applyFont="1" applyFill="1" applyBorder="1" applyAlignment="1" applyProtection="1">
      <alignment horizontal="center" vertical="center"/>
    </xf>
    <xf numFmtId="164" fontId="8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/>
    <xf numFmtId="0" fontId="11" fillId="2" borderId="0" xfId="0" applyFont="1" applyFill="1" applyBorder="1" applyAlignment="1">
      <alignment vertical="center"/>
    </xf>
    <xf numFmtId="164" fontId="14" fillId="3" borderId="6" xfId="0" applyNumberFormat="1" applyFont="1" applyFill="1" applyBorder="1" applyAlignment="1" applyProtection="1">
      <alignment horizontal="left" indent="1"/>
    </xf>
    <xf numFmtId="164" fontId="14" fillId="3" borderId="6" xfId="0" applyNumberFormat="1" applyFont="1" applyFill="1" applyBorder="1" applyAlignment="1" applyProtection="1">
      <alignment horizontal="left" vertical="center" indent="1"/>
    </xf>
    <xf numFmtId="164" fontId="14" fillId="3" borderId="6" xfId="0" quotePrefix="1" applyNumberFormat="1" applyFont="1" applyFill="1" applyBorder="1" applyAlignment="1" applyProtection="1">
      <alignment horizontal="left" indent="1"/>
    </xf>
    <xf numFmtId="164" fontId="14" fillId="2" borderId="6" xfId="0" quotePrefix="1" applyNumberFormat="1" applyFont="1" applyFill="1" applyBorder="1" applyAlignment="1" applyProtection="1">
      <alignment horizontal="left" indent="1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topLeftCell="A2" zoomScaleNormal="100" workbookViewId="0">
      <selection activeCell="S37" sqref="S37"/>
    </sheetView>
  </sheetViews>
  <sheetFormatPr defaultColWidth="11.140625" defaultRowHeight="12.75" x14ac:dyDescent="0.2"/>
  <cols>
    <col min="1" max="1" width="19.42578125" style="3" customWidth="1"/>
    <col min="2" max="2" width="8.42578125" style="3" customWidth="1"/>
    <col min="3" max="4" width="8" style="3" customWidth="1"/>
    <col min="5" max="5" width="2.42578125" style="3" customWidth="1"/>
    <col min="6" max="6" width="8" style="3" customWidth="1"/>
    <col min="7" max="7" width="8.5703125" style="3" customWidth="1"/>
    <col min="8" max="8" width="8" style="3" customWidth="1"/>
    <col min="9" max="9" width="2.42578125" style="3" customWidth="1"/>
    <col min="10" max="10" width="9" style="3" customWidth="1"/>
    <col min="11" max="12" width="8" style="3" customWidth="1"/>
    <col min="13" max="13" width="2.42578125" style="3" customWidth="1"/>
    <col min="14" max="14" width="9.28515625" style="3" customWidth="1"/>
    <col min="15" max="16" width="8" style="3" customWidth="1"/>
    <col min="17" max="17" width="1.28515625" style="3" customWidth="1"/>
    <col min="18" max="18" width="9" style="3" customWidth="1"/>
    <col min="19" max="19" width="4.7109375" style="3" customWidth="1"/>
    <col min="20" max="256" width="11.140625" style="3"/>
    <col min="257" max="257" width="19.42578125" style="3" customWidth="1"/>
    <col min="258" max="258" width="8.7109375" style="3" customWidth="1"/>
    <col min="259" max="260" width="8" style="3" customWidth="1"/>
    <col min="261" max="261" width="2.42578125" style="3" customWidth="1"/>
    <col min="262" max="262" width="8" style="3" customWidth="1"/>
    <col min="263" max="263" width="8.5703125" style="3" customWidth="1"/>
    <col min="264" max="264" width="8" style="3" customWidth="1"/>
    <col min="265" max="265" width="2.42578125" style="3" customWidth="1"/>
    <col min="266" max="266" width="9" style="3" customWidth="1"/>
    <col min="267" max="268" width="8" style="3" customWidth="1"/>
    <col min="269" max="269" width="2.42578125" style="3" customWidth="1"/>
    <col min="270" max="270" width="9.28515625" style="3" customWidth="1"/>
    <col min="271" max="272" width="8" style="3" customWidth="1"/>
    <col min="273" max="273" width="1.28515625" style="3" customWidth="1"/>
    <col min="274" max="274" width="8" style="3" customWidth="1"/>
    <col min="275" max="512" width="11.140625" style="3"/>
    <col min="513" max="513" width="19.42578125" style="3" customWidth="1"/>
    <col min="514" max="514" width="8.7109375" style="3" customWidth="1"/>
    <col min="515" max="516" width="8" style="3" customWidth="1"/>
    <col min="517" max="517" width="2.42578125" style="3" customWidth="1"/>
    <col min="518" max="518" width="8" style="3" customWidth="1"/>
    <col min="519" max="519" width="8.5703125" style="3" customWidth="1"/>
    <col min="520" max="520" width="8" style="3" customWidth="1"/>
    <col min="521" max="521" width="2.42578125" style="3" customWidth="1"/>
    <col min="522" max="522" width="9" style="3" customWidth="1"/>
    <col min="523" max="524" width="8" style="3" customWidth="1"/>
    <col min="525" max="525" width="2.42578125" style="3" customWidth="1"/>
    <col min="526" max="526" width="9.28515625" style="3" customWidth="1"/>
    <col min="527" max="528" width="8" style="3" customWidth="1"/>
    <col min="529" max="529" width="1.28515625" style="3" customWidth="1"/>
    <col min="530" max="530" width="8" style="3" customWidth="1"/>
    <col min="531" max="768" width="11.140625" style="3"/>
    <col min="769" max="769" width="19.42578125" style="3" customWidth="1"/>
    <col min="770" max="770" width="8.7109375" style="3" customWidth="1"/>
    <col min="771" max="772" width="8" style="3" customWidth="1"/>
    <col min="773" max="773" width="2.42578125" style="3" customWidth="1"/>
    <col min="774" max="774" width="8" style="3" customWidth="1"/>
    <col min="775" max="775" width="8.5703125" style="3" customWidth="1"/>
    <col min="776" max="776" width="8" style="3" customWidth="1"/>
    <col min="777" max="777" width="2.42578125" style="3" customWidth="1"/>
    <col min="778" max="778" width="9" style="3" customWidth="1"/>
    <col min="779" max="780" width="8" style="3" customWidth="1"/>
    <col min="781" max="781" width="2.42578125" style="3" customWidth="1"/>
    <col min="782" max="782" width="9.28515625" style="3" customWidth="1"/>
    <col min="783" max="784" width="8" style="3" customWidth="1"/>
    <col min="785" max="785" width="1.28515625" style="3" customWidth="1"/>
    <col min="786" max="786" width="8" style="3" customWidth="1"/>
    <col min="787" max="1024" width="11.140625" style="3"/>
    <col min="1025" max="1025" width="19.42578125" style="3" customWidth="1"/>
    <col min="1026" max="1026" width="8.7109375" style="3" customWidth="1"/>
    <col min="1027" max="1028" width="8" style="3" customWidth="1"/>
    <col min="1029" max="1029" width="2.42578125" style="3" customWidth="1"/>
    <col min="1030" max="1030" width="8" style="3" customWidth="1"/>
    <col min="1031" max="1031" width="8.5703125" style="3" customWidth="1"/>
    <col min="1032" max="1032" width="8" style="3" customWidth="1"/>
    <col min="1033" max="1033" width="2.42578125" style="3" customWidth="1"/>
    <col min="1034" max="1034" width="9" style="3" customWidth="1"/>
    <col min="1035" max="1036" width="8" style="3" customWidth="1"/>
    <col min="1037" max="1037" width="2.42578125" style="3" customWidth="1"/>
    <col min="1038" max="1038" width="9.28515625" style="3" customWidth="1"/>
    <col min="1039" max="1040" width="8" style="3" customWidth="1"/>
    <col min="1041" max="1041" width="1.28515625" style="3" customWidth="1"/>
    <col min="1042" max="1042" width="8" style="3" customWidth="1"/>
    <col min="1043" max="1280" width="11.140625" style="3"/>
    <col min="1281" max="1281" width="19.42578125" style="3" customWidth="1"/>
    <col min="1282" max="1282" width="8.7109375" style="3" customWidth="1"/>
    <col min="1283" max="1284" width="8" style="3" customWidth="1"/>
    <col min="1285" max="1285" width="2.42578125" style="3" customWidth="1"/>
    <col min="1286" max="1286" width="8" style="3" customWidth="1"/>
    <col min="1287" max="1287" width="8.5703125" style="3" customWidth="1"/>
    <col min="1288" max="1288" width="8" style="3" customWidth="1"/>
    <col min="1289" max="1289" width="2.42578125" style="3" customWidth="1"/>
    <col min="1290" max="1290" width="9" style="3" customWidth="1"/>
    <col min="1291" max="1292" width="8" style="3" customWidth="1"/>
    <col min="1293" max="1293" width="2.42578125" style="3" customWidth="1"/>
    <col min="1294" max="1294" width="9.28515625" style="3" customWidth="1"/>
    <col min="1295" max="1296" width="8" style="3" customWidth="1"/>
    <col min="1297" max="1297" width="1.28515625" style="3" customWidth="1"/>
    <col min="1298" max="1298" width="8" style="3" customWidth="1"/>
    <col min="1299" max="1536" width="11.140625" style="3"/>
    <col min="1537" max="1537" width="19.42578125" style="3" customWidth="1"/>
    <col min="1538" max="1538" width="8.7109375" style="3" customWidth="1"/>
    <col min="1539" max="1540" width="8" style="3" customWidth="1"/>
    <col min="1541" max="1541" width="2.42578125" style="3" customWidth="1"/>
    <col min="1542" max="1542" width="8" style="3" customWidth="1"/>
    <col min="1543" max="1543" width="8.5703125" style="3" customWidth="1"/>
    <col min="1544" max="1544" width="8" style="3" customWidth="1"/>
    <col min="1545" max="1545" width="2.42578125" style="3" customWidth="1"/>
    <col min="1546" max="1546" width="9" style="3" customWidth="1"/>
    <col min="1547" max="1548" width="8" style="3" customWidth="1"/>
    <col min="1549" max="1549" width="2.42578125" style="3" customWidth="1"/>
    <col min="1550" max="1550" width="9.28515625" style="3" customWidth="1"/>
    <col min="1551" max="1552" width="8" style="3" customWidth="1"/>
    <col min="1553" max="1553" width="1.28515625" style="3" customWidth="1"/>
    <col min="1554" max="1554" width="8" style="3" customWidth="1"/>
    <col min="1555" max="1792" width="11.140625" style="3"/>
    <col min="1793" max="1793" width="19.42578125" style="3" customWidth="1"/>
    <col min="1794" max="1794" width="8.7109375" style="3" customWidth="1"/>
    <col min="1795" max="1796" width="8" style="3" customWidth="1"/>
    <col min="1797" max="1797" width="2.42578125" style="3" customWidth="1"/>
    <col min="1798" max="1798" width="8" style="3" customWidth="1"/>
    <col min="1799" max="1799" width="8.5703125" style="3" customWidth="1"/>
    <col min="1800" max="1800" width="8" style="3" customWidth="1"/>
    <col min="1801" max="1801" width="2.42578125" style="3" customWidth="1"/>
    <col min="1802" max="1802" width="9" style="3" customWidth="1"/>
    <col min="1803" max="1804" width="8" style="3" customWidth="1"/>
    <col min="1805" max="1805" width="2.42578125" style="3" customWidth="1"/>
    <col min="1806" max="1806" width="9.28515625" style="3" customWidth="1"/>
    <col min="1807" max="1808" width="8" style="3" customWidth="1"/>
    <col min="1809" max="1809" width="1.28515625" style="3" customWidth="1"/>
    <col min="1810" max="1810" width="8" style="3" customWidth="1"/>
    <col min="1811" max="2048" width="11.140625" style="3"/>
    <col min="2049" max="2049" width="19.42578125" style="3" customWidth="1"/>
    <col min="2050" max="2050" width="8.7109375" style="3" customWidth="1"/>
    <col min="2051" max="2052" width="8" style="3" customWidth="1"/>
    <col min="2053" max="2053" width="2.42578125" style="3" customWidth="1"/>
    <col min="2054" max="2054" width="8" style="3" customWidth="1"/>
    <col min="2055" max="2055" width="8.5703125" style="3" customWidth="1"/>
    <col min="2056" max="2056" width="8" style="3" customWidth="1"/>
    <col min="2057" max="2057" width="2.42578125" style="3" customWidth="1"/>
    <col min="2058" max="2058" width="9" style="3" customWidth="1"/>
    <col min="2059" max="2060" width="8" style="3" customWidth="1"/>
    <col min="2061" max="2061" width="2.42578125" style="3" customWidth="1"/>
    <col min="2062" max="2062" width="9.28515625" style="3" customWidth="1"/>
    <col min="2063" max="2064" width="8" style="3" customWidth="1"/>
    <col min="2065" max="2065" width="1.28515625" style="3" customWidth="1"/>
    <col min="2066" max="2066" width="8" style="3" customWidth="1"/>
    <col min="2067" max="2304" width="11.140625" style="3"/>
    <col min="2305" max="2305" width="19.42578125" style="3" customWidth="1"/>
    <col min="2306" max="2306" width="8.7109375" style="3" customWidth="1"/>
    <col min="2307" max="2308" width="8" style="3" customWidth="1"/>
    <col min="2309" max="2309" width="2.42578125" style="3" customWidth="1"/>
    <col min="2310" max="2310" width="8" style="3" customWidth="1"/>
    <col min="2311" max="2311" width="8.5703125" style="3" customWidth="1"/>
    <col min="2312" max="2312" width="8" style="3" customWidth="1"/>
    <col min="2313" max="2313" width="2.42578125" style="3" customWidth="1"/>
    <col min="2314" max="2314" width="9" style="3" customWidth="1"/>
    <col min="2315" max="2316" width="8" style="3" customWidth="1"/>
    <col min="2317" max="2317" width="2.42578125" style="3" customWidth="1"/>
    <col min="2318" max="2318" width="9.28515625" style="3" customWidth="1"/>
    <col min="2319" max="2320" width="8" style="3" customWidth="1"/>
    <col min="2321" max="2321" width="1.28515625" style="3" customWidth="1"/>
    <col min="2322" max="2322" width="8" style="3" customWidth="1"/>
    <col min="2323" max="2560" width="11.140625" style="3"/>
    <col min="2561" max="2561" width="19.42578125" style="3" customWidth="1"/>
    <col min="2562" max="2562" width="8.7109375" style="3" customWidth="1"/>
    <col min="2563" max="2564" width="8" style="3" customWidth="1"/>
    <col min="2565" max="2565" width="2.42578125" style="3" customWidth="1"/>
    <col min="2566" max="2566" width="8" style="3" customWidth="1"/>
    <col min="2567" max="2567" width="8.5703125" style="3" customWidth="1"/>
    <col min="2568" max="2568" width="8" style="3" customWidth="1"/>
    <col min="2569" max="2569" width="2.42578125" style="3" customWidth="1"/>
    <col min="2570" max="2570" width="9" style="3" customWidth="1"/>
    <col min="2571" max="2572" width="8" style="3" customWidth="1"/>
    <col min="2573" max="2573" width="2.42578125" style="3" customWidth="1"/>
    <col min="2574" max="2574" width="9.28515625" style="3" customWidth="1"/>
    <col min="2575" max="2576" width="8" style="3" customWidth="1"/>
    <col min="2577" max="2577" width="1.28515625" style="3" customWidth="1"/>
    <col min="2578" max="2578" width="8" style="3" customWidth="1"/>
    <col min="2579" max="2816" width="11.140625" style="3"/>
    <col min="2817" max="2817" width="19.42578125" style="3" customWidth="1"/>
    <col min="2818" max="2818" width="8.7109375" style="3" customWidth="1"/>
    <col min="2819" max="2820" width="8" style="3" customWidth="1"/>
    <col min="2821" max="2821" width="2.42578125" style="3" customWidth="1"/>
    <col min="2822" max="2822" width="8" style="3" customWidth="1"/>
    <col min="2823" max="2823" width="8.5703125" style="3" customWidth="1"/>
    <col min="2824" max="2824" width="8" style="3" customWidth="1"/>
    <col min="2825" max="2825" width="2.42578125" style="3" customWidth="1"/>
    <col min="2826" max="2826" width="9" style="3" customWidth="1"/>
    <col min="2827" max="2828" width="8" style="3" customWidth="1"/>
    <col min="2829" max="2829" width="2.42578125" style="3" customWidth="1"/>
    <col min="2830" max="2830" width="9.28515625" style="3" customWidth="1"/>
    <col min="2831" max="2832" width="8" style="3" customWidth="1"/>
    <col min="2833" max="2833" width="1.28515625" style="3" customWidth="1"/>
    <col min="2834" max="2834" width="8" style="3" customWidth="1"/>
    <col min="2835" max="3072" width="11.140625" style="3"/>
    <col min="3073" max="3073" width="19.42578125" style="3" customWidth="1"/>
    <col min="3074" max="3074" width="8.7109375" style="3" customWidth="1"/>
    <col min="3075" max="3076" width="8" style="3" customWidth="1"/>
    <col min="3077" max="3077" width="2.42578125" style="3" customWidth="1"/>
    <col min="3078" max="3078" width="8" style="3" customWidth="1"/>
    <col min="3079" max="3079" width="8.5703125" style="3" customWidth="1"/>
    <col min="3080" max="3080" width="8" style="3" customWidth="1"/>
    <col min="3081" max="3081" width="2.42578125" style="3" customWidth="1"/>
    <col min="3082" max="3082" width="9" style="3" customWidth="1"/>
    <col min="3083" max="3084" width="8" style="3" customWidth="1"/>
    <col min="3085" max="3085" width="2.42578125" style="3" customWidth="1"/>
    <col min="3086" max="3086" width="9.28515625" style="3" customWidth="1"/>
    <col min="3087" max="3088" width="8" style="3" customWidth="1"/>
    <col min="3089" max="3089" width="1.28515625" style="3" customWidth="1"/>
    <col min="3090" max="3090" width="8" style="3" customWidth="1"/>
    <col min="3091" max="3328" width="11.140625" style="3"/>
    <col min="3329" max="3329" width="19.42578125" style="3" customWidth="1"/>
    <col min="3330" max="3330" width="8.7109375" style="3" customWidth="1"/>
    <col min="3331" max="3332" width="8" style="3" customWidth="1"/>
    <col min="3333" max="3333" width="2.42578125" style="3" customWidth="1"/>
    <col min="3334" max="3334" width="8" style="3" customWidth="1"/>
    <col min="3335" max="3335" width="8.5703125" style="3" customWidth="1"/>
    <col min="3336" max="3336" width="8" style="3" customWidth="1"/>
    <col min="3337" max="3337" width="2.42578125" style="3" customWidth="1"/>
    <col min="3338" max="3338" width="9" style="3" customWidth="1"/>
    <col min="3339" max="3340" width="8" style="3" customWidth="1"/>
    <col min="3341" max="3341" width="2.42578125" style="3" customWidth="1"/>
    <col min="3342" max="3342" width="9.28515625" style="3" customWidth="1"/>
    <col min="3343" max="3344" width="8" style="3" customWidth="1"/>
    <col min="3345" max="3345" width="1.28515625" style="3" customWidth="1"/>
    <col min="3346" max="3346" width="8" style="3" customWidth="1"/>
    <col min="3347" max="3584" width="11.140625" style="3"/>
    <col min="3585" max="3585" width="19.42578125" style="3" customWidth="1"/>
    <col min="3586" max="3586" width="8.7109375" style="3" customWidth="1"/>
    <col min="3587" max="3588" width="8" style="3" customWidth="1"/>
    <col min="3589" max="3589" width="2.42578125" style="3" customWidth="1"/>
    <col min="3590" max="3590" width="8" style="3" customWidth="1"/>
    <col min="3591" max="3591" width="8.5703125" style="3" customWidth="1"/>
    <col min="3592" max="3592" width="8" style="3" customWidth="1"/>
    <col min="3593" max="3593" width="2.42578125" style="3" customWidth="1"/>
    <col min="3594" max="3594" width="9" style="3" customWidth="1"/>
    <col min="3595" max="3596" width="8" style="3" customWidth="1"/>
    <col min="3597" max="3597" width="2.42578125" style="3" customWidth="1"/>
    <col min="3598" max="3598" width="9.28515625" style="3" customWidth="1"/>
    <col min="3599" max="3600" width="8" style="3" customWidth="1"/>
    <col min="3601" max="3601" width="1.28515625" style="3" customWidth="1"/>
    <col min="3602" max="3602" width="8" style="3" customWidth="1"/>
    <col min="3603" max="3840" width="11.140625" style="3"/>
    <col min="3841" max="3841" width="19.42578125" style="3" customWidth="1"/>
    <col min="3842" max="3842" width="8.7109375" style="3" customWidth="1"/>
    <col min="3843" max="3844" width="8" style="3" customWidth="1"/>
    <col min="3845" max="3845" width="2.42578125" style="3" customWidth="1"/>
    <col min="3846" max="3846" width="8" style="3" customWidth="1"/>
    <col min="3847" max="3847" width="8.5703125" style="3" customWidth="1"/>
    <col min="3848" max="3848" width="8" style="3" customWidth="1"/>
    <col min="3849" max="3849" width="2.42578125" style="3" customWidth="1"/>
    <col min="3850" max="3850" width="9" style="3" customWidth="1"/>
    <col min="3851" max="3852" width="8" style="3" customWidth="1"/>
    <col min="3853" max="3853" width="2.42578125" style="3" customWidth="1"/>
    <col min="3854" max="3854" width="9.28515625" style="3" customWidth="1"/>
    <col min="3855" max="3856" width="8" style="3" customWidth="1"/>
    <col min="3857" max="3857" width="1.28515625" style="3" customWidth="1"/>
    <col min="3858" max="3858" width="8" style="3" customWidth="1"/>
    <col min="3859" max="4096" width="11.140625" style="3"/>
    <col min="4097" max="4097" width="19.42578125" style="3" customWidth="1"/>
    <col min="4098" max="4098" width="8.7109375" style="3" customWidth="1"/>
    <col min="4099" max="4100" width="8" style="3" customWidth="1"/>
    <col min="4101" max="4101" width="2.42578125" style="3" customWidth="1"/>
    <col min="4102" max="4102" width="8" style="3" customWidth="1"/>
    <col min="4103" max="4103" width="8.5703125" style="3" customWidth="1"/>
    <col min="4104" max="4104" width="8" style="3" customWidth="1"/>
    <col min="4105" max="4105" width="2.42578125" style="3" customWidth="1"/>
    <col min="4106" max="4106" width="9" style="3" customWidth="1"/>
    <col min="4107" max="4108" width="8" style="3" customWidth="1"/>
    <col min="4109" max="4109" width="2.42578125" style="3" customWidth="1"/>
    <col min="4110" max="4110" width="9.28515625" style="3" customWidth="1"/>
    <col min="4111" max="4112" width="8" style="3" customWidth="1"/>
    <col min="4113" max="4113" width="1.28515625" style="3" customWidth="1"/>
    <col min="4114" max="4114" width="8" style="3" customWidth="1"/>
    <col min="4115" max="4352" width="11.140625" style="3"/>
    <col min="4353" max="4353" width="19.42578125" style="3" customWidth="1"/>
    <col min="4354" max="4354" width="8.7109375" style="3" customWidth="1"/>
    <col min="4355" max="4356" width="8" style="3" customWidth="1"/>
    <col min="4357" max="4357" width="2.42578125" style="3" customWidth="1"/>
    <col min="4358" max="4358" width="8" style="3" customWidth="1"/>
    <col min="4359" max="4359" width="8.5703125" style="3" customWidth="1"/>
    <col min="4360" max="4360" width="8" style="3" customWidth="1"/>
    <col min="4361" max="4361" width="2.42578125" style="3" customWidth="1"/>
    <col min="4362" max="4362" width="9" style="3" customWidth="1"/>
    <col min="4363" max="4364" width="8" style="3" customWidth="1"/>
    <col min="4365" max="4365" width="2.42578125" style="3" customWidth="1"/>
    <col min="4366" max="4366" width="9.28515625" style="3" customWidth="1"/>
    <col min="4367" max="4368" width="8" style="3" customWidth="1"/>
    <col min="4369" max="4369" width="1.28515625" style="3" customWidth="1"/>
    <col min="4370" max="4370" width="8" style="3" customWidth="1"/>
    <col min="4371" max="4608" width="11.140625" style="3"/>
    <col min="4609" max="4609" width="19.42578125" style="3" customWidth="1"/>
    <col min="4610" max="4610" width="8.7109375" style="3" customWidth="1"/>
    <col min="4611" max="4612" width="8" style="3" customWidth="1"/>
    <col min="4613" max="4613" width="2.42578125" style="3" customWidth="1"/>
    <col min="4614" max="4614" width="8" style="3" customWidth="1"/>
    <col min="4615" max="4615" width="8.5703125" style="3" customWidth="1"/>
    <col min="4616" max="4616" width="8" style="3" customWidth="1"/>
    <col min="4617" max="4617" width="2.42578125" style="3" customWidth="1"/>
    <col min="4618" max="4618" width="9" style="3" customWidth="1"/>
    <col min="4619" max="4620" width="8" style="3" customWidth="1"/>
    <col min="4621" max="4621" width="2.42578125" style="3" customWidth="1"/>
    <col min="4622" max="4622" width="9.28515625" style="3" customWidth="1"/>
    <col min="4623" max="4624" width="8" style="3" customWidth="1"/>
    <col min="4625" max="4625" width="1.28515625" style="3" customWidth="1"/>
    <col min="4626" max="4626" width="8" style="3" customWidth="1"/>
    <col min="4627" max="4864" width="11.140625" style="3"/>
    <col min="4865" max="4865" width="19.42578125" style="3" customWidth="1"/>
    <col min="4866" max="4866" width="8.7109375" style="3" customWidth="1"/>
    <col min="4867" max="4868" width="8" style="3" customWidth="1"/>
    <col min="4869" max="4869" width="2.42578125" style="3" customWidth="1"/>
    <col min="4870" max="4870" width="8" style="3" customWidth="1"/>
    <col min="4871" max="4871" width="8.5703125" style="3" customWidth="1"/>
    <col min="4872" max="4872" width="8" style="3" customWidth="1"/>
    <col min="4873" max="4873" width="2.42578125" style="3" customWidth="1"/>
    <col min="4874" max="4874" width="9" style="3" customWidth="1"/>
    <col min="4875" max="4876" width="8" style="3" customWidth="1"/>
    <col min="4877" max="4877" width="2.42578125" style="3" customWidth="1"/>
    <col min="4878" max="4878" width="9.28515625" style="3" customWidth="1"/>
    <col min="4879" max="4880" width="8" style="3" customWidth="1"/>
    <col min="4881" max="4881" width="1.28515625" style="3" customWidth="1"/>
    <col min="4882" max="4882" width="8" style="3" customWidth="1"/>
    <col min="4883" max="5120" width="11.140625" style="3"/>
    <col min="5121" max="5121" width="19.42578125" style="3" customWidth="1"/>
    <col min="5122" max="5122" width="8.7109375" style="3" customWidth="1"/>
    <col min="5123" max="5124" width="8" style="3" customWidth="1"/>
    <col min="5125" max="5125" width="2.42578125" style="3" customWidth="1"/>
    <col min="5126" max="5126" width="8" style="3" customWidth="1"/>
    <col min="5127" max="5127" width="8.5703125" style="3" customWidth="1"/>
    <col min="5128" max="5128" width="8" style="3" customWidth="1"/>
    <col min="5129" max="5129" width="2.42578125" style="3" customWidth="1"/>
    <col min="5130" max="5130" width="9" style="3" customWidth="1"/>
    <col min="5131" max="5132" width="8" style="3" customWidth="1"/>
    <col min="5133" max="5133" width="2.42578125" style="3" customWidth="1"/>
    <col min="5134" max="5134" width="9.28515625" style="3" customWidth="1"/>
    <col min="5135" max="5136" width="8" style="3" customWidth="1"/>
    <col min="5137" max="5137" width="1.28515625" style="3" customWidth="1"/>
    <col min="5138" max="5138" width="8" style="3" customWidth="1"/>
    <col min="5139" max="5376" width="11.140625" style="3"/>
    <col min="5377" max="5377" width="19.42578125" style="3" customWidth="1"/>
    <col min="5378" max="5378" width="8.7109375" style="3" customWidth="1"/>
    <col min="5379" max="5380" width="8" style="3" customWidth="1"/>
    <col min="5381" max="5381" width="2.42578125" style="3" customWidth="1"/>
    <col min="5382" max="5382" width="8" style="3" customWidth="1"/>
    <col min="5383" max="5383" width="8.5703125" style="3" customWidth="1"/>
    <col min="5384" max="5384" width="8" style="3" customWidth="1"/>
    <col min="5385" max="5385" width="2.42578125" style="3" customWidth="1"/>
    <col min="5386" max="5386" width="9" style="3" customWidth="1"/>
    <col min="5387" max="5388" width="8" style="3" customWidth="1"/>
    <col min="5389" max="5389" width="2.42578125" style="3" customWidth="1"/>
    <col min="5390" max="5390" width="9.28515625" style="3" customWidth="1"/>
    <col min="5391" max="5392" width="8" style="3" customWidth="1"/>
    <col min="5393" max="5393" width="1.28515625" style="3" customWidth="1"/>
    <col min="5394" max="5394" width="8" style="3" customWidth="1"/>
    <col min="5395" max="5632" width="11.140625" style="3"/>
    <col min="5633" max="5633" width="19.42578125" style="3" customWidth="1"/>
    <col min="5634" max="5634" width="8.7109375" style="3" customWidth="1"/>
    <col min="5635" max="5636" width="8" style="3" customWidth="1"/>
    <col min="5637" max="5637" width="2.42578125" style="3" customWidth="1"/>
    <col min="5638" max="5638" width="8" style="3" customWidth="1"/>
    <col min="5639" max="5639" width="8.5703125" style="3" customWidth="1"/>
    <col min="5640" max="5640" width="8" style="3" customWidth="1"/>
    <col min="5641" max="5641" width="2.42578125" style="3" customWidth="1"/>
    <col min="5642" max="5642" width="9" style="3" customWidth="1"/>
    <col min="5643" max="5644" width="8" style="3" customWidth="1"/>
    <col min="5645" max="5645" width="2.42578125" style="3" customWidth="1"/>
    <col min="5646" max="5646" width="9.28515625" style="3" customWidth="1"/>
    <col min="5647" max="5648" width="8" style="3" customWidth="1"/>
    <col min="5649" max="5649" width="1.28515625" style="3" customWidth="1"/>
    <col min="5650" max="5650" width="8" style="3" customWidth="1"/>
    <col min="5651" max="5888" width="11.140625" style="3"/>
    <col min="5889" max="5889" width="19.42578125" style="3" customWidth="1"/>
    <col min="5890" max="5890" width="8.7109375" style="3" customWidth="1"/>
    <col min="5891" max="5892" width="8" style="3" customWidth="1"/>
    <col min="5893" max="5893" width="2.42578125" style="3" customWidth="1"/>
    <col min="5894" max="5894" width="8" style="3" customWidth="1"/>
    <col min="5895" max="5895" width="8.5703125" style="3" customWidth="1"/>
    <col min="5896" max="5896" width="8" style="3" customWidth="1"/>
    <col min="5897" max="5897" width="2.42578125" style="3" customWidth="1"/>
    <col min="5898" max="5898" width="9" style="3" customWidth="1"/>
    <col min="5899" max="5900" width="8" style="3" customWidth="1"/>
    <col min="5901" max="5901" width="2.42578125" style="3" customWidth="1"/>
    <col min="5902" max="5902" width="9.28515625" style="3" customWidth="1"/>
    <col min="5903" max="5904" width="8" style="3" customWidth="1"/>
    <col min="5905" max="5905" width="1.28515625" style="3" customWidth="1"/>
    <col min="5906" max="5906" width="8" style="3" customWidth="1"/>
    <col min="5907" max="6144" width="11.140625" style="3"/>
    <col min="6145" max="6145" width="19.42578125" style="3" customWidth="1"/>
    <col min="6146" max="6146" width="8.7109375" style="3" customWidth="1"/>
    <col min="6147" max="6148" width="8" style="3" customWidth="1"/>
    <col min="6149" max="6149" width="2.42578125" style="3" customWidth="1"/>
    <col min="6150" max="6150" width="8" style="3" customWidth="1"/>
    <col min="6151" max="6151" width="8.5703125" style="3" customWidth="1"/>
    <col min="6152" max="6152" width="8" style="3" customWidth="1"/>
    <col min="6153" max="6153" width="2.42578125" style="3" customWidth="1"/>
    <col min="6154" max="6154" width="9" style="3" customWidth="1"/>
    <col min="6155" max="6156" width="8" style="3" customWidth="1"/>
    <col min="6157" max="6157" width="2.42578125" style="3" customWidth="1"/>
    <col min="6158" max="6158" width="9.28515625" style="3" customWidth="1"/>
    <col min="6159" max="6160" width="8" style="3" customWidth="1"/>
    <col min="6161" max="6161" width="1.28515625" style="3" customWidth="1"/>
    <col min="6162" max="6162" width="8" style="3" customWidth="1"/>
    <col min="6163" max="6400" width="11.140625" style="3"/>
    <col min="6401" max="6401" width="19.42578125" style="3" customWidth="1"/>
    <col min="6402" max="6402" width="8.7109375" style="3" customWidth="1"/>
    <col min="6403" max="6404" width="8" style="3" customWidth="1"/>
    <col min="6405" max="6405" width="2.42578125" style="3" customWidth="1"/>
    <col min="6406" max="6406" width="8" style="3" customWidth="1"/>
    <col min="6407" max="6407" width="8.5703125" style="3" customWidth="1"/>
    <col min="6408" max="6408" width="8" style="3" customWidth="1"/>
    <col min="6409" max="6409" width="2.42578125" style="3" customWidth="1"/>
    <col min="6410" max="6410" width="9" style="3" customWidth="1"/>
    <col min="6411" max="6412" width="8" style="3" customWidth="1"/>
    <col min="6413" max="6413" width="2.42578125" style="3" customWidth="1"/>
    <col min="6414" max="6414" width="9.28515625" style="3" customWidth="1"/>
    <col min="6415" max="6416" width="8" style="3" customWidth="1"/>
    <col min="6417" max="6417" width="1.28515625" style="3" customWidth="1"/>
    <col min="6418" max="6418" width="8" style="3" customWidth="1"/>
    <col min="6419" max="6656" width="11.140625" style="3"/>
    <col min="6657" max="6657" width="19.42578125" style="3" customWidth="1"/>
    <col min="6658" max="6658" width="8.7109375" style="3" customWidth="1"/>
    <col min="6659" max="6660" width="8" style="3" customWidth="1"/>
    <col min="6661" max="6661" width="2.42578125" style="3" customWidth="1"/>
    <col min="6662" max="6662" width="8" style="3" customWidth="1"/>
    <col min="6663" max="6663" width="8.5703125" style="3" customWidth="1"/>
    <col min="6664" max="6664" width="8" style="3" customWidth="1"/>
    <col min="6665" max="6665" width="2.42578125" style="3" customWidth="1"/>
    <col min="6666" max="6666" width="9" style="3" customWidth="1"/>
    <col min="6667" max="6668" width="8" style="3" customWidth="1"/>
    <col min="6669" max="6669" width="2.42578125" style="3" customWidth="1"/>
    <col min="6670" max="6670" width="9.28515625" style="3" customWidth="1"/>
    <col min="6671" max="6672" width="8" style="3" customWidth="1"/>
    <col min="6673" max="6673" width="1.28515625" style="3" customWidth="1"/>
    <col min="6674" max="6674" width="8" style="3" customWidth="1"/>
    <col min="6675" max="6912" width="11.140625" style="3"/>
    <col min="6913" max="6913" width="19.42578125" style="3" customWidth="1"/>
    <col min="6914" max="6914" width="8.7109375" style="3" customWidth="1"/>
    <col min="6915" max="6916" width="8" style="3" customWidth="1"/>
    <col min="6917" max="6917" width="2.42578125" style="3" customWidth="1"/>
    <col min="6918" max="6918" width="8" style="3" customWidth="1"/>
    <col min="6919" max="6919" width="8.5703125" style="3" customWidth="1"/>
    <col min="6920" max="6920" width="8" style="3" customWidth="1"/>
    <col min="6921" max="6921" width="2.42578125" style="3" customWidth="1"/>
    <col min="6922" max="6922" width="9" style="3" customWidth="1"/>
    <col min="6923" max="6924" width="8" style="3" customWidth="1"/>
    <col min="6925" max="6925" width="2.42578125" style="3" customWidth="1"/>
    <col min="6926" max="6926" width="9.28515625" style="3" customWidth="1"/>
    <col min="6927" max="6928" width="8" style="3" customWidth="1"/>
    <col min="6929" max="6929" width="1.28515625" style="3" customWidth="1"/>
    <col min="6930" max="6930" width="8" style="3" customWidth="1"/>
    <col min="6931" max="7168" width="11.140625" style="3"/>
    <col min="7169" max="7169" width="19.42578125" style="3" customWidth="1"/>
    <col min="7170" max="7170" width="8.7109375" style="3" customWidth="1"/>
    <col min="7171" max="7172" width="8" style="3" customWidth="1"/>
    <col min="7173" max="7173" width="2.42578125" style="3" customWidth="1"/>
    <col min="7174" max="7174" width="8" style="3" customWidth="1"/>
    <col min="7175" max="7175" width="8.5703125" style="3" customWidth="1"/>
    <col min="7176" max="7176" width="8" style="3" customWidth="1"/>
    <col min="7177" max="7177" width="2.42578125" style="3" customWidth="1"/>
    <col min="7178" max="7178" width="9" style="3" customWidth="1"/>
    <col min="7179" max="7180" width="8" style="3" customWidth="1"/>
    <col min="7181" max="7181" width="2.42578125" style="3" customWidth="1"/>
    <col min="7182" max="7182" width="9.28515625" style="3" customWidth="1"/>
    <col min="7183" max="7184" width="8" style="3" customWidth="1"/>
    <col min="7185" max="7185" width="1.28515625" style="3" customWidth="1"/>
    <col min="7186" max="7186" width="8" style="3" customWidth="1"/>
    <col min="7187" max="7424" width="11.140625" style="3"/>
    <col min="7425" max="7425" width="19.42578125" style="3" customWidth="1"/>
    <col min="7426" max="7426" width="8.7109375" style="3" customWidth="1"/>
    <col min="7427" max="7428" width="8" style="3" customWidth="1"/>
    <col min="7429" max="7429" width="2.42578125" style="3" customWidth="1"/>
    <col min="7430" max="7430" width="8" style="3" customWidth="1"/>
    <col min="7431" max="7431" width="8.5703125" style="3" customWidth="1"/>
    <col min="7432" max="7432" width="8" style="3" customWidth="1"/>
    <col min="7433" max="7433" width="2.42578125" style="3" customWidth="1"/>
    <col min="7434" max="7434" width="9" style="3" customWidth="1"/>
    <col min="7435" max="7436" width="8" style="3" customWidth="1"/>
    <col min="7437" max="7437" width="2.42578125" style="3" customWidth="1"/>
    <col min="7438" max="7438" width="9.28515625" style="3" customWidth="1"/>
    <col min="7439" max="7440" width="8" style="3" customWidth="1"/>
    <col min="7441" max="7441" width="1.28515625" style="3" customWidth="1"/>
    <col min="7442" max="7442" width="8" style="3" customWidth="1"/>
    <col min="7443" max="7680" width="11.140625" style="3"/>
    <col min="7681" max="7681" width="19.42578125" style="3" customWidth="1"/>
    <col min="7682" max="7682" width="8.7109375" style="3" customWidth="1"/>
    <col min="7683" max="7684" width="8" style="3" customWidth="1"/>
    <col min="7685" max="7685" width="2.42578125" style="3" customWidth="1"/>
    <col min="7686" max="7686" width="8" style="3" customWidth="1"/>
    <col min="7687" max="7687" width="8.5703125" style="3" customWidth="1"/>
    <col min="7688" max="7688" width="8" style="3" customWidth="1"/>
    <col min="7689" max="7689" width="2.42578125" style="3" customWidth="1"/>
    <col min="7690" max="7690" width="9" style="3" customWidth="1"/>
    <col min="7691" max="7692" width="8" style="3" customWidth="1"/>
    <col min="7693" max="7693" width="2.42578125" style="3" customWidth="1"/>
    <col min="7694" max="7694" width="9.28515625" style="3" customWidth="1"/>
    <col min="7695" max="7696" width="8" style="3" customWidth="1"/>
    <col min="7697" max="7697" width="1.28515625" style="3" customWidth="1"/>
    <col min="7698" max="7698" width="8" style="3" customWidth="1"/>
    <col min="7699" max="7936" width="11.140625" style="3"/>
    <col min="7937" max="7937" width="19.42578125" style="3" customWidth="1"/>
    <col min="7938" max="7938" width="8.7109375" style="3" customWidth="1"/>
    <col min="7939" max="7940" width="8" style="3" customWidth="1"/>
    <col min="7941" max="7941" width="2.42578125" style="3" customWidth="1"/>
    <col min="7942" max="7942" width="8" style="3" customWidth="1"/>
    <col min="7943" max="7943" width="8.5703125" style="3" customWidth="1"/>
    <col min="7944" max="7944" width="8" style="3" customWidth="1"/>
    <col min="7945" max="7945" width="2.42578125" style="3" customWidth="1"/>
    <col min="7946" max="7946" width="9" style="3" customWidth="1"/>
    <col min="7947" max="7948" width="8" style="3" customWidth="1"/>
    <col min="7949" max="7949" width="2.42578125" style="3" customWidth="1"/>
    <col min="7950" max="7950" width="9.28515625" style="3" customWidth="1"/>
    <col min="7951" max="7952" width="8" style="3" customWidth="1"/>
    <col min="7953" max="7953" width="1.28515625" style="3" customWidth="1"/>
    <col min="7954" max="7954" width="8" style="3" customWidth="1"/>
    <col min="7955" max="8192" width="11.140625" style="3"/>
    <col min="8193" max="8193" width="19.42578125" style="3" customWidth="1"/>
    <col min="8194" max="8194" width="8.7109375" style="3" customWidth="1"/>
    <col min="8195" max="8196" width="8" style="3" customWidth="1"/>
    <col min="8197" max="8197" width="2.42578125" style="3" customWidth="1"/>
    <col min="8198" max="8198" width="8" style="3" customWidth="1"/>
    <col min="8199" max="8199" width="8.5703125" style="3" customWidth="1"/>
    <col min="8200" max="8200" width="8" style="3" customWidth="1"/>
    <col min="8201" max="8201" width="2.42578125" style="3" customWidth="1"/>
    <col min="8202" max="8202" width="9" style="3" customWidth="1"/>
    <col min="8203" max="8204" width="8" style="3" customWidth="1"/>
    <col min="8205" max="8205" width="2.42578125" style="3" customWidth="1"/>
    <col min="8206" max="8206" width="9.28515625" style="3" customWidth="1"/>
    <col min="8207" max="8208" width="8" style="3" customWidth="1"/>
    <col min="8209" max="8209" width="1.28515625" style="3" customWidth="1"/>
    <col min="8210" max="8210" width="8" style="3" customWidth="1"/>
    <col min="8211" max="8448" width="11.140625" style="3"/>
    <col min="8449" max="8449" width="19.42578125" style="3" customWidth="1"/>
    <col min="8450" max="8450" width="8.7109375" style="3" customWidth="1"/>
    <col min="8451" max="8452" width="8" style="3" customWidth="1"/>
    <col min="8453" max="8453" width="2.42578125" style="3" customWidth="1"/>
    <col min="8454" max="8454" width="8" style="3" customWidth="1"/>
    <col min="8455" max="8455" width="8.5703125" style="3" customWidth="1"/>
    <col min="8456" max="8456" width="8" style="3" customWidth="1"/>
    <col min="8457" max="8457" width="2.42578125" style="3" customWidth="1"/>
    <col min="8458" max="8458" width="9" style="3" customWidth="1"/>
    <col min="8459" max="8460" width="8" style="3" customWidth="1"/>
    <col min="8461" max="8461" width="2.42578125" style="3" customWidth="1"/>
    <col min="8462" max="8462" width="9.28515625" style="3" customWidth="1"/>
    <col min="8463" max="8464" width="8" style="3" customWidth="1"/>
    <col min="8465" max="8465" width="1.28515625" style="3" customWidth="1"/>
    <col min="8466" max="8466" width="8" style="3" customWidth="1"/>
    <col min="8467" max="8704" width="11.140625" style="3"/>
    <col min="8705" max="8705" width="19.42578125" style="3" customWidth="1"/>
    <col min="8706" max="8706" width="8.7109375" style="3" customWidth="1"/>
    <col min="8707" max="8708" width="8" style="3" customWidth="1"/>
    <col min="8709" max="8709" width="2.42578125" style="3" customWidth="1"/>
    <col min="8710" max="8710" width="8" style="3" customWidth="1"/>
    <col min="8711" max="8711" width="8.5703125" style="3" customWidth="1"/>
    <col min="8712" max="8712" width="8" style="3" customWidth="1"/>
    <col min="8713" max="8713" width="2.42578125" style="3" customWidth="1"/>
    <col min="8714" max="8714" width="9" style="3" customWidth="1"/>
    <col min="8715" max="8716" width="8" style="3" customWidth="1"/>
    <col min="8717" max="8717" width="2.42578125" style="3" customWidth="1"/>
    <col min="8718" max="8718" width="9.28515625" style="3" customWidth="1"/>
    <col min="8719" max="8720" width="8" style="3" customWidth="1"/>
    <col min="8721" max="8721" width="1.28515625" style="3" customWidth="1"/>
    <col min="8722" max="8722" width="8" style="3" customWidth="1"/>
    <col min="8723" max="8960" width="11.140625" style="3"/>
    <col min="8961" max="8961" width="19.42578125" style="3" customWidth="1"/>
    <col min="8962" max="8962" width="8.7109375" style="3" customWidth="1"/>
    <col min="8963" max="8964" width="8" style="3" customWidth="1"/>
    <col min="8965" max="8965" width="2.42578125" style="3" customWidth="1"/>
    <col min="8966" max="8966" width="8" style="3" customWidth="1"/>
    <col min="8967" max="8967" width="8.5703125" style="3" customWidth="1"/>
    <col min="8968" max="8968" width="8" style="3" customWidth="1"/>
    <col min="8969" max="8969" width="2.42578125" style="3" customWidth="1"/>
    <col min="8970" max="8970" width="9" style="3" customWidth="1"/>
    <col min="8971" max="8972" width="8" style="3" customWidth="1"/>
    <col min="8973" max="8973" width="2.42578125" style="3" customWidth="1"/>
    <col min="8974" max="8974" width="9.28515625" style="3" customWidth="1"/>
    <col min="8975" max="8976" width="8" style="3" customWidth="1"/>
    <col min="8977" max="8977" width="1.28515625" style="3" customWidth="1"/>
    <col min="8978" max="8978" width="8" style="3" customWidth="1"/>
    <col min="8979" max="9216" width="11.140625" style="3"/>
    <col min="9217" max="9217" width="19.42578125" style="3" customWidth="1"/>
    <col min="9218" max="9218" width="8.7109375" style="3" customWidth="1"/>
    <col min="9219" max="9220" width="8" style="3" customWidth="1"/>
    <col min="9221" max="9221" width="2.42578125" style="3" customWidth="1"/>
    <col min="9222" max="9222" width="8" style="3" customWidth="1"/>
    <col min="9223" max="9223" width="8.5703125" style="3" customWidth="1"/>
    <col min="9224" max="9224" width="8" style="3" customWidth="1"/>
    <col min="9225" max="9225" width="2.42578125" style="3" customWidth="1"/>
    <col min="9226" max="9226" width="9" style="3" customWidth="1"/>
    <col min="9227" max="9228" width="8" style="3" customWidth="1"/>
    <col min="9229" max="9229" width="2.42578125" style="3" customWidth="1"/>
    <col min="9230" max="9230" width="9.28515625" style="3" customWidth="1"/>
    <col min="9231" max="9232" width="8" style="3" customWidth="1"/>
    <col min="9233" max="9233" width="1.28515625" style="3" customWidth="1"/>
    <col min="9234" max="9234" width="8" style="3" customWidth="1"/>
    <col min="9235" max="9472" width="11.140625" style="3"/>
    <col min="9473" max="9473" width="19.42578125" style="3" customWidth="1"/>
    <col min="9474" max="9474" width="8.7109375" style="3" customWidth="1"/>
    <col min="9475" max="9476" width="8" style="3" customWidth="1"/>
    <col min="9477" max="9477" width="2.42578125" style="3" customWidth="1"/>
    <col min="9478" max="9478" width="8" style="3" customWidth="1"/>
    <col min="9479" max="9479" width="8.5703125" style="3" customWidth="1"/>
    <col min="9480" max="9480" width="8" style="3" customWidth="1"/>
    <col min="9481" max="9481" width="2.42578125" style="3" customWidth="1"/>
    <col min="9482" max="9482" width="9" style="3" customWidth="1"/>
    <col min="9483" max="9484" width="8" style="3" customWidth="1"/>
    <col min="9485" max="9485" width="2.42578125" style="3" customWidth="1"/>
    <col min="9486" max="9486" width="9.28515625" style="3" customWidth="1"/>
    <col min="9487" max="9488" width="8" style="3" customWidth="1"/>
    <col min="9489" max="9489" width="1.28515625" style="3" customWidth="1"/>
    <col min="9490" max="9490" width="8" style="3" customWidth="1"/>
    <col min="9491" max="9728" width="11.140625" style="3"/>
    <col min="9729" max="9729" width="19.42578125" style="3" customWidth="1"/>
    <col min="9730" max="9730" width="8.7109375" style="3" customWidth="1"/>
    <col min="9731" max="9732" width="8" style="3" customWidth="1"/>
    <col min="9733" max="9733" width="2.42578125" style="3" customWidth="1"/>
    <col min="9734" max="9734" width="8" style="3" customWidth="1"/>
    <col min="9735" max="9735" width="8.5703125" style="3" customWidth="1"/>
    <col min="9736" max="9736" width="8" style="3" customWidth="1"/>
    <col min="9737" max="9737" width="2.42578125" style="3" customWidth="1"/>
    <col min="9738" max="9738" width="9" style="3" customWidth="1"/>
    <col min="9739" max="9740" width="8" style="3" customWidth="1"/>
    <col min="9741" max="9741" width="2.42578125" style="3" customWidth="1"/>
    <col min="9742" max="9742" width="9.28515625" style="3" customWidth="1"/>
    <col min="9743" max="9744" width="8" style="3" customWidth="1"/>
    <col min="9745" max="9745" width="1.28515625" style="3" customWidth="1"/>
    <col min="9746" max="9746" width="8" style="3" customWidth="1"/>
    <col min="9747" max="9984" width="11.140625" style="3"/>
    <col min="9985" max="9985" width="19.42578125" style="3" customWidth="1"/>
    <col min="9986" max="9986" width="8.7109375" style="3" customWidth="1"/>
    <col min="9987" max="9988" width="8" style="3" customWidth="1"/>
    <col min="9989" max="9989" width="2.42578125" style="3" customWidth="1"/>
    <col min="9990" max="9990" width="8" style="3" customWidth="1"/>
    <col min="9991" max="9991" width="8.5703125" style="3" customWidth="1"/>
    <col min="9992" max="9992" width="8" style="3" customWidth="1"/>
    <col min="9993" max="9993" width="2.42578125" style="3" customWidth="1"/>
    <col min="9994" max="9994" width="9" style="3" customWidth="1"/>
    <col min="9995" max="9996" width="8" style="3" customWidth="1"/>
    <col min="9997" max="9997" width="2.42578125" style="3" customWidth="1"/>
    <col min="9998" max="9998" width="9.28515625" style="3" customWidth="1"/>
    <col min="9999" max="10000" width="8" style="3" customWidth="1"/>
    <col min="10001" max="10001" width="1.28515625" style="3" customWidth="1"/>
    <col min="10002" max="10002" width="8" style="3" customWidth="1"/>
    <col min="10003" max="10240" width="11.140625" style="3"/>
    <col min="10241" max="10241" width="19.42578125" style="3" customWidth="1"/>
    <col min="10242" max="10242" width="8.7109375" style="3" customWidth="1"/>
    <col min="10243" max="10244" width="8" style="3" customWidth="1"/>
    <col min="10245" max="10245" width="2.42578125" style="3" customWidth="1"/>
    <col min="10246" max="10246" width="8" style="3" customWidth="1"/>
    <col min="10247" max="10247" width="8.5703125" style="3" customWidth="1"/>
    <col min="10248" max="10248" width="8" style="3" customWidth="1"/>
    <col min="10249" max="10249" width="2.42578125" style="3" customWidth="1"/>
    <col min="10250" max="10250" width="9" style="3" customWidth="1"/>
    <col min="10251" max="10252" width="8" style="3" customWidth="1"/>
    <col min="10253" max="10253" width="2.42578125" style="3" customWidth="1"/>
    <col min="10254" max="10254" width="9.28515625" style="3" customWidth="1"/>
    <col min="10255" max="10256" width="8" style="3" customWidth="1"/>
    <col min="10257" max="10257" width="1.28515625" style="3" customWidth="1"/>
    <col min="10258" max="10258" width="8" style="3" customWidth="1"/>
    <col min="10259" max="10496" width="11.140625" style="3"/>
    <col min="10497" max="10497" width="19.42578125" style="3" customWidth="1"/>
    <col min="10498" max="10498" width="8.7109375" style="3" customWidth="1"/>
    <col min="10499" max="10500" width="8" style="3" customWidth="1"/>
    <col min="10501" max="10501" width="2.42578125" style="3" customWidth="1"/>
    <col min="10502" max="10502" width="8" style="3" customWidth="1"/>
    <col min="10503" max="10503" width="8.5703125" style="3" customWidth="1"/>
    <col min="10504" max="10504" width="8" style="3" customWidth="1"/>
    <col min="10505" max="10505" width="2.42578125" style="3" customWidth="1"/>
    <col min="10506" max="10506" width="9" style="3" customWidth="1"/>
    <col min="10507" max="10508" width="8" style="3" customWidth="1"/>
    <col min="10509" max="10509" width="2.42578125" style="3" customWidth="1"/>
    <col min="10510" max="10510" width="9.28515625" style="3" customWidth="1"/>
    <col min="10511" max="10512" width="8" style="3" customWidth="1"/>
    <col min="10513" max="10513" width="1.28515625" style="3" customWidth="1"/>
    <col min="10514" max="10514" width="8" style="3" customWidth="1"/>
    <col min="10515" max="10752" width="11.140625" style="3"/>
    <col min="10753" max="10753" width="19.42578125" style="3" customWidth="1"/>
    <col min="10754" max="10754" width="8.7109375" style="3" customWidth="1"/>
    <col min="10755" max="10756" width="8" style="3" customWidth="1"/>
    <col min="10757" max="10757" width="2.42578125" style="3" customWidth="1"/>
    <col min="10758" max="10758" width="8" style="3" customWidth="1"/>
    <col min="10759" max="10759" width="8.5703125" style="3" customWidth="1"/>
    <col min="10760" max="10760" width="8" style="3" customWidth="1"/>
    <col min="10761" max="10761" width="2.42578125" style="3" customWidth="1"/>
    <col min="10762" max="10762" width="9" style="3" customWidth="1"/>
    <col min="10763" max="10764" width="8" style="3" customWidth="1"/>
    <col min="10765" max="10765" width="2.42578125" style="3" customWidth="1"/>
    <col min="10766" max="10766" width="9.28515625" style="3" customWidth="1"/>
    <col min="10767" max="10768" width="8" style="3" customWidth="1"/>
    <col min="10769" max="10769" width="1.28515625" style="3" customWidth="1"/>
    <col min="10770" max="10770" width="8" style="3" customWidth="1"/>
    <col min="10771" max="11008" width="11.140625" style="3"/>
    <col min="11009" max="11009" width="19.42578125" style="3" customWidth="1"/>
    <col min="11010" max="11010" width="8.7109375" style="3" customWidth="1"/>
    <col min="11011" max="11012" width="8" style="3" customWidth="1"/>
    <col min="11013" max="11013" width="2.42578125" style="3" customWidth="1"/>
    <col min="11014" max="11014" width="8" style="3" customWidth="1"/>
    <col min="11015" max="11015" width="8.5703125" style="3" customWidth="1"/>
    <col min="11016" max="11016" width="8" style="3" customWidth="1"/>
    <col min="11017" max="11017" width="2.42578125" style="3" customWidth="1"/>
    <col min="11018" max="11018" width="9" style="3" customWidth="1"/>
    <col min="11019" max="11020" width="8" style="3" customWidth="1"/>
    <col min="11021" max="11021" width="2.42578125" style="3" customWidth="1"/>
    <col min="11022" max="11022" width="9.28515625" style="3" customWidth="1"/>
    <col min="11023" max="11024" width="8" style="3" customWidth="1"/>
    <col min="11025" max="11025" width="1.28515625" style="3" customWidth="1"/>
    <col min="11026" max="11026" width="8" style="3" customWidth="1"/>
    <col min="11027" max="11264" width="11.140625" style="3"/>
    <col min="11265" max="11265" width="19.42578125" style="3" customWidth="1"/>
    <col min="11266" max="11266" width="8.7109375" style="3" customWidth="1"/>
    <col min="11267" max="11268" width="8" style="3" customWidth="1"/>
    <col min="11269" max="11269" width="2.42578125" style="3" customWidth="1"/>
    <col min="11270" max="11270" width="8" style="3" customWidth="1"/>
    <col min="11271" max="11271" width="8.5703125" style="3" customWidth="1"/>
    <col min="11272" max="11272" width="8" style="3" customWidth="1"/>
    <col min="11273" max="11273" width="2.42578125" style="3" customWidth="1"/>
    <col min="11274" max="11274" width="9" style="3" customWidth="1"/>
    <col min="11275" max="11276" width="8" style="3" customWidth="1"/>
    <col min="11277" max="11277" width="2.42578125" style="3" customWidth="1"/>
    <col min="11278" max="11278" width="9.28515625" style="3" customWidth="1"/>
    <col min="11279" max="11280" width="8" style="3" customWidth="1"/>
    <col min="11281" max="11281" width="1.28515625" style="3" customWidth="1"/>
    <col min="11282" max="11282" width="8" style="3" customWidth="1"/>
    <col min="11283" max="11520" width="11.140625" style="3"/>
    <col min="11521" max="11521" width="19.42578125" style="3" customWidth="1"/>
    <col min="11522" max="11522" width="8.7109375" style="3" customWidth="1"/>
    <col min="11523" max="11524" width="8" style="3" customWidth="1"/>
    <col min="11525" max="11525" width="2.42578125" style="3" customWidth="1"/>
    <col min="11526" max="11526" width="8" style="3" customWidth="1"/>
    <col min="11527" max="11527" width="8.5703125" style="3" customWidth="1"/>
    <col min="11528" max="11528" width="8" style="3" customWidth="1"/>
    <col min="11529" max="11529" width="2.42578125" style="3" customWidth="1"/>
    <col min="11530" max="11530" width="9" style="3" customWidth="1"/>
    <col min="11531" max="11532" width="8" style="3" customWidth="1"/>
    <col min="11533" max="11533" width="2.42578125" style="3" customWidth="1"/>
    <col min="11534" max="11534" width="9.28515625" style="3" customWidth="1"/>
    <col min="11535" max="11536" width="8" style="3" customWidth="1"/>
    <col min="11537" max="11537" width="1.28515625" style="3" customWidth="1"/>
    <col min="11538" max="11538" width="8" style="3" customWidth="1"/>
    <col min="11539" max="11776" width="11.140625" style="3"/>
    <col min="11777" max="11777" width="19.42578125" style="3" customWidth="1"/>
    <col min="11778" max="11778" width="8.7109375" style="3" customWidth="1"/>
    <col min="11779" max="11780" width="8" style="3" customWidth="1"/>
    <col min="11781" max="11781" width="2.42578125" style="3" customWidth="1"/>
    <col min="11782" max="11782" width="8" style="3" customWidth="1"/>
    <col min="11783" max="11783" width="8.5703125" style="3" customWidth="1"/>
    <col min="11784" max="11784" width="8" style="3" customWidth="1"/>
    <col min="11785" max="11785" width="2.42578125" style="3" customWidth="1"/>
    <col min="11786" max="11786" width="9" style="3" customWidth="1"/>
    <col min="11787" max="11788" width="8" style="3" customWidth="1"/>
    <col min="11789" max="11789" width="2.42578125" style="3" customWidth="1"/>
    <col min="11790" max="11790" width="9.28515625" style="3" customWidth="1"/>
    <col min="11791" max="11792" width="8" style="3" customWidth="1"/>
    <col min="11793" max="11793" width="1.28515625" style="3" customWidth="1"/>
    <col min="11794" max="11794" width="8" style="3" customWidth="1"/>
    <col min="11795" max="12032" width="11.140625" style="3"/>
    <col min="12033" max="12033" width="19.42578125" style="3" customWidth="1"/>
    <col min="12034" max="12034" width="8.7109375" style="3" customWidth="1"/>
    <col min="12035" max="12036" width="8" style="3" customWidth="1"/>
    <col min="12037" max="12037" width="2.42578125" style="3" customWidth="1"/>
    <col min="12038" max="12038" width="8" style="3" customWidth="1"/>
    <col min="12039" max="12039" width="8.5703125" style="3" customWidth="1"/>
    <col min="12040" max="12040" width="8" style="3" customWidth="1"/>
    <col min="12041" max="12041" width="2.42578125" style="3" customWidth="1"/>
    <col min="12042" max="12042" width="9" style="3" customWidth="1"/>
    <col min="12043" max="12044" width="8" style="3" customWidth="1"/>
    <col min="12045" max="12045" width="2.42578125" style="3" customWidth="1"/>
    <col min="12046" max="12046" width="9.28515625" style="3" customWidth="1"/>
    <col min="12047" max="12048" width="8" style="3" customWidth="1"/>
    <col min="12049" max="12049" width="1.28515625" style="3" customWidth="1"/>
    <col min="12050" max="12050" width="8" style="3" customWidth="1"/>
    <col min="12051" max="12288" width="11.140625" style="3"/>
    <col min="12289" max="12289" width="19.42578125" style="3" customWidth="1"/>
    <col min="12290" max="12290" width="8.7109375" style="3" customWidth="1"/>
    <col min="12291" max="12292" width="8" style="3" customWidth="1"/>
    <col min="12293" max="12293" width="2.42578125" style="3" customWidth="1"/>
    <col min="12294" max="12294" width="8" style="3" customWidth="1"/>
    <col min="12295" max="12295" width="8.5703125" style="3" customWidth="1"/>
    <col min="12296" max="12296" width="8" style="3" customWidth="1"/>
    <col min="12297" max="12297" width="2.42578125" style="3" customWidth="1"/>
    <col min="12298" max="12298" width="9" style="3" customWidth="1"/>
    <col min="12299" max="12300" width="8" style="3" customWidth="1"/>
    <col min="12301" max="12301" width="2.42578125" style="3" customWidth="1"/>
    <col min="12302" max="12302" width="9.28515625" style="3" customWidth="1"/>
    <col min="12303" max="12304" width="8" style="3" customWidth="1"/>
    <col min="12305" max="12305" width="1.28515625" style="3" customWidth="1"/>
    <col min="12306" max="12306" width="8" style="3" customWidth="1"/>
    <col min="12307" max="12544" width="11.140625" style="3"/>
    <col min="12545" max="12545" width="19.42578125" style="3" customWidth="1"/>
    <col min="12546" max="12546" width="8.7109375" style="3" customWidth="1"/>
    <col min="12547" max="12548" width="8" style="3" customWidth="1"/>
    <col min="12549" max="12549" width="2.42578125" style="3" customWidth="1"/>
    <col min="12550" max="12550" width="8" style="3" customWidth="1"/>
    <col min="12551" max="12551" width="8.5703125" style="3" customWidth="1"/>
    <col min="12552" max="12552" width="8" style="3" customWidth="1"/>
    <col min="12553" max="12553" width="2.42578125" style="3" customWidth="1"/>
    <col min="12554" max="12554" width="9" style="3" customWidth="1"/>
    <col min="12555" max="12556" width="8" style="3" customWidth="1"/>
    <col min="12557" max="12557" width="2.42578125" style="3" customWidth="1"/>
    <col min="12558" max="12558" width="9.28515625" style="3" customWidth="1"/>
    <col min="12559" max="12560" width="8" style="3" customWidth="1"/>
    <col min="12561" max="12561" width="1.28515625" style="3" customWidth="1"/>
    <col min="12562" max="12562" width="8" style="3" customWidth="1"/>
    <col min="12563" max="12800" width="11.140625" style="3"/>
    <col min="12801" max="12801" width="19.42578125" style="3" customWidth="1"/>
    <col min="12802" max="12802" width="8.7109375" style="3" customWidth="1"/>
    <col min="12803" max="12804" width="8" style="3" customWidth="1"/>
    <col min="12805" max="12805" width="2.42578125" style="3" customWidth="1"/>
    <col min="12806" max="12806" width="8" style="3" customWidth="1"/>
    <col min="12807" max="12807" width="8.5703125" style="3" customWidth="1"/>
    <col min="12808" max="12808" width="8" style="3" customWidth="1"/>
    <col min="12809" max="12809" width="2.42578125" style="3" customWidth="1"/>
    <col min="12810" max="12810" width="9" style="3" customWidth="1"/>
    <col min="12811" max="12812" width="8" style="3" customWidth="1"/>
    <col min="12813" max="12813" width="2.42578125" style="3" customWidth="1"/>
    <col min="12814" max="12814" width="9.28515625" style="3" customWidth="1"/>
    <col min="12815" max="12816" width="8" style="3" customWidth="1"/>
    <col min="12817" max="12817" width="1.28515625" style="3" customWidth="1"/>
    <col min="12818" max="12818" width="8" style="3" customWidth="1"/>
    <col min="12819" max="13056" width="11.140625" style="3"/>
    <col min="13057" max="13057" width="19.42578125" style="3" customWidth="1"/>
    <col min="13058" max="13058" width="8.7109375" style="3" customWidth="1"/>
    <col min="13059" max="13060" width="8" style="3" customWidth="1"/>
    <col min="13061" max="13061" width="2.42578125" style="3" customWidth="1"/>
    <col min="13062" max="13062" width="8" style="3" customWidth="1"/>
    <col min="13063" max="13063" width="8.5703125" style="3" customWidth="1"/>
    <col min="13064" max="13064" width="8" style="3" customWidth="1"/>
    <col min="13065" max="13065" width="2.42578125" style="3" customWidth="1"/>
    <col min="13066" max="13066" width="9" style="3" customWidth="1"/>
    <col min="13067" max="13068" width="8" style="3" customWidth="1"/>
    <col min="13069" max="13069" width="2.42578125" style="3" customWidth="1"/>
    <col min="13070" max="13070" width="9.28515625" style="3" customWidth="1"/>
    <col min="13071" max="13072" width="8" style="3" customWidth="1"/>
    <col min="13073" max="13073" width="1.28515625" style="3" customWidth="1"/>
    <col min="13074" max="13074" width="8" style="3" customWidth="1"/>
    <col min="13075" max="13312" width="11.140625" style="3"/>
    <col min="13313" max="13313" width="19.42578125" style="3" customWidth="1"/>
    <col min="13314" max="13314" width="8.7109375" style="3" customWidth="1"/>
    <col min="13315" max="13316" width="8" style="3" customWidth="1"/>
    <col min="13317" max="13317" width="2.42578125" style="3" customWidth="1"/>
    <col min="13318" max="13318" width="8" style="3" customWidth="1"/>
    <col min="13319" max="13319" width="8.5703125" style="3" customWidth="1"/>
    <col min="13320" max="13320" width="8" style="3" customWidth="1"/>
    <col min="13321" max="13321" width="2.42578125" style="3" customWidth="1"/>
    <col min="13322" max="13322" width="9" style="3" customWidth="1"/>
    <col min="13323" max="13324" width="8" style="3" customWidth="1"/>
    <col min="13325" max="13325" width="2.42578125" style="3" customWidth="1"/>
    <col min="13326" max="13326" width="9.28515625" style="3" customWidth="1"/>
    <col min="13327" max="13328" width="8" style="3" customWidth="1"/>
    <col min="13329" max="13329" width="1.28515625" style="3" customWidth="1"/>
    <col min="13330" max="13330" width="8" style="3" customWidth="1"/>
    <col min="13331" max="13568" width="11.140625" style="3"/>
    <col min="13569" max="13569" width="19.42578125" style="3" customWidth="1"/>
    <col min="13570" max="13570" width="8.7109375" style="3" customWidth="1"/>
    <col min="13571" max="13572" width="8" style="3" customWidth="1"/>
    <col min="13573" max="13573" width="2.42578125" style="3" customWidth="1"/>
    <col min="13574" max="13574" width="8" style="3" customWidth="1"/>
    <col min="13575" max="13575" width="8.5703125" style="3" customWidth="1"/>
    <col min="13576" max="13576" width="8" style="3" customWidth="1"/>
    <col min="13577" max="13577" width="2.42578125" style="3" customWidth="1"/>
    <col min="13578" max="13578" width="9" style="3" customWidth="1"/>
    <col min="13579" max="13580" width="8" style="3" customWidth="1"/>
    <col min="13581" max="13581" width="2.42578125" style="3" customWidth="1"/>
    <col min="13582" max="13582" width="9.28515625" style="3" customWidth="1"/>
    <col min="13583" max="13584" width="8" style="3" customWidth="1"/>
    <col min="13585" max="13585" width="1.28515625" style="3" customWidth="1"/>
    <col min="13586" max="13586" width="8" style="3" customWidth="1"/>
    <col min="13587" max="13824" width="11.140625" style="3"/>
    <col min="13825" max="13825" width="19.42578125" style="3" customWidth="1"/>
    <col min="13826" max="13826" width="8.7109375" style="3" customWidth="1"/>
    <col min="13827" max="13828" width="8" style="3" customWidth="1"/>
    <col min="13829" max="13829" width="2.42578125" style="3" customWidth="1"/>
    <col min="13830" max="13830" width="8" style="3" customWidth="1"/>
    <col min="13831" max="13831" width="8.5703125" style="3" customWidth="1"/>
    <col min="13832" max="13832" width="8" style="3" customWidth="1"/>
    <col min="13833" max="13833" width="2.42578125" style="3" customWidth="1"/>
    <col min="13834" max="13834" width="9" style="3" customWidth="1"/>
    <col min="13835" max="13836" width="8" style="3" customWidth="1"/>
    <col min="13837" max="13837" width="2.42578125" style="3" customWidth="1"/>
    <col min="13838" max="13838" width="9.28515625" style="3" customWidth="1"/>
    <col min="13839" max="13840" width="8" style="3" customWidth="1"/>
    <col min="13841" max="13841" width="1.28515625" style="3" customWidth="1"/>
    <col min="13842" max="13842" width="8" style="3" customWidth="1"/>
    <col min="13843" max="14080" width="11.140625" style="3"/>
    <col min="14081" max="14081" width="19.42578125" style="3" customWidth="1"/>
    <col min="14082" max="14082" width="8.7109375" style="3" customWidth="1"/>
    <col min="14083" max="14084" width="8" style="3" customWidth="1"/>
    <col min="14085" max="14085" width="2.42578125" style="3" customWidth="1"/>
    <col min="14086" max="14086" width="8" style="3" customWidth="1"/>
    <col min="14087" max="14087" width="8.5703125" style="3" customWidth="1"/>
    <col min="14088" max="14088" width="8" style="3" customWidth="1"/>
    <col min="14089" max="14089" width="2.42578125" style="3" customWidth="1"/>
    <col min="14090" max="14090" width="9" style="3" customWidth="1"/>
    <col min="14091" max="14092" width="8" style="3" customWidth="1"/>
    <col min="14093" max="14093" width="2.42578125" style="3" customWidth="1"/>
    <col min="14094" max="14094" width="9.28515625" style="3" customWidth="1"/>
    <col min="14095" max="14096" width="8" style="3" customWidth="1"/>
    <col min="14097" max="14097" width="1.28515625" style="3" customWidth="1"/>
    <col min="14098" max="14098" width="8" style="3" customWidth="1"/>
    <col min="14099" max="14336" width="11.140625" style="3"/>
    <col min="14337" max="14337" width="19.42578125" style="3" customWidth="1"/>
    <col min="14338" max="14338" width="8.7109375" style="3" customWidth="1"/>
    <col min="14339" max="14340" width="8" style="3" customWidth="1"/>
    <col min="14341" max="14341" width="2.42578125" style="3" customWidth="1"/>
    <col min="14342" max="14342" width="8" style="3" customWidth="1"/>
    <col min="14343" max="14343" width="8.5703125" style="3" customWidth="1"/>
    <col min="14344" max="14344" width="8" style="3" customWidth="1"/>
    <col min="14345" max="14345" width="2.42578125" style="3" customWidth="1"/>
    <col min="14346" max="14346" width="9" style="3" customWidth="1"/>
    <col min="14347" max="14348" width="8" style="3" customWidth="1"/>
    <col min="14349" max="14349" width="2.42578125" style="3" customWidth="1"/>
    <col min="14350" max="14350" width="9.28515625" style="3" customWidth="1"/>
    <col min="14351" max="14352" width="8" style="3" customWidth="1"/>
    <col min="14353" max="14353" width="1.28515625" style="3" customWidth="1"/>
    <col min="14354" max="14354" width="8" style="3" customWidth="1"/>
    <col min="14355" max="14592" width="11.140625" style="3"/>
    <col min="14593" max="14593" width="19.42578125" style="3" customWidth="1"/>
    <col min="14594" max="14594" width="8.7109375" style="3" customWidth="1"/>
    <col min="14595" max="14596" width="8" style="3" customWidth="1"/>
    <col min="14597" max="14597" width="2.42578125" style="3" customWidth="1"/>
    <col min="14598" max="14598" width="8" style="3" customWidth="1"/>
    <col min="14599" max="14599" width="8.5703125" style="3" customWidth="1"/>
    <col min="14600" max="14600" width="8" style="3" customWidth="1"/>
    <col min="14601" max="14601" width="2.42578125" style="3" customWidth="1"/>
    <col min="14602" max="14602" width="9" style="3" customWidth="1"/>
    <col min="14603" max="14604" width="8" style="3" customWidth="1"/>
    <col min="14605" max="14605" width="2.42578125" style="3" customWidth="1"/>
    <col min="14606" max="14606" width="9.28515625" style="3" customWidth="1"/>
    <col min="14607" max="14608" width="8" style="3" customWidth="1"/>
    <col min="14609" max="14609" width="1.28515625" style="3" customWidth="1"/>
    <col min="14610" max="14610" width="8" style="3" customWidth="1"/>
    <col min="14611" max="14848" width="11.140625" style="3"/>
    <col min="14849" max="14849" width="19.42578125" style="3" customWidth="1"/>
    <col min="14850" max="14850" width="8.7109375" style="3" customWidth="1"/>
    <col min="14851" max="14852" width="8" style="3" customWidth="1"/>
    <col min="14853" max="14853" width="2.42578125" style="3" customWidth="1"/>
    <col min="14854" max="14854" width="8" style="3" customWidth="1"/>
    <col min="14855" max="14855" width="8.5703125" style="3" customWidth="1"/>
    <col min="14856" max="14856" width="8" style="3" customWidth="1"/>
    <col min="14857" max="14857" width="2.42578125" style="3" customWidth="1"/>
    <col min="14858" max="14858" width="9" style="3" customWidth="1"/>
    <col min="14859" max="14860" width="8" style="3" customWidth="1"/>
    <col min="14861" max="14861" width="2.42578125" style="3" customWidth="1"/>
    <col min="14862" max="14862" width="9.28515625" style="3" customWidth="1"/>
    <col min="14863" max="14864" width="8" style="3" customWidth="1"/>
    <col min="14865" max="14865" width="1.28515625" style="3" customWidth="1"/>
    <col min="14866" max="14866" width="8" style="3" customWidth="1"/>
    <col min="14867" max="15104" width="11.140625" style="3"/>
    <col min="15105" max="15105" width="19.42578125" style="3" customWidth="1"/>
    <col min="15106" max="15106" width="8.7109375" style="3" customWidth="1"/>
    <col min="15107" max="15108" width="8" style="3" customWidth="1"/>
    <col min="15109" max="15109" width="2.42578125" style="3" customWidth="1"/>
    <col min="15110" max="15110" width="8" style="3" customWidth="1"/>
    <col min="15111" max="15111" width="8.5703125" style="3" customWidth="1"/>
    <col min="15112" max="15112" width="8" style="3" customWidth="1"/>
    <col min="15113" max="15113" width="2.42578125" style="3" customWidth="1"/>
    <col min="15114" max="15114" width="9" style="3" customWidth="1"/>
    <col min="15115" max="15116" width="8" style="3" customWidth="1"/>
    <col min="15117" max="15117" width="2.42578125" style="3" customWidth="1"/>
    <col min="15118" max="15118" width="9.28515625" style="3" customWidth="1"/>
    <col min="15119" max="15120" width="8" style="3" customWidth="1"/>
    <col min="15121" max="15121" width="1.28515625" style="3" customWidth="1"/>
    <col min="15122" max="15122" width="8" style="3" customWidth="1"/>
    <col min="15123" max="15360" width="11.140625" style="3"/>
    <col min="15361" max="15361" width="19.42578125" style="3" customWidth="1"/>
    <col min="15362" max="15362" width="8.7109375" style="3" customWidth="1"/>
    <col min="15363" max="15364" width="8" style="3" customWidth="1"/>
    <col min="15365" max="15365" width="2.42578125" style="3" customWidth="1"/>
    <col min="15366" max="15366" width="8" style="3" customWidth="1"/>
    <col min="15367" max="15367" width="8.5703125" style="3" customWidth="1"/>
    <col min="15368" max="15368" width="8" style="3" customWidth="1"/>
    <col min="15369" max="15369" width="2.42578125" style="3" customWidth="1"/>
    <col min="15370" max="15370" width="9" style="3" customWidth="1"/>
    <col min="15371" max="15372" width="8" style="3" customWidth="1"/>
    <col min="15373" max="15373" width="2.42578125" style="3" customWidth="1"/>
    <col min="15374" max="15374" width="9.28515625" style="3" customWidth="1"/>
    <col min="15375" max="15376" width="8" style="3" customWidth="1"/>
    <col min="15377" max="15377" width="1.28515625" style="3" customWidth="1"/>
    <col min="15378" max="15378" width="8" style="3" customWidth="1"/>
    <col min="15379" max="15616" width="11.140625" style="3"/>
    <col min="15617" max="15617" width="19.42578125" style="3" customWidth="1"/>
    <col min="15618" max="15618" width="8.7109375" style="3" customWidth="1"/>
    <col min="15619" max="15620" width="8" style="3" customWidth="1"/>
    <col min="15621" max="15621" width="2.42578125" style="3" customWidth="1"/>
    <col min="15622" max="15622" width="8" style="3" customWidth="1"/>
    <col min="15623" max="15623" width="8.5703125" style="3" customWidth="1"/>
    <col min="15624" max="15624" width="8" style="3" customWidth="1"/>
    <col min="15625" max="15625" width="2.42578125" style="3" customWidth="1"/>
    <col min="15626" max="15626" width="9" style="3" customWidth="1"/>
    <col min="15627" max="15628" width="8" style="3" customWidth="1"/>
    <col min="15629" max="15629" width="2.42578125" style="3" customWidth="1"/>
    <col min="15630" max="15630" width="9.28515625" style="3" customWidth="1"/>
    <col min="15631" max="15632" width="8" style="3" customWidth="1"/>
    <col min="15633" max="15633" width="1.28515625" style="3" customWidth="1"/>
    <col min="15634" max="15634" width="8" style="3" customWidth="1"/>
    <col min="15635" max="15872" width="11.140625" style="3"/>
    <col min="15873" max="15873" width="19.42578125" style="3" customWidth="1"/>
    <col min="15874" max="15874" width="8.7109375" style="3" customWidth="1"/>
    <col min="15875" max="15876" width="8" style="3" customWidth="1"/>
    <col min="15877" max="15877" width="2.42578125" style="3" customWidth="1"/>
    <col min="15878" max="15878" width="8" style="3" customWidth="1"/>
    <col min="15879" max="15879" width="8.5703125" style="3" customWidth="1"/>
    <col min="15880" max="15880" width="8" style="3" customWidth="1"/>
    <col min="15881" max="15881" width="2.42578125" style="3" customWidth="1"/>
    <col min="15882" max="15882" width="9" style="3" customWidth="1"/>
    <col min="15883" max="15884" width="8" style="3" customWidth="1"/>
    <col min="15885" max="15885" width="2.42578125" style="3" customWidth="1"/>
    <col min="15886" max="15886" width="9.28515625" style="3" customWidth="1"/>
    <col min="15887" max="15888" width="8" style="3" customWidth="1"/>
    <col min="15889" max="15889" width="1.28515625" style="3" customWidth="1"/>
    <col min="15890" max="15890" width="8" style="3" customWidth="1"/>
    <col min="15891" max="16128" width="11.140625" style="3"/>
    <col min="16129" max="16129" width="19.42578125" style="3" customWidth="1"/>
    <col min="16130" max="16130" width="8.7109375" style="3" customWidth="1"/>
    <col min="16131" max="16132" width="8" style="3" customWidth="1"/>
    <col min="16133" max="16133" width="2.42578125" style="3" customWidth="1"/>
    <col min="16134" max="16134" width="8" style="3" customWidth="1"/>
    <col min="16135" max="16135" width="8.5703125" style="3" customWidth="1"/>
    <col min="16136" max="16136" width="8" style="3" customWidth="1"/>
    <col min="16137" max="16137" width="2.42578125" style="3" customWidth="1"/>
    <col min="16138" max="16138" width="9" style="3" customWidth="1"/>
    <col min="16139" max="16140" width="8" style="3" customWidth="1"/>
    <col min="16141" max="16141" width="2.42578125" style="3" customWidth="1"/>
    <col min="16142" max="16142" width="9.28515625" style="3" customWidth="1"/>
    <col min="16143" max="16144" width="8" style="3" customWidth="1"/>
    <col min="16145" max="16145" width="1.28515625" style="3" customWidth="1"/>
    <col min="16146" max="16146" width="8" style="3" customWidth="1"/>
    <col min="16147" max="16384" width="11.140625" style="3"/>
  </cols>
  <sheetData>
    <row r="1" spans="1:28" s="10" customFormat="1" ht="21" x14ac:dyDescent="0.2">
      <c r="A1" s="59" t="s">
        <v>24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9"/>
    </row>
    <row r="2" spans="1:28" s="11" customFormat="1" ht="15" x14ac:dyDescent="0.25">
      <c r="A2" s="57" t="s">
        <v>25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6"/>
      <c r="R2" s="6"/>
    </row>
    <row r="3" spans="1:28" s="1" customFormat="1" ht="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T3" s="11"/>
      <c r="U3" s="11"/>
      <c r="V3" s="11"/>
      <c r="W3" s="11"/>
      <c r="X3" s="11"/>
      <c r="Y3" s="11"/>
      <c r="Z3" s="11"/>
      <c r="AA3" s="11"/>
      <c r="AB3" s="11"/>
    </row>
    <row r="4" spans="1:28" s="16" customFormat="1" ht="12" x14ac:dyDescent="0.25">
      <c r="A4" s="60" t="s">
        <v>26</v>
      </c>
      <c r="B4" s="63" t="s">
        <v>16</v>
      </c>
      <c r="C4" s="63"/>
      <c r="D4" s="64"/>
      <c r="E4" s="12"/>
      <c r="F4" s="63" t="s">
        <v>17</v>
      </c>
      <c r="G4" s="63"/>
      <c r="H4" s="64"/>
      <c r="I4" s="13"/>
      <c r="J4" s="65" t="s">
        <v>18</v>
      </c>
      <c r="K4" s="63"/>
      <c r="L4" s="64"/>
      <c r="M4" s="14"/>
      <c r="N4" s="66" t="s">
        <v>19</v>
      </c>
      <c r="O4" s="63"/>
      <c r="P4" s="64"/>
      <c r="Q4" s="13"/>
      <c r="R4" s="15" t="s">
        <v>27</v>
      </c>
      <c r="T4" s="67"/>
      <c r="U4" s="67"/>
      <c r="V4" s="67"/>
      <c r="W4" s="67"/>
      <c r="X4" s="67"/>
      <c r="Y4" s="67"/>
      <c r="Z4" s="67"/>
      <c r="AA4" s="67"/>
      <c r="AB4" s="67"/>
    </row>
    <row r="5" spans="1:28" s="23" customFormat="1" ht="13.5" customHeight="1" x14ac:dyDescent="0.2">
      <c r="A5" s="61"/>
      <c r="B5" s="17" t="s">
        <v>28</v>
      </c>
      <c r="C5" s="18" t="s">
        <v>1</v>
      </c>
      <c r="D5" s="19" t="s">
        <v>2</v>
      </c>
      <c r="E5" s="20"/>
      <c r="F5" s="18" t="s">
        <v>0</v>
      </c>
      <c r="G5" s="18" t="s">
        <v>1</v>
      </c>
      <c r="H5" s="19" t="s">
        <v>2</v>
      </c>
      <c r="I5" s="21"/>
      <c r="J5" s="18" t="s">
        <v>0</v>
      </c>
      <c r="K5" s="18" t="s">
        <v>1</v>
      </c>
      <c r="L5" s="19" t="s">
        <v>2</v>
      </c>
      <c r="M5" s="19"/>
      <c r="N5" s="22" t="s">
        <v>0</v>
      </c>
      <c r="O5" s="18" t="s">
        <v>1</v>
      </c>
      <c r="P5" s="19" t="s">
        <v>2</v>
      </c>
      <c r="Q5" s="21"/>
      <c r="R5" s="18" t="s">
        <v>1</v>
      </c>
      <c r="S5" s="2"/>
      <c r="T5" s="5"/>
      <c r="U5" s="5"/>
      <c r="V5" s="5"/>
      <c r="W5" s="5"/>
      <c r="X5" s="5"/>
      <c r="Y5" s="5"/>
      <c r="Z5" s="5"/>
      <c r="AA5" s="5"/>
      <c r="AB5" s="5"/>
    </row>
    <row r="6" spans="1:28" s="29" customFormat="1" ht="18.75" x14ac:dyDescent="0.5">
      <c r="A6" s="62"/>
      <c r="B6" s="24" t="s">
        <v>29</v>
      </c>
      <c r="C6" s="24" t="s">
        <v>30</v>
      </c>
      <c r="D6" s="25" t="s">
        <v>31</v>
      </c>
      <c r="E6" s="26"/>
      <c r="F6" s="24" t="s">
        <v>29</v>
      </c>
      <c r="G6" s="24" t="s">
        <v>30</v>
      </c>
      <c r="H6" s="25" t="s">
        <v>31</v>
      </c>
      <c r="I6" s="27"/>
      <c r="J6" s="24" t="s">
        <v>29</v>
      </c>
      <c r="K6" s="24" t="s">
        <v>30</v>
      </c>
      <c r="L6" s="25" t="s">
        <v>31</v>
      </c>
      <c r="M6" s="25"/>
      <c r="N6" s="28" t="s">
        <v>29</v>
      </c>
      <c r="O6" s="24" t="s">
        <v>30</v>
      </c>
      <c r="P6" s="25" t="s">
        <v>31</v>
      </c>
      <c r="Q6" s="27"/>
      <c r="R6" s="24" t="s">
        <v>30</v>
      </c>
      <c r="T6" s="11"/>
      <c r="U6" s="11"/>
      <c r="V6" s="11"/>
      <c r="W6" s="11"/>
      <c r="X6" s="11"/>
      <c r="Y6" s="11"/>
      <c r="Z6" s="11"/>
      <c r="AA6" s="68"/>
      <c r="AB6" s="68"/>
    </row>
    <row r="7" spans="1:28" s="34" customFormat="1" x14ac:dyDescent="0.2">
      <c r="A7" s="30" t="s">
        <v>32</v>
      </c>
      <c r="B7" s="31">
        <f>SUM(C7:D7)</f>
        <v>1241</v>
      </c>
      <c r="C7" s="31">
        <f>G7+K7+O7+R7</f>
        <v>750</v>
      </c>
      <c r="D7" s="31">
        <f>H7+L7+P7</f>
        <v>491</v>
      </c>
      <c r="E7" s="32"/>
      <c r="F7" s="31">
        <f>SUM(G7:H7)</f>
        <v>625</v>
      </c>
      <c r="G7" s="31">
        <f>G11+G12+G13+G14+G15+G16+G17+G18+G19+G20+G21+G22+G23+G24+G25+G26</f>
        <v>385</v>
      </c>
      <c r="H7" s="31">
        <f>H11+H12+H13+H14+H15+H16+H17+H18+H19+H20+H21+H22+H23+H24+H25+H26</f>
        <v>240</v>
      </c>
      <c r="I7" s="33"/>
      <c r="J7" s="31">
        <f t="shared" ref="J7:J26" si="0">SUM(K7:L7)</f>
        <v>552</v>
      </c>
      <c r="K7" s="31">
        <f>K8+K9+K10+K12+K13+K14+K15+K16+K17+K18+K19+K20+K21+K22+K23+K24+K25+K26</f>
        <v>329</v>
      </c>
      <c r="L7" s="31">
        <f>L8+L9+L10+L12+L13+L14+L15+L16+L17+L18+L19+L20+L21+L22+L23+L24+L25+L26</f>
        <v>223</v>
      </c>
      <c r="M7" s="31"/>
      <c r="N7" s="32">
        <f>SUM(O7:P7)</f>
        <v>63</v>
      </c>
      <c r="O7" s="31">
        <f>O8+O9+O10+O12+O13+O14+O15+O16+O17+O18+O19+O20+O21+O22+O23+O24+O25+O26</f>
        <v>35</v>
      </c>
      <c r="P7" s="31">
        <f>P8+P9+P10+P12+P13+P14+P15+P16+P17+P18+P19+P20+P21+P22+P23+P24+P25+P26</f>
        <v>28</v>
      </c>
      <c r="Q7" s="33"/>
      <c r="R7" s="31">
        <f>SUM(R8:R26)</f>
        <v>1</v>
      </c>
      <c r="T7" s="11"/>
      <c r="U7" s="11"/>
      <c r="V7" s="11"/>
      <c r="W7" s="11"/>
      <c r="X7" s="11"/>
      <c r="Y7" s="11"/>
      <c r="Z7" s="11"/>
      <c r="AA7" s="51"/>
      <c r="AB7" s="51"/>
    </row>
    <row r="8" spans="1:28" s="34" customFormat="1" x14ac:dyDescent="0.2">
      <c r="A8" s="70" t="s">
        <v>22</v>
      </c>
      <c r="B8" s="31">
        <f>SUM(C8:D8)</f>
        <v>45</v>
      </c>
      <c r="C8" s="35">
        <f>G8+K8+O8</f>
        <v>29</v>
      </c>
      <c r="D8" s="35">
        <f>H8+L8+P8</f>
        <v>16</v>
      </c>
      <c r="E8" s="36"/>
      <c r="F8" s="31">
        <f t="shared" ref="F8:F25" si="1">SUM(G8:H8)</f>
        <v>33</v>
      </c>
      <c r="G8" s="35">
        <v>23</v>
      </c>
      <c r="H8" s="35">
        <v>10</v>
      </c>
      <c r="I8" s="37"/>
      <c r="J8" s="31">
        <f t="shared" si="0"/>
        <v>12</v>
      </c>
      <c r="K8" s="35">
        <v>6</v>
      </c>
      <c r="L8" s="35">
        <v>6</v>
      </c>
      <c r="M8" s="38"/>
      <c r="N8" s="32">
        <f t="shared" ref="N8:N19" si="2">SUM(O8:P8)</f>
        <v>0</v>
      </c>
      <c r="O8" s="35">
        <v>0</v>
      </c>
      <c r="P8" s="35">
        <v>0</v>
      </c>
      <c r="Q8" s="39"/>
      <c r="R8" s="35">
        <v>0</v>
      </c>
      <c r="T8" s="67"/>
      <c r="U8" s="67"/>
      <c r="V8" s="67"/>
      <c r="W8" s="67"/>
      <c r="X8" s="67"/>
      <c r="Y8" s="67"/>
      <c r="Z8" s="67"/>
      <c r="AA8" s="51"/>
      <c r="AB8" s="51"/>
    </row>
    <row r="9" spans="1:28" s="34" customFormat="1" x14ac:dyDescent="0.2">
      <c r="A9" s="70" t="s">
        <v>23</v>
      </c>
      <c r="B9" s="31">
        <f t="shared" ref="B9:B26" si="3">SUM(C9:D9)</f>
        <v>6</v>
      </c>
      <c r="C9" s="35">
        <f t="shared" ref="C9:D26" si="4">G9+K9+O9</f>
        <v>3</v>
      </c>
      <c r="D9" s="35">
        <f t="shared" si="4"/>
        <v>3</v>
      </c>
      <c r="E9" s="36"/>
      <c r="F9" s="31">
        <f t="shared" si="1"/>
        <v>3</v>
      </c>
      <c r="G9" s="35">
        <v>2</v>
      </c>
      <c r="H9" s="35">
        <v>1</v>
      </c>
      <c r="I9" s="37"/>
      <c r="J9" s="31">
        <f t="shared" si="0"/>
        <v>1</v>
      </c>
      <c r="K9" s="35">
        <v>0</v>
      </c>
      <c r="L9" s="35">
        <v>1</v>
      </c>
      <c r="M9" s="38"/>
      <c r="N9" s="32">
        <f t="shared" si="2"/>
        <v>2</v>
      </c>
      <c r="O9" s="35">
        <v>1</v>
      </c>
      <c r="P9" s="35">
        <v>1</v>
      </c>
      <c r="Q9" s="39"/>
      <c r="R9" s="35">
        <v>0</v>
      </c>
      <c r="T9" s="5"/>
      <c r="U9" s="5"/>
      <c r="V9" s="5"/>
      <c r="W9" s="5"/>
      <c r="X9" s="5"/>
      <c r="Y9" s="5"/>
      <c r="Z9" s="5"/>
      <c r="AA9" s="51"/>
      <c r="AB9" s="51"/>
    </row>
    <row r="10" spans="1:28" s="34" customFormat="1" x14ac:dyDescent="0.2">
      <c r="A10" s="70" t="s">
        <v>33</v>
      </c>
      <c r="B10" s="31">
        <f t="shared" si="3"/>
        <v>13</v>
      </c>
      <c r="C10" s="35">
        <f t="shared" si="4"/>
        <v>10</v>
      </c>
      <c r="D10" s="35">
        <f t="shared" si="4"/>
        <v>3</v>
      </c>
      <c r="E10" s="36"/>
      <c r="F10" s="31">
        <f t="shared" si="1"/>
        <v>8</v>
      </c>
      <c r="G10" s="35">
        <v>6</v>
      </c>
      <c r="H10" s="35">
        <v>2</v>
      </c>
      <c r="I10" s="37"/>
      <c r="J10" s="31">
        <f t="shared" si="0"/>
        <v>1</v>
      </c>
      <c r="K10" s="35">
        <v>1</v>
      </c>
      <c r="L10" s="35">
        <v>0</v>
      </c>
      <c r="M10" s="38"/>
      <c r="N10" s="32">
        <f t="shared" si="2"/>
        <v>4</v>
      </c>
      <c r="O10" s="35">
        <v>3</v>
      </c>
      <c r="P10" s="35">
        <v>1</v>
      </c>
      <c r="Q10" s="39"/>
      <c r="R10" s="35">
        <v>0</v>
      </c>
      <c r="T10" s="11"/>
      <c r="U10" s="11"/>
      <c r="V10" s="11"/>
      <c r="W10" s="11"/>
      <c r="X10" s="11"/>
      <c r="Y10" s="11"/>
      <c r="Z10" s="11"/>
      <c r="AA10" s="51"/>
      <c r="AB10" s="51"/>
    </row>
    <row r="11" spans="1:28" s="34" customFormat="1" x14ac:dyDescent="0.2">
      <c r="A11" s="71" t="s">
        <v>4</v>
      </c>
      <c r="B11" s="31">
        <f t="shared" si="3"/>
        <v>64</v>
      </c>
      <c r="C11" s="35">
        <f t="shared" si="4"/>
        <v>42</v>
      </c>
      <c r="D11" s="35">
        <f t="shared" si="4"/>
        <v>22</v>
      </c>
      <c r="E11" s="36"/>
      <c r="F11" s="31">
        <f t="shared" si="1"/>
        <v>44</v>
      </c>
      <c r="G11" s="35">
        <f>SUM(G8:G10)</f>
        <v>31</v>
      </c>
      <c r="H11" s="35">
        <f>SUM(H8:H10)</f>
        <v>13</v>
      </c>
      <c r="I11" s="37"/>
      <c r="J11" s="31">
        <f t="shared" si="0"/>
        <v>14</v>
      </c>
      <c r="K11" s="35">
        <f>SUM(K8:K10)</f>
        <v>7</v>
      </c>
      <c r="L11" s="35">
        <f>SUM(L8:L10)</f>
        <v>7</v>
      </c>
      <c r="M11" s="38"/>
      <c r="N11" s="32">
        <f t="shared" si="2"/>
        <v>6</v>
      </c>
      <c r="O11" s="35">
        <f>SUM(O8:O10)</f>
        <v>4</v>
      </c>
      <c r="P11" s="35">
        <f>SUM(P8:P10)</f>
        <v>2</v>
      </c>
      <c r="Q11" s="39"/>
      <c r="R11" s="35">
        <v>0</v>
      </c>
      <c r="T11" s="11"/>
      <c r="U11" s="11"/>
      <c r="V11" s="11"/>
      <c r="W11" s="11"/>
      <c r="X11" s="11"/>
      <c r="Y11" s="11"/>
      <c r="Z11" s="11"/>
      <c r="AA11" s="51"/>
      <c r="AB11" s="51"/>
    </row>
    <row r="12" spans="1:28" s="34" customFormat="1" x14ac:dyDescent="0.2">
      <c r="A12" s="72" t="s">
        <v>6</v>
      </c>
      <c r="B12" s="31">
        <f t="shared" si="3"/>
        <v>8</v>
      </c>
      <c r="C12" s="35">
        <f t="shared" si="4"/>
        <v>5</v>
      </c>
      <c r="D12" s="35">
        <f t="shared" si="4"/>
        <v>3</v>
      </c>
      <c r="E12" s="36"/>
      <c r="F12" s="31">
        <f t="shared" si="1"/>
        <v>5</v>
      </c>
      <c r="G12" s="35">
        <v>3</v>
      </c>
      <c r="H12" s="35">
        <v>2</v>
      </c>
      <c r="I12" s="37"/>
      <c r="J12" s="31">
        <f t="shared" si="0"/>
        <v>2</v>
      </c>
      <c r="K12" s="35">
        <v>2</v>
      </c>
      <c r="L12" s="35">
        <v>0</v>
      </c>
      <c r="M12" s="35"/>
      <c r="N12" s="32">
        <f t="shared" si="2"/>
        <v>1</v>
      </c>
      <c r="O12" s="35">
        <v>0</v>
      </c>
      <c r="P12" s="35">
        <v>1</v>
      </c>
      <c r="Q12" s="39"/>
      <c r="R12" s="35">
        <v>0</v>
      </c>
      <c r="T12" s="67"/>
      <c r="U12" s="67"/>
      <c r="V12" s="67"/>
      <c r="W12" s="67"/>
      <c r="X12" s="67"/>
      <c r="Y12" s="67"/>
      <c r="Z12" s="67"/>
      <c r="AA12" s="51"/>
      <c r="AB12" s="51"/>
    </row>
    <row r="13" spans="1:28" s="34" customFormat="1" x14ac:dyDescent="0.2">
      <c r="A13" s="72" t="s">
        <v>3</v>
      </c>
      <c r="B13" s="31">
        <f t="shared" si="3"/>
        <v>8</v>
      </c>
      <c r="C13" s="35">
        <f t="shared" si="4"/>
        <v>2</v>
      </c>
      <c r="D13" s="35">
        <f t="shared" si="4"/>
        <v>6</v>
      </c>
      <c r="E13" s="36"/>
      <c r="F13" s="31">
        <f t="shared" si="1"/>
        <v>2</v>
      </c>
      <c r="G13" s="35">
        <v>1</v>
      </c>
      <c r="H13" s="35">
        <v>1</v>
      </c>
      <c r="I13" s="37"/>
      <c r="J13" s="31">
        <f t="shared" si="0"/>
        <v>5</v>
      </c>
      <c r="K13" s="35">
        <v>1</v>
      </c>
      <c r="L13" s="35">
        <v>4</v>
      </c>
      <c r="M13" s="38"/>
      <c r="N13" s="32">
        <f t="shared" si="2"/>
        <v>1</v>
      </c>
      <c r="O13" s="35">
        <v>0</v>
      </c>
      <c r="P13" s="35">
        <v>1</v>
      </c>
      <c r="Q13" s="39"/>
      <c r="R13" s="35">
        <v>0</v>
      </c>
      <c r="T13" s="5"/>
      <c r="U13" s="5"/>
      <c r="V13" s="5"/>
      <c r="W13" s="5"/>
      <c r="X13" s="5"/>
      <c r="Y13" s="5"/>
      <c r="Z13" s="5"/>
      <c r="AA13" s="51"/>
      <c r="AB13" s="51"/>
    </row>
    <row r="14" spans="1:28" x14ac:dyDescent="0.2">
      <c r="A14" s="73" t="s">
        <v>5</v>
      </c>
      <c r="B14" s="31">
        <f t="shared" si="3"/>
        <v>5</v>
      </c>
      <c r="C14" s="35">
        <f t="shared" si="4"/>
        <v>2</v>
      </c>
      <c r="D14" s="35">
        <f t="shared" si="4"/>
        <v>3</v>
      </c>
      <c r="E14" s="36"/>
      <c r="F14" s="31">
        <f t="shared" si="1"/>
        <v>3</v>
      </c>
      <c r="G14" s="35">
        <v>1</v>
      </c>
      <c r="H14" s="35">
        <v>2</v>
      </c>
      <c r="I14" s="37"/>
      <c r="J14" s="31">
        <f t="shared" si="0"/>
        <v>1</v>
      </c>
      <c r="K14" s="35">
        <v>1</v>
      </c>
      <c r="L14" s="35">
        <v>0</v>
      </c>
      <c r="M14" s="38"/>
      <c r="N14" s="32">
        <f t="shared" si="2"/>
        <v>1</v>
      </c>
      <c r="O14" s="35">
        <v>0</v>
      </c>
      <c r="P14" s="35">
        <v>1</v>
      </c>
      <c r="Q14" s="39"/>
      <c r="R14" s="35">
        <v>0</v>
      </c>
      <c r="T14" s="11"/>
      <c r="U14" s="11"/>
      <c r="V14" s="11"/>
      <c r="W14" s="11"/>
      <c r="X14" s="11"/>
      <c r="Y14" s="11"/>
      <c r="Z14" s="11"/>
      <c r="AA14" s="5"/>
      <c r="AB14" s="5"/>
    </row>
    <row r="15" spans="1:28" x14ac:dyDescent="0.2">
      <c r="A15" s="73" t="s">
        <v>7</v>
      </c>
      <c r="B15" s="31">
        <f t="shared" si="3"/>
        <v>13</v>
      </c>
      <c r="C15" s="35">
        <f t="shared" si="4"/>
        <v>9</v>
      </c>
      <c r="D15" s="35">
        <f t="shared" si="4"/>
        <v>4</v>
      </c>
      <c r="E15" s="36"/>
      <c r="F15" s="31">
        <f t="shared" si="1"/>
        <v>7</v>
      </c>
      <c r="G15" s="35">
        <v>4</v>
      </c>
      <c r="H15" s="35">
        <v>3</v>
      </c>
      <c r="I15" s="37"/>
      <c r="J15" s="31">
        <f t="shared" si="0"/>
        <v>5</v>
      </c>
      <c r="K15" s="35">
        <v>4</v>
      </c>
      <c r="L15" s="35">
        <v>1</v>
      </c>
      <c r="M15" s="38"/>
      <c r="N15" s="32">
        <f t="shared" si="2"/>
        <v>1</v>
      </c>
      <c r="O15" s="35">
        <v>1</v>
      </c>
      <c r="P15" s="35">
        <v>0</v>
      </c>
      <c r="Q15" s="39"/>
      <c r="R15" s="35">
        <v>0</v>
      </c>
      <c r="T15" s="11"/>
      <c r="U15" s="11"/>
      <c r="V15" s="11"/>
      <c r="W15" s="11"/>
      <c r="X15" s="11"/>
      <c r="Y15" s="11"/>
      <c r="Z15" s="11"/>
      <c r="AA15" s="5"/>
      <c r="AB15" s="5"/>
    </row>
    <row r="16" spans="1:28" x14ac:dyDescent="0.2">
      <c r="A16" s="73" t="s">
        <v>8</v>
      </c>
      <c r="B16" s="31">
        <f t="shared" si="3"/>
        <v>16</v>
      </c>
      <c r="C16" s="35">
        <f t="shared" si="4"/>
        <v>10</v>
      </c>
      <c r="D16" s="35">
        <f t="shared" si="4"/>
        <v>6</v>
      </c>
      <c r="E16" s="36"/>
      <c r="F16" s="31">
        <f t="shared" si="1"/>
        <v>9</v>
      </c>
      <c r="G16" s="35">
        <v>5</v>
      </c>
      <c r="H16" s="35">
        <v>4</v>
      </c>
      <c r="I16" s="37"/>
      <c r="J16" s="31">
        <f t="shared" si="0"/>
        <v>6</v>
      </c>
      <c r="K16" s="35">
        <v>4</v>
      </c>
      <c r="L16" s="35">
        <v>2</v>
      </c>
      <c r="M16" s="38"/>
      <c r="N16" s="32">
        <f t="shared" si="2"/>
        <v>1</v>
      </c>
      <c r="O16" s="35">
        <v>1</v>
      </c>
      <c r="P16" s="35">
        <v>0</v>
      </c>
      <c r="Q16" s="39"/>
      <c r="R16" s="35">
        <v>0</v>
      </c>
      <c r="T16" s="67"/>
      <c r="U16" s="67"/>
      <c r="V16" s="67"/>
      <c r="W16" s="67"/>
      <c r="X16" s="67"/>
      <c r="Y16" s="67"/>
      <c r="Z16" s="67"/>
      <c r="AA16" s="5"/>
      <c r="AB16" s="5"/>
    </row>
    <row r="17" spans="1:28" x14ac:dyDescent="0.2">
      <c r="A17" s="73" t="s">
        <v>34</v>
      </c>
      <c r="B17" s="31">
        <f t="shared" si="3"/>
        <v>29</v>
      </c>
      <c r="C17" s="35">
        <f t="shared" si="4"/>
        <v>18</v>
      </c>
      <c r="D17" s="35">
        <f t="shared" si="4"/>
        <v>11</v>
      </c>
      <c r="E17" s="36"/>
      <c r="F17" s="31">
        <f t="shared" si="1"/>
        <v>11</v>
      </c>
      <c r="G17" s="35">
        <v>7</v>
      </c>
      <c r="H17" s="35">
        <v>4</v>
      </c>
      <c r="I17" s="37"/>
      <c r="J17" s="31">
        <f t="shared" si="0"/>
        <v>14</v>
      </c>
      <c r="K17" s="35">
        <v>10</v>
      </c>
      <c r="L17" s="35">
        <v>4</v>
      </c>
      <c r="M17" s="38"/>
      <c r="N17" s="32">
        <f t="shared" si="2"/>
        <v>4</v>
      </c>
      <c r="O17" s="35">
        <v>1</v>
      </c>
      <c r="P17" s="35">
        <v>3</v>
      </c>
      <c r="Q17" s="39"/>
      <c r="R17" s="35">
        <v>0</v>
      </c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A18" s="73" t="s">
        <v>9</v>
      </c>
      <c r="B18" s="31">
        <f t="shared" si="3"/>
        <v>25</v>
      </c>
      <c r="C18" s="35">
        <f>G18+K18+O18</f>
        <v>18</v>
      </c>
      <c r="D18" s="35">
        <f t="shared" si="4"/>
        <v>7</v>
      </c>
      <c r="E18" s="36"/>
      <c r="F18" s="31">
        <f t="shared" si="1"/>
        <v>11</v>
      </c>
      <c r="G18" s="35">
        <v>8</v>
      </c>
      <c r="H18" s="35">
        <v>3</v>
      </c>
      <c r="I18" s="37"/>
      <c r="J18" s="31">
        <f t="shared" si="0"/>
        <v>12</v>
      </c>
      <c r="K18" s="35">
        <v>8</v>
      </c>
      <c r="L18" s="35">
        <v>4</v>
      </c>
      <c r="M18" s="38"/>
      <c r="N18" s="32">
        <f t="shared" si="2"/>
        <v>2</v>
      </c>
      <c r="O18" s="35">
        <v>2</v>
      </c>
      <c r="P18" s="35">
        <v>0</v>
      </c>
      <c r="Q18" s="39"/>
      <c r="R18" s="35">
        <v>0</v>
      </c>
      <c r="T18" s="11"/>
      <c r="U18" s="11"/>
      <c r="V18" s="11"/>
      <c r="W18" s="11"/>
      <c r="X18" s="11"/>
      <c r="Y18" s="11"/>
      <c r="Z18" s="11"/>
      <c r="AA18" s="5"/>
      <c r="AB18" s="5"/>
    </row>
    <row r="19" spans="1:28" x14ac:dyDescent="0.2">
      <c r="A19" s="73" t="s">
        <v>10</v>
      </c>
      <c r="B19" s="31">
        <f>SUM(C19:D19)</f>
        <v>20</v>
      </c>
      <c r="C19" s="35">
        <f>G19+K19+O19+R19</f>
        <v>16</v>
      </c>
      <c r="D19" s="35">
        <f t="shared" si="4"/>
        <v>4</v>
      </c>
      <c r="E19" s="36"/>
      <c r="F19" s="31">
        <f t="shared" si="1"/>
        <v>10</v>
      </c>
      <c r="G19" s="35">
        <v>9</v>
      </c>
      <c r="H19" s="35">
        <v>1</v>
      </c>
      <c r="I19" s="37"/>
      <c r="J19" s="31">
        <f t="shared" si="0"/>
        <v>9</v>
      </c>
      <c r="K19" s="35">
        <v>6</v>
      </c>
      <c r="L19" s="35">
        <v>3</v>
      </c>
      <c r="M19" s="38"/>
      <c r="N19" s="32">
        <f t="shared" si="2"/>
        <v>1</v>
      </c>
      <c r="O19" s="35">
        <v>1</v>
      </c>
      <c r="P19" s="35">
        <v>0</v>
      </c>
      <c r="Q19" s="39"/>
      <c r="R19" s="35">
        <v>0</v>
      </c>
      <c r="T19" s="11"/>
      <c r="U19" s="11"/>
      <c r="V19" s="11"/>
      <c r="W19" s="11"/>
      <c r="X19" s="11"/>
      <c r="Y19" s="11"/>
      <c r="Z19" s="11"/>
      <c r="AA19" s="5"/>
      <c r="AB19" s="5"/>
    </row>
    <row r="20" spans="1:28" ht="13.5" customHeight="1" x14ac:dyDescent="0.2">
      <c r="A20" s="73" t="s">
        <v>35</v>
      </c>
      <c r="B20" s="31">
        <f>SUM(C20:D20)</f>
        <v>18</v>
      </c>
      <c r="C20" s="35">
        <f>G20+K20+O20+R20</f>
        <v>10</v>
      </c>
      <c r="D20" s="35">
        <f t="shared" si="4"/>
        <v>8</v>
      </c>
      <c r="E20" s="36"/>
      <c r="F20" s="31">
        <f t="shared" si="1"/>
        <v>12</v>
      </c>
      <c r="G20" s="35">
        <v>7</v>
      </c>
      <c r="H20" s="35">
        <v>5</v>
      </c>
      <c r="I20" s="37"/>
      <c r="J20" s="31">
        <f t="shared" si="0"/>
        <v>5</v>
      </c>
      <c r="K20" s="35">
        <v>2</v>
      </c>
      <c r="L20" s="35">
        <v>3</v>
      </c>
      <c r="M20" s="38"/>
      <c r="N20" s="32">
        <f>SUM(O20:P20)</f>
        <v>0</v>
      </c>
      <c r="O20" s="35">
        <v>0</v>
      </c>
      <c r="P20" s="35">
        <v>0</v>
      </c>
      <c r="Q20" s="39"/>
      <c r="R20" s="35">
        <v>1</v>
      </c>
      <c r="T20" s="67"/>
      <c r="U20" s="67"/>
      <c r="V20" s="67"/>
      <c r="W20" s="67"/>
      <c r="X20" s="67"/>
      <c r="Y20" s="67"/>
      <c r="Z20" s="67"/>
      <c r="AA20" s="5"/>
      <c r="AB20" s="5"/>
    </row>
    <row r="21" spans="1:28" x14ac:dyDescent="0.2">
      <c r="A21" s="73" t="s">
        <v>11</v>
      </c>
      <c r="B21" s="31">
        <f t="shared" si="3"/>
        <v>31</v>
      </c>
      <c r="C21" s="35">
        <f t="shared" si="4"/>
        <v>24</v>
      </c>
      <c r="D21" s="35">
        <f t="shared" si="4"/>
        <v>7</v>
      </c>
      <c r="E21" s="36"/>
      <c r="F21" s="31">
        <f t="shared" si="1"/>
        <v>17</v>
      </c>
      <c r="G21" s="35">
        <v>12</v>
      </c>
      <c r="H21" s="35">
        <v>5</v>
      </c>
      <c r="I21" s="37"/>
      <c r="J21" s="31">
        <f t="shared" si="0"/>
        <v>12</v>
      </c>
      <c r="K21" s="35">
        <v>10</v>
      </c>
      <c r="L21" s="35">
        <v>2</v>
      </c>
      <c r="M21" s="38"/>
      <c r="N21" s="32">
        <f t="shared" ref="N21:N26" si="5">SUM(O21:P21)</f>
        <v>2</v>
      </c>
      <c r="O21" s="35">
        <v>2</v>
      </c>
      <c r="P21" s="35">
        <v>0</v>
      </c>
      <c r="Q21" s="39"/>
      <c r="R21" s="35">
        <v>0</v>
      </c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">
      <c r="A22" s="73" t="s">
        <v>12</v>
      </c>
      <c r="B22" s="31">
        <f t="shared" si="3"/>
        <v>36</v>
      </c>
      <c r="C22" s="35">
        <f t="shared" si="4"/>
        <v>21</v>
      </c>
      <c r="D22" s="35">
        <f t="shared" si="4"/>
        <v>15</v>
      </c>
      <c r="E22" s="36"/>
      <c r="F22" s="31">
        <f t="shared" si="1"/>
        <v>22</v>
      </c>
      <c r="G22" s="35">
        <v>12</v>
      </c>
      <c r="H22" s="35">
        <v>10</v>
      </c>
      <c r="I22" s="37"/>
      <c r="J22" s="31">
        <f t="shared" si="0"/>
        <v>9</v>
      </c>
      <c r="K22" s="35">
        <v>6</v>
      </c>
      <c r="L22" s="35">
        <v>3</v>
      </c>
      <c r="M22" s="38"/>
      <c r="N22" s="32">
        <f t="shared" si="5"/>
        <v>5</v>
      </c>
      <c r="O22" s="35">
        <v>3</v>
      </c>
      <c r="P22" s="35">
        <v>2</v>
      </c>
      <c r="Q22" s="39"/>
      <c r="R22" s="35">
        <v>0</v>
      </c>
      <c r="T22" s="11"/>
      <c r="U22" s="11"/>
      <c r="V22" s="11"/>
      <c r="W22" s="11"/>
      <c r="X22" s="11"/>
      <c r="Y22" s="11"/>
      <c r="Z22" s="11"/>
      <c r="AA22" s="5"/>
      <c r="AB22" s="5"/>
    </row>
    <row r="23" spans="1:28" x14ac:dyDescent="0.2">
      <c r="A23" s="73" t="s">
        <v>13</v>
      </c>
      <c r="B23" s="31">
        <f t="shared" si="3"/>
        <v>76</v>
      </c>
      <c r="C23" s="35">
        <f t="shared" si="4"/>
        <v>47</v>
      </c>
      <c r="D23" s="35">
        <f t="shared" si="4"/>
        <v>29</v>
      </c>
      <c r="E23" s="36"/>
      <c r="F23" s="31">
        <f t="shared" si="1"/>
        <v>44</v>
      </c>
      <c r="G23" s="35">
        <v>28</v>
      </c>
      <c r="H23" s="35">
        <v>16</v>
      </c>
      <c r="I23" s="37"/>
      <c r="J23" s="31">
        <f t="shared" si="0"/>
        <v>29</v>
      </c>
      <c r="K23" s="35">
        <v>17</v>
      </c>
      <c r="L23" s="35">
        <v>12</v>
      </c>
      <c r="M23" s="38"/>
      <c r="N23" s="32">
        <f t="shared" si="5"/>
        <v>3</v>
      </c>
      <c r="O23" s="35">
        <v>2</v>
      </c>
      <c r="P23" s="35">
        <v>1</v>
      </c>
      <c r="Q23" s="39"/>
      <c r="R23" s="35">
        <v>0</v>
      </c>
      <c r="T23" s="11"/>
      <c r="U23" s="11"/>
      <c r="V23" s="11"/>
      <c r="W23" s="11"/>
      <c r="X23" s="11"/>
      <c r="Y23" s="11"/>
      <c r="Z23" s="11"/>
      <c r="AA23" s="5"/>
      <c r="AB23" s="5"/>
    </row>
    <row r="24" spans="1:28" x14ac:dyDescent="0.2">
      <c r="A24" s="73" t="s">
        <v>14</v>
      </c>
      <c r="B24" s="31">
        <f t="shared" si="3"/>
        <v>79</v>
      </c>
      <c r="C24" s="35">
        <f t="shared" si="4"/>
        <v>51</v>
      </c>
      <c r="D24" s="35">
        <f t="shared" si="4"/>
        <v>28</v>
      </c>
      <c r="E24" s="36"/>
      <c r="F24" s="31">
        <f t="shared" si="1"/>
        <v>44</v>
      </c>
      <c r="G24" s="35">
        <v>27</v>
      </c>
      <c r="H24" s="35">
        <v>17</v>
      </c>
      <c r="I24" s="37"/>
      <c r="J24" s="31">
        <f t="shared" si="0"/>
        <v>21</v>
      </c>
      <c r="K24" s="35">
        <v>17</v>
      </c>
      <c r="L24" s="35">
        <v>4</v>
      </c>
      <c r="M24" s="38"/>
      <c r="N24" s="32">
        <f t="shared" si="5"/>
        <v>14</v>
      </c>
      <c r="O24" s="35">
        <v>7</v>
      </c>
      <c r="P24" s="35">
        <v>7</v>
      </c>
      <c r="Q24" s="39"/>
      <c r="R24" s="35">
        <v>0</v>
      </c>
      <c r="T24" s="67"/>
      <c r="U24" s="67"/>
      <c r="V24" s="67"/>
      <c r="W24" s="67"/>
      <c r="X24" s="67"/>
      <c r="Y24" s="67"/>
      <c r="Z24" s="67"/>
      <c r="AA24" s="5"/>
      <c r="AB24" s="5"/>
    </row>
    <row r="25" spans="1:28" x14ac:dyDescent="0.2">
      <c r="A25" s="73" t="s">
        <v>15</v>
      </c>
      <c r="B25" s="31">
        <f t="shared" si="3"/>
        <v>72</v>
      </c>
      <c r="C25" s="35">
        <f t="shared" si="4"/>
        <v>48</v>
      </c>
      <c r="D25" s="35">
        <f t="shared" si="4"/>
        <v>24</v>
      </c>
      <c r="E25" s="36"/>
      <c r="F25" s="31">
        <f t="shared" si="1"/>
        <v>42</v>
      </c>
      <c r="G25" s="35">
        <v>31</v>
      </c>
      <c r="H25" s="35">
        <v>11</v>
      </c>
      <c r="I25" s="39"/>
      <c r="J25" s="31">
        <f t="shared" si="0"/>
        <v>25</v>
      </c>
      <c r="K25" s="35">
        <v>14</v>
      </c>
      <c r="L25" s="35">
        <v>11</v>
      </c>
      <c r="M25" s="38"/>
      <c r="N25" s="32">
        <f t="shared" si="5"/>
        <v>5</v>
      </c>
      <c r="O25" s="35">
        <v>3</v>
      </c>
      <c r="P25" s="35">
        <v>2</v>
      </c>
      <c r="Q25" s="39"/>
      <c r="R25" s="35">
        <v>0</v>
      </c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">
      <c r="A26" s="40" t="s">
        <v>36</v>
      </c>
      <c r="B26" s="41">
        <f t="shared" si="3"/>
        <v>741</v>
      </c>
      <c r="C26" s="42">
        <f t="shared" si="4"/>
        <v>427</v>
      </c>
      <c r="D26" s="42">
        <f t="shared" si="4"/>
        <v>314</v>
      </c>
      <c r="E26" s="43"/>
      <c r="F26" s="41">
        <f>SUM(G26:H26)</f>
        <v>342</v>
      </c>
      <c r="G26" s="42">
        <v>199</v>
      </c>
      <c r="H26" s="42">
        <v>143</v>
      </c>
      <c r="I26" s="44"/>
      <c r="J26" s="41">
        <f t="shared" si="0"/>
        <v>383</v>
      </c>
      <c r="K26" s="42">
        <v>220</v>
      </c>
      <c r="L26" s="42">
        <v>163</v>
      </c>
      <c r="M26" s="45"/>
      <c r="N26" s="46">
        <f t="shared" si="5"/>
        <v>16</v>
      </c>
      <c r="O26" s="42">
        <v>8</v>
      </c>
      <c r="P26" s="42">
        <v>8</v>
      </c>
      <c r="Q26" s="47"/>
      <c r="R26" s="42">
        <v>0</v>
      </c>
      <c r="T26" s="5"/>
      <c r="U26" s="5"/>
      <c r="V26" s="5"/>
      <c r="W26" s="5"/>
      <c r="X26" s="5"/>
      <c r="Y26" s="5"/>
      <c r="Z26" s="5"/>
      <c r="AA26" s="5"/>
      <c r="AB26" s="5"/>
    </row>
    <row r="27" spans="1:28" s="7" customFormat="1" ht="17.25" x14ac:dyDescent="0.45">
      <c r="A27" s="4" t="s">
        <v>37</v>
      </c>
      <c r="G27" s="48"/>
      <c r="H27" s="49"/>
      <c r="R27" s="8" t="s">
        <v>21</v>
      </c>
      <c r="T27" s="69"/>
      <c r="U27" s="69"/>
      <c r="V27" s="69"/>
      <c r="W27" s="69"/>
      <c r="X27" s="69"/>
      <c r="Y27" s="69"/>
      <c r="Z27" s="69"/>
      <c r="AA27" s="69"/>
      <c r="AB27" s="69"/>
    </row>
    <row r="28" spans="1:28" x14ac:dyDescent="0.2">
      <c r="A28" s="4" t="s">
        <v>20</v>
      </c>
      <c r="B28" s="58"/>
      <c r="C28" s="58"/>
      <c r="D28" s="58"/>
      <c r="E28" s="50"/>
      <c r="F28" s="58"/>
      <c r="G28" s="58"/>
      <c r="H28" s="58"/>
      <c r="I28" s="50"/>
      <c r="J28" s="58"/>
      <c r="K28" s="58"/>
      <c r="L28" s="58"/>
      <c r="M28" s="50"/>
      <c r="N28" s="58"/>
      <c r="O28" s="58"/>
      <c r="P28" s="58"/>
      <c r="Q28" s="50"/>
      <c r="R28" s="50"/>
      <c r="S28" s="51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">
      <c r="A29" s="52"/>
      <c r="B29" s="53"/>
      <c r="C29" s="53"/>
      <c r="D29" s="54"/>
      <c r="E29" s="54"/>
      <c r="F29" s="50"/>
      <c r="G29" s="50"/>
      <c r="H29" s="55"/>
      <c r="I29" s="54"/>
      <c r="J29" s="53"/>
      <c r="K29" s="53"/>
      <c r="L29" s="54"/>
      <c r="M29" s="54"/>
      <c r="N29" s="53"/>
      <c r="O29" s="53"/>
      <c r="P29" s="54"/>
      <c r="Q29" s="54"/>
      <c r="R29" s="54"/>
      <c r="S29" s="51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">
      <c r="A30" s="56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"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">
      <c r="T32" s="5"/>
      <c r="U32" s="5"/>
      <c r="V32" s="5"/>
      <c r="W32" s="5"/>
      <c r="X32" s="5"/>
      <c r="Y32" s="5"/>
      <c r="Z32" s="5"/>
      <c r="AA32" s="5"/>
      <c r="AB32" s="5"/>
    </row>
    <row r="33" spans="20:28" x14ac:dyDescent="0.2">
      <c r="T33" s="5"/>
      <c r="U33" s="5"/>
      <c r="V33" s="5"/>
      <c r="W33" s="5"/>
      <c r="X33" s="5"/>
      <c r="Y33" s="5"/>
      <c r="Z33" s="5"/>
      <c r="AA33" s="5"/>
      <c r="AB33" s="5"/>
    </row>
    <row r="34" spans="20:28" x14ac:dyDescent="0.2">
      <c r="T34" s="5"/>
      <c r="U34" s="5"/>
      <c r="V34" s="5"/>
      <c r="W34" s="5"/>
      <c r="X34" s="5"/>
      <c r="Y34" s="5"/>
      <c r="Z34" s="5"/>
      <c r="AA34" s="5"/>
      <c r="AB34" s="5"/>
    </row>
    <row r="35" spans="20:28" x14ac:dyDescent="0.2">
      <c r="T35" s="5"/>
      <c r="U35" s="5"/>
      <c r="V35" s="5"/>
      <c r="W35" s="5"/>
      <c r="X35" s="5"/>
      <c r="Y35" s="5"/>
      <c r="Z35" s="5"/>
      <c r="AA35" s="5"/>
      <c r="AB35" s="5"/>
    </row>
    <row r="36" spans="20:28" x14ac:dyDescent="0.2">
      <c r="T36" s="5"/>
      <c r="U36" s="5"/>
      <c r="V36" s="5"/>
      <c r="W36" s="5"/>
      <c r="X36" s="5"/>
      <c r="Y36" s="5"/>
      <c r="Z36" s="5"/>
      <c r="AA36" s="5"/>
      <c r="AB36" s="5"/>
    </row>
    <row r="37" spans="20:28" x14ac:dyDescent="0.2">
      <c r="T37" s="5"/>
      <c r="U37" s="5"/>
      <c r="V37" s="5"/>
      <c r="W37" s="5"/>
      <c r="X37" s="5"/>
      <c r="Y37" s="5"/>
      <c r="Z37" s="5"/>
      <c r="AA37" s="5"/>
      <c r="AB37" s="5"/>
    </row>
    <row r="38" spans="20:28" x14ac:dyDescent="0.2">
      <c r="T38" s="5"/>
      <c r="U38" s="5"/>
      <c r="V38" s="5"/>
      <c r="W38" s="5"/>
      <c r="X38" s="5"/>
      <c r="Y38" s="5"/>
      <c r="Z38" s="5"/>
      <c r="AA38" s="5"/>
      <c r="AB38" s="5"/>
    </row>
    <row r="39" spans="20:28" x14ac:dyDescent="0.2">
      <c r="T39" s="5"/>
      <c r="U39" s="5"/>
      <c r="V39" s="5"/>
      <c r="W39" s="5"/>
      <c r="X39" s="5"/>
      <c r="Y39" s="5"/>
      <c r="Z39" s="5"/>
      <c r="AA39" s="5"/>
      <c r="AB39" s="5"/>
    </row>
    <row r="40" spans="20:28" x14ac:dyDescent="0.2">
      <c r="T40" s="5"/>
      <c r="U40" s="5"/>
      <c r="V40" s="5"/>
      <c r="W40" s="5"/>
      <c r="X40" s="5"/>
      <c r="Y40" s="5"/>
      <c r="Z40" s="5"/>
      <c r="AA40" s="5"/>
      <c r="AB40" s="5"/>
    </row>
    <row r="41" spans="20:28" x14ac:dyDescent="0.2">
      <c r="T41" s="5"/>
      <c r="U41" s="5"/>
      <c r="V41" s="5"/>
      <c r="W41" s="5"/>
      <c r="X41" s="5"/>
      <c r="Y41" s="5"/>
      <c r="Z41" s="5"/>
      <c r="AA41" s="5"/>
      <c r="AB41" s="5"/>
    </row>
  </sheetData>
  <mergeCells count="11">
    <mergeCell ref="B28:D28"/>
    <mergeCell ref="F28:H28"/>
    <mergeCell ref="J28:L28"/>
    <mergeCell ref="N28:P28"/>
    <mergeCell ref="A1:P1"/>
    <mergeCell ref="A2:P2"/>
    <mergeCell ref="A4:A6"/>
    <mergeCell ref="B4:D4"/>
    <mergeCell ref="F4:H4"/>
    <mergeCell ref="J4:L4"/>
    <mergeCell ref="N4:P4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3.12</vt:lpstr>
      <vt:lpstr>'3.12'!Print_Area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2019-07-31T06:40:20Z</cp:lastPrinted>
  <dcterms:created xsi:type="dcterms:W3CDTF">2019-07-22T06:02:33Z</dcterms:created>
  <dcterms:modified xsi:type="dcterms:W3CDTF">2019-07-31T06:40:25Z</dcterms:modified>
</cp:coreProperties>
</file>