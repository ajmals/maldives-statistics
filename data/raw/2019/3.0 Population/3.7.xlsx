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7" sheetId="7" r:id="rId1"/>
  </sheets>
  <externalReferences>
    <externalReference r:id="rId2"/>
    <externalReference r:id="rId3"/>
    <externalReference r:id="rId4"/>
  </externalReferences>
  <definedNames>
    <definedName name="_xlnm.Print_Area" localSheetId="0">'3.7'!$A$1:$L$47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43" i="7" l="1"/>
  <c r="AZ43" i="7"/>
  <c r="BA42" i="7"/>
  <c r="AZ42" i="7"/>
  <c r="BA41" i="7"/>
  <c r="AZ41" i="7"/>
  <c r="BA40" i="7"/>
  <c r="AZ40" i="7"/>
  <c r="BA39" i="7"/>
  <c r="AZ39" i="7"/>
  <c r="BA38" i="7"/>
  <c r="AZ38" i="7"/>
  <c r="BA37" i="7"/>
  <c r="AZ37" i="7"/>
  <c r="BA36" i="7"/>
  <c r="AZ36" i="7"/>
  <c r="BA35" i="7"/>
  <c r="AZ35" i="7"/>
  <c r="BA34" i="7"/>
  <c r="AZ34" i="7"/>
  <c r="BA33" i="7"/>
  <c r="AZ33" i="7"/>
  <c r="BA32" i="7"/>
  <c r="AZ32" i="7"/>
  <c r="BA20" i="7"/>
  <c r="AZ20" i="7"/>
  <c r="BA19" i="7"/>
  <c r="AZ19" i="7"/>
  <c r="BA18" i="7"/>
  <c r="AZ18" i="7"/>
  <c r="J18" i="7"/>
  <c r="G18" i="7"/>
  <c r="D18" i="7"/>
  <c r="BA17" i="7"/>
  <c r="AZ17" i="7"/>
  <c r="J17" i="7"/>
  <c r="G17" i="7"/>
  <c r="D17" i="7"/>
  <c r="BA16" i="7"/>
  <c r="AZ16" i="7"/>
  <c r="J16" i="7"/>
  <c r="G16" i="7"/>
  <c r="D16" i="7"/>
  <c r="BA15" i="7"/>
  <c r="AZ15" i="7"/>
  <c r="J15" i="7"/>
  <c r="G15" i="7"/>
  <c r="D15" i="7"/>
  <c r="BA14" i="7"/>
  <c r="AZ14" i="7"/>
  <c r="J14" i="7"/>
  <c r="G14" i="7"/>
  <c r="D14" i="7"/>
  <c r="BA13" i="7"/>
  <c r="AZ13" i="7"/>
  <c r="J13" i="7"/>
  <c r="G13" i="7"/>
  <c r="D13" i="7"/>
  <c r="BA12" i="7"/>
  <c r="AZ12" i="7"/>
  <c r="J12" i="7"/>
  <c r="G12" i="7"/>
  <c r="D12" i="7"/>
  <c r="BA11" i="7"/>
  <c r="AZ11" i="7"/>
  <c r="J11" i="7"/>
  <c r="G11" i="7"/>
  <c r="D11" i="7"/>
  <c r="BA10" i="7"/>
  <c r="AZ10" i="7"/>
  <c r="J10" i="7"/>
  <c r="G10" i="7"/>
  <c r="D10" i="7"/>
  <c r="J9" i="7"/>
  <c r="G9" i="7"/>
  <c r="D9" i="7"/>
  <c r="J8" i="7"/>
  <c r="G8" i="7"/>
  <c r="D8" i="7"/>
  <c r="J7" i="7"/>
  <c r="G7" i="7"/>
  <c r="D7" i="7"/>
  <c r="I6" i="7"/>
  <c r="H6" i="7"/>
  <c r="F6" i="7"/>
  <c r="E6" i="7"/>
  <c r="C6" i="7"/>
  <c r="B6" i="7"/>
  <c r="D6" i="7" l="1"/>
  <c r="G6" i="7"/>
  <c r="J6" i="7"/>
</calcChain>
</file>

<file path=xl/sharedStrings.xml><?xml version="1.0" encoding="utf-8"?>
<sst xmlns="http://schemas.openxmlformats.org/spreadsheetml/2006/main" count="75" uniqueCount="49">
  <si>
    <t>October</t>
  </si>
  <si>
    <t>Total</t>
  </si>
  <si>
    <t>2017 - 2015 ,cniduk iaWncnuhImivurwm ,iaWncniduk ivcnwfua uhwmcswmikea : 3.7 ulwvWt</t>
  </si>
  <si>
    <t>Table 3.7 :  MONTHLY RECORDS OF BIRTHS AND DEATHS, 2015 - 2017</t>
  </si>
  <si>
    <t>މަސް</t>
  </si>
  <si>
    <t>ivcnwfua</t>
  </si>
  <si>
    <t>ivurwm</t>
  </si>
  <si>
    <t>ivurutia</t>
  </si>
  <si>
    <t>Month</t>
  </si>
  <si>
    <t>Births</t>
  </si>
  <si>
    <t>Deaths</t>
  </si>
  <si>
    <t>Natural Increase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</si>
  <si>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</si>
  <si>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</si>
  <si>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</si>
  <si>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</si>
  <si>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</si>
  <si>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</si>
  <si>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</si>
  <si>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</si>
  <si>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</si>
  <si>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Jan</t>
  </si>
  <si>
    <t>May</t>
  </si>
  <si>
    <t>މެއި</t>
  </si>
  <si>
    <t>Feb</t>
  </si>
  <si>
    <t>June</t>
  </si>
  <si>
    <t>ޖޫން</t>
  </si>
  <si>
    <t>Mar</t>
  </si>
  <si>
    <t>July</t>
  </si>
  <si>
    <t>ޖުލައި</t>
  </si>
  <si>
    <t>Apr</t>
  </si>
  <si>
    <t>August</t>
  </si>
  <si>
    <t>އޮގަސްޓް</t>
  </si>
  <si>
    <t>September</t>
  </si>
  <si>
    <t>ސެޕްޓެމްބަރ</t>
  </si>
  <si>
    <t>Jun</t>
  </si>
  <si>
    <t>އޮކްޓޯބަރ</t>
  </si>
  <si>
    <t>Jul</t>
  </si>
  <si>
    <t>November</t>
  </si>
  <si>
    <t>ނޮވެމްބަރ</t>
  </si>
  <si>
    <t>Aug</t>
  </si>
  <si>
    <t>December</t>
  </si>
  <si>
    <t>ޑިސެމްބަރ</t>
  </si>
  <si>
    <t>Sep</t>
  </si>
  <si>
    <t>Oct</t>
  </si>
  <si>
    <r>
      <rPr>
        <b/>
        <i/>
        <sz val="10"/>
        <rFont val="Calibri"/>
        <family val="2"/>
      </rPr>
      <t>Source:</t>
    </r>
    <r>
      <rPr>
        <i/>
        <sz val="10"/>
        <rFont val="Calibri"/>
        <family val="2"/>
      </rPr>
      <t xml:space="preserve"> Ministry of Health </t>
    </r>
  </si>
  <si>
    <t xml:space="preserve">މިނިސްޓްރީ އޮފް ހެލްތު 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</si>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</sst>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8" formatCode="_-* #,##0.00\ _ރ_._-;_-* #,##0.00\ _ރ_.\-;_-* &quot;-&quot;??\ _ރ_.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Arial"/>
      <family val="2"/>
    </font>
    <font>
      <b/>
      <sz val="11"/>
      <name val="Faruma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name val="Courier"/>
      <family val="3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9"/>
      <name val="Calibri"/>
      <family val="2"/>
    </font>
    <font>
      <sz val="9"/>
      <name val="Calibri"/>
      <family val="2"/>
    </font>
    <font>
      <b/>
      <sz val="12"/>
      <color rgb="FFFF0000"/>
      <name val="Tahoma"/>
      <family val="2"/>
    </font>
    <font>
      <sz val="11"/>
      <name val="Faruma"/>
    </font>
    <font>
      <sz val="10"/>
      <color indexed="10"/>
      <name val="Courier"/>
      <family val="3"/>
    </font>
    <font>
      <b/>
      <sz val="10"/>
      <name val="Courier"/>
      <family val="3"/>
    </font>
    <font>
      <sz val="10"/>
      <color rgb="FFFF0000"/>
      <name val="Courier"/>
      <family val="3"/>
    </font>
    <font>
      <b/>
      <i/>
      <sz val="10"/>
      <name val="Calibri"/>
      <family val="2"/>
    </font>
    <font>
      <sz val="10"/>
      <name val="Faru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1" fillId="0" borderId="0"/>
    <xf numFmtId="0" fontId="11" fillId="0" borderId="0"/>
    <xf numFmtId="168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6" fillId="0" borderId="0"/>
    <xf numFmtId="0" fontId="11" fillId="0" borderId="0"/>
    <xf numFmtId="0" fontId="11" fillId="0" borderId="0"/>
    <xf numFmtId="0" fontId="1" fillId="0" borderId="0"/>
    <xf numFmtId="164" fontId="2" fillId="0" borderId="0"/>
    <xf numFmtId="164" fontId="2" fillId="0" borderId="0"/>
  </cellStyleXfs>
  <cellXfs count="71">
    <xf numFmtId="0" fontId="0" fillId="0" borderId="0" xfId="0"/>
    <xf numFmtId="164" fontId="2" fillId="2" borderId="0" xfId="11" applyFill="1"/>
    <xf numFmtId="164" fontId="2" fillId="3" borderId="0" xfId="11" applyFill="1"/>
    <xf numFmtId="164" fontId="2" fillId="3" borderId="0" xfId="11" applyFill="1" applyAlignment="1">
      <alignment horizontal="right"/>
    </xf>
    <xf numFmtId="164" fontId="5" fillId="2" borderId="0" xfId="11" applyFont="1" applyFill="1" applyBorder="1" applyAlignment="1" applyProtection="1">
      <alignment horizontal="left" vertical="center"/>
      <protection hidden="1"/>
    </xf>
    <xf numFmtId="164" fontId="14" fillId="2" borderId="0" xfId="11" applyFont="1" applyFill="1"/>
    <xf numFmtId="164" fontId="14" fillId="3" borderId="0" xfId="11" applyFont="1" applyFill="1"/>
    <xf numFmtId="164" fontId="14" fillId="3" borderId="0" xfId="11" applyFont="1" applyFill="1" applyAlignment="1">
      <alignment horizontal="right"/>
    </xf>
    <xf numFmtId="164" fontId="6" fillId="2" borderId="0" xfId="11" applyFont="1" applyFill="1" applyBorder="1" applyAlignment="1" applyProtection="1">
      <alignment horizontal="left" vertical="center"/>
      <protection hidden="1"/>
    </xf>
    <xf numFmtId="164" fontId="3" fillId="2" borderId="3" xfId="10" applyFont="1" applyFill="1" applyBorder="1" applyAlignment="1" applyProtection="1">
      <alignment horizontal="right" vertical="center"/>
      <protection hidden="1"/>
    </xf>
    <xf numFmtId="164" fontId="3" fillId="2" borderId="0" xfId="10" applyFont="1" applyFill="1" applyBorder="1" applyAlignment="1" applyProtection="1">
      <alignment horizontal="right" vertical="center"/>
      <protection hidden="1"/>
    </xf>
    <xf numFmtId="164" fontId="5" fillId="2" borderId="1" xfId="11" applyFont="1" applyFill="1" applyBorder="1" applyAlignment="1" applyProtection="1">
      <alignment horizontal="left" vertical="center"/>
      <protection hidden="1"/>
    </xf>
    <xf numFmtId="164" fontId="5" fillId="2" borderId="4" xfId="11" applyFont="1" applyFill="1" applyBorder="1" applyAlignment="1" applyProtection="1">
      <alignment horizontal="right"/>
      <protection hidden="1"/>
    </xf>
    <xf numFmtId="164" fontId="5" fillId="2" borderId="1" xfId="11" applyFont="1" applyFill="1" applyBorder="1" applyAlignment="1" applyProtection="1">
      <alignment horizontal="right"/>
      <protection hidden="1"/>
    </xf>
    <xf numFmtId="164" fontId="5" fillId="2" borderId="1" xfId="11" applyFont="1" applyFill="1" applyBorder="1" applyAlignment="1" applyProtection="1">
      <alignment horizontal="right" wrapText="1"/>
      <protection hidden="1"/>
    </xf>
    <xf numFmtId="164" fontId="5" fillId="2" borderId="0" xfId="11" applyFont="1" applyFill="1" applyAlignment="1" applyProtection="1">
      <alignment horizontal="left" vertical="center"/>
      <protection hidden="1"/>
    </xf>
    <xf numFmtId="3" fontId="5" fillId="2" borderId="3" xfId="0" applyNumberFormat="1" applyFont="1" applyFill="1" applyBorder="1" applyAlignment="1" applyProtection="1">
      <alignment vertical="center"/>
      <protection hidden="1"/>
    </xf>
    <xf numFmtId="3" fontId="5" fillId="2" borderId="0" xfId="0" applyNumberFormat="1" applyFont="1" applyFill="1" applyBorder="1" applyAlignment="1" applyProtection="1">
      <alignment vertical="center"/>
      <protection hidden="1"/>
    </xf>
    <xf numFmtId="3" fontId="5" fillId="2" borderId="9" xfId="0" applyNumberFormat="1" applyFont="1" applyFill="1" applyBorder="1" applyAlignment="1" applyProtection="1">
      <alignment vertical="center"/>
      <protection hidden="1"/>
    </xf>
    <xf numFmtId="164" fontId="7" fillId="2" borderId="0" xfId="11" applyFont="1" applyFill="1"/>
    <xf numFmtId="0" fontId="20" fillId="0" borderId="0" xfId="0" applyFont="1" applyAlignment="1">
      <alignment vertical="center"/>
    </xf>
    <xf numFmtId="164" fontId="10" fillId="2" borderId="0" xfId="11" applyFont="1" applyFill="1" applyAlignment="1" applyProtection="1">
      <alignment horizontal="left" vertical="center" indent="1"/>
      <protection hidden="1"/>
    </xf>
    <xf numFmtId="3" fontId="10" fillId="2" borderId="3" xfId="0" applyNumberFormat="1" applyFont="1" applyFill="1" applyBorder="1" applyAlignment="1" applyProtection="1">
      <alignment vertical="center"/>
      <protection hidden="1"/>
    </xf>
    <xf numFmtId="3" fontId="10" fillId="2" borderId="0" xfId="0" applyNumberFormat="1" applyFont="1" applyFill="1" applyBorder="1" applyAlignment="1" applyProtection="1">
      <alignment vertical="center"/>
      <protection hidden="1"/>
    </xf>
    <xf numFmtId="3" fontId="10" fillId="2" borderId="6" xfId="0" applyNumberFormat="1" applyFont="1" applyFill="1" applyBorder="1" applyAlignment="1" applyProtection="1">
      <alignment vertical="center"/>
      <protection hidden="1"/>
    </xf>
    <xf numFmtId="164" fontId="21" fillId="2" borderId="0" xfId="10" applyFont="1" applyFill="1" applyAlignment="1" applyProtection="1">
      <alignment horizontal="right" vertical="center" indent="1"/>
      <protection hidden="1"/>
    </xf>
    <xf numFmtId="164" fontId="22" fillId="3" borderId="0" xfId="11" applyFont="1" applyFill="1" applyAlignment="1">
      <alignment horizontal="right"/>
    </xf>
    <xf numFmtId="164" fontId="2" fillId="3" borderId="10" xfId="11" applyFont="1" applyFill="1" applyBorder="1" applyAlignment="1">
      <alignment horizontal="center" vertical="center"/>
    </xf>
    <xf numFmtId="164" fontId="23" fillId="3" borderId="10" xfId="11" applyFont="1" applyFill="1" applyBorder="1" applyAlignment="1">
      <alignment horizontal="center" vertical="center"/>
    </xf>
    <xf numFmtId="164" fontId="14" fillId="3" borderId="10" xfId="11" applyFont="1" applyFill="1" applyBorder="1" applyAlignment="1" applyProtection="1">
      <alignment horizontal="center" vertical="center"/>
      <protection hidden="1"/>
    </xf>
    <xf numFmtId="3" fontId="14" fillId="3" borderId="10" xfId="0" applyNumberFormat="1" applyFont="1" applyFill="1" applyBorder="1" applyAlignment="1" applyProtection="1">
      <alignment horizontal="center" vertical="center"/>
      <protection hidden="1"/>
    </xf>
    <xf numFmtId="164" fontId="10" fillId="2" borderId="1" xfId="11" applyFont="1" applyFill="1" applyBorder="1" applyAlignment="1" applyProtection="1">
      <alignment horizontal="left" vertical="center" indent="1"/>
      <protection hidden="1"/>
    </xf>
    <xf numFmtId="3" fontId="10" fillId="2" borderId="4" xfId="0" applyNumberFormat="1" applyFont="1" applyFill="1" applyBorder="1" applyAlignment="1" applyProtection="1">
      <alignment vertical="center"/>
      <protection hidden="1"/>
    </xf>
    <xf numFmtId="3" fontId="10" fillId="2" borderId="1" xfId="0" applyNumberFormat="1" applyFont="1" applyFill="1" applyBorder="1" applyAlignment="1" applyProtection="1">
      <alignment vertical="center"/>
      <protection hidden="1"/>
    </xf>
    <xf numFmtId="3" fontId="10" fillId="2" borderId="8" xfId="0" applyNumberFormat="1" applyFont="1" applyFill="1" applyBorder="1" applyAlignment="1" applyProtection="1">
      <alignment vertical="center"/>
      <protection hidden="1"/>
    </xf>
    <xf numFmtId="164" fontId="21" fillId="2" borderId="1" xfId="10" applyFont="1" applyFill="1" applyBorder="1" applyAlignment="1" applyProtection="1">
      <alignment horizontal="right" vertical="center" indent="1"/>
      <protection hidden="1"/>
    </xf>
    <xf numFmtId="164" fontId="24" fillId="2" borderId="0" xfId="11" applyFont="1" applyFill="1"/>
    <xf numFmtId="164" fontId="12" fillId="2" borderId="0" xfId="0" applyNumberFormat="1" applyFont="1" applyFill="1" applyAlignment="1" applyProtection="1">
      <alignment horizontal="left" vertical="center"/>
    </xf>
    <xf numFmtId="164" fontId="15" fillId="2" borderId="0" xfId="11" applyFont="1" applyFill="1"/>
    <xf numFmtId="164" fontId="21" fillId="2" borderId="0" xfId="10" applyFont="1" applyFill="1" applyAlignment="1" applyProtection="1">
      <alignment horizontal="right" vertical="center"/>
      <protection hidden="1"/>
    </xf>
    <xf numFmtId="164" fontId="2" fillId="2" borderId="0" xfId="11" applyFill="1" applyAlignment="1">
      <alignment horizontal="center" vertical="center"/>
    </xf>
    <xf numFmtId="164" fontId="2" fillId="3" borderId="0" xfId="11" applyFill="1" applyAlignment="1">
      <alignment horizontal="center" vertical="center"/>
    </xf>
    <xf numFmtId="164" fontId="26" fillId="2" borderId="0" xfId="11" applyFont="1" applyFill="1"/>
    <xf numFmtId="3" fontId="9" fillId="2" borderId="0" xfId="10" applyNumberFormat="1" applyFont="1" applyFill="1" applyBorder="1" applyAlignment="1" applyProtection="1">
      <alignment vertical="center"/>
      <protection hidden="1"/>
    </xf>
    <xf numFmtId="3" fontId="9" fillId="2" borderId="0" xfId="0" applyNumberFormat="1" applyFont="1" applyFill="1" applyBorder="1" applyAlignment="1" applyProtection="1">
      <alignment vertical="center"/>
      <protection hidden="1"/>
    </xf>
    <xf numFmtId="164" fontId="2" fillId="2" borderId="0" xfId="11" applyFill="1" applyBorder="1"/>
    <xf numFmtId="164" fontId="18" fillId="2" borderId="0" xfId="11" applyFont="1" applyFill="1" applyAlignment="1" applyProtection="1">
      <alignment horizontal="left" vertical="center"/>
      <protection hidden="1"/>
    </xf>
    <xf numFmtId="3" fontId="18" fillId="2" borderId="0" xfId="0" applyNumberFormat="1" applyFont="1" applyFill="1" applyAlignment="1" applyProtection="1">
      <alignment vertical="center"/>
      <protection hidden="1"/>
    </xf>
    <xf numFmtId="3" fontId="18" fillId="3" borderId="0" xfId="0" applyNumberFormat="1" applyFont="1" applyFill="1" applyAlignment="1" applyProtection="1">
      <alignment vertical="center"/>
      <protection hidden="1"/>
    </xf>
    <xf numFmtId="164" fontId="23" fillId="2" borderId="0" xfId="11" applyFont="1" applyFill="1" applyAlignment="1">
      <alignment horizontal="center" vertical="center"/>
    </xf>
    <xf numFmtId="164" fontId="19" fillId="2" borderId="0" xfId="11" applyFont="1" applyFill="1" applyAlignment="1" applyProtection="1">
      <alignment horizontal="left" vertical="center"/>
      <protection hidden="1"/>
    </xf>
    <xf numFmtId="164" fontId="23" fillId="3" borderId="0" xfId="11" applyFont="1" applyFill="1" applyAlignment="1">
      <alignment horizontal="center" vertical="center"/>
    </xf>
    <xf numFmtId="164" fontId="19" fillId="2" borderId="0" xfId="11" applyFont="1" applyFill="1" applyBorder="1" applyAlignment="1" applyProtection="1">
      <alignment horizontal="left" vertical="center"/>
      <protection hidden="1"/>
    </xf>
    <xf numFmtId="164" fontId="2" fillId="3" borderId="0" xfId="11" applyFill="1" applyBorder="1"/>
    <xf numFmtId="164" fontId="26" fillId="2" borderId="0" xfId="11" applyFont="1" applyFill="1" applyBorder="1"/>
    <xf numFmtId="164" fontId="8" fillId="2" borderId="0" xfId="10" applyFont="1" applyFill="1" applyBorder="1" applyAlignment="1" applyProtection="1">
      <alignment horizontal="right" vertical="center"/>
      <protection hidden="1"/>
    </xf>
    <xf numFmtId="164" fontId="18" fillId="2" borderId="0" xfId="11" applyFont="1" applyFill="1" applyBorder="1" applyAlignment="1" applyProtection="1">
      <alignment horizontal="right"/>
      <protection hidden="1"/>
    </xf>
    <xf numFmtId="164" fontId="18" fillId="2" borderId="0" xfId="11" applyFont="1" applyFill="1" applyBorder="1" applyAlignment="1" applyProtection="1">
      <alignment horizontal="right" wrapText="1"/>
      <protection hidden="1"/>
    </xf>
    <xf numFmtId="3" fontId="18" fillId="2" borderId="0" xfId="0" applyNumberFormat="1" applyFont="1" applyFill="1" applyBorder="1" applyAlignment="1" applyProtection="1">
      <alignment vertical="center"/>
      <protection hidden="1"/>
    </xf>
    <xf numFmtId="3" fontId="19" fillId="2" borderId="0" xfId="0" applyNumberFormat="1" applyFont="1" applyFill="1" applyBorder="1" applyAlignment="1" applyProtection="1">
      <alignment vertical="center"/>
      <protection hidden="1"/>
    </xf>
    <xf numFmtId="164" fontId="2" fillId="3" borderId="0" xfId="11" applyFill="1" applyBorder="1" applyAlignment="1">
      <alignment horizontal="right"/>
    </xf>
    <xf numFmtId="164" fontId="18" fillId="3" borderId="0" xfId="11" applyFont="1" applyFill="1" applyBorder="1" applyAlignment="1" applyProtection="1">
      <alignment horizontal="right" vertical="center"/>
      <protection hidden="1"/>
    </xf>
    <xf numFmtId="164" fontId="19" fillId="3" borderId="0" xfId="11" applyFont="1" applyFill="1" applyBorder="1" applyAlignment="1" applyProtection="1">
      <alignment horizontal="right" vertical="center"/>
      <protection hidden="1"/>
    </xf>
    <xf numFmtId="164" fontId="7" fillId="2" borderId="2" xfId="11" applyFont="1" applyFill="1" applyBorder="1" applyAlignment="1">
      <alignment horizontal="center" vertical="center"/>
    </xf>
    <xf numFmtId="164" fontId="7" fillId="2" borderId="0" xfId="11" applyFont="1" applyFill="1" applyBorder="1" applyAlignment="1">
      <alignment horizontal="center" vertical="center"/>
    </xf>
    <xf numFmtId="164" fontId="7" fillId="2" borderId="1" xfId="11" applyFont="1" applyFill="1" applyBorder="1" applyAlignment="1">
      <alignment horizontal="center" vertical="center"/>
    </xf>
    <xf numFmtId="164" fontId="13" fillId="2" borderId="0" xfId="11" applyFont="1" applyFill="1" applyBorder="1" applyAlignment="1" applyProtection="1">
      <alignment horizontal="center" vertical="center"/>
      <protection hidden="1"/>
    </xf>
    <xf numFmtId="164" fontId="17" fillId="2" borderId="0" xfId="10" applyFont="1" applyFill="1" applyAlignment="1" applyProtection="1">
      <alignment horizontal="center"/>
      <protection hidden="1"/>
    </xf>
    <xf numFmtId="164" fontId="4" fillId="2" borderId="1" xfId="11" applyFont="1" applyFill="1" applyBorder="1" applyAlignment="1" applyProtection="1">
      <alignment horizontal="center" vertical="center"/>
      <protection hidden="1"/>
    </xf>
    <xf numFmtId="164" fontId="5" fillId="2" borderId="7" xfId="11" applyFont="1" applyFill="1" applyBorder="1" applyAlignment="1" applyProtection="1">
      <alignment horizontal="center" vertical="center"/>
      <protection hidden="1"/>
    </xf>
    <xf numFmtId="164" fontId="5" fillId="2" borderId="5" xfId="11" applyFont="1" applyFill="1" applyBorder="1" applyAlignment="1" applyProtection="1">
      <alignment horizontal="center" vertical="center"/>
      <protection hidden="1"/>
    </xf>
  </cellXfs>
  <cellStyles count="12"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2" xfId="7"/>
    <cellStyle name="Normal 4" xfId="10"/>
    <cellStyle name="Normal 44" xfId="8"/>
    <cellStyle name="Normal 48" xfId="9"/>
    <cellStyle name="Normal 5" xfId="1"/>
    <cellStyle name="Normal_Stat Year Book 2007 tables" xfId="1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Figure 3.10: Monthly records of Births, 2016 - 2017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8522054928033847E-2"/>
          <c:y val="0.16301834440955423"/>
          <c:w val="0.89385276763362975"/>
          <c:h val="0.728638070146976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'3.7'!$AZ$9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rgbClr val="7F6000"/>
            </a:solidFill>
          </c:spPr>
          <c:invertIfNegative val="0"/>
          <c:cat>
            <c:strRef>
              <c:f>'3.7'!$AX$10:$AX$20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'3.7'!$AZ$10:$AZ$20</c:f>
              <c:numCache>
                <c:formatCode>General_)</c:formatCode>
                <c:ptCount val="11"/>
                <c:pt idx="0">
                  <c:v>560</c:v>
                </c:pt>
                <c:pt idx="1">
                  <c:v>524</c:v>
                </c:pt>
                <c:pt idx="2">
                  <c:v>582</c:v>
                </c:pt>
                <c:pt idx="3">
                  <c:v>628</c:v>
                </c:pt>
                <c:pt idx="4">
                  <c:v>585</c:v>
                </c:pt>
                <c:pt idx="5">
                  <c:v>532</c:v>
                </c:pt>
                <c:pt idx="6">
                  <c:v>518</c:v>
                </c:pt>
                <c:pt idx="7">
                  <c:v>565</c:v>
                </c:pt>
                <c:pt idx="8">
                  <c:v>543</c:v>
                </c:pt>
                <c:pt idx="9">
                  <c:v>553</c:v>
                </c:pt>
                <c:pt idx="10">
                  <c:v>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9-4AD9-A03A-8EB1BCB781E9}"/>
            </c:ext>
          </c:extLst>
        </c:ser>
        <c:ser>
          <c:idx val="2"/>
          <c:order val="1"/>
          <c:tx>
            <c:strRef>
              <c:f>'3.7'!$BA$9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rgbClr val="FFD966"/>
            </a:solidFill>
          </c:spPr>
          <c:invertIfNegative val="0"/>
          <c:cat>
            <c:strRef>
              <c:f>'3.7'!$AX$10:$AX$20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'3.7'!$BA$10:$BA$20</c:f>
              <c:numCache>
                <c:formatCode>General_)</c:formatCode>
                <c:ptCount val="11"/>
                <c:pt idx="0">
                  <c:v>550</c:v>
                </c:pt>
                <c:pt idx="1">
                  <c:v>511</c:v>
                </c:pt>
                <c:pt idx="2">
                  <c:v>598</c:v>
                </c:pt>
                <c:pt idx="3">
                  <c:v>573</c:v>
                </c:pt>
                <c:pt idx="4">
                  <c:v>582</c:v>
                </c:pt>
                <c:pt idx="5">
                  <c:v>581</c:v>
                </c:pt>
                <c:pt idx="6">
                  <c:v>547</c:v>
                </c:pt>
                <c:pt idx="7">
                  <c:v>623</c:v>
                </c:pt>
                <c:pt idx="8">
                  <c:v>559</c:v>
                </c:pt>
                <c:pt idx="9">
                  <c:v>520</c:v>
                </c:pt>
                <c:pt idx="10">
                  <c:v>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69-4AD9-A03A-8EB1BCB78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647761695"/>
        <c:axId val="1"/>
      </c:barChart>
      <c:catAx>
        <c:axId val="647761695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5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909911877348151E-3"/>
              <c:y val="0.31628862181700973"/>
            </c:manualLayout>
          </c:layout>
          <c:overlay val="0"/>
        </c:title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7761695"/>
        <c:crosses val="autoZero"/>
        <c:crossBetween val="between"/>
        <c:majorUnit val="15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2826832316222413"/>
          <c:y val="0.17781129990330155"/>
          <c:w val="0.23218017624530368"/>
          <c:h val="6.7534926555233216E-2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Figure 3.11: Monthly records of Deaths, 2016 - 2017</a:t>
            </a:r>
          </a:p>
        </c:rich>
      </c:tx>
      <c:layout>
        <c:manualLayout>
          <c:xMode val="edge"/>
          <c:yMode val="edge"/>
          <c:x val="0.20052574697512657"/>
          <c:y val="5.36393053608025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96029675857081"/>
          <c:y val="0.17365332927892727"/>
          <c:w val="0.8640818117549548"/>
          <c:h val="0.691619294197106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'3.7'!$AZ$31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rgbClr val="7F6000"/>
            </a:solidFill>
          </c:spPr>
          <c:invertIfNegative val="0"/>
          <c:cat>
            <c:strRef>
              <c:f>'3.7'!$AX$32:$AX$43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'3.7'!$AZ$32:$AZ$43</c:f>
              <c:numCache>
                <c:formatCode>General_)</c:formatCode>
                <c:ptCount val="12"/>
                <c:pt idx="0">
                  <c:v>122</c:v>
                </c:pt>
                <c:pt idx="1">
                  <c:v>121</c:v>
                </c:pt>
                <c:pt idx="2">
                  <c:v>129</c:v>
                </c:pt>
                <c:pt idx="3">
                  <c:v>97</c:v>
                </c:pt>
                <c:pt idx="4">
                  <c:v>104</c:v>
                </c:pt>
                <c:pt idx="5">
                  <c:v>98</c:v>
                </c:pt>
                <c:pt idx="6">
                  <c:v>83</c:v>
                </c:pt>
                <c:pt idx="7">
                  <c:v>109</c:v>
                </c:pt>
                <c:pt idx="8">
                  <c:v>94</c:v>
                </c:pt>
                <c:pt idx="9">
                  <c:v>80</c:v>
                </c:pt>
                <c:pt idx="10">
                  <c:v>88</c:v>
                </c:pt>
                <c:pt idx="1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F-41DA-8E2D-3D3D3C463BCE}"/>
            </c:ext>
          </c:extLst>
        </c:ser>
        <c:ser>
          <c:idx val="2"/>
          <c:order val="1"/>
          <c:tx>
            <c:strRef>
              <c:f>'3.7'!$BA$31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rgbClr val="FFD966"/>
            </a:solidFill>
          </c:spPr>
          <c:invertIfNegative val="0"/>
          <c:cat>
            <c:strRef>
              <c:f>'3.7'!$AX$32:$AX$43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'3.7'!$BA$32:$BA$43</c:f>
              <c:numCache>
                <c:formatCode>General_)</c:formatCode>
                <c:ptCount val="12"/>
                <c:pt idx="0">
                  <c:v>97</c:v>
                </c:pt>
                <c:pt idx="1">
                  <c:v>104</c:v>
                </c:pt>
                <c:pt idx="2">
                  <c:v>134</c:v>
                </c:pt>
                <c:pt idx="3">
                  <c:v>109</c:v>
                </c:pt>
                <c:pt idx="4">
                  <c:v>94</c:v>
                </c:pt>
                <c:pt idx="5">
                  <c:v>103</c:v>
                </c:pt>
                <c:pt idx="6">
                  <c:v>105</c:v>
                </c:pt>
                <c:pt idx="7">
                  <c:v>88</c:v>
                </c:pt>
                <c:pt idx="8">
                  <c:v>90</c:v>
                </c:pt>
                <c:pt idx="9">
                  <c:v>106</c:v>
                </c:pt>
                <c:pt idx="10">
                  <c:v>94</c:v>
                </c:pt>
                <c:pt idx="11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F-41DA-8E2D-3D3D3C463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2"/>
        <c:axId val="647756287"/>
        <c:axId val="1"/>
      </c:barChart>
      <c:catAx>
        <c:axId val="647756287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4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50"/>
                  <a:t>in numbers</a:t>
                </a:r>
              </a:p>
            </c:rich>
          </c:tx>
          <c:layout>
            <c:manualLayout>
              <c:xMode val="edge"/>
              <c:yMode val="edge"/>
              <c:x val="9.8009962376993907E-3"/>
              <c:y val="0.38485384532412897"/>
            </c:manualLayout>
          </c:layout>
          <c:overlay val="0"/>
        </c:title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7756287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4282213175365459"/>
          <c:y val="0.21794089095027505"/>
          <c:w val="0.20997001535798743"/>
          <c:h val="5.1614712544493596E-2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76200</xdr:rowOff>
    </xdr:from>
    <xdr:to>
      <xdr:col>10</xdr:col>
      <xdr:colOff>0</xdr:colOff>
      <xdr:row>33</xdr:row>
      <xdr:rowOff>38100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34</xdr:row>
      <xdr:rowOff>95250</xdr:rowOff>
    </xdr:from>
    <xdr:to>
      <xdr:col>9</xdr:col>
      <xdr:colOff>752475</xdr:colOff>
      <xdr:row>46</xdr:row>
      <xdr:rowOff>19050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7"/>
  <sheetViews>
    <sheetView tabSelected="1" zoomScaleNormal="100" workbookViewId="0">
      <selection activeCell="Z12" sqref="Z12"/>
    </sheetView>
  </sheetViews>
  <sheetFormatPr defaultColWidth="10.28515625" defaultRowHeight="18.75" x14ac:dyDescent="0.5"/>
  <cols>
    <col min="1" max="1" width="14" style="1" customWidth="1"/>
    <col min="2" max="10" width="11.5703125" style="1" customWidth="1"/>
    <col min="11" max="11" width="15.42578125" style="42" customWidth="1"/>
    <col min="12" max="12" width="2.140625" style="1" customWidth="1"/>
    <col min="13" max="13" width="14.5703125" style="1" customWidth="1"/>
    <col min="14" max="16" width="10.42578125" style="1" customWidth="1"/>
    <col min="17" max="45" width="2.85546875" style="1" customWidth="1"/>
    <col min="46" max="48" width="10.28515625" style="1"/>
    <col min="49" max="49" width="10.28515625" style="2"/>
    <col min="50" max="50" width="10.28515625" style="3"/>
    <col min="51" max="53" width="10.28515625" style="2"/>
    <col min="54" max="240" width="10.28515625" style="1"/>
    <col min="241" max="241" width="14" style="1" customWidth="1"/>
    <col min="242" max="253" width="0" style="1" hidden="1" customWidth="1"/>
    <col min="254" max="262" width="11.5703125" style="1" customWidth="1"/>
    <col min="263" max="265" width="0" style="1" hidden="1" customWidth="1"/>
    <col min="266" max="266" width="10.140625" style="1" customWidth="1"/>
    <col min="267" max="267" width="8.85546875" style="1" customWidth="1"/>
    <col min="268" max="268" width="2.140625" style="1" customWidth="1"/>
    <col min="269" max="269" width="14.5703125" style="1" customWidth="1"/>
    <col min="270" max="272" width="10.42578125" style="1" customWidth="1"/>
    <col min="273" max="301" width="2.85546875" style="1" customWidth="1"/>
    <col min="302" max="496" width="10.28515625" style="1"/>
    <col min="497" max="497" width="14" style="1" customWidth="1"/>
    <col min="498" max="509" width="0" style="1" hidden="1" customWidth="1"/>
    <col min="510" max="518" width="11.5703125" style="1" customWidth="1"/>
    <col min="519" max="521" width="0" style="1" hidden="1" customWidth="1"/>
    <col min="522" max="522" width="10.140625" style="1" customWidth="1"/>
    <col min="523" max="523" width="8.85546875" style="1" customWidth="1"/>
    <col min="524" max="524" width="2.140625" style="1" customWidth="1"/>
    <col min="525" max="525" width="14.5703125" style="1" customWidth="1"/>
    <col min="526" max="528" width="10.42578125" style="1" customWidth="1"/>
    <col min="529" max="557" width="2.85546875" style="1" customWidth="1"/>
    <col min="558" max="752" width="10.28515625" style="1"/>
    <col min="753" max="753" width="14" style="1" customWidth="1"/>
    <col min="754" max="765" width="0" style="1" hidden="1" customWidth="1"/>
    <col min="766" max="774" width="11.5703125" style="1" customWidth="1"/>
    <col min="775" max="777" width="0" style="1" hidden="1" customWidth="1"/>
    <col min="778" max="778" width="10.140625" style="1" customWidth="1"/>
    <col min="779" max="779" width="8.85546875" style="1" customWidth="1"/>
    <col min="780" max="780" width="2.140625" style="1" customWidth="1"/>
    <col min="781" max="781" width="14.5703125" style="1" customWidth="1"/>
    <col min="782" max="784" width="10.42578125" style="1" customWidth="1"/>
    <col min="785" max="813" width="2.85546875" style="1" customWidth="1"/>
    <col min="814" max="1008" width="10.28515625" style="1"/>
    <col min="1009" max="1009" width="14" style="1" customWidth="1"/>
    <col min="1010" max="1021" width="0" style="1" hidden="1" customWidth="1"/>
    <col min="1022" max="1030" width="11.5703125" style="1" customWidth="1"/>
    <col min="1031" max="1033" width="0" style="1" hidden="1" customWidth="1"/>
    <col min="1034" max="1034" width="10.140625" style="1" customWidth="1"/>
    <col min="1035" max="1035" width="8.85546875" style="1" customWidth="1"/>
    <col min="1036" max="1036" width="2.140625" style="1" customWidth="1"/>
    <col min="1037" max="1037" width="14.5703125" style="1" customWidth="1"/>
    <col min="1038" max="1040" width="10.42578125" style="1" customWidth="1"/>
    <col min="1041" max="1069" width="2.85546875" style="1" customWidth="1"/>
    <col min="1070" max="1264" width="10.28515625" style="1"/>
    <col min="1265" max="1265" width="14" style="1" customWidth="1"/>
    <col min="1266" max="1277" width="0" style="1" hidden="1" customWidth="1"/>
    <col min="1278" max="1286" width="11.5703125" style="1" customWidth="1"/>
    <col min="1287" max="1289" width="0" style="1" hidden="1" customWidth="1"/>
    <col min="1290" max="1290" width="10.140625" style="1" customWidth="1"/>
    <col min="1291" max="1291" width="8.85546875" style="1" customWidth="1"/>
    <col min="1292" max="1292" width="2.140625" style="1" customWidth="1"/>
    <col min="1293" max="1293" width="14.5703125" style="1" customWidth="1"/>
    <col min="1294" max="1296" width="10.42578125" style="1" customWidth="1"/>
    <col min="1297" max="1325" width="2.85546875" style="1" customWidth="1"/>
    <col min="1326" max="1520" width="10.28515625" style="1"/>
    <col min="1521" max="1521" width="14" style="1" customWidth="1"/>
    <col min="1522" max="1533" width="0" style="1" hidden="1" customWidth="1"/>
    <col min="1534" max="1542" width="11.5703125" style="1" customWidth="1"/>
    <col min="1543" max="1545" width="0" style="1" hidden="1" customWidth="1"/>
    <col min="1546" max="1546" width="10.140625" style="1" customWidth="1"/>
    <col min="1547" max="1547" width="8.85546875" style="1" customWidth="1"/>
    <col min="1548" max="1548" width="2.140625" style="1" customWidth="1"/>
    <col min="1549" max="1549" width="14.5703125" style="1" customWidth="1"/>
    <col min="1550" max="1552" width="10.42578125" style="1" customWidth="1"/>
    <col min="1553" max="1581" width="2.85546875" style="1" customWidth="1"/>
    <col min="1582" max="1776" width="10.28515625" style="1"/>
    <col min="1777" max="1777" width="14" style="1" customWidth="1"/>
    <col min="1778" max="1789" width="0" style="1" hidden="1" customWidth="1"/>
    <col min="1790" max="1798" width="11.5703125" style="1" customWidth="1"/>
    <col min="1799" max="1801" width="0" style="1" hidden="1" customWidth="1"/>
    <col min="1802" max="1802" width="10.140625" style="1" customWidth="1"/>
    <col min="1803" max="1803" width="8.85546875" style="1" customWidth="1"/>
    <col min="1804" max="1804" width="2.140625" style="1" customWidth="1"/>
    <col min="1805" max="1805" width="14.5703125" style="1" customWidth="1"/>
    <col min="1806" max="1808" width="10.42578125" style="1" customWidth="1"/>
    <col min="1809" max="1837" width="2.85546875" style="1" customWidth="1"/>
    <col min="1838" max="2032" width="10.28515625" style="1"/>
    <col min="2033" max="2033" width="14" style="1" customWidth="1"/>
    <col min="2034" max="2045" width="0" style="1" hidden="1" customWidth="1"/>
    <col min="2046" max="2054" width="11.5703125" style="1" customWidth="1"/>
    <col min="2055" max="2057" width="0" style="1" hidden="1" customWidth="1"/>
    <col min="2058" max="2058" width="10.140625" style="1" customWidth="1"/>
    <col min="2059" max="2059" width="8.85546875" style="1" customWidth="1"/>
    <col min="2060" max="2060" width="2.140625" style="1" customWidth="1"/>
    <col min="2061" max="2061" width="14.5703125" style="1" customWidth="1"/>
    <col min="2062" max="2064" width="10.42578125" style="1" customWidth="1"/>
    <col min="2065" max="2093" width="2.85546875" style="1" customWidth="1"/>
    <col min="2094" max="2288" width="10.28515625" style="1"/>
    <col min="2289" max="2289" width="14" style="1" customWidth="1"/>
    <col min="2290" max="2301" width="0" style="1" hidden="1" customWidth="1"/>
    <col min="2302" max="2310" width="11.5703125" style="1" customWidth="1"/>
    <col min="2311" max="2313" width="0" style="1" hidden="1" customWidth="1"/>
    <col min="2314" max="2314" width="10.140625" style="1" customWidth="1"/>
    <col min="2315" max="2315" width="8.85546875" style="1" customWidth="1"/>
    <col min="2316" max="2316" width="2.140625" style="1" customWidth="1"/>
    <col min="2317" max="2317" width="14.5703125" style="1" customWidth="1"/>
    <col min="2318" max="2320" width="10.42578125" style="1" customWidth="1"/>
    <col min="2321" max="2349" width="2.85546875" style="1" customWidth="1"/>
    <col min="2350" max="2544" width="10.28515625" style="1"/>
    <col min="2545" max="2545" width="14" style="1" customWidth="1"/>
    <col min="2546" max="2557" width="0" style="1" hidden="1" customWidth="1"/>
    <col min="2558" max="2566" width="11.5703125" style="1" customWidth="1"/>
    <col min="2567" max="2569" width="0" style="1" hidden="1" customWidth="1"/>
    <col min="2570" max="2570" width="10.140625" style="1" customWidth="1"/>
    <col min="2571" max="2571" width="8.85546875" style="1" customWidth="1"/>
    <col min="2572" max="2572" width="2.140625" style="1" customWidth="1"/>
    <col min="2573" max="2573" width="14.5703125" style="1" customWidth="1"/>
    <col min="2574" max="2576" width="10.42578125" style="1" customWidth="1"/>
    <col min="2577" max="2605" width="2.85546875" style="1" customWidth="1"/>
    <col min="2606" max="2800" width="10.28515625" style="1"/>
    <col min="2801" max="2801" width="14" style="1" customWidth="1"/>
    <col min="2802" max="2813" width="0" style="1" hidden="1" customWidth="1"/>
    <col min="2814" max="2822" width="11.5703125" style="1" customWidth="1"/>
    <col min="2823" max="2825" width="0" style="1" hidden="1" customWidth="1"/>
    <col min="2826" max="2826" width="10.140625" style="1" customWidth="1"/>
    <col min="2827" max="2827" width="8.85546875" style="1" customWidth="1"/>
    <col min="2828" max="2828" width="2.140625" style="1" customWidth="1"/>
    <col min="2829" max="2829" width="14.5703125" style="1" customWidth="1"/>
    <col min="2830" max="2832" width="10.42578125" style="1" customWidth="1"/>
    <col min="2833" max="2861" width="2.85546875" style="1" customWidth="1"/>
    <col min="2862" max="3056" width="10.28515625" style="1"/>
    <col min="3057" max="3057" width="14" style="1" customWidth="1"/>
    <col min="3058" max="3069" width="0" style="1" hidden="1" customWidth="1"/>
    <col min="3070" max="3078" width="11.5703125" style="1" customWidth="1"/>
    <col min="3079" max="3081" width="0" style="1" hidden="1" customWidth="1"/>
    <col min="3082" max="3082" width="10.140625" style="1" customWidth="1"/>
    <col min="3083" max="3083" width="8.85546875" style="1" customWidth="1"/>
    <col min="3084" max="3084" width="2.140625" style="1" customWidth="1"/>
    <col min="3085" max="3085" width="14.5703125" style="1" customWidth="1"/>
    <col min="3086" max="3088" width="10.42578125" style="1" customWidth="1"/>
    <col min="3089" max="3117" width="2.85546875" style="1" customWidth="1"/>
    <col min="3118" max="3312" width="10.28515625" style="1"/>
    <col min="3313" max="3313" width="14" style="1" customWidth="1"/>
    <col min="3314" max="3325" width="0" style="1" hidden="1" customWidth="1"/>
    <col min="3326" max="3334" width="11.5703125" style="1" customWidth="1"/>
    <col min="3335" max="3337" width="0" style="1" hidden="1" customWidth="1"/>
    <col min="3338" max="3338" width="10.140625" style="1" customWidth="1"/>
    <col min="3339" max="3339" width="8.85546875" style="1" customWidth="1"/>
    <col min="3340" max="3340" width="2.140625" style="1" customWidth="1"/>
    <col min="3341" max="3341" width="14.5703125" style="1" customWidth="1"/>
    <col min="3342" max="3344" width="10.42578125" style="1" customWidth="1"/>
    <col min="3345" max="3373" width="2.85546875" style="1" customWidth="1"/>
    <col min="3374" max="3568" width="10.28515625" style="1"/>
    <col min="3569" max="3569" width="14" style="1" customWidth="1"/>
    <col min="3570" max="3581" width="0" style="1" hidden="1" customWidth="1"/>
    <col min="3582" max="3590" width="11.5703125" style="1" customWidth="1"/>
    <col min="3591" max="3593" width="0" style="1" hidden="1" customWidth="1"/>
    <col min="3594" max="3594" width="10.140625" style="1" customWidth="1"/>
    <col min="3595" max="3595" width="8.85546875" style="1" customWidth="1"/>
    <col min="3596" max="3596" width="2.140625" style="1" customWidth="1"/>
    <col min="3597" max="3597" width="14.5703125" style="1" customWidth="1"/>
    <col min="3598" max="3600" width="10.42578125" style="1" customWidth="1"/>
    <col min="3601" max="3629" width="2.85546875" style="1" customWidth="1"/>
    <col min="3630" max="3824" width="10.28515625" style="1"/>
    <col min="3825" max="3825" width="14" style="1" customWidth="1"/>
    <col min="3826" max="3837" width="0" style="1" hidden="1" customWidth="1"/>
    <col min="3838" max="3846" width="11.5703125" style="1" customWidth="1"/>
    <col min="3847" max="3849" width="0" style="1" hidden="1" customWidth="1"/>
    <col min="3850" max="3850" width="10.140625" style="1" customWidth="1"/>
    <col min="3851" max="3851" width="8.85546875" style="1" customWidth="1"/>
    <col min="3852" max="3852" width="2.140625" style="1" customWidth="1"/>
    <col min="3853" max="3853" width="14.5703125" style="1" customWidth="1"/>
    <col min="3854" max="3856" width="10.42578125" style="1" customWidth="1"/>
    <col min="3857" max="3885" width="2.85546875" style="1" customWidth="1"/>
    <col min="3886" max="4080" width="10.28515625" style="1"/>
    <col min="4081" max="4081" width="14" style="1" customWidth="1"/>
    <col min="4082" max="4093" width="0" style="1" hidden="1" customWidth="1"/>
    <col min="4094" max="4102" width="11.5703125" style="1" customWidth="1"/>
    <col min="4103" max="4105" width="0" style="1" hidden="1" customWidth="1"/>
    <col min="4106" max="4106" width="10.140625" style="1" customWidth="1"/>
    <col min="4107" max="4107" width="8.85546875" style="1" customWidth="1"/>
    <col min="4108" max="4108" width="2.140625" style="1" customWidth="1"/>
    <col min="4109" max="4109" width="14.5703125" style="1" customWidth="1"/>
    <col min="4110" max="4112" width="10.42578125" style="1" customWidth="1"/>
    <col min="4113" max="4141" width="2.85546875" style="1" customWidth="1"/>
    <col min="4142" max="4336" width="10.28515625" style="1"/>
    <col min="4337" max="4337" width="14" style="1" customWidth="1"/>
    <col min="4338" max="4349" width="0" style="1" hidden="1" customWidth="1"/>
    <col min="4350" max="4358" width="11.5703125" style="1" customWidth="1"/>
    <col min="4359" max="4361" width="0" style="1" hidden="1" customWidth="1"/>
    <col min="4362" max="4362" width="10.140625" style="1" customWidth="1"/>
    <col min="4363" max="4363" width="8.85546875" style="1" customWidth="1"/>
    <col min="4364" max="4364" width="2.140625" style="1" customWidth="1"/>
    <col min="4365" max="4365" width="14.5703125" style="1" customWidth="1"/>
    <col min="4366" max="4368" width="10.42578125" style="1" customWidth="1"/>
    <col min="4369" max="4397" width="2.85546875" style="1" customWidth="1"/>
    <col min="4398" max="4592" width="10.28515625" style="1"/>
    <col min="4593" max="4593" width="14" style="1" customWidth="1"/>
    <col min="4594" max="4605" width="0" style="1" hidden="1" customWidth="1"/>
    <col min="4606" max="4614" width="11.5703125" style="1" customWidth="1"/>
    <col min="4615" max="4617" width="0" style="1" hidden="1" customWidth="1"/>
    <col min="4618" max="4618" width="10.140625" style="1" customWidth="1"/>
    <col min="4619" max="4619" width="8.85546875" style="1" customWidth="1"/>
    <col min="4620" max="4620" width="2.140625" style="1" customWidth="1"/>
    <col min="4621" max="4621" width="14.5703125" style="1" customWidth="1"/>
    <col min="4622" max="4624" width="10.42578125" style="1" customWidth="1"/>
    <col min="4625" max="4653" width="2.85546875" style="1" customWidth="1"/>
    <col min="4654" max="4848" width="10.28515625" style="1"/>
    <col min="4849" max="4849" width="14" style="1" customWidth="1"/>
    <col min="4850" max="4861" width="0" style="1" hidden="1" customWidth="1"/>
    <col min="4862" max="4870" width="11.5703125" style="1" customWidth="1"/>
    <col min="4871" max="4873" width="0" style="1" hidden="1" customWidth="1"/>
    <col min="4874" max="4874" width="10.140625" style="1" customWidth="1"/>
    <col min="4875" max="4875" width="8.85546875" style="1" customWidth="1"/>
    <col min="4876" max="4876" width="2.140625" style="1" customWidth="1"/>
    <col min="4877" max="4877" width="14.5703125" style="1" customWidth="1"/>
    <col min="4878" max="4880" width="10.42578125" style="1" customWidth="1"/>
    <col min="4881" max="4909" width="2.85546875" style="1" customWidth="1"/>
    <col min="4910" max="5104" width="10.28515625" style="1"/>
    <col min="5105" max="5105" width="14" style="1" customWidth="1"/>
    <col min="5106" max="5117" width="0" style="1" hidden="1" customWidth="1"/>
    <col min="5118" max="5126" width="11.5703125" style="1" customWidth="1"/>
    <col min="5127" max="5129" width="0" style="1" hidden="1" customWidth="1"/>
    <col min="5130" max="5130" width="10.140625" style="1" customWidth="1"/>
    <col min="5131" max="5131" width="8.85546875" style="1" customWidth="1"/>
    <col min="5132" max="5132" width="2.140625" style="1" customWidth="1"/>
    <col min="5133" max="5133" width="14.5703125" style="1" customWidth="1"/>
    <col min="5134" max="5136" width="10.42578125" style="1" customWidth="1"/>
    <col min="5137" max="5165" width="2.85546875" style="1" customWidth="1"/>
    <col min="5166" max="5360" width="10.28515625" style="1"/>
    <col min="5361" max="5361" width="14" style="1" customWidth="1"/>
    <col min="5362" max="5373" width="0" style="1" hidden="1" customWidth="1"/>
    <col min="5374" max="5382" width="11.5703125" style="1" customWidth="1"/>
    <col min="5383" max="5385" width="0" style="1" hidden="1" customWidth="1"/>
    <col min="5386" max="5386" width="10.140625" style="1" customWidth="1"/>
    <col min="5387" max="5387" width="8.85546875" style="1" customWidth="1"/>
    <col min="5388" max="5388" width="2.140625" style="1" customWidth="1"/>
    <col min="5389" max="5389" width="14.5703125" style="1" customWidth="1"/>
    <col min="5390" max="5392" width="10.42578125" style="1" customWidth="1"/>
    <col min="5393" max="5421" width="2.85546875" style="1" customWidth="1"/>
    <col min="5422" max="5616" width="10.28515625" style="1"/>
    <col min="5617" max="5617" width="14" style="1" customWidth="1"/>
    <col min="5618" max="5629" width="0" style="1" hidden="1" customWidth="1"/>
    <col min="5630" max="5638" width="11.5703125" style="1" customWidth="1"/>
    <col min="5639" max="5641" width="0" style="1" hidden="1" customWidth="1"/>
    <col min="5642" max="5642" width="10.140625" style="1" customWidth="1"/>
    <col min="5643" max="5643" width="8.85546875" style="1" customWidth="1"/>
    <col min="5644" max="5644" width="2.140625" style="1" customWidth="1"/>
    <col min="5645" max="5645" width="14.5703125" style="1" customWidth="1"/>
    <col min="5646" max="5648" width="10.42578125" style="1" customWidth="1"/>
    <col min="5649" max="5677" width="2.85546875" style="1" customWidth="1"/>
    <col min="5678" max="5872" width="10.28515625" style="1"/>
    <col min="5873" max="5873" width="14" style="1" customWidth="1"/>
    <col min="5874" max="5885" width="0" style="1" hidden="1" customWidth="1"/>
    <col min="5886" max="5894" width="11.5703125" style="1" customWidth="1"/>
    <col min="5895" max="5897" width="0" style="1" hidden="1" customWidth="1"/>
    <col min="5898" max="5898" width="10.140625" style="1" customWidth="1"/>
    <col min="5899" max="5899" width="8.85546875" style="1" customWidth="1"/>
    <col min="5900" max="5900" width="2.140625" style="1" customWidth="1"/>
    <col min="5901" max="5901" width="14.5703125" style="1" customWidth="1"/>
    <col min="5902" max="5904" width="10.42578125" style="1" customWidth="1"/>
    <col min="5905" max="5933" width="2.85546875" style="1" customWidth="1"/>
    <col min="5934" max="6128" width="10.28515625" style="1"/>
    <col min="6129" max="6129" width="14" style="1" customWidth="1"/>
    <col min="6130" max="6141" width="0" style="1" hidden="1" customWidth="1"/>
    <col min="6142" max="6150" width="11.5703125" style="1" customWidth="1"/>
    <col min="6151" max="6153" width="0" style="1" hidden="1" customWidth="1"/>
    <col min="6154" max="6154" width="10.140625" style="1" customWidth="1"/>
    <col min="6155" max="6155" width="8.85546875" style="1" customWidth="1"/>
    <col min="6156" max="6156" width="2.140625" style="1" customWidth="1"/>
    <col min="6157" max="6157" width="14.5703125" style="1" customWidth="1"/>
    <col min="6158" max="6160" width="10.42578125" style="1" customWidth="1"/>
    <col min="6161" max="6189" width="2.85546875" style="1" customWidth="1"/>
    <col min="6190" max="6384" width="10.28515625" style="1"/>
    <col min="6385" max="6385" width="14" style="1" customWidth="1"/>
    <col min="6386" max="6397" width="0" style="1" hidden="1" customWidth="1"/>
    <col min="6398" max="6406" width="11.5703125" style="1" customWidth="1"/>
    <col min="6407" max="6409" width="0" style="1" hidden="1" customWidth="1"/>
    <col min="6410" max="6410" width="10.140625" style="1" customWidth="1"/>
    <col min="6411" max="6411" width="8.85546875" style="1" customWidth="1"/>
    <col min="6412" max="6412" width="2.140625" style="1" customWidth="1"/>
    <col min="6413" max="6413" width="14.5703125" style="1" customWidth="1"/>
    <col min="6414" max="6416" width="10.42578125" style="1" customWidth="1"/>
    <col min="6417" max="6445" width="2.85546875" style="1" customWidth="1"/>
    <col min="6446" max="6640" width="10.28515625" style="1"/>
    <col min="6641" max="6641" width="14" style="1" customWidth="1"/>
    <col min="6642" max="6653" width="0" style="1" hidden="1" customWidth="1"/>
    <col min="6654" max="6662" width="11.5703125" style="1" customWidth="1"/>
    <col min="6663" max="6665" width="0" style="1" hidden="1" customWidth="1"/>
    <col min="6666" max="6666" width="10.140625" style="1" customWidth="1"/>
    <col min="6667" max="6667" width="8.85546875" style="1" customWidth="1"/>
    <col min="6668" max="6668" width="2.140625" style="1" customWidth="1"/>
    <col min="6669" max="6669" width="14.5703125" style="1" customWidth="1"/>
    <col min="6670" max="6672" width="10.42578125" style="1" customWidth="1"/>
    <col min="6673" max="6701" width="2.85546875" style="1" customWidth="1"/>
    <col min="6702" max="6896" width="10.28515625" style="1"/>
    <col min="6897" max="6897" width="14" style="1" customWidth="1"/>
    <col min="6898" max="6909" width="0" style="1" hidden="1" customWidth="1"/>
    <col min="6910" max="6918" width="11.5703125" style="1" customWidth="1"/>
    <col min="6919" max="6921" width="0" style="1" hidden="1" customWidth="1"/>
    <col min="6922" max="6922" width="10.140625" style="1" customWidth="1"/>
    <col min="6923" max="6923" width="8.85546875" style="1" customWidth="1"/>
    <col min="6924" max="6924" width="2.140625" style="1" customWidth="1"/>
    <col min="6925" max="6925" width="14.5703125" style="1" customWidth="1"/>
    <col min="6926" max="6928" width="10.42578125" style="1" customWidth="1"/>
    <col min="6929" max="6957" width="2.85546875" style="1" customWidth="1"/>
    <col min="6958" max="7152" width="10.28515625" style="1"/>
    <col min="7153" max="7153" width="14" style="1" customWidth="1"/>
    <col min="7154" max="7165" width="0" style="1" hidden="1" customWidth="1"/>
    <col min="7166" max="7174" width="11.5703125" style="1" customWidth="1"/>
    <col min="7175" max="7177" width="0" style="1" hidden="1" customWidth="1"/>
    <col min="7178" max="7178" width="10.140625" style="1" customWidth="1"/>
    <col min="7179" max="7179" width="8.85546875" style="1" customWidth="1"/>
    <col min="7180" max="7180" width="2.140625" style="1" customWidth="1"/>
    <col min="7181" max="7181" width="14.5703125" style="1" customWidth="1"/>
    <col min="7182" max="7184" width="10.42578125" style="1" customWidth="1"/>
    <col min="7185" max="7213" width="2.85546875" style="1" customWidth="1"/>
    <col min="7214" max="7408" width="10.28515625" style="1"/>
    <col min="7409" max="7409" width="14" style="1" customWidth="1"/>
    <col min="7410" max="7421" width="0" style="1" hidden="1" customWidth="1"/>
    <col min="7422" max="7430" width="11.5703125" style="1" customWidth="1"/>
    <col min="7431" max="7433" width="0" style="1" hidden="1" customWidth="1"/>
    <col min="7434" max="7434" width="10.140625" style="1" customWidth="1"/>
    <col min="7435" max="7435" width="8.85546875" style="1" customWidth="1"/>
    <col min="7436" max="7436" width="2.140625" style="1" customWidth="1"/>
    <col min="7437" max="7437" width="14.5703125" style="1" customWidth="1"/>
    <col min="7438" max="7440" width="10.42578125" style="1" customWidth="1"/>
    <col min="7441" max="7469" width="2.85546875" style="1" customWidth="1"/>
    <col min="7470" max="7664" width="10.28515625" style="1"/>
    <col min="7665" max="7665" width="14" style="1" customWidth="1"/>
    <col min="7666" max="7677" width="0" style="1" hidden="1" customWidth="1"/>
    <col min="7678" max="7686" width="11.5703125" style="1" customWidth="1"/>
    <col min="7687" max="7689" width="0" style="1" hidden="1" customWidth="1"/>
    <col min="7690" max="7690" width="10.140625" style="1" customWidth="1"/>
    <col min="7691" max="7691" width="8.85546875" style="1" customWidth="1"/>
    <col min="7692" max="7692" width="2.140625" style="1" customWidth="1"/>
    <col min="7693" max="7693" width="14.5703125" style="1" customWidth="1"/>
    <col min="7694" max="7696" width="10.42578125" style="1" customWidth="1"/>
    <col min="7697" max="7725" width="2.85546875" style="1" customWidth="1"/>
    <col min="7726" max="7920" width="10.28515625" style="1"/>
    <col min="7921" max="7921" width="14" style="1" customWidth="1"/>
    <col min="7922" max="7933" width="0" style="1" hidden="1" customWidth="1"/>
    <col min="7934" max="7942" width="11.5703125" style="1" customWidth="1"/>
    <col min="7943" max="7945" width="0" style="1" hidden="1" customWidth="1"/>
    <col min="7946" max="7946" width="10.140625" style="1" customWidth="1"/>
    <col min="7947" max="7947" width="8.85546875" style="1" customWidth="1"/>
    <col min="7948" max="7948" width="2.140625" style="1" customWidth="1"/>
    <col min="7949" max="7949" width="14.5703125" style="1" customWidth="1"/>
    <col min="7950" max="7952" width="10.42578125" style="1" customWidth="1"/>
    <col min="7953" max="7981" width="2.85546875" style="1" customWidth="1"/>
    <col min="7982" max="8176" width="10.28515625" style="1"/>
    <col min="8177" max="8177" width="14" style="1" customWidth="1"/>
    <col min="8178" max="8189" width="0" style="1" hidden="1" customWidth="1"/>
    <col min="8190" max="8198" width="11.5703125" style="1" customWidth="1"/>
    <col min="8199" max="8201" width="0" style="1" hidden="1" customWidth="1"/>
    <col min="8202" max="8202" width="10.140625" style="1" customWidth="1"/>
    <col min="8203" max="8203" width="8.85546875" style="1" customWidth="1"/>
    <col min="8204" max="8204" width="2.140625" style="1" customWidth="1"/>
    <col min="8205" max="8205" width="14.5703125" style="1" customWidth="1"/>
    <col min="8206" max="8208" width="10.42578125" style="1" customWidth="1"/>
    <col min="8209" max="8237" width="2.85546875" style="1" customWidth="1"/>
    <col min="8238" max="8432" width="10.28515625" style="1"/>
    <col min="8433" max="8433" width="14" style="1" customWidth="1"/>
    <col min="8434" max="8445" width="0" style="1" hidden="1" customWidth="1"/>
    <col min="8446" max="8454" width="11.5703125" style="1" customWidth="1"/>
    <col min="8455" max="8457" width="0" style="1" hidden="1" customWidth="1"/>
    <col min="8458" max="8458" width="10.140625" style="1" customWidth="1"/>
    <col min="8459" max="8459" width="8.85546875" style="1" customWidth="1"/>
    <col min="8460" max="8460" width="2.140625" style="1" customWidth="1"/>
    <col min="8461" max="8461" width="14.5703125" style="1" customWidth="1"/>
    <col min="8462" max="8464" width="10.42578125" style="1" customWidth="1"/>
    <col min="8465" max="8493" width="2.85546875" style="1" customWidth="1"/>
    <col min="8494" max="8688" width="10.28515625" style="1"/>
    <col min="8689" max="8689" width="14" style="1" customWidth="1"/>
    <col min="8690" max="8701" width="0" style="1" hidden="1" customWidth="1"/>
    <col min="8702" max="8710" width="11.5703125" style="1" customWidth="1"/>
    <col min="8711" max="8713" width="0" style="1" hidden="1" customWidth="1"/>
    <col min="8714" max="8714" width="10.140625" style="1" customWidth="1"/>
    <col min="8715" max="8715" width="8.85546875" style="1" customWidth="1"/>
    <col min="8716" max="8716" width="2.140625" style="1" customWidth="1"/>
    <col min="8717" max="8717" width="14.5703125" style="1" customWidth="1"/>
    <col min="8718" max="8720" width="10.42578125" style="1" customWidth="1"/>
    <col min="8721" max="8749" width="2.85546875" style="1" customWidth="1"/>
    <col min="8750" max="8944" width="10.28515625" style="1"/>
    <col min="8945" max="8945" width="14" style="1" customWidth="1"/>
    <col min="8946" max="8957" width="0" style="1" hidden="1" customWidth="1"/>
    <col min="8958" max="8966" width="11.5703125" style="1" customWidth="1"/>
    <col min="8967" max="8969" width="0" style="1" hidden="1" customWidth="1"/>
    <col min="8970" max="8970" width="10.140625" style="1" customWidth="1"/>
    <col min="8971" max="8971" width="8.85546875" style="1" customWidth="1"/>
    <col min="8972" max="8972" width="2.140625" style="1" customWidth="1"/>
    <col min="8973" max="8973" width="14.5703125" style="1" customWidth="1"/>
    <col min="8974" max="8976" width="10.42578125" style="1" customWidth="1"/>
    <col min="8977" max="9005" width="2.85546875" style="1" customWidth="1"/>
    <col min="9006" max="9200" width="10.28515625" style="1"/>
    <col min="9201" max="9201" width="14" style="1" customWidth="1"/>
    <col min="9202" max="9213" width="0" style="1" hidden="1" customWidth="1"/>
    <col min="9214" max="9222" width="11.5703125" style="1" customWidth="1"/>
    <col min="9223" max="9225" width="0" style="1" hidden="1" customWidth="1"/>
    <col min="9226" max="9226" width="10.140625" style="1" customWidth="1"/>
    <col min="9227" max="9227" width="8.85546875" style="1" customWidth="1"/>
    <col min="9228" max="9228" width="2.140625" style="1" customWidth="1"/>
    <col min="9229" max="9229" width="14.5703125" style="1" customWidth="1"/>
    <col min="9230" max="9232" width="10.42578125" style="1" customWidth="1"/>
    <col min="9233" max="9261" width="2.85546875" style="1" customWidth="1"/>
    <col min="9262" max="9456" width="10.28515625" style="1"/>
    <col min="9457" max="9457" width="14" style="1" customWidth="1"/>
    <col min="9458" max="9469" width="0" style="1" hidden="1" customWidth="1"/>
    <col min="9470" max="9478" width="11.5703125" style="1" customWidth="1"/>
    <col min="9479" max="9481" width="0" style="1" hidden="1" customWidth="1"/>
    <col min="9482" max="9482" width="10.140625" style="1" customWidth="1"/>
    <col min="9483" max="9483" width="8.85546875" style="1" customWidth="1"/>
    <col min="9484" max="9484" width="2.140625" style="1" customWidth="1"/>
    <col min="9485" max="9485" width="14.5703125" style="1" customWidth="1"/>
    <col min="9486" max="9488" width="10.42578125" style="1" customWidth="1"/>
    <col min="9489" max="9517" width="2.85546875" style="1" customWidth="1"/>
    <col min="9518" max="9712" width="10.28515625" style="1"/>
    <col min="9713" max="9713" width="14" style="1" customWidth="1"/>
    <col min="9714" max="9725" width="0" style="1" hidden="1" customWidth="1"/>
    <col min="9726" max="9734" width="11.5703125" style="1" customWidth="1"/>
    <col min="9735" max="9737" width="0" style="1" hidden="1" customWidth="1"/>
    <col min="9738" max="9738" width="10.140625" style="1" customWidth="1"/>
    <col min="9739" max="9739" width="8.85546875" style="1" customWidth="1"/>
    <col min="9740" max="9740" width="2.140625" style="1" customWidth="1"/>
    <col min="9741" max="9741" width="14.5703125" style="1" customWidth="1"/>
    <col min="9742" max="9744" width="10.42578125" style="1" customWidth="1"/>
    <col min="9745" max="9773" width="2.85546875" style="1" customWidth="1"/>
    <col min="9774" max="9968" width="10.28515625" style="1"/>
    <col min="9969" max="9969" width="14" style="1" customWidth="1"/>
    <col min="9970" max="9981" width="0" style="1" hidden="1" customWidth="1"/>
    <col min="9982" max="9990" width="11.5703125" style="1" customWidth="1"/>
    <col min="9991" max="9993" width="0" style="1" hidden="1" customWidth="1"/>
    <col min="9994" max="9994" width="10.140625" style="1" customWidth="1"/>
    <col min="9995" max="9995" width="8.85546875" style="1" customWidth="1"/>
    <col min="9996" max="9996" width="2.140625" style="1" customWidth="1"/>
    <col min="9997" max="9997" width="14.5703125" style="1" customWidth="1"/>
    <col min="9998" max="10000" width="10.42578125" style="1" customWidth="1"/>
    <col min="10001" max="10029" width="2.85546875" style="1" customWidth="1"/>
    <col min="10030" max="10224" width="10.28515625" style="1"/>
    <col min="10225" max="10225" width="14" style="1" customWidth="1"/>
    <col min="10226" max="10237" width="0" style="1" hidden="1" customWidth="1"/>
    <col min="10238" max="10246" width="11.5703125" style="1" customWidth="1"/>
    <col min="10247" max="10249" width="0" style="1" hidden="1" customWidth="1"/>
    <col min="10250" max="10250" width="10.140625" style="1" customWidth="1"/>
    <col min="10251" max="10251" width="8.85546875" style="1" customWidth="1"/>
    <col min="10252" max="10252" width="2.140625" style="1" customWidth="1"/>
    <col min="10253" max="10253" width="14.5703125" style="1" customWidth="1"/>
    <col min="10254" max="10256" width="10.42578125" style="1" customWidth="1"/>
    <col min="10257" max="10285" width="2.85546875" style="1" customWidth="1"/>
    <col min="10286" max="10480" width="10.28515625" style="1"/>
    <col min="10481" max="10481" width="14" style="1" customWidth="1"/>
    <col min="10482" max="10493" width="0" style="1" hidden="1" customWidth="1"/>
    <col min="10494" max="10502" width="11.5703125" style="1" customWidth="1"/>
    <col min="10503" max="10505" width="0" style="1" hidden="1" customWidth="1"/>
    <col min="10506" max="10506" width="10.140625" style="1" customWidth="1"/>
    <col min="10507" max="10507" width="8.85546875" style="1" customWidth="1"/>
    <col min="10508" max="10508" width="2.140625" style="1" customWidth="1"/>
    <col min="10509" max="10509" width="14.5703125" style="1" customWidth="1"/>
    <col min="10510" max="10512" width="10.42578125" style="1" customWidth="1"/>
    <col min="10513" max="10541" width="2.85546875" style="1" customWidth="1"/>
    <col min="10542" max="10736" width="10.28515625" style="1"/>
    <col min="10737" max="10737" width="14" style="1" customWidth="1"/>
    <col min="10738" max="10749" width="0" style="1" hidden="1" customWidth="1"/>
    <col min="10750" max="10758" width="11.5703125" style="1" customWidth="1"/>
    <col min="10759" max="10761" width="0" style="1" hidden="1" customWidth="1"/>
    <col min="10762" max="10762" width="10.140625" style="1" customWidth="1"/>
    <col min="10763" max="10763" width="8.85546875" style="1" customWidth="1"/>
    <col min="10764" max="10764" width="2.140625" style="1" customWidth="1"/>
    <col min="10765" max="10765" width="14.5703125" style="1" customWidth="1"/>
    <col min="10766" max="10768" width="10.42578125" style="1" customWidth="1"/>
    <col min="10769" max="10797" width="2.85546875" style="1" customWidth="1"/>
    <col min="10798" max="10992" width="10.28515625" style="1"/>
    <col min="10993" max="10993" width="14" style="1" customWidth="1"/>
    <col min="10994" max="11005" width="0" style="1" hidden="1" customWidth="1"/>
    <col min="11006" max="11014" width="11.5703125" style="1" customWidth="1"/>
    <col min="11015" max="11017" width="0" style="1" hidden="1" customWidth="1"/>
    <col min="11018" max="11018" width="10.140625" style="1" customWidth="1"/>
    <col min="11019" max="11019" width="8.85546875" style="1" customWidth="1"/>
    <col min="11020" max="11020" width="2.140625" style="1" customWidth="1"/>
    <col min="11021" max="11021" width="14.5703125" style="1" customWidth="1"/>
    <col min="11022" max="11024" width="10.42578125" style="1" customWidth="1"/>
    <col min="11025" max="11053" width="2.85546875" style="1" customWidth="1"/>
    <col min="11054" max="11248" width="10.28515625" style="1"/>
    <col min="11249" max="11249" width="14" style="1" customWidth="1"/>
    <col min="11250" max="11261" width="0" style="1" hidden="1" customWidth="1"/>
    <col min="11262" max="11270" width="11.5703125" style="1" customWidth="1"/>
    <col min="11271" max="11273" width="0" style="1" hidden="1" customWidth="1"/>
    <col min="11274" max="11274" width="10.140625" style="1" customWidth="1"/>
    <col min="11275" max="11275" width="8.85546875" style="1" customWidth="1"/>
    <col min="11276" max="11276" width="2.140625" style="1" customWidth="1"/>
    <col min="11277" max="11277" width="14.5703125" style="1" customWidth="1"/>
    <col min="11278" max="11280" width="10.42578125" style="1" customWidth="1"/>
    <col min="11281" max="11309" width="2.85546875" style="1" customWidth="1"/>
    <col min="11310" max="11504" width="10.28515625" style="1"/>
    <col min="11505" max="11505" width="14" style="1" customWidth="1"/>
    <col min="11506" max="11517" width="0" style="1" hidden="1" customWidth="1"/>
    <col min="11518" max="11526" width="11.5703125" style="1" customWidth="1"/>
    <col min="11527" max="11529" width="0" style="1" hidden="1" customWidth="1"/>
    <col min="11530" max="11530" width="10.140625" style="1" customWidth="1"/>
    <col min="11531" max="11531" width="8.85546875" style="1" customWidth="1"/>
    <col min="11532" max="11532" width="2.140625" style="1" customWidth="1"/>
    <col min="11533" max="11533" width="14.5703125" style="1" customWidth="1"/>
    <col min="11534" max="11536" width="10.42578125" style="1" customWidth="1"/>
    <col min="11537" max="11565" width="2.85546875" style="1" customWidth="1"/>
    <col min="11566" max="11760" width="10.28515625" style="1"/>
    <col min="11761" max="11761" width="14" style="1" customWidth="1"/>
    <col min="11762" max="11773" width="0" style="1" hidden="1" customWidth="1"/>
    <col min="11774" max="11782" width="11.5703125" style="1" customWidth="1"/>
    <col min="11783" max="11785" width="0" style="1" hidden="1" customWidth="1"/>
    <col min="11786" max="11786" width="10.140625" style="1" customWidth="1"/>
    <col min="11787" max="11787" width="8.85546875" style="1" customWidth="1"/>
    <col min="11788" max="11788" width="2.140625" style="1" customWidth="1"/>
    <col min="11789" max="11789" width="14.5703125" style="1" customWidth="1"/>
    <col min="11790" max="11792" width="10.42578125" style="1" customWidth="1"/>
    <col min="11793" max="11821" width="2.85546875" style="1" customWidth="1"/>
    <col min="11822" max="12016" width="10.28515625" style="1"/>
    <col min="12017" max="12017" width="14" style="1" customWidth="1"/>
    <col min="12018" max="12029" width="0" style="1" hidden="1" customWidth="1"/>
    <col min="12030" max="12038" width="11.5703125" style="1" customWidth="1"/>
    <col min="12039" max="12041" width="0" style="1" hidden="1" customWidth="1"/>
    <col min="12042" max="12042" width="10.140625" style="1" customWidth="1"/>
    <col min="12043" max="12043" width="8.85546875" style="1" customWidth="1"/>
    <col min="12044" max="12044" width="2.140625" style="1" customWidth="1"/>
    <col min="12045" max="12045" width="14.5703125" style="1" customWidth="1"/>
    <col min="12046" max="12048" width="10.42578125" style="1" customWidth="1"/>
    <col min="12049" max="12077" width="2.85546875" style="1" customWidth="1"/>
    <col min="12078" max="12272" width="10.28515625" style="1"/>
    <col min="12273" max="12273" width="14" style="1" customWidth="1"/>
    <col min="12274" max="12285" width="0" style="1" hidden="1" customWidth="1"/>
    <col min="12286" max="12294" width="11.5703125" style="1" customWidth="1"/>
    <col min="12295" max="12297" width="0" style="1" hidden="1" customWidth="1"/>
    <col min="12298" max="12298" width="10.140625" style="1" customWidth="1"/>
    <col min="12299" max="12299" width="8.85546875" style="1" customWidth="1"/>
    <col min="12300" max="12300" width="2.140625" style="1" customWidth="1"/>
    <col min="12301" max="12301" width="14.5703125" style="1" customWidth="1"/>
    <col min="12302" max="12304" width="10.42578125" style="1" customWidth="1"/>
    <col min="12305" max="12333" width="2.85546875" style="1" customWidth="1"/>
    <col min="12334" max="12528" width="10.28515625" style="1"/>
    <col min="12529" max="12529" width="14" style="1" customWidth="1"/>
    <col min="12530" max="12541" width="0" style="1" hidden="1" customWidth="1"/>
    <col min="12542" max="12550" width="11.5703125" style="1" customWidth="1"/>
    <col min="12551" max="12553" width="0" style="1" hidden="1" customWidth="1"/>
    <col min="12554" max="12554" width="10.140625" style="1" customWidth="1"/>
    <col min="12555" max="12555" width="8.85546875" style="1" customWidth="1"/>
    <col min="12556" max="12556" width="2.140625" style="1" customWidth="1"/>
    <col min="12557" max="12557" width="14.5703125" style="1" customWidth="1"/>
    <col min="12558" max="12560" width="10.42578125" style="1" customWidth="1"/>
    <col min="12561" max="12589" width="2.85546875" style="1" customWidth="1"/>
    <col min="12590" max="12784" width="10.28515625" style="1"/>
    <col min="12785" max="12785" width="14" style="1" customWidth="1"/>
    <col min="12786" max="12797" width="0" style="1" hidden="1" customWidth="1"/>
    <col min="12798" max="12806" width="11.5703125" style="1" customWidth="1"/>
    <col min="12807" max="12809" width="0" style="1" hidden="1" customWidth="1"/>
    <col min="12810" max="12810" width="10.140625" style="1" customWidth="1"/>
    <col min="12811" max="12811" width="8.85546875" style="1" customWidth="1"/>
    <col min="12812" max="12812" width="2.140625" style="1" customWidth="1"/>
    <col min="12813" max="12813" width="14.5703125" style="1" customWidth="1"/>
    <col min="12814" max="12816" width="10.42578125" style="1" customWidth="1"/>
    <col min="12817" max="12845" width="2.85546875" style="1" customWidth="1"/>
    <col min="12846" max="13040" width="10.28515625" style="1"/>
    <col min="13041" max="13041" width="14" style="1" customWidth="1"/>
    <col min="13042" max="13053" width="0" style="1" hidden="1" customWidth="1"/>
    <col min="13054" max="13062" width="11.5703125" style="1" customWidth="1"/>
    <col min="13063" max="13065" width="0" style="1" hidden="1" customWidth="1"/>
    <col min="13066" max="13066" width="10.140625" style="1" customWidth="1"/>
    <col min="13067" max="13067" width="8.85546875" style="1" customWidth="1"/>
    <col min="13068" max="13068" width="2.140625" style="1" customWidth="1"/>
    <col min="13069" max="13069" width="14.5703125" style="1" customWidth="1"/>
    <col min="13070" max="13072" width="10.42578125" style="1" customWidth="1"/>
    <col min="13073" max="13101" width="2.85546875" style="1" customWidth="1"/>
    <col min="13102" max="13296" width="10.28515625" style="1"/>
    <col min="13297" max="13297" width="14" style="1" customWidth="1"/>
    <col min="13298" max="13309" width="0" style="1" hidden="1" customWidth="1"/>
    <col min="13310" max="13318" width="11.5703125" style="1" customWidth="1"/>
    <col min="13319" max="13321" width="0" style="1" hidden="1" customWidth="1"/>
    <col min="13322" max="13322" width="10.140625" style="1" customWidth="1"/>
    <col min="13323" max="13323" width="8.85546875" style="1" customWidth="1"/>
    <col min="13324" max="13324" width="2.140625" style="1" customWidth="1"/>
    <col min="13325" max="13325" width="14.5703125" style="1" customWidth="1"/>
    <col min="13326" max="13328" width="10.42578125" style="1" customWidth="1"/>
    <col min="13329" max="13357" width="2.85546875" style="1" customWidth="1"/>
    <col min="13358" max="13552" width="10.28515625" style="1"/>
    <col min="13553" max="13553" width="14" style="1" customWidth="1"/>
    <col min="13554" max="13565" width="0" style="1" hidden="1" customWidth="1"/>
    <col min="13566" max="13574" width="11.5703125" style="1" customWidth="1"/>
    <col min="13575" max="13577" width="0" style="1" hidden="1" customWidth="1"/>
    <col min="13578" max="13578" width="10.140625" style="1" customWidth="1"/>
    <col min="13579" max="13579" width="8.85546875" style="1" customWidth="1"/>
    <col min="13580" max="13580" width="2.140625" style="1" customWidth="1"/>
    <col min="13581" max="13581" width="14.5703125" style="1" customWidth="1"/>
    <col min="13582" max="13584" width="10.42578125" style="1" customWidth="1"/>
    <col min="13585" max="13613" width="2.85546875" style="1" customWidth="1"/>
    <col min="13614" max="13808" width="10.28515625" style="1"/>
    <col min="13809" max="13809" width="14" style="1" customWidth="1"/>
    <col min="13810" max="13821" width="0" style="1" hidden="1" customWidth="1"/>
    <col min="13822" max="13830" width="11.5703125" style="1" customWidth="1"/>
    <col min="13831" max="13833" width="0" style="1" hidden="1" customWidth="1"/>
    <col min="13834" max="13834" width="10.140625" style="1" customWidth="1"/>
    <col min="13835" max="13835" width="8.85546875" style="1" customWidth="1"/>
    <col min="13836" max="13836" width="2.140625" style="1" customWidth="1"/>
    <col min="13837" max="13837" width="14.5703125" style="1" customWidth="1"/>
    <col min="13838" max="13840" width="10.42578125" style="1" customWidth="1"/>
    <col min="13841" max="13869" width="2.85546875" style="1" customWidth="1"/>
    <col min="13870" max="14064" width="10.28515625" style="1"/>
    <col min="14065" max="14065" width="14" style="1" customWidth="1"/>
    <col min="14066" max="14077" width="0" style="1" hidden="1" customWidth="1"/>
    <col min="14078" max="14086" width="11.5703125" style="1" customWidth="1"/>
    <col min="14087" max="14089" width="0" style="1" hidden="1" customWidth="1"/>
    <col min="14090" max="14090" width="10.140625" style="1" customWidth="1"/>
    <col min="14091" max="14091" width="8.85546875" style="1" customWidth="1"/>
    <col min="14092" max="14092" width="2.140625" style="1" customWidth="1"/>
    <col min="14093" max="14093" width="14.5703125" style="1" customWidth="1"/>
    <col min="14094" max="14096" width="10.42578125" style="1" customWidth="1"/>
    <col min="14097" max="14125" width="2.85546875" style="1" customWidth="1"/>
    <col min="14126" max="14320" width="10.28515625" style="1"/>
    <col min="14321" max="14321" width="14" style="1" customWidth="1"/>
    <col min="14322" max="14333" width="0" style="1" hidden="1" customWidth="1"/>
    <col min="14334" max="14342" width="11.5703125" style="1" customWidth="1"/>
    <col min="14343" max="14345" width="0" style="1" hidden="1" customWidth="1"/>
    <col min="14346" max="14346" width="10.140625" style="1" customWidth="1"/>
    <col min="14347" max="14347" width="8.85546875" style="1" customWidth="1"/>
    <col min="14348" max="14348" width="2.140625" style="1" customWidth="1"/>
    <col min="14349" max="14349" width="14.5703125" style="1" customWidth="1"/>
    <col min="14350" max="14352" width="10.42578125" style="1" customWidth="1"/>
    <col min="14353" max="14381" width="2.85546875" style="1" customWidth="1"/>
    <col min="14382" max="14576" width="10.28515625" style="1"/>
    <col min="14577" max="14577" width="14" style="1" customWidth="1"/>
    <col min="14578" max="14589" width="0" style="1" hidden="1" customWidth="1"/>
    <col min="14590" max="14598" width="11.5703125" style="1" customWidth="1"/>
    <col min="14599" max="14601" width="0" style="1" hidden="1" customWidth="1"/>
    <col min="14602" max="14602" width="10.140625" style="1" customWidth="1"/>
    <col min="14603" max="14603" width="8.85546875" style="1" customWidth="1"/>
    <col min="14604" max="14604" width="2.140625" style="1" customWidth="1"/>
    <col min="14605" max="14605" width="14.5703125" style="1" customWidth="1"/>
    <col min="14606" max="14608" width="10.42578125" style="1" customWidth="1"/>
    <col min="14609" max="14637" width="2.85546875" style="1" customWidth="1"/>
    <col min="14638" max="14832" width="10.28515625" style="1"/>
    <col min="14833" max="14833" width="14" style="1" customWidth="1"/>
    <col min="14834" max="14845" width="0" style="1" hidden="1" customWidth="1"/>
    <col min="14846" max="14854" width="11.5703125" style="1" customWidth="1"/>
    <col min="14855" max="14857" width="0" style="1" hidden="1" customWidth="1"/>
    <col min="14858" max="14858" width="10.140625" style="1" customWidth="1"/>
    <col min="14859" max="14859" width="8.85546875" style="1" customWidth="1"/>
    <col min="14860" max="14860" width="2.140625" style="1" customWidth="1"/>
    <col min="14861" max="14861" width="14.5703125" style="1" customWidth="1"/>
    <col min="14862" max="14864" width="10.42578125" style="1" customWidth="1"/>
    <col min="14865" max="14893" width="2.85546875" style="1" customWidth="1"/>
    <col min="14894" max="15088" width="10.28515625" style="1"/>
    <col min="15089" max="15089" width="14" style="1" customWidth="1"/>
    <col min="15090" max="15101" width="0" style="1" hidden="1" customWidth="1"/>
    <col min="15102" max="15110" width="11.5703125" style="1" customWidth="1"/>
    <col min="15111" max="15113" width="0" style="1" hidden="1" customWidth="1"/>
    <col min="15114" max="15114" width="10.140625" style="1" customWidth="1"/>
    <col min="15115" max="15115" width="8.85546875" style="1" customWidth="1"/>
    <col min="15116" max="15116" width="2.140625" style="1" customWidth="1"/>
    <col min="15117" max="15117" width="14.5703125" style="1" customWidth="1"/>
    <col min="15118" max="15120" width="10.42578125" style="1" customWidth="1"/>
    <col min="15121" max="15149" width="2.85546875" style="1" customWidth="1"/>
    <col min="15150" max="15344" width="10.28515625" style="1"/>
    <col min="15345" max="15345" width="14" style="1" customWidth="1"/>
    <col min="15346" max="15357" width="0" style="1" hidden="1" customWidth="1"/>
    <col min="15358" max="15366" width="11.5703125" style="1" customWidth="1"/>
    <col min="15367" max="15369" width="0" style="1" hidden="1" customWidth="1"/>
    <col min="15370" max="15370" width="10.140625" style="1" customWidth="1"/>
    <col min="15371" max="15371" width="8.85546875" style="1" customWidth="1"/>
    <col min="15372" max="15372" width="2.140625" style="1" customWidth="1"/>
    <col min="15373" max="15373" width="14.5703125" style="1" customWidth="1"/>
    <col min="15374" max="15376" width="10.42578125" style="1" customWidth="1"/>
    <col min="15377" max="15405" width="2.85546875" style="1" customWidth="1"/>
    <col min="15406" max="15600" width="10.28515625" style="1"/>
    <col min="15601" max="15601" width="14" style="1" customWidth="1"/>
    <col min="15602" max="15613" width="0" style="1" hidden="1" customWidth="1"/>
    <col min="15614" max="15622" width="11.5703125" style="1" customWidth="1"/>
    <col min="15623" max="15625" width="0" style="1" hidden="1" customWidth="1"/>
    <col min="15626" max="15626" width="10.140625" style="1" customWidth="1"/>
    <col min="15627" max="15627" width="8.85546875" style="1" customWidth="1"/>
    <col min="15628" max="15628" width="2.140625" style="1" customWidth="1"/>
    <col min="15629" max="15629" width="14.5703125" style="1" customWidth="1"/>
    <col min="15630" max="15632" width="10.42578125" style="1" customWidth="1"/>
    <col min="15633" max="15661" width="2.85546875" style="1" customWidth="1"/>
    <col min="15662" max="15856" width="10.28515625" style="1"/>
    <col min="15857" max="15857" width="14" style="1" customWidth="1"/>
    <col min="15858" max="15869" width="0" style="1" hidden="1" customWidth="1"/>
    <col min="15870" max="15878" width="11.5703125" style="1" customWidth="1"/>
    <col min="15879" max="15881" width="0" style="1" hidden="1" customWidth="1"/>
    <col min="15882" max="15882" width="10.140625" style="1" customWidth="1"/>
    <col min="15883" max="15883" width="8.85546875" style="1" customWidth="1"/>
    <col min="15884" max="15884" width="2.140625" style="1" customWidth="1"/>
    <col min="15885" max="15885" width="14.5703125" style="1" customWidth="1"/>
    <col min="15886" max="15888" width="10.42578125" style="1" customWidth="1"/>
    <col min="15889" max="15917" width="2.85546875" style="1" customWidth="1"/>
    <col min="15918" max="16112" width="10.28515625" style="1"/>
    <col min="16113" max="16113" width="14" style="1" customWidth="1"/>
    <col min="16114" max="16125" width="0" style="1" hidden="1" customWidth="1"/>
    <col min="16126" max="16134" width="11.5703125" style="1" customWidth="1"/>
    <col min="16135" max="16137" width="0" style="1" hidden="1" customWidth="1"/>
    <col min="16138" max="16138" width="10.140625" style="1" customWidth="1"/>
    <col min="16139" max="16139" width="8.85546875" style="1" customWidth="1"/>
    <col min="16140" max="16140" width="2.140625" style="1" customWidth="1"/>
    <col min="16141" max="16141" width="14.5703125" style="1" customWidth="1"/>
    <col min="16142" max="16144" width="10.42578125" style="1" customWidth="1"/>
    <col min="16145" max="16173" width="2.85546875" style="1" customWidth="1"/>
    <col min="16174" max="16384" width="10.28515625" style="1"/>
  </cols>
  <sheetData>
    <row r="1" spans="1:53" ht="20.25" customHeight="1" x14ac:dyDescent="0.5">
      <c r="A1" s="67" t="s">
        <v>2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53" ht="18" customHeight="1" x14ac:dyDescent="0.15">
      <c r="A2" s="68" t="s">
        <v>3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53" s="5" customFormat="1" ht="15.75" customHeight="1" x14ac:dyDescent="0.2">
      <c r="A3" s="4"/>
      <c r="B3" s="69">
        <v>2015</v>
      </c>
      <c r="C3" s="70"/>
      <c r="D3" s="70"/>
      <c r="E3" s="69">
        <v>2016</v>
      </c>
      <c r="F3" s="70"/>
      <c r="G3" s="70"/>
      <c r="H3" s="69">
        <v>2017</v>
      </c>
      <c r="I3" s="70"/>
      <c r="J3" s="70"/>
      <c r="K3" s="63" t="s">
        <v>4</v>
      </c>
      <c r="AW3" s="6"/>
      <c r="AX3" s="7"/>
      <c r="AY3" s="6"/>
      <c r="AZ3" s="6"/>
      <c r="BA3" s="6"/>
    </row>
    <row r="4" spans="1:53" ht="21.75" customHeight="1" x14ac:dyDescent="0.15">
      <c r="A4" s="8"/>
      <c r="B4" s="9" t="s">
        <v>5</v>
      </c>
      <c r="C4" s="10" t="s">
        <v>6</v>
      </c>
      <c r="D4" s="10" t="s">
        <v>7</v>
      </c>
      <c r="E4" s="9" t="s">
        <v>5</v>
      </c>
      <c r="F4" s="10" t="s">
        <v>6</v>
      </c>
      <c r="G4" s="10" t="s">
        <v>7</v>
      </c>
      <c r="H4" s="9" t="s">
        <v>5</v>
      </c>
      <c r="I4" s="10" t="s">
        <v>6</v>
      </c>
      <c r="J4" s="10" t="s">
        <v>7</v>
      </c>
      <c r="K4" s="64"/>
    </row>
    <row r="5" spans="1:53" ht="25.5" customHeight="1" x14ac:dyDescent="0.25">
      <c r="A5" s="11" t="s">
        <v>8</v>
      </c>
      <c r="B5" s="12" t="s">
        <v>9</v>
      </c>
      <c r="C5" s="13" t="s">
        <v>10</v>
      </c>
      <c r="D5" s="14" t="s">
        <v>11</v>
      </c>
      <c r="E5" s="12" t="s">
        <v>9</v>
      </c>
      <c r="F5" s="13" t="s">
        <v>10</v>
      </c>
      <c r="G5" s="14" t="s">
        <v>11</v>
      </c>
      <c r="H5" s="12" t="s">
        <v>9</v>
      </c>
      <c r="I5" s="13" t="s">
        <v>10</v>
      </c>
      <c r="J5" s="14" t="s">
        <v>11</v>
      </c>
      <c r="K5" s="65"/>
    </row>
    <row r="6" spans="1:53" ht="18.75" customHeight="1" x14ac:dyDescent="0.55000000000000004">
      <c r="A6" s="15" t="s">
        <v>1</v>
      </c>
      <c r="B6" s="16">
        <f t="shared" ref="B6:J6" si="0">SUM(B7:B18)</f>
        <v>6986</v>
      </c>
      <c r="C6" s="17">
        <f t="shared" si="0"/>
        <v>1130</v>
      </c>
      <c r="D6" s="18">
        <f t="shared" si="0"/>
        <v>5856</v>
      </c>
      <c r="E6" s="16">
        <f>SUM(E7:E18)</f>
        <v>6756</v>
      </c>
      <c r="F6" s="17">
        <f>SUM(F7:F18)</f>
        <v>1226</v>
      </c>
      <c r="G6" s="18">
        <f t="shared" si="0"/>
        <v>5530</v>
      </c>
      <c r="H6" s="16">
        <f t="shared" si="0"/>
        <v>6723</v>
      </c>
      <c r="I6" s="17">
        <f t="shared" si="0"/>
        <v>1241</v>
      </c>
      <c r="J6" s="17">
        <f t="shared" si="0"/>
        <v>5482</v>
      </c>
      <c r="K6" s="19" t="s">
        <v>12</v>
      </c>
      <c r="M6" s="20"/>
    </row>
    <row r="7" spans="1:53" ht="18.75" customHeight="1" x14ac:dyDescent="0.15">
      <c r="A7" s="21" t="s">
        <v>13</v>
      </c>
      <c r="B7" s="22">
        <v>517</v>
      </c>
      <c r="C7" s="23">
        <v>94</v>
      </c>
      <c r="D7" s="24">
        <f t="shared" ref="D7:D18" si="1">B7-C7</f>
        <v>423</v>
      </c>
      <c r="E7" s="22">
        <v>560</v>
      </c>
      <c r="F7" s="23">
        <v>122</v>
      </c>
      <c r="G7" s="24">
        <f t="shared" ref="G7:G18" si="2">E7-F7</f>
        <v>438</v>
      </c>
      <c r="H7" s="22">
        <v>550</v>
      </c>
      <c r="I7" s="23">
        <v>97</v>
      </c>
      <c r="J7" s="23">
        <f t="shared" ref="J7:J18" si="3">H7-I7</f>
        <v>453</v>
      </c>
      <c r="K7" s="25" t="s">
        <v>14</v>
      </c>
    </row>
    <row r="8" spans="1:53" ht="18.75" customHeight="1" x14ac:dyDescent="0.15">
      <c r="A8" s="21" t="s">
        <v>15</v>
      </c>
      <c r="B8" s="22">
        <v>496</v>
      </c>
      <c r="C8" s="23">
        <v>91</v>
      </c>
      <c r="D8" s="24">
        <f t="shared" si="1"/>
        <v>405</v>
      </c>
      <c r="E8" s="22">
        <v>524</v>
      </c>
      <c r="F8" s="23">
        <v>121</v>
      </c>
      <c r="G8" s="24">
        <f t="shared" si="2"/>
        <v>403</v>
      </c>
      <c r="H8" s="22">
        <v>511</v>
      </c>
      <c r="I8" s="23">
        <v>104</v>
      </c>
      <c r="J8" s="23">
        <f t="shared" si="3"/>
        <v>407</v>
      </c>
      <c r="K8" s="25" t="s">
        <v>16</v>
      </c>
      <c r="AX8" s="26" t="s">
        <v>9</v>
      </c>
    </row>
    <row r="9" spans="1:53" ht="18.75" customHeight="1" x14ac:dyDescent="0.15">
      <c r="A9" s="21" t="s">
        <v>17</v>
      </c>
      <c r="B9" s="22">
        <v>538</v>
      </c>
      <c r="C9" s="23">
        <v>107</v>
      </c>
      <c r="D9" s="24">
        <f t="shared" si="1"/>
        <v>431</v>
      </c>
      <c r="E9" s="22">
        <v>582</v>
      </c>
      <c r="F9" s="23">
        <v>129</v>
      </c>
      <c r="G9" s="24">
        <f t="shared" si="2"/>
        <v>453</v>
      </c>
      <c r="H9" s="22">
        <v>598</v>
      </c>
      <c r="I9" s="23">
        <v>134</v>
      </c>
      <c r="J9" s="23">
        <f t="shared" si="3"/>
        <v>464</v>
      </c>
      <c r="K9" s="25" t="s">
        <v>18</v>
      </c>
      <c r="AX9" s="27"/>
      <c r="AY9" s="27">
        <v>2015</v>
      </c>
      <c r="AZ9" s="27">
        <v>2016</v>
      </c>
      <c r="BA9" s="28">
        <v>2017</v>
      </c>
    </row>
    <row r="10" spans="1:53" ht="18.75" customHeight="1" x14ac:dyDescent="0.15">
      <c r="A10" s="21" t="s">
        <v>19</v>
      </c>
      <c r="B10" s="22">
        <v>599</v>
      </c>
      <c r="C10" s="23">
        <v>114</v>
      </c>
      <c r="D10" s="24">
        <f t="shared" si="1"/>
        <v>485</v>
      </c>
      <c r="E10" s="22">
        <v>628</v>
      </c>
      <c r="F10" s="23">
        <v>97</v>
      </c>
      <c r="G10" s="24">
        <f t="shared" si="2"/>
        <v>531</v>
      </c>
      <c r="H10" s="22">
        <v>573</v>
      </c>
      <c r="I10" s="23">
        <v>109</v>
      </c>
      <c r="J10" s="23">
        <f t="shared" si="3"/>
        <v>464</v>
      </c>
      <c r="K10" s="25" t="s">
        <v>20</v>
      </c>
      <c r="AX10" s="29" t="s">
        <v>21</v>
      </c>
      <c r="AY10" s="30">
        <v>517</v>
      </c>
      <c r="AZ10" s="27">
        <f>E7</f>
        <v>560</v>
      </c>
      <c r="BA10" s="27">
        <f>H7</f>
        <v>550</v>
      </c>
    </row>
    <row r="11" spans="1:53" ht="18.75" customHeight="1" x14ac:dyDescent="0.15">
      <c r="A11" s="21" t="s">
        <v>22</v>
      </c>
      <c r="B11" s="22">
        <v>635</v>
      </c>
      <c r="C11" s="23">
        <v>87</v>
      </c>
      <c r="D11" s="24">
        <f t="shared" si="1"/>
        <v>548</v>
      </c>
      <c r="E11" s="22">
        <v>585</v>
      </c>
      <c r="F11" s="23">
        <v>104</v>
      </c>
      <c r="G11" s="24">
        <f t="shared" si="2"/>
        <v>481</v>
      </c>
      <c r="H11" s="22">
        <v>582</v>
      </c>
      <c r="I11" s="23">
        <v>94</v>
      </c>
      <c r="J11" s="23">
        <f t="shared" si="3"/>
        <v>488</v>
      </c>
      <c r="K11" s="25" t="s">
        <v>23</v>
      </c>
      <c r="AX11" s="29" t="s">
        <v>24</v>
      </c>
      <c r="AY11" s="30">
        <v>496</v>
      </c>
      <c r="AZ11" s="27">
        <f t="shared" ref="AZ11:AZ18" si="4">E8</f>
        <v>524</v>
      </c>
      <c r="BA11" s="27">
        <f t="shared" ref="BA11:BA18" si="5">H8</f>
        <v>511</v>
      </c>
    </row>
    <row r="12" spans="1:53" ht="18.75" customHeight="1" x14ac:dyDescent="0.15">
      <c r="A12" s="21" t="s">
        <v>25</v>
      </c>
      <c r="B12" s="22">
        <v>601</v>
      </c>
      <c r="C12" s="23">
        <v>88</v>
      </c>
      <c r="D12" s="24">
        <f t="shared" si="1"/>
        <v>513</v>
      </c>
      <c r="E12" s="22">
        <v>532</v>
      </c>
      <c r="F12" s="23">
        <v>98</v>
      </c>
      <c r="G12" s="24">
        <f t="shared" si="2"/>
        <v>434</v>
      </c>
      <c r="H12" s="22">
        <v>581</v>
      </c>
      <c r="I12" s="23">
        <v>103</v>
      </c>
      <c r="J12" s="23">
        <f t="shared" si="3"/>
        <v>478</v>
      </c>
      <c r="K12" s="25" t="s">
        <v>26</v>
      </c>
      <c r="AX12" s="29" t="s">
        <v>27</v>
      </c>
      <c r="AY12" s="30">
        <v>538</v>
      </c>
      <c r="AZ12" s="27">
        <f t="shared" si="4"/>
        <v>582</v>
      </c>
      <c r="BA12" s="27">
        <f t="shared" si="5"/>
        <v>598</v>
      </c>
    </row>
    <row r="13" spans="1:53" ht="18.75" customHeight="1" x14ac:dyDescent="0.15">
      <c r="A13" s="21" t="s">
        <v>28</v>
      </c>
      <c r="B13" s="22">
        <v>574</v>
      </c>
      <c r="C13" s="23">
        <v>73</v>
      </c>
      <c r="D13" s="24">
        <f t="shared" si="1"/>
        <v>501</v>
      </c>
      <c r="E13" s="22">
        <v>518</v>
      </c>
      <c r="F13" s="23">
        <v>83</v>
      </c>
      <c r="G13" s="24">
        <f t="shared" si="2"/>
        <v>435</v>
      </c>
      <c r="H13" s="22">
        <v>547</v>
      </c>
      <c r="I13" s="23">
        <v>105</v>
      </c>
      <c r="J13" s="23">
        <f t="shared" si="3"/>
        <v>442</v>
      </c>
      <c r="K13" s="25" t="s">
        <v>29</v>
      </c>
      <c r="AX13" s="29" t="s">
        <v>30</v>
      </c>
      <c r="AY13" s="30">
        <v>599</v>
      </c>
      <c r="AZ13" s="27">
        <f t="shared" si="4"/>
        <v>628</v>
      </c>
      <c r="BA13" s="27">
        <f t="shared" si="5"/>
        <v>573</v>
      </c>
    </row>
    <row r="14" spans="1:53" ht="18.75" customHeight="1" x14ac:dyDescent="0.15">
      <c r="A14" s="21" t="s">
        <v>31</v>
      </c>
      <c r="B14" s="22">
        <v>585</v>
      </c>
      <c r="C14" s="23">
        <v>91</v>
      </c>
      <c r="D14" s="24">
        <f t="shared" si="1"/>
        <v>494</v>
      </c>
      <c r="E14" s="22">
        <v>565</v>
      </c>
      <c r="F14" s="23">
        <v>109</v>
      </c>
      <c r="G14" s="24">
        <f t="shared" si="2"/>
        <v>456</v>
      </c>
      <c r="H14" s="22">
        <v>623</v>
      </c>
      <c r="I14" s="23">
        <v>88</v>
      </c>
      <c r="J14" s="23">
        <f t="shared" si="3"/>
        <v>535</v>
      </c>
      <c r="K14" s="25" t="s">
        <v>32</v>
      </c>
      <c r="AX14" s="29" t="s">
        <v>22</v>
      </c>
      <c r="AY14" s="30">
        <v>635</v>
      </c>
      <c r="AZ14" s="27">
        <f t="shared" si="4"/>
        <v>585</v>
      </c>
      <c r="BA14" s="27">
        <f t="shared" si="5"/>
        <v>582</v>
      </c>
    </row>
    <row r="15" spans="1:53" ht="18.75" customHeight="1" x14ac:dyDescent="0.15">
      <c r="A15" s="21" t="s">
        <v>33</v>
      </c>
      <c r="B15" s="22">
        <v>647</v>
      </c>
      <c r="C15" s="23">
        <v>92</v>
      </c>
      <c r="D15" s="24">
        <f t="shared" si="1"/>
        <v>555</v>
      </c>
      <c r="E15" s="22">
        <v>543</v>
      </c>
      <c r="F15" s="23">
        <v>94</v>
      </c>
      <c r="G15" s="24">
        <f t="shared" si="2"/>
        <v>449</v>
      </c>
      <c r="H15" s="22">
        <v>559</v>
      </c>
      <c r="I15" s="23">
        <v>90</v>
      </c>
      <c r="J15" s="23">
        <f t="shared" si="3"/>
        <v>469</v>
      </c>
      <c r="K15" s="25" t="s">
        <v>34</v>
      </c>
      <c r="AX15" s="29" t="s">
        <v>35</v>
      </c>
      <c r="AY15" s="30">
        <v>601</v>
      </c>
      <c r="AZ15" s="27">
        <f t="shared" si="4"/>
        <v>532</v>
      </c>
      <c r="BA15" s="27">
        <f t="shared" si="5"/>
        <v>581</v>
      </c>
    </row>
    <row r="16" spans="1:53" ht="18.75" customHeight="1" x14ac:dyDescent="0.15">
      <c r="A16" s="21" t="s">
        <v>0</v>
      </c>
      <c r="B16" s="22">
        <v>628</v>
      </c>
      <c r="C16" s="23">
        <v>97</v>
      </c>
      <c r="D16" s="24">
        <f t="shared" si="1"/>
        <v>531</v>
      </c>
      <c r="E16" s="22">
        <v>601</v>
      </c>
      <c r="F16" s="23">
        <v>80</v>
      </c>
      <c r="G16" s="24">
        <f t="shared" si="2"/>
        <v>521</v>
      </c>
      <c r="H16" s="22">
        <v>570</v>
      </c>
      <c r="I16" s="23">
        <v>106</v>
      </c>
      <c r="J16" s="23">
        <f t="shared" si="3"/>
        <v>464</v>
      </c>
      <c r="K16" s="25" t="s">
        <v>36</v>
      </c>
      <c r="AX16" s="29" t="s">
        <v>37</v>
      </c>
      <c r="AY16" s="30">
        <v>574</v>
      </c>
      <c r="AZ16" s="27">
        <f t="shared" si="4"/>
        <v>518</v>
      </c>
      <c r="BA16" s="27">
        <f t="shared" si="5"/>
        <v>547</v>
      </c>
    </row>
    <row r="17" spans="1:53" ht="18.75" customHeight="1" x14ac:dyDescent="0.15">
      <c r="A17" s="21" t="s">
        <v>38</v>
      </c>
      <c r="B17" s="22">
        <v>626</v>
      </c>
      <c r="C17" s="23">
        <v>98</v>
      </c>
      <c r="D17" s="24">
        <f t="shared" si="1"/>
        <v>528</v>
      </c>
      <c r="E17" s="22">
        <v>553</v>
      </c>
      <c r="F17" s="23">
        <v>88</v>
      </c>
      <c r="G17" s="24">
        <f t="shared" si="2"/>
        <v>465</v>
      </c>
      <c r="H17" s="22">
        <v>520</v>
      </c>
      <c r="I17" s="23">
        <v>94</v>
      </c>
      <c r="J17" s="23">
        <f t="shared" si="3"/>
        <v>426</v>
      </c>
      <c r="K17" s="25" t="s">
        <v>39</v>
      </c>
      <c r="AX17" s="29" t="s">
        <v>40</v>
      </c>
      <c r="AY17" s="30">
        <v>585</v>
      </c>
      <c r="AZ17" s="27">
        <f t="shared" si="4"/>
        <v>565</v>
      </c>
      <c r="BA17" s="27">
        <f t="shared" si="5"/>
        <v>623</v>
      </c>
    </row>
    <row r="18" spans="1:53" ht="21.75" customHeight="1" x14ac:dyDescent="0.15">
      <c r="A18" s="31" t="s">
        <v>41</v>
      </c>
      <c r="B18" s="32">
        <v>540</v>
      </c>
      <c r="C18" s="33">
        <v>98</v>
      </c>
      <c r="D18" s="34">
        <f t="shared" si="1"/>
        <v>442</v>
      </c>
      <c r="E18" s="32">
        <v>565</v>
      </c>
      <c r="F18" s="33">
        <v>101</v>
      </c>
      <c r="G18" s="34">
        <f t="shared" si="2"/>
        <v>464</v>
      </c>
      <c r="H18" s="32">
        <v>509</v>
      </c>
      <c r="I18" s="33">
        <v>117</v>
      </c>
      <c r="J18" s="33">
        <f t="shared" si="3"/>
        <v>392</v>
      </c>
      <c r="K18" s="35" t="s">
        <v>42</v>
      </c>
      <c r="AX18" s="29" t="s">
        <v>43</v>
      </c>
      <c r="AY18" s="30">
        <v>647</v>
      </c>
      <c r="AZ18" s="27">
        <f t="shared" si="4"/>
        <v>543</v>
      </c>
      <c r="BA18" s="27">
        <f t="shared" si="5"/>
        <v>559</v>
      </c>
    </row>
    <row r="19" spans="1:53" s="40" customFormat="1" ht="14.25" customHeight="1" x14ac:dyDescent="0.15">
      <c r="A19" s="37" t="s">
        <v>45</v>
      </c>
      <c r="B19" s="38"/>
      <c r="C19" s="38"/>
      <c r="D19" s="38"/>
      <c r="E19" s="38"/>
      <c r="F19" s="38"/>
      <c r="G19" s="36"/>
      <c r="H19" s="36"/>
      <c r="I19" s="36"/>
      <c r="J19" s="36"/>
      <c r="K19" s="39" t="s">
        <v>46</v>
      </c>
      <c r="N19" s="1"/>
      <c r="O19" s="1"/>
      <c r="P19" s="1"/>
      <c r="AW19" s="41"/>
      <c r="AX19" s="29" t="s">
        <v>47</v>
      </c>
      <c r="AY19" s="30">
        <v>626</v>
      </c>
      <c r="AZ19" s="27">
        <f>E17</f>
        <v>553</v>
      </c>
      <c r="BA19" s="27">
        <f>H17</f>
        <v>520</v>
      </c>
    </row>
    <row r="20" spans="1:53" x14ac:dyDescent="0.5">
      <c r="L20" s="43"/>
      <c r="M20" s="43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5"/>
      <c r="AX20" s="29" t="s">
        <v>48</v>
      </c>
      <c r="AY20" s="30">
        <v>540</v>
      </c>
      <c r="AZ20" s="27">
        <f>E18</f>
        <v>565</v>
      </c>
      <c r="BA20" s="27">
        <f>H18</f>
        <v>509</v>
      </c>
    </row>
    <row r="21" spans="1:53" x14ac:dyDescent="0.5">
      <c r="L21" s="43"/>
      <c r="M21" s="43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5"/>
    </row>
    <row r="22" spans="1:53" x14ac:dyDescent="0.5">
      <c r="L22" s="43"/>
      <c r="M22" s="43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5"/>
    </row>
    <row r="23" spans="1:53" x14ac:dyDescent="0.5">
      <c r="L23" s="43"/>
      <c r="M23" s="43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5"/>
    </row>
    <row r="24" spans="1:53" x14ac:dyDescent="0.5">
      <c r="L24" s="43"/>
      <c r="M24" s="43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5"/>
    </row>
    <row r="25" spans="1:53" x14ac:dyDescent="0.5"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</row>
    <row r="27" spans="1:53" ht="12" x14ac:dyDescent="0.15">
      <c r="K27" s="1"/>
    </row>
    <row r="28" spans="1:53" ht="12" x14ac:dyDescent="0.15">
      <c r="A28" s="46"/>
      <c r="K28" s="1"/>
      <c r="AX28" s="26" t="s">
        <v>10</v>
      </c>
    </row>
    <row r="29" spans="1:53" ht="12" x14ac:dyDescent="0.15">
      <c r="K29" s="1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7"/>
      <c r="AU29" s="47"/>
      <c r="AV29" s="47"/>
      <c r="AW29" s="48"/>
    </row>
    <row r="30" spans="1:53" ht="12" x14ac:dyDescent="0.15">
      <c r="A30" s="49"/>
      <c r="K30" s="1"/>
    </row>
    <row r="31" spans="1:53" s="49" customFormat="1" ht="12" x14ac:dyDescent="0.25">
      <c r="A31" s="50"/>
      <c r="AW31" s="51"/>
      <c r="AX31" s="27"/>
      <c r="AY31" s="27">
        <v>2015</v>
      </c>
      <c r="AZ31" s="27">
        <v>2016</v>
      </c>
      <c r="BA31" s="28">
        <v>2017</v>
      </c>
    </row>
    <row r="32" spans="1:53" ht="12.75" x14ac:dyDescent="0.15">
      <c r="A32" s="50"/>
      <c r="K32" s="1"/>
      <c r="AX32" s="29" t="s">
        <v>21</v>
      </c>
      <c r="AY32" s="30">
        <v>94</v>
      </c>
      <c r="AZ32" s="27">
        <f>F7</f>
        <v>122</v>
      </c>
      <c r="BA32" s="27">
        <f>I7</f>
        <v>97</v>
      </c>
    </row>
    <row r="33" spans="1:53" ht="12.75" x14ac:dyDescent="0.15">
      <c r="A33" s="50"/>
      <c r="K33" s="1"/>
      <c r="AX33" s="29" t="s">
        <v>24</v>
      </c>
      <c r="AY33" s="30">
        <v>91</v>
      </c>
      <c r="AZ33" s="27">
        <f t="shared" ref="AZ33:AZ43" si="6">F8</f>
        <v>121</v>
      </c>
      <c r="BA33" s="27">
        <f t="shared" ref="BA33:BA43" si="7">I8</f>
        <v>104</v>
      </c>
    </row>
    <row r="34" spans="1:53" s="45" customFormat="1" ht="8.25" customHeight="1" x14ac:dyDescent="0.15">
      <c r="A34" s="52"/>
      <c r="AW34" s="53"/>
      <c r="AX34" s="29" t="s">
        <v>27</v>
      </c>
      <c r="AY34" s="30">
        <v>107</v>
      </c>
      <c r="AZ34" s="27">
        <f t="shared" si="6"/>
        <v>129</v>
      </c>
      <c r="BA34" s="27">
        <f t="shared" si="7"/>
        <v>134</v>
      </c>
    </row>
    <row r="35" spans="1:53" s="45" customFormat="1" x14ac:dyDescent="0.5">
      <c r="A35" s="52"/>
      <c r="B35" s="66"/>
      <c r="C35" s="66"/>
      <c r="D35" s="66"/>
      <c r="E35" s="66"/>
      <c r="F35" s="66"/>
      <c r="G35" s="66"/>
      <c r="H35" s="66"/>
      <c r="I35" s="66"/>
      <c r="J35" s="66"/>
      <c r="K35" s="54"/>
      <c r="AW35" s="53"/>
      <c r="AX35" s="29" t="s">
        <v>30</v>
      </c>
      <c r="AY35" s="30">
        <v>114</v>
      </c>
      <c r="AZ35" s="27">
        <f t="shared" si="6"/>
        <v>97</v>
      </c>
      <c r="BA35" s="27">
        <f t="shared" si="7"/>
        <v>109</v>
      </c>
    </row>
    <row r="36" spans="1:53" s="45" customFormat="1" x14ac:dyDescent="0.5">
      <c r="A36" s="52"/>
      <c r="B36" s="55"/>
      <c r="C36" s="55"/>
      <c r="D36" s="55"/>
      <c r="E36" s="55"/>
      <c r="F36" s="55"/>
      <c r="G36" s="55"/>
      <c r="H36" s="55"/>
      <c r="I36" s="55"/>
      <c r="J36" s="55"/>
      <c r="K36" s="54"/>
      <c r="AW36" s="53"/>
      <c r="AX36" s="29" t="s">
        <v>22</v>
      </c>
      <c r="AY36" s="30">
        <v>87</v>
      </c>
      <c r="AZ36" s="27">
        <f t="shared" si="6"/>
        <v>104</v>
      </c>
      <c r="BA36" s="27">
        <f t="shared" si="7"/>
        <v>94</v>
      </c>
    </row>
    <row r="37" spans="1:53" s="45" customFormat="1" x14ac:dyDescent="0.5">
      <c r="A37" s="52"/>
      <c r="B37" s="57"/>
      <c r="C37" s="56"/>
      <c r="D37" s="56"/>
      <c r="E37" s="57"/>
      <c r="F37" s="56"/>
      <c r="G37" s="56"/>
      <c r="H37" s="57"/>
      <c r="I37" s="56"/>
      <c r="J37" s="56"/>
      <c r="K37" s="54"/>
      <c r="AW37" s="53"/>
      <c r="AX37" s="29" t="s">
        <v>35</v>
      </c>
      <c r="AY37" s="30">
        <v>88</v>
      </c>
      <c r="AZ37" s="27">
        <f t="shared" si="6"/>
        <v>98</v>
      </c>
      <c r="BA37" s="27">
        <f t="shared" si="7"/>
        <v>103</v>
      </c>
    </row>
    <row r="38" spans="1:53" s="45" customFormat="1" x14ac:dyDescent="0.5">
      <c r="A38" s="52"/>
      <c r="B38" s="58"/>
      <c r="C38" s="58"/>
      <c r="D38" s="58"/>
      <c r="E38" s="58"/>
      <c r="F38" s="58"/>
      <c r="G38" s="58"/>
      <c r="H38" s="58"/>
      <c r="I38" s="58"/>
      <c r="J38" s="58"/>
      <c r="K38" s="54"/>
      <c r="AW38" s="53"/>
      <c r="AX38" s="29" t="s">
        <v>37</v>
      </c>
      <c r="AY38" s="30">
        <v>73</v>
      </c>
      <c r="AZ38" s="27">
        <f t="shared" si="6"/>
        <v>83</v>
      </c>
      <c r="BA38" s="27">
        <f t="shared" si="7"/>
        <v>105</v>
      </c>
    </row>
    <row r="39" spans="1:53" s="45" customFormat="1" x14ac:dyDescent="0.5">
      <c r="A39" s="52"/>
      <c r="B39" s="59"/>
      <c r="C39" s="59"/>
      <c r="D39" s="59"/>
      <c r="E39" s="59"/>
      <c r="F39" s="59"/>
      <c r="G39" s="59"/>
      <c r="H39" s="59"/>
      <c r="I39" s="59"/>
      <c r="J39" s="59"/>
      <c r="K39" s="54"/>
      <c r="AW39" s="53"/>
      <c r="AX39" s="29" t="s">
        <v>40</v>
      </c>
      <c r="AY39" s="30">
        <v>91</v>
      </c>
      <c r="AZ39" s="27">
        <f t="shared" si="6"/>
        <v>109</v>
      </c>
      <c r="BA39" s="27">
        <f t="shared" si="7"/>
        <v>88</v>
      </c>
    </row>
    <row r="40" spans="1:53" s="45" customFormat="1" x14ac:dyDescent="0.5">
      <c r="A40" s="52"/>
      <c r="B40" s="59"/>
      <c r="C40" s="59"/>
      <c r="D40" s="59"/>
      <c r="E40" s="59"/>
      <c r="F40" s="59"/>
      <c r="G40" s="59"/>
      <c r="H40" s="59"/>
      <c r="I40" s="59"/>
      <c r="J40" s="59"/>
      <c r="K40" s="54"/>
      <c r="AW40" s="53"/>
      <c r="AX40" s="29" t="s">
        <v>43</v>
      </c>
      <c r="AY40" s="30">
        <v>92</v>
      </c>
      <c r="AZ40" s="27">
        <f t="shared" si="6"/>
        <v>94</v>
      </c>
      <c r="BA40" s="27">
        <f t="shared" si="7"/>
        <v>90</v>
      </c>
    </row>
    <row r="41" spans="1:53" s="45" customFormat="1" x14ac:dyDescent="0.5">
      <c r="A41" s="52"/>
      <c r="B41" s="59"/>
      <c r="C41" s="59"/>
      <c r="D41" s="59"/>
      <c r="E41" s="59"/>
      <c r="F41" s="59"/>
      <c r="G41" s="59"/>
      <c r="H41" s="59"/>
      <c r="I41" s="59"/>
      <c r="J41" s="59"/>
      <c r="K41" s="54"/>
      <c r="AW41" s="53"/>
      <c r="AX41" s="29" t="s">
        <v>44</v>
      </c>
      <c r="AY41" s="30">
        <v>97</v>
      </c>
      <c r="AZ41" s="27">
        <f t="shared" si="6"/>
        <v>80</v>
      </c>
      <c r="BA41" s="27">
        <f t="shared" si="7"/>
        <v>106</v>
      </c>
    </row>
    <row r="42" spans="1:53" s="45" customFormat="1" x14ac:dyDescent="0.5">
      <c r="A42" s="52"/>
      <c r="B42" s="59"/>
      <c r="C42" s="59"/>
      <c r="D42" s="59"/>
      <c r="E42" s="59"/>
      <c r="F42" s="59"/>
      <c r="G42" s="59"/>
      <c r="H42" s="59"/>
      <c r="I42" s="59"/>
      <c r="J42" s="59"/>
      <c r="K42" s="54"/>
      <c r="AW42" s="53"/>
      <c r="AX42" s="29" t="s">
        <v>47</v>
      </c>
      <c r="AY42" s="30">
        <v>98</v>
      </c>
      <c r="AZ42" s="27">
        <f t="shared" si="6"/>
        <v>88</v>
      </c>
      <c r="BA42" s="27">
        <f t="shared" si="7"/>
        <v>94</v>
      </c>
    </row>
    <row r="43" spans="1:53" s="45" customFormat="1" x14ac:dyDescent="0.5">
      <c r="B43" s="59"/>
      <c r="C43" s="59"/>
      <c r="D43" s="59"/>
      <c r="E43" s="59"/>
      <c r="F43" s="59"/>
      <c r="G43" s="59"/>
      <c r="H43" s="59"/>
      <c r="I43" s="59"/>
      <c r="J43" s="59"/>
      <c r="K43" s="54"/>
      <c r="AW43" s="53"/>
      <c r="AX43" s="29" t="s">
        <v>48</v>
      </c>
      <c r="AY43" s="30">
        <v>98</v>
      </c>
      <c r="AZ43" s="27">
        <f t="shared" si="6"/>
        <v>101</v>
      </c>
      <c r="BA43" s="27">
        <f t="shared" si="7"/>
        <v>117</v>
      </c>
    </row>
    <row r="44" spans="1:53" s="45" customFormat="1" x14ac:dyDescent="0.5">
      <c r="B44" s="59"/>
      <c r="C44" s="59"/>
      <c r="D44" s="59"/>
      <c r="E44" s="59"/>
      <c r="F44" s="59"/>
      <c r="G44" s="59"/>
      <c r="H44" s="59"/>
      <c r="I44" s="59"/>
      <c r="J44" s="59"/>
      <c r="K44" s="54"/>
      <c r="AW44" s="53"/>
      <c r="AX44" s="60"/>
      <c r="AY44" s="53"/>
      <c r="AZ44" s="53"/>
      <c r="BA44" s="53"/>
    </row>
    <row r="45" spans="1:53" s="45" customFormat="1" x14ac:dyDescent="0.5">
      <c r="B45" s="59"/>
      <c r="C45" s="59"/>
      <c r="D45" s="59"/>
      <c r="E45" s="59"/>
      <c r="F45" s="59"/>
      <c r="G45" s="59"/>
      <c r="H45" s="59"/>
      <c r="I45" s="59"/>
      <c r="J45" s="59"/>
      <c r="K45" s="54"/>
      <c r="AW45" s="53"/>
      <c r="AX45" s="61"/>
      <c r="AY45" s="53"/>
      <c r="AZ45" s="53"/>
      <c r="BA45" s="53"/>
    </row>
    <row r="46" spans="1:53" s="45" customFormat="1" x14ac:dyDescent="0.5">
      <c r="B46" s="59"/>
      <c r="C46" s="59"/>
      <c r="D46" s="59"/>
      <c r="E46" s="59"/>
      <c r="F46" s="59"/>
      <c r="G46" s="59"/>
      <c r="H46" s="59"/>
      <c r="I46" s="59"/>
      <c r="J46" s="59"/>
      <c r="K46" s="54"/>
      <c r="AW46" s="53"/>
      <c r="AX46" s="62"/>
      <c r="AY46" s="53"/>
      <c r="AZ46" s="53"/>
      <c r="BA46" s="53"/>
    </row>
    <row r="47" spans="1:53" s="45" customFormat="1" x14ac:dyDescent="0.5">
      <c r="B47" s="59"/>
      <c r="C47" s="59"/>
      <c r="D47" s="59"/>
      <c r="E47" s="59"/>
      <c r="F47" s="59"/>
      <c r="G47" s="59"/>
      <c r="H47" s="59"/>
      <c r="I47" s="59"/>
      <c r="J47" s="59"/>
      <c r="K47" s="54"/>
      <c r="AW47" s="53"/>
      <c r="AX47" s="62"/>
      <c r="AY47" s="53"/>
      <c r="AZ47" s="53"/>
      <c r="BA47" s="53"/>
    </row>
    <row r="48" spans="1:53" s="45" customFormat="1" x14ac:dyDescent="0.5">
      <c r="B48" s="59"/>
      <c r="C48" s="59"/>
      <c r="D48" s="59"/>
      <c r="E48" s="59"/>
      <c r="F48" s="59"/>
      <c r="G48" s="59"/>
      <c r="H48" s="59"/>
      <c r="I48" s="59"/>
      <c r="J48" s="59"/>
      <c r="K48" s="54"/>
      <c r="AW48" s="53"/>
      <c r="AX48" s="62"/>
      <c r="AY48" s="53"/>
      <c r="AZ48" s="53"/>
      <c r="BA48" s="53"/>
    </row>
    <row r="49" spans="2:53" s="45" customFormat="1" x14ac:dyDescent="0.5">
      <c r="B49" s="59"/>
      <c r="C49" s="59"/>
      <c r="D49" s="59"/>
      <c r="E49" s="59"/>
      <c r="F49" s="59"/>
      <c r="G49" s="59"/>
      <c r="H49" s="59"/>
      <c r="I49" s="59"/>
      <c r="J49" s="59"/>
      <c r="K49" s="54"/>
      <c r="AW49" s="53"/>
      <c r="AX49" s="62"/>
      <c r="AY49" s="53"/>
      <c r="AZ49" s="53"/>
      <c r="BA49" s="53"/>
    </row>
    <row r="50" spans="2:53" s="45" customFormat="1" x14ac:dyDescent="0.5">
      <c r="B50" s="59"/>
      <c r="C50" s="59"/>
      <c r="D50" s="59"/>
      <c r="E50" s="59"/>
      <c r="F50" s="59"/>
      <c r="G50" s="59"/>
      <c r="H50" s="59"/>
      <c r="I50" s="59"/>
      <c r="J50" s="59"/>
      <c r="K50" s="54"/>
      <c r="AW50" s="53"/>
      <c r="AX50" s="62"/>
      <c r="AY50" s="53"/>
      <c r="AZ50" s="53"/>
      <c r="BA50" s="53"/>
    </row>
    <row r="51" spans="2:53" s="45" customFormat="1" x14ac:dyDescent="0.5">
      <c r="K51" s="54"/>
      <c r="AW51" s="53"/>
      <c r="AX51" s="62"/>
      <c r="AY51" s="53"/>
      <c r="AZ51" s="53"/>
      <c r="BA51" s="53"/>
    </row>
    <row r="52" spans="2:53" s="45" customFormat="1" x14ac:dyDescent="0.5">
      <c r="K52" s="54"/>
      <c r="AW52" s="53"/>
      <c r="AX52" s="62"/>
      <c r="AY52" s="53"/>
      <c r="AZ52" s="53"/>
      <c r="BA52" s="53"/>
    </row>
    <row r="53" spans="2:53" s="45" customFormat="1" x14ac:dyDescent="0.5">
      <c r="K53" s="54"/>
      <c r="AW53" s="53"/>
      <c r="AX53" s="62"/>
      <c r="AY53" s="53"/>
      <c r="AZ53" s="53"/>
      <c r="BA53" s="53"/>
    </row>
    <row r="54" spans="2:53" s="45" customFormat="1" x14ac:dyDescent="0.5">
      <c r="K54" s="54"/>
      <c r="AW54" s="53"/>
      <c r="AX54" s="62"/>
      <c r="AY54" s="53"/>
      <c r="AZ54" s="53"/>
      <c r="BA54" s="53"/>
    </row>
    <row r="55" spans="2:53" s="45" customFormat="1" x14ac:dyDescent="0.5">
      <c r="K55" s="54"/>
      <c r="AW55" s="53"/>
      <c r="AX55" s="62"/>
      <c r="AY55" s="53"/>
      <c r="AZ55" s="53"/>
      <c r="BA55" s="53"/>
    </row>
    <row r="56" spans="2:53" x14ac:dyDescent="0.5">
      <c r="AW56" s="53"/>
      <c r="AX56" s="62"/>
    </row>
    <row r="57" spans="2:53" x14ac:dyDescent="0.5">
      <c r="AW57" s="53"/>
      <c r="AX57" s="62"/>
    </row>
  </sheetData>
  <mergeCells count="7">
    <mergeCell ref="K3:K5"/>
    <mergeCell ref="B35:J35"/>
    <mergeCell ref="A1:K1"/>
    <mergeCell ref="A2:K2"/>
    <mergeCell ref="B3:D3"/>
    <mergeCell ref="E3:G3"/>
    <mergeCell ref="H3:J3"/>
  </mergeCells>
  <pageMargins left="0.7" right="0.7" top="0.75" bottom="0.75" header="0.3" footer="0.3"/>
  <pageSetup scale="66" orientation="portrait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3.7</vt:lpstr>
      <vt:lpstr>'3.7'!Print_Area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2019-07-31T06:07:05Z</cp:lastPrinted>
  <dcterms:created xsi:type="dcterms:W3CDTF">2019-07-22T06:02:33Z</dcterms:created>
  <dcterms:modified xsi:type="dcterms:W3CDTF">2019-07-31T06:07:15Z</dcterms:modified>
</cp:coreProperties>
</file>