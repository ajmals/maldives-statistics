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19" sheetId="19" r:id="rId1"/>
  </sheets>
  <externalReferences>
    <externalReference r:id="rId2"/>
    <externalReference r:id="rId3"/>
    <externalReference r:id="rId4"/>
  </externalReferences>
  <definedNames>
    <definedName name="_xlnm.Print_Area" localSheetId="0">'3.19'!$A$1:$F$46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" i="19" l="1"/>
  <c r="W28" i="19" l="1"/>
  <c r="D11" i="19"/>
  <c r="D10" i="19"/>
  <c r="C9" i="19"/>
  <c r="B9" i="19"/>
  <c r="D8" i="19"/>
  <c r="X28" i="19" s="1"/>
  <c r="D9" i="19" l="1"/>
  <c r="V5" i="19" l="1"/>
  <c r="W29" i="19"/>
  <c r="X29" i="19"/>
</calcChain>
</file>

<file path=xl/sharedStrings.xml><?xml version="1.0" encoding="utf-8"?>
<sst xmlns="http://schemas.openxmlformats.org/spreadsheetml/2006/main" count="29" uniqueCount="23">
  <si>
    <t>Total</t>
  </si>
  <si>
    <t>ޖުމްލަ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</si>
  <si>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</si>
  <si>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</si>
  <si>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ތާވަލު 13.19: ރާއްޖެއާއި ރާއްޖޭންބޭރުގައި ކުރެވޭ ދިވެހި އަދި ދިވެހި ބިދޭސީ ކައިވެނި، 2018</t>
  </si>
  <si>
    <t>TABLE 3.19: MARRIAGES BETWEEN LOCALS AND LOCALS TO FOREIGN NATIONALS, PERFORMED LOCALLY AND OVERSEAS, 2018</t>
  </si>
  <si>
    <t xml:space="preserve">Marriage with foreign nationals </t>
  </si>
  <si>
    <t xml:space="preserve">Type of  Marriages </t>
  </si>
  <si>
    <t>Registered</t>
  </si>
  <si>
    <t xml:space="preserve">ކައިވެނީގެ ބާވަތް </t>
  </si>
  <si>
    <t xml:space="preserve">    Foreign Males</t>
  </si>
  <si>
    <t xml:space="preserve">ރަޖިސްޓްރީކޮށްދިން </t>
  </si>
  <si>
    <t xml:space="preserve">    Foreign Females</t>
  </si>
  <si>
    <t xml:space="preserve">            Marriages overseas         </t>
  </si>
  <si>
    <r>
      <t xml:space="preserve">Marriages  in Maldives         </t>
    </r>
    <r>
      <rPr>
        <b/>
        <sz val="9"/>
        <color indexed="8"/>
        <rFont val="Faruma"/>
      </rPr>
      <t xml:space="preserve"> </t>
    </r>
  </si>
  <si>
    <t>ދިވެހިން ބޭރުގައި ކުރި ކައިވެނި</t>
  </si>
  <si>
    <t>ރާއްޖޭގައި ކުރި ކައިވެނި</t>
  </si>
  <si>
    <t xml:space="preserve">Marriage between maldivian nationals </t>
  </si>
  <si>
    <t xml:space="preserve">ދިވެހިންނާއި ދިވެހިން ކުރި ކައިވެނި </t>
  </si>
  <si>
    <t xml:space="preserve">ދިވެހިން ބޭރު މީހުންނާއިއެކު ކުރެވުނު ކައިވެނި </t>
  </si>
  <si>
    <t xml:space="preserve">ބޭރު ފިރިހެނުންނާއިއެކު ކުރެވުނު ކައިވެނި </t>
  </si>
  <si>
    <t xml:space="preserve">ބޭރު އަންހެނުންނާއިއެކު ކުރެވުނު ކައިވެނި </t>
  </si>
  <si>
    <t xml:space="preserve">Marriages overseas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</si>
</sst>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8" formatCode="_-* #,##0.00\ _ރ_._-;_-* #,##0.00\ _ރ_.\-;_-* &quot;-&quot;??\ _ރ_._-;_-@_-"/>
    <numFmt numFmtId="177" formatCode="#,##0\ &quot;ރ.&quot;_-;#,##0\ &quot;ރ.&quot;\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</font>
    <font>
      <sz val="10"/>
      <name val="Arial"/>
      <family val="2"/>
    </font>
    <font>
      <sz val="10"/>
      <name val="Calibri"/>
      <family val="2"/>
    </font>
    <font>
      <b/>
      <sz val="10"/>
      <color indexed="8"/>
      <name val="Faruma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indexed="8"/>
      <name val="Faruma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sz val="9"/>
      <color indexed="8"/>
      <name val="Faruma"/>
    </font>
    <font>
      <sz val="10"/>
      <name val="Calibri"/>
      <family val="2"/>
      <scheme val="minor"/>
    </font>
    <font>
      <b/>
      <sz val="11"/>
      <color indexed="8"/>
      <name val="Faruma"/>
    </font>
    <font>
      <i/>
      <sz val="11"/>
      <color indexed="8"/>
      <name val="Calibri"/>
      <family val="2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Faruma"/>
    </font>
    <font>
      <i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1" fillId="0" borderId="0"/>
    <xf numFmtId="0" fontId="4" fillId="0" borderId="0"/>
    <xf numFmtId="0" fontId="4" fillId="0" borderId="0"/>
    <xf numFmtId="0" fontId="1" fillId="0" borderId="0"/>
    <xf numFmtId="164" fontId="2" fillId="0" borderId="0"/>
  </cellStyleXfs>
  <cellXfs count="71">
    <xf numFmtId="0" fontId="0" fillId="0" borderId="0" xfId="0"/>
    <xf numFmtId="0" fontId="0" fillId="2" borderId="0" xfId="0" applyFill="1"/>
    <xf numFmtId="37" fontId="0" fillId="2" borderId="0" xfId="0" applyNumberFormat="1" applyFill="1"/>
    <xf numFmtId="0" fontId="14" fillId="2" borderId="0" xfId="0" applyFont="1" applyFill="1"/>
    <xf numFmtId="0" fontId="12" fillId="2" borderId="0" xfId="0" applyFont="1" applyFill="1" applyAlignment="1">
      <alignment horizontal="center"/>
    </xf>
    <xf numFmtId="0" fontId="0" fillId="2" borderId="0" xfId="0" applyFill="1" applyBorder="1"/>
    <xf numFmtId="0" fontId="12" fillId="2" borderId="2" xfId="0" applyFont="1" applyFill="1" applyBorder="1"/>
    <xf numFmtId="0" fontId="17" fillId="2" borderId="0" xfId="0" applyFont="1" applyFill="1" applyBorder="1"/>
    <xf numFmtId="2" fontId="0" fillId="2" borderId="0" xfId="0" applyNumberFormat="1" applyFill="1"/>
    <xf numFmtId="0" fontId="12" fillId="2" borderId="0" xfId="0" applyFont="1" applyFill="1"/>
    <xf numFmtId="0" fontId="12" fillId="2" borderId="0" xfId="0" applyFont="1" applyFill="1" applyBorder="1" applyAlignment="1">
      <alignment horizontal="center" vertical="center"/>
    </xf>
    <xf numFmtId="0" fontId="17" fillId="2" borderId="1" xfId="0" applyFont="1" applyFill="1" applyBorder="1"/>
    <xf numFmtId="0" fontId="7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37" fontId="18" fillId="2" borderId="3" xfId="5" applyNumberFormat="1" applyFont="1" applyFill="1" applyBorder="1" applyAlignment="1">
      <alignment horizontal="center" vertical="center"/>
    </xf>
    <xf numFmtId="37" fontId="15" fillId="2" borderId="4" xfId="5" applyNumberFormat="1" applyFont="1" applyFill="1" applyBorder="1" applyAlignment="1">
      <alignment horizontal="center" vertical="center"/>
    </xf>
    <xf numFmtId="37" fontId="19" fillId="2" borderId="2" xfId="5" applyNumberFormat="1" applyFont="1" applyFill="1" applyBorder="1" applyAlignment="1">
      <alignment horizontal="right" vertical="center" indent="3"/>
    </xf>
    <xf numFmtId="0" fontId="20" fillId="2" borderId="2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37" fontId="19" fillId="2" borderId="6" xfId="5" applyNumberFormat="1" applyFont="1" applyFill="1" applyBorder="1" applyAlignment="1">
      <alignment horizontal="center" vertical="center"/>
    </xf>
    <xf numFmtId="37" fontId="19" fillId="2" borderId="0" xfId="5" applyNumberFormat="1" applyFont="1" applyFill="1" applyBorder="1" applyAlignment="1">
      <alignment horizontal="right" vertical="center" indent="4"/>
    </xf>
    <xf numFmtId="37" fontId="19" fillId="2" borderId="0" xfId="5" applyNumberFormat="1" applyFont="1" applyFill="1" applyBorder="1" applyAlignment="1">
      <alignment horizontal="right" vertical="center" indent="3"/>
    </xf>
    <xf numFmtId="0" fontId="20" fillId="2" borderId="0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37" fontId="18" fillId="2" borderId="6" xfId="5" applyNumberFormat="1" applyFont="1" applyFill="1" applyBorder="1" applyAlignment="1">
      <alignment horizontal="center" vertical="center"/>
    </xf>
    <xf numFmtId="37" fontId="15" fillId="2" borderId="0" xfId="5" applyNumberFormat="1" applyFont="1" applyFill="1" applyBorder="1" applyAlignment="1">
      <alignment horizontal="right" vertical="center" indent="4"/>
    </xf>
    <xf numFmtId="37" fontId="18" fillId="2" borderId="0" xfId="5" applyNumberFormat="1" applyFont="1" applyFill="1" applyBorder="1" applyAlignment="1">
      <alignment horizontal="right" vertical="center" indent="3"/>
    </xf>
    <xf numFmtId="0" fontId="20" fillId="2" borderId="0" xfId="0" applyFont="1" applyFill="1" applyBorder="1" applyAlignment="1">
      <alignment horizontal="left" vertical="center" indent="1"/>
    </xf>
    <xf numFmtId="0" fontId="21" fillId="2" borderId="1" xfId="0" applyFont="1" applyFill="1" applyBorder="1" applyAlignment="1">
      <alignment vertical="center"/>
    </xf>
    <xf numFmtId="37" fontId="18" fillId="2" borderId="7" xfId="5" applyNumberFormat="1" applyFont="1" applyFill="1" applyBorder="1" applyAlignment="1">
      <alignment horizontal="center" vertical="center"/>
    </xf>
    <xf numFmtId="37" fontId="15" fillId="2" borderId="1" xfId="5" applyNumberFormat="1" applyFont="1" applyFill="1" applyBorder="1" applyAlignment="1">
      <alignment horizontal="right" vertical="center" indent="4"/>
    </xf>
    <xf numFmtId="37" fontId="18" fillId="2" borderId="1" xfId="5" applyNumberFormat="1" applyFont="1" applyFill="1" applyBorder="1" applyAlignment="1">
      <alignment horizontal="right" vertical="center" indent="3"/>
    </xf>
    <xf numFmtId="0" fontId="20" fillId="2" borderId="1" xfId="0" applyFont="1" applyFill="1" applyBorder="1" applyAlignment="1">
      <alignment horizontal="left" vertical="center" indent="1"/>
    </xf>
    <xf numFmtId="0" fontId="10" fillId="2" borderId="0" xfId="0" applyFont="1" applyFill="1" applyAlignment="1">
      <alignment vertical="center"/>
    </xf>
    <xf numFmtId="0" fontId="20" fillId="2" borderId="0" xfId="0" applyFont="1" applyFill="1" applyBorder="1"/>
    <xf numFmtId="37" fontId="5" fillId="2" borderId="0" xfId="5" applyNumberFormat="1" applyFont="1" applyFill="1" applyBorder="1" applyAlignment="1">
      <alignment horizontal="right" vertical="center" indent="4"/>
    </xf>
    <xf numFmtId="0" fontId="12" fillId="2" borderId="0" xfId="0" applyFont="1" applyFill="1" applyBorder="1" applyAlignment="1">
      <alignment horizontal="center"/>
    </xf>
    <xf numFmtId="0" fontId="12" fillId="2" borderId="0" xfId="0" applyFont="1" applyFill="1" applyBorder="1"/>
    <xf numFmtId="0" fontId="7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37" fontId="13" fillId="2" borderId="0" xfId="5" applyNumberFormat="1" applyFont="1" applyFill="1" applyBorder="1" applyAlignment="1">
      <alignment horizontal="center" vertical="center"/>
    </xf>
    <xf numFmtId="37" fontId="7" fillId="2" borderId="0" xfId="5" applyNumberFormat="1" applyFont="1" applyFill="1" applyBorder="1" applyAlignment="1">
      <alignment horizontal="right" vertical="center" indent="4"/>
    </xf>
    <xf numFmtId="0" fontId="0" fillId="2" borderId="2" xfId="0" applyFill="1" applyBorder="1"/>
    <xf numFmtId="1" fontId="0" fillId="2" borderId="0" xfId="0" applyNumberFormat="1" applyFill="1"/>
    <xf numFmtId="37" fontId="13" fillId="2" borderId="0" xfId="5" applyNumberFormat="1" applyFont="1" applyFill="1" applyBorder="1" applyAlignment="1">
      <alignment horizontal="right" vertical="center" indent="4"/>
    </xf>
    <xf numFmtId="1" fontId="4" fillId="2" borderId="0" xfId="0" applyNumberFormat="1" applyFont="1" applyFill="1"/>
    <xf numFmtId="1" fontId="0" fillId="2" borderId="0" xfId="0" applyNumberFormat="1" applyFill="1" applyBorder="1"/>
    <xf numFmtId="0" fontId="10" fillId="2" borderId="0" xfId="0" applyFont="1" applyFill="1" applyBorder="1" applyAlignment="1">
      <alignment vertical="center"/>
    </xf>
    <xf numFmtId="0" fontId="14" fillId="2" borderId="0" xfId="0" applyFont="1" applyFill="1" applyBorder="1"/>
    <xf numFmtId="0" fontId="8" fillId="2" borderId="0" xfId="0" applyFont="1" applyFill="1" applyBorder="1" applyAlignment="1">
      <alignment horizontal="center" vertical="center"/>
    </xf>
    <xf numFmtId="37" fontId="0" fillId="2" borderId="0" xfId="0" applyNumberFormat="1" applyFill="1" applyBorder="1"/>
    <xf numFmtId="0" fontId="16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</cellXfs>
  <cellStyles count="11">
    <cellStyle name="Comma 3" xfId="5"/>
    <cellStyle name="Comma 4" xfId="3"/>
    <cellStyle name="Normal" xfId="0" builtinId="0"/>
    <cellStyle name="Normal 11" xfId="6"/>
    <cellStyle name="Normal 2" xfId="4"/>
    <cellStyle name="Normal 20" xfId="2"/>
    <cellStyle name="Normal 32" xfId="7"/>
    <cellStyle name="Normal 4" xfId="10"/>
    <cellStyle name="Normal 44" xfId="8"/>
    <cellStyle name="Normal 48" xfId="9"/>
    <cellStyle name="Normal 5" xfId="1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3.16:  Percentage of Maldivians married to foreign nationals by sex, 2015</a:t>
            </a:r>
          </a:p>
        </c:rich>
      </c:tx>
      <c:layout>
        <c:manualLayout>
          <c:xMode val="edge"/>
          <c:yMode val="edge"/>
          <c:x val="0.12109413350358231"/>
          <c:y val="3.666666666666666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606818330534168"/>
          <c:y val="0.216104908528225"/>
          <c:w val="0.35851183466931497"/>
          <c:h val="0.74244055313981272"/>
        </c:manualLayout>
      </c:layout>
      <c:pie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rgbClr val="1C706E"/>
              </a:solidFill>
            </c:spPr>
            <c:extLst>
              <c:ext xmlns:c16="http://schemas.microsoft.com/office/drawing/2014/chart" uri="{C3380CC4-5D6E-409C-BE32-E72D297353CC}">
                <c16:uniqueId val="{00000001-44B0-46CD-B61E-DD86ED9D8D9F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3-44B0-46CD-B61E-DD86ED9D8D9F}"/>
              </c:ext>
            </c:extLst>
          </c:dPt>
          <c:dLbls>
            <c:dLbl>
              <c:idx val="0"/>
              <c:layout>
                <c:manualLayout>
                  <c:x val="-0.17907817973860604"/>
                  <c:y val="-3.1160543135672538E-2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4B0-46CD-B61E-DD86ED9D8D9F}"/>
                </c:ext>
              </c:extLst>
            </c:dLbl>
            <c:dLbl>
              <c:idx val="1"/>
              <c:layout>
                <c:manualLayout>
                  <c:x val="0.17270517013221595"/>
                  <c:y val="-6.5775769927447734E-3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4B0-46CD-B61E-DD86ED9D8D9F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'[1]3.19'!$O$5:$O$6</c:f>
              <c:numCache>
                <c:formatCode>General</c:formatCode>
                <c:ptCount val="2"/>
              </c:numCache>
            </c:numRef>
          </c:cat>
          <c:val>
            <c:numRef>
              <c:f>'[1]3.19'!$P$5:$P$6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44B0-46CD-B61E-DD86ED9D8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827944479912984"/>
          <c:y val="0.18349928829429238"/>
          <c:w val="0.44740072355820387"/>
          <c:h val="0.7783931083849629"/>
        </c:manualLayout>
      </c:layout>
      <c:pieChart>
        <c:varyColors val="1"/>
        <c:ser>
          <c:idx val="0"/>
          <c:order val="0"/>
          <c:spPr>
            <a:solidFill>
              <a:srgbClr val="953735"/>
            </a:solidFill>
          </c:spPr>
          <c:explosion val="5"/>
          <c:dPt>
            <c:idx val="0"/>
            <c:bubble3D val="0"/>
            <c:spPr>
              <a:solidFill>
                <a:srgbClr val="FFD966"/>
              </a:solidFill>
            </c:spPr>
            <c:extLst>
              <c:ext xmlns:c16="http://schemas.microsoft.com/office/drawing/2014/chart" uri="{C3380CC4-5D6E-409C-BE32-E72D297353CC}">
                <c16:uniqueId val="{00000001-C7DE-4896-BF2C-AED965DE72C0}"/>
              </c:ext>
            </c:extLst>
          </c:dPt>
          <c:dPt>
            <c:idx val="1"/>
            <c:bubble3D val="0"/>
            <c:spPr>
              <a:solidFill>
                <a:srgbClr val="7F6000"/>
              </a:solidFill>
            </c:spPr>
            <c:extLst>
              <c:ext xmlns:c16="http://schemas.microsoft.com/office/drawing/2014/chart" uri="{C3380CC4-5D6E-409C-BE32-E72D297353CC}">
                <c16:uniqueId val="{00000003-C7DE-4896-BF2C-AED965DE72C0}"/>
              </c:ext>
            </c:extLst>
          </c:dPt>
          <c:dLbls>
            <c:dLbl>
              <c:idx val="0"/>
              <c:layout>
                <c:manualLayout>
                  <c:x val="-0.16706608971175901"/>
                  <c:y val="0.13799349708152153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chemeClr val="tx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7DE-4896-BF2C-AED965DE72C0}"/>
                </c:ext>
              </c:extLst>
            </c:dLbl>
            <c:dLbl>
              <c:idx val="1"/>
              <c:layout>
                <c:manualLayout>
                  <c:x val="0.18711952897779668"/>
                  <c:y val="-0.13095585066792023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7DE-4896-BF2C-AED965DE72C0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bg1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'3.19'!$U$4:$U$5</c:f>
              <c:strCache>
                <c:ptCount val="2"/>
                <c:pt idx="0">
                  <c:v>    Foreign Males</c:v>
                </c:pt>
                <c:pt idx="1">
                  <c:v>    Foreign Females</c:v>
                </c:pt>
              </c:strCache>
            </c:strRef>
          </c:cat>
          <c:val>
            <c:numRef>
              <c:f>'3.19'!$V$4:$V$5</c:f>
              <c:numCache>
                <c:formatCode>0.00</c:formatCode>
                <c:ptCount val="2"/>
                <c:pt idx="0">
                  <c:v>24.509803921568626</c:v>
                </c:pt>
                <c:pt idx="1">
                  <c:v>75.490196078431367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DE-4896-BF2C-AED965DE7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3.23: Percentage of  marriages between locals and locals to foreign nationals by locally and overseas, 2018 </a:t>
            </a:r>
          </a:p>
        </c:rich>
      </c:tx>
      <c:layout>
        <c:manualLayout>
          <c:xMode val="edge"/>
          <c:yMode val="edge"/>
          <c:x val="0.1497264446222297"/>
          <c:y val="2.226129500802690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850234629762188"/>
          <c:y val="0.17738776872544113"/>
          <c:w val="0.88920454545454553"/>
          <c:h val="0.6650081191212966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'3.19'!$W$27</c:f>
              <c:strCache>
                <c:ptCount val="1"/>
                <c:pt idx="0">
                  <c:v>Marriages overseas         </c:v>
                </c:pt>
              </c:strCache>
            </c:strRef>
          </c:tx>
          <c:spPr>
            <a:solidFill>
              <a:srgbClr val="544000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E3-4FFB-80DB-4D060BE7E1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'3.19'!$V$28:$V$29</c:f>
              <c:strCache>
                <c:ptCount val="2"/>
                <c:pt idx="0">
                  <c:v>Marriage between maldivian nationals </c:v>
                </c:pt>
                <c:pt idx="1">
                  <c:v>Marriage with foreign nationals </c:v>
                </c:pt>
              </c:strCache>
            </c:strRef>
          </c:cat>
          <c:val>
            <c:numRef>
              <c:f>'3.19'!$W$28:$W$29</c:f>
              <c:numCache>
                <c:formatCode>0</c:formatCode>
                <c:ptCount val="2"/>
                <c:pt idx="0">
                  <c:v>1.2050461306721898</c:v>
                </c:pt>
                <c:pt idx="1">
                  <c:v>57.843137254901968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F-4751-AC5A-92C981660425}"/>
            </c:ext>
          </c:extLst>
        </c:ser>
        <c:ser>
          <c:idx val="1"/>
          <c:order val="1"/>
          <c:tx>
            <c:strRef>
              <c:f>'3.19'!$X$27</c:f>
              <c:strCache>
                <c:ptCount val="1"/>
                <c:pt idx="0">
                  <c:v>Marriages  in Maldives          </c:v>
                </c:pt>
              </c:strCache>
            </c:strRef>
          </c:tx>
          <c:spPr>
            <a:solidFill>
              <a:srgbClr val="FFD96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'3.19'!$V$28:$V$29</c:f>
              <c:strCache>
                <c:ptCount val="2"/>
                <c:pt idx="0">
                  <c:v>Marriage between maldivian nationals </c:v>
                </c:pt>
                <c:pt idx="1">
                  <c:v>Marriage with foreign nationals </c:v>
                </c:pt>
              </c:strCache>
            </c:strRef>
          </c:cat>
          <c:val>
            <c:numRef>
              <c:f>'3.19'!$X$28:$X$29</c:f>
              <c:numCache>
                <c:formatCode>0</c:formatCode>
                <c:ptCount val="2"/>
                <c:pt idx="0">
                  <c:v>98.794953869327813</c:v>
                </c:pt>
                <c:pt idx="1">
                  <c:v>42.156862745098039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EF-4751-AC5A-92C981660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8"/>
        <c:overlap val="100"/>
        <c:axId val="1773967023"/>
        <c:axId val="1"/>
      </c:barChart>
      <c:catAx>
        <c:axId val="177396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396702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0720891172025958"/>
          <c:y val="0.64583375054996739"/>
          <c:w val="0.27168470251379007"/>
          <c:h val="0.10201234961236781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1247775</xdr:colOff>
      <xdr:row>14</xdr:row>
      <xdr:rowOff>133350</xdr:rowOff>
    </xdr:from>
    <xdr:to>
      <xdr:col>4</xdr:col>
      <xdr:colOff>904875</xdr:colOff>
      <xdr:row>26</xdr:row>
      <xdr:rowOff>19050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1809751</xdr:colOff>
      <xdr:row>16</xdr:row>
      <xdr:rowOff>142874</xdr:rowOff>
    </xdr:from>
    <xdr:to>
      <xdr:col>4</xdr:col>
      <xdr:colOff>66676</xdr:colOff>
      <xdr:row>16</xdr:row>
      <xdr:rowOff>144879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1809751" y="3676649"/>
          <a:ext cx="3886200" cy="200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2019300</xdr:colOff>
      <xdr:row>29</xdr:row>
      <xdr:rowOff>9525</xdr:rowOff>
    </xdr:from>
    <xdr:to>
      <xdr:col>4</xdr:col>
      <xdr:colOff>276225</xdr:colOff>
      <xdr:row>29</xdr:row>
      <xdr:rowOff>11530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019300" y="6381750"/>
          <a:ext cx="3886200" cy="200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1247775</xdr:colOff>
      <xdr:row>13</xdr:row>
      <xdr:rowOff>114300</xdr:rowOff>
    </xdr:from>
    <xdr:to>
      <xdr:col>4</xdr:col>
      <xdr:colOff>904875</xdr:colOff>
      <xdr:row>27</xdr:row>
      <xdr:rowOff>76200</xdr:rowOff>
    </xdr:to>
    <xdr:graphicFrame macro="">
      <xdr:nvGraphicFramePr>
        <xdr:cNvPr id="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1181100</xdr:colOff>
      <xdr:row>28</xdr:row>
      <xdr:rowOff>171450</xdr:rowOff>
    </xdr:from>
    <xdr:to>
      <xdr:col>4</xdr:col>
      <xdr:colOff>895350</xdr:colOff>
      <xdr:row>45</xdr:row>
      <xdr:rowOff>47625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0.02883</cdr:x>
      <cdr:y>0.03762</cdr:y>
    </cdr:from>
    <cdr:to>
      <cdr:x>0.94595</cdr:x>
      <cdr:y>0.12539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2400" y="114302"/>
          <a:ext cx="48482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3.22:  Percentage of Maldivians married to foreign nationals by sex, 2018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  <cell r="AH7" t="str">
            <v>Female</v>
          </cell>
        </row>
        <row r="8">
          <cell r="AF8" t="str">
            <v>0-4</v>
          </cell>
          <cell r="AG8">
            <v>-19113</v>
          </cell>
          <cell r="AH8">
            <v>17859</v>
          </cell>
        </row>
        <row r="9">
          <cell r="AF9" t="str">
            <v>5 - 9</v>
          </cell>
          <cell r="AG9">
            <v>-20840</v>
          </cell>
          <cell r="AH9">
            <v>19919</v>
          </cell>
        </row>
        <row r="10">
          <cell r="AF10" t="str">
            <v>10 - 14</v>
          </cell>
          <cell r="AG10">
            <v>-18286</v>
          </cell>
          <cell r="AH10">
            <v>17584</v>
          </cell>
        </row>
        <row r="11">
          <cell r="AF11" t="str">
            <v>15 - 19</v>
          </cell>
          <cell r="AG11">
            <v>-12343</v>
          </cell>
          <cell r="AH11">
            <v>12562</v>
          </cell>
        </row>
        <row r="12">
          <cell r="AF12" t="str">
            <v>20 - 24</v>
          </cell>
          <cell r="AG12">
            <v>-9944</v>
          </cell>
          <cell r="AH12">
            <v>11077</v>
          </cell>
        </row>
        <row r="13">
          <cell r="AF13" t="str">
            <v>25 - 29</v>
          </cell>
          <cell r="AG13">
            <v>-8802</v>
          </cell>
          <cell r="AH13">
            <v>9389</v>
          </cell>
        </row>
        <row r="14">
          <cell r="AF14" t="str">
            <v>30 - 34</v>
          </cell>
          <cell r="AG14">
            <v>-7579</v>
          </cell>
          <cell r="AH14">
            <v>7785</v>
          </cell>
        </row>
        <row r="15">
          <cell r="AF15" t="str">
            <v>35 - 39</v>
          </cell>
          <cell r="AG15">
            <v>-6315</v>
          </cell>
          <cell r="AH15">
            <v>6317</v>
          </cell>
        </row>
        <row r="16">
          <cell r="AF16" t="str">
            <v>40 - 44</v>
          </cell>
          <cell r="AG16">
            <v>-3625</v>
          </cell>
          <cell r="AH16">
            <v>3297</v>
          </cell>
        </row>
        <row r="17">
          <cell r="AF17" t="str">
            <v>45 - 49</v>
          </cell>
          <cell r="AG17">
            <v>-3369</v>
          </cell>
          <cell r="AH17">
            <v>3215</v>
          </cell>
        </row>
        <row r="18">
          <cell r="AF18" t="str">
            <v>50 - 54</v>
          </cell>
          <cell r="AG18">
            <v>-3205</v>
          </cell>
          <cell r="AH18">
            <v>3042</v>
          </cell>
        </row>
        <row r="19">
          <cell r="AF19" t="str">
            <v>55 - 59</v>
          </cell>
          <cell r="AG19">
            <v>-3240</v>
          </cell>
          <cell r="AH19">
            <v>2722</v>
          </cell>
        </row>
        <row r="20">
          <cell r="AF20" t="str">
            <v>60 - 64</v>
          </cell>
          <cell r="AG20">
            <v>-3010</v>
          </cell>
          <cell r="AH20">
            <v>2284</v>
          </cell>
        </row>
        <row r="21">
          <cell r="AF21" t="str">
            <v>65 - 69</v>
          </cell>
          <cell r="AG21">
            <v>-1897</v>
          </cell>
          <cell r="AH21">
            <v>1304</v>
          </cell>
        </row>
        <row r="22">
          <cell r="AF22" t="str">
            <v>70 - 74</v>
          </cell>
          <cell r="AG22">
            <v>-1279</v>
          </cell>
          <cell r="AH22">
            <v>822</v>
          </cell>
        </row>
        <row r="23">
          <cell r="AF23" t="str">
            <v>75+</v>
          </cell>
          <cell r="AG23">
            <v>-1384</v>
          </cell>
          <cell r="AH23">
            <v>862</v>
          </cell>
        </row>
        <row r="31">
          <cell r="AG31" t="str">
            <v>Male</v>
          </cell>
          <cell r="AH31" t="str">
            <v>Female</v>
          </cell>
        </row>
        <row r="32">
          <cell r="AF32" t="str">
            <v>0-4</v>
          </cell>
          <cell r="AG32">
            <v>-15699</v>
          </cell>
          <cell r="AH32">
            <v>15213</v>
          </cell>
        </row>
        <row r="33">
          <cell r="AF33" t="str">
            <v>5 - 9</v>
          </cell>
          <cell r="AG33">
            <v>-19336</v>
          </cell>
          <cell r="AH33">
            <v>18591</v>
          </cell>
        </row>
        <row r="34">
          <cell r="AF34" t="str">
            <v>10 - 14</v>
          </cell>
          <cell r="AG34">
            <v>-20897</v>
          </cell>
          <cell r="AH34">
            <v>20192</v>
          </cell>
        </row>
        <row r="35">
          <cell r="AF35" t="str">
            <v>15 - 19</v>
          </cell>
          <cell r="AG35">
            <v>-16590</v>
          </cell>
          <cell r="AH35">
            <v>16676</v>
          </cell>
        </row>
        <row r="36">
          <cell r="AF36" t="str">
            <v>20 - 24</v>
          </cell>
          <cell r="AG36">
            <v>-11620</v>
          </cell>
          <cell r="AH36">
            <v>11894</v>
          </cell>
        </row>
        <row r="37">
          <cell r="AF37" t="str">
            <v>25 - 29</v>
          </cell>
          <cell r="AG37">
            <v>-9805</v>
          </cell>
          <cell r="AH37">
            <v>10285</v>
          </cell>
        </row>
        <row r="38">
          <cell r="AF38" t="str">
            <v>30 - 34</v>
          </cell>
          <cell r="AG38">
            <v>-8890</v>
          </cell>
          <cell r="AH38">
            <v>9271</v>
          </cell>
        </row>
        <row r="39">
          <cell r="AF39" t="str">
            <v>35 - 39</v>
          </cell>
          <cell r="AG39">
            <v>-7828</v>
          </cell>
          <cell r="AH39">
            <v>7871</v>
          </cell>
        </row>
        <row r="40">
          <cell r="AF40" t="str">
            <v>40 - 44</v>
          </cell>
          <cell r="AG40">
            <v>-6272</v>
          </cell>
          <cell r="AH40">
            <v>6130</v>
          </cell>
        </row>
        <row r="41">
          <cell r="AF41" t="str">
            <v>45 - 49</v>
          </cell>
          <cell r="AG41">
            <v>-3977</v>
          </cell>
          <cell r="AH41">
            <v>3484</v>
          </cell>
        </row>
        <row r="42">
          <cell r="AF42" t="str">
            <v>50 - 54</v>
          </cell>
          <cell r="AG42">
            <v>-3051</v>
          </cell>
          <cell r="AH42">
            <v>2916</v>
          </cell>
        </row>
        <row r="43">
          <cell r="AF43" t="str">
            <v>55 - 59</v>
          </cell>
          <cell r="AG43">
            <v>-3131</v>
          </cell>
          <cell r="AH43">
            <v>2865</v>
          </cell>
        </row>
        <row r="44">
          <cell r="AF44" t="str">
            <v>60 - 64</v>
          </cell>
          <cell r="AG44">
            <v>-3370</v>
          </cell>
          <cell r="AH44">
            <v>2942</v>
          </cell>
        </row>
        <row r="45">
          <cell r="AF45" t="str">
            <v>65 - 69</v>
          </cell>
          <cell r="AG45">
            <v>-2650</v>
          </cell>
          <cell r="AH45">
            <v>1961</v>
          </cell>
        </row>
        <row r="46">
          <cell r="AF46" t="str">
            <v>70 - 74</v>
          </cell>
          <cell r="AG46">
            <v>-1737</v>
          </cell>
          <cell r="AH46">
            <v>1136</v>
          </cell>
        </row>
        <row r="47">
          <cell r="AF47" t="str">
            <v>75+</v>
          </cell>
          <cell r="AG47">
            <v>-1532</v>
          </cell>
          <cell r="AH47">
            <v>1013</v>
          </cell>
        </row>
        <row r="56">
          <cell r="AG56" t="str">
            <v>Male</v>
          </cell>
          <cell r="AH56" t="str">
            <v>Female</v>
          </cell>
        </row>
        <row r="57">
          <cell r="AF57" t="str">
            <v>0-4</v>
          </cell>
          <cell r="AG57">
            <v>-13362</v>
          </cell>
          <cell r="AH57">
            <v>12809</v>
          </cell>
        </row>
        <row r="58">
          <cell r="AF58" t="str">
            <v>5 - 9</v>
          </cell>
          <cell r="AG58">
            <v>-15352</v>
          </cell>
          <cell r="AH58">
            <v>14515</v>
          </cell>
        </row>
        <row r="59">
          <cell r="AF59" t="str">
            <v>10 - 14</v>
          </cell>
          <cell r="AG59">
            <v>-19111</v>
          </cell>
          <cell r="AH59">
            <v>17888</v>
          </cell>
        </row>
        <row r="60">
          <cell r="AF60" t="str">
            <v>15 - 19</v>
          </cell>
          <cell r="AG60">
            <v>-20155</v>
          </cell>
          <cell r="AH60">
            <v>19749</v>
          </cell>
        </row>
        <row r="61">
          <cell r="AF61" t="str">
            <v>20 - 24</v>
          </cell>
          <cell r="AG61">
            <v>-16933</v>
          </cell>
          <cell r="AH61">
            <v>17876</v>
          </cell>
        </row>
        <row r="62">
          <cell r="AF62" t="str">
            <v>25 - 29</v>
          </cell>
          <cell r="AG62">
            <v>-11915</v>
          </cell>
          <cell r="AH62">
            <v>12666</v>
          </cell>
        </row>
        <row r="63">
          <cell r="AF63" t="str">
            <v>30 - 34</v>
          </cell>
          <cell r="AG63">
            <v>-10022</v>
          </cell>
          <cell r="AH63">
            <v>10613</v>
          </cell>
        </row>
        <row r="64">
          <cell r="AF64" t="str">
            <v>35 - 39</v>
          </cell>
          <cell r="AG64">
            <v>-8780</v>
          </cell>
          <cell r="AH64">
            <v>9394</v>
          </cell>
        </row>
        <row r="65">
          <cell r="AF65" t="str">
            <v>40 - 44</v>
          </cell>
          <cell r="AG65">
            <v>-7828</v>
          </cell>
          <cell r="AH65">
            <v>8043</v>
          </cell>
        </row>
        <row r="66">
          <cell r="AF66" t="str">
            <v>45 - 49</v>
          </cell>
          <cell r="AG66">
            <v>-6872</v>
          </cell>
          <cell r="AH66">
            <v>6697</v>
          </cell>
        </row>
        <row r="67">
          <cell r="AF67" t="str">
            <v>50 - 54</v>
          </cell>
          <cell r="AG67">
            <v>-4147</v>
          </cell>
          <cell r="AH67">
            <v>3789</v>
          </cell>
        </row>
        <row r="68">
          <cell r="AF68" t="str">
            <v>55 - 59</v>
          </cell>
          <cell r="AG68">
            <v>-3046</v>
          </cell>
          <cell r="AH68">
            <v>2813</v>
          </cell>
        </row>
        <row r="69">
          <cell r="AF69" t="str">
            <v>60 - 64</v>
          </cell>
          <cell r="AG69">
            <v>-2852</v>
          </cell>
          <cell r="AH69">
            <v>2714</v>
          </cell>
        </row>
        <row r="70">
          <cell r="AF70" t="str">
            <v>65 - 69</v>
          </cell>
          <cell r="AG70">
            <v>-3014</v>
          </cell>
          <cell r="AH70">
            <v>2664</v>
          </cell>
        </row>
        <row r="71">
          <cell r="AF71" t="str">
            <v>70 - 74</v>
          </cell>
          <cell r="AG71">
            <v>-2333</v>
          </cell>
          <cell r="AH71">
            <v>1853</v>
          </cell>
        </row>
        <row r="72">
          <cell r="AF72" t="str">
            <v>75+</v>
          </cell>
          <cell r="AG72">
            <v>-2443</v>
          </cell>
          <cell r="AH72">
            <v>1637</v>
          </cell>
        </row>
        <row r="79">
          <cell r="AF79" t="str">
            <v>0-4</v>
          </cell>
          <cell r="AG79">
            <v>-18863</v>
          </cell>
          <cell r="AH79">
            <v>17223</v>
          </cell>
        </row>
        <row r="80">
          <cell r="AF80" t="str">
            <v>5 - 9</v>
          </cell>
          <cell r="AG80">
            <v>-16364</v>
          </cell>
          <cell r="AH80">
            <v>15616</v>
          </cell>
        </row>
        <row r="81">
          <cell r="AF81" t="str">
            <v>10 - 14</v>
          </cell>
          <cell r="AG81">
            <v>-13571</v>
          </cell>
          <cell r="AH81">
            <v>12787</v>
          </cell>
        </row>
        <row r="82">
          <cell r="AF82" t="str">
            <v>15 - 19</v>
          </cell>
          <cell r="AG82">
            <v>-15922</v>
          </cell>
          <cell r="AH82">
            <v>15461</v>
          </cell>
        </row>
        <row r="83">
          <cell r="AF83" t="str">
            <v>20 - 24</v>
          </cell>
          <cell r="AG83">
            <v>-19349</v>
          </cell>
          <cell r="AH83">
            <v>18537</v>
          </cell>
        </row>
        <row r="84">
          <cell r="AF84" t="str">
            <v>25 - 29</v>
          </cell>
          <cell r="AG84">
            <v>-19451</v>
          </cell>
          <cell r="AH84">
            <v>19738</v>
          </cell>
        </row>
        <row r="85">
          <cell r="AF85" t="str">
            <v>30 - 34</v>
          </cell>
          <cell r="AG85">
            <v>-15494</v>
          </cell>
          <cell r="AH85">
            <v>15868</v>
          </cell>
        </row>
        <row r="86">
          <cell r="AF86" t="str">
            <v>35 - 39</v>
          </cell>
          <cell r="AG86">
            <v>-11386</v>
          </cell>
          <cell r="AH86">
            <v>11518</v>
          </cell>
        </row>
        <row r="87">
          <cell r="AF87" t="str">
            <v>40 - 44</v>
          </cell>
          <cell r="AG87">
            <v>-9811</v>
          </cell>
          <cell r="AH87">
            <v>10064</v>
          </cell>
        </row>
        <row r="88">
          <cell r="AF88" t="str">
            <v>45 - 49</v>
          </cell>
          <cell r="AG88">
            <v>-8784</v>
          </cell>
          <cell r="AH88">
            <v>8795</v>
          </cell>
        </row>
        <row r="89">
          <cell r="AF89" t="str">
            <v>50 - 54</v>
          </cell>
          <cell r="AG89">
            <v>-7645</v>
          </cell>
          <cell r="AH89">
            <v>7405</v>
          </cell>
        </row>
        <row r="90">
          <cell r="AF90" t="str">
            <v>55 - 59</v>
          </cell>
          <cell r="AG90">
            <v>-6031</v>
          </cell>
          <cell r="AH90">
            <v>5672</v>
          </cell>
        </row>
        <row r="91">
          <cell r="AF91" t="str">
            <v>60 - 64</v>
          </cell>
          <cell r="AG91">
            <v>-3327</v>
          </cell>
          <cell r="AH91">
            <v>2922</v>
          </cell>
        </row>
        <row r="92">
          <cell r="AF92" t="str">
            <v>65 - 69</v>
          </cell>
          <cell r="AG92">
            <v>-2445</v>
          </cell>
          <cell r="AH92">
            <v>2426</v>
          </cell>
        </row>
        <row r="93">
          <cell r="AF93" t="str">
            <v>70 - 74</v>
          </cell>
          <cell r="AG93">
            <v>-2471</v>
          </cell>
          <cell r="AH93">
            <v>2372</v>
          </cell>
        </row>
        <row r="94">
          <cell r="AF94" t="str">
            <v>75+</v>
          </cell>
          <cell r="AG94">
            <v>-3752</v>
          </cell>
          <cell r="AH94">
            <v>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  <cell r="AF4" t="str">
            <v>Resident Foreigners 2019</v>
          </cell>
        </row>
        <row r="5">
          <cell r="AD5" t="str">
            <v>Male</v>
          </cell>
          <cell r="AE5" t="str">
            <v>Female</v>
          </cell>
          <cell r="AF5" t="str">
            <v>Male</v>
          </cell>
          <cell r="AG5" t="str">
            <v>Female</v>
          </cell>
        </row>
        <row r="6">
          <cell r="AC6" t="str">
            <v xml:space="preserve">  0-4</v>
          </cell>
          <cell r="AD6">
            <v>-19724.416485149974</v>
          </cell>
          <cell r="AE6">
            <v>18162.416485149974</v>
          </cell>
          <cell r="AF6">
            <v>-815.97856670881845</v>
          </cell>
          <cell r="AG6">
            <v>578.02289746464908</v>
          </cell>
        </row>
        <row r="7">
          <cell r="AC7" t="str">
            <v xml:space="preserve">  5-9</v>
          </cell>
          <cell r="AD7">
            <v>-18614.694141916621</v>
          </cell>
          <cell r="AE7">
            <v>16897.138828383326</v>
          </cell>
          <cell r="AF7">
            <v>-472.96968028534508</v>
          </cell>
          <cell r="AG7">
            <v>273.40823825715955</v>
          </cell>
        </row>
        <row r="8">
          <cell r="AC8" t="str">
            <v xml:space="preserve"> 10-14</v>
          </cell>
          <cell r="AD8">
            <v>-16219.555313533299</v>
          </cell>
          <cell r="AE8">
            <v>15422.555313533299</v>
          </cell>
          <cell r="AF8">
            <v>-269.3419260358865</v>
          </cell>
          <cell r="AG8">
            <v>137.64032738660978</v>
          </cell>
        </row>
        <row r="9">
          <cell r="AC9" t="str">
            <v xml:space="preserve"> 15-19</v>
          </cell>
          <cell r="AD9">
            <v>-14451.314340309933</v>
          </cell>
          <cell r="AE9">
            <v>12838.275478566336</v>
          </cell>
          <cell r="AF9">
            <v>-2735.8487528397136</v>
          </cell>
          <cell r="AG9">
            <v>236.80233907298222</v>
          </cell>
        </row>
        <row r="10">
          <cell r="AC10" t="str">
            <v xml:space="preserve"> 20-24</v>
          </cell>
          <cell r="AD10">
            <v>-19043.819094086619</v>
          </cell>
          <cell r="AE10">
            <v>15548.212541331939</v>
          </cell>
          <cell r="AF10">
            <v>-26281.020701051348</v>
          </cell>
          <cell r="AG10">
            <v>1560.756590145168</v>
          </cell>
        </row>
        <row r="11">
          <cell r="AC11" t="str">
            <v xml:space="preserve"> 25-29</v>
          </cell>
          <cell r="AD11">
            <v>-18815.148912373446</v>
          </cell>
          <cell r="AE11">
            <v>17735.494554499215</v>
          </cell>
          <cell r="AF11">
            <v>-42810.005150890131</v>
          </cell>
          <cell r="AG11">
            <v>3829.646623308925</v>
          </cell>
        </row>
        <row r="12">
          <cell r="AC12" t="str">
            <v xml:space="preserve"> 30-34</v>
          </cell>
          <cell r="AD12">
            <v>-18471.758680914587</v>
          </cell>
          <cell r="AE12">
            <v>19192.108448866282</v>
          </cell>
          <cell r="AF12">
            <v>-30029.426498622553</v>
          </cell>
          <cell r="AG12">
            <v>3063.7032320789885</v>
          </cell>
        </row>
        <row r="13">
          <cell r="AC13" t="str">
            <v xml:space="preserve"> 35-39</v>
          </cell>
          <cell r="AD13">
            <v>-14631.891205271668</v>
          </cell>
          <cell r="AE13">
            <v>15573.637739283167</v>
          </cell>
          <cell r="AF13">
            <v>-19238.369187388162</v>
          </cell>
          <cell r="AG13">
            <v>2040.7047695430938</v>
          </cell>
        </row>
        <row r="14">
          <cell r="AC14" t="str">
            <v xml:space="preserve"> 40-44</v>
          </cell>
          <cell r="AD14">
            <v>-11020.689554941297</v>
          </cell>
          <cell r="AE14">
            <v>11390.943597366544</v>
          </cell>
          <cell r="AF14">
            <v>-11973.313403508051</v>
          </cell>
          <cell r="AG14">
            <v>1155.9770250405613</v>
          </cell>
        </row>
        <row r="15">
          <cell r="AC15" t="str">
            <v xml:space="preserve"> 45-49</v>
          </cell>
          <cell r="AD15">
            <v>-9382.7937626943021</v>
          </cell>
          <cell r="AE15">
            <v>9914.5553135332993</v>
          </cell>
          <cell r="AF15">
            <v>-6837.1672357207717</v>
          </cell>
          <cell r="AG15">
            <v>757.71444886177483</v>
          </cell>
        </row>
        <row r="16">
          <cell r="AC16" t="str">
            <v xml:space="preserve"> 50-54</v>
          </cell>
          <cell r="AD16">
            <v>-8383.806831896185</v>
          </cell>
          <cell r="AE16">
            <v>8588.3882838332465</v>
          </cell>
          <cell r="AF16">
            <v>-3232.4764221897558</v>
          </cell>
          <cell r="AG16">
            <v>409.00422440586743</v>
          </cell>
        </row>
        <row r="17">
          <cell r="AC17" t="str">
            <v xml:space="preserve"> 55-59</v>
          </cell>
          <cell r="AD17">
            <v>-7092.5704456481444</v>
          </cell>
          <cell r="AE17">
            <v>7154.4164851499736</v>
          </cell>
          <cell r="AF17">
            <v>-1274.0356562071674</v>
          </cell>
          <cell r="AG17">
            <v>231.07620386763517</v>
          </cell>
        </row>
        <row r="18">
          <cell r="AC18" t="str">
            <v xml:space="preserve"> 60-64</v>
          </cell>
          <cell r="AD18">
            <v>-5527.6051815658129</v>
          </cell>
          <cell r="AE18">
            <v>5403.4164851499736</v>
          </cell>
          <cell r="AF18">
            <v>-476.94839289090748</v>
          </cell>
          <cell r="AG18">
            <v>100.89688842495897</v>
          </cell>
        </row>
        <row r="19">
          <cell r="AC19" t="str">
            <v xml:space="preserve"> 65-69</v>
          </cell>
          <cell r="AD19">
            <v>-2935.830792099634</v>
          </cell>
          <cell r="AE19">
            <v>2695</v>
          </cell>
          <cell r="AF19">
            <v>-170.05418680278638</v>
          </cell>
          <cell r="AG19">
            <v>36.686130721036911</v>
          </cell>
        </row>
        <row r="20">
          <cell r="AC20" t="str">
            <v xml:space="preserve"> 70-74</v>
          </cell>
          <cell r="AD20">
            <v>-2029.9435973665447</v>
          </cell>
          <cell r="AE20">
            <v>2125.1388283833248</v>
          </cell>
          <cell r="AF20">
            <v>-80.99079911261019</v>
          </cell>
          <cell r="AG20">
            <v>10.999535309843537</v>
          </cell>
        </row>
        <row r="21">
          <cell r="AC21" t="str">
            <v xml:space="preserve"> 75+</v>
          </cell>
          <cell r="AD21">
            <v>-4047.6941419166233</v>
          </cell>
          <cell r="AE21">
            <v>3704.1388283833248</v>
          </cell>
          <cell r="AF21">
            <v>-75.579123400131138</v>
          </cell>
          <cell r="AG21">
            <v>5.5083638910138646</v>
          </cell>
        </row>
        <row r="31">
          <cell r="AD31" t="str">
            <v>Residential Maldivian 2030</v>
          </cell>
          <cell r="AF31" t="str">
            <v>Resident Foreigners 2030</v>
          </cell>
        </row>
        <row r="32">
          <cell r="AD32" t="str">
            <v>Male</v>
          </cell>
          <cell r="AE32" t="str">
            <v>Female</v>
          </cell>
          <cell r="AF32" t="str">
            <v>Male</v>
          </cell>
          <cell r="AG32" t="str">
            <v>Female</v>
          </cell>
        </row>
        <row r="33">
          <cell r="AC33" t="str">
            <v xml:space="preserve">  0-4</v>
          </cell>
          <cell r="AD33">
            <v>-17612.54765760661</v>
          </cell>
          <cell r="AE33">
            <v>16348.547657606612</v>
          </cell>
          <cell r="AF33">
            <v>-1157.9287043641234</v>
          </cell>
          <cell r="AG33">
            <v>820.25353613593177</v>
          </cell>
        </row>
        <row r="34">
          <cell r="AC34" t="str">
            <v xml:space="preserve">  5-9</v>
          </cell>
          <cell r="AD34">
            <v>-18841.579429344354</v>
          </cell>
          <cell r="AE34">
            <v>17330.51588586887</v>
          </cell>
          <cell r="AF34">
            <v>-671.17592476146115</v>
          </cell>
          <cell r="AG34">
            <v>387.98475842878872</v>
          </cell>
        </row>
        <row r="35">
          <cell r="AC35" t="str">
            <v xml:space="preserve"> 10-14</v>
          </cell>
          <cell r="AD35">
            <v>-19544.063543475484</v>
          </cell>
          <cell r="AE35">
            <v>17864.063543475484</v>
          </cell>
          <cell r="AF35">
            <v>-382.21438671313183</v>
          </cell>
          <cell r="AG35">
            <v>195.32092197208985</v>
          </cell>
        </row>
        <row r="36">
          <cell r="AC36" t="str">
            <v xml:space="preserve"> 15-19</v>
          </cell>
          <cell r="AD36">
            <v>-20066.779776636948</v>
          </cell>
          <cell r="AE36">
            <v>17018.603663017082</v>
          </cell>
          <cell r="AF36">
            <v>-3882.3541830141735</v>
          </cell>
          <cell r="AG36">
            <v>336.03851480944616</v>
          </cell>
        </row>
        <row r="37">
          <cell r="AC37" t="str">
            <v xml:space="preserve"> 20-24</v>
          </cell>
          <cell r="AD37">
            <v>-22716.290361734587</v>
          </cell>
          <cell r="AE37">
            <v>16906.541739019292</v>
          </cell>
          <cell r="AF37">
            <v>-37294.543620769597</v>
          </cell>
          <cell r="AG37">
            <v>2214.8190283280746</v>
          </cell>
        </row>
        <row r="38">
          <cell r="AC38" t="str">
            <v xml:space="preserve"> 25-29</v>
          </cell>
          <cell r="AD38">
            <v>-18331.420128317488</v>
          </cell>
          <cell r="AE38">
            <v>12976.429728198351</v>
          </cell>
          <cell r="AF38">
            <v>-60750.289064738405</v>
          </cell>
          <cell r="AG38">
            <v>5434.5272457174424</v>
          </cell>
        </row>
        <row r="39">
          <cell r="AC39" t="str">
            <v xml:space="preserve"> 30-34</v>
          </cell>
          <cell r="AD39">
            <v>-18446.18638980946</v>
          </cell>
          <cell r="AE39">
            <v>14632.698978230304</v>
          </cell>
          <cell r="AF39">
            <v>-42613.784647061708</v>
          </cell>
          <cell r="AG39">
            <v>4347.6018351635703</v>
          </cell>
        </row>
        <row r="40">
          <cell r="AC40" t="str">
            <v xml:space="preserve"> 35-39</v>
          </cell>
          <cell r="AD40">
            <v>-16998.77117841769</v>
          </cell>
          <cell r="AE40">
            <v>16851.801831508539</v>
          </cell>
          <cell r="AF40">
            <v>-27300.545401678988</v>
          </cell>
          <cell r="AG40">
            <v>2895.8979147180862</v>
          </cell>
        </row>
        <row r="41">
          <cell r="AC41" t="str">
            <v xml:space="preserve"> 40-44</v>
          </cell>
          <cell r="AD41">
            <v>-17280.369983001696</v>
          </cell>
          <cell r="AE41">
            <v>18907.222402164189</v>
          </cell>
          <cell r="AF41">
            <v>-16990.940500054967</v>
          </cell>
          <cell r="AG41">
            <v>1640.4094831544364</v>
          </cell>
        </row>
        <row r="42">
          <cell r="AC42" t="str">
            <v xml:space="preserve"> 45-49</v>
          </cell>
          <cell r="AD42">
            <v>-14798.389358241351</v>
          </cell>
          <cell r="AE42">
            <v>16686.063543475484</v>
          </cell>
          <cell r="AF42">
            <v>-9702.4021485164158</v>
          </cell>
          <cell r="AG42">
            <v>1075.2479854799701</v>
          </cell>
        </row>
        <row r="43">
          <cell r="AC43" t="str">
            <v xml:space="preserve"> 50-54</v>
          </cell>
          <cell r="AD43">
            <v>-10751.958010565308</v>
          </cell>
          <cell r="AE43">
            <v>11935.158858688706</v>
          </cell>
          <cell r="AF43">
            <v>-4587.1023923223202</v>
          </cell>
          <cell r="AG43">
            <v>580.40462209192083</v>
          </cell>
        </row>
        <row r="44">
          <cell r="AC44" t="str">
            <v xml:space="preserve"> 55-59</v>
          </cell>
          <cell r="AD44">
            <v>-8602.8836900694314</v>
          </cell>
          <cell r="AE44">
            <v>9795.5476576066121</v>
          </cell>
          <cell r="AF44">
            <v>-1807.9426554743077</v>
          </cell>
          <cell r="AG44">
            <v>327.91274216068092</v>
          </cell>
        </row>
        <row r="45">
          <cell r="AC45" t="str">
            <v xml:space="preserve"> 60-64</v>
          </cell>
          <cell r="AD45">
            <v>-7288.5568151493153</v>
          </cell>
          <cell r="AE45">
            <v>8232.5476576066121</v>
          </cell>
          <cell r="AF45">
            <v>-676.82198670519392</v>
          </cell>
          <cell r="AG45">
            <v>143.17950011789392</v>
          </cell>
        </row>
        <row r="46">
          <cell r="AC46" t="str">
            <v xml:space="preserve"> 65-69</v>
          </cell>
          <cell r="AD46">
            <v>-6204.6672064925642</v>
          </cell>
          <cell r="AE46">
            <v>6786</v>
          </cell>
          <cell r="AF46">
            <v>-241.31837799425</v>
          </cell>
          <cell r="AG46">
            <v>52.060097589673653</v>
          </cell>
        </row>
        <row r="47">
          <cell r="AC47" t="str">
            <v xml:space="preserve"> 70-74</v>
          </cell>
          <cell r="AD47">
            <v>-4648.2224021641878</v>
          </cell>
          <cell r="AE47">
            <v>4972.515885868871</v>
          </cell>
          <cell r="AF47">
            <v>-114.93141475534074</v>
          </cell>
          <cell r="AG47">
            <v>15.609083607804646</v>
          </cell>
        </row>
        <row r="48">
          <cell r="AC48" t="str">
            <v xml:space="preserve"> 75+</v>
          </cell>
          <cell r="AD48">
            <v>-4509.5794293443523</v>
          </cell>
          <cell r="AE48">
            <v>4660.5158858688701</v>
          </cell>
          <cell r="AF48">
            <v>-107.25188136825139</v>
          </cell>
          <cell r="AG48">
            <v>7.8167404435806649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  <cell r="H4">
            <v>2015</v>
          </cell>
        </row>
        <row r="5">
          <cell r="F5" t="str">
            <v>Male</v>
          </cell>
          <cell r="G5" t="str">
            <v>Female</v>
          </cell>
          <cell r="H5" t="str">
            <v>Male</v>
          </cell>
          <cell r="I5" t="str">
            <v>Female</v>
          </cell>
        </row>
        <row r="8">
          <cell r="A8" t="str">
            <v>First</v>
          </cell>
          <cell r="F8">
            <v>3085</v>
          </cell>
          <cell r="G8">
            <v>3021</v>
          </cell>
          <cell r="H8">
            <v>3026</v>
          </cell>
          <cell r="I8">
            <v>2999</v>
          </cell>
        </row>
        <row r="9">
          <cell r="A9" t="str">
            <v>Second</v>
          </cell>
          <cell r="F9">
            <v>1451</v>
          </cell>
          <cell r="G9">
            <v>1442</v>
          </cell>
          <cell r="H9">
            <v>1464</v>
          </cell>
          <cell r="I9">
            <v>1547</v>
          </cell>
        </row>
        <row r="10">
          <cell r="A10" t="str">
            <v xml:space="preserve">Third </v>
          </cell>
          <cell r="F10">
            <v>535</v>
          </cell>
          <cell r="G10">
            <v>586</v>
          </cell>
          <cell r="H10">
            <v>635</v>
          </cell>
          <cell r="I10">
            <v>631</v>
          </cell>
        </row>
        <row r="11">
          <cell r="A11" t="str">
            <v>Fourth or more</v>
          </cell>
          <cell r="F11">
            <v>516</v>
          </cell>
          <cell r="G11">
            <v>538</v>
          </cell>
          <cell r="H11">
            <v>638</v>
          </cell>
          <cell r="I11">
            <v>586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"/>
  <sheetViews>
    <sheetView tabSelected="1" zoomScaleNormal="100" workbookViewId="0">
      <selection activeCell="A2" sqref="A2:E2"/>
    </sheetView>
  </sheetViews>
  <sheetFormatPr defaultRowHeight="15" x14ac:dyDescent="0.25"/>
  <cols>
    <col min="1" max="1" width="32.42578125" style="1" customWidth="1"/>
    <col min="2" max="2" width="19.7109375" style="1" customWidth="1"/>
    <col min="3" max="3" width="18" style="1" customWidth="1"/>
    <col min="4" max="4" width="14.28515625" style="1" customWidth="1"/>
    <col min="5" max="5" width="29.28515625" style="1" customWidth="1"/>
    <col min="6" max="6" width="3.85546875" style="1" customWidth="1"/>
    <col min="7" max="12" width="5.85546875" style="1" customWidth="1"/>
    <col min="13" max="16" width="21.28515625" style="1" customWidth="1"/>
    <col min="17" max="18" width="5.85546875" style="1" customWidth="1"/>
    <col min="19" max="19" width="9.140625" style="1"/>
    <col min="20" max="20" width="9.140625" style="1" customWidth="1"/>
    <col min="21" max="21" width="14.140625" style="1" customWidth="1"/>
    <col min="22" max="22" width="27.140625" style="1" customWidth="1"/>
    <col min="23" max="23" width="16.5703125" style="1" customWidth="1"/>
    <col min="24" max="26" width="9.140625" style="1"/>
    <col min="27" max="28" width="10" style="1" customWidth="1"/>
    <col min="29" max="29" width="9.140625" style="1"/>
    <col min="30" max="31" width="12.28515625" style="1" customWidth="1"/>
    <col min="32" max="264" width="9.140625" style="1"/>
    <col min="265" max="265" width="32.42578125" style="1" customWidth="1"/>
    <col min="266" max="266" width="19.7109375" style="1" customWidth="1"/>
    <col min="267" max="267" width="18" style="1" customWidth="1"/>
    <col min="268" max="268" width="14.28515625" style="1" customWidth="1"/>
    <col min="269" max="269" width="29.28515625" style="1" customWidth="1"/>
    <col min="270" max="270" width="14.85546875" style="1" customWidth="1"/>
    <col min="271" max="274" width="5.85546875" style="1" customWidth="1"/>
    <col min="275" max="275" width="9.140625" style="1"/>
    <col min="276" max="276" width="9.140625" style="1" customWidth="1"/>
    <col min="277" max="277" width="14.140625" style="1" customWidth="1"/>
    <col min="278" max="278" width="27.140625" style="1" customWidth="1"/>
    <col min="279" max="279" width="16.5703125" style="1" customWidth="1"/>
    <col min="280" max="282" width="9.140625" style="1"/>
    <col min="283" max="284" width="10" style="1" customWidth="1"/>
    <col min="285" max="285" width="9.140625" style="1"/>
    <col min="286" max="287" width="12.28515625" style="1" customWidth="1"/>
    <col min="288" max="520" width="9.140625" style="1"/>
    <col min="521" max="521" width="32.42578125" style="1" customWidth="1"/>
    <col min="522" max="522" width="19.7109375" style="1" customWidth="1"/>
    <col min="523" max="523" width="18" style="1" customWidth="1"/>
    <col min="524" max="524" width="14.28515625" style="1" customWidth="1"/>
    <col min="525" max="525" width="29.28515625" style="1" customWidth="1"/>
    <col min="526" max="526" width="14.85546875" style="1" customWidth="1"/>
    <col min="527" max="530" width="5.85546875" style="1" customWidth="1"/>
    <col min="531" max="531" width="9.140625" style="1"/>
    <col min="532" max="532" width="9.140625" style="1" customWidth="1"/>
    <col min="533" max="533" width="14.140625" style="1" customWidth="1"/>
    <col min="534" max="534" width="27.140625" style="1" customWidth="1"/>
    <col min="535" max="535" width="16.5703125" style="1" customWidth="1"/>
    <col min="536" max="538" width="9.140625" style="1"/>
    <col min="539" max="540" width="10" style="1" customWidth="1"/>
    <col min="541" max="541" width="9.140625" style="1"/>
    <col min="542" max="543" width="12.28515625" style="1" customWidth="1"/>
    <col min="544" max="776" width="9.140625" style="1"/>
    <col min="777" max="777" width="32.42578125" style="1" customWidth="1"/>
    <col min="778" max="778" width="19.7109375" style="1" customWidth="1"/>
    <col min="779" max="779" width="18" style="1" customWidth="1"/>
    <col min="780" max="780" width="14.28515625" style="1" customWidth="1"/>
    <col min="781" max="781" width="29.28515625" style="1" customWidth="1"/>
    <col min="782" max="782" width="14.85546875" style="1" customWidth="1"/>
    <col min="783" max="786" width="5.85546875" style="1" customWidth="1"/>
    <col min="787" max="787" width="9.140625" style="1"/>
    <col min="788" max="788" width="9.140625" style="1" customWidth="1"/>
    <col min="789" max="789" width="14.140625" style="1" customWidth="1"/>
    <col min="790" max="790" width="27.140625" style="1" customWidth="1"/>
    <col min="791" max="791" width="16.5703125" style="1" customWidth="1"/>
    <col min="792" max="794" width="9.140625" style="1"/>
    <col min="795" max="796" width="10" style="1" customWidth="1"/>
    <col min="797" max="797" width="9.140625" style="1"/>
    <col min="798" max="799" width="12.28515625" style="1" customWidth="1"/>
    <col min="800" max="1032" width="9.140625" style="1"/>
    <col min="1033" max="1033" width="32.42578125" style="1" customWidth="1"/>
    <col min="1034" max="1034" width="19.7109375" style="1" customWidth="1"/>
    <col min="1035" max="1035" width="18" style="1" customWidth="1"/>
    <col min="1036" max="1036" width="14.28515625" style="1" customWidth="1"/>
    <col min="1037" max="1037" width="29.28515625" style="1" customWidth="1"/>
    <col min="1038" max="1038" width="14.85546875" style="1" customWidth="1"/>
    <col min="1039" max="1042" width="5.85546875" style="1" customWidth="1"/>
    <col min="1043" max="1043" width="9.140625" style="1"/>
    <col min="1044" max="1044" width="9.140625" style="1" customWidth="1"/>
    <col min="1045" max="1045" width="14.140625" style="1" customWidth="1"/>
    <col min="1046" max="1046" width="27.140625" style="1" customWidth="1"/>
    <col min="1047" max="1047" width="16.5703125" style="1" customWidth="1"/>
    <col min="1048" max="1050" width="9.140625" style="1"/>
    <col min="1051" max="1052" width="10" style="1" customWidth="1"/>
    <col min="1053" max="1053" width="9.140625" style="1"/>
    <col min="1054" max="1055" width="12.28515625" style="1" customWidth="1"/>
    <col min="1056" max="1288" width="9.140625" style="1"/>
    <col min="1289" max="1289" width="32.42578125" style="1" customWidth="1"/>
    <col min="1290" max="1290" width="19.7109375" style="1" customWidth="1"/>
    <col min="1291" max="1291" width="18" style="1" customWidth="1"/>
    <col min="1292" max="1292" width="14.28515625" style="1" customWidth="1"/>
    <col min="1293" max="1293" width="29.28515625" style="1" customWidth="1"/>
    <col min="1294" max="1294" width="14.85546875" style="1" customWidth="1"/>
    <col min="1295" max="1298" width="5.85546875" style="1" customWidth="1"/>
    <col min="1299" max="1299" width="9.140625" style="1"/>
    <col min="1300" max="1300" width="9.140625" style="1" customWidth="1"/>
    <col min="1301" max="1301" width="14.140625" style="1" customWidth="1"/>
    <col min="1302" max="1302" width="27.140625" style="1" customWidth="1"/>
    <col min="1303" max="1303" width="16.5703125" style="1" customWidth="1"/>
    <col min="1304" max="1306" width="9.140625" style="1"/>
    <col min="1307" max="1308" width="10" style="1" customWidth="1"/>
    <col min="1309" max="1309" width="9.140625" style="1"/>
    <col min="1310" max="1311" width="12.28515625" style="1" customWidth="1"/>
    <col min="1312" max="1544" width="9.140625" style="1"/>
    <col min="1545" max="1545" width="32.42578125" style="1" customWidth="1"/>
    <col min="1546" max="1546" width="19.7109375" style="1" customWidth="1"/>
    <col min="1547" max="1547" width="18" style="1" customWidth="1"/>
    <col min="1548" max="1548" width="14.28515625" style="1" customWidth="1"/>
    <col min="1549" max="1549" width="29.28515625" style="1" customWidth="1"/>
    <col min="1550" max="1550" width="14.85546875" style="1" customWidth="1"/>
    <col min="1551" max="1554" width="5.85546875" style="1" customWidth="1"/>
    <col min="1555" max="1555" width="9.140625" style="1"/>
    <col min="1556" max="1556" width="9.140625" style="1" customWidth="1"/>
    <col min="1557" max="1557" width="14.140625" style="1" customWidth="1"/>
    <col min="1558" max="1558" width="27.140625" style="1" customWidth="1"/>
    <col min="1559" max="1559" width="16.5703125" style="1" customWidth="1"/>
    <col min="1560" max="1562" width="9.140625" style="1"/>
    <col min="1563" max="1564" width="10" style="1" customWidth="1"/>
    <col min="1565" max="1565" width="9.140625" style="1"/>
    <col min="1566" max="1567" width="12.28515625" style="1" customWidth="1"/>
    <col min="1568" max="1800" width="9.140625" style="1"/>
    <col min="1801" max="1801" width="32.42578125" style="1" customWidth="1"/>
    <col min="1802" max="1802" width="19.7109375" style="1" customWidth="1"/>
    <col min="1803" max="1803" width="18" style="1" customWidth="1"/>
    <col min="1804" max="1804" width="14.28515625" style="1" customWidth="1"/>
    <col min="1805" max="1805" width="29.28515625" style="1" customWidth="1"/>
    <col min="1806" max="1806" width="14.85546875" style="1" customWidth="1"/>
    <col min="1807" max="1810" width="5.85546875" style="1" customWidth="1"/>
    <col min="1811" max="1811" width="9.140625" style="1"/>
    <col min="1812" max="1812" width="9.140625" style="1" customWidth="1"/>
    <col min="1813" max="1813" width="14.140625" style="1" customWidth="1"/>
    <col min="1814" max="1814" width="27.140625" style="1" customWidth="1"/>
    <col min="1815" max="1815" width="16.5703125" style="1" customWidth="1"/>
    <col min="1816" max="1818" width="9.140625" style="1"/>
    <col min="1819" max="1820" width="10" style="1" customWidth="1"/>
    <col min="1821" max="1821" width="9.140625" style="1"/>
    <col min="1822" max="1823" width="12.28515625" style="1" customWidth="1"/>
    <col min="1824" max="2056" width="9.140625" style="1"/>
    <col min="2057" max="2057" width="32.42578125" style="1" customWidth="1"/>
    <col min="2058" max="2058" width="19.7109375" style="1" customWidth="1"/>
    <col min="2059" max="2059" width="18" style="1" customWidth="1"/>
    <col min="2060" max="2060" width="14.28515625" style="1" customWidth="1"/>
    <col min="2061" max="2061" width="29.28515625" style="1" customWidth="1"/>
    <col min="2062" max="2062" width="14.85546875" style="1" customWidth="1"/>
    <col min="2063" max="2066" width="5.85546875" style="1" customWidth="1"/>
    <col min="2067" max="2067" width="9.140625" style="1"/>
    <col min="2068" max="2068" width="9.140625" style="1" customWidth="1"/>
    <col min="2069" max="2069" width="14.140625" style="1" customWidth="1"/>
    <col min="2070" max="2070" width="27.140625" style="1" customWidth="1"/>
    <col min="2071" max="2071" width="16.5703125" style="1" customWidth="1"/>
    <col min="2072" max="2074" width="9.140625" style="1"/>
    <col min="2075" max="2076" width="10" style="1" customWidth="1"/>
    <col min="2077" max="2077" width="9.140625" style="1"/>
    <col min="2078" max="2079" width="12.28515625" style="1" customWidth="1"/>
    <col min="2080" max="2312" width="9.140625" style="1"/>
    <col min="2313" max="2313" width="32.42578125" style="1" customWidth="1"/>
    <col min="2314" max="2314" width="19.7109375" style="1" customWidth="1"/>
    <col min="2315" max="2315" width="18" style="1" customWidth="1"/>
    <col min="2316" max="2316" width="14.28515625" style="1" customWidth="1"/>
    <col min="2317" max="2317" width="29.28515625" style="1" customWidth="1"/>
    <col min="2318" max="2318" width="14.85546875" style="1" customWidth="1"/>
    <col min="2319" max="2322" width="5.85546875" style="1" customWidth="1"/>
    <col min="2323" max="2323" width="9.140625" style="1"/>
    <col min="2324" max="2324" width="9.140625" style="1" customWidth="1"/>
    <col min="2325" max="2325" width="14.140625" style="1" customWidth="1"/>
    <col min="2326" max="2326" width="27.140625" style="1" customWidth="1"/>
    <col min="2327" max="2327" width="16.5703125" style="1" customWidth="1"/>
    <col min="2328" max="2330" width="9.140625" style="1"/>
    <col min="2331" max="2332" width="10" style="1" customWidth="1"/>
    <col min="2333" max="2333" width="9.140625" style="1"/>
    <col min="2334" max="2335" width="12.28515625" style="1" customWidth="1"/>
    <col min="2336" max="2568" width="9.140625" style="1"/>
    <col min="2569" max="2569" width="32.42578125" style="1" customWidth="1"/>
    <col min="2570" max="2570" width="19.7109375" style="1" customWidth="1"/>
    <col min="2571" max="2571" width="18" style="1" customWidth="1"/>
    <col min="2572" max="2572" width="14.28515625" style="1" customWidth="1"/>
    <col min="2573" max="2573" width="29.28515625" style="1" customWidth="1"/>
    <col min="2574" max="2574" width="14.85546875" style="1" customWidth="1"/>
    <col min="2575" max="2578" width="5.85546875" style="1" customWidth="1"/>
    <col min="2579" max="2579" width="9.140625" style="1"/>
    <col min="2580" max="2580" width="9.140625" style="1" customWidth="1"/>
    <col min="2581" max="2581" width="14.140625" style="1" customWidth="1"/>
    <col min="2582" max="2582" width="27.140625" style="1" customWidth="1"/>
    <col min="2583" max="2583" width="16.5703125" style="1" customWidth="1"/>
    <col min="2584" max="2586" width="9.140625" style="1"/>
    <col min="2587" max="2588" width="10" style="1" customWidth="1"/>
    <col min="2589" max="2589" width="9.140625" style="1"/>
    <col min="2590" max="2591" width="12.28515625" style="1" customWidth="1"/>
    <col min="2592" max="2824" width="9.140625" style="1"/>
    <col min="2825" max="2825" width="32.42578125" style="1" customWidth="1"/>
    <col min="2826" max="2826" width="19.7109375" style="1" customWidth="1"/>
    <col min="2827" max="2827" width="18" style="1" customWidth="1"/>
    <col min="2828" max="2828" width="14.28515625" style="1" customWidth="1"/>
    <col min="2829" max="2829" width="29.28515625" style="1" customWidth="1"/>
    <col min="2830" max="2830" width="14.85546875" style="1" customWidth="1"/>
    <col min="2831" max="2834" width="5.85546875" style="1" customWidth="1"/>
    <col min="2835" max="2835" width="9.140625" style="1"/>
    <col min="2836" max="2836" width="9.140625" style="1" customWidth="1"/>
    <col min="2837" max="2837" width="14.140625" style="1" customWidth="1"/>
    <col min="2838" max="2838" width="27.140625" style="1" customWidth="1"/>
    <col min="2839" max="2839" width="16.5703125" style="1" customWidth="1"/>
    <col min="2840" max="2842" width="9.140625" style="1"/>
    <col min="2843" max="2844" width="10" style="1" customWidth="1"/>
    <col min="2845" max="2845" width="9.140625" style="1"/>
    <col min="2846" max="2847" width="12.28515625" style="1" customWidth="1"/>
    <col min="2848" max="3080" width="9.140625" style="1"/>
    <col min="3081" max="3081" width="32.42578125" style="1" customWidth="1"/>
    <col min="3082" max="3082" width="19.7109375" style="1" customWidth="1"/>
    <col min="3083" max="3083" width="18" style="1" customWidth="1"/>
    <col min="3084" max="3084" width="14.28515625" style="1" customWidth="1"/>
    <col min="3085" max="3085" width="29.28515625" style="1" customWidth="1"/>
    <col min="3086" max="3086" width="14.85546875" style="1" customWidth="1"/>
    <col min="3087" max="3090" width="5.85546875" style="1" customWidth="1"/>
    <col min="3091" max="3091" width="9.140625" style="1"/>
    <col min="3092" max="3092" width="9.140625" style="1" customWidth="1"/>
    <col min="3093" max="3093" width="14.140625" style="1" customWidth="1"/>
    <col min="3094" max="3094" width="27.140625" style="1" customWidth="1"/>
    <col min="3095" max="3095" width="16.5703125" style="1" customWidth="1"/>
    <col min="3096" max="3098" width="9.140625" style="1"/>
    <col min="3099" max="3100" width="10" style="1" customWidth="1"/>
    <col min="3101" max="3101" width="9.140625" style="1"/>
    <col min="3102" max="3103" width="12.28515625" style="1" customWidth="1"/>
    <col min="3104" max="3336" width="9.140625" style="1"/>
    <col min="3337" max="3337" width="32.42578125" style="1" customWidth="1"/>
    <col min="3338" max="3338" width="19.7109375" style="1" customWidth="1"/>
    <col min="3339" max="3339" width="18" style="1" customWidth="1"/>
    <col min="3340" max="3340" width="14.28515625" style="1" customWidth="1"/>
    <col min="3341" max="3341" width="29.28515625" style="1" customWidth="1"/>
    <col min="3342" max="3342" width="14.85546875" style="1" customWidth="1"/>
    <col min="3343" max="3346" width="5.85546875" style="1" customWidth="1"/>
    <col min="3347" max="3347" width="9.140625" style="1"/>
    <col min="3348" max="3348" width="9.140625" style="1" customWidth="1"/>
    <col min="3349" max="3349" width="14.140625" style="1" customWidth="1"/>
    <col min="3350" max="3350" width="27.140625" style="1" customWidth="1"/>
    <col min="3351" max="3351" width="16.5703125" style="1" customWidth="1"/>
    <col min="3352" max="3354" width="9.140625" style="1"/>
    <col min="3355" max="3356" width="10" style="1" customWidth="1"/>
    <col min="3357" max="3357" width="9.140625" style="1"/>
    <col min="3358" max="3359" width="12.28515625" style="1" customWidth="1"/>
    <col min="3360" max="3592" width="9.140625" style="1"/>
    <col min="3593" max="3593" width="32.42578125" style="1" customWidth="1"/>
    <col min="3594" max="3594" width="19.7109375" style="1" customWidth="1"/>
    <col min="3595" max="3595" width="18" style="1" customWidth="1"/>
    <col min="3596" max="3596" width="14.28515625" style="1" customWidth="1"/>
    <col min="3597" max="3597" width="29.28515625" style="1" customWidth="1"/>
    <col min="3598" max="3598" width="14.85546875" style="1" customWidth="1"/>
    <col min="3599" max="3602" width="5.85546875" style="1" customWidth="1"/>
    <col min="3603" max="3603" width="9.140625" style="1"/>
    <col min="3604" max="3604" width="9.140625" style="1" customWidth="1"/>
    <col min="3605" max="3605" width="14.140625" style="1" customWidth="1"/>
    <col min="3606" max="3606" width="27.140625" style="1" customWidth="1"/>
    <col min="3607" max="3607" width="16.5703125" style="1" customWidth="1"/>
    <col min="3608" max="3610" width="9.140625" style="1"/>
    <col min="3611" max="3612" width="10" style="1" customWidth="1"/>
    <col min="3613" max="3613" width="9.140625" style="1"/>
    <col min="3614" max="3615" width="12.28515625" style="1" customWidth="1"/>
    <col min="3616" max="3848" width="9.140625" style="1"/>
    <col min="3849" max="3849" width="32.42578125" style="1" customWidth="1"/>
    <col min="3850" max="3850" width="19.7109375" style="1" customWidth="1"/>
    <col min="3851" max="3851" width="18" style="1" customWidth="1"/>
    <col min="3852" max="3852" width="14.28515625" style="1" customWidth="1"/>
    <col min="3853" max="3853" width="29.28515625" style="1" customWidth="1"/>
    <col min="3854" max="3854" width="14.85546875" style="1" customWidth="1"/>
    <col min="3855" max="3858" width="5.85546875" style="1" customWidth="1"/>
    <col min="3859" max="3859" width="9.140625" style="1"/>
    <col min="3860" max="3860" width="9.140625" style="1" customWidth="1"/>
    <col min="3861" max="3861" width="14.140625" style="1" customWidth="1"/>
    <col min="3862" max="3862" width="27.140625" style="1" customWidth="1"/>
    <col min="3863" max="3863" width="16.5703125" style="1" customWidth="1"/>
    <col min="3864" max="3866" width="9.140625" style="1"/>
    <col min="3867" max="3868" width="10" style="1" customWidth="1"/>
    <col min="3869" max="3869" width="9.140625" style="1"/>
    <col min="3870" max="3871" width="12.28515625" style="1" customWidth="1"/>
    <col min="3872" max="4104" width="9.140625" style="1"/>
    <col min="4105" max="4105" width="32.42578125" style="1" customWidth="1"/>
    <col min="4106" max="4106" width="19.7109375" style="1" customWidth="1"/>
    <col min="4107" max="4107" width="18" style="1" customWidth="1"/>
    <col min="4108" max="4108" width="14.28515625" style="1" customWidth="1"/>
    <col min="4109" max="4109" width="29.28515625" style="1" customWidth="1"/>
    <col min="4110" max="4110" width="14.85546875" style="1" customWidth="1"/>
    <col min="4111" max="4114" width="5.85546875" style="1" customWidth="1"/>
    <col min="4115" max="4115" width="9.140625" style="1"/>
    <col min="4116" max="4116" width="9.140625" style="1" customWidth="1"/>
    <col min="4117" max="4117" width="14.140625" style="1" customWidth="1"/>
    <col min="4118" max="4118" width="27.140625" style="1" customWidth="1"/>
    <col min="4119" max="4119" width="16.5703125" style="1" customWidth="1"/>
    <col min="4120" max="4122" width="9.140625" style="1"/>
    <col min="4123" max="4124" width="10" style="1" customWidth="1"/>
    <col min="4125" max="4125" width="9.140625" style="1"/>
    <col min="4126" max="4127" width="12.28515625" style="1" customWidth="1"/>
    <col min="4128" max="4360" width="9.140625" style="1"/>
    <col min="4361" max="4361" width="32.42578125" style="1" customWidth="1"/>
    <col min="4362" max="4362" width="19.7109375" style="1" customWidth="1"/>
    <col min="4363" max="4363" width="18" style="1" customWidth="1"/>
    <col min="4364" max="4364" width="14.28515625" style="1" customWidth="1"/>
    <col min="4365" max="4365" width="29.28515625" style="1" customWidth="1"/>
    <col min="4366" max="4366" width="14.85546875" style="1" customWidth="1"/>
    <col min="4367" max="4370" width="5.85546875" style="1" customWidth="1"/>
    <col min="4371" max="4371" width="9.140625" style="1"/>
    <col min="4372" max="4372" width="9.140625" style="1" customWidth="1"/>
    <col min="4373" max="4373" width="14.140625" style="1" customWidth="1"/>
    <col min="4374" max="4374" width="27.140625" style="1" customWidth="1"/>
    <col min="4375" max="4375" width="16.5703125" style="1" customWidth="1"/>
    <col min="4376" max="4378" width="9.140625" style="1"/>
    <col min="4379" max="4380" width="10" style="1" customWidth="1"/>
    <col min="4381" max="4381" width="9.140625" style="1"/>
    <col min="4382" max="4383" width="12.28515625" style="1" customWidth="1"/>
    <col min="4384" max="4616" width="9.140625" style="1"/>
    <col min="4617" max="4617" width="32.42578125" style="1" customWidth="1"/>
    <col min="4618" max="4618" width="19.7109375" style="1" customWidth="1"/>
    <col min="4619" max="4619" width="18" style="1" customWidth="1"/>
    <col min="4620" max="4620" width="14.28515625" style="1" customWidth="1"/>
    <col min="4621" max="4621" width="29.28515625" style="1" customWidth="1"/>
    <col min="4622" max="4622" width="14.85546875" style="1" customWidth="1"/>
    <col min="4623" max="4626" width="5.85546875" style="1" customWidth="1"/>
    <col min="4627" max="4627" width="9.140625" style="1"/>
    <col min="4628" max="4628" width="9.140625" style="1" customWidth="1"/>
    <col min="4629" max="4629" width="14.140625" style="1" customWidth="1"/>
    <col min="4630" max="4630" width="27.140625" style="1" customWidth="1"/>
    <col min="4631" max="4631" width="16.5703125" style="1" customWidth="1"/>
    <col min="4632" max="4634" width="9.140625" style="1"/>
    <col min="4635" max="4636" width="10" style="1" customWidth="1"/>
    <col min="4637" max="4637" width="9.140625" style="1"/>
    <col min="4638" max="4639" width="12.28515625" style="1" customWidth="1"/>
    <col min="4640" max="4872" width="9.140625" style="1"/>
    <col min="4873" max="4873" width="32.42578125" style="1" customWidth="1"/>
    <col min="4874" max="4874" width="19.7109375" style="1" customWidth="1"/>
    <col min="4875" max="4875" width="18" style="1" customWidth="1"/>
    <col min="4876" max="4876" width="14.28515625" style="1" customWidth="1"/>
    <col min="4877" max="4877" width="29.28515625" style="1" customWidth="1"/>
    <col min="4878" max="4878" width="14.85546875" style="1" customWidth="1"/>
    <col min="4879" max="4882" width="5.85546875" style="1" customWidth="1"/>
    <col min="4883" max="4883" width="9.140625" style="1"/>
    <col min="4884" max="4884" width="9.140625" style="1" customWidth="1"/>
    <col min="4885" max="4885" width="14.140625" style="1" customWidth="1"/>
    <col min="4886" max="4886" width="27.140625" style="1" customWidth="1"/>
    <col min="4887" max="4887" width="16.5703125" style="1" customWidth="1"/>
    <col min="4888" max="4890" width="9.140625" style="1"/>
    <col min="4891" max="4892" width="10" style="1" customWidth="1"/>
    <col min="4893" max="4893" width="9.140625" style="1"/>
    <col min="4894" max="4895" width="12.28515625" style="1" customWidth="1"/>
    <col min="4896" max="5128" width="9.140625" style="1"/>
    <col min="5129" max="5129" width="32.42578125" style="1" customWidth="1"/>
    <col min="5130" max="5130" width="19.7109375" style="1" customWidth="1"/>
    <col min="5131" max="5131" width="18" style="1" customWidth="1"/>
    <col min="5132" max="5132" width="14.28515625" style="1" customWidth="1"/>
    <col min="5133" max="5133" width="29.28515625" style="1" customWidth="1"/>
    <col min="5134" max="5134" width="14.85546875" style="1" customWidth="1"/>
    <col min="5135" max="5138" width="5.85546875" style="1" customWidth="1"/>
    <col min="5139" max="5139" width="9.140625" style="1"/>
    <col min="5140" max="5140" width="9.140625" style="1" customWidth="1"/>
    <col min="5141" max="5141" width="14.140625" style="1" customWidth="1"/>
    <col min="5142" max="5142" width="27.140625" style="1" customWidth="1"/>
    <col min="5143" max="5143" width="16.5703125" style="1" customWidth="1"/>
    <col min="5144" max="5146" width="9.140625" style="1"/>
    <col min="5147" max="5148" width="10" style="1" customWidth="1"/>
    <col min="5149" max="5149" width="9.140625" style="1"/>
    <col min="5150" max="5151" width="12.28515625" style="1" customWidth="1"/>
    <col min="5152" max="5384" width="9.140625" style="1"/>
    <col min="5385" max="5385" width="32.42578125" style="1" customWidth="1"/>
    <col min="5386" max="5386" width="19.7109375" style="1" customWidth="1"/>
    <col min="5387" max="5387" width="18" style="1" customWidth="1"/>
    <col min="5388" max="5388" width="14.28515625" style="1" customWidth="1"/>
    <col min="5389" max="5389" width="29.28515625" style="1" customWidth="1"/>
    <col min="5390" max="5390" width="14.85546875" style="1" customWidth="1"/>
    <col min="5391" max="5394" width="5.85546875" style="1" customWidth="1"/>
    <col min="5395" max="5395" width="9.140625" style="1"/>
    <col min="5396" max="5396" width="9.140625" style="1" customWidth="1"/>
    <col min="5397" max="5397" width="14.140625" style="1" customWidth="1"/>
    <col min="5398" max="5398" width="27.140625" style="1" customWidth="1"/>
    <col min="5399" max="5399" width="16.5703125" style="1" customWidth="1"/>
    <col min="5400" max="5402" width="9.140625" style="1"/>
    <col min="5403" max="5404" width="10" style="1" customWidth="1"/>
    <col min="5405" max="5405" width="9.140625" style="1"/>
    <col min="5406" max="5407" width="12.28515625" style="1" customWidth="1"/>
    <col min="5408" max="5640" width="9.140625" style="1"/>
    <col min="5641" max="5641" width="32.42578125" style="1" customWidth="1"/>
    <col min="5642" max="5642" width="19.7109375" style="1" customWidth="1"/>
    <col min="5643" max="5643" width="18" style="1" customWidth="1"/>
    <col min="5644" max="5644" width="14.28515625" style="1" customWidth="1"/>
    <col min="5645" max="5645" width="29.28515625" style="1" customWidth="1"/>
    <col min="5646" max="5646" width="14.85546875" style="1" customWidth="1"/>
    <col min="5647" max="5650" width="5.85546875" style="1" customWidth="1"/>
    <col min="5651" max="5651" width="9.140625" style="1"/>
    <col min="5652" max="5652" width="9.140625" style="1" customWidth="1"/>
    <col min="5653" max="5653" width="14.140625" style="1" customWidth="1"/>
    <col min="5654" max="5654" width="27.140625" style="1" customWidth="1"/>
    <col min="5655" max="5655" width="16.5703125" style="1" customWidth="1"/>
    <col min="5656" max="5658" width="9.140625" style="1"/>
    <col min="5659" max="5660" width="10" style="1" customWidth="1"/>
    <col min="5661" max="5661" width="9.140625" style="1"/>
    <col min="5662" max="5663" width="12.28515625" style="1" customWidth="1"/>
    <col min="5664" max="5896" width="9.140625" style="1"/>
    <col min="5897" max="5897" width="32.42578125" style="1" customWidth="1"/>
    <col min="5898" max="5898" width="19.7109375" style="1" customWidth="1"/>
    <col min="5899" max="5899" width="18" style="1" customWidth="1"/>
    <col min="5900" max="5900" width="14.28515625" style="1" customWidth="1"/>
    <col min="5901" max="5901" width="29.28515625" style="1" customWidth="1"/>
    <col min="5902" max="5902" width="14.85546875" style="1" customWidth="1"/>
    <col min="5903" max="5906" width="5.85546875" style="1" customWidth="1"/>
    <col min="5907" max="5907" width="9.140625" style="1"/>
    <col min="5908" max="5908" width="9.140625" style="1" customWidth="1"/>
    <col min="5909" max="5909" width="14.140625" style="1" customWidth="1"/>
    <col min="5910" max="5910" width="27.140625" style="1" customWidth="1"/>
    <col min="5911" max="5911" width="16.5703125" style="1" customWidth="1"/>
    <col min="5912" max="5914" width="9.140625" style="1"/>
    <col min="5915" max="5916" width="10" style="1" customWidth="1"/>
    <col min="5917" max="5917" width="9.140625" style="1"/>
    <col min="5918" max="5919" width="12.28515625" style="1" customWidth="1"/>
    <col min="5920" max="6152" width="9.140625" style="1"/>
    <col min="6153" max="6153" width="32.42578125" style="1" customWidth="1"/>
    <col min="6154" max="6154" width="19.7109375" style="1" customWidth="1"/>
    <col min="6155" max="6155" width="18" style="1" customWidth="1"/>
    <col min="6156" max="6156" width="14.28515625" style="1" customWidth="1"/>
    <col min="6157" max="6157" width="29.28515625" style="1" customWidth="1"/>
    <col min="6158" max="6158" width="14.85546875" style="1" customWidth="1"/>
    <col min="6159" max="6162" width="5.85546875" style="1" customWidth="1"/>
    <col min="6163" max="6163" width="9.140625" style="1"/>
    <col min="6164" max="6164" width="9.140625" style="1" customWidth="1"/>
    <col min="6165" max="6165" width="14.140625" style="1" customWidth="1"/>
    <col min="6166" max="6166" width="27.140625" style="1" customWidth="1"/>
    <col min="6167" max="6167" width="16.5703125" style="1" customWidth="1"/>
    <col min="6168" max="6170" width="9.140625" style="1"/>
    <col min="6171" max="6172" width="10" style="1" customWidth="1"/>
    <col min="6173" max="6173" width="9.140625" style="1"/>
    <col min="6174" max="6175" width="12.28515625" style="1" customWidth="1"/>
    <col min="6176" max="6408" width="9.140625" style="1"/>
    <col min="6409" max="6409" width="32.42578125" style="1" customWidth="1"/>
    <col min="6410" max="6410" width="19.7109375" style="1" customWidth="1"/>
    <col min="6411" max="6411" width="18" style="1" customWidth="1"/>
    <col min="6412" max="6412" width="14.28515625" style="1" customWidth="1"/>
    <col min="6413" max="6413" width="29.28515625" style="1" customWidth="1"/>
    <col min="6414" max="6414" width="14.85546875" style="1" customWidth="1"/>
    <col min="6415" max="6418" width="5.85546875" style="1" customWidth="1"/>
    <col min="6419" max="6419" width="9.140625" style="1"/>
    <col min="6420" max="6420" width="9.140625" style="1" customWidth="1"/>
    <col min="6421" max="6421" width="14.140625" style="1" customWidth="1"/>
    <col min="6422" max="6422" width="27.140625" style="1" customWidth="1"/>
    <col min="6423" max="6423" width="16.5703125" style="1" customWidth="1"/>
    <col min="6424" max="6426" width="9.140625" style="1"/>
    <col min="6427" max="6428" width="10" style="1" customWidth="1"/>
    <col min="6429" max="6429" width="9.140625" style="1"/>
    <col min="6430" max="6431" width="12.28515625" style="1" customWidth="1"/>
    <col min="6432" max="6664" width="9.140625" style="1"/>
    <col min="6665" max="6665" width="32.42578125" style="1" customWidth="1"/>
    <col min="6666" max="6666" width="19.7109375" style="1" customWidth="1"/>
    <col min="6667" max="6667" width="18" style="1" customWidth="1"/>
    <col min="6668" max="6668" width="14.28515625" style="1" customWidth="1"/>
    <col min="6669" max="6669" width="29.28515625" style="1" customWidth="1"/>
    <col min="6670" max="6670" width="14.85546875" style="1" customWidth="1"/>
    <col min="6671" max="6674" width="5.85546875" style="1" customWidth="1"/>
    <col min="6675" max="6675" width="9.140625" style="1"/>
    <col min="6676" max="6676" width="9.140625" style="1" customWidth="1"/>
    <col min="6677" max="6677" width="14.140625" style="1" customWidth="1"/>
    <col min="6678" max="6678" width="27.140625" style="1" customWidth="1"/>
    <col min="6679" max="6679" width="16.5703125" style="1" customWidth="1"/>
    <col min="6680" max="6682" width="9.140625" style="1"/>
    <col min="6683" max="6684" width="10" style="1" customWidth="1"/>
    <col min="6685" max="6685" width="9.140625" style="1"/>
    <col min="6686" max="6687" width="12.28515625" style="1" customWidth="1"/>
    <col min="6688" max="6920" width="9.140625" style="1"/>
    <col min="6921" max="6921" width="32.42578125" style="1" customWidth="1"/>
    <col min="6922" max="6922" width="19.7109375" style="1" customWidth="1"/>
    <col min="6923" max="6923" width="18" style="1" customWidth="1"/>
    <col min="6924" max="6924" width="14.28515625" style="1" customWidth="1"/>
    <col min="6925" max="6925" width="29.28515625" style="1" customWidth="1"/>
    <col min="6926" max="6926" width="14.85546875" style="1" customWidth="1"/>
    <col min="6927" max="6930" width="5.85546875" style="1" customWidth="1"/>
    <col min="6931" max="6931" width="9.140625" style="1"/>
    <col min="6932" max="6932" width="9.140625" style="1" customWidth="1"/>
    <col min="6933" max="6933" width="14.140625" style="1" customWidth="1"/>
    <col min="6934" max="6934" width="27.140625" style="1" customWidth="1"/>
    <col min="6935" max="6935" width="16.5703125" style="1" customWidth="1"/>
    <col min="6936" max="6938" width="9.140625" style="1"/>
    <col min="6939" max="6940" width="10" style="1" customWidth="1"/>
    <col min="6941" max="6941" width="9.140625" style="1"/>
    <col min="6942" max="6943" width="12.28515625" style="1" customWidth="1"/>
    <col min="6944" max="7176" width="9.140625" style="1"/>
    <col min="7177" max="7177" width="32.42578125" style="1" customWidth="1"/>
    <col min="7178" max="7178" width="19.7109375" style="1" customWidth="1"/>
    <col min="7179" max="7179" width="18" style="1" customWidth="1"/>
    <col min="7180" max="7180" width="14.28515625" style="1" customWidth="1"/>
    <col min="7181" max="7181" width="29.28515625" style="1" customWidth="1"/>
    <col min="7182" max="7182" width="14.85546875" style="1" customWidth="1"/>
    <col min="7183" max="7186" width="5.85546875" style="1" customWidth="1"/>
    <col min="7187" max="7187" width="9.140625" style="1"/>
    <col min="7188" max="7188" width="9.140625" style="1" customWidth="1"/>
    <col min="7189" max="7189" width="14.140625" style="1" customWidth="1"/>
    <col min="7190" max="7190" width="27.140625" style="1" customWidth="1"/>
    <col min="7191" max="7191" width="16.5703125" style="1" customWidth="1"/>
    <col min="7192" max="7194" width="9.140625" style="1"/>
    <col min="7195" max="7196" width="10" style="1" customWidth="1"/>
    <col min="7197" max="7197" width="9.140625" style="1"/>
    <col min="7198" max="7199" width="12.28515625" style="1" customWidth="1"/>
    <col min="7200" max="7432" width="9.140625" style="1"/>
    <col min="7433" max="7433" width="32.42578125" style="1" customWidth="1"/>
    <col min="7434" max="7434" width="19.7109375" style="1" customWidth="1"/>
    <col min="7435" max="7435" width="18" style="1" customWidth="1"/>
    <col min="7436" max="7436" width="14.28515625" style="1" customWidth="1"/>
    <col min="7437" max="7437" width="29.28515625" style="1" customWidth="1"/>
    <col min="7438" max="7438" width="14.85546875" style="1" customWidth="1"/>
    <col min="7439" max="7442" width="5.85546875" style="1" customWidth="1"/>
    <col min="7443" max="7443" width="9.140625" style="1"/>
    <col min="7444" max="7444" width="9.140625" style="1" customWidth="1"/>
    <col min="7445" max="7445" width="14.140625" style="1" customWidth="1"/>
    <col min="7446" max="7446" width="27.140625" style="1" customWidth="1"/>
    <col min="7447" max="7447" width="16.5703125" style="1" customWidth="1"/>
    <col min="7448" max="7450" width="9.140625" style="1"/>
    <col min="7451" max="7452" width="10" style="1" customWidth="1"/>
    <col min="7453" max="7453" width="9.140625" style="1"/>
    <col min="7454" max="7455" width="12.28515625" style="1" customWidth="1"/>
    <col min="7456" max="7688" width="9.140625" style="1"/>
    <col min="7689" max="7689" width="32.42578125" style="1" customWidth="1"/>
    <col min="7690" max="7690" width="19.7109375" style="1" customWidth="1"/>
    <col min="7691" max="7691" width="18" style="1" customWidth="1"/>
    <col min="7692" max="7692" width="14.28515625" style="1" customWidth="1"/>
    <col min="7693" max="7693" width="29.28515625" style="1" customWidth="1"/>
    <col min="7694" max="7694" width="14.85546875" style="1" customWidth="1"/>
    <col min="7695" max="7698" width="5.85546875" style="1" customWidth="1"/>
    <col min="7699" max="7699" width="9.140625" style="1"/>
    <col min="7700" max="7700" width="9.140625" style="1" customWidth="1"/>
    <col min="7701" max="7701" width="14.140625" style="1" customWidth="1"/>
    <col min="7702" max="7702" width="27.140625" style="1" customWidth="1"/>
    <col min="7703" max="7703" width="16.5703125" style="1" customWidth="1"/>
    <col min="7704" max="7706" width="9.140625" style="1"/>
    <col min="7707" max="7708" width="10" style="1" customWidth="1"/>
    <col min="7709" max="7709" width="9.140625" style="1"/>
    <col min="7710" max="7711" width="12.28515625" style="1" customWidth="1"/>
    <col min="7712" max="7944" width="9.140625" style="1"/>
    <col min="7945" max="7945" width="32.42578125" style="1" customWidth="1"/>
    <col min="7946" max="7946" width="19.7109375" style="1" customWidth="1"/>
    <col min="7947" max="7947" width="18" style="1" customWidth="1"/>
    <col min="7948" max="7948" width="14.28515625" style="1" customWidth="1"/>
    <col min="7949" max="7949" width="29.28515625" style="1" customWidth="1"/>
    <col min="7950" max="7950" width="14.85546875" style="1" customWidth="1"/>
    <col min="7951" max="7954" width="5.85546875" style="1" customWidth="1"/>
    <col min="7955" max="7955" width="9.140625" style="1"/>
    <col min="7956" max="7956" width="9.140625" style="1" customWidth="1"/>
    <col min="7957" max="7957" width="14.140625" style="1" customWidth="1"/>
    <col min="7958" max="7958" width="27.140625" style="1" customWidth="1"/>
    <col min="7959" max="7959" width="16.5703125" style="1" customWidth="1"/>
    <col min="7960" max="7962" width="9.140625" style="1"/>
    <col min="7963" max="7964" width="10" style="1" customWidth="1"/>
    <col min="7965" max="7965" width="9.140625" style="1"/>
    <col min="7966" max="7967" width="12.28515625" style="1" customWidth="1"/>
    <col min="7968" max="8200" width="9.140625" style="1"/>
    <col min="8201" max="8201" width="32.42578125" style="1" customWidth="1"/>
    <col min="8202" max="8202" width="19.7109375" style="1" customWidth="1"/>
    <col min="8203" max="8203" width="18" style="1" customWidth="1"/>
    <col min="8204" max="8204" width="14.28515625" style="1" customWidth="1"/>
    <col min="8205" max="8205" width="29.28515625" style="1" customWidth="1"/>
    <col min="8206" max="8206" width="14.85546875" style="1" customWidth="1"/>
    <col min="8207" max="8210" width="5.85546875" style="1" customWidth="1"/>
    <col min="8211" max="8211" width="9.140625" style="1"/>
    <col min="8212" max="8212" width="9.140625" style="1" customWidth="1"/>
    <col min="8213" max="8213" width="14.140625" style="1" customWidth="1"/>
    <col min="8214" max="8214" width="27.140625" style="1" customWidth="1"/>
    <col min="8215" max="8215" width="16.5703125" style="1" customWidth="1"/>
    <col min="8216" max="8218" width="9.140625" style="1"/>
    <col min="8219" max="8220" width="10" style="1" customWidth="1"/>
    <col min="8221" max="8221" width="9.140625" style="1"/>
    <col min="8222" max="8223" width="12.28515625" style="1" customWidth="1"/>
    <col min="8224" max="8456" width="9.140625" style="1"/>
    <col min="8457" max="8457" width="32.42578125" style="1" customWidth="1"/>
    <col min="8458" max="8458" width="19.7109375" style="1" customWidth="1"/>
    <col min="8459" max="8459" width="18" style="1" customWidth="1"/>
    <col min="8460" max="8460" width="14.28515625" style="1" customWidth="1"/>
    <col min="8461" max="8461" width="29.28515625" style="1" customWidth="1"/>
    <col min="8462" max="8462" width="14.85546875" style="1" customWidth="1"/>
    <col min="8463" max="8466" width="5.85546875" style="1" customWidth="1"/>
    <col min="8467" max="8467" width="9.140625" style="1"/>
    <col min="8468" max="8468" width="9.140625" style="1" customWidth="1"/>
    <col min="8469" max="8469" width="14.140625" style="1" customWidth="1"/>
    <col min="8470" max="8470" width="27.140625" style="1" customWidth="1"/>
    <col min="8471" max="8471" width="16.5703125" style="1" customWidth="1"/>
    <col min="8472" max="8474" width="9.140625" style="1"/>
    <col min="8475" max="8476" width="10" style="1" customWidth="1"/>
    <col min="8477" max="8477" width="9.140625" style="1"/>
    <col min="8478" max="8479" width="12.28515625" style="1" customWidth="1"/>
    <col min="8480" max="8712" width="9.140625" style="1"/>
    <col min="8713" max="8713" width="32.42578125" style="1" customWidth="1"/>
    <col min="8714" max="8714" width="19.7109375" style="1" customWidth="1"/>
    <col min="8715" max="8715" width="18" style="1" customWidth="1"/>
    <col min="8716" max="8716" width="14.28515625" style="1" customWidth="1"/>
    <col min="8717" max="8717" width="29.28515625" style="1" customWidth="1"/>
    <col min="8718" max="8718" width="14.85546875" style="1" customWidth="1"/>
    <col min="8719" max="8722" width="5.85546875" style="1" customWidth="1"/>
    <col min="8723" max="8723" width="9.140625" style="1"/>
    <col min="8724" max="8724" width="9.140625" style="1" customWidth="1"/>
    <col min="8725" max="8725" width="14.140625" style="1" customWidth="1"/>
    <col min="8726" max="8726" width="27.140625" style="1" customWidth="1"/>
    <col min="8727" max="8727" width="16.5703125" style="1" customWidth="1"/>
    <col min="8728" max="8730" width="9.140625" style="1"/>
    <col min="8731" max="8732" width="10" style="1" customWidth="1"/>
    <col min="8733" max="8733" width="9.140625" style="1"/>
    <col min="8734" max="8735" width="12.28515625" style="1" customWidth="1"/>
    <col min="8736" max="8968" width="9.140625" style="1"/>
    <col min="8969" max="8969" width="32.42578125" style="1" customWidth="1"/>
    <col min="8970" max="8970" width="19.7109375" style="1" customWidth="1"/>
    <col min="8971" max="8971" width="18" style="1" customWidth="1"/>
    <col min="8972" max="8972" width="14.28515625" style="1" customWidth="1"/>
    <col min="8973" max="8973" width="29.28515625" style="1" customWidth="1"/>
    <col min="8974" max="8974" width="14.85546875" style="1" customWidth="1"/>
    <col min="8975" max="8978" width="5.85546875" style="1" customWidth="1"/>
    <col min="8979" max="8979" width="9.140625" style="1"/>
    <col min="8980" max="8980" width="9.140625" style="1" customWidth="1"/>
    <col min="8981" max="8981" width="14.140625" style="1" customWidth="1"/>
    <col min="8982" max="8982" width="27.140625" style="1" customWidth="1"/>
    <col min="8983" max="8983" width="16.5703125" style="1" customWidth="1"/>
    <col min="8984" max="8986" width="9.140625" style="1"/>
    <col min="8987" max="8988" width="10" style="1" customWidth="1"/>
    <col min="8989" max="8989" width="9.140625" style="1"/>
    <col min="8990" max="8991" width="12.28515625" style="1" customWidth="1"/>
    <col min="8992" max="9224" width="9.140625" style="1"/>
    <col min="9225" max="9225" width="32.42578125" style="1" customWidth="1"/>
    <col min="9226" max="9226" width="19.7109375" style="1" customWidth="1"/>
    <col min="9227" max="9227" width="18" style="1" customWidth="1"/>
    <col min="9228" max="9228" width="14.28515625" style="1" customWidth="1"/>
    <col min="9229" max="9229" width="29.28515625" style="1" customWidth="1"/>
    <col min="9230" max="9230" width="14.85546875" style="1" customWidth="1"/>
    <col min="9231" max="9234" width="5.85546875" style="1" customWidth="1"/>
    <col min="9235" max="9235" width="9.140625" style="1"/>
    <col min="9236" max="9236" width="9.140625" style="1" customWidth="1"/>
    <col min="9237" max="9237" width="14.140625" style="1" customWidth="1"/>
    <col min="9238" max="9238" width="27.140625" style="1" customWidth="1"/>
    <col min="9239" max="9239" width="16.5703125" style="1" customWidth="1"/>
    <col min="9240" max="9242" width="9.140625" style="1"/>
    <col min="9243" max="9244" width="10" style="1" customWidth="1"/>
    <col min="9245" max="9245" width="9.140625" style="1"/>
    <col min="9246" max="9247" width="12.28515625" style="1" customWidth="1"/>
    <col min="9248" max="9480" width="9.140625" style="1"/>
    <col min="9481" max="9481" width="32.42578125" style="1" customWidth="1"/>
    <col min="9482" max="9482" width="19.7109375" style="1" customWidth="1"/>
    <col min="9483" max="9483" width="18" style="1" customWidth="1"/>
    <col min="9484" max="9484" width="14.28515625" style="1" customWidth="1"/>
    <col min="9485" max="9485" width="29.28515625" style="1" customWidth="1"/>
    <col min="9486" max="9486" width="14.85546875" style="1" customWidth="1"/>
    <col min="9487" max="9490" width="5.85546875" style="1" customWidth="1"/>
    <col min="9491" max="9491" width="9.140625" style="1"/>
    <col min="9492" max="9492" width="9.140625" style="1" customWidth="1"/>
    <col min="9493" max="9493" width="14.140625" style="1" customWidth="1"/>
    <col min="9494" max="9494" width="27.140625" style="1" customWidth="1"/>
    <col min="9495" max="9495" width="16.5703125" style="1" customWidth="1"/>
    <col min="9496" max="9498" width="9.140625" style="1"/>
    <col min="9499" max="9500" width="10" style="1" customWidth="1"/>
    <col min="9501" max="9501" width="9.140625" style="1"/>
    <col min="9502" max="9503" width="12.28515625" style="1" customWidth="1"/>
    <col min="9504" max="9736" width="9.140625" style="1"/>
    <col min="9737" max="9737" width="32.42578125" style="1" customWidth="1"/>
    <col min="9738" max="9738" width="19.7109375" style="1" customWidth="1"/>
    <col min="9739" max="9739" width="18" style="1" customWidth="1"/>
    <col min="9740" max="9740" width="14.28515625" style="1" customWidth="1"/>
    <col min="9741" max="9741" width="29.28515625" style="1" customWidth="1"/>
    <col min="9742" max="9742" width="14.85546875" style="1" customWidth="1"/>
    <col min="9743" max="9746" width="5.85546875" style="1" customWidth="1"/>
    <col min="9747" max="9747" width="9.140625" style="1"/>
    <col min="9748" max="9748" width="9.140625" style="1" customWidth="1"/>
    <col min="9749" max="9749" width="14.140625" style="1" customWidth="1"/>
    <col min="9750" max="9750" width="27.140625" style="1" customWidth="1"/>
    <col min="9751" max="9751" width="16.5703125" style="1" customWidth="1"/>
    <col min="9752" max="9754" width="9.140625" style="1"/>
    <col min="9755" max="9756" width="10" style="1" customWidth="1"/>
    <col min="9757" max="9757" width="9.140625" style="1"/>
    <col min="9758" max="9759" width="12.28515625" style="1" customWidth="1"/>
    <col min="9760" max="9992" width="9.140625" style="1"/>
    <col min="9993" max="9993" width="32.42578125" style="1" customWidth="1"/>
    <col min="9994" max="9994" width="19.7109375" style="1" customWidth="1"/>
    <col min="9995" max="9995" width="18" style="1" customWidth="1"/>
    <col min="9996" max="9996" width="14.28515625" style="1" customWidth="1"/>
    <col min="9997" max="9997" width="29.28515625" style="1" customWidth="1"/>
    <col min="9998" max="9998" width="14.85546875" style="1" customWidth="1"/>
    <col min="9999" max="10002" width="5.85546875" style="1" customWidth="1"/>
    <col min="10003" max="10003" width="9.140625" style="1"/>
    <col min="10004" max="10004" width="9.140625" style="1" customWidth="1"/>
    <col min="10005" max="10005" width="14.140625" style="1" customWidth="1"/>
    <col min="10006" max="10006" width="27.140625" style="1" customWidth="1"/>
    <col min="10007" max="10007" width="16.5703125" style="1" customWidth="1"/>
    <col min="10008" max="10010" width="9.140625" style="1"/>
    <col min="10011" max="10012" width="10" style="1" customWidth="1"/>
    <col min="10013" max="10013" width="9.140625" style="1"/>
    <col min="10014" max="10015" width="12.28515625" style="1" customWidth="1"/>
    <col min="10016" max="10248" width="9.140625" style="1"/>
    <col min="10249" max="10249" width="32.42578125" style="1" customWidth="1"/>
    <col min="10250" max="10250" width="19.7109375" style="1" customWidth="1"/>
    <col min="10251" max="10251" width="18" style="1" customWidth="1"/>
    <col min="10252" max="10252" width="14.28515625" style="1" customWidth="1"/>
    <col min="10253" max="10253" width="29.28515625" style="1" customWidth="1"/>
    <col min="10254" max="10254" width="14.85546875" style="1" customWidth="1"/>
    <col min="10255" max="10258" width="5.85546875" style="1" customWidth="1"/>
    <col min="10259" max="10259" width="9.140625" style="1"/>
    <col min="10260" max="10260" width="9.140625" style="1" customWidth="1"/>
    <col min="10261" max="10261" width="14.140625" style="1" customWidth="1"/>
    <col min="10262" max="10262" width="27.140625" style="1" customWidth="1"/>
    <col min="10263" max="10263" width="16.5703125" style="1" customWidth="1"/>
    <col min="10264" max="10266" width="9.140625" style="1"/>
    <col min="10267" max="10268" width="10" style="1" customWidth="1"/>
    <col min="10269" max="10269" width="9.140625" style="1"/>
    <col min="10270" max="10271" width="12.28515625" style="1" customWidth="1"/>
    <col min="10272" max="10504" width="9.140625" style="1"/>
    <col min="10505" max="10505" width="32.42578125" style="1" customWidth="1"/>
    <col min="10506" max="10506" width="19.7109375" style="1" customWidth="1"/>
    <col min="10507" max="10507" width="18" style="1" customWidth="1"/>
    <col min="10508" max="10508" width="14.28515625" style="1" customWidth="1"/>
    <col min="10509" max="10509" width="29.28515625" style="1" customWidth="1"/>
    <col min="10510" max="10510" width="14.85546875" style="1" customWidth="1"/>
    <col min="10511" max="10514" width="5.85546875" style="1" customWidth="1"/>
    <col min="10515" max="10515" width="9.140625" style="1"/>
    <col min="10516" max="10516" width="9.140625" style="1" customWidth="1"/>
    <col min="10517" max="10517" width="14.140625" style="1" customWidth="1"/>
    <col min="10518" max="10518" width="27.140625" style="1" customWidth="1"/>
    <col min="10519" max="10519" width="16.5703125" style="1" customWidth="1"/>
    <col min="10520" max="10522" width="9.140625" style="1"/>
    <col min="10523" max="10524" width="10" style="1" customWidth="1"/>
    <col min="10525" max="10525" width="9.140625" style="1"/>
    <col min="10526" max="10527" width="12.28515625" style="1" customWidth="1"/>
    <col min="10528" max="10760" width="9.140625" style="1"/>
    <col min="10761" max="10761" width="32.42578125" style="1" customWidth="1"/>
    <col min="10762" max="10762" width="19.7109375" style="1" customWidth="1"/>
    <col min="10763" max="10763" width="18" style="1" customWidth="1"/>
    <col min="10764" max="10764" width="14.28515625" style="1" customWidth="1"/>
    <col min="10765" max="10765" width="29.28515625" style="1" customWidth="1"/>
    <col min="10766" max="10766" width="14.85546875" style="1" customWidth="1"/>
    <col min="10767" max="10770" width="5.85546875" style="1" customWidth="1"/>
    <col min="10771" max="10771" width="9.140625" style="1"/>
    <col min="10772" max="10772" width="9.140625" style="1" customWidth="1"/>
    <col min="10773" max="10773" width="14.140625" style="1" customWidth="1"/>
    <col min="10774" max="10774" width="27.140625" style="1" customWidth="1"/>
    <col min="10775" max="10775" width="16.5703125" style="1" customWidth="1"/>
    <col min="10776" max="10778" width="9.140625" style="1"/>
    <col min="10779" max="10780" width="10" style="1" customWidth="1"/>
    <col min="10781" max="10781" width="9.140625" style="1"/>
    <col min="10782" max="10783" width="12.28515625" style="1" customWidth="1"/>
    <col min="10784" max="11016" width="9.140625" style="1"/>
    <col min="11017" max="11017" width="32.42578125" style="1" customWidth="1"/>
    <col min="11018" max="11018" width="19.7109375" style="1" customWidth="1"/>
    <col min="11019" max="11019" width="18" style="1" customWidth="1"/>
    <col min="11020" max="11020" width="14.28515625" style="1" customWidth="1"/>
    <col min="11021" max="11021" width="29.28515625" style="1" customWidth="1"/>
    <col min="11022" max="11022" width="14.85546875" style="1" customWidth="1"/>
    <col min="11023" max="11026" width="5.85546875" style="1" customWidth="1"/>
    <col min="11027" max="11027" width="9.140625" style="1"/>
    <col min="11028" max="11028" width="9.140625" style="1" customWidth="1"/>
    <col min="11029" max="11029" width="14.140625" style="1" customWidth="1"/>
    <col min="11030" max="11030" width="27.140625" style="1" customWidth="1"/>
    <col min="11031" max="11031" width="16.5703125" style="1" customWidth="1"/>
    <col min="11032" max="11034" width="9.140625" style="1"/>
    <col min="11035" max="11036" width="10" style="1" customWidth="1"/>
    <col min="11037" max="11037" width="9.140625" style="1"/>
    <col min="11038" max="11039" width="12.28515625" style="1" customWidth="1"/>
    <col min="11040" max="11272" width="9.140625" style="1"/>
    <col min="11273" max="11273" width="32.42578125" style="1" customWidth="1"/>
    <col min="11274" max="11274" width="19.7109375" style="1" customWidth="1"/>
    <col min="11275" max="11275" width="18" style="1" customWidth="1"/>
    <col min="11276" max="11276" width="14.28515625" style="1" customWidth="1"/>
    <col min="11277" max="11277" width="29.28515625" style="1" customWidth="1"/>
    <col min="11278" max="11278" width="14.85546875" style="1" customWidth="1"/>
    <col min="11279" max="11282" width="5.85546875" style="1" customWidth="1"/>
    <col min="11283" max="11283" width="9.140625" style="1"/>
    <col min="11284" max="11284" width="9.140625" style="1" customWidth="1"/>
    <col min="11285" max="11285" width="14.140625" style="1" customWidth="1"/>
    <col min="11286" max="11286" width="27.140625" style="1" customWidth="1"/>
    <col min="11287" max="11287" width="16.5703125" style="1" customWidth="1"/>
    <col min="11288" max="11290" width="9.140625" style="1"/>
    <col min="11291" max="11292" width="10" style="1" customWidth="1"/>
    <col min="11293" max="11293" width="9.140625" style="1"/>
    <col min="11294" max="11295" width="12.28515625" style="1" customWidth="1"/>
    <col min="11296" max="11528" width="9.140625" style="1"/>
    <col min="11529" max="11529" width="32.42578125" style="1" customWidth="1"/>
    <col min="11530" max="11530" width="19.7109375" style="1" customWidth="1"/>
    <col min="11531" max="11531" width="18" style="1" customWidth="1"/>
    <col min="11532" max="11532" width="14.28515625" style="1" customWidth="1"/>
    <col min="11533" max="11533" width="29.28515625" style="1" customWidth="1"/>
    <col min="11534" max="11534" width="14.85546875" style="1" customWidth="1"/>
    <col min="11535" max="11538" width="5.85546875" style="1" customWidth="1"/>
    <col min="11539" max="11539" width="9.140625" style="1"/>
    <col min="11540" max="11540" width="9.140625" style="1" customWidth="1"/>
    <col min="11541" max="11541" width="14.140625" style="1" customWidth="1"/>
    <col min="11542" max="11542" width="27.140625" style="1" customWidth="1"/>
    <col min="11543" max="11543" width="16.5703125" style="1" customWidth="1"/>
    <col min="11544" max="11546" width="9.140625" style="1"/>
    <col min="11547" max="11548" width="10" style="1" customWidth="1"/>
    <col min="11549" max="11549" width="9.140625" style="1"/>
    <col min="11550" max="11551" width="12.28515625" style="1" customWidth="1"/>
    <col min="11552" max="11784" width="9.140625" style="1"/>
    <col min="11785" max="11785" width="32.42578125" style="1" customWidth="1"/>
    <col min="11786" max="11786" width="19.7109375" style="1" customWidth="1"/>
    <col min="11787" max="11787" width="18" style="1" customWidth="1"/>
    <col min="11788" max="11788" width="14.28515625" style="1" customWidth="1"/>
    <col min="11789" max="11789" width="29.28515625" style="1" customWidth="1"/>
    <col min="11790" max="11790" width="14.85546875" style="1" customWidth="1"/>
    <col min="11791" max="11794" width="5.85546875" style="1" customWidth="1"/>
    <col min="11795" max="11795" width="9.140625" style="1"/>
    <col min="11796" max="11796" width="9.140625" style="1" customWidth="1"/>
    <col min="11797" max="11797" width="14.140625" style="1" customWidth="1"/>
    <col min="11798" max="11798" width="27.140625" style="1" customWidth="1"/>
    <col min="11799" max="11799" width="16.5703125" style="1" customWidth="1"/>
    <col min="11800" max="11802" width="9.140625" style="1"/>
    <col min="11803" max="11804" width="10" style="1" customWidth="1"/>
    <col min="11805" max="11805" width="9.140625" style="1"/>
    <col min="11806" max="11807" width="12.28515625" style="1" customWidth="1"/>
    <col min="11808" max="12040" width="9.140625" style="1"/>
    <col min="12041" max="12041" width="32.42578125" style="1" customWidth="1"/>
    <col min="12042" max="12042" width="19.7109375" style="1" customWidth="1"/>
    <col min="12043" max="12043" width="18" style="1" customWidth="1"/>
    <col min="12044" max="12044" width="14.28515625" style="1" customWidth="1"/>
    <col min="12045" max="12045" width="29.28515625" style="1" customWidth="1"/>
    <col min="12046" max="12046" width="14.85546875" style="1" customWidth="1"/>
    <col min="12047" max="12050" width="5.85546875" style="1" customWidth="1"/>
    <col min="12051" max="12051" width="9.140625" style="1"/>
    <col min="12052" max="12052" width="9.140625" style="1" customWidth="1"/>
    <col min="12053" max="12053" width="14.140625" style="1" customWidth="1"/>
    <col min="12054" max="12054" width="27.140625" style="1" customWidth="1"/>
    <col min="12055" max="12055" width="16.5703125" style="1" customWidth="1"/>
    <col min="12056" max="12058" width="9.140625" style="1"/>
    <col min="12059" max="12060" width="10" style="1" customWidth="1"/>
    <col min="12061" max="12061" width="9.140625" style="1"/>
    <col min="12062" max="12063" width="12.28515625" style="1" customWidth="1"/>
    <col min="12064" max="12296" width="9.140625" style="1"/>
    <col min="12297" max="12297" width="32.42578125" style="1" customWidth="1"/>
    <col min="12298" max="12298" width="19.7109375" style="1" customWidth="1"/>
    <col min="12299" max="12299" width="18" style="1" customWidth="1"/>
    <col min="12300" max="12300" width="14.28515625" style="1" customWidth="1"/>
    <col min="12301" max="12301" width="29.28515625" style="1" customWidth="1"/>
    <col min="12302" max="12302" width="14.85546875" style="1" customWidth="1"/>
    <col min="12303" max="12306" width="5.85546875" style="1" customWidth="1"/>
    <col min="12307" max="12307" width="9.140625" style="1"/>
    <col min="12308" max="12308" width="9.140625" style="1" customWidth="1"/>
    <col min="12309" max="12309" width="14.140625" style="1" customWidth="1"/>
    <col min="12310" max="12310" width="27.140625" style="1" customWidth="1"/>
    <col min="12311" max="12311" width="16.5703125" style="1" customWidth="1"/>
    <col min="12312" max="12314" width="9.140625" style="1"/>
    <col min="12315" max="12316" width="10" style="1" customWidth="1"/>
    <col min="12317" max="12317" width="9.140625" style="1"/>
    <col min="12318" max="12319" width="12.28515625" style="1" customWidth="1"/>
    <col min="12320" max="12552" width="9.140625" style="1"/>
    <col min="12553" max="12553" width="32.42578125" style="1" customWidth="1"/>
    <col min="12554" max="12554" width="19.7109375" style="1" customWidth="1"/>
    <col min="12555" max="12555" width="18" style="1" customWidth="1"/>
    <col min="12556" max="12556" width="14.28515625" style="1" customWidth="1"/>
    <col min="12557" max="12557" width="29.28515625" style="1" customWidth="1"/>
    <col min="12558" max="12558" width="14.85546875" style="1" customWidth="1"/>
    <col min="12559" max="12562" width="5.85546875" style="1" customWidth="1"/>
    <col min="12563" max="12563" width="9.140625" style="1"/>
    <col min="12564" max="12564" width="9.140625" style="1" customWidth="1"/>
    <col min="12565" max="12565" width="14.140625" style="1" customWidth="1"/>
    <col min="12566" max="12566" width="27.140625" style="1" customWidth="1"/>
    <col min="12567" max="12567" width="16.5703125" style="1" customWidth="1"/>
    <col min="12568" max="12570" width="9.140625" style="1"/>
    <col min="12571" max="12572" width="10" style="1" customWidth="1"/>
    <col min="12573" max="12573" width="9.140625" style="1"/>
    <col min="12574" max="12575" width="12.28515625" style="1" customWidth="1"/>
    <col min="12576" max="12808" width="9.140625" style="1"/>
    <col min="12809" max="12809" width="32.42578125" style="1" customWidth="1"/>
    <col min="12810" max="12810" width="19.7109375" style="1" customWidth="1"/>
    <col min="12811" max="12811" width="18" style="1" customWidth="1"/>
    <col min="12812" max="12812" width="14.28515625" style="1" customWidth="1"/>
    <col min="12813" max="12813" width="29.28515625" style="1" customWidth="1"/>
    <col min="12814" max="12814" width="14.85546875" style="1" customWidth="1"/>
    <col min="12815" max="12818" width="5.85546875" style="1" customWidth="1"/>
    <col min="12819" max="12819" width="9.140625" style="1"/>
    <col min="12820" max="12820" width="9.140625" style="1" customWidth="1"/>
    <col min="12821" max="12821" width="14.140625" style="1" customWidth="1"/>
    <col min="12822" max="12822" width="27.140625" style="1" customWidth="1"/>
    <col min="12823" max="12823" width="16.5703125" style="1" customWidth="1"/>
    <col min="12824" max="12826" width="9.140625" style="1"/>
    <col min="12827" max="12828" width="10" style="1" customWidth="1"/>
    <col min="12829" max="12829" width="9.140625" style="1"/>
    <col min="12830" max="12831" width="12.28515625" style="1" customWidth="1"/>
    <col min="12832" max="13064" width="9.140625" style="1"/>
    <col min="13065" max="13065" width="32.42578125" style="1" customWidth="1"/>
    <col min="13066" max="13066" width="19.7109375" style="1" customWidth="1"/>
    <col min="13067" max="13067" width="18" style="1" customWidth="1"/>
    <col min="13068" max="13068" width="14.28515625" style="1" customWidth="1"/>
    <col min="13069" max="13069" width="29.28515625" style="1" customWidth="1"/>
    <col min="13070" max="13070" width="14.85546875" style="1" customWidth="1"/>
    <col min="13071" max="13074" width="5.85546875" style="1" customWidth="1"/>
    <col min="13075" max="13075" width="9.140625" style="1"/>
    <col min="13076" max="13076" width="9.140625" style="1" customWidth="1"/>
    <col min="13077" max="13077" width="14.140625" style="1" customWidth="1"/>
    <col min="13078" max="13078" width="27.140625" style="1" customWidth="1"/>
    <col min="13079" max="13079" width="16.5703125" style="1" customWidth="1"/>
    <col min="13080" max="13082" width="9.140625" style="1"/>
    <col min="13083" max="13084" width="10" style="1" customWidth="1"/>
    <col min="13085" max="13085" width="9.140625" style="1"/>
    <col min="13086" max="13087" width="12.28515625" style="1" customWidth="1"/>
    <col min="13088" max="13320" width="9.140625" style="1"/>
    <col min="13321" max="13321" width="32.42578125" style="1" customWidth="1"/>
    <col min="13322" max="13322" width="19.7109375" style="1" customWidth="1"/>
    <col min="13323" max="13323" width="18" style="1" customWidth="1"/>
    <col min="13324" max="13324" width="14.28515625" style="1" customWidth="1"/>
    <col min="13325" max="13325" width="29.28515625" style="1" customWidth="1"/>
    <col min="13326" max="13326" width="14.85546875" style="1" customWidth="1"/>
    <col min="13327" max="13330" width="5.85546875" style="1" customWidth="1"/>
    <col min="13331" max="13331" width="9.140625" style="1"/>
    <col min="13332" max="13332" width="9.140625" style="1" customWidth="1"/>
    <col min="13333" max="13333" width="14.140625" style="1" customWidth="1"/>
    <col min="13334" max="13334" width="27.140625" style="1" customWidth="1"/>
    <col min="13335" max="13335" width="16.5703125" style="1" customWidth="1"/>
    <col min="13336" max="13338" width="9.140625" style="1"/>
    <col min="13339" max="13340" width="10" style="1" customWidth="1"/>
    <col min="13341" max="13341" width="9.140625" style="1"/>
    <col min="13342" max="13343" width="12.28515625" style="1" customWidth="1"/>
    <col min="13344" max="13576" width="9.140625" style="1"/>
    <col min="13577" max="13577" width="32.42578125" style="1" customWidth="1"/>
    <col min="13578" max="13578" width="19.7109375" style="1" customWidth="1"/>
    <col min="13579" max="13579" width="18" style="1" customWidth="1"/>
    <col min="13580" max="13580" width="14.28515625" style="1" customWidth="1"/>
    <col min="13581" max="13581" width="29.28515625" style="1" customWidth="1"/>
    <col min="13582" max="13582" width="14.85546875" style="1" customWidth="1"/>
    <col min="13583" max="13586" width="5.85546875" style="1" customWidth="1"/>
    <col min="13587" max="13587" width="9.140625" style="1"/>
    <col min="13588" max="13588" width="9.140625" style="1" customWidth="1"/>
    <col min="13589" max="13589" width="14.140625" style="1" customWidth="1"/>
    <col min="13590" max="13590" width="27.140625" style="1" customWidth="1"/>
    <col min="13591" max="13591" width="16.5703125" style="1" customWidth="1"/>
    <col min="13592" max="13594" width="9.140625" style="1"/>
    <col min="13595" max="13596" width="10" style="1" customWidth="1"/>
    <col min="13597" max="13597" width="9.140625" style="1"/>
    <col min="13598" max="13599" width="12.28515625" style="1" customWidth="1"/>
    <col min="13600" max="13832" width="9.140625" style="1"/>
    <col min="13833" max="13833" width="32.42578125" style="1" customWidth="1"/>
    <col min="13834" max="13834" width="19.7109375" style="1" customWidth="1"/>
    <col min="13835" max="13835" width="18" style="1" customWidth="1"/>
    <col min="13836" max="13836" width="14.28515625" style="1" customWidth="1"/>
    <col min="13837" max="13837" width="29.28515625" style="1" customWidth="1"/>
    <col min="13838" max="13838" width="14.85546875" style="1" customWidth="1"/>
    <col min="13839" max="13842" width="5.85546875" style="1" customWidth="1"/>
    <col min="13843" max="13843" width="9.140625" style="1"/>
    <col min="13844" max="13844" width="9.140625" style="1" customWidth="1"/>
    <col min="13845" max="13845" width="14.140625" style="1" customWidth="1"/>
    <col min="13846" max="13846" width="27.140625" style="1" customWidth="1"/>
    <col min="13847" max="13847" width="16.5703125" style="1" customWidth="1"/>
    <col min="13848" max="13850" width="9.140625" style="1"/>
    <col min="13851" max="13852" width="10" style="1" customWidth="1"/>
    <col min="13853" max="13853" width="9.140625" style="1"/>
    <col min="13854" max="13855" width="12.28515625" style="1" customWidth="1"/>
    <col min="13856" max="14088" width="9.140625" style="1"/>
    <col min="14089" max="14089" width="32.42578125" style="1" customWidth="1"/>
    <col min="14090" max="14090" width="19.7109375" style="1" customWidth="1"/>
    <col min="14091" max="14091" width="18" style="1" customWidth="1"/>
    <col min="14092" max="14092" width="14.28515625" style="1" customWidth="1"/>
    <col min="14093" max="14093" width="29.28515625" style="1" customWidth="1"/>
    <col min="14094" max="14094" width="14.85546875" style="1" customWidth="1"/>
    <col min="14095" max="14098" width="5.85546875" style="1" customWidth="1"/>
    <col min="14099" max="14099" width="9.140625" style="1"/>
    <col min="14100" max="14100" width="9.140625" style="1" customWidth="1"/>
    <col min="14101" max="14101" width="14.140625" style="1" customWidth="1"/>
    <col min="14102" max="14102" width="27.140625" style="1" customWidth="1"/>
    <col min="14103" max="14103" width="16.5703125" style="1" customWidth="1"/>
    <col min="14104" max="14106" width="9.140625" style="1"/>
    <col min="14107" max="14108" width="10" style="1" customWidth="1"/>
    <col min="14109" max="14109" width="9.140625" style="1"/>
    <col min="14110" max="14111" width="12.28515625" style="1" customWidth="1"/>
    <col min="14112" max="14344" width="9.140625" style="1"/>
    <col min="14345" max="14345" width="32.42578125" style="1" customWidth="1"/>
    <col min="14346" max="14346" width="19.7109375" style="1" customWidth="1"/>
    <col min="14347" max="14347" width="18" style="1" customWidth="1"/>
    <col min="14348" max="14348" width="14.28515625" style="1" customWidth="1"/>
    <col min="14349" max="14349" width="29.28515625" style="1" customWidth="1"/>
    <col min="14350" max="14350" width="14.85546875" style="1" customWidth="1"/>
    <col min="14351" max="14354" width="5.85546875" style="1" customWidth="1"/>
    <col min="14355" max="14355" width="9.140625" style="1"/>
    <col min="14356" max="14356" width="9.140625" style="1" customWidth="1"/>
    <col min="14357" max="14357" width="14.140625" style="1" customWidth="1"/>
    <col min="14358" max="14358" width="27.140625" style="1" customWidth="1"/>
    <col min="14359" max="14359" width="16.5703125" style="1" customWidth="1"/>
    <col min="14360" max="14362" width="9.140625" style="1"/>
    <col min="14363" max="14364" width="10" style="1" customWidth="1"/>
    <col min="14365" max="14365" width="9.140625" style="1"/>
    <col min="14366" max="14367" width="12.28515625" style="1" customWidth="1"/>
    <col min="14368" max="14600" width="9.140625" style="1"/>
    <col min="14601" max="14601" width="32.42578125" style="1" customWidth="1"/>
    <col min="14602" max="14602" width="19.7109375" style="1" customWidth="1"/>
    <col min="14603" max="14603" width="18" style="1" customWidth="1"/>
    <col min="14604" max="14604" width="14.28515625" style="1" customWidth="1"/>
    <col min="14605" max="14605" width="29.28515625" style="1" customWidth="1"/>
    <col min="14606" max="14606" width="14.85546875" style="1" customWidth="1"/>
    <col min="14607" max="14610" width="5.85546875" style="1" customWidth="1"/>
    <col min="14611" max="14611" width="9.140625" style="1"/>
    <col min="14612" max="14612" width="9.140625" style="1" customWidth="1"/>
    <col min="14613" max="14613" width="14.140625" style="1" customWidth="1"/>
    <col min="14614" max="14614" width="27.140625" style="1" customWidth="1"/>
    <col min="14615" max="14615" width="16.5703125" style="1" customWidth="1"/>
    <col min="14616" max="14618" width="9.140625" style="1"/>
    <col min="14619" max="14620" width="10" style="1" customWidth="1"/>
    <col min="14621" max="14621" width="9.140625" style="1"/>
    <col min="14622" max="14623" width="12.28515625" style="1" customWidth="1"/>
    <col min="14624" max="14856" width="9.140625" style="1"/>
    <col min="14857" max="14857" width="32.42578125" style="1" customWidth="1"/>
    <col min="14858" max="14858" width="19.7109375" style="1" customWidth="1"/>
    <col min="14859" max="14859" width="18" style="1" customWidth="1"/>
    <col min="14860" max="14860" width="14.28515625" style="1" customWidth="1"/>
    <col min="14861" max="14861" width="29.28515625" style="1" customWidth="1"/>
    <col min="14862" max="14862" width="14.85546875" style="1" customWidth="1"/>
    <col min="14863" max="14866" width="5.85546875" style="1" customWidth="1"/>
    <col min="14867" max="14867" width="9.140625" style="1"/>
    <col min="14868" max="14868" width="9.140625" style="1" customWidth="1"/>
    <col min="14869" max="14869" width="14.140625" style="1" customWidth="1"/>
    <col min="14870" max="14870" width="27.140625" style="1" customWidth="1"/>
    <col min="14871" max="14871" width="16.5703125" style="1" customWidth="1"/>
    <col min="14872" max="14874" width="9.140625" style="1"/>
    <col min="14875" max="14876" width="10" style="1" customWidth="1"/>
    <col min="14877" max="14877" width="9.140625" style="1"/>
    <col min="14878" max="14879" width="12.28515625" style="1" customWidth="1"/>
    <col min="14880" max="15112" width="9.140625" style="1"/>
    <col min="15113" max="15113" width="32.42578125" style="1" customWidth="1"/>
    <col min="15114" max="15114" width="19.7109375" style="1" customWidth="1"/>
    <col min="15115" max="15115" width="18" style="1" customWidth="1"/>
    <col min="15116" max="15116" width="14.28515625" style="1" customWidth="1"/>
    <col min="15117" max="15117" width="29.28515625" style="1" customWidth="1"/>
    <col min="15118" max="15118" width="14.85546875" style="1" customWidth="1"/>
    <col min="15119" max="15122" width="5.85546875" style="1" customWidth="1"/>
    <col min="15123" max="15123" width="9.140625" style="1"/>
    <col min="15124" max="15124" width="9.140625" style="1" customWidth="1"/>
    <col min="15125" max="15125" width="14.140625" style="1" customWidth="1"/>
    <col min="15126" max="15126" width="27.140625" style="1" customWidth="1"/>
    <col min="15127" max="15127" width="16.5703125" style="1" customWidth="1"/>
    <col min="15128" max="15130" width="9.140625" style="1"/>
    <col min="15131" max="15132" width="10" style="1" customWidth="1"/>
    <col min="15133" max="15133" width="9.140625" style="1"/>
    <col min="15134" max="15135" width="12.28515625" style="1" customWidth="1"/>
    <col min="15136" max="15368" width="9.140625" style="1"/>
    <col min="15369" max="15369" width="32.42578125" style="1" customWidth="1"/>
    <col min="15370" max="15370" width="19.7109375" style="1" customWidth="1"/>
    <col min="15371" max="15371" width="18" style="1" customWidth="1"/>
    <col min="15372" max="15372" width="14.28515625" style="1" customWidth="1"/>
    <col min="15373" max="15373" width="29.28515625" style="1" customWidth="1"/>
    <col min="15374" max="15374" width="14.85546875" style="1" customWidth="1"/>
    <col min="15375" max="15378" width="5.85546875" style="1" customWidth="1"/>
    <col min="15379" max="15379" width="9.140625" style="1"/>
    <col min="15380" max="15380" width="9.140625" style="1" customWidth="1"/>
    <col min="15381" max="15381" width="14.140625" style="1" customWidth="1"/>
    <col min="15382" max="15382" width="27.140625" style="1" customWidth="1"/>
    <col min="15383" max="15383" width="16.5703125" style="1" customWidth="1"/>
    <col min="15384" max="15386" width="9.140625" style="1"/>
    <col min="15387" max="15388" width="10" style="1" customWidth="1"/>
    <col min="15389" max="15389" width="9.140625" style="1"/>
    <col min="15390" max="15391" width="12.28515625" style="1" customWidth="1"/>
    <col min="15392" max="15624" width="9.140625" style="1"/>
    <col min="15625" max="15625" width="32.42578125" style="1" customWidth="1"/>
    <col min="15626" max="15626" width="19.7109375" style="1" customWidth="1"/>
    <col min="15627" max="15627" width="18" style="1" customWidth="1"/>
    <col min="15628" max="15628" width="14.28515625" style="1" customWidth="1"/>
    <col min="15629" max="15629" width="29.28515625" style="1" customWidth="1"/>
    <col min="15630" max="15630" width="14.85546875" style="1" customWidth="1"/>
    <col min="15631" max="15634" width="5.85546875" style="1" customWidth="1"/>
    <col min="15635" max="15635" width="9.140625" style="1"/>
    <col min="15636" max="15636" width="9.140625" style="1" customWidth="1"/>
    <col min="15637" max="15637" width="14.140625" style="1" customWidth="1"/>
    <col min="15638" max="15638" width="27.140625" style="1" customWidth="1"/>
    <col min="15639" max="15639" width="16.5703125" style="1" customWidth="1"/>
    <col min="15640" max="15642" width="9.140625" style="1"/>
    <col min="15643" max="15644" width="10" style="1" customWidth="1"/>
    <col min="15645" max="15645" width="9.140625" style="1"/>
    <col min="15646" max="15647" width="12.28515625" style="1" customWidth="1"/>
    <col min="15648" max="15880" width="9.140625" style="1"/>
    <col min="15881" max="15881" width="32.42578125" style="1" customWidth="1"/>
    <col min="15882" max="15882" width="19.7109375" style="1" customWidth="1"/>
    <col min="15883" max="15883" width="18" style="1" customWidth="1"/>
    <col min="15884" max="15884" width="14.28515625" style="1" customWidth="1"/>
    <col min="15885" max="15885" width="29.28515625" style="1" customWidth="1"/>
    <col min="15886" max="15886" width="14.85546875" style="1" customWidth="1"/>
    <col min="15887" max="15890" width="5.85546875" style="1" customWidth="1"/>
    <col min="15891" max="15891" width="9.140625" style="1"/>
    <col min="15892" max="15892" width="9.140625" style="1" customWidth="1"/>
    <col min="15893" max="15893" width="14.140625" style="1" customWidth="1"/>
    <col min="15894" max="15894" width="27.140625" style="1" customWidth="1"/>
    <col min="15895" max="15895" width="16.5703125" style="1" customWidth="1"/>
    <col min="15896" max="15898" width="9.140625" style="1"/>
    <col min="15899" max="15900" width="10" style="1" customWidth="1"/>
    <col min="15901" max="15901" width="9.140625" style="1"/>
    <col min="15902" max="15903" width="12.28515625" style="1" customWidth="1"/>
    <col min="15904" max="16136" width="9.140625" style="1"/>
    <col min="16137" max="16137" width="32.42578125" style="1" customWidth="1"/>
    <col min="16138" max="16138" width="19.7109375" style="1" customWidth="1"/>
    <col min="16139" max="16139" width="18" style="1" customWidth="1"/>
    <col min="16140" max="16140" width="14.28515625" style="1" customWidth="1"/>
    <col min="16141" max="16141" width="29.28515625" style="1" customWidth="1"/>
    <col min="16142" max="16142" width="14.85546875" style="1" customWidth="1"/>
    <col min="16143" max="16146" width="5.85546875" style="1" customWidth="1"/>
    <col min="16147" max="16147" width="9.140625" style="1"/>
    <col min="16148" max="16148" width="9.140625" style="1" customWidth="1"/>
    <col min="16149" max="16149" width="14.140625" style="1" customWidth="1"/>
    <col min="16150" max="16150" width="27.140625" style="1" customWidth="1"/>
    <col min="16151" max="16151" width="16.5703125" style="1" customWidth="1"/>
    <col min="16152" max="16154" width="9.140625" style="1"/>
    <col min="16155" max="16156" width="10" style="1" customWidth="1"/>
    <col min="16157" max="16157" width="9.140625" style="1"/>
    <col min="16158" max="16159" width="12.28515625" style="1" customWidth="1"/>
    <col min="16160" max="16384" width="9.140625" style="1"/>
  </cols>
  <sheetData>
    <row r="1" spans="1:23" ht="21" x14ac:dyDescent="0.55000000000000004">
      <c r="A1" s="63" t="s">
        <v>4</v>
      </c>
      <c r="B1" s="63"/>
      <c r="C1" s="63"/>
      <c r="D1" s="63"/>
      <c r="E1" s="63"/>
    </row>
    <row r="2" spans="1:23" x14ac:dyDescent="0.25">
      <c r="A2" s="64" t="s">
        <v>5</v>
      </c>
      <c r="B2" s="64"/>
      <c r="C2" s="64"/>
      <c r="D2" s="64"/>
      <c r="E2" s="64"/>
    </row>
    <row r="3" spans="1:23" x14ac:dyDescent="0.25">
      <c r="A3" s="4"/>
      <c r="B3" s="4"/>
      <c r="C3" s="4"/>
      <c r="D3" s="4"/>
      <c r="U3" s="5" t="s">
        <v>6</v>
      </c>
    </row>
    <row r="4" spans="1:23" x14ac:dyDescent="0.25">
      <c r="A4" s="65" t="s">
        <v>7</v>
      </c>
      <c r="B4" s="67" t="s">
        <v>8</v>
      </c>
      <c r="C4" s="67"/>
      <c r="D4" s="6"/>
      <c r="E4" s="68" t="s">
        <v>9</v>
      </c>
      <c r="U4" s="7" t="s">
        <v>10</v>
      </c>
      <c r="V4" s="8">
        <f>D10/D9*100</f>
        <v>24.509803921568626</v>
      </c>
      <c r="W4" s="9"/>
    </row>
    <row r="5" spans="1:23" ht="18.75" x14ac:dyDescent="0.25">
      <c r="A5" s="58"/>
      <c r="B5" s="69" t="s">
        <v>11</v>
      </c>
      <c r="C5" s="69"/>
      <c r="D5" s="10" t="s">
        <v>0</v>
      </c>
      <c r="E5" s="60"/>
      <c r="U5" s="11" t="s">
        <v>12</v>
      </c>
      <c r="V5" s="8">
        <f>D11/D9*100</f>
        <v>75.490196078431367</v>
      </c>
      <c r="W5" s="9"/>
    </row>
    <row r="6" spans="1:23" x14ac:dyDescent="0.25">
      <c r="A6" s="58"/>
      <c r="B6" s="12" t="s">
        <v>13</v>
      </c>
      <c r="C6" s="13" t="s">
        <v>14</v>
      </c>
      <c r="D6" s="62" t="s">
        <v>1</v>
      </c>
      <c r="E6" s="60"/>
      <c r="U6" s="9"/>
      <c r="V6" s="9"/>
      <c r="W6" s="9"/>
    </row>
    <row r="7" spans="1:23" ht="17.25" x14ac:dyDescent="0.25">
      <c r="A7" s="66"/>
      <c r="B7" s="14" t="s">
        <v>15</v>
      </c>
      <c r="C7" s="15" t="s">
        <v>16</v>
      </c>
      <c r="D7" s="70"/>
      <c r="E7" s="60"/>
      <c r="U7" s="9"/>
      <c r="V7" s="9"/>
      <c r="W7" s="9"/>
    </row>
    <row r="8" spans="1:23" ht="18.75" x14ac:dyDescent="0.25">
      <c r="A8" s="16" t="s">
        <v>17</v>
      </c>
      <c r="B8" s="17">
        <v>64</v>
      </c>
      <c r="C8" s="18">
        <v>5247</v>
      </c>
      <c r="D8" s="19">
        <f>SUM(B8)+C8</f>
        <v>5311</v>
      </c>
      <c r="E8" s="20" t="s">
        <v>18</v>
      </c>
    </row>
    <row r="9" spans="1:23" ht="18.75" x14ac:dyDescent="0.25">
      <c r="A9" s="21" t="s">
        <v>6</v>
      </c>
      <c r="B9" s="22">
        <f>SUM(B10:B11)</f>
        <v>59</v>
      </c>
      <c r="C9" s="23">
        <f>SUM(C10:C11)</f>
        <v>43</v>
      </c>
      <c r="D9" s="24">
        <f>SUM(B9)+C9</f>
        <v>102</v>
      </c>
      <c r="E9" s="25" t="s">
        <v>19</v>
      </c>
    </row>
    <row r="10" spans="1:23" ht="18.75" x14ac:dyDescent="0.25">
      <c r="A10" s="26" t="s">
        <v>10</v>
      </c>
      <c r="B10" s="27">
        <v>17</v>
      </c>
      <c r="C10" s="28">
        <v>8</v>
      </c>
      <c r="D10" s="29">
        <f>SUM(B10)+C10</f>
        <v>25</v>
      </c>
      <c r="E10" s="30" t="s">
        <v>20</v>
      </c>
    </row>
    <row r="11" spans="1:23" ht="18.75" x14ac:dyDescent="0.25">
      <c r="A11" s="31" t="s">
        <v>12</v>
      </c>
      <c r="B11" s="32">
        <v>42</v>
      </c>
      <c r="C11" s="33">
        <v>35</v>
      </c>
      <c r="D11" s="34">
        <f>SUM(B11)+C11</f>
        <v>77</v>
      </c>
      <c r="E11" s="35" t="s">
        <v>21</v>
      </c>
    </row>
    <row r="12" spans="1:23" ht="18" x14ac:dyDescent="0.45">
      <c r="A12" s="36" t="s">
        <v>2</v>
      </c>
      <c r="E12" s="3" t="s">
        <v>3</v>
      </c>
    </row>
    <row r="14" spans="1:23" ht="18.75" x14ac:dyDescent="0.5">
      <c r="A14" s="36"/>
      <c r="E14" s="3"/>
      <c r="F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5"/>
    </row>
    <row r="15" spans="1:23" ht="18.75" x14ac:dyDescent="0.5">
      <c r="A15" s="36"/>
      <c r="E15" s="3"/>
      <c r="F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5"/>
    </row>
    <row r="16" spans="1:23" ht="18.75" x14ac:dyDescent="0.5">
      <c r="A16" s="36"/>
      <c r="E16" s="3"/>
      <c r="F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5"/>
    </row>
    <row r="17" spans="1:25" ht="18.75" x14ac:dyDescent="0.5">
      <c r="A17" s="36"/>
      <c r="E17" s="3"/>
      <c r="F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5"/>
    </row>
    <row r="18" spans="1:25" ht="18.75" x14ac:dyDescent="0.5">
      <c r="A18" s="36"/>
      <c r="E18" s="3"/>
      <c r="F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5"/>
    </row>
    <row r="19" spans="1:25" ht="18.75" x14ac:dyDescent="0.5">
      <c r="A19" s="36"/>
      <c r="E19" s="3"/>
      <c r="F19" s="38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5"/>
    </row>
    <row r="20" spans="1:25" x14ac:dyDescent="0.25">
      <c r="F20" s="38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5" ht="21" x14ac:dyDescent="0.55000000000000004">
      <c r="A21" s="56"/>
      <c r="B21" s="56"/>
      <c r="C21" s="56"/>
      <c r="D21" s="56"/>
      <c r="E21" s="56"/>
      <c r="F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5" x14ac:dyDescent="0.25">
      <c r="A22" s="57"/>
      <c r="B22" s="57"/>
      <c r="C22" s="57"/>
      <c r="D22" s="57"/>
      <c r="E22" s="57"/>
      <c r="F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5" x14ac:dyDescent="0.25">
      <c r="A23" s="39"/>
      <c r="B23" s="39"/>
      <c r="C23" s="39"/>
      <c r="D23" s="39"/>
      <c r="E23" s="5"/>
      <c r="F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Y23" s="2"/>
    </row>
    <row r="24" spans="1:25" x14ac:dyDescent="0.25">
      <c r="A24" s="58"/>
      <c r="B24" s="59"/>
      <c r="C24" s="59"/>
      <c r="D24" s="40"/>
      <c r="E24" s="60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Y24" s="2"/>
    </row>
    <row r="25" spans="1:25" ht="18.75" x14ac:dyDescent="0.25">
      <c r="A25" s="58"/>
      <c r="B25" s="61"/>
      <c r="C25" s="61"/>
      <c r="D25" s="10"/>
      <c r="E25" s="60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Y25" s="2"/>
    </row>
    <row r="26" spans="1:25" x14ac:dyDescent="0.25">
      <c r="A26" s="58"/>
      <c r="B26" s="41"/>
      <c r="C26" s="42"/>
      <c r="D26" s="62"/>
      <c r="E26" s="60"/>
    </row>
    <row r="27" spans="1:25" ht="24" x14ac:dyDescent="0.25">
      <c r="A27" s="58"/>
      <c r="B27" s="14"/>
      <c r="C27" s="43"/>
      <c r="D27" s="62"/>
      <c r="E27" s="60"/>
      <c r="W27" s="44" t="s">
        <v>22</v>
      </c>
      <c r="X27" s="13" t="s">
        <v>14</v>
      </c>
    </row>
    <row r="28" spans="1:25" ht="18.75" x14ac:dyDescent="0.25">
      <c r="A28" s="21"/>
      <c r="B28" s="45"/>
      <c r="C28" s="38"/>
      <c r="D28" s="46"/>
      <c r="E28" s="25"/>
      <c r="V28" s="47" t="s">
        <v>17</v>
      </c>
      <c r="W28" s="48">
        <f>B8/D8*100</f>
        <v>1.2050461306721898</v>
      </c>
      <c r="X28" s="48">
        <f>C8/D8*100</f>
        <v>98.794953869327813</v>
      </c>
    </row>
    <row r="29" spans="1:25" ht="18.75" x14ac:dyDescent="0.25">
      <c r="A29" s="21"/>
      <c r="B29" s="45"/>
      <c r="C29" s="49"/>
      <c r="D29" s="46"/>
      <c r="E29" s="25"/>
      <c r="V29" s="5" t="s">
        <v>6</v>
      </c>
      <c r="W29" s="48">
        <f>B9/D9*100</f>
        <v>57.843137254901968</v>
      </c>
      <c r="X29" s="50">
        <f>C9/D9*100</f>
        <v>42.156862745098039</v>
      </c>
    </row>
    <row r="30" spans="1:25" ht="18.75" x14ac:dyDescent="0.25">
      <c r="A30" s="26"/>
      <c r="B30" s="45"/>
      <c r="C30" s="38"/>
      <c r="D30" s="46"/>
      <c r="E30" s="25"/>
    </row>
    <row r="31" spans="1:25" ht="18.75" x14ac:dyDescent="0.25">
      <c r="A31" s="26"/>
      <c r="B31" s="45"/>
      <c r="C31" s="38"/>
      <c r="D31" s="46"/>
      <c r="E31" s="25"/>
      <c r="V31" s="5"/>
      <c r="W31" s="51"/>
      <c r="X31" s="51"/>
      <c r="Y31" s="5"/>
    </row>
    <row r="32" spans="1:25" ht="18" x14ac:dyDescent="0.45">
      <c r="A32" s="52"/>
      <c r="B32" s="5"/>
      <c r="C32" s="5"/>
      <c r="D32" s="5"/>
      <c r="E32" s="53"/>
      <c r="V32" s="5"/>
      <c r="W32" s="5"/>
      <c r="X32" s="5"/>
      <c r="Y32" s="5"/>
    </row>
    <row r="33" spans="1:25" x14ac:dyDescent="0.25">
      <c r="V33" s="5"/>
      <c r="W33" s="5"/>
      <c r="X33" s="5"/>
      <c r="Y33" s="5"/>
    </row>
    <row r="34" spans="1:25" x14ac:dyDescent="0.25">
      <c r="V34" s="40"/>
      <c r="W34" s="54"/>
      <c r="X34" s="42"/>
      <c r="Y34" s="5"/>
    </row>
    <row r="35" spans="1:25" x14ac:dyDescent="0.25">
      <c r="V35" s="55"/>
      <c r="W35" s="55"/>
      <c r="X35" s="55"/>
      <c r="Y35" s="5"/>
    </row>
    <row r="36" spans="1:25" x14ac:dyDescent="0.25">
      <c r="A36" s="2"/>
      <c r="V36" s="55"/>
      <c r="W36" s="5"/>
      <c r="X36" s="55"/>
      <c r="Y36" s="5"/>
    </row>
    <row r="37" spans="1:25" x14ac:dyDescent="0.25">
      <c r="A37" s="2"/>
      <c r="V37" s="55"/>
      <c r="W37" s="5"/>
      <c r="X37" s="55"/>
      <c r="Y37" s="5"/>
    </row>
    <row r="38" spans="1:25" x14ac:dyDescent="0.25">
      <c r="A38" s="2"/>
      <c r="V38" s="5"/>
      <c r="W38" s="5"/>
      <c r="X38" s="5"/>
      <c r="Y38" s="5"/>
    </row>
    <row r="39" spans="1:25" x14ac:dyDescent="0.25">
      <c r="V39" s="5"/>
      <c r="W39" s="5"/>
      <c r="X39" s="5"/>
      <c r="Y39" s="5"/>
    </row>
    <row r="40" spans="1:25" x14ac:dyDescent="0.25">
      <c r="V40" s="5"/>
      <c r="W40" s="5"/>
      <c r="X40" s="5"/>
      <c r="Y40" s="5"/>
    </row>
  </sheetData>
  <mergeCells count="14">
    <mergeCell ref="A1:E1"/>
    <mergeCell ref="A2:E2"/>
    <mergeCell ref="A4:A7"/>
    <mergeCell ref="B4:C4"/>
    <mergeCell ref="E4:E7"/>
    <mergeCell ref="B5:C5"/>
    <mergeCell ref="D6:D7"/>
    <mergeCell ref="A21:E21"/>
    <mergeCell ref="A22:E22"/>
    <mergeCell ref="A24:A27"/>
    <mergeCell ref="B24:C24"/>
    <mergeCell ref="E24:E27"/>
    <mergeCell ref="B25:C25"/>
    <mergeCell ref="D26:D27"/>
  </mergeCells>
  <pageMargins left="0.7" right="0.7" top="0.75" bottom="0.75" header="0.3" footer="0.3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3.19</vt:lpstr>
      <vt:lpstr>'3.19'!Print_Area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2019-08-01T03:35:55Z</cp:lastPrinted>
  <dcterms:created xsi:type="dcterms:W3CDTF">2019-07-22T06:02:33Z</dcterms:created>
  <dcterms:modified xsi:type="dcterms:W3CDTF">2019-08-01T03:36:11Z</dcterms:modified>
</cp:coreProperties>
</file>