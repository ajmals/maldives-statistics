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Dissemination\Publications\Statistical Year Book\YEARBOOK 2019\web\3.POPULATION\"/>
    </mc:Choice>
  </mc:AlternateContent>
  <bookViews>
    <workbookView xWindow="0" yWindow="0" windowWidth="28800" windowHeight="11730" tabRatio="804"/>
  </bookViews>
  <sheets>
    <sheet name="3.10" sheetId="10" r:id="rId1"/>
  </sheets>
  <externalReferences>
    <externalReference r:id="rId2"/>
    <externalReference r:id="rId3"/>
    <externalReference r:id="rId4"/>
  </externalReferences>
  <definedNames>
    <definedName name="_xlnm.Print_Area" localSheetId="0">'3.10'!$A$1:$N$33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3" i="10" l="1"/>
  <c r="K23" i="10"/>
  <c r="J23" i="10"/>
  <c r="I23" i="10"/>
  <c r="H23" i="10"/>
  <c r="G23" i="10"/>
  <c r="F23" i="10"/>
  <c r="E23" i="10"/>
  <c r="D23" i="10"/>
  <c r="C23" i="10"/>
  <c r="B23" i="10"/>
  <c r="L14" i="10"/>
  <c r="L5" i="10" s="1"/>
  <c r="K14" i="10"/>
  <c r="K5" i="10" s="1"/>
  <c r="J14" i="10"/>
  <c r="J5" i="10" s="1"/>
  <c r="I14" i="10"/>
  <c r="I5" i="10" s="1"/>
  <c r="H14" i="10"/>
  <c r="H5" i="10" s="1"/>
  <c r="G14" i="10"/>
  <c r="F14" i="10"/>
  <c r="E14" i="10"/>
  <c r="D14" i="10"/>
  <c r="C14" i="10"/>
  <c r="B14" i="10"/>
  <c r="K12" i="10"/>
  <c r="B12" i="10"/>
  <c r="K11" i="10"/>
  <c r="B11" i="10"/>
  <c r="K10" i="10"/>
  <c r="B10" i="10"/>
  <c r="K9" i="10"/>
  <c r="B9" i="10"/>
  <c r="K8" i="10"/>
  <c r="B8" i="10"/>
  <c r="K7" i="10"/>
  <c r="B7" i="10"/>
  <c r="K6" i="10"/>
  <c r="B6" i="10"/>
  <c r="D5" i="10"/>
  <c r="C5" i="10"/>
  <c r="B5" i="10" l="1"/>
</calcChain>
</file>

<file path=xl/sharedStrings.xml><?xml version="1.0" encoding="utf-8"?>
<sst xmlns="http://schemas.openxmlformats.org/spreadsheetml/2006/main" count="64" uniqueCount="32">
  <si>
    <t>cnehirif</t>
  </si>
  <si>
    <t>cnehcnwa</t>
  </si>
  <si>
    <t>Both Sexes</t>
  </si>
  <si>
    <t>Male</t>
  </si>
  <si>
    <t>Female</t>
  </si>
  <si>
    <r>
      <rPr>
        <b/>
        <i/>
        <sz val="9"/>
        <rFont val="Calibri"/>
        <family val="2"/>
      </rPr>
      <t>Source:</t>
    </r>
    <r>
      <rPr>
        <i/>
        <sz val="9"/>
        <rFont val="Calibri"/>
        <family val="2"/>
      </rPr>
      <t xml:space="preserve"> Ministry of Health </t>
    </r>
  </si>
  <si>
    <t>2017 - 2007 ,cscnij iaWa wrufegurumua egcnuhImivurwm : 3.10 ulwvWt</t>
  </si>
  <si>
    <t>Table 3.10 : DEATHS BY AGE GROUP AND SEX, 2007 - 2017</t>
  </si>
  <si>
    <t>Age Group and Sex</t>
  </si>
  <si>
    <r>
      <t>2007</t>
    </r>
    <r>
      <rPr>
        <b/>
        <vertAlign val="superscript"/>
        <sz val="10"/>
        <rFont val="Calibri"/>
        <family val="2"/>
      </rPr>
      <t>1_/</t>
    </r>
  </si>
  <si>
    <r>
      <t>2008</t>
    </r>
    <r>
      <rPr>
        <b/>
        <vertAlign val="superscript"/>
        <sz val="10"/>
        <rFont val="Calibri"/>
        <family val="2"/>
      </rPr>
      <t>1_/</t>
    </r>
  </si>
  <si>
    <r>
      <t>2009</t>
    </r>
    <r>
      <rPr>
        <b/>
        <vertAlign val="superscript"/>
        <sz val="10"/>
        <rFont val="Calibri"/>
        <family val="2"/>
      </rPr>
      <t>1_/</t>
    </r>
  </si>
  <si>
    <t>uscnij iaWawrufurumua</t>
  </si>
  <si>
    <t>cscnij ed</t>
  </si>
  <si>
    <t xml:space="preserve">   All Ages</t>
  </si>
  <si>
    <t>caerumua Whiruh</t>
  </si>
  <si>
    <t xml:space="preserve">   Under 1</t>
  </si>
  <si>
    <t>cSwdcnurwhwa 1</t>
  </si>
  <si>
    <t xml:space="preserve">   1 - 4</t>
  </si>
  <si>
    <t>4 - 1</t>
  </si>
  <si>
    <t xml:space="preserve">   5 - 14</t>
  </si>
  <si>
    <t>14 - 5</t>
  </si>
  <si>
    <t xml:space="preserve">  15 - 44</t>
  </si>
  <si>
    <t>44 - 15</t>
  </si>
  <si>
    <t xml:space="preserve">  45 - 64</t>
  </si>
  <si>
    <t>64 - 45</t>
  </si>
  <si>
    <t xml:space="preserve">  65 &amp; Over</t>
  </si>
  <si>
    <t>itwmcnurwhwa 65</t>
  </si>
  <si>
    <t xml:space="preserve">  Not Stated</t>
  </si>
  <si>
    <t>WrukuncnWywb</t>
  </si>
  <si>
    <r>
      <rPr>
        <i/>
        <sz val="9"/>
        <rFont val="Calibri"/>
        <family val="2"/>
      </rPr>
      <t>1_/:</t>
    </r>
    <r>
      <rPr>
        <i/>
        <sz val="9"/>
        <rFont val="Calibri"/>
        <family val="2"/>
      </rPr>
      <t xml:space="preserve"> From 2007 - 2009  figures are revised. (taken from VRS database (1998- 2008) and E-Government birth and death registration (from Nov.2009 onwards)</t>
    </r>
  </si>
  <si>
    <t>Please note that the birth/death figures in the The Maldives Health Statistics (published annually) are taken from the VRS. Under-reporting is challenge with regards to the VRS system, whereby data received from various sources are entered at various points in time. For instance, a 2004 birth record may be entered into the system today as it may have only been reported today. Therefore, the statistics are correct at the point of data retrieval and will change as more events are reported and recorded in the system. These continuous changes will therefore not be reflected once statistics are published.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</si>
</sst>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43" formatCode="_(* #,##0.00_);_(* \(#,##0.00\);_(* &quot;-&quot;??_);_(@_)"/>
    <numFmt numFmtId="164" formatCode="General_)"/>
    <numFmt numFmtId="168" formatCode="_-* #,##0.00\ _ރ_._-;_-* #,##0.00\ _ރ_.\-;_-* &quot;-&quot;??\ _ރ_._-;_-@_-"/>
    <numFmt numFmtId="177" formatCode="#,##0\ &quot;ރ.&quot;_-;#,##0\ &quot;ރ.&quot;\-"/>
  </numFmts>
  <fonts count="22" x14ac:knownFonts="1">
    <font>
      <sz val="11"/>
      <color theme="1"/>
      <name val="Calibri"/>
      <family val="2"/>
      <scheme val="minor"/>
    </font>
    <font>
      <sz val="11"/>
      <color theme="1"/>
      <name val="Calibri"/>
      <family val="2"/>
      <scheme val="minor"/>
    </font>
    <font>
      <sz val="10"/>
      <name val="Courier"/>
      <family val="3"/>
    </font>
    <font>
      <b/>
      <sz val="11"/>
      <name val="A_Randhoo"/>
    </font>
    <font>
      <sz val="10"/>
      <name val="Arial"/>
    </font>
    <font>
      <b/>
      <sz val="11"/>
      <name val="Calibri"/>
      <family val="2"/>
    </font>
    <font>
      <b/>
      <sz val="10"/>
      <name val="Arial"/>
      <family val="2"/>
    </font>
    <font>
      <b/>
      <sz val="10"/>
      <name val="A_Randhoo"/>
    </font>
    <font>
      <sz val="9"/>
      <name val="Arial"/>
      <family val="2"/>
    </font>
    <font>
      <b/>
      <i/>
      <sz val="9"/>
      <name val="Calibri"/>
      <family val="2"/>
    </font>
    <font>
      <sz val="11"/>
      <name val="Calibri"/>
      <family val="2"/>
    </font>
    <font>
      <i/>
      <sz val="9"/>
      <name val="Calibri"/>
      <family val="2"/>
    </font>
    <font>
      <sz val="10"/>
      <name val="Arial"/>
      <family val="2"/>
    </font>
    <font>
      <b/>
      <sz val="10"/>
      <name val="Calibri"/>
      <family val="2"/>
    </font>
    <font>
      <sz val="10"/>
      <name val="A_Randhoo"/>
    </font>
    <font>
      <sz val="11"/>
      <color theme="1"/>
      <name val="Calibri"/>
      <family val="2"/>
      <charset val="1"/>
      <scheme val="minor"/>
    </font>
    <font>
      <b/>
      <sz val="10"/>
      <color rgb="FFFF0000"/>
      <name val="Arial"/>
      <family val="2"/>
    </font>
    <font>
      <sz val="11"/>
      <name val="A_Randhoo"/>
    </font>
    <font>
      <sz val="9"/>
      <name val="Calibri"/>
      <family val="2"/>
    </font>
    <font>
      <b/>
      <sz val="12"/>
      <color rgb="FFFF0000"/>
      <name val="Tahoma"/>
      <family val="2"/>
    </font>
    <font>
      <b/>
      <vertAlign val="superscript"/>
      <sz val="10"/>
      <name val="Calibri"/>
      <family val="2"/>
    </font>
    <font>
      <sz val="9"/>
      <name val="Calibri"/>
      <family val="2"/>
      <scheme val="minor"/>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12" fillId="0" borderId="0"/>
    <xf numFmtId="0" fontId="12" fillId="0" borderId="0"/>
    <xf numFmtId="168" fontId="12" fillId="0" borderId="0" applyFont="0" applyFill="0" applyBorder="0" applyAlignment="0" applyProtection="0"/>
    <xf numFmtId="0" fontId="12" fillId="0" borderId="0"/>
    <xf numFmtId="43" fontId="12" fillId="0" borderId="0" applyFont="0" applyFill="0" applyBorder="0" applyAlignment="0" applyProtection="0"/>
    <xf numFmtId="0" fontId="15" fillId="0" borderId="0"/>
    <xf numFmtId="0" fontId="12" fillId="0" borderId="0"/>
    <xf numFmtId="0" fontId="12" fillId="0" borderId="0"/>
    <xf numFmtId="0" fontId="1" fillId="0" borderId="0"/>
    <xf numFmtId="164" fontId="2" fillId="0" borderId="0"/>
  </cellStyleXfs>
  <cellXfs count="44">
    <xf numFmtId="0" fontId="0" fillId="0" borderId="0" xfId="0"/>
    <xf numFmtId="164" fontId="12" fillId="2" borderId="0" xfId="0" applyNumberFormat="1" applyFont="1" applyFill="1" applyAlignment="1">
      <alignment vertical="top"/>
    </xf>
    <xf numFmtId="164" fontId="6" fillId="2" borderId="0" xfId="0" applyNumberFormat="1" applyFont="1" applyFill="1" applyAlignment="1">
      <alignment vertical="center"/>
    </xf>
    <xf numFmtId="164" fontId="13" fillId="2" borderId="3" xfId="0" applyNumberFormat="1" applyFont="1" applyFill="1" applyBorder="1" applyAlignment="1" applyProtection="1">
      <alignment horizontal="center" vertical="center" wrapText="1"/>
    </xf>
    <xf numFmtId="164" fontId="13" fillId="2" borderId="3" xfId="0" applyNumberFormat="1" applyFont="1" applyFill="1" applyBorder="1" applyAlignment="1" applyProtection="1">
      <alignment horizontal="right" vertical="center"/>
    </xf>
    <xf numFmtId="164" fontId="13" fillId="2" borderId="3" xfId="0" applyNumberFormat="1" applyFont="1" applyFill="1" applyBorder="1" applyAlignment="1" applyProtection="1">
      <alignment vertical="center"/>
    </xf>
    <xf numFmtId="164" fontId="7" fillId="2" borderId="3" xfId="0" applyNumberFormat="1" applyFont="1" applyFill="1" applyBorder="1" applyAlignment="1">
      <alignment horizontal="right" vertical="center"/>
    </xf>
    <xf numFmtId="164" fontId="5" fillId="2" borderId="0" xfId="0" applyNumberFormat="1" applyFont="1" applyFill="1" applyAlignment="1" applyProtection="1">
      <alignment horizontal="left" vertical="center"/>
    </xf>
    <xf numFmtId="164" fontId="5" fillId="2" borderId="0" xfId="0" applyNumberFormat="1" applyFont="1" applyFill="1" applyBorder="1" applyAlignment="1">
      <alignment vertical="center"/>
    </xf>
    <xf numFmtId="164" fontId="3" fillId="2" borderId="0" xfId="0" applyNumberFormat="1" applyFont="1" applyFill="1" applyAlignment="1">
      <alignment horizontal="right" vertical="center"/>
    </xf>
    <xf numFmtId="3" fontId="5" fillId="2" borderId="0" xfId="0" applyNumberFormat="1" applyFont="1" applyFill="1" applyBorder="1" applyAlignment="1" applyProtection="1">
      <alignment vertical="center"/>
    </xf>
    <xf numFmtId="3" fontId="5" fillId="2" borderId="0" xfId="0" applyNumberFormat="1" applyFont="1" applyFill="1" applyBorder="1" applyAlignment="1" applyProtection="1">
      <alignment horizontal="right" vertical="center"/>
    </xf>
    <xf numFmtId="164" fontId="10" fillId="2" borderId="0" xfId="0" applyNumberFormat="1" applyFont="1" applyFill="1" applyAlignment="1" applyProtection="1">
      <alignment horizontal="left" vertical="center"/>
    </xf>
    <xf numFmtId="3" fontId="10" fillId="2" borderId="0" xfId="0" applyNumberFormat="1" applyFont="1" applyFill="1" applyBorder="1" applyAlignment="1" applyProtection="1">
      <alignment horizontal="right" vertical="center"/>
      <protection locked="0"/>
    </xf>
    <xf numFmtId="164" fontId="17" fillId="2" borderId="0" xfId="0" applyNumberFormat="1" applyFont="1" applyFill="1" applyAlignment="1">
      <alignment horizontal="right" vertical="center"/>
    </xf>
    <xf numFmtId="164" fontId="16" fillId="2" borderId="0" xfId="0" applyNumberFormat="1" applyFont="1" applyFill="1" applyAlignment="1">
      <alignment vertical="center"/>
    </xf>
    <xf numFmtId="164" fontId="16" fillId="2" borderId="0" xfId="0" applyNumberFormat="1" applyFont="1" applyFill="1" applyAlignment="1">
      <alignment vertical="top"/>
    </xf>
    <xf numFmtId="164" fontId="17" fillId="2" borderId="0" xfId="0" quotePrefix="1" applyNumberFormat="1" applyFont="1" applyFill="1" applyAlignment="1">
      <alignment horizontal="right" vertical="center"/>
    </xf>
    <xf numFmtId="0" fontId="19" fillId="0" borderId="0" xfId="0" applyFont="1"/>
    <xf numFmtId="3" fontId="10" fillId="2" borderId="0" xfId="0" applyNumberFormat="1" applyFont="1" applyFill="1" applyBorder="1" applyAlignment="1" applyProtection="1">
      <alignment vertical="center"/>
    </xf>
    <xf numFmtId="3" fontId="10" fillId="2" borderId="0" xfId="0" applyNumberFormat="1" applyFont="1" applyFill="1" applyBorder="1" applyAlignment="1" applyProtection="1">
      <alignment horizontal="right" vertical="center"/>
    </xf>
    <xf numFmtId="164" fontId="12" fillId="2" borderId="0" xfId="0" applyNumberFormat="1" applyFont="1" applyFill="1" applyAlignment="1">
      <alignment vertical="center"/>
    </xf>
    <xf numFmtId="3" fontId="10" fillId="2" borderId="0" xfId="0" applyNumberFormat="1" applyFont="1" applyFill="1" applyBorder="1" applyAlignment="1" applyProtection="1">
      <alignment vertical="center"/>
      <protection locked="0"/>
    </xf>
    <xf numFmtId="3" fontId="10" fillId="2" borderId="0" xfId="0" applyNumberFormat="1" applyFont="1" applyFill="1" applyBorder="1" applyProtection="1">
      <protection locked="0"/>
    </xf>
    <xf numFmtId="3" fontId="10" fillId="2" borderId="0" xfId="0" applyNumberFormat="1" applyFont="1" applyFill="1" applyBorder="1" applyAlignment="1" applyProtection="1">
      <alignment horizontal="right"/>
      <protection locked="0"/>
    </xf>
    <xf numFmtId="164" fontId="12" fillId="2" borderId="0" xfId="0" applyNumberFormat="1" applyFont="1" applyFill="1"/>
    <xf numFmtId="3" fontId="10" fillId="2" borderId="0" xfId="0" applyNumberFormat="1" applyFont="1" applyFill="1" applyBorder="1"/>
    <xf numFmtId="3" fontId="10" fillId="2" borderId="0" xfId="0" applyNumberFormat="1" applyFont="1" applyFill="1" applyBorder="1" applyAlignment="1">
      <alignment horizontal="right"/>
    </xf>
    <xf numFmtId="164" fontId="10" fillId="2" borderId="0" xfId="0" applyNumberFormat="1" applyFont="1" applyFill="1" applyBorder="1" applyAlignment="1" applyProtection="1">
      <alignment horizontal="left" vertical="center"/>
    </xf>
    <xf numFmtId="164" fontId="17" fillId="2" borderId="0" xfId="0" quotePrefix="1" applyNumberFormat="1" applyFont="1" applyFill="1" applyBorder="1" applyAlignment="1">
      <alignment horizontal="right" vertical="center"/>
    </xf>
    <xf numFmtId="164" fontId="17" fillId="2" borderId="0" xfId="0" applyNumberFormat="1" applyFont="1" applyFill="1" applyBorder="1" applyAlignment="1">
      <alignment horizontal="right" vertical="center"/>
    </xf>
    <xf numFmtId="164" fontId="18" fillId="2" borderId="1" xfId="0" applyNumberFormat="1" applyFont="1" applyFill="1" applyBorder="1" applyAlignment="1" applyProtection="1">
      <alignment horizontal="left" vertical="center"/>
    </xf>
    <xf numFmtId="3" fontId="18" fillId="2" borderId="1" xfId="0" applyNumberFormat="1" applyFont="1" applyFill="1" applyBorder="1" applyAlignment="1" applyProtection="1">
      <alignment horizontal="right"/>
      <protection locked="0"/>
    </xf>
    <xf numFmtId="3" fontId="18" fillId="2" borderId="1" xfId="0" applyNumberFormat="1" applyFont="1" applyFill="1" applyBorder="1" applyProtection="1">
      <protection locked="0"/>
    </xf>
    <xf numFmtId="3" fontId="21" fillId="3" borderId="4" xfId="0" applyNumberFormat="1" applyFont="1" applyFill="1" applyBorder="1" applyAlignment="1" applyProtection="1">
      <alignment horizontal="center"/>
      <protection locked="0"/>
    </xf>
    <xf numFmtId="3" fontId="21" fillId="3" borderId="4" xfId="1" applyNumberFormat="1" applyFont="1" applyFill="1" applyBorder="1" applyAlignment="1" applyProtection="1">
      <alignment horizontal="center"/>
      <protection locked="0"/>
    </xf>
    <xf numFmtId="164" fontId="14" fillId="2" borderId="1" xfId="0" applyNumberFormat="1" applyFont="1" applyFill="1" applyBorder="1" applyAlignment="1">
      <alignment horizontal="right" vertical="center"/>
    </xf>
    <xf numFmtId="0" fontId="11" fillId="2" borderId="0" xfId="0" applyFont="1" applyFill="1" applyAlignment="1">
      <alignment vertical="center" wrapText="1"/>
    </xf>
    <xf numFmtId="164" fontId="11" fillId="2" borderId="0" xfId="0" applyNumberFormat="1" applyFont="1" applyFill="1" applyAlignment="1" applyProtection="1">
      <alignment horizontal="left" vertical="center"/>
    </xf>
    <xf numFmtId="3" fontId="8" fillId="2" borderId="0" xfId="0" applyNumberFormat="1" applyFont="1" applyFill="1" applyBorder="1" applyAlignment="1" applyProtection="1">
      <alignment horizontal="right" vertical="center"/>
      <protection locked="0"/>
    </xf>
    <xf numFmtId="164" fontId="3" fillId="2" borderId="0" xfId="0" applyNumberFormat="1" applyFont="1" applyFill="1" applyAlignment="1">
      <alignment horizontal="center" vertical="center"/>
    </xf>
    <xf numFmtId="164" fontId="5" fillId="2" borderId="1" xfId="0" applyNumberFormat="1" applyFont="1" applyFill="1" applyBorder="1" applyAlignment="1" applyProtection="1">
      <alignment horizontal="center" vertical="center"/>
    </xf>
    <xf numFmtId="0" fontId="11" fillId="0" borderId="2" xfId="0" applyFont="1" applyBorder="1" applyAlignment="1">
      <alignment horizontal="left" vertical="center" wrapText="1"/>
    </xf>
    <xf numFmtId="0" fontId="11" fillId="2" borderId="0" xfId="0" applyFont="1" applyFill="1" applyBorder="1" applyAlignment="1">
      <alignment horizontal="left" vertical="center" wrapText="1"/>
    </xf>
  </cellXfs>
  <cellStyles count="11">
    <cellStyle name="Comma 3" xfId="5"/>
    <cellStyle name="Comma 4" xfId="3"/>
    <cellStyle name="Normal" xfId="0" builtinId="0"/>
    <cellStyle name="Normal 11" xfId="6"/>
    <cellStyle name="Normal 2" xfId="4"/>
    <cellStyle name="Normal 20" xfId="2"/>
    <cellStyle name="Normal 32" xfId="7"/>
    <cellStyle name="Normal 4" xfId="10"/>
    <cellStyle name="Normal 44" xfId="8"/>
    <cellStyle name="Normal 48" xfId="9"/>
    <cellStyle name="Normal 5" xfId="1"/>
  </cellStyles>
  <dxfs count="0"/>
  <tableStyles count="0" defaultTableStyle="TableStyleMedium2" defaultPivotStyle="PivotStyleLight16"/>
  <colors>
    <mruColors>
      <color rgb="FF336600"/>
      <color rgb="FF990099"/>
      <color rgb="FF663300"/>
      <color rgb="FFFFF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issemination/Publications/Statistical%20Year%20Book/YEARBOOK%202019/Checking/3.%20POPULATIO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stat_backs\userbackups\maha\Yearbook%202001\Graphs2001\pyramid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issemination/Publications/Statistical%20Year%20Book/YEARBOOK%202019/Checking/3.%20POPULATION%20-%20DJ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
      <sheetName val="3.2"/>
      <sheetName val="3.3"/>
      <sheetName val="3.4"/>
      <sheetName val="3.5"/>
      <sheetName val="3.6"/>
      <sheetName val="3.7"/>
      <sheetName val="3.8"/>
      <sheetName val="3.9"/>
      <sheetName val="3.10"/>
      <sheetName val="3.11"/>
      <sheetName val="3.12"/>
      <sheetName val="3.13"/>
      <sheetName val="3.14"/>
      <sheetName val="3.15"/>
      <sheetName val="3.16"/>
      <sheetName val="3.17"/>
      <sheetName val="3.18"/>
      <sheetName val="3.19"/>
      <sheetName val="3.20"/>
      <sheetName val="3.21"/>
      <sheetName val="3.22"/>
      <sheetName val="3.23"/>
      <sheetName val="3.24"/>
    </sheetNames>
    <sheetDataSet>
      <sheetData sheetId="0">
        <row r="8">
          <cell r="B8" t="str">
            <v>1911</v>
          </cell>
        </row>
      </sheetData>
      <sheetData sheetId="1">
        <row r="7">
          <cell r="AG7" t="str">
            <v>Male</v>
          </cell>
          <cell r="AH7" t="str">
            <v>Female</v>
          </cell>
        </row>
        <row r="8">
          <cell r="AF8" t="str">
            <v>0-4</v>
          </cell>
          <cell r="AG8">
            <v>-19113</v>
          </cell>
          <cell r="AH8">
            <v>17859</v>
          </cell>
        </row>
        <row r="9">
          <cell r="AF9" t="str">
            <v>5 - 9</v>
          </cell>
          <cell r="AG9">
            <v>-20840</v>
          </cell>
          <cell r="AH9">
            <v>19919</v>
          </cell>
        </row>
        <row r="10">
          <cell r="AF10" t="str">
            <v>10 - 14</v>
          </cell>
          <cell r="AG10">
            <v>-18286</v>
          </cell>
          <cell r="AH10">
            <v>17584</v>
          </cell>
        </row>
        <row r="11">
          <cell r="AF11" t="str">
            <v>15 - 19</v>
          </cell>
          <cell r="AG11">
            <v>-12343</v>
          </cell>
          <cell r="AH11">
            <v>12562</v>
          </cell>
        </row>
        <row r="12">
          <cell r="AF12" t="str">
            <v>20 - 24</v>
          </cell>
          <cell r="AG12">
            <v>-9944</v>
          </cell>
          <cell r="AH12">
            <v>11077</v>
          </cell>
        </row>
        <row r="13">
          <cell r="AF13" t="str">
            <v>25 - 29</v>
          </cell>
          <cell r="AG13">
            <v>-8802</v>
          </cell>
          <cell r="AH13">
            <v>9389</v>
          </cell>
        </row>
        <row r="14">
          <cell r="AF14" t="str">
            <v>30 - 34</v>
          </cell>
          <cell r="AG14">
            <v>-7579</v>
          </cell>
          <cell r="AH14">
            <v>7785</v>
          </cell>
        </row>
        <row r="15">
          <cell r="AF15" t="str">
            <v>35 - 39</v>
          </cell>
          <cell r="AG15">
            <v>-6315</v>
          </cell>
          <cell r="AH15">
            <v>6317</v>
          </cell>
        </row>
        <row r="16">
          <cell r="AF16" t="str">
            <v>40 - 44</v>
          </cell>
          <cell r="AG16">
            <v>-3625</v>
          </cell>
          <cell r="AH16">
            <v>3297</v>
          </cell>
        </row>
        <row r="17">
          <cell r="AF17" t="str">
            <v>45 - 49</v>
          </cell>
          <cell r="AG17">
            <v>-3369</v>
          </cell>
          <cell r="AH17">
            <v>3215</v>
          </cell>
        </row>
        <row r="18">
          <cell r="AF18" t="str">
            <v>50 - 54</v>
          </cell>
          <cell r="AG18">
            <v>-3205</v>
          </cell>
          <cell r="AH18">
            <v>3042</v>
          </cell>
        </row>
        <row r="19">
          <cell r="AF19" t="str">
            <v>55 - 59</v>
          </cell>
          <cell r="AG19">
            <v>-3240</v>
          </cell>
          <cell r="AH19">
            <v>2722</v>
          </cell>
        </row>
        <row r="20">
          <cell r="AF20" t="str">
            <v>60 - 64</v>
          </cell>
          <cell r="AG20">
            <v>-3010</v>
          </cell>
          <cell r="AH20">
            <v>2284</v>
          </cell>
        </row>
        <row r="21">
          <cell r="AF21" t="str">
            <v>65 - 69</v>
          </cell>
          <cell r="AG21">
            <v>-1897</v>
          </cell>
          <cell r="AH21">
            <v>1304</v>
          </cell>
        </row>
        <row r="22">
          <cell r="AF22" t="str">
            <v>70 - 74</v>
          </cell>
          <cell r="AG22">
            <v>-1279</v>
          </cell>
          <cell r="AH22">
            <v>822</v>
          </cell>
        </row>
        <row r="23">
          <cell r="AF23" t="str">
            <v>75+</v>
          </cell>
          <cell r="AG23">
            <v>-1384</v>
          </cell>
          <cell r="AH23">
            <v>862</v>
          </cell>
        </row>
        <row r="31">
          <cell r="AG31" t="str">
            <v>Male</v>
          </cell>
          <cell r="AH31" t="str">
            <v>Female</v>
          </cell>
        </row>
        <row r="32">
          <cell r="AF32" t="str">
            <v>0-4</v>
          </cell>
          <cell r="AG32">
            <v>-15699</v>
          </cell>
          <cell r="AH32">
            <v>15213</v>
          </cell>
        </row>
        <row r="33">
          <cell r="AF33" t="str">
            <v>5 - 9</v>
          </cell>
          <cell r="AG33">
            <v>-19336</v>
          </cell>
          <cell r="AH33">
            <v>18591</v>
          </cell>
        </row>
        <row r="34">
          <cell r="AF34" t="str">
            <v>10 - 14</v>
          </cell>
          <cell r="AG34">
            <v>-20897</v>
          </cell>
          <cell r="AH34">
            <v>20192</v>
          </cell>
        </row>
        <row r="35">
          <cell r="AF35" t="str">
            <v>15 - 19</v>
          </cell>
          <cell r="AG35">
            <v>-16590</v>
          </cell>
          <cell r="AH35">
            <v>16676</v>
          </cell>
        </row>
        <row r="36">
          <cell r="AF36" t="str">
            <v>20 - 24</v>
          </cell>
          <cell r="AG36">
            <v>-11620</v>
          </cell>
          <cell r="AH36">
            <v>11894</v>
          </cell>
        </row>
        <row r="37">
          <cell r="AF37" t="str">
            <v>25 - 29</v>
          </cell>
          <cell r="AG37">
            <v>-9805</v>
          </cell>
          <cell r="AH37">
            <v>10285</v>
          </cell>
        </row>
        <row r="38">
          <cell r="AF38" t="str">
            <v>30 - 34</v>
          </cell>
          <cell r="AG38">
            <v>-8890</v>
          </cell>
          <cell r="AH38">
            <v>9271</v>
          </cell>
        </row>
        <row r="39">
          <cell r="AF39" t="str">
            <v>35 - 39</v>
          </cell>
          <cell r="AG39">
            <v>-7828</v>
          </cell>
          <cell r="AH39">
            <v>7871</v>
          </cell>
        </row>
        <row r="40">
          <cell r="AF40" t="str">
            <v>40 - 44</v>
          </cell>
          <cell r="AG40">
            <v>-6272</v>
          </cell>
          <cell r="AH40">
            <v>6130</v>
          </cell>
        </row>
        <row r="41">
          <cell r="AF41" t="str">
            <v>45 - 49</v>
          </cell>
          <cell r="AG41">
            <v>-3977</v>
          </cell>
          <cell r="AH41">
            <v>3484</v>
          </cell>
        </row>
        <row r="42">
          <cell r="AF42" t="str">
            <v>50 - 54</v>
          </cell>
          <cell r="AG42">
            <v>-3051</v>
          </cell>
          <cell r="AH42">
            <v>2916</v>
          </cell>
        </row>
        <row r="43">
          <cell r="AF43" t="str">
            <v>55 - 59</v>
          </cell>
          <cell r="AG43">
            <v>-3131</v>
          </cell>
          <cell r="AH43">
            <v>2865</v>
          </cell>
        </row>
        <row r="44">
          <cell r="AF44" t="str">
            <v>60 - 64</v>
          </cell>
          <cell r="AG44">
            <v>-3370</v>
          </cell>
          <cell r="AH44">
            <v>2942</v>
          </cell>
        </row>
        <row r="45">
          <cell r="AF45" t="str">
            <v>65 - 69</v>
          </cell>
          <cell r="AG45">
            <v>-2650</v>
          </cell>
          <cell r="AH45">
            <v>1961</v>
          </cell>
        </row>
        <row r="46">
          <cell r="AF46" t="str">
            <v>70 - 74</v>
          </cell>
          <cell r="AG46">
            <v>-1737</v>
          </cell>
          <cell r="AH46">
            <v>1136</v>
          </cell>
        </row>
        <row r="47">
          <cell r="AF47" t="str">
            <v>75+</v>
          </cell>
          <cell r="AG47">
            <v>-1532</v>
          </cell>
          <cell r="AH47">
            <v>1013</v>
          </cell>
        </row>
        <row r="56">
          <cell r="AG56" t="str">
            <v>Male</v>
          </cell>
          <cell r="AH56" t="str">
            <v>Female</v>
          </cell>
        </row>
        <row r="57">
          <cell r="AF57" t="str">
            <v>0-4</v>
          </cell>
          <cell r="AG57">
            <v>-13362</v>
          </cell>
          <cell r="AH57">
            <v>12809</v>
          </cell>
        </row>
        <row r="58">
          <cell r="AF58" t="str">
            <v>5 - 9</v>
          </cell>
          <cell r="AG58">
            <v>-15352</v>
          </cell>
          <cell r="AH58">
            <v>14515</v>
          </cell>
        </row>
        <row r="59">
          <cell r="AF59" t="str">
            <v>10 - 14</v>
          </cell>
          <cell r="AG59">
            <v>-19111</v>
          </cell>
          <cell r="AH59">
            <v>17888</v>
          </cell>
        </row>
        <row r="60">
          <cell r="AF60" t="str">
            <v>15 - 19</v>
          </cell>
          <cell r="AG60">
            <v>-20155</v>
          </cell>
          <cell r="AH60">
            <v>19749</v>
          </cell>
        </row>
        <row r="61">
          <cell r="AF61" t="str">
            <v>20 - 24</v>
          </cell>
          <cell r="AG61">
            <v>-16933</v>
          </cell>
          <cell r="AH61">
            <v>17876</v>
          </cell>
        </row>
        <row r="62">
          <cell r="AF62" t="str">
            <v>25 - 29</v>
          </cell>
          <cell r="AG62">
            <v>-11915</v>
          </cell>
          <cell r="AH62">
            <v>12666</v>
          </cell>
        </row>
        <row r="63">
          <cell r="AF63" t="str">
            <v>30 - 34</v>
          </cell>
          <cell r="AG63">
            <v>-10022</v>
          </cell>
          <cell r="AH63">
            <v>10613</v>
          </cell>
        </row>
        <row r="64">
          <cell r="AF64" t="str">
            <v>35 - 39</v>
          </cell>
          <cell r="AG64">
            <v>-8780</v>
          </cell>
          <cell r="AH64">
            <v>9394</v>
          </cell>
        </row>
        <row r="65">
          <cell r="AF65" t="str">
            <v>40 - 44</v>
          </cell>
          <cell r="AG65">
            <v>-7828</v>
          </cell>
          <cell r="AH65">
            <v>8043</v>
          </cell>
        </row>
        <row r="66">
          <cell r="AF66" t="str">
            <v>45 - 49</v>
          </cell>
          <cell r="AG66">
            <v>-6872</v>
          </cell>
          <cell r="AH66">
            <v>6697</v>
          </cell>
        </row>
        <row r="67">
          <cell r="AF67" t="str">
            <v>50 - 54</v>
          </cell>
          <cell r="AG67">
            <v>-4147</v>
          </cell>
          <cell r="AH67">
            <v>3789</v>
          </cell>
        </row>
        <row r="68">
          <cell r="AF68" t="str">
            <v>55 - 59</v>
          </cell>
          <cell r="AG68">
            <v>-3046</v>
          </cell>
          <cell r="AH68">
            <v>2813</v>
          </cell>
        </row>
        <row r="69">
          <cell r="AF69" t="str">
            <v>60 - 64</v>
          </cell>
          <cell r="AG69">
            <v>-2852</v>
          </cell>
          <cell r="AH69">
            <v>2714</v>
          </cell>
        </row>
        <row r="70">
          <cell r="AF70" t="str">
            <v>65 - 69</v>
          </cell>
          <cell r="AG70">
            <v>-3014</v>
          </cell>
          <cell r="AH70">
            <v>2664</v>
          </cell>
        </row>
        <row r="71">
          <cell r="AF71" t="str">
            <v>70 - 74</v>
          </cell>
          <cell r="AG71">
            <v>-2333</v>
          </cell>
          <cell r="AH71">
            <v>1853</v>
          </cell>
        </row>
        <row r="72">
          <cell r="AF72" t="str">
            <v>75+</v>
          </cell>
          <cell r="AG72">
            <v>-2443</v>
          </cell>
          <cell r="AH72">
            <v>1637</v>
          </cell>
        </row>
        <row r="79">
          <cell r="AF79" t="str">
            <v>0-4</v>
          </cell>
          <cell r="AG79">
            <v>-18863</v>
          </cell>
          <cell r="AH79">
            <v>17223</v>
          </cell>
        </row>
        <row r="80">
          <cell r="AF80" t="str">
            <v>5 - 9</v>
          </cell>
          <cell r="AG80">
            <v>-16364</v>
          </cell>
          <cell r="AH80">
            <v>15616</v>
          </cell>
        </row>
        <row r="81">
          <cell r="AF81" t="str">
            <v>10 - 14</v>
          </cell>
          <cell r="AG81">
            <v>-13571</v>
          </cell>
          <cell r="AH81">
            <v>12787</v>
          </cell>
        </row>
        <row r="82">
          <cell r="AF82" t="str">
            <v>15 - 19</v>
          </cell>
          <cell r="AG82">
            <v>-15922</v>
          </cell>
          <cell r="AH82">
            <v>15461</v>
          </cell>
        </row>
        <row r="83">
          <cell r="AF83" t="str">
            <v>20 - 24</v>
          </cell>
          <cell r="AG83">
            <v>-19349</v>
          </cell>
          <cell r="AH83">
            <v>18537</v>
          </cell>
        </row>
        <row r="84">
          <cell r="AF84" t="str">
            <v>25 - 29</v>
          </cell>
          <cell r="AG84">
            <v>-19451</v>
          </cell>
          <cell r="AH84">
            <v>19738</v>
          </cell>
        </row>
        <row r="85">
          <cell r="AF85" t="str">
            <v>30 - 34</v>
          </cell>
          <cell r="AG85">
            <v>-15494</v>
          </cell>
          <cell r="AH85">
            <v>15868</v>
          </cell>
        </row>
        <row r="86">
          <cell r="AF86" t="str">
            <v>35 - 39</v>
          </cell>
          <cell r="AG86">
            <v>-11386</v>
          </cell>
          <cell r="AH86">
            <v>11518</v>
          </cell>
        </row>
        <row r="87">
          <cell r="AF87" t="str">
            <v>40 - 44</v>
          </cell>
          <cell r="AG87">
            <v>-9811</v>
          </cell>
          <cell r="AH87">
            <v>10064</v>
          </cell>
        </row>
        <row r="88">
          <cell r="AF88" t="str">
            <v>45 - 49</v>
          </cell>
          <cell r="AG88">
            <v>-8784</v>
          </cell>
          <cell r="AH88">
            <v>8795</v>
          </cell>
        </row>
        <row r="89">
          <cell r="AF89" t="str">
            <v>50 - 54</v>
          </cell>
          <cell r="AG89">
            <v>-7645</v>
          </cell>
          <cell r="AH89">
            <v>7405</v>
          </cell>
        </row>
        <row r="90">
          <cell r="AF90" t="str">
            <v>55 - 59</v>
          </cell>
          <cell r="AG90">
            <v>-6031</v>
          </cell>
          <cell r="AH90">
            <v>5672</v>
          </cell>
        </row>
        <row r="91">
          <cell r="AF91" t="str">
            <v>60 - 64</v>
          </cell>
          <cell r="AG91">
            <v>-3327</v>
          </cell>
          <cell r="AH91">
            <v>2922</v>
          </cell>
        </row>
        <row r="92">
          <cell r="AF92" t="str">
            <v>65 - 69</v>
          </cell>
          <cell r="AG92">
            <v>-2445</v>
          </cell>
          <cell r="AH92">
            <v>2426</v>
          </cell>
        </row>
        <row r="93">
          <cell r="AF93" t="str">
            <v>70 - 74</v>
          </cell>
          <cell r="AG93">
            <v>-2471</v>
          </cell>
          <cell r="AH93">
            <v>2372</v>
          </cell>
        </row>
        <row r="94">
          <cell r="AF94" t="str">
            <v>75+</v>
          </cell>
          <cell r="AG94">
            <v>-3752</v>
          </cell>
          <cell r="AH94">
            <v>2953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4">
          <cell r="AD4" t="str">
            <v>Residential Maldivian 2019</v>
          </cell>
          <cell r="AF4" t="str">
            <v>Resident Foreigners 2019</v>
          </cell>
        </row>
        <row r="5">
          <cell r="AD5" t="str">
            <v>Male</v>
          </cell>
          <cell r="AE5" t="str">
            <v>Female</v>
          </cell>
          <cell r="AF5" t="str">
            <v>Male</v>
          </cell>
          <cell r="AG5" t="str">
            <v>Female</v>
          </cell>
        </row>
        <row r="6">
          <cell r="AC6" t="str">
            <v xml:space="preserve">  0-4</v>
          </cell>
          <cell r="AD6">
            <v>-19724.416485149974</v>
          </cell>
          <cell r="AE6">
            <v>18162.416485149974</v>
          </cell>
          <cell r="AF6">
            <v>-815.97856670881845</v>
          </cell>
          <cell r="AG6">
            <v>578.02289746464908</v>
          </cell>
        </row>
        <row r="7">
          <cell r="AC7" t="str">
            <v xml:space="preserve">  5-9</v>
          </cell>
          <cell r="AD7">
            <v>-18614.694141916621</v>
          </cell>
          <cell r="AE7">
            <v>16897.138828383326</v>
          </cell>
          <cell r="AF7">
            <v>-472.96968028534508</v>
          </cell>
          <cell r="AG7">
            <v>273.40823825715955</v>
          </cell>
        </row>
        <row r="8">
          <cell r="AC8" t="str">
            <v xml:space="preserve"> 10-14</v>
          </cell>
          <cell r="AD8">
            <v>-16219.555313533299</v>
          </cell>
          <cell r="AE8">
            <v>15422.555313533299</v>
          </cell>
          <cell r="AF8">
            <v>-269.3419260358865</v>
          </cell>
          <cell r="AG8">
            <v>137.64032738660978</v>
          </cell>
        </row>
        <row r="9">
          <cell r="AC9" t="str">
            <v xml:space="preserve"> 15-19</v>
          </cell>
          <cell r="AD9">
            <v>-14451.314340309933</v>
          </cell>
          <cell r="AE9">
            <v>12838.275478566336</v>
          </cell>
          <cell r="AF9">
            <v>-2735.8487528397136</v>
          </cell>
          <cell r="AG9">
            <v>236.80233907298222</v>
          </cell>
        </row>
        <row r="10">
          <cell r="AC10" t="str">
            <v xml:space="preserve"> 20-24</v>
          </cell>
          <cell r="AD10">
            <v>-19043.819094086619</v>
          </cell>
          <cell r="AE10">
            <v>15548.212541331939</v>
          </cell>
          <cell r="AF10">
            <v>-26281.020701051348</v>
          </cell>
          <cell r="AG10">
            <v>1560.756590145168</v>
          </cell>
        </row>
        <row r="11">
          <cell r="AC11" t="str">
            <v xml:space="preserve"> 25-29</v>
          </cell>
          <cell r="AD11">
            <v>-18815.148912373446</v>
          </cell>
          <cell r="AE11">
            <v>17735.494554499215</v>
          </cell>
          <cell r="AF11">
            <v>-42810.005150890131</v>
          </cell>
          <cell r="AG11">
            <v>3829.646623308925</v>
          </cell>
        </row>
        <row r="12">
          <cell r="AC12" t="str">
            <v xml:space="preserve"> 30-34</v>
          </cell>
          <cell r="AD12">
            <v>-18471.758680914587</v>
          </cell>
          <cell r="AE12">
            <v>19192.108448866282</v>
          </cell>
          <cell r="AF12">
            <v>-30029.426498622553</v>
          </cell>
          <cell r="AG12">
            <v>3063.7032320789885</v>
          </cell>
        </row>
        <row r="13">
          <cell r="AC13" t="str">
            <v xml:space="preserve"> 35-39</v>
          </cell>
          <cell r="AD13">
            <v>-14631.891205271668</v>
          </cell>
          <cell r="AE13">
            <v>15573.637739283167</v>
          </cell>
          <cell r="AF13">
            <v>-19238.369187388162</v>
          </cell>
          <cell r="AG13">
            <v>2040.7047695430938</v>
          </cell>
        </row>
        <row r="14">
          <cell r="AC14" t="str">
            <v xml:space="preserve"> 40-44</v>
          </cell>
          <cell r="AD14">
            <v>-11020.689554941297</v>
          </cell>
          <cell r="AE14">
            <v>11390.943597366544</v>
          </cell>
          <cell r="AF14">
            <v>-11973.313403508051</v>
          </cell>
          <cell r="AG14">
            <v>1155.9770250405613</v>
          </cell>
        </row>
        <row r="15">
          <cell r="AC15" t="str">
            <v xml:space="preserve"> 45-49</v>
          </cell>
          <cell r="AD15">
            <v>-9382.7937626943021</v>
          </cell>
          <cell r="AE15">
            <v>9914.5553135332993</v>
          </cell>
          <cell r="AF15">
            <v>-6837.1672357207717</v>
          </cell>
          <cell r="AG15">
            <v>757.71444886177483</v>
          </cell>
        </row>
        <row r="16">
          <cell r="AC16" t="str">
            <v xml:space="preserve"> 50-54</v>
          </cell>
          <cell r="AD16">
            <v>-8383.806831896185</v>
          </cell>
          <cell r="AE16">
            <v>8588.3882838332465</v>
          </cell>
          <cell r="AF16">
            <v>-3232.4764221897558</v>
          </cell>
          <cell r="AG16">
            <v>409.00422440586743</v>
          </cell>
        </row>
        <row r="17">
          <cell r="AC17" t="str">
            <v xml:space="preserve"> 55-59</v>
          </cell>
          <cell r="AD17">
            <v>-7092.5704456481444</v>
          </cell>
          <cell r="AE17">
            <v>7154.4164851499736</v>
          </cell>
          <cell r="AF17">
            <v>-1274.0356562071674</v>
          </cell>
          <cell r="AG17">
            <v>231.07620386763517</v>
          </cell>
        </row>
        <row r="18">
          <cell r="AC18" t="str">
            <v xml:space="preserve"> 60-64</v>
          </cell>
          <cell r="AD18">
            <v>-5527.6051815658129</v>
          </cell>
          <cell r="AE18">
            <v>5403.4164851499736</v>
          </cell>
          <cell r="AF18">
            <v>-476.94839289090748</v>
          </cell>
          <cell r="AG18">
            <v>100.89688842495897</v>
          </cell>
        </row>
        <row r="19">
          <cell r="AC19" t="str">
            <v xml:space="preserve"> 65-69</v>
          </cell>
          <cell r="AD19">
            <v>-2935.830792099634</v>
          </cell>
          <cell r="AE19">
            <v>2695</v>
          </cell>
          <cell r="AF19">
            <v>-170.05418680278638</v>
          </cell>
          <cell r="AG19">
            <v>36.686130721036911</v>
          </cell>
        </row>
        <row r="20">
          <cell r="AC20" t="str">
            <v xml:space="preserve"> 70-74</v>
          </cell>
          <cell r="AD20">
            <v>-2029.9435973665447</v>
          </cell>
          <cell r="AE20">
            <v>2125.1388283833248</v>
          </cell>
          <cell r="AF20">
            <v>-80.99079911261019</v>
          </cell>
          <cell r="AG20">
            <v>10.999535309843537</v>
          </cell>
        </row>
        <row r="21">
          <cell r="AC21" t="str">
            <v xml:space="preserve"> 75+</v>
          </cell>
          <cell r="AD21">
            <v>-4047.6941419166233</v>
          </cell>
          <cell r="AE21">
            <v>3704.1388283833248</v>
          </cell>
          <cell r="AF21">
            <v>-75.579123400131138</v>
          </cell>
          <cell r="AG21">
            <v>5.5083638910138646</v>
          </cell>
        </row>
        <row r="31">
          <cell r="AD31" t="str">
            <v>Residential Maldivian 2030</v>
          </cell>
          <cell r="AF31" t="str">
            <v>Resident Foreigners 2030</v>
          </cell>
        </row>
        <row r="32">
          <cell r="AD32" t="str">
            <v>Male</v>
          </cell>
          <cell r="AE32" t="str">
            <v>Female</v>
          </cell>
          <cell r="AF32" t="str">
            <v>Male</v>
          </cell>
          <cell r="AG32" t="str">
            <v>Female</v>
          </cell>
        </row>
        <row r="33">
          <cell r="AC33" t="str">
            <v xml:space="preserve">  0-4</v>
          </cell>
          <cell r="AD33">
            <v>-17612.54765760661</v>
          </cell>
          <cell r="AE33">
            <v>16348.547657606612</v>
          </cell>
          <cell r="AF33">
            <v>-1157.9287043641234</v>
          </cell>
          <cell r="AG33">
            <v>820.25353613593177</v>
          </cell>
        </row>
        <row r="34">
          <cell r="AC34" t="str">
            <v xml:space="preserve">  5-9</v>
          </cell>
          <cell r="AD34">
            <v>-18841.579429344354</v>
          </cell>
          <cell r="AE34">
            <v>17330.51588586887</v>
          </cell>
          <cell r="AF34">
            <v>-671.17592476146115</v>
          </cell>
          <cell r="AG34">
            <v>387.98475842878872</v>
          </cell>
        </row>
        <row r="35">
          <cell r="AC35" t="str">
            <v xml:space="preserve"> 10-14</v>
          </cell>
          <cell r="AD35">
            <v>-19544.063543475484</v>
          </cell>
          <cell r="AE35">
            <v>17864.063543475484</v>
          </cell>
          <cell r="AF35">
            <v>-382.21438671313183</v>
          </cell>
          <cell r="AG35">
            <v>195.32092197208985</v>
          </cell>
        </row>
        <row r="36">
          <cell r="AC36" t="str">
            <v xml:space="preserve"> 15-19</v>
          </cell>
          <cell r="AD36">
            <v>-20066.779776636948</v>
          </cell>
          <cell r="AE36">
            <v>17018.603663017082</v>
          </cell>
          <cell r="AF36">
            <v>-3882.3541830141735</v>
          </cell>
          <cell r="AG36">
            <v>336.03851480944616</v>
          </cell>
        </row>
        <row r="37">
          <cell r="AC37" t="str">
            <v xml:space="preserve"> 20-24</v>
          </cell>
          <cell r="AD37">
            <v>-22716.290361734587</v>
          </cell>
          <cell r="AE37">
            <v>16906.541739019292</v>
          </cell>
          <cell r="AF37">
            <v>-37294.543620769597</v>
          </cell>
          <cell r="AG37">
            <v>2214.8190283280746</v>
          </cell>
        </row>
        <row r="38">
          <cell r="AC38" t="str">
            <v xml:space="preserve"> 25-29</v>
          </cell>
          <cell r="AD38">
            <v>-18331.420128317488</v>
          </cell>
          <cell r="AE38">
            <v>12976.429728198351</v>
          </cell>
          <cell r="AF38">
            <v>-60750.289064738405</v>
          </cell>
          <cell r="AG38">
            <v>5434.5272457174424</v>
          </cell>
        </row>
        <row r="39">
          <cell r="AC39" t="str">
            <v xml:space="preserve"> 30-34</v>
          </cell>
          <cell r="AD39">
            <v>-18446.18638980946</v>
          </cell>
          <cell r="AE39">
            <v>14632.698978230304</v>
          </cell>
          <cell r="AF39">
            <v>-42613.784647061708</v>
          </cell>
          <cell r="AG39">
            <v>4347.6018351635703</v>
          </cell>
        </row>
        <row r="40">
          <cell r="AC40" t="str">
            <v xml:space="preserve"> 35-39</v>
          </cell>
          <cell r="AD40">
            <v>-16998.77117841769</v>
          </cell>
          <cell r="AE40">
            <v>16851.801831508539</v>
          </cell>
          <cell r="AF40">
            <v>-27300.545401678988</v>
          </cell>
          <cell r="AG40">
            <v>2895.8979147180862</v>
          </cell>
        </row>
        <row r="41">
          <cell r="AC41" t="str">
            <v xml:space="preserve"> 40-44</v>
          </cell>
          <cell r="AD41">
            <v>-17280.369983001696</v>
          </cell>
          <cell r="AE41">
            <v>18907.222402164189</v>
          </cell>
          <cell r="AF41">
            <v>-16990.940500054967</v>
          </cell>
          <cell r="AG41">
            <v>1640.4094831544364</v>
          </cell>
        </row>
        <row r="42">
          <cell r="AC42" t="str">
            <v xml:space="preserve"> 45-49</v>
          </cell>
          <cell r="AD42">
            <v>-14798.389358241351</v>
          </cell>
          <cell r="AE42">
            <v>16686.063543475484</v>
          </cell>
          <cell r="AF42">
            <v>-9702.4021485164158</v>
          </cell>
          <cell r="AG42">
            <v>1075.2479854799701</v>
          </cell>
        </row>
        <row r="43">
          <cell r="AC43" t="str">
            <v xml:space="preserve"> 50-54</v>
          </cell>
          <cell r="AD43">
            <v>-10751.958010565308</v>
          </cell>
          <cell r="AE43">
            <v>11935.158858688706</v>
          </cell>
          <cell r="AF43">
            <v>-4587.1023923223202</v>
          </cell>
          <cell r="AG43">
            <v>580.40462209192083</v>
          </cell>
        </row>
        <row r="44">
          <cell r="AC44" t="str">
            <v xml:space="preserve"> 55-59</v>
          </cell>
          <cell r="AD44">
            <v>-8602.8836900694314</v>
          </cell>
          <cell r="AE44">
            <v>9795.5476576066121</v>
          </cell>
          <cell r="AF44">
            <v>-1807.9426554743077</v>
          </cell>
          <cell r="AG44">
            <v>327.91274216068092</v>
          </cell>
        </row>
        <row r="45">
          <cell r="AC45" t="str">
            <v xml:space="preserve"> 60-64</v>
          </cell>
          <cell r="AD45">
            <v>-7288.5568151493153</v>
          </cell>
          <cell r="AE45">
            <v>8232.5476576066121</v>
          </cell>
          <cell r="AF45">
            <v>-676.82198670519392</v>
          </cell>
          <cell r="AG45">
            <v>143.17950011789392</v>
          </cell>
        </row>
        <row r="46">
          <cell r="AC46" t="str">
            <v xml:space="preserve"> 65-69</v>
          </cell>
          <cell r="AD46">
            <v>-6204.6672064925642</v>
          </cell>
          <cell r="AE46">
            <v>6786</v>
          </cell>
          <cell r="AF46">
            <v>-241.31837799425</v>
          </cell>
          <cell r="AG46">
            <v>52.060097589673653</v>
          </cell>
        </row>
        <row r="47">
          <cell r="AC47" t="str">
            <v xml:space="preserve"> 70-74</v>
          </cell>
          <cell r="AD47">
            <v>-4648.2224021641878</v>
          </cell>
          <cell r="AE47">
            <v>4972.515885868871</v>
          </cell>
          <cell r="AF47">
            <v>-114.93141475534074</v>
          </cell>
          <cell r="AG47">
            <v>15.609083607804646</v>
          </cell>
        </row>
        <row r="48">
          <cell r="AC48" t="str">
            <v xml:space="preserve"> 75+</v>
          </cell>
          <cell r="AD48">
            <v>-4509.5794293443523</v>
          </cell>
          <cell r="AE48">
            <v>4660.5158858688701</v>
          </cell>
          <cell r="AF48">
            <v>-107.25188136825139</v>
          </cell>
          <cell r="AG48">
            <v>7.8167404435806649</v>
          </cell>
        </row>
      </sheetData>
      <sheetData sheetId="13">
        <row r="4">
          <cell r="BB4" t="str">
            <v>Residential Maldivian 2018</v>
          </cell>
        </row>
      </sheetData>
      <sheetData sheetId="14">
        <row r="4">
          <cell r="BB4" t="str">
            <v>Residential Maldivian 2018</v>
          </cell>
        </row>
      </sheetData>
      <sheetData sheetId="15">
        <row r="4">
          <cell r="BB4" t="str">
            <v>Residential Maldivian 2018</v>
          </cell>
        </row>
      </sheetData>
      <sheetData sheetId="16">
        <row r="7">
          <cell r="AA7" t="str">
            <v>Marriages</v>
          </cell>
        </row>
        <row r="40">
          <cell r="AV40">
            <v>2011</v>
          </cell>
          <cell r="AX40">
            <v>2012</v>
          </cell>
          <cell r="AZ40">
            <v>2013</v>
          </cell>
        </row>
        <row r="41">
          <cell r="AU41" t="str">
            <v xml:space="preserve">Divorces </v>
          </cell>
          <cell r="AV41" t="str">
            <v xml:space="preserve">Marriages </v>
          </cell>
          <cell r="AW41" t="str">
            <v xml:space="preserve">Divorces </v>
          </cell>
          <cell r="AX41" t="str">
            <v xml:space="preserve">Marriages </v>
          </cell>
          <cell r="AY41" t="str">
            <v xml:space="preserve">Divorces </v>
          </cell>
          <cell r="AZ41" t="str">
            <v xml:space="preserve">Marriages </v>
          </cell>
        </row>
        <row r="42">
          <cell r="AU42">
            <v>1248</v>
          </cell>
          <cell r="AV42">
            <v>2366</v>
          </cell>
          <cell r="AW42">
            <v>1209</v>
          </cell>
          <cell r="AX42">
            <v>2404</v>
          </cell>
          <cell r="AY42">
            <v>1320</v>
          </cell>
          <cell r="AZ42">
            <v>2463</v>
          </cell>
        </row>
        <row r="44">
          <cell r="AU44">
            <v>1547</v>
          </cell>
          <cell r="AV44">
            <v>3649</v>
          </cell>
          <cell r="AW44">
            <v>1807</v>
          </cell>
          <cell r="AX44">
            <v>3295</v>
          </cell>
          <cell r="AY44">
            <v>1691</v>
          </cell>
          <cell r="AZ44">
            <v>3157</v>
          </cell>
        </row>
      </sheetData>
      <sheetData sheetId="17">
        <row r="97">
          <cell r="S97" t="str">
            <v>15 - 19</v>
          </cell>
          <cell r="T97" t="str">
            <v>20 - 24</v>
          </cell>
          <cell r="U97" t="str">
            <v>25 - 29</v>
          </cell>
          <cell r="V97" t="str">
            <v>30 - 34</v>
          </cell>
          <cell r="W97" t="str">
            <v>35 - 39</v>
          </cell>
          <cell r="X97" t="str">
            <v>40 - 44</v>
          </cell>
          <cell r="Y97" t="str">
            <v>45 - 49</v>
          </cell>
          <cell r="Z97" t="str">
            <v>50 &amp; Over</v>
          </cell>
        </row>
        <row r="98">
          <cell r="R98" t="str">
            <v>Persons married</v>
          </cell>
          <cell r="S98">
            <v>0</v>
          </cell>
          <cell r="T98">
            <v>0</v>
          </cell>
          <cell r="U98">
            <v>0</v>
          </cell>
          <cell r="V98">
            <v>0</v>
          </cell>
          <cell r="W98">
            <v>0</v>
          </cell>
          <cell r="X98">
            <v>0</v>
          </cell>
          <cell r="Y98">
            <v>0</v>
          </cell>
          <cell r="Z98">
            <v>0</v>
          </cell>
        </row>
        <row r="99">
          <cell r="R99" t="str">
            <v>Persons divorced</v>
          </cell>
          <cell r="S99">
            <v>0</v>
          </cell>
          <cell r="T99">
            <v>0</v>
          </cell>
          <cell r="U99">
            <v>0</v>
          </cell>
          <cell r="V99">
            <v>0</v>
          </cell>
          <cell r="W99">
            <v>0</v>
          </cell>
          <cell r="X99">
            <v>0</v>
          </cell>
          <cell r="Y99">
            <v>0</v>
          </cell>
          <cell r="Z99">
            <v>0</v>
          </cell>
        </row>
      </sheetData>
      <sheetData sheetId="18">
        <row r="4">
          <cell r="M4" t="str">
            <v xml:space="preserve">    Foreign Males</v>
          </cell>
        </row>
      </sheetData>
      <sheetData sheetId="19" refreshError="1"/>
      <sheetData sheetId="20">
        <row r="4">
          <cell r="F4">
            <v>2014</v>
          </cell>
          <cell r="H4">
            <v>2015</v>
          </cell>
        </row>
        <row r="5">
          <cell r="F5" t="str">
            <v>Male</v>
          </cell>
          <cell r="G5" t="str">
            <v>Female</v>
          </cell>
          <cell r="H5" t="str">
            <v>Male</v>
          </cell>
          <cell r="I5" t="str">
            <v>Female</v>
          </cell>
        </row>
        <row r="8">
          <cell r="A8" t="str">
            <v>First</v>
          </cell>
          <cell r="F8">
            <v>3085</v>
          </cell>
          <cell r="G8">
            <v>3021</v>
          </cell>
          <cell r="H8">
            <v>3026</v>
          </cell>
          <cell r="I8">
            <v>2999</v>
          </cell>
        </row>
        <row r="9">
          <cell r="A9" t="str">
            <v>Second</v>
          </cell>
          <cell r="F9">
            <v>1451</v>
          </cell>
          <cell r="G9">
            <v>1442</v>
          </cell>
          <cell r="H9">
            <v>1464</v>
          </cell>
          <cell r="I9">
            <v>1547</v>
          </cell>
        </row>
        <row r="10">
          <cell r="A10" t="str">
            <v xml:space="preserve">Third </v>
          </cell>
          <cell r="F10">
            <v>535</v>
          </cell>
          <cell r="G10">
            <v>586</v>
          </cell>
          <cell r="H10">
            <v>635</v>
          </cell>
          <cell r="I10">
            <v>631</v>
          </cell>
        </row>
        <row r="11">
          <cell r="A11" t="str">
            <v>Fourth or more</v>
          </cell>
          <cell r="F11">
            <v>516</v>
          </cell>
          <cell r="G11">
            <v>538</v>
          </cell>
          <cell r="H11">
            <v>638</v>
          </cell>
          <cell r="I11">
            <v>586</v>
          </cell>
        </row>
      </sheetData>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ow r="61">
          <cell r="B61" t="str">
            <v>Male</v>
          </cell>
          <cell r="C61" t="str">
            <v>Female</v>
          </cell>
        </row>
        <row r="62">
          <cell r="A62" t="str">
            <v xml:space="preserve">   0-4</v>
          </cell>
          <cell r="B62">
            <v>19113</v>
          </cell>
          <cell r="C62">
            <v>-17859</v>
          </cell>
        </row>
        <row r="63">
          <cell r="A63" t="str">
            <v xml:space="preserve">   5-9</v>
          </cell>
          <cell r="B63">
            <v>20840</v>
          </cell>
          <cell r="C63">
            <v>-19919</v>
          </cell>
        </row>
        <row r="64">
          <cell r="A64" t="str">
            <v xml:space="preserve"> 10-14</v>
          </cell>
          <cell r="B64">
            <v>18286</v>
          </cell>
          <cell r="C64">
            <v>-17584</v>
          </cell>
        </row>
        <row r="65">
          <cell r="A65" t="str">
            <v xml:space="preserve"> 15-19</v>
          </cell>
          <cell r="B65">
            <v>12343</v>
          </cell>
          <cell r="C65">
            <v>-12562</v>
          </cell>
        </row>
        <row r="66">
          <cell r="A66" t="str">
            <v xml:space="preserve"> 20-24</v>
          </cell>
          <cell r="B66">
            <v>9944</v>
          </cell>
          <cell r="C66">
            <v>-11077</v>
          </cell>
        </row>
        <row r="67">
          <cell r="A67" t="str">
            <v xml:space="preserve"> 25-29</v>
          </cell>
          <cell r="B67">
            <v>8802</v>
          </cell>
          <cell r="C67">
            <v>-9389</v>
          </cell>
        </row>
        <row r="68">
          <cell r="A68" t="str">
            <v xml:space="preserve"> 30-34</v>
          </cell>
          <cell r="B68">
            <v>7579</v>
          </cell>
          <cell r="C68">
            <v>-7785</v>
          </cell>
        </row>
        <row r="69">
          <cell r="A69" t="str">
            <v xml:space="preserve"> 35-39</v>
          </cell>
          <cell r="B69">
            <v>6315</v>
          </cell>
          <cell r="C69">
            <v>-6317</v>
          </cell>
        </row>
        <row r="70">
          <cell r="A70" t="str">
            <v xml:space="preserve"> 40-44</v>
          </cell>
          <cell r="B70">
            <v>3625</v>
          </cell>
          <cell r="C70">
            <v>-3297</v>
          </cell>
        </row>
        <row r="71">
          <cell r="A71" t="str">
            <v xml:space="preserve"> 45-49</v>
          </cell>
          <cell r="B71">
            <v>3369</v>
          </cell>
          <cell r="C71">
            <v>-3215</v>
          </cell>
        </row>
        <row r="72">
          <cell r="A72" t="str">
            <v xml:space="preserve"> 50-54</v>
          </cell>
          <cell r="B72">
            <v>3205</v>
          </cell>
          <cell r="C72">
            <v>-3042</v>
          </cell>
        </row>
        <row r="73">
          <cell r="A73" t="str">
            <v xml:space="preserve"> 55-59</v>
          </cell>
          <cell r="B73">
            <v>3240</v>
          </cell>
          <cell r="C73">
            <v>-2722</v>
          </cell>
        </row>
        <row r="74">
          <cell r="A74" t="str">
            <v xml:space="preserve"> 60-64</v>
          </cell>
          <cell r="B74">
            <v>3010</v>
          </cell>
          <cell r="C74">
            <v>-2284</v>
          </cell>
        </row>
        <row r="75">
          <cell r="A75" t="str">
            <v xml:space="preserve"> 65-69</v>
          </cell>
          <cell r="B75">
            <v>1897</v>
          </cell>
          <cell r="C75">
            <v>-1304</v>
          </cell>
        </row>
        <row r="76">
          <cell r="A76" t="str">
            <v xml:space="preserve"> 70-74</v>
          </cell>
          <cell r="B76">
            <v>1279</v>
          </cell>
          <cell r="C76">
            <v>-822</v>
          </cell>
        </row>
        <row r="77">
          <cell r="A77" t="str">
            <v xml:space="preserve">   75+</v>
          </cell>
          <cell r="B77">
            <v>1384</v>
          </cell>
          <cell r="C77">
            <v>-862</v>
          </cell>
        </row>
        <row r="87">
          <cell r="B87" t="str">
            <v>Male</v>
          </cell>
          <cell r="C87" t="str">
            <v>Female</v>
          </cell>
        </row>
        <row r="88">
          <cell r="A88" t="str">
            <v xml:space="preserve">   0-4</v>
          </cell>
          <cell r="B88">
            <v>-15699</v>
          </cell>
          <cell r="C88">
            <v>15213</v>
          </cell>
        </row>
        <row r="89">
          <cell r="A89" t="str">
            <v xml:space="preserve">   5-9</v>
          </cell>
          <cell r="B89">
            <v>-19336</v>
          </cell>
          <cell r="C89">
            <v>18591</v>
          </cell>
        </row>
        <row r="90">
          <cell r="A90" t="str">
            <v xml:space="preserve"> 10-14</v>
          </cell>
          <cell r="B90">
            <v>-20897</v>
          </cell>
          <cell r="C90">
            <v>20192</v>
          </cell>
        </row>
        <row r="91">
          <cell r="A91" t="str">
            <v xml:space="preserve"> 15-19</v>
          </cell>
          <cell r="B91">
            <v>-16590</v>
          </cell>
          <cell r="C91">
            <v>16676</v>
          </cell>
        </row>
        <row r="92">
          <cell r="A92" t="str">
            <v xml:space="preserve"> 20-24</v>
          </cell>
          <cell r="B92">
            <v>-11620</v>
          </cell>
          <cell r="C92">
            <v>11894</v>
          </cell>
        </row>
        <row r="93">
          <cell r="A93" t="str">
            <v xml:space="preserve"> 25-29</v>
          </cell>
          <cell r="B93">
            <v>-9805</v>
          </cell>
          <cell r="C93">
            <v>10285</v>
          </cell>
        </row>
        <row r="94">
          <cell r="A94" t="str">
            <v xml:space="preserve"> 30-34</v>
          </cell>
          <cell r="B94">
            <v>-8890</v>
          </cell>
          <cell r="C94">
            <v>9271</v>
          </cell>
        </row>
        <row r="95">
          <cell r="A95" t="str">
            <v xml:space="preserve"> 35-39</v>
          </cell>
          <cell r="B95">
            <v>-7828</v>
          </cell>
          <cell r="C95">
            <v>7871</v>
          </cell>
        </row>
        <row r="96">
          <cell r="A96" t="str">
            <v xml:space="preserve"> 40-44</v>
          </cell>
          <cell r="B96">
            <v>-6272</v>
          </cell>
          <cell r="C96">
            <v>6130</v>
          </cell>
        </row>
        <row r="97">
          <cell r="A97" t="str">
            <v xml:space="preserve"> 45-49</v>
          </cell>
          <cell r="B97">
            <v>-3977</v>
          </cell>
          <cell r="C97">
            <v>3484</v>
          </cell>
        </row>
        <row r="98">
          <cell r="A98" t="str">
            <v xml:space="preserve"> 50-54</v>
          </cell>
          <cell r="B98">
            <v>-3051</v>
          </cell>
          <cell r="C98">
            <v>2916</v>
          </cell>
        </row>
        <row r="99">
          <cell r="A99" t="str">
            <v xml:space="preserve"> 55-59</v>
          </cell>
          <cell r="B99">
            <v>-3131</v>
          </cell>
          <cell r="C99">
            <v>2865</v>
          </cell>
        </row>
        <row r="100">
          <cell r="A100" t="str">
            <v xml:space="preserve"> 60-64</v>
          </cell>
          <cell r="B100">
            <v>-3370</v>
          </cell>
          <cell r="C100">
            <v>2942</v>
          </cell>
        </row>
        <row r="101">
          <cell r="A101" t="str">
            <v xml:space="preserve"> 65-69</v>
          </cell>
          <cell r="B101">
            <v>-2650</v>
          </cell>
          <cell r="C101">
            <v>1961</v>
          </cell>
        </row>
        <row r="102">
          <cell r="A102" t="str">
            <v xml:space="preserve"> 70-74</v>
          </cell>
          <cell r="B102">
            <v>-1737</v>
          </cell>
          <cell r="C102">
            <v>1136</v>
          </cell>
        </row>
        <row r="103">
          <cell r="A103" t="str">
            <v xml:space="preserve">   75+</v>
          </cell>
          <cell r="B103">
            <v>-1532</v>
          </cell>
          <cell r="C103">
            <v>1013</v>
          </cell>
        </row>
      </sheetData>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4"/>
      <sheetName val="319"/>
      <sheetName val="3.20"/>
      <sheetName val="3.21"/>
      <sheetName val="3.22"/>
      <sheetName val="3.23"/>
      <sheetName val="3.24"/>
    </sheetNames>
    <sheetDataSet>
      <sheetData sheetId="0">
        <row r="40">
          <cell r="AK40">
            <v>2010</v>
          </cell>
          <cell r="AM40">
            <v>2011</v>
          </cell>
        </row>
        <row r="41">
          <cell r="AK41" t="str">
            <v xml:space="preserve">Marriages </v>
          </cell>
          <cell r="AL41" t="str">
            <v xml:space="preserve">Divorces </v>
          </cell>
          <cell r="AM41" t="str">
            <v xml:space="preserve">Marriages </v>
          </cell>
          <cell r="AN41" t="str">
            <v xml:space="preserve">Divorces </v>
          </cell>
        </row>
        <row r="42">
          <cell r="AJ42" t="str">
            <v>Male'</v>
          </cell>
          <cell r="AK42">
            <v>2491</v>
          </cell>
          <cell r="AL42">
            <v>1248</v>
          </cell>
          <cell r="AM42">
            <v>2366</v>
          </cell>
          <cell r="AN42">
            <v>1209</v>
          </cell>
        </row>
        <row r="43">
          <cell r="AJ43" t="str">
            <v>Atolls</v>
          </cell>
          <cell r="AK43">
            <v>3645</v>
          </cell>
          <cell r="AL43">
            <v>1547</v>
          </cell>
          <cell r="AM43">
            <v>3649</v>
          </cell>
          <cell r="AN43">
            <v>1807</v>
          </cell>
        </row>
      </sheetData>
      <sheetData sheetId="1">
        <row r="27">
          <cell r="O27" t="str">
            <v xml:space="preserve">Marriages overseas         </v>
          </cell>
        </row>
      </sheetData>
      <sheetData sheetId="2"/>
      <sheetData sheetId="3"/>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
  <sheetViews>
    <sheetView tabSelected="1" zoomScaleNormal="100" workbookViewId="0">
      <selection activeCell="Q10" sqref="Q10"/>
    </sheetView>
  </sheetViews>
  <sheetFormatPr defaultColWidth="11.140625" defaultRowHeight="12.75" x14ac:dyDescent="0.2"/>
  <cols>
    <col min="1" max="1" width="16.5703125" style="25" customWidth="1"/>
    <col min="2" max="12" width="9.140625" style="25" customWidth="1"/>
    <col min="13" max="13" width="26.140625" style="25" customWidth="1"/>
    <col min="14" max="14" width="1.140625" style="25" customWidth="1"/>
    <col min="15" max="251" width="11.140625" style="25"/>
    <col min="252" max="252" width="16.5703125" style="25" customWidth="1"/>
    <col min="253" max="256" width="0" style="25" hidden="1" customWidth="1"/>
    <col min="257" max="267" width="9.140625" style="25" customWidth="1"/>
    <col min="268" max="268" width="0" style="25" hidden="1" customWidth="1"/>
    <col min="269" max="269" width="26.140625" style="25" customWidth="1"/>
    <col min="270" max="270" width="1.140625" style="25" customWidth="1"/>
    <col min="271" max="507" width="11.140625" style="25"/>
    <col min="508" max="508" width="16.5703125" style="25" customWidth="1"/>
    <col min="509" max="512" width="0" style="25" hidden="1" customWidth="1"/>
    <col min="513" max="523" width="9.140625" style="25" customWidth="1"/>
    <col min="524" max="524" width="0" style="25" hidden="1" customWidth="1"/>
    <col min="525" max="525" width="26.140625" style="25" customWidth="1"/>
    <col min="526" max="526" width="1.140625" style="25" customWidth="1"/>
    <col min="527" max="763" width="11.140625" style="25"/>
    <col min="764" max="764" width="16.5703125" style="25" customWidth="1"/>
    <col min="765" max="768" width="0" style="25" hidden="1" customWidth="1"/>
    <col min="769" max="779" width="9.140625" style="25" customWidth="1"/>
    <col min="780" max="780" width="0" style="25" hidden="1" customWidth="1"/>
    <col min="781" max="781" width="26.140625" style="25" customWidth="1"/>
    <col min="782" max="782" width="1.140625" style="25" customWidth="1"/>
    <col min="783" max="1019" width="11.140625" style="25"/>
    <col min="1020" max="1020" width="16.5703125" style="25" customWidth="1"/>
    <col min="1021" max="1024" width="0" style="25" hidden="1" customWidth="1"/>
    <col min="1025" max="1035" width="9.140625" style="25" customWidth="1"/>
    <col min="1036" max="1036" width="0" style="25" hidden="1" customWidth="1"/>
    <col min="1037" max="1037" width="26.140625" style="25" customWidth="1"/>
    <col min="1038" max="1038" width="1.140625" style="25" customWidth="1"/>
    <col min="1039" max="1275" width="11.140625" style="25"/>
    <col min="1276" max="1276" width="16.5703125" style="25" customWidth="1"/>
    <col min="1277" max="1280" width="0" style="25" hidden="1" customWidth="1"/>
    <col min="1281" max="1291" width="9.140625" style="25" customWidth="1"/>
    <col min="1292" max="1292" width="0" style="25" hidden="1" customWidth="1"/>
    <col min="1293" max="1293" width="26.140625" style="25" customWidth="1"/>
    <col min="1294" max="1294" width="1.140625" style="25" customWidth="1"/>
    <col min="1295" max="1531" width="11.140625" style="25"/>
    <col min="1532" max="1532" width="16.5703125" style="25" customWidth="1"/>
    <col min="1533" max="1536" width="0" style="25" hidden="1" customWidth="1"/>
    <col min="1537" max="1547" width="9.140625" style="25" customWidth="1"/>
    <col min="1548" max="1548" width="0" style="25" hidden="1" customWidth="1"/>
    <col min="1549" max="1549" width="26.140625" style="25" customWidth="1"/>
    <col min="1550" max="1550" width="1.140625" style="25" customWidth="1"/>
    <col min="1551" max="1787" width="11.140625" style="25"/>
    <col min="1788" max="1788" width="16.5703125" style="25" customWidth="1"/>
    <col min="1789" max="1792" width="0" style="25" hidden="1" customWidth="1"/>
    <col min="1793" max="1803" width="9.140625" style="25" customWidth="1"/>
    <col min="1804" max="1804" width="0" style="25" hidden="1" customWidth="1"/>
    <col min="1805" max="1805" width="26.140625" style="25" customWidth="1"/>
    <col min="1806" max="1806" width="1.140625" style="25" customWidth="1"/>
    <col min="1807" max="2043" width="11.140625" style="25"/>
    <col min="2044" max="2044" width="16.5703125" style="25" customWidth="1"/>
    <col min="2045" max="2048" width="0" style="25" hidden="1" customWidth="1"/>
    <col min="2049" max="2059" width="9.140625" style="25" customWidth="1"/>
    <col min="2060" max="2060" width="0" style="25" hidden="1" customWidth="1"/>
    <col min="2061" max="2061" width="26.140625" style="25" customWidth="1"/>
    <col min="2062" max="2062" width="1.140625" style="25" customWidth="1"/>
    <col min="2063" max="2299" width="11.140625" style="25"/>
    <col min="2300" max="2300" width="16.5703125" style="25" customWidth="1"/>
    <col min="2301" max="2304" width="0" style="25" hidden="1" customWidth="1"/>
    <col min="2305" max="2315" width="9.140625" style="25" customWidth="1"/>
    <col min="2316" max="2316" width="0" style="25" hidden="1" customWidth="1"/>
    <col min="2317" max="2317" width="26.140625" style="25" customWidth="1"/>
    <col min="2318" max="2318" width="1.140625" style="25" customWidth="1"/>
    <col min="2319" max="2555" width="11.140625" style="25"/>
    <col min="2556" max="2556" width="16.5703125" style="25" customWidth="1"/>
    <col min="2557" max="2560" width="0" style="25" hidden="1" customWidth="1"/>
    <col min="2561" max="2571" width="9.140625" style="25" customWidth="1"/>
    <col min="2572" max="2572" width="0" style="25" hidden="1" customWidth="1"/>
    <col min="2573" max="2573" width="26.140625" style="25" customWidth="1"/>
    <col min="2574" max="2574" width="1.140625" style="25" customWidth="1"/>
    <col min="2575" max="2811" width="11.140625" style="25"/>
    <col min="2812" max="2812" width="16.5703125" style="25" customWidth="1"/>
    <col min="2813" max="2816" width="0" style="25" hidden="1" customWidth="1"/>
    <col min="2817" max="2827" width="9.140625" style="25" customWidth="1"/>
    <col min="2828" max="2828" width="0" style="25" hidden="1" customWidth="1"/>
    <col min="2829" max="2829" width="26.140625" style="25" customWidth="1"/>
    <col min="2830" max="2830" width="1.140625" style="25" customWidth="1"/>
    <col min="2831" max="3067" width="11.140625" style="25"/>
    <col min="3068" max="3068" width="16.5703125" style="25" customWidth="1"/>
    <col min="3069" max="3072" width="0" style="25" hidden="1" customWidth="1"/>
    <col min="3073" max="3083" width="9.140625" style="25" customWidth="1"/>
    <col min="3084" max="3084" width="0" style="25" hidden="1" customWidth="1"/>
    <col min="3085" max="3085" width="26.140625" style="25" customWidth="1"/>
    <col min="3086" max="3086" width="1.140625" style="25" customWidth="1"/>
    <col min="3087" max="3323" width="11.140625" style="25"/>
    <col min="3324" max="3324" width="16.5703125" style="25" customWidth="1"/>
    <col min="3325" max="3328" width="0" style="25" hidden="1" customWidth="1"/>
    <col min="3329" max="3339" width="9.140625" style="25" customWidth="1"/>
    <col min="3340" max="3340" width="0" style="25" hidden="1" customWidth="1"/>
    <col min="3341" max="3341" width="26.140625" style="25" customWidth="1"/>
    <col min="3342" max="3342" width="1.140625" style="25" customWidth="1"/>
    <col min="3343" max="3579" width="11.140625" style="25"/>
    <col min="3580" max="3580" width="16.5703125" style="25" customWidth="1"/>
    <col min="3581" max="3584" width="0" style="25" hidden="1" customWidth="1"/>
    <col min="3585" max="3595" width="9.140625" style="25" customWidth="1"/>
    <col min="3596" max="3596" width="0" style="25" hidden="1" customWidth="1"/>
    <col min="3597" max="3597" width="26.140625" style="25" customWidth="1"/>
    <col min="3598" max="3598" width="1.140625" style="25" customWidth="1"/>
    <col min="3599" max="3835" width="11.140625" style="25"/>
    <col min="3836" max="3836" width="16.5703125" style="25" customWidth="1"/>
    <col min="3837" max="3840" width="0" style="25" hidden="1" customWidth="1"/>
    <col min="3841" max="3851" width="9.140625" style="25" customWidth="1"/>
    <col min="3852" max="3852" width="0" style="25" hidden="1" customWidth="1"/>
    <col min="3853" max="3853" width="26.140625" style="25" customWidth="1"/>
    <col min="3854" max="3854" width="1.140625" style="25" customWidth="1"/>
    <col min="3855" max="4091" width="11.140625" style="25"/>
    <col min="4092" max="4092" width="16.5703125" style="25" customWidth="1"/>
    <col min="4093" max="4096" width="0" style="25" hidden="1" customWidth="1"/>
    <col min="4097" max="4107" width="9.140625" style="25" customWidth="1"/>
    <col min="4108" max="4108" width="0" style="25" hidden="1" customWidth="1"/>
    <col min="4109" max="4109" width="26.140625" style="25" customWidth="1"/>
    <col min="4110" max="4110" width="1.140625" style="25" customWidth="1"/>
    <col min="4111" max="4347" width="11.140625" style="25"/>
    <col min="4348" max="4348" width="16.5703125" style="25" customWidth="1"/>
    <col min="4349" max="4352" width="0" style="25" hidden="1" customWidth="1"/>
    <col min="4353" max="4363" width="9.140625" style="25" customWidth="1"/>
    <col min="4364" max="4364" width="0" style="25" hidden="1" customWidth="1"/>
    <col min="4365" max="4365" width="26.140625" style="25" customWidth="1"/>
    <col min="4366" max="4366" width="1.140625" style="25" customWidth="1"/>
    <col min="4367" max="4603" width="11.140625" style="25"/>
    <col min="4604" max="4604" width="16.5703125" style="25" customWidth="1"/>
    <col min="4605" max="4608" width="0" style="25" hidden="1" customWidth="1"/>
    <col min="4609" max="4619" width="9.140625" style="25" customWidth="1"/>
    <col min="4620" max="4620" width="0" style="25" hidden="1" customWidth="1"/>
    <col min="4621" max="4621" width="26.140625" style="25" customWidth="1"/>
    <col min="4622" max="4622" width="1.140625" style="25" customWidth="1"/>
    <col min="4623" max="4859" width="11.140625" style="25"/>
    <col min="4860" max="4860" width="16.5703125" style="25" customWidth="1"/>
    <col min="4861" max="4864" width="0" style="25" hidden="1" customWidth="1"/>
    <col min="4865" max="4875" width="9.140625" style="25" customWidth="1"/>
    <col min="4876" max="4876" width="0" style="25" hidden="1" customWidth="1"/>
    <col min="4877" max="4877" width="26.140625" style="25" customWidth="1"/>
    <col min="4878" max="4878" width="1.140625" style="25" customWidth="1"/>
    <col min="4879" max="5115" width="11.140625" style="25"/>
    <col min="5116" max="5116" width="16.5703125" style="25" customWidth="1"/>
    <col min="5117" max="5120" width="0" style="25" hidden="1" customWidth="1"/>
    <col min="5121" max="5131" width="9.140625" style="25" customWidth="1"/>
    <col min="5132" max="5132" width="0" style="25" hidden="1" customWidth="1"/>
    <col min="5133" max="5133" width="26.140625" style="25" customWidth="1"/>
    <col min="5134" max="5134" width="1.140625" style="25" customWidth="1"/>
    <col min="5135" max="5371" width="11.140625" style="25"/>
    <col min="5372" max="5372" width="16.5703125" style="25" customWidth="1"/>
    <col min="5373" max="5376" width="0" style="25" hidden="1" customWidth="1"/>
    <col min="5377" max="5387" width="9.140625" style="25" customWidth="1"/>
    <col min="5388" max="5388" width="0" style="25" hidden="1" customWidth="1"/>
    <col min="5389" max="5389" width="26.140625" style="25" customWidth="1"/>
    <col min="5390" max="5390" width="1.140625" style="25" customWidth="1"/>
    <col min="5391" max="5627" width="11.140625" style="25"/>
    <col min="5628" max="5628" width="16.5703125" style="25" customWidth="1"/>
    <col min="5629" max="5632" width="0" style="25" hidden="1" customWidth="1"/>
    <col min="5633" max="5643" width="9.140625" style="25" customWidth="1"/>
    <col min="5644" max="5644" width="0" style="25" hidden="1" customWidth="1"/>
    <col min="5645" max="5645" width="26.140625" style="25" customWidth="1"/>
    <col min="5646" max="5646" width="1.140625" style="25" customWidth="1"/>
    <col min="5647" max="5883" width="11.140625" style="25"/>
    <col min="5884" max="5884" width="16.5703125" style="25" customWidth="1"/>
    <col min="5885" max="5888" width="0" style="25" hidden="1" customWidth="1"/>
    <col min="5889" max="5899" width="9.140625" style="25" customWidth="1"/>
    <col min="5900" max="5900" width="0" style="25" hidden="1" customWidth="1"/>
    <col min="5901" max="5901" width="26.140625" style="25" customWidth="1"/>
    <col min="5902" max="5902" width="1.140625" style="25" customWidth="1"/>
    <col min="5903" max="6139" width="11.140625" style="25"/>
    <col min="6140" max="6140" width="16.5703125" style="25" customWidth="1"/>
    <col min="6141" max="6144" width="0" style="25" hidden="1" customWidth="1"/>
    <col min="6145" max="6155" width="9.140625" style="25" customWidth="1"/>
    <col min="6156" max="6156" width="0" style="25" hidden="1" customWidth="1"/>
    <col min="6157" max="6157" width="26.140625" style="25" customWidth="1"/>
    <col min="6158" max="6158" width="1.140625" style="25" customWidth="1"/>
    <col min="6159" max="6395" width="11.140625" style="25"/>
    <col min="6396" max="6396" width="16.5703125" style="25" customWidth="1"/>
    <col min="6397" max="6400" width="0" style="25" hidden="1" customWidth="1"/>
    <col min="6401" max="6411" width="9.140625" style="25" customWidth="1"/>
    <col min="6412" max="6412" width="0" style="25" hidden="1" customWidth="1"/>
    <col min="6413" max="6413" width="26.140625" style="25" customWidth="1"/>
    <col min="6414" max="6414" width="1.140625" style="25" customWidth="1"/>
    <col min="6415" max="6651" width="11.140625" style="25"/>
    <col min="6652" max="6652" width="16.5703125" style="25" customWidth="1"/>
    <col min="6653" max="6656" width="0" style="25" hidden="1" customWidth="1"/>
    <col min="6657" max="6667" width="9.140625" style="25" customWidth="1"/>
    <col min="6668" max="6668" width="0" style="25" hidden="1" customWidth="1"/>
    <col min="6669" max="6669" width="26.140625" style="25" customWidth="1"/>
    <col min="6670" max="6670" width="1.140625" style="25" customWidth="1"/>
    <col min="6671" max="6907" width="11.140625" style="25"/>
    <col min="6908" max="6908" width="16.5703125" style="25" customWidth="1"/>
    <col min="6909" max="6912" width="0" style="25" hidden="1" customWidth="1"/>
    <col min="6913" max="6923" width="9.140625" style="25" customWidth="1"/>
    <col min="6924" max="6924" width="0" style="25" hidden="1" customWidth="1"/>
    <col min="6925" max="6925" width="26.140625" style="25" customWidth="1"/>
    <col min="6926" max="6926" width="1.140625" style="25" customWidth="1"/>
    <col min="6927" max="7163" width="11.140625" style="25"/>
    <col min="7164" max="7164" width="16.5703125" style="25" customWidth="1"/>
    <col min="7165" max="7168" width="0" style="25" hidden="1" customWidth="1"/>
    <col min="7169" max="7179" width="9.140625" style="25" customWidth="1"/>
    <col min="7180" max="7180" width="0" style="25" hidden="1" customWidth="1"/>
    <col min="7181" max="7181" width="26.140625" style="25" customWidth="1"/>
    <col min="7182" max="7182" width="1.140625" style="25" customWidth="1"/>
    <col min="7183" max="7419" width="11.140625" style="25"/>
    <col min="7420" max="7420" width="16.5703125" style="25" customWidth="1"/>
    <col min="7421" max="7424" width="0" style="25" hidden="1" customWidth="1"/>
    <col min="7425" max="7435" width="9.140625" style="25" customWidth="1"/>
    <col min="7436" max="7436" width="0" style="25" hidden="1" customWidth="1"/>
    <col min="7437" max="7437" width="26.140625" style="25" customWidth="1"/>
    <col min="7438" max="7438" width="1.140625" style="25" customWidth="1"/>
    <col min="7439" max="7675" width="11.140625" style="25"/>
    <col min="7676" max="7676" width="16.5703125" style="25" customWidth="1"/>
    <col min="7677" max="7680" width="0" style="25" hidden="1" customWidth="1"/>
    <col min="7681" max="7691" width="9.140625" style="25" customWidth="1"/>
    <col min="7692" max="7692" width="0" style="25" hidden="1" customWidth="1"/>
    <col min="7693" max="7693" width="26.140625" style="25" customWidth="1"/>
    <col min="7694" max="7694" width="1.140625" style="25" customWidth="1"/>
    <col min="7695" max="7931" width="11.140625" style="25"/>
    <col min="7932" max="7932" width="16.5703125" style="25" customWidth="1"/>
    <col min="7933" max="7936" width="0" style="25" hidden="1" customWidth="1"/>
    <col min="7937" max="7947" width="9.140625" style="25" customWidth="1"/>
    <col min="7948" max="7948" width="0" style="25" hidden="1" customWidth="1"/>
    <col min="7949" max="7949" width="26.140625" style="25" customWidth="1"/>
    <col min="7950" max="7950" width="1.140625" style="25" customWidth="1"/>
    <col min="7951" max="8187" width="11.140625" style="25"/>
    <col min="8188" max="8188" width="16.5703125" style="25" customWidth="1"/>
    <col min="8189" max="8192" width="0" style="25" hidden="1" customWidth="1"/>
    <col min="8193" max="8203" width="9.140625" style="25" customWidth="1"/>
    <col min="8204" max="8204" width="0" style="25" hidden="1" customWidth="1"/>
    <col min="8205" max="8205" width="26.140625" style="25" customWidth="1"/>
    <col min="8206" max="8206" width="1.140625" style="25" customWidth="1"/>
    <col min="8207" max="8443" width="11.140625" style="25"/>
    <col min="8444" max="8444" width="16.5703125" style="25" customWidth="1"/>
    <col min="8445" max="8448" width="0" style="25" hidden="1" customWidth="1"/>
    <col min="8449" max="8459" width="9.140625" style="25" customWidth="1"/>
    <col min="8460" max="8460" width="0" style="25" hidden="1" customWidth="1"/>
    <col min="8461" max="8461" width="26.140625" style="25" customWidth="1"/>
    <col min="8462" max="8462" width="1.140625" style="25" customWidth="1"/>
    <col min="8463" max="8699" width="11.140625" style="25"/>
    <col min="8700" max="8700" width="16.5703125" style="25" customWidth="1"/>
    <col min="8701" max="8704" width="0" style="25" hidden="1" customWidth="1"/>
    <col min="8705" max="8715" width="9.140625" style="25" customWidth="1"/>
    <col min="8716" max="8716" width="0" style="25" hidden="1" customWidth="1"/>
    <col min="8717" max="8717" width="26.140625" style="25" customWidth="1"/>
    <col min="8718" max="8718" width="1.140625" style="25" customWidth="1"/>
    <col min="8719" max="8955" width="11.140625" style="25"/>
    <col min="8956" max="8956" width="16.5703125" style="25" customWidth="1"/>
    <col min="8957" max="8960" width="0" style="25" hidden="1" customWidth="1"/>
    <col min="8961" max="8971" width="9.140625" style="25" customWidth="1"/>
    <col min="8972" max="8972" width="0" style="25" hidden="1" customWidth="1"/>
    <col min="8973" max="8973" width="26.140625" style="25" customWidth="1"/>
    <col min="8974" max="8974" width="1.140625" style="25" customWidth="1"/>
    <col min="8975" max="9211" width="11.140625" style="25"/>
    <col min="9212" max="9212" width="16.5703125" style="25" customWidth="1"/>
    <col min="9213" max="9216" width="0" style="25" hidden="1" customWidth="1"/>
    <col min="9217" max="9227" width="9.140625" style="25" customWidth="1"/>
    <col min="9228" max="9228" width="0" style="25" hidden="1" customWidth="1"/>
    <col min="9229" max="9229" width="26.140625" style="25" customWidth="1"/>
    <col min="9230" max="9230" width="1.140625" style="25" customWidth="1"/>
    <col min="9231" max="9467" width="11.140625" style="25"/>
    <col min="9468" max="9468" width="16.5703125" style="25" customWidth="1"/>
    <col min="9469" max="9472" width="0" style="25" hidden="1" customWidth="1"/>
    <col min="9473" max="9483" width="9.140625" style="25" customWidth="1"/>
    <col min="9484" max="9484" width="0" style="25" hidden="1" customWidth="1"/>
    <col min="9485" max="9485" width="26.140625" style="25" customWidth="1"/>
    <col min="9486" max="9486" width="1.140625" style="25" customWidth="1"/>
    <col min="9487" max="9723" width="11.140625" style="25"/>
    <col min="9724" max="9724" width="16.5703125" style="25" customWidth="1"/>
    <col min="9725" max="9728" width="0" style="25" hidden="1" customWidth="1"/>
    <col min="9729" max="9739" width="9.140625" style="25" customWidth="1"/>
    <col min="9740" max="9740" width="0" style="25" hidden="1" customWidth="1"/>
    <col min="9741" max="9741" width="26.140625" style="25" customWidth="1"/>
    <col min="9742" max="9742" width="1.140625" style="25" customWidth="1"/>
    <col min="9743" max="9979" width="11.140625" style="25"/>
    <col min="9980" max="9980" width="16.5703125" style="25" customWidth="1"/>
    <col min="9981" max="9984" width="0" style="25" hidden="1" customWidth="1"/>
    <col min="9985" max="9995" width="9.140625" style="25" customWidth="1"/>
    <col min="9996" max="9996" width="0" style="25" hidden="1" customWidth="1"/>
    <col min="9997" max="9997" width="26.140625" style="25" customWidth="1"/>
    <col min="9998" max="9998" width="1.140625" style="25" customWidth="1"/>
    <col min="9999" max="10235" width="11.140625" style="25"/>
    <col min="10236" max="10236" width="16.5703125" style="25" customWidth="1"/>
    <col min="10237" max="10240" width="0" style="25" hidden="1" customWidth="1"/>
    <col min="10241" max="10251" width="9.140625" style="25" customWidth="1"/>
    <col min="10252" max="10252" width="0" style="25" hidden="1" customWidth="1"/>
    <col min="10253" max="10253" width="26.140625" style="25" customWidth="1"/>
    <col min="10254" max="10254" width="1.140625" style="25" customWidth="1"/>
    <col min="10255" max="10491" width="11.140625" style="25"/>
    <col min="10492" max="10492" width="16.5703125" style="25" customWidth="1"/>
    <col min="10493" max="10496" width="0" style="25" hidden="1" customWidth="1"/>
    <col min="10497" max="10507" width="9.140625" style="25" customWidth="1"/>
    <col min="10508" max="10508" width="0" style="25" hidden="1" customWidth="1"/>
    <col min="10509" max="10509" width="26.140625" style="25" customWidth="1"/>
    <col min="10510" max="10510" width="1.140625" style="25" customWidth="1"/>
    <col min="10511" max="10747" width="11.140625" style="25"/>
    <col min="10748" max="10748" width="16.5703125" style="25" customWidth="1"/>
    <col min="10749" max="10752" width="0" style="25" hidden="1" customWidth="1"/>
    <col min="10753" max="10763" width="9.140625" style="25" customWidth="1"/>
    <col min="10764" max="10764" width="0" style="25" hidden="1" customWidth="1"/>
    <col min="10765" max="10765" width="26.140625" style="25" customWidth="1"/>
    <col min="10766" max="10766" width="1.140625" style="25" customWidth="1"/>
    <col min="10767" max="11003" width="11.140625" style="25"/>
    <col min="11004" max="11004" width="16.5703125" style="25" customWidth="1"/>
    <col min="11005" max="11008" width="0" style="25" hidden="1" customWidth="1"/>
    <col min="11009" max="11019" width="9.140625" style="25" customWidth="1"/>
    <col min="11020" max="11020" width="0" style="25" hidden="1" customWidth="1"/>
    <col min="11021" max="11021" width="26.140625" style="25" customWidth="1"/>
    <col min="11022" max="11022" width="1.140625" style="25" customWidth="1"/>
    <col min="11023" max="11259" width="11.140625" style="25"/>
    <col min="11260" max="11260" width="16.5703125" style="25" customWidth="1"/>
    <col min="11261" max="11264" width="0" style="25" hidden="1" customWidth="1"/>
    <col min="11265" max="11275" width="9.140625" style="25" customWidth="1"/>
    <col min="11276" max="11276" width="0" style="25" hidden="1" customWidth="1"/>
    <col min="11277" max="11277" width="26.140625" style="25" customWidth="1"/>
    <col min="11278" max="11278" width="1.140625" style="25" customWidth="1"/>
    <col min="11279" max="11515" width="11.140625" style="25"/>
    <col min="11516" max="11516" width="16.5703125" style="25" customWidth="1"/>
    <col min="11517" max="11520" width="0" style="25" hidden="1" customWidth="1"/>
    <col min="11521" max="11531" width="9.140625" style="25" customWidth="1"/>
    <col min="11532" max="11532" width="0" style="25" hidden="1" customWidth="1"/>
    <col min="11533" max="11533" width="26.140625" style="25" customWidth="1"/>
    <col min="11534" max="11534" width="1.140625" style="25" customWidth="1"/>
    <col min="11535" max="11771" width="11.140625" style="25"/>
    <col min="11772" max="11772" width="16.5703125" style="25" customWidth="1"/>
    <col min="11773" max="11776" width="0" style="25" hidden="1" customWidth="1"/>
    <col min="11777" max="11787" width="9.140625" style="25" customWidth="1"/>
    <col min="11788" max="11788" width="0" style="25" hidden="1" customWidth="1"/>
    <col min="11789" max="11789" width="26.140625" style="25" customWidth="1"/>
    <col min="11790" max="11790" width="1.140625" style="25" customWidth="1"/>
    <col min="11791" max="12027" width="11.140625" style="25"/>
    <col min="12028" max="12028" width="16.5703125" style="25" customWidth="1"/>
    <col min="12029" max="12032" width="0" style="25" hidden="1" customWidth="1"/>
    <col min="12033" max="12043" width="9.140625" style="25" customWidth="1"/>
    <col min="12044" max="12044" width="0" style="25" hidden="1" customWidth="1"/>
    <col min="12045" max="12045" width="26.140625" style="25" customWidth="1"/>
    <col min="12046" max="12046" width="1.140625" style="25" customWidth="1"/>
    <col min="12047" max="12283" width="11.140625" style="25"/>
    <col min="12284" max="12284" width="16.5703125" style="25" customWidth="1"/>
    <col min="12285" max="12288" width="0" style="25" hidden="1" customWidth="1"/>
    <col min="12289" max="12299" width="9.140625" style="25" customWidth="1"/>
    <col min="12300" max="12300" width="0" style="25" hidden="1" customWidth="1"/>
    <col min="12301" max="12301" width="26.140625" style="25" customWidth="1"/>
    <col min="12302" max="12302" width="1.140625" style="25" customWidth="1"/>
    <col min="12303" max="12539" width="11.140625" style="25"/>
    <col min="12540" max="12540" width="16.5703125" style="25" customWidth="1"/>
    <col min="12541" max="12544" width="0" style="25" hidden="1" customWidth="1"/>
    <col min="12545" max="12555" width="9.140625" style="25" customWidth="1"/>
    <col min="12556" max="12556" width="0" style="25" hidden="1" customWidth="1"/>
    <col min="12557" max="12557" width="26.140625" style="25" customWidth="1"/>
    <col min="12558" max="12558" width="1.140625" style="25" customWidth="1"/>
    <col min="12559" max="12795" width="11.140625" style="25"/>
    <col min="12796" max="12796" width="16.5703125" style="25" customWidth="1"/>
    <col min="12797" max="12800" width="0" style="25" hidden="1" customWidth="1"/>
    <col min="12801" max="12811" width="9.140625" style="25" customWidth="1"/>
    <col min="12812" max="12812" width="0" style="25" hidden="1" customWidth="1"/>
    <col min="12813" max="12813" width="26.140625" style="25" customWidth="1"/>
    <col min="12814" max="12814" width="1.140625" style="25" customWidth="1"/>
    <col min="12815" max="13051" width="11.140625" style="25"/>
    <col min="13052" max="13052" width="16.5703125" style="25" customWidth="1"/>
    <col min="13053" max="13056" width="0" style="25" hidden="1" customWidth="1"/>
    <col min="13057" max="13067" width="9.140625" style="25" customWidth="1"/>
    <col min="13068" max="13068" width="0" style="25" hidden="1" customWidth="1"/>
    <col min="13069" max="13069" width="26.140625" style="25" customWidth="1"/>
    <col min="13070" max="13070" width="1.140625" style="25" customWidth="1"/>
    <col min="13071" max="13307" width="11.140625" style="25"/>
    <col min="13308" max="13308" width="16.5703125" style="25" customWidth="1"/>
    <col min="13309" max="13312" width="0" style="25" hidden="1" customWidth="1"/>
    <col min="13313" max="13323" width="9.140625" style="25" customWidth="1"/>
    <col min="13324" max="13324" width="0" style="25" hidden="1" customWidth="1"/>
    <col min="13325" max="13325" width="26.140625" style="25" customWidth="1"/>
    <col min="13326" max="13326" width="1.140625" style="25" customWidth="1"/>
    <col min="13327" max="13563" width="11.140625" style="25"/>
    <col min="13564" max="13564" width="16.5703125" style="25" customWidth="1"/>
    <col min="13565" max="13568" width="0" style="25" hidden="1" customWidth="1"/>
    <col min="13569" max="13579" width="9.140625" style="25" customWidth="1"/>
    <col min="13580" max="13580" width="0" style="25" hidden="1" customWidth="1"/>
    <col min="13581" max="13581" width="26.140625" style="25" customWidth="1"/>
    <col min="13582" max="13582" width="1.140625" style="25" customWidth="1"/>
    <col min="13583" max="13819" width="11.140625" style="25"/>
    <col min="13820" max="13820" width="16.5703125" style="25" customWidth="1"/>
    <col min="13821" max="13824" width="0" style="25" hidden="1" customWidth="1"/>
    <col min="13825" max="13835" width="9.140625" style="25" customWidth="1"/>
    <col min="13836" max="13836" width="0" style="25" hidden="1" customWidth="1"/>
    <col min="13837" max="13837" width="26.140625" style="25" customWidth="1"/>
    <col min="13838" max="13838" width="1.140625" style="25" customWidth="1"/>
    <col min="13839" max="14075" width="11.140625" style="25"/>
    <col min="14076" max="14076" width="16.5703125" style="25" customWidth="1"/>
    <col min="14077" max="14080" width="0" style="25" hidden="1" customWidth="1"/>
    <col min="14081" max="14091" width="9.140625" style="25" customWidth="1"/>
    <col min="14092" max="14092" width="0" style="25" hidden="1" customWidth="1"/>
    <col min="14093" max="14093" width="26.140625" style="25" customWidth="1"/>
    <col min="14094" max="14094" width="1.140625" style="25" customWidth="1"/>
    <col min="14095" max="14331" width="11.140625" style="25"/>
    <col min="14332" max="14332" width="16.5703125" style="25" customWidth="1"/>
    <col min="14333" max="14336" width="0" style="25" hidden="1" customWidth="1"/>
    <col min="14337" max="14347" width="9.140625" style="25" customWidth="1"/>
    <col min="14348" max="14348" width="0" style="25" hidden="1" customWidth="1"/>
    <col min="14349" max="14349" width="26.140625" style="25" customWidth="1"/>
    <col min="14350" max="14350" width="1.140625" style="25" customWidth="1"/>
    <col min="14351" max="14587" width="11.140625" style="25"/>
    <col min="14588" max="14588" width="16.5703125" style="25" customWidth="1"/>
    <col min="14589" max="14592" width="0" style="25" hidden="1" customWidth="1"/>
    <col min="14593" max="14603" width="9.140625" style="25" customWidth="1"/>
    <col min="14604" max="14604" width="0" style="25" hidden="1" customWidth="1"/>
    <col min="14605" max="14605" width="26.140625" style="25" customWidth="1"/>
    <col min="14606" max="14606" width="1.140625" style="25" customWidth="1"/>
    <col min="14607" max="14843" width="11.140625" style="25"/>
    <col min="14844" max="14844" width="16.5703125" style="25" customWidth="1"/>
    <col min="14845" max="14848" width="0" style="25" hidden="1" customWidth="1"/>
    <col min="14849" max="14859" width="9.140625" style="25" customWidth="1"/>
    <col min="14860" max="14860" width="0" style="25" hidden="1" customWidth="1"/>
    <col min="14861" max="14861" width="26.140625" style="25" customWidth="1"/>
    <col min="14862" max="14862" width="1.140625" style="25" customWidth="1"/>
    <col min="14863" max="15099" width="11.140625" style="25"/>
    <col min="15100" max="15100" width="16.5703125" style="25" customWidth="1"/>
    <col min="15101" max="15104" width="0" style="25" hidden="1" customWidth="1"/>
    <col min="15105" max="15115" width="9.140625" style="25" customWidth="1"/>
    <col min="15116" max="15116" width="0" style="25" hidden="1" customWidth="1"/>
    <col min="15117" max="15117" width="26.140625" style="25" customWidth="1"/>
    <col min="15118" max="15118" width="1.140625" style="25" customWidth="1"/>
    <col min="15119" max="15355" width="11.140625" style="25"/>
    <col min="15356" max="15356" width="16.5703125" style="25" customWidth="1"/>
    <col min="15357" max="15360" width="0" style="25" hidden="1" customWidth="1"/>
    <col min="15361" max="15371" width="9.140625" style="25" customWidth="1"/>
    <col min="15372" max="15372" width="0" style="25" hidden="1" customWidth="1"/>
    <col min="15373" max="15373" width="26.140625" style="25" customWidth="1"/>
    <col min="15374" max="15374" width="1.140625" style="25" customWidth="1"/>
    <col min="15375" max="15611" width="11.140625" style="25"/>
    <col min="15612" max="15612" width="16.5703125" style="25" customWidth="1"/>
    <col min="15613" max="15616" width="0" style="25" hidden="1" customWidth="1"/>
    <col min="15617" max="15627" width="9.140625" style="25" customWidth="1"/>
    <col min="15628" max="15628" width="0" style="25" hidden="1" customWidth="1"/>
    <col min="15629" max="15629" width="26.140625" style="25" customWidth="1"/>
    <col min="15630" max="15630" width="1.140625" style="25" customWidth="1"/>
    <col min="15631" max="15867" width="11.140625" style="25"/>
    <col min="15868" max="15868" width="16.5703125" style="25" customWidth="1"/>
    <col min="15869" max="15872" width="0" style="25" hidden="1" customWidth="1"/>
    <col min="15873" max="15883" width="9.140625" style="25" customWidth="1"/>
    <col min="15884" max="15884" width="0" style="25" hidden="1" customWidth="1"/>
    <col min="15885" max="15885" width="26.140625" style="25" customWidth="1"/>
    <col min="15886" max="15886" width="1.140625" style="25" customWidth="1"/>
    <col min="15887" max="16123" width="11.140625" style="25"/>
    <col min="16124" max="16124" width="16.5703125" style="25" customWidth="1"/>
    <col min="16125" max="16128" width="0" style="25" hidden="1" customWidth="1"/>
    <col min="16129" max="16139" width="9.140625" style="25" customWidth="1"/>
    <col min="16140" max="16140" width="0" style="25" hidden="1" customWidth="1"/>
    <col min="16141" max="16141" width="26.140625" style="25" customWidth="1"/>
    <col min="16142" max="16142" width="1.140625" style="25" customWidth="1"/>
    <col min="16143" max="16384" width="11.140625" style="25"/>
  </cols>
  <sheetData>
    <row r="1" spans="1:19" s="1" customFormat="1" ht="18" x14ac:dyDescent="0.25">
      <c r="A1" s="40" t="s">
        <v>6</v>
      </c>
      <c r="B1" s="40"/>
      <c r="C1" s="40"/>
      <c r="D1" s="40"/>
      <c r="E1" s="40"/>
      <c r="F1" s="40"/>
      <c r="G1" s="40"/>
      <c r="H1" s="40"/>
      <c r="I1" s="40"/>
      <c r="J1" s="40"/>
      <c r="K1" s="40"/>
      <c r="L1" s="40"/>
      <c r="M1" s="40"/>
    </row>
    <row r="2" spans="1:19" s="2" customFormat="1" ht="15" x14ac:dyDescent="0.25">
      <c r="A2" s="41" t="s">
        <v>7</v>
      </c>
      <c r="B2" s="41"/>
      <c r="C2" s="41"/>
      <c r="D2" s="41"/>
      <c r="E2" s="41"/>
      <c r="F2" s="41"/>
      <c r="G2" s="41"/>
      <c r="H2" s="41"/>
      <c r="I2" s="41"/>
      <c r="J2" s="41"/>
      <c r="K2" s="41"/>
      <c r="L2" s="41"/>
      <c r="M2" s="41"/>
      <c r="O2" s="1"/>
      <c r="P2" s="1"/>
      <c r="Q2" s="1"/>
    </row>
    <row r="3" spans="1:19" s="2" customFormat="1" ht="15.75" x14ac:dyDescent="0.25">
      <c r="A3" s="3" t="s">
        <v>8</v>
      </c>
      <c r="B3" s="4" t="s">
        <v>9</v>
      </c>
      <c r="C3" s="4" t="s">
        <v>10</v>
      </c>
      <c r="D3" s="4" t="s">
        <v>11</v>
      </c>
      <c r="E3" s="5">
        <v>2010</v>
      </c>
      <c r="F3" s="5">
        <v>2011</v>
      </c>
      <c r="G3" s="5">
        <v>2012</v>
      </c>
      <c r="H3" s="5">
        <v>2013</v>
      </c>
      <c r="I3" s="5">
        <v>2014</v>
      </c>
      <c r="J3" s="5">
        <v>2015</v>
      </c>
      <c r="K3" s="5">
        <v>2016</v>
      </c>
      <c r="L3" s="5">
        <v>2017</v>
      </c>
      <c r="M3" s="6" t="s">
        <v>12</v>
      </c>
      <c r="O3" s="1"/>
      <c r="P3" s="1"/>
      <c r="Q3" s="1"/>
      <c r="R3" s="1"/>
      <c r="S3" s="1"/>
    </row>
    <row r="4" spans="1:19" s="2" customFormat="1" ht="18" x14ac:dyDescent="0.25">
      <c r="A4" s="7" t="s">
        <v>2</v>
      </c>
      <c r="B4" s="8"/>
      <c r="C4" s="8"/>
      <c r="D4" s="8"/>
      <c r="E4" s="8"/>
      <c r="F4" s="8"/>
      <c r="G4" s="8"/>
      <c r="H4" s="8"/>
      <c r="I4" s="8"/>
      <c r="J4" s="8"/>
      <c r="K4" s="8"/>
      <c r="L4" s="8"/>
      <c r="M4" s="9" t="s">
        <v>13</v>
      </c>
      <c r="O4" s="1"/>
      <c r="P4" s="1"/>
      <c r="Q4" s="1"/>
    </row>
    <row r="5" spans="1:19" s="2" customFormat="1" ht="18" x14ac:dyDescent="0.25">
      <c r="A5" s="7" t="s">
        <v>14</v>
      </c>
      <c r="B5" s="10">
        <f>SUM(B6:B12)</f>
        <v>1126</v>
      </c>
      <c r="C5" s="10">
        <f t="shared" ref="C5:D5" si="0">SUM(C6:C12)</f>
        <v>1090</v>
      </c>
      <c r="D5" s="10">
        <f t="shared" si="0"/>
        <v>1164</v>
      </c>
      <c r="E5" s="10">
        <v>1105</v>
      </c>
      <c r="F5" s="10">
        <v>1137</v>
      </c>
      <c r="G5" s="11">
        <v>1135</v>
      </c>
      <c r="H5" s="11">
        <f>H14+H23</f>
        <v>1120</v>
      </c>
      <c r="I5" s="11">
        <f>I14+I23</f>
        <v>1143</v>
      </c>
      <c r="J5" s="11">
        <f>J14+J23</f>
        <v>1130</v>
      </c>
      <c r="K5" s="11">
        <f>SUM(K14+K23)</f>
        <v>1226</v>
      </c>
      <c r="L5" s="11">
        <f>SUM(L14+L23)</f>
        <v>1241</v>
      </c>
      <c r="M5" s="9" t="s">
        <v>15</v>
      </c>
      <c r="O5" s="1"/>
      <c r="Q5" s="1"/>
    </row>
    <row r="6" spans="1:19" s="2" customFormat="1" ht="18" x14ac:dyDescent="0.25">
      <c r="A6" s="12" t="s">
        <v>16</v>
      </c>
      <c r="B6" s="13">
        <f>B15+B24</f>
        <v>66</v>
      </c>
      <c r="C6" s="13">
        <v>76</v>
      </c>
      <c r="D6" s="13">
        <v>81</v>
      </c>
      <c r="E6" s="13">
        <v>78</v>
      </c>
      <c r="F6" s="13">
        <v>65</v>
      </c>
      <c r="G6" s="13">
        <v>66</v>
      </c>
      <c r="H6" s="13">
        <v>46</v>
      </c>
      <c r="I6" s="13">
        <v>59</v>
      </c>
      <c r="J6" s="13">
        <v>63</v>
      </c>
      <c r="K6" s="13">
        <f t="shared" ref="K6:K11" si="1">K15+K24</f>
        <v>53</v>
      </c>
      <c r="L6" s="13">
        <v>64</v>
      </c>
      <c r="M6" s="14" t="s">
        <v>17</v>
      </c>
      <c r="O6" s="1"/>
      <c r="P6" s="15"/>
      <c r="Q6" s="16"/>
      <c r="R6" s="15"/>
      <c r="S6" s="15"/>
    </row>
    <row r="7" spans="1:19" s="2" customFormat="1" ht="18" x14ac:dyDescent="0.2">
      <c r="A7" s="12" t="s">
        <v>18</v>
      </c>
      <c r="B7" s="13">
        <f t="shared" ref="B7:B12" si="2">B16+B25</f>
        <v>10</v>
      </c>
      <c r="C7" s="13">
        <v>20</v>
      </c>
      <c r="D7" s="13">
        <v>10</v>
      </c>
      <c r="E7" s="13">
        <v>11</v>
      </c>
      <c r="F7" s="13">
        <v>16</v>
      </c>
      <c r="G7" s="13">
        <v>18</v>
      </c>
      <c r="H7" s="13">
        <v>21</v>
      </c>
      <c r="I7" s="13">
        <v>15</v>
      </c>
      <c r="J7" s="13">
        <v>13</v>
      </c>
      <c r="K7" s="13">
        <f t="shared" si="1"/>
        <v>10</v>
      </c>
      <c r="L7" s="13">
        <v>8</v>
      </c>
      <c r="M7" s="17" t="s">
        <v>19</v>
      </c>
      <c r="O7" s="1"/>
      <c r="P7" s="18"/>
      <c r="Q7" s="16"/>
      <c r="R7" s="15"/>
      <c r="S7" s="15"/>
    </row>
    <row r="8" spans="1:19" s="2" customFormat="1" ht="18" x14ac:dyDescent="0.25">
      <c r="A8" s="12" t="s">
        <v>20</v>
      </c>
      <c r="B8" s="13">
        <f t="shared" si="2"/>
        <v>22</v>
      </c>
      <c r="C8" s="13">
        <v>23</v>
      </c>
      <c r="D8" s="13">
        <v>24</v>
      </c>
      <c r="E8" s="13">
        <v>20</v>
      </c>
      <c r="F8" s="13">
        <v>19</v>
      </c>
      <c r="G8" s="13">
        <v>14</v>
      </c>
      <c r="H8" s="13">
        <v>13</v>
      </c>
      <c r="I8" s="13">
        <v>8</v>
      </c>
      <c r="J8" s="13">
        <v>19</v>
      </c>
      <c r="K8" s="13">
        <f t="shared" si="1"/>
        <v>15</v>
      </c>
      <c r="L8" s="13">
        <v>13</v>
      </c>
      <c r="M8" s="17" t="s">
        <v>21</v>
      </c>
      <c r="O8" s="1"/>
      <c r="Q8" s="1"/>
    </row>
    <row r="9" spans="1:19" s="2" customFormat="1" ht="18" x14ac:dyDescent="0.25">
      <c r="A9" s="12" t="s">
        <v>22</v>
      </c>
      <c r="B9" s="13">
        <f t="shared" si="2"/>
        <v>98</v>
      </c>
      <c r="C9" s="13">
        <v>104</v>
      </c>
      <c r="D9" s="13">
        <v>96</v>
      </c>
      <c r="E9" s="13">
        <v>100</v>
      </c>
      <c r="F9" s="13">
        <v>88</v>
      </c>
      <c r="G9" s="13">
        <v>85</v>
      </c>
      <c r="H9" s="13">
        <v>109</v>
      </c>
      <c r="I9" s="13">
        <v>102</v>
      </c>
      <c r="J9" s="13">
        <v>83</v>
      </c>
      <c r="K9" s="13">
        <f t="shared" si="1"/>
        <v>92</v>
      </c>
      <c r="L9" s="13">
        <v>121</v>
      </c>
      <c r="M9" s="17" t="s">
        <v>23</v>
      </c>
    </row>
    <row r="10" spans="1:19" s="2" customFormat="1" ht="18" x14ac:dyDescent="0.25">
      <c r="A10" s="12" t="s">
        <v>24</v>
      </c>
      <c r="B10" s="13">
        <f t="shared" si="2"/>
        <v>179</v>
      </c>
      <c r="C10" s="13">
        <v>182</v>
      </c>
      <c r="D10" s="13">
        <v>163</v>
      </c>
      <c r="E10" s="13">
        <v>195</v>
      </c>
      <c r="F10" s="13">
        <v>157</v>
      </c>
      <c r="G10" s="13">
        <v>213</v>
      </c>
      <c r="H10" s="13">
        <v>190</v>
      </c>
      <c r="I10" s="13">
        <v>211</v>
      </c>
      <c r="J10" s="13">
        <v>181</v>
      </c>
      <c r="K10" s="13">
        <f t="shared" si="1"/>
        <v>197</v>
      </c>
      <c r="L10" s="13">
        <v>222</v>
      </c>
      <c r="M10" s="17" t="s">
        <v>25</v>
      </c>
    </row>
    <row r="11" spans="1:19" s="2" customFormat="1" ht="18" x14ac:dyDescent="0.25">
      <c r="A11" s="12" t="s">
        <v>26</v>
      </c>
      <c r="B11" s="13">
        <f t="shared" si="2"/>
        <v>751</v>
      </c>
      <c r="C11" s="13">
        <v>685</v>
      </c>
      <c r="D11" s="13">
        <v>790</v>
      </c>
      <c r="E11" s="13">
        <v>701</v>
      </c>
      <c r="F11" s="13">
        <v>792</v>
      </c>
      <c r="G11" s="13">
        <v>739</v>
      </c>
      <c r="H11" s="13">
        <v>741</v>
      </c>
      <c r="I11" s="13">
        <v>748</v>
      </c>
      <c r="J11" s="13">
        <v>771</v>
      </c>
      <c r="K11" s="13">
        <f t="shared" si="1"/>
        <v>859</v>
      </c>
      <c r="L11" s="13">
        <v>813</v>
      </c>
      <c r="M11" s="14" t="s">
        <v>27</v>
      </c>
    </row>
    <row r="12" spans="1:19" s="2" customFormat="1" ht="18" hidden="1" x14ac:dyDescent="0.25">
      <c r="A12" s="12" t="s">
        <v>28</v>
      </c>
      <c r="B12" s="13">
        <f t="shared" si="2"/>
        <v>0</v>
      </c>
      <c r="C12" s="13">
        <v>0</v>
      </c>
      <c r="D12" s="13">
        <v>0</v>
      </c>
      <c r="E12" s="13">
        <v>0</v>
      </c>
      <c r="F12" s="13">
        <v>0</v>
      </c>
      <c r="G12" s="13">
        <v>0</v>
      </c>
      <c r="H12" s="13">
        <v>0</v>
      </c>
      <c r="I12" s="13">
        <v>0</v>
      </c>
      <c r="J12" s="13">
        <v>0</v>
      </c>
      <c r="K12" s="13">
        <f>K21+K30</f>
        <v>0</v>
      </c>
      <c r="L12" s="13">
        <v>0</v>
      </c>
      <c r="M12" s="14" t="s">
        <v>29</v>
      </c>
    </row>
    <row r="13" spans="1:19" s="21" customFormat="1" ht="18" x14ac:dyDescent="0.25">
      <c r="A13" s="7" t="s">
        <v>3</v>
      </c>
      <c r="B13" s="19"/>
      <c r="C13" s="19"/>
      <c r="D13" s="19"/>
      <c r="E13" s="19"/>
      <c r="F13" s="19"/>
      <c r="G13" s="20"/>
      <c r="H13" s="20"/>
      <c r="I13" s="20"/>
      <c r="J13" s="20"/>
      <c r="K13" s="20"/>
      <c r="L13" s="20"/>
      <c r="M13" s="9" t="s">
        <v>0</v>
      </c>
    </row>
    <row r="14" spans="1:19" s="21" customFormat="1" ht="18" x14ac:dyDescent="0.25">
      <c r="A14" s="7" t="s">
        <v>14</v>
      </c>
      <c r="B14" s="10">
        <f t="shared" ref="B14:J14" si="3">SUM(B15:B21)</f>
        <v>690</v>
      </c>
      <c r="C14" s="10">
        <f t="shared" si="3"/>
        <v>643</v>
      </c>
      <c r="D14" s="10">
        <f t="shared" si="3"/>
        <v>676</v>
      </c>
      <c r="E14" s="10">
        <f t="shared" si="3"/>
        <v>660</v>
      </c>
      <c r="F14" s="10">
        <f t="shared" si="3"/>
        <v>686</v>
      </c>
      <c r="G14" s="10">
        <f>SUM(G15:G21)</f>
        <v>656</v>
      </c>
      <c r="H14" s="10">
        <f t="shared" si="3"/>
        <v>649</v>
      </c>
      <c r="I14" s="10">
        <f t="shared" si="3"/>
        <v>663</v>
      </c>
      <c r="J14" s="10">
        <f t="shared" si="3"/>
        <v>666</v>
      </c>
      <c r="K14" s="10">
        <f>SUM(K15:K21)</f>
        <v>658</v>
      </c>
      <c r="L14" s="10">
        <f>SUM(L15:L21)</f>
        <v>750</v>
      </c>
      <c r="M14" s="9" t="s">
        <v>15</v>
      </c>
    </row>
    <row r="15" spans="1:19" s="21" customFormat="1" ht="18" x14ac:dyDescent="0.25">
      <c r="A15" s="12" t="s">
        <v>16</v>
      </c>
      <c r="B15" s="22">
        <v>47</v>
      </c>
      <c r="C15" s="22">
        <v>38</v>
      </c>
      <c r="D15" s="22">
        <v>42</v>
      </c>
      <c r="E15" s="22">
        <v>45</v>
      </c>
      <c r="F15" s="22">
        <v>37</v>
      </c>
      <c r="G15" s="13">
        <v>40</v>
      </c>
      <c r="H15" s="13">
        <v>29</v>
      </c>
      <c r="I15" s="13">
        <v>32</v>
      </c>
      <c r="J15" s="13">
        <v>34</v>
      </c>
      <c r="K15" s="13">
        <v>21</v>
      </c>
      <c r="L15" s="13">
        <v>42</v>
      </c>
      <c r="M15" s="14" t="s">
        <v>17</v>
      </c>
    </row>
    <row r="16" spans="1:19" s="21" customFormat="1" ht="18" x14ac:dyDescent="0.25">
      <c r="A16" s="12" t="s">
        <v>18</v>
      </c>
      <c r="B16" s="22">
        <v>5</v>
      </c>
      <c r="C16" s="22">
        <v>10</v>
      </c>
      <c r="D16" s="22">
        <v>5</v>
      </c>
      <c r="E16" s="22">
        <v>5</v>
      </c>
      <c r="F16" s="22">
        <v>9</v>
      </c>
      <c r="G16" s="13">
        <v>15</v>
      </c>
      <c r="H16" s="13">
        <v>11</v>
      </c>
      <c r="I16" s="13">
        <v>6</v>
      </c>
      <c r="J16" s="13">
        <v>8</v>
      </c>
      <c r="K16" s="13">
        <v>5</v>
      </c>
      <c r="L16" s="13">
        <v>5</v>
      </c>
      <c r="M16" s="17" t="s">
        <v>19</v>
      </c>
    </row>
    <row r="17" spans="1:14" s="21" customFormat="1" ht="18" x14ac:dyDescent="0.25">
      <c r="A17" s="12" t="s">
        <v>20</v>
      </c>
      <c r="B17" s="22">
        <v>12</v>
      </c>
      <c r="C17" s="22">
        <v>13</v>
      </c>
      <c r="D17" s="22">
        <v>14</v>
      </c>
      <c r="E17" s="22">
        <v>14</v>
      </c>
      <c r="F17" s="22">
        <v>10</v>
      </c>
      <c r="G17" s="13">
        <v>6</v>
      </c>
      <c r="H17" s="13">
        <v>7</v>
      </c>
      <c r="I17" s="13">
        <v>6</v>
      </c>
      <c r="J17" s="13">
        <v>10</v>
      </c>
      <c r="K17" s="13">
        <v>11</v>
      </c>
      <c r="L17" s="13">
        <v>4</v>
      </c>
      <c r="M17" s="17" t="s">
        <v>21</v>
      </c>
    </row>
    <row r="18" spans="1:14" s="21" customFormat="1" ht="18" x14ac:dyDescent="0.25">
      <c r="A18" s="12" t="s">
        <v>22</v>
      </c>
      <c r="B18" s="22">
        <v>65</v>
      </c>
      <c r="C18" s="22">
        <v>63</v>
      </c>
      <c r="D18" s="22">
        <v>61</v>
      </c>
      <c r="E18" s="22">
        <v>64</v>
      </c>
      <c r="F18" s="22">
        <v>56</v>
      </c>
      <c r="G18" s="13">
        <v>45</v>
      </c>
      <c r="H18" s="13">
        <v>66</v>
      </c>
      <c r="I18" s="13">
        <v>71</v>
      </c>
      <c r="J18" s="13">
        <v>52</v>
      </c>
      <c r="K18" s="13">
        <v>52</v>
      </c>
      <c r="L18" s="13">
        <v>81</v>
      </c>
      <c r="M18" s="17" t="s">
        <v>23</v>
      </c>
    </row>
    <row r="19" spans="1:14" s="21" customFormat="1" ht="18" x14ac:dyDescent="0.25">
      <c r="A19" s="12" t="s">
        <v>24</v>
      </c>
      <c r="B19" s="22">
        <v>98</v>
      </c>
      <c r="C19" s="22">
        <v>114</v>
      </c>
      <c r="D19" s="22">
        <v>94</v>
      </c>
      <c r="E19" s="22">
        <v>125</v>
      </c>
      <c r="F19" s="22">
        <v>99</v>
      </c>
      <c r="G19" s="13">
        <v>127</v>
      </c>
      <c r="H19" s="13">
        <v>121</v>
      </c>
      <c r="I19" s="13">
        <v>131</v>
      </c>
      <c r="J19" s="13">
        <v>129</v>
      </c>
      <c r="K19" s="13">
        <v>113</v>
      </c>
      <c r="L19" s="13">
        <v>143</v>
      </c>
      <c r="M19" s="17" t="s">
        <v>25</v>
      </c>
    </row>
    <row r="20" spans="1:14" ht="18" x14ac:dyDescent="0.25">
      <c r="A20" s="12" t="s">
        <v>26</v>
      </c>
      <c r="B20" s="23">
        <v>463</v>
      </c>
      <c r="C20" s="23">
        <v>405</v>
      </c>
      <c r="D20" s="23">
        <v>460</v>
      </c>
      <c r="E20" s="23">
        <v>407</v>
      </c>
      <c r="F20" s="23">
        <v>475</v>
      </c>
      <c r="G20" s="24">
        <v>423</v>
      </c>
      <c r="H20" s="24">
        <v>415</v>
      </c>
      <c r="I20" s="24">
        <v>417</v>
      </c>
      <c r="J20" s="24">
        <v>433</v>
      </c>
      <c r="K20" s="24">
        <v>456</v>
      </c>
      <c r="L20" s="24">
        <v>475</v>
      </c>
      <c r="M20" s="14" t="s">
        <v>27</v>
      </c>
    </row>
    <row r="21" spans="1:14" ht="18" hidden="1" x14ac:dyDescent="0.25">
      <c r="A21" s="12" t="s">
        <v>28</v>
      </c>
      <c r="B21" s="23">
        <v>0</v>
      </c>
      <c r="C21" s="23"/>
      <c r="D21" s="23"/>
      <c r="E21" s="23"/>
      <c r="F21" s="23">
        <v>0</v>
      </c>
      <c r="G21" s="24">
        <v>0</v>
      </c>
      <c r="H21" s="24">
        <v>0</v>
      </c>
      <c r="I21" s="24">
        <v>0</v>
      </c>
      <c r="J21" s="24">
        <v>0</v>
      </c>
      <c r="K21" s="24">
        <v>0</v>
      </c>
      <c r="L21" s="24">
        <v>0</v>
      </c>
      <c r="M21" s="14" t="s">
        <v>29</v>
      </c>
    </row>
    <row r="22" spans="1:14" ht="18" x14ac:dyDescent="0.25">
      <c r="A22" s="7" t="s">
        <v>4</v>
      </c>
      <c r="B22" s="26"/>
      <c r="C22" s="26"/>
      <c r="D22" s="26"/>
      <c r="E22" s="26"/>
      <c r="F22" s="26"/>
      <c r="G22" s="27"/>
      <c r="H22" s="27"/>
      <c r="I22" s="27"/>
      <c r="J22" s="27"/>
      <c r="K22" s="27"/>
      <c r="L22" s="27"/>
      <c r="M22" s="9" t="s">
        <v>1</v>
      </c>
    </row>
    <row r="23" spans="1:14" ht="18" x14ac:dyDescent="0.2">
      <c r="A23" s="7" t="s">
        <v>14</v>
      </c>
      <c r="B23" s="10">
        <f>SUM(B24:B30)</f>
        <v>436</v>
      </c>
      <c r="C23" s="10">
        <f t="shared" ref="C23:J23" si="4">SUM(C24:C30)</f>
        <v>447</v>
      </c>
      <c r="D23" s="10">
        <f t="shared" si="4"/>
        <v>488</v>
      </c>
      <c r="E23" s="10">
        <f t="shared" si="4"/>
        <v>445</v>
      </c>
      <c r="F23" s="10">
        <f t="shared" si="4"/>
        <v>451</v>
      </c>
      <c r="G23" s="10">
        <f t="shared" si="4"/>
        <v>479</v>
      </c>
      <c r="H23" s="10">
        <f t="shared" si="4"/>
        <v>471</v>
      </c>
      <c r="I23" s="10">
        <f t="shared" si="4"/>
        <v>480</v>
      </c>
      <c r="J23" s="10">
        <f t="shared" si="4"/>
        <v>464</v>
      </c>
      <c r="K23" s="10">
        <f>SUM(K24:K30)</f>
        <v>568</v>
      </c>
      <c r="L23" s="10">
        <f>SUM(L24:L30)</f>
        <v>491</v>
      </c>
      <c r="M23" s="9" t="s">
        <v>15</v>
      </c>
    </row>
    <row r="24" spans="1:14" ht="18" x14ac:dyDescent="0.25">
      <c r="A24" s="12" t="s">
        <v>16</v>
      </c>
      <c r="B24" s="23">
        <v>19</v>
      </c>
      <c r="C24" s="23">
        <v>38</v>
      </c>
      <c r="D24" s="23">
        <v>39</v>
      </c>
      <c r="E24" s="23">
        <v>33</v>
      </c>
      <c r="F24" s="23">
        <v>28</v>
      </c>
      <c r="G24" s="24">
        <v>26</v>
      </c>
      <c r="H24" s="24">
        <v>17</v>
      </c>
      <c r="I24" s="24">
        <v>27</v>
      </c>
      <c r="J24" s="24">
        <v>29</v>
      </c>
      <c r="K24" s="24">
        <v>32</v>
      </c>
      <c r="L24" s="24">
        <v>22</v>
      </c>
      <c r="M24" s="14" t="s">
        <v>17</v>
      </c>
    </row>
    <row r="25" spans="1:14" ht="18" x14ac:dyDescent="0.25">
      <c r="A25" s="12" t="s">
        <v>18</v>
      </c>
      <c r="B25" s="23">
        <v>5</v>
      </c>
      <c r="C25" s="23">
        <v>10</v>
      </c>
      <c r="D25" s="23">
        <v>5</v>
      </c>
      <c r="E25" s="23">
        <v>6</v>
      </c>
      <c r="F25" s="23">
        <v>7</v>
      </c>
      <c r="G25" s="24">
        <v>3</v>
      </c>
      <c r="H25" s="24">
        <v>10</v>
      </c>
      <c r="I25" s="24">
        <v>9</v>
      </c>
      <c r="J25" s="24">
        <v>5</v>
      </c>
      <c r="K25" s="24">
        <v>5</v>
      </c>
      <c r="L25" s="24">
        <v>3</v>
      </c>
      <c r="M25" s="17" t="s">
        <v>19</v>
      </c>
    </row>
    <row r="26" spans="1:14" ht="18" x14ac:dyDescent="0.25">
      <c r="A26" s="12" t="s">
        <v>20</v>
      </c>
      <c r="B26" s="23">
        <v>10</v>
      </c>
      <c r="C26" s="23">
        <v>10</v>
      </c>
      <c r="D26" s="23">
        <v>10</v>
      </c>
      <c r="E26" s="23">
        <v>6</v>
      </c>
      <c r="F26" s="23">
        <v>9</v>
      </c>
      <c r="G26" s="24">
        <v>8</v>
      </c>
      <c r="H26" s="24">
        <v>6</v>
      </c>
      <c r="I26" s="24">
        <v>2</v>
      </c>
      <c r="J26" s="24">
        <v>9</v>
      </c>
      <c r="K26" s="24">
        <v>4</v>
      </c>
      <c r="L26" s="24">
        <v>9</v>
      </c>
      <c r="M26" s="17" t="s">
        <v>21</v>
      </c>
    </row>
    <row r="27" spans="1:14" ht="18" x14ac:dyDescent="0.25">
      <c r="A27" s="28" t="s">
        <v>22</v>
      </c>
      <c r="B27" s="23">
        <v>33</v>
      </c>
      <c r="C27" s="23">
        <v>41</v>
      </c>
      <c r="D27" s="23">
        <v>35</v>
      </c>
      <c r="E27" s="23">
        <v>36</v>
      </c>
      <c r="F27" s="23">
        <v>32</v>
      </c>
      <c r="G27" s="24">
        <v>40</v>
      </c>
      <c r="H27" s="24">
        <v>43</v>
      </c>
      <c r="I27" s="24">
        <v>31</v>
      </c>
      <c r="J27" s="24">
        <v>31</v>
      </c>
      <c r="K27" s="24">
        <v>40</v>
      </c>
      <c r="L27" s="24">
        <v>40</v>
      </c>
      <c r="M27" s="29" t="s">
        <v>23</v>
      </c>
    </row>
    <row r="28" spans="1:14" ht="18" x14ac:dyDescent="0.25">
      <c r="A28" s="28" t="s">
        <v>24</v>
      </c>
      <c r="B28" s="23">
        <v>81</v>
      </c>
      <c r="C28" s="23">
        <v>68</v>
      </c>
      <c r="D28" s="23">
        <v>69</v>
      </c>
      <c r="E28" s="23">
        <v>70</v>
      </c>
      <c r="F28" s="23">
        <v>58</v>
      </c>
      <c r="G28" s="24">
        <v>86</v>
      </c>
      <c r="H28" s="24">
        <v>69</v>
      </c>
      <c r="I28" s="24">
        <v>80</v>
      </c>
      <c r="J28" s="24">
        <v>52</v>
      </c>
      <c r="K28" s="24">
        <v>84</v>
      </c>
      <c r="L28" s="24">
        <v>79</v>
      </c>
      <c r="M28" s="29" t="s">
        <v>25</v>
      </c>
    </row>
    <row r="29" spans="1:14" ht="18" x14ac:dyDescent="0.25">
      <c r="A29" s="28" t="s">
        <v>26</v>
      </c>
      <c r="B29" s="23">
        <v>288</v>
      </c>
      <c r="C29" s="23">
        <v>280</v>
      </c>
      <c r="D29" s="23">
        <v>330</v>
      </c>
      <c r="E29" s="23">
        <v>294</v>
      </c>
      <c r="F29" s="23">
        <v>317</v>
      </c>
      <c r="G29" s="24">
        <v>316</v>
      </c>
      <c r="H29" s="24">
        <v>326</v>
      </c>
      <c r="I29" s="24">
        <v>331</v>
      </c>
      <c r="J29" s="24">
        <v>338</v>
      </c>
      <c r="K29" s="24">
        <v>403</v>
      </c>
      <c r="L29" s="24">
        <v>338</v>
      </c>
      <c r="M29" s="30" t="s">
        <v>27</v>
      </c>
    </row>
    <row r="30" spans="1:14" ht="15.75" hidden="1" x14ac:dyDescent="0.2">
      <c r="A30" s="31" t="s">
        <v>28</v>
      </c>
      <c r="B30" s="33">
        <v>0</v>
      </c>
      <c r="C30" s="33">
        <v>0</v>
      </c>
      <c r="D30" s="33">
        <v>0</v>
      </c>
      <c r="E30" s="33">
        <v>0</v>
      </c>
      <c r="F30" s="33">
        <v>0</v>
      </c>
      <c r="G30" s="32">
        <v>0</v>
      </c>
      <c r="H30" s="32">
        <v>0</v>
      </c>
      <c r="I30" s="32">
        <v>0</v>
      </c>
      <c r="J30" s="32"/>
      <c r="K30" s="34">
        <v>0</v>
      </c>
      <c r="L30" s="35">
        <v>0</v>
      </c>
      <c r="M30" s="36" t="s">
        <v>29</v>
      </c>
    </row>
    <row r="31" spans="1:14" x14ac:dyDescent="0.2">
      <c r="A31" s="42" t="s">
        <v>30</v>
      </c>
      <c r="B31" s="42"/>
      <c r="C31" s="42"/>
      <c r="D31" s="42"/>
      <c r="E31" s="42"/>
      <c r="F31" s="42"/>
      <c r="G31" s="42"/>
      <c r="H31" s="42"/>
      <c r="I31" s="42"/>
      <c r="J31" s="42"/>
      <c r="K31" s="42"/>
      <c r="L31" s="42"/>
      <c r="M31" s="42"/>
    </row>
    <row r="32" spans="1:14" x14ac:dyDescent="0.2">
      <c r="A32" s="43" t="s">
        <v>31</v>
      </c>
      <c r="B32" s="43"/>
      <c r="C32" s="43"/>
      <c r="D32" s="43"/>
      <c r="E32" s="43"/>
      <c r="F32" s="43"/>
      <c r="G32" s="43"/>
      <c r="H32" s="43"/>
      <c r="I32" s="43"/>
      <c r="J32" s="43"/>
      <c r="K32" s="43"/>
      <c r="L32" s="43"/>
      <c r="M32" s="43"/>
      <c r="N32" s="37"/>
    </row>
    <row r="33" spans="1:12" s="21" customFormat="1" x14ac:dyDescent="0.25">
      <c r="A33" s="38" t="s">
        <v>5</v>
      </c>
      <c r="B33" s="39"/>
      <c r="C33" s="39"/>
      <c r="D33" s="39"/>
      <c r="E33" s="39"/>
      <c r="F33" s="39"/>
      <c r="G33" s="39"/>
      <c r="H33" s="39"/>
      <c r="I33" s="39"/>
      <c r="J33" s="39"/>
      <c r="K33" s="39"/>
      <c r="L33" s="39"/>
    </row>
  </sheetData>
  <mergeCells count="4">
    <mergeCell ref="A1:M1"/>
    <mergeCell ref="A2:M2"/>
    <mergeCell ref="A31:M31"/>
    <mergeCell ref="A32:M32"/>
  </mergeCells>
  <pageMargins left="0.7" right="0.7" top="0.75" bottom="0.75" header="0.3" footer="0.3"/>
  <pageSetup scale="6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3.10</vt:lpstr>
      <vt:lpstr>'3.10'!Print_Area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2019-07-31T06:25:03Z</cp:lastPrinted>
  <dcterms:created xsi:type="dcterms:W3CDTF">2019-07-22T06:02:33Z</dcterms:created>
  <dcterms:modified xsi:type="dcterms:W3CDTF">2019-07-31T06:25:37Z</dcterms:modified>
</cp:coreProperties>
</file>