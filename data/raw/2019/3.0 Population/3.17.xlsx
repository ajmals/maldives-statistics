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7" sheetId="17" r:id="rId1"/>
  </sheets>
  <externalReferences>
    <externalReference r:id="rId2"/>
    <externalReference r:id="rId3"/>
    <externalReference r:id="rId4"/>
  </externalReferences>
  <definedNames>
    <definedName name="_xlnm.Print_Area" localSheetId="0">'3.17'!$A$1:$S$79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7" l="1"/>
  <c r="Q24" i="17"/>
  <c r="R31" i="17"/>
  <c r="R27" i="17"/>
  <c r="Q10" i="17"/>
  <c r="R22" i="17"/>
  <c r="Q28" i="17"/>
  <c r="R12" i="17"/>
  <c r="R10" i="17"/>
  <c r="R9" i="17"/>
  <c r="Q9" i="17"/>
  <c r="Q12" i="17"/>
  <c r="Q13" i="17"/>
  <c r="R13" i="17"/>
  <c r="Q14" i="17"/>
  <c r="R14" i="17"/>
  <c r="Q15" i="17"/>
  <c r="R15" i="17"/>
  <c r="Q16" i="17"/>
  <c r="R16" i="17"/>
  <c r="Q17" i="17"/>
  <c r="R17" i="17"/>
  <c r="Q18" i="17"/>
  <c r="R18" i="17"/>
  <c r="Q19" i="17"/>
  <c r="R19" i="17"/>
  <c r="Q20" i="17"/>
  <c r="R20" i="17"/>
  <c r="Q21" i="17"/>
  <c r="R21" i="17"/>
  <c r="Q22" i="17"/>
  <c r="Q23" i="17"/>
  <c r="R23" i="17"/>
  <c r="Q25" i="17"/>
  <c r="R25" i="17"/>
  <c r="Q26" i="17"/>
  <c r="R26" i="17"/>
  <c r="Q27" i="17"/>
  <c r="R28" i="17"/>
  <c r="Q29" i="17"/>
  <c r="R29" i="17"/>
  <c r="Q30" i="17"/>
  <c r="R30" i="17"/>
  <c r="Q31" i="17"/>
  <c r="AW43" i="17" l="1"/>
  <c r="AV43" i="17"/>
  <c r="AW42" i="17"/>
  <c r="AV42" i="17"/>
  <c r="P11" i="17"/>
  <c r="P8" i="17" s="1"/>
  <c r="O11" i="17"/>
  <c r="O8" i="17" s="1"/>
  <c r="N11" i="17"/>
  <c r="M11" i="17"/>
  <c r="K11" i="17"/>
  <c r="K8" i="17" s="1"/>
  <c r="J11" i="17"/>
  <c r="J8" i="17" s="1"/>
  <c r="I11" i="17"/>
  <c r="H11" i="17"/>
  <c r="H8" i="17" s="1"/>
  <c r="F11" i="17"/>
  <c r="F8" i="17" s="1"/>
  <c r="E11" i="17"/>
  <c r="E8" i="17" s="1"/>
  <c r="D11" i="17"/>
  <c r="D8" i="17" s="1"/>
  <c r="C11" i="17"/>
  <c r="C8" i="17" s="1"/>
  <c r="AV44" i="17" l="1"/>
  <c r="Q11" i="17"/>
  <c r="AW44" i="17"/>
  <c r="R11" i="17"/>
  <c r="N8" i="17"/>
  <c r="I8" i="17"/>
  <c r="M8" i="17"/>
  <c r="Q8" i="17" s="1"/>
  <c r="R8" i="17" l="1"/>
</calcChain>
</file>

<file path=xl/sharedStrings.xml><?xml version="1.0" encoding="utf-8"?>
<sst xmlns="http://schemas.openxmlformats.org/spreadsheetml/2006/main" count="79" uniqueCount="40">
  <si>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</si>
  <si>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</si>
  <si>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</si>
  <si>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</si>
  <si>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</si>
  <si>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</si>
  <si>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</si>
  <si>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</si>
  <si>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</si>
  <si>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</si>
  <si>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</si>
  <si>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</si>
  <si>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</si>
  <si>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</si>
  <si>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</si>
  <si>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</si>
  <si>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</si>
  <si>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</si>
  <si>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</si>
  <si>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</si>
  <si>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</si>
  <si>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</si>
  <si>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</si>
  <si>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</si>
  <si>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</si>
  <si>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ތާވަލު 3.17: މާލެ އާއި އަތޮޅުތަކުގައި ކުރެވުނު ކައިވެންޏާއި ވަރި، 2016 - 2018</t>
  </si>
  <si>
    <t>Table 3.17 :  MARRIAGES AND DIVORCES IN MALE' AND ATOLLS, 2016 - 2018</t>
  </si>
  <si>
    <t>% Change over previous year of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</si>
  <si>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</si>
  <si>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</si>
  <si>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</si>
  <si>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</si>
  <si>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</si>
  <si>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</si>
  <si>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</si>
  <si>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</si>
  <si>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</si>
  <si>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</si>
  <si>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Marriages </t>
  </si>
  <si>
    <t xml:space="preserve">Divorces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</si>
</sst>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12">
    <xf numFmtId="0" fontId="0" fillId="0" borderId="0"/>
    <xf numFmtId="0" fontId="7" fillId="0" borderId="0"/>
    <xf numFmtId="0" fontId="7" fillId="0" borderId="0"/>
    <xf numFmtId="168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3" fillId="0" borderId="0"/>
    <xf numFmtId="0" fontId="7" fillId="0" borderId="0"/>
    <xf numFmtId="0" fontId="7" fillId="0" borderId="0"/>
    <xf numFmtId="0" fontId="1" fillId="0" borderId="0"/>
    <xf numFmtId="164" fontId="2" fillId="0" borderId="0"/>
    <xf numFmtId="177" fontId="2" fillId="0" borderId="0"/>
  </cellStyleXfs>
  <cellXfs count="83">
    <xf numFmtId="0" fontId="0" fillId="0" borderId="0" xfId="0"/>
    <xf numFmtId="164" fontId="4" fillId="2" borderId="0" xfId="11" applyNumberFormat="1" applyFont="1" applyFill="1" applyAlignment="1" applyProtection="1">
      <alignment horizontal="center" vertical="center"/>
      <protection locked="0"/>
    </xf>
    <xf numFmtId="164" fontId="11" fillId="2" borderId="0" xfId="11" applyNumberFormat="1" applyFont="1" applyFill="1" applyAlignment="1" applyProtection="1">
      <alignment vertical="center"/>
      <protection locked="0"/>
    </xf>
    <xf numFmtId="164" fontId="3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Border="1" applyAlignment="1" applyProtection="1">
      <alignment vertical="center"/>
      <protection locked="0"/>
    </xf>
    <xf numFmtId="164" fontId="14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0" fillId="2" borderId="0" xfId="11" applyNumberFormat="1" applyFont="1" applyFill="1" applyAlignment="1" applyProtection="1">
      <alignment vertical="center"/>
      <protection locked="0"/>
    </xf>
    <xf numFmtId="164" fontId="14" fillId="2" borderId="2" xfId="11" applyNumberFormat="1" applyFont="1" applyFill="1" applyBorder="1" applyAlignment="1" applyProtection="1">
      <alignment horizontal="center" vertical="center"/>
      <protection locked="0"/>
    </xf>
    <xf numFmtId="1" fontId="10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4" fillId="2" borderId="0" xfId="11" applyNumberFormat="1" applyFont="1" applyFill="1" applyBorder="1" applyAlignment="1" applyProtection="1">
      <alignment horizontal="center" vertical="center"/>
      <protection locked="0"/>
    </xf>
    <xf numFmtId="164" fontId="14" fillId="2" borderId="3" xfId="11" applyNumberFormat="1" applyFont="1" applyFill="1" applyBorder="1" applyAlignment="1" applyProtection="1">
      <alignment horizontal="center" vertical="center"/>
      <protection locked="0"/>
    </xf>
    <xf numFmtId="164" fontId="5" fillId="2" borderId="0" xfId="11" applyNumberFormat="1" applyFont="1" applyFill="1" applyBorder="1" applyAlignment="1" applyProtection="1">
      <alignment horizontal="right" vertical="center"/>
      <protection locked="0"/>
    </xf>
    <xf numFmtId="164" fontId="5" fillId="2" borderId="4" xfId="11" applyNumberFormat="1" applyFont="1" applyFill="1" applyBorder="1" applyAlignment="1" applyProtection="1">
      <alignment horizontal="right" vertical="center"/>
      <protection locked="0"/>
    </xf>
    <xf numFmtId="1" fontId="14" fillId="2" borderId="1" xfId="11" applyNumberFormat="1" applyFont="1" applyFill="1" applyBorder="1" applyAlignment="1" applyProtection="1">
      <alignment horizontal="right" vertical="center"/>
      <protection locked="0"/>
    </xf>
    <xf numFmtId="1" fontId="14" fillId="2" borderId="5" xfId="11" applyNumberFormat="1" applyFont="1" applyFill="1" applyBorder="1" applyAlignment="1" applyProtection="1">
      <alignment horizontal="right" vertical="center"/>
      <protection locked="0"/>
    </xf>
    <xf numFmtId="1" fontId="14" fillId="2" borderId="0" xfId="11" applyNumberFormat="1" applyFont="1" applyFill="1" applyBorder="1" applyAlignment="1" applyProtection="1">
      <alignment horizontal="right" vertical="center"/>
      <protection locked="0"/>
    </xf>
    <xf numFmtId="1" fontId="10" fillId="2" borderId="1" xfId="11" applyNumberFormat="1" applyFont="1" applyFill="1" applyBorder="1" applyAlignment="1" applyProtection="1">
      <alignment horizontal="right" vertical="center"/>
      <protection locked="0"/>
    </xf>
    <xf numFmtId="1" fontId="14" fillId="2" borderId="4" xfId="11" applyNumberFormat="1" applyFont="1" applyFill="1" applyBorder="1" applyAlignment="1" applyProtection="1">
      <alignment horizontal="right" vertical="center"/>
      <protection locked="0"/>
    </xf>
    <xf numFmtId="1" fontId="10" fillId="2" borderId="0" xfId="11" applyNumberFormat="1" applyFont="1" applyFill="1" applyBorder="1" applyAlignment="1" applyProtection="1">
      <alignment horizontal="right" vertical="center"/>
      <protection locked="0"/>
    </xf>
    <xf numFmtId="164" fontId="10" fillId="2" borderId="0" xfId="11" applyNumberFormat="1" applyFont="1" applyFill="1" applyAlignment="1" applyProtection="1">
      <alignment horizontal="right" vertical="center"/>
      <protection locked="0"/>
    </xf>
    <xf numFmtId="164" fontId="8" fillId="2" borderId="0" xfId="11" applyNumberFormat="1" applyFont="1" applyFill="1" applyBorder="1" applyAlignment="1" applyProtection="1">
      <alignment vertical="center"/>
      <protection locked="0"/>
    </xf>
    <xf numFmtId="3" fontId="8" fillId="2" borderId="0" xfId="11" applyNumberFormat="1" applyFont="1" applyFill="1" applyBorder="1" applyAlignment="1" applyProtection="1">
      <alignment vertical="center"/>
      <protection locked="0"/>
    </xf>
    <xf numFmtId="3" fontId="8" fillId="2" borderId="0" xfId="11" applyNumberFormat="1" applyFont="1" applyFill="1" applyBorder="1" applyAlignment="1" applyProtection="1">
      <alignment horizontal="right" vertical="center"/>
      <protection hidden="1"/>
    </xf>
    <xf numFmtId="3" fontId="8" fillId="2" borderId="4" xfId="11" applyNumberFormat="1" applyFont="1" applyFill="1" applyBorder="1" applyAlignment="1" applyProtection="1">
      <alignment horizontal="right" vertical="center"/>
      <protection hidden="1"/>
    </xf>
    <xf numFmtId="3" fontId="8" fillId="2" borderId="2" xfId="11" applyNumberFormat="1" applyFont="1" applyFill="1" applyBorder="1" applyAlignment="1" applyProtection="1">
      <alignment horizontal="right" vertical="center"/>
      <protection hidden="1"/>
    </xf>
    <xf numFmtId="1" fontId="10" fillId="2" borderId="0" xfId="11" applyNumberFormat="1" applyFont="1" applyFill="1" applyBorder="1" applyAlignment="1" applyProtection="1">
      <alignment vertical="center"/>
      <protection locked="0"/>
    </xf>
    <xf numFmtId="164" fontId="10" fillId="2" borderId="0" xfId="11" applyNumberFormat="1" applyFont="1" applyFill="1" applyAlignment="1" applyProtection="1">
      <alignment vertical="center"/>
      <protection hidden="1"/>
    </xf>
    <xf numFmtId="3" fontId="8" fillId="2" borderId="0" xfId="11" applyNumberFormat="1" applyFont="1" applyFill="1" applyBorder="1" applyAlignment="1" applyProtection="1">
      <alignment horizontal="right" vertical="center"/>
      <protection locked="0"/>
    </xf>
    <xf numFmtId="3" fontId="8" fillId="2" borderId="4" xfId="11" applyNumberFormat="1" applyFont="1" applyFill="1" applyBorder="1" applyAlignment="1" applyProtection="1">
      <alignment horizontal="right" vertical="center"/>
      <protection locked="0"/>
    </xf>
    <xf numFmtId="1" fontId="6" fillId="2" borderId="4" xfId="11" applyNumberFormat="1" applyFont="1" applyFill="1" applyBorder="1" applyAlignment="1" applyProtection="1">
      <alignment vertical="center"/>
      <protection locked="0"/>
    </xf>
    <xf numFmtId="1" fontId="6" fillId="2" borderId="0" xfId="11" applyNumberFormat="1" applyFont="1" applyFill="1" applyBorder="1" applyAlignment="1" applyProtection="1">
      <alignment vertical="center"/>
      <protection locked="0"/>
    </xf>
    <xf numFmtId="164" fontId="8" fillId="2" borderId="0" xfId="11" applyNumberFormat="1" applyFont="1" applyFill="1" applyBorder="1" applyAlignment="1" applyProtection="1">
      <alignment horizontal="left" vertical="center"/>
      <protection locked="0"/>
    </xf>
    <xf numFmtId="1" fontId="11" fillId="2" borderId="0" xfId="11" applyNumberFormat="1" applyFont="1" applyFill="1" applyBorder="1" applyAlignment="1" applyProtection="1">
      <alignment vertical="center"/>
      <protection locked="0"/>
    </xf>
    <xf numFmtId="164" fontId="9" fillId="2" borderId="0" xfId="11" applyNumberFormat="1" applyFont="1" applyFill="1" applyBorder="1" applyAlignment="1" applyProtection="1">
      <alignment horizontal="left" vertical="center" indent="1"/>
      <protection locked="0"/>
    </xf>
    <xf numFmtId="3" fontId="9" fillId="2" borderId="0" xfId="11" applyNumberFormat="1" applyFont="1" applyFill="1" applyBorder="1" applyAlignment="1" applyProtection="1">
      <alignment vertical="center"/>
      <protection locked="0"/>
    </xf>
    <xf numFmtId="3" fontId="9" fillId="2" borderId="0" xfId="11" applyNumberFormat="1" applyFont="1" applyFill="1" applyBorder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64" fontId="11" fillId="2" borderId="0" xfId="11" applyNumberFormat="1" applyFont="1" applyFill="1" applyAlignment="1" applyProtection="1">
      <alignment vertical="center"/>
      <protection hidden="1"/>
    </xf>
    <xf numFmtId="164" fontId="11" fillId="2" borderId="0" xfId="11" applyNumberFormat="1" applyFont="1" applyFill="1" applyBorder="1" applyAlignment="1" applyProtection="1">
      <alignment vertical="center"/>
      <protection locked="0"/>
    </xf>
    <xf numFmtId="164" fontId="11" fillId="2" borderId="0" xfId="11" applyNumberFormat="1" applyFont="1" applyFill="1" applyBorder="1" applyAlignment="1" applyProtection="1">
      <alignment horizontal="center"/>
      <protection locked="0"/>
    </xf>
    <xf numFmtId="3" fontId="9" fillId="2" borderId="1" xfId="11" applyNumberFormat="1" applyFont="1" applyFill="1" applyBorder="1" applyAlignment="1" applyProtection="1">
      <alignment horizontal="left" vertical="center" indent="1"/>
      <protection locked="0"/>
    </xf>
    <xf numFmtId="3" fontId="9" fillId="2" borderId="1" xfId="11" applyNumberFormat="1" applyFont="1" applyFill="1" applyBorder="1" applyAlignment="1" applyProtection="1">
      <alignment horizontal="right" vertical="center"/>
      <protection locked="0"/>
    </xf>
    <xf numFmtId="3" fontId="9" fillId="2" borderId="5" xfId="11" applyNumberFormat="1" applyFont="1" applyFill="1" applyBorder="1" applyAlignment="1" applyProtection="1">
      <alignment horizontal="right" vertical="center"/>
      <protection locked="0"/>
    </xf>
    <xf numFmtId="1" fontId="6" fillId="2" borderId="5" xfId="11" applyNumberFormat="1" applyFont="1" applyFill="1" applyBorder="1" applyAlignment="1" applyProtection="1">
      <alignment vertical="center"/>
      <protection locked="0"/>
    </xf>
    <xf numFmtId="1" fontId="6" fillId="2" borderId="1" xfId="11" applyNumberFormat="1" applyFont="1" applyFill="1" applyBorder="1" applyAlignment="1" applyProtection="1">
      <alignment vertical="center"/>
      <protection locked="0"/>
    </xf>
    <xf numFmtId="164" fontId="16" fillId="2" borderId="0" xfId="11" applyNumberFormat="1" applyFont="1" applyFill="1" applyBorder="1" applyAlignment="1" applyProtection="1">
      <protection locked="0"/>
    </xf>
    <xf numFmtId="164" fontId="16" fillId="2" borderId="0" xfId="11" applyNumberFormat="1" applyFont="1" applyFill="1" applyBorder="1" applyProtection="1">
      <protection locked="0"/>
    </xf>
    <xf numFmtId="164" fontId="16" fillId="2" borderId="0" xfId="11" applyNumberFormat="1" applyFont="1" applyFill="1" applyProtection="1">
      <protection locked="0"/>
    </xf>
    <xf numFmtId="164" fontId="16" fillId="2" borderId="0" xfId="11" applyNumberFormat="1" applyFont="1" applyFill="1" applyProtection="1">
      <protection hidden="1"/>
    </xf>
    <xf numFmtId="164" fontId="15" fillId="2" borderId="2" xfId="11" applyNumberFormat="1" applyFont="1" applyFill="1" applyBorder="1" applyAlignment="1" applyProtection="1">
      <protection hidden="1"/>
    </xf>
    <xf numFmtId="1" fontId="12" fillId="2" borderId="0" xfId="11" applyNumberFormat="1" applyFont="1" applyFill="1" applyProtection="1">
      <protection hidden="1"/>
    </xf>
    <xf numFmtId="0" fontId="17" fillId="2" borderId="0" xfId="0" applyFont="1" applyFill="1"/>
    <xf numFmtId="164" fontId="11" fillId="2" borderId="0" xfId="11" applyNumberFormat="1" applyFont="1" applyFill="1" applyBorder="1" applyAlignment="1" applyProtection="1">
      <alignment horizontal="left" vertical="center"/>
      <protection locked="0"/>
    </xf>
    <xf numFmtId="164" fontId="11" fillId="2" borderId="0" xfId="11" applyNumberFormat="1" applyFont="1" applyFill="1" applyBorder="1" applyProtection="1">
      <protection locked="0"/>
    </xf>
    <xf numFmtId="164" fontId="11" fillId="2" borderId="0" xfId="11" applyNumberFormat="1" applyFont="1" applyFill="1" applyProtection="1">
      <protection locked="0"/>
    </xf>
    <xf numFmtId="1" fontId="11" fillId="2" borderId="0" xfId="11" applyNumberFormat="1" applyFont="1" applyFill="1" applyProtection="1">
      <protection locked="0"/>
    </xf>
    <xf numFmtId="3" fontId="10" fillId="2" borderId="0" xfId="11" applyNumberFormat="1" applyFont="1" applyFill="1" applyBorder="1" applyAlignment="1" applyProtection="1">
      <alignment horizontal="right" vertical="center"/>
      <protection locked="0"/>
    </xf>
    <xf numFmtId="164" fontId="10" fillId="2" borderId="0" xfId="11" applyNumberFormat="1" applyFont="1" applyFill="1" applyBorder="1" applyAlignment="1" applyProtection="1">
      <alignment horizontal="left"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164" fontId="10" fillId="2" borderId="0" xfId="11" applyNumberFormat="1" applyFont="1" applyFill="1" applyAlignment="1" applyProtection="1">
      <alignment horizontal="left"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hidden="1"/>
    </xf>
    <xf numFmtId="3" fontId="11" fillId="2" borderId="0" xfId="11" applyNumberFormat="1" applyFont="1" applyFill="1" applyBorder="1" applyAlignment="1" applyProtection="1">
      <alignment horizontal="right" vertical="center"/>
      <protection locked="0"/>
    </xf>
    <xf numFmtId="3" fontId="11" fillId="2" borderId="0" xfId="11" applyNumberFormat="1" applyFont="1" applyFill="1" applyBorder="1" applyAlignment="1" applyProtection="1">
      <alignment vertical="center"/>
      <protection locked="0"/>
    </xf>
    <xf numFmtId="164" fontId="11" fillId="2" borderId="0" xfId="11" applyNumberFormat="1" applyFont="1" applyFill="1" applyProtection="1">
      <protection hidden="1"/>
    </xf>
    <xf numFmtId="1" fontId="11" fillId="2" borderId="0" xfId="11" applyNumberFormat="1" applyFont="1" applyFill="1" applyProtection="1">
      <protection hidden="1"/>
    </xf>
    <xf numFmtId="164" fontId="11" fillId="2" borderId="0" xfId="11" applyNumberFormat="1" applyFont="1" applyFill="1" applyAlignment="1" applyProtection="1">
      <alignment horizontal="center"/>
      <protection locked="0"/>
    </xf>
    <xf numFmtId="1" fontId="10" fillId="2" borderId="0" xfId="11" applyNumberFormat="1" applyFont="1" applyFill="1" applyBorder="1" applyAlignment="1" applyProtection="1">
      <alignment horizontal="center" vertical="center"/>
      <protection locked="0"/>
    </xf>
    <xf numFmtId="164" fontId="4" fillId="2" borderId="0" xfId="11" applyNumberFormat="1" applyFont="1" applyFill="1" applyAlignment="1" applyProtection="1">
      <alignment horizontal="center" vertical="center"/>
      <protection locked="0"/>
    </xf>
    <xf numFmtId="164" fontId="8" fillId="2" borderId="0" xfId="11" applyNumberFormat="1" applyFont="1" applyFill="1" applyBorder="1" applyAlignment="1" applyProtection="1">
      <alignment horizontal="center" vertical="center" wrapText="1"/>
      <protection locked="0"/>
    </xf>
    <xf numFmtId="164" fontId="14" fillId="2" borderId="2" xfId="11" applyNumberFormat="1" applyFont="1" applyFill="1" applyBorder="1" applyAlignment="1" applyProtection="1">
      <alignment horizontal="left" vertical="center"/>
      <protection locked="0"/>
    </xf>
    <xf numFmtId="164" fontId="14" fillId="2" borderId="0" xfId="11" applyNumberFormat="1" applyFont="1" applyFill="1" applyBorder="1" applyAlignment="1" applyProtection="1">
      <alignment horizontal="left" vertical="center"/>
      <protection locked="0"/>
    </xf>
    <xf numFmtId="164" fontId="14" fillId="2" borderId="1" xfId="11" applyNumberFormat="1" applyFont="1" applyFill="1" applyBorder="1" applyAlignment="1" applyProtection="1">
      <alignment horizontal="left" vertical="center"/>
      <protection locked="0"/>
    </xf>
    <xf numFmtId="164" fontId="14" fillId="2" borderId="2" xfId="11" applyNumberFormat="1" applyFont="1" applyFill="1" applyBorder="1" applyAlignment="1" applyProtection="1">
      <alignment horizontal="center" vertical="center"/>
      <protection locked="0"/>
    </xf>
    <xf numFmtId="164" fontId="14" fillId="2" borderId="3" xfId="11" applyNumberFormat="1" applyFont="1" applyFill="1" applyBorder="1" applyAlignment="1" applyProtection="1">
      <alignment horizontal="center" vertical="center"/>
      <protection locked="0"/>
    </xf>
    <xf numFmtId="164" fontId="14" fillId="2" borderId="6" xfId="11" applyNumberFormat="1" applyFont="1" applyFill="1" applyBorder="1" applyAlignment="1" applyProtection="1">
      <alignment horizontal="center" vertical="center"/>
      <protection locked="0"/>
    </xf>
    <xf numFmtId="164" fontId="14" fillId="2" borderId="7" xfId="11" applyNumberFormat="1" applyFont="1" applyFill="1" applyBorder="1" applyAlignment="1" applyProtection="1">
      <alignment horizontal="center" vertical="center"/>
      <protection locked="0"/>
    </xf>
    <xf numFmtId="1" fontId="14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7" xfId="11" applyNumberFormat="1" applyFont="1" applyFill="1" applyBorder="1" applyAlignment="1" applyProtection="1">
      <alignment horizontal="center" vertical="center" wrapText="1"/>
      <protection locked="0"/>
    </xf>
    <xf numFmtId="1" fontId="14" fillId="2" borderId="3" xfId="11" applyNumberFormat="1" applyFont="1" applyFill="1" applyBorder="1" applyAlignment="1" applyProtection="1">
      <alignment horizontal="center" vertical="center" wrapText="1"/>
      <protection locked="0"/>
    </xf>
    <xf numFmtId="1" fontId="6" fillId="2" borderId="6" xfId="11" applyNumberFormat="1" applyFont="1" applyFill="1" applyBorder="1" applyAlignment="1" applyProtection="1">
      <alignment vertical="center"/>
      <protection locked="0"/>
    </xf>
    <xf numFmtId="1" fontId="6" fillId="2" borderId="2" xfId="11" applyNumberFormat="1" applyFont="1" applyFill="1" applyBorder="1" applyAlignment="1" applyProtection="1">
      <alignment vertical="center"/>
      <protection locked="0"/>
    </xf>
  </cellXfs>
  <cellStyles count="12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  <cellStyle name="Normal_3 - Population" xfId="1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3.14: Marriages and Divorces in Male' and Atolls, 2013 - 2015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56172446625093286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'[1]3.17'!$AN$42</c:f>
              <c:strCache>
                <c:ptCount val="1"/>
              </c:strCache>
            </c:strRef>
          </c:tx>
          <c:spPr>
            <a:solidFill>
              <a:srgbClr val="1C706E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'[1]3.17'!$AU$42:$AZ$42</c:f>
              <c:numCache>
                <c:formatCode>General</c:formatCode>
                <c:ptCount val="6"/>
                <c:pt idx="0">
                  <c:v>1248</c:v>
                </c:pt>
                <c:pt idx="1">
                  <c:v>2366</c:v>
                </c:pt>
                <c:pt idx="2">
                  <c:v>1209</c:v>
                </c:pt>
                <c:pt idx="3">
                  <c:v>2404</c:v>
                </c:pt>
                <c:pt idx="4">
                  <c:v>1320</c:v>
                </c:pt>
                <c:pt idx="5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3-49AD-AAA2-A8C2484540DC}"/>
            </c:ext>
          </c:extLst>
        </c:ser>
        <c:ser>
          <c:idx val="7"/>
          <c:order val="1"/>
          <c:tx>
            <c:strRef>
              <c:f>'[1]3.17'!$AN$43</c:f>
              <c:strCache>
                <c:ptCount val="1"/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'[1]3.17'!$AU$40:$AZ$41</c:f>
              <c:multiLvlStrCache>
                <c:ptCount val="6"/>
                <c:lvl>
                  <c:pt idx="0">
                    <c:v>Divorces </c:v>
                  </c:pt>
                  <c:pt idx="1">
                    <c:v>Marriages </c:v>
                  </c:pt>
                  <c:pt idx="2">
                    <c:v>Divorces </c:v>
                  </c:pt>
                  <c:pt idx="3">
                    <c:v>Marriages </c:v>
                  </c:pt>
                  <c:pt idx="4">
                    <c:v>Divorces </c:v>
                  </c:pt>
                  <c:pt idx="5">
                    <c:v>Marriages </c:v>
                  </c:pt>
                </c:lvl>
                <c:lvl>
                  <c:pt idx="1">
                    <c:v>2011</c:v>
                  </c:pt>
                  <c:pt idx="3">
                    <c:v>2012</c:v>
                  </c:pt>
                  <c:pt idx="5">
                    <c:v>2013</c:v>
                  </c:pt>
                </c:lvl>
              </c:multiLvlStrCache>
            </c:multiLvlStrRef>
          </c:cat>
          <c:val>
            <c:numRef>
              <c:f>'[1]3.17'!$AU$44:$AZ$44</c:f>
              <c:numCache>
                <c:formatCode>General</c:formatCode>
                <c:ptCount val="6"/>
                <c:pt idx="0">
                  <c:v>1547</c:v>
                </c:pt>
                <c:pt idx="1">
                  <c:v>3649</c:v>
                </c:pt>
                <c:pt idx="2">
                  <c:v>1807</c:v>
                </c:pt>
                <c:pt idx="3">
                  <c:v>3295</c:v>
                </c:pt>
                <c:pt idx="4">
                  <c:v>1691</c:v>
                </c:pt>
                <c:pt idx="5">
                  <c:v>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3-49AD-AAA2-A8C24845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3945391"/>
        <c:axId val="1"/>
      </c:barChart>
      <c:catAx>
        <c:axId val="17739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5971614659279E-2"/>
              <c:y val="5.520915354330708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45391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6292310683386795"/>
          <c:y val="0.20319963910761155"/>
          <c:w val="0.28933313891319146"/>
          <c:h val="9.4525508530183738E-2"/>
        </c:manualLayout>
      </c:layout>
      <c:overlay val="0"/>
      <c:txPr>
        <a:bodyPr/>
        <a:lstStyle/>
        <a:p>
          <a:pPr>
            <a:defRPr sz="78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2016 - 2018</a:t>
            </a:r>
          </a:p>
        </c:rich>
      </c:tx>
      <c:layout>
        <c:manualLayout>
          <c:xMode val="edge"/>
          <c:yMode val="edge"/>
          <c:x val="0.14251281729715526"/>
          <c:y val="2.39880825707597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'3.17'!$AE$42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544000"/>
            </a:solidFill>
          </c:spPr>
          <c:invertIfNegative val="0"/>
          <c:cat>
            <c:multiLvlStrRef>
              <c:f>'3.17'!$AR$40:$AW$41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'3.17'!$AR$42:$AW$42</c:f>
              <c:numCache>
                <c:formatCode>General_)</c:formatCode>
                <c:ptCount val="6"/>
                <c:pt idx="0">
                  <c:v>2304</c:v>
                </c:pt>
                <c:pt idx="1">
                  <c:v>1341</c:v>
                </c:pt>
                <c:pt idx="2">
                  <c:v>2168</c:v>
                </c:pt>
                <c:pt idx="3">
                  <c:v>1248</c:v>
                </c:pt>
                <c:pt idx="4">
                  <c:v>2191</c:v>
                </c:pt>
                <c:pt idx="5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'3.17'!$AE$43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7F6000"/>
            </a:solidFill>
          </c:spPr>
          <c:invertIfNegative val="0"/>
          <c:cat>
            <c:multiLvlStrRef>
              <c:f>'3.17'!$AR$40:$AW$41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'3.17'!$AR$43:$AW$43</c:f>
              <c:numCache>
                <c:formatCode>General_)</c:formatCode>
                <c:ptCount val="6"/>
                <c:pt idx="0">
                  <c:v>223</c:v>
                </c:pt>
                <c:pt idx="1">
                  <c:v>155</c:v>
                </c:pt>
                <c:pt idx="2">
                  <c:v>207</c:v>
                </c:pt>
                <c:pt idx="3">
                  <c:v>149</c:v>
                </c:pt>
                <c:pt idx="4">
                  <c:v>258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'3.17'!$AE$44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multiLvlStrRef>
              <c:f>'3.17'!$AR$40:$AW$41</c:f>
              <c:multiLvlStrCache>
                <c:ptCount val="6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</c:lvl>
                <c:lvl>
                  <c:pt idx="0">
                    <c:v>2016 </c:v>
                  </c:pt>
                  <c:pt idx="2">
                    <c:v>2017 </c:v>
                  </c:pt>
                  <c:pt idx="4">
                    <c:v>2018 </c:v>
                  </c:pt>
                </c:lvl>
              </c:multiLvlStrCache>
            </c:multiLvlStrRef>
          </c:cat>
          <c:val>
            <c:numRef>
              <c:f>'3.17'!$AR$44:$AW$44</c:f>
              <c:numCache>
                <c:formatCode>General_)</c:formatCode>
                <c:ptCount val="6"/>
                <c:pt idx="0">
                  <c:v>2961</c:v>
                </c:pt>
                <c:pt idx="1">
                  <c:v>1921</c:v>
                </c:pt>
                <c:pt idx="2">
                  <c:v>2862</c:v>
                </c:pt>
                <c:pt idx="3">
                  <c:v>1814</c:v>
                </c:pt>
                <c:pt idx="4">
                  <c:v>2841</c:v>
                </c:pt>
                <c:pt idx="5">
                  <c:v>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3945807"/>
        <c:axId val="1"/>
      </c:barChart>
      <c:catAx>
        <c:axId val="177394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45807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/>
              <a:t>Figure 3.20: Marriages and Divorces by Atolls, 2018</a:t>
            </a:r>
          </a:p>
        </c:rich>
      </c:tx>
      <c:layout>
        <c:manualLayout>
          <c:xMode val="edge"/>
          <c:yMode val="edge"/>
          <c:x val="0.23859009149280069"/>
          <c:y val="3.12950242921762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30214770483917E-2"/>
          <c:y val="0.17163971611049528"/>
          <c:w val="0.91379665618722206"/>
          <c:h val="0.677985996087709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'3.17'!$M$7</c:f>
              <c:strCache>
                <c:ptCount val="1"/>
                <c:pt idx="0">
                  <c:v>Marriages</c:v>
                </c:pt>
              </c:strCache>
            </c:strRef>
          </c:tx>
          <c:spPr>
            <a:solidFill>
              <a:srgbClr val="7F6000"/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'3.17'!$M$12:$M$31</c:f>
              <c:numCache>
                <c:formatCode>#,##0</c:formatCode>
                <c:ptCount val="20"/>
                <c:pt idx="0">
                  <c:v>160</c:v>
                </c:pt>
                <c:pt idx="1">
                  <c:v>290</c:v>
                </c:pt>
                <c:pt idx="2">
                  <c:v>164</c:v>
                </c:pt>
                <c:pt idx="3">
                  <c:v>140</c:v>
                </c:pt>
                <c:pt idx="4">
                  <c:v>197</c:v>
                </c:pt>
                <c:pt idx="5">
                  <c:v>116</c:v>
                </c:pt>
                <c:pt idx="6">
                  <c:v>118</c:v>
                </c:pt>
                <c:pt idx="7">
                  <c:v>180</c:v>
                </c:pt>
                <c:pt idx="8">
                  <c:v>109</c:v>
                </c:pt>
                <c:pt idx="9">
                  <c:v>112</c:v>
                </c:pt>
                <c:pt idx="10">
                  <c:v>19</c:v>
                </c:pt>
                <c:pt idx="11">
                  <c:v>64</c:v>
                </c:pt>
                <c:pt idx="12">
                  <c:v>56</c:v>
                </c:pt>
                <c:pt idx="13">
                  <c:v>67</c:v>
                </c:pt>
                <c:pt idx="14">
                  <c:v>109</c:v>
                </c:pt>
                <c:pt idx="15">
                  <c:v>204</c:v>
                </c:pt>
                <c:pt idx="16">
                  <c:v>123</c:v>
                </c:pt>
                <c:pt idx="17">
                  <c:v>187</c:v>
                </c:pt>
                <c:pt idx="18">
                  <c:v>160</c:v>
                </c:pt>
                <c:pt idx="19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E-4DC1-8E7A-D34232CDBAFB}"/>
            </c:ext>
          </c:extLst>
        </c:ser>
        <c:ser>
          <c:idx val="2"/>
          <c:order val="1"/>
          <c:tx>
            <c:strRef>
              <c:f>'3.17'!$N$7</c:f>
              <c:strCache>
                <c:ptCount val="1"/>
                <c:pt idx="0">
                  <c:v>Divorces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'3.17'!$N$12:$N$31</c:f>
              <c:numCache>
                <c:formatCode>#,##0</c:formatCode>
                <c:ptCount val="20"/>
                <c:pt idx="0">
                  <c:v>94</c:v>
                </c:pt>
                <c:pt idx="1">
                  <c:v>147</c:v>
                </c:pt>
                <c:pt idx="2">
                  <c:v>77</c:v>
                </c:pt>
                <c:pt idx="3">
                  <c:v>96</c:v>
                </c:pt>
                <c:pt idx="4">
                  <c:v>110</c:v>
                </c:pt>
                <c:pt idx="5">
                  <c:v>65</c:v>
                </c:pt>
                <c:pt idx="6">
                  <c:v>80</c:v>
                </c:pt>
                <c:pt idx="7">
                  <c:v>120</c:v>
                </c:pt>
                <c:pt idx="8">
                  <c:v>64</c:v>
                </c:pt>
                <c:pt idx="9">
                  <c:v>79</c:v>
                </c:pt>
                <c:pt idx="10">
                  <c:v>24</c:v>
                </c:pt>
                <c:pt idx="11">
                  <c:v>44</c:v>
                </c:pt>
                <c:pt idx="12">
                  <c:v>32</c:v>
                </c:pt>
                <c:pt idx="13">
                  <c:v>34</c:v>
                </c:pt>
                <c:pt idx="14">
                  <c:v>75</c:v>
                </c:pt>
                <c:pt idx="15">
                  <c:v>135</c:v>
                </c:pt>
                <c:pt idx="16">
                  <c:v>82</c:v>
                </c:pt>
                <c:pt idx="17">
                  <c:v>130</c:v>
                </c:pt>
                <c:pt idx="18">
                  <c:v>103</c:v>
                </c:pt>
                <c:pt idx="19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E-4DC1-8E7A-D34232C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3959119"/>
        <c:axId val="1"/>
      </c:barChart>
      <c:catAx>
        <c:axId val="17739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0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119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325367379924964"/>
          <c:y val="0.24805558879608133"/>
          <c:w val="0.24075626139952849"/>
          <c:h val="7.7567112621560602E-2"/>
        </c:manualLayout>
      </c:layout>
      <c:overlay val="0"/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3</xdr:col>
      <xdr:colOff>428625</xdr:colOff>
      <xdr:row>47</xdr:row>
      <xdr:rowOff>85725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165651</xdr:rowOff>
    </xdr:from>
    <xdr:to>
      <xdr:col>17</xdr:col>
      <xdr:colOff>247650</xdr:colOff>
      <xdr:row>54</xdr:row>
      <xdr:rowOff>13803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54</xdr:row>
      <xdr:rowOff>145221</xdr:rowOff>
    </xdr:from>
    <xdr:to>
      <xdr:col>17</xdr:col>
      <xdr:colOff>285750</xdr:colOff>
      <xdr:row>77</xdr:row>
      <xdr:rowOff>69020</xdr:rowOff>
    </xdr:to>
    <xdr:graphicFrame macro="">
      <xdr:nvGraphicFramePr>
        <xdr:cNvPr id="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9"/>
  <sheetViews>
    <sheetView tabSelected="1" zoomScaleNormal="100" workbookViewId="0">
      <selection activeCell="Y38" sqref="Y38"/>
    </sheetView>
  </sheetViews>
  <sheetFormatPr defaultRowHeight="12.75" x14ac:dyDescent="0.2"/>
  <cols>
    <col min="1" max="1" width="11.7109375" style="64" customWidth="1"/>
    <col min="2" max="2" width="1.7109375" style="65" customWidth="1"/>
    <col min="3" max="6" width="8.85546875" style="65" customWidth="1"/>
    <col min="7" max="7" width="1.85546875" style="65" customWidth="1"/>
    <col min="8" max="11" width="8.85546875" style="65" customWidth="1"/>
    <col min="12" max="12" width="1.85546875" style="65" customWidth="1"/>
    <col min="13" max="16" width="8.85546875" style="65" customWidth="1"/>
    <col min="17" max="17" width="11.140625" style="65" customWidth="1"/>
    <col min="18" max="18" width="11.85546875" style="64" customWidth="1"/>
    <col min="19" max="19" width="3" style="64" customWidth="1"/>
    <col min="20" max="29" width="18" style="55" customWidth="1"/>
    <col min="30" max="30" width="6.28515625" style="55" customWidth="1"/>
    <col min="31" max="31" width="7" style="55" customWidth="1"/>
    <col min="32" max="37" width="6.28515625" style="55" customWidth="1"/>
    <col min="38" max="49" width="9.140625" style="55"/>
    <col min="50" max="16384" width="9.140625" style="64"/>
  </cols>
  <sheetData>
    <row r="1" spans="1:49" s="2" customFormat="1" ht="16.5" customHeight="1" x14ac:dyDescent="0.25">
      <c r="A1" s="68" t="s">
        <v>25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1"/>
    </row>
    <row r="2" spans="1:49" s="4" customFormat="1" ht="14.25" customHeight="1" x14ac:dyDescent="0.25">
      <c r="A2" s="69" t="s">
        <v>26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3"/>
    </row>
    <row r="3" spans="1:49" s="7" customFormat="1" ht="9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49" s="7" customFormat="1" ht="9.75" customHeight="1" x14ac:dyDescent="0.25">
      <c r="A4" s="70" t="s">
        <v>0</v>
      </c>
      <c r="B4" s="8"/>
      <c r="C4" s="75">
        <v>2016</v>
      </c>
      <c r="D4" s="73"/>
      <c r="E4" s="73"/>
      <c r="F4" s="73"/>
      <c r="G4" s="8"/>
      <c r="H4" s="75">
        <v>2017</v>
      </c>
      <c r="I4" s="73"/>
      <c r="J4" s="73"/>
      <c r="K4" s="73"/>
      <c r="L4" s="8"/>
      <c r="M4" s="75">
        <v>2018</v>
      </c>
      <c r="N4" s="73"/>
      <c r="O4" s="73"/>
      <c r="P4" s="73"/>
      <c r="Q4" s="77" t="s">
        <v>27</v>
      </c>
      <c r="R4" s="78"/>
      <c r="S4" s="9"/>
    </row>
    <row r="5" spans="1:49" s="7" customFormat="1" ht="19.899999999999999" customHeight="1" x14ac:dyDescent="0.25">
      <c r="A5" s="71"/>
      <c r="B5" s="10"/>
      <c r="C5" s="76"/>
      <c r="D5" s="74"/>
      <c r="E5" s="74"/>
      <c r="F5" s="74"/>
      <c r="G5" s="11"/>
      <c r="H5" s="76"/>
      <c r="I5" s="74"/>
      <c r="J5" s="74"/>
      <c r="K5" s="74"/>
      <c r="L5" s="11"/>
      <c r="M5" s="76"/>
      <c r="N5" s="74"/>
      <c r="O5" s="74"/>
      <c r="P5" s="74"/>
      <c r="Q5" s="79"/>
      <c r="R5" s="80"/>
      <c r="S5" s="9"/>
    </row>
    <row r="6" spans="1:49" s="7" customFormat="1" ht="15.75" customHeight="1" x14ac:dyDescent="0.25">
      <c r="A6" s="71"/>
      <c r="B6" s="10"/>
      <c r="C6" s="13" t="s">
        <v>28</v>
      </c>
      <c r="D6" s="12" t="s">
        <v>29</v>
      </c>
      <c r="E6" s="12" t="s">
        <v>30</v>
      </c>
      <c r="F6" s="12" t="s">
        <v>31</v>
      </c>
      <c r="G6" s="12"/>
      <c r="H6" s="13" t="s">
        <v>28</v>
      </c>
      <c r="I6" s="12" t="s">
        <v>29</v>
      </c>
      <c r="J6" s="12" t="s">
        <v>30</v>
      </c>
      <c r="K6" s="12" t="s">
        <v>31</v>
      </c>
      <c r="L6" s="12"/>
      <c r="M6" s="13" t="s">
        <v>28</v>
      </c>
      <c r="N6" s="12" t="s">
        <v>29</v>
      </c>
      <c r="O6" s="12" t="s">
        <v>30</v>
      </c>
      <c r="P6" s="12" t="s">
        <v>31</v>
      </c>
      <c r="Q6" s="13" t="s">
        <v>28</v>
      </c>
      <c r="R6" s="12" t="s">
        <v>29</v>
      </c>
      <c r="S6" s="12"/>
    </row>
    <row r="7" spans="1:49" s="20" customFormat="1" ht="15" customHeight="1" x14ac:dyDescent="0.25">
      <c r="A7" s="72"/>
      <c r="B7" s="14"/>
      <c r="C7" s="15" t="s">
        <v>32</v>
      </c>
      <c r="D7" s="14" t="s">
        <v>33</v>
      </c>
      <c r="E7" s="14" t="s">
        <v>34</v>
      </c>
      <c r="F7" s="14" t="s">
        <v>35</v>
      </c>
      <c r="G7" s="16"/>
      <c r="H7" s="15" t="s">
        <v>32</v>
      </c>
      <c r="I7" s="14" t="s">
        <v>33</v>
      </c>
      <c r="J7" s="14" t="s">
        <v>34</v>
      </c>
      <c r="K7" s="14" t="s">
        <v>35</v>
      </c>
      <c r="L7" s="16"/>
      <c r="M7" s="15" t="s">
        <v>32</v>
      </c>
      <c r="N7" s="14" t="s">
        <v>33</v>
      </c>
      <c r="O7" s="14" t="s">
        <v>34</v>
      </c>
      <c r="P7" s="14" t="s">
        <v>35</v>
      </c>
      <c r="Q7" s="18" t="s">
        <v>32</v>
      </c>
      <c r="R7" s="16" t="s">
        <v>33</v>
      </c>
      <c r="S7" s="19"/>
      <c r="T7" s="7"/>
      <c r="U7" s="7"/>
      <c r="V7" s="7"/>
      <c r="W7" s="7"/>
    </row>
    <row r="8" spans="1:49" s="27" customFormat="1" ht="15" x14ac:dyDescent="0.25">
      <c r="A8" s="21" t="s">
        <v>1</v>
      </c>
      <c r="B8" s="22"/>
      <c r="C8" s="24">
        <f>SUM(C9:C11)</f>
        <v>5488</v>
      </c>
      <c r="D8" s="23">
        <f>SUM(D9:D11)</f>
        <v>3417</v>
      </c>
      <c r="E8" s="23">
        <f>SUM(E9:E11)</f>
        <v>6</v>
      </c>
      <c r="F8" s="23">
        <f>SUM(F9:F11)</f>
        <v>101</v>
      </c>
      <c r="G8" s="25"/>
      <c r="H8" s="24">
        <f>SUM(H9:H11)</f>
        <v>5237</v>
      </c>
      <c r="I8" s="23">
        <f>SUM(I9:I11)</f>
        <v>3211</v>
      </c>
      <c r="J8" s="23">
        <f>SUM(J9:J11)</f>
        <v>9</v>
      </c>
      <c r="K8" s="23">
        <f>SUM(K9:K11)</f>
        <v>103</v>
      </c>
      <c r="L8" s="25"/>
      <c r="M8" s="24">
        <f>SUM(M9:M11)</f>
        <v>5290</v>
      </c>
      <c r="N8" s="23">
        <f>SUM(N9:N11)</f>
        <v>3166</v>
      </c>
      <c r="O8" s="23">
        <f>SUM(O9:O11)</f>
        <v>8</v>
      </c>
      <c r="P8" s="23">
        <f>SUM(P9:P11)</f>
        <v>111</v>
      </c>
      <c r="Q8" s="81">
        <f>(M8-H8)/H8*100</f>
        <v>1.0120297880465916</v>
      </c>
      <c r="R8" s="82">
        <f>(N8-I8)/I8*100</f>
        <v>-1.4014325755216444</v>
      </c>
      <c r="S8" s="26"/>
      <c r="T8" s="7"/>
      <c r="U8" s="7"/>
      <c r="V8" s="7"/>
      <c r="W8" s="7"/>
      <c r="X8" s="26"/>
      <c r="Y8" s="26"/>
      <c r="Z8" s="26"/>
      <c r="AA8" s="26"/>
      <c r="AB8" s="26"/>
      <c r="AC8" s="26"/>
      <c r="AD8" s="2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27" customFormat="1" ht="15" x14ac:dyDescent="0.25">
      <c r="A9" s="21" t="s">
        <v>3</v>
      </c>
      <c r="B9" s="28"/>
      <c r="C9" s="29">
        <v>2304</v>
      </c>
      <c r="D9" s="28">
        <v>1341</v>
      </c>
      <c r="E9" s="28">
        <v>4</v>
      </c>
      <c r="F9" s="28">
        <v>37</v>
      </c>
      <c r="G9" s="28"/>
      <c r="H9" s="29">
        <v>2168</v>
      </c>
      <c r="I9" s="28">
        <v>1248</v>
      </c>
      <c r="J9" s="28">
        <v>0</v>
      </c>
      <c r="K9" s="28">
        <v>45</v>
      </c>
      <c r="L9" s="28"/>
      <c r="M9" s="29">
        <v>2191</v>
      </c>
      <c r="N9" s="28">
        <v>1156</v>
      </c>
      <c r="O9" s="28">
        <v>0</v>
      </c>
      <c r="P9" s="28">
        <v>46</v>
      </c>
      <c r="Q9" s="30">
        <f>(M9-H9)/H9*100</f>
        <v>1.0608856088560885</v>
      </c>
      <c r="R9" s="31">
        <f>(N9-I9)/I9*100</f>
        <v>-7.3717948717948723</v>
      </c>
      <c r="S9" s="26"/>
      <c r="T9" s="7"/>
      <c r="U9" s="7"/>
      <c r="V9" s="7"/>
      <c r="W9" s="7"/>
      <c r="X9" s="26"/>
      <c r="Y9" s="26"/>
      <c r="Z9" s="26"/>
      <c r="AA9" s="26"/>
      <c r="AB9" s="26"/>
      <c r="AC9" s="26"/>
      <c r="AD9" s="26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27" customFormat="1" ht="15" x14ac:dyDescent="0.25">
      <c r="A10" s="32" t="s">
        <v>2</v>
      </c>
      <c r="B10" s="28"/>
      <c r="C10" s="24">
        <v>223</v>
      </c>
      <c r="D10" s="23">
        <v>155</v>
      </c>
      <c r="E10" s="23">
        <v>0</v>
      </c>
      <c r="F10" s="23">
        <v>2</v>
      </c>
      <c r="G10" s="23"/>
      <c r="H10" s="24">
        <v>207</v>
      </c>
      <c r="I10" s="23">
        <v>149</v>
      </c>
      <c r="J10" s="23">
        <v>0</v>
      </c>
      <c r="K10" s="23">
        <v>1</v>
      </c>
      <c r="L10" s="23"/>
      <c r="M10" s="24">
        <v>258</v>
      </c>
      <c r="N10" s="23">
        <v>217</v>
      </c>
      <c r="O10" s="23">
        <v>0</v>
      </c>
      <c r="P10" s="23">
        <v>3</v>
      </c>
      <c r="Q10" s="30">
        <f>(M10-H10)/H10*100</f>
        <v>24.637681159420293</v>
      </c>
      <c r="R10" s="31">
        <f>(N10-I10)/I10*100</f>
        <v>45.63758389261745</v>
      </c>
      <c r="S10" s="33"/>
      <c r="T10" s="7"/>
      <c r="U10" s="7"/>
      <c r="V10" s="7"/>
      <c r="W10" s="7"/>
      <c r="X10" s="26"/>
      <c r="Y10" s="26"/>
      <c r="Z10" s="26"/>
      <c r="AA10" s="26"/>
      <c r="AB10" s="26"/>
      <c r="AC10" s="26"/>
      <c r="AD10" s="26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27" customFormat="1" ht="15" x14ac:dyDescent="0.25">
      <c r="A11" s="21" t="s">
        <v>4</v>
      </c>
      <c r="B11" s="28"/>
      <c r="C11" s="24">
        <f>SUM(C12:C31)</f>
        <v>2961</v>
      </c>
      <c r="D11" s="23">
        <f>SUM(D12:D31)</f>
        <v>1921</v>
      </c>
      <c r="E11" s="23">
        <f>SUM(E12:E31)</f>
        <v>2</v>
      </c>
      <c r="F11" s="23">
        <f>SUM(F12:F31)</f>
        <v>62</v>
      </c>
      <c r="G11" s="23"/>
      <c r="H11" s="24">
        <f>SUM(H12:H31)</f>
        <v>2862</v>
      </c>
      <c r="I11" s="23">
        <f>SUM(I12:I31)</f>
        <v>1814</v>
      </c>
      <c r="J11" s="23">
        <f>SUM(J12:J31)</f>
        <v>9</v>
      </c>
      <c r="K11" s="23">
        <f>SUM(K12:K31)</f>
        <v>57</v>
      </c>
      <c r="L11" s="23"/>
      <c r="M11" s="24">
        <f>SUM(M12:M31)</f>
        <v>2841</v>
      </c>
      <c r="N11" s="23">
        <f>SUM(N12:N31)</f>
        <v>1793</v>
      </c>
      <c r="O11" s="23">
        <f>SUM(O12:O31)</f>
        <v>8</v>
      </c>
      <c r="P11" s="23">
        <f>SUM(P12:P31)</f>
        <v>62</v>
      </c>
      <c r="Q11" s="30">
        <f>(M11-H11)/H11*100</f>
        <v>-0.7337526205450734</v>
      </c>
      <c r="R11" s="31">
        <f>(N11-I11)/I11*100</f>
        <v>-1.1576626240352812</v>
      </c>
      <c r="S11" s="26"/>
      <c r="T11" s="7"/>
      <c r="U11" s="7"/>
      <c r="V11" s="7"/>
      <c r="W11" s="7"/>
      <c r="X11" s="26"/>
      <c r="Y11" s="26"/>
      <c r="Z11" s="26"/>
      <c r="AA11" s="26"/>
      <c r="AB11" s="26"/>
      <c r="AC11" s="26"/>
      <c r="AD11" s="26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27" customFormat="1" ht="15" x14ac:dyDescent="0.25">
      <c r="A12" s="34" t="s">
        <v>5</v>
      </c>
      <c r="B12" s="35"/>
      <c r="C12" s="37">
        <v>161</v>
      </c>
      <c r="D12" s="36">
        <v>92</v>
      </c>
      <c r="E12" s="36">
        <v>0</v>
      </c>
      <c r="F12" s="36">
        <v>4</v>
      </c>
      <c r="G12" s="36"/>
      <c r="H12" s="37">
        <v>158</v>
      </c>
      <c r="I12" s="36">
        <v>69</v>
      </c>
      <c r="J12" s="36">
        <v>0</v>
      </c>
      <c r="K12" s="36">
        <v>2</v>
      </c>
      <c r="L12" s="36"/>
      <c r="M12" s="37">
        <v>160</v>
      </c>
      <c r="N12" s="36">
        <v>94</v>
      </c>
      <c r="O12" s="36">
        <v>1</v>
      </c>
      <c r="P12" s="36">
        <v>2</v>
      </c>
      <c r="Q12" s="30">
        <f t="shared" ref="Q12:Q31" si="0">(M12-H12)/H12*100</f>
        <v>1.2658227848101267</v>
      </c>
      <c r="R12" s="31">
        <f>(N12-I12)/I12*100</f>
        <v>36.231884057971016</v>
      </c>
      <c r="S12" s="33"/>
      <c r="T12" s="7"/>
      <c r="U12" s="7"/>
      <c r="X12" s="26"/>
      <c r="Y12" s="26"/>
      <c r="Z12" s="26"/>
      <c r="AA12" s="26"/>
      <c r="AB12" s="26"/>
      <c r="AC12" s="26"/>
      <c r="AD12" s="26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27" customFormat="1" ht="15" x14ac:dyDescent="0.25">
      <c r="A13" s="34" t="s">
        <v>6</v>
      </c>
      <c r="B13" s="36"/>
      <c r="C13" s="37">
        <v>291</v>
      </c>
      <c r="D13" s="36">
        <v>125</v>
      </c>
      <c r="E13" s="36">
        <v>0</v>
      </c>
      <c r="F13" s="36">
        <v>1</v>
      </c>
      <c r="G13" s="36"/>
      <c r="H13" s="37">
        <v>258</v>
      </c>
      <c r="I13" s="36">
        <v>150</v>
      </c>
      <c r="J13" s="36">
        <v>0</v>
      </c>
      <c r="K13" s="36">
        <v>10</v>
      </c>
      <c r="L13" s="36"/>
      <c r="M13" s="37">
        <v>290</v>
      </c>
      <c r="N13" s="36">
        <v>147</v>
      </c>
      <c r="O13" s="36">
        <v>0</v>
      </c>
      <c r="P13" s="36">
        <v>6</v>
      </c>
      <c r="Q13" s="30">
        <f t="shared" si="0"/>
        <v>12.403100775193799</v>
      </c>
      <c r="R13" s="31">
        <f t="shared" ref="R13:R30" si="1">(N13-I13)/I13*100</f>
        <v>-2</v>
      </c>
      <c r="S13" s="33"/>
      <c r="T13" s="7"/>
      <c r="U13" s="7"/>
      <c r="X13" s="26"/>
      <c r="Y13" s="26"/>
      <c r="Z13" s="26"/>
      <c r="AA13" s="26"/>
      <c r="AB13" s="26"/>
      <c r="AC13" s="26"/>
      <c r="AD13" s="26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27" customFormat="1" ht="15" x14ac:dyDescent="0.25">
      <c r="A14" s="34" t="s">
        <v>7</v>
      </c>
      <c r="B14" s="36"/>
      <c r="C14" s="37">
        <v>191</v>
      </c>
      <c r="D14" s="36">
        <v>93</v>
      </c>
      <c r="E14" s="36">
        <v>0</v>
      </c>
      <c r="F14" s="36">
        <v>5</v>
      </c>
      <c r="G14" s="36"/>
      <c r="H14" s="37">
        <v>138</v>
      </c>
      <c r="I14" s="36">
        <v>86</v>
      </c>
      <c r="J14" s="36">
        <v>0</v>
      </c>
      <c r="K14" s="36">
        <v>5</v>
      </c>
      <c r="L14" s="36"/>
      <c r="M14" s="37">
        <v>164</v>
      </c>
      <c r="N14" s="36">
        <v>77</v>
      </c>
      <c r="O14" s="36">
        <v>0</v>
      </c>
      <c r="P14" s="36">
        <v>2</v>
      </c>
      <c r="Q14" s="30">
        <f t="shared" si="0"/>
        <v>18.840579710144929</v>
      </c>
      <c r="R14" s="31">
        <f t="shared" si="1"/>
        <v>-10.465116279069768</v>
      </c>
      <c r="S14" s="33"/>
      <c r="T14" s="7"/>
      <c r="U14" s="7"/>
      <c r="X14" s="26"/>
      <c r="Y14" s="26"/>
      <c r="Z14" s="26"/>
      <c r="AA14" s="26"/>
      <c r="AB14" s="26"/>
      <c r="AC14" s="26"/>
      <c r="AD14" s="26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s="27" customFormat="1" ht="15" x14ac:dyDescent="0.25">
      <c r="A15" s="34" t="s">
        <v>9</v>
      </c>
      <c r="B15" s="36"/>
      <c r="C15" s="37">
        <v>154</v>
      </c>
      <c r="D15" s="36">
        <v>100</v>
      </c>
      <c r="E15" s="36">
        <v>1</v>
      </c>
      <c r="F15" s="36">
        <v>5</v>
      </c>
      <c r="G15" s="36"/>
      <c r="H15" s="37">
        <v>161</v>
      </c>
      <c r="I15" s="36">
        <v>106</v>
      </c>
      <c r="J15" s="36">
        <v>1</v>
      </c>
      <c r="K15" s="36">
        <v>5</v>
      </c>
      <c r="L15" s="36"/>
      <c r="M15" s="37">
        <v>140</v>
      </c>
      <c r="N15" s="36">
        <v>96</v>
      </c>
      <c r="O15" s="36">
        <v>0</v>
      </c>
      <c r="P15" s="36">
        <v>3</v>
      </c>
      <c r="Q15" s="30">
        <f t="shared" si="0"/>
        <v>-13.043478260869565</v>
      </c>
      <c r="R15" s="31">
        <f t="shared" si="1"/>
        <v>-9.433962264150944</v>
      </c>
      <c r="S15" s="33"/>
      <c r="T15" s="7"/>
      <c r="U15" s="7"/>
      <c r="V15" s="7"/>
      <c r="W15" s="7"/>
      <c r="X15" s="26"/>
      <c r="Y15" s="26"/>
      <c r="Z15" s="26"/>
      <c r="AA15" s="26"/>
      <c r="AB15" s="26"/>
      <c r="AC15" s="26"/>
      <c r="AD15" s="26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s="27" customFormat="1" ht="15" x14ac:dyDescent="0.25">
      <c r="A16" s="34" t="s">
        <v>10</v>
      </c>
      <c r="B16" s="36"/>
      <c r="C16" s="37">
        <v>198</v>
      </c>
      <c r="D16" s="36">
        <v>111</v>
      </c>
      <c r="E16" s="36">
        <v>0</v>
      </c>
      <c r="F16" s="36">
        <v>3</v>
      </c>
      <c r="G16" s="36"/>
      <c r="H16" s="37">
        <v>219</v>
      </c>
      <c r="I16" s="36">
        <v>114</v>
      </c>
      <c r="J16" s="36">
        <v>0</v>
      </c>
      <c r="K16" s="36">
        <v>4</v>
      </c>
      <c r="L16" s="36"/>
      <c r="M16" s="37">
        <v>197</v>
      </c>
      <c r="N16" s="36">
        <v>110</v>
      </c>
      <c r="O16" s="36">
        <v>0</v>
      </c>
      <c r="P16" s="36">
        <v>3</v>
      </c>
      <c r="Q16" s="30">
        <f t="shared" si="0"/>
        <v>-10.045662100456621</v>
      </c>
      <c r="R16" s="31">
        <f t="shared" si="1"/>
        <v>-3.5087719298245612</v>
      </c>
      <c r="S16" s="33"/>
      <c r="T16" s="7"/>
      <c r="U16" s="7"/>
      <c r="V16" s="7"/>
      <c r="W16" s="7"/>
      <c r="X16" s="26"/>
      <c r="Y16" s="26"/>
      <c r="Z16" s="26"/>
      <c r="AA16" s="26"/>
      <c r="AB16" s="26"/>
      <c r="AC16" s="26"/>
      <c r="AD16" s="26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s="27" customFormat="1" ht="15" x14ac:dyDescent="0.25">
      <c r="A17" s="34" t="s">
        <v>11</v>
      </c>
      <c r="B17" s="36"/>
      <c r="C17" s="37">
        <v>119</v>
      </c>
      <c r="D17" s="36">
        <v>89</v>
      </c>
      <c r="E17" s="36">
        <v>0</v>
      </c>
      <c r="F17" s="36">
        <v>6</v>
      </c>
      <c r="G17" s="36"/>
      <c r="H17" s="37">
        <v>108</v>
      </c>
      <c r="I17" s="36">
        <v>68</v>
      </c>
      <c r="J17" s="36">
        <v>0</v>
      </c>
      <c r="K17" s="36">
        <v>1</v>
      </c>
      <c r="L17" s="36"/>
      <c r="M17" s="37">
        <v>116</v>
      </c>
      <c r="N17" s="36">
        <v>65</v>
      </c>
      <c r="O17" s="36">
        <v>0</v>
      </c>
      <c r="P17" s="36">
        <v>1</v>
      </c>
      <c r="Q17" s="30">
        <f t="shared" si="0"/>
        <v>7.4074074074074066</v>
      </c>
      <c r="R17" s="31">
        <f t="shared" si="1"/>
        <v>-4.4117647058823533</v>
      </c>
      <c r="S17" s="33"/>
      <c r="T17" s="7"/>
      <c r="U17" s="7"/>
      <c r="V17" s="7"/>
      <c r="W17" s="7"/>
      <c r="X17" s="26"/>
      <c r="Y17" s="26"/>
      <c r="Z17" s="26"/>
      <c r="AA17" s="26"/>
      <c r="AB17" s="26"/>
      <c r="AC17" s="26"/>
      <c r="AD17" s="26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27" customFormat="1" ht="15" x14ac:dyDescent="0.25">
      <c r="A18" s="34" t="s">
        <v>12</v>
      </c>
      <c r="B18" s="36"/>
      <c r="C18" s="37">
        <v>133</v>
      </c>
      <c r="D18" s="36">
        <v>90</v>
      </c>
      <c r="E18" s="36">
        <v>0</v>
      </c>
      <c r="F18" s="36">
        <v>2</v>
      </c>
      <c r="G18" s="36"/>
      <c r="H18" s="37">
        <v>140</v>
      </c>
      <c r="I18" s="36">
        <v>73</v>
      </c>
      <c r="J18" s="36">
        <v>0</v>
      </c>
      <c r="K18" s="36">
        <v>0</v>
      </c>
      <c r="L18" s="36"/>
      <c r="M18" s="37">
        <v>118</v>
      </c>
      <c r="N18" s="36">
        <v>80</v>
      </c>
      <c r="O18" s="36">
        <v>0</v>
      </c>
      <c r="P18" s="36">
        <v>4</v>
      </c>
      <c r="Q18" s="30">
        <f t="shared" si="0"/>
        <v>-15.714285714285714</v>
      </c>
      <c r="R18" s="31">
        <f t="shared" si="1"/>
        <v>9.5890410958904102</v>
      </c>
      <c r="S18" s="33"/>
      <c r="T18" s="7"/>
      <c r="U18" s="7"/>
      <c r="V18" s="7"/>
      <c r="W18" s="7"/>
      <c r="X18" s="26"/>
      <c r="Y18" s="26"/>
      <c r="Z18" s="26"/>
      <c r="AA18" s="26"/>
      <c r="AB18" s="26"/>
      <c r="AC18" s="26"/>
      <c r="AD18" s="26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27" customFormat="1" ht="15" x14ac:dyDescent="0.25">
      <c r="A19" s="34" t="s">
        <v>24</v>
      </c>
      <c r="B19" s="36"/>
      <c r="C19" s="37">
        <v>195</v>
      </c>
      <c r="D19" s="36">
        <v>126</v>
      </c>
      <c r="E19" s="36">
        <v>1</v>
      </c>
      <c r="F19" s="36">
        <v>5</v>
      </c>
      <c r="G19" s="36"/>
      <c r="H19" s="37">
        <v>201</v>
      </c>
      <c r="I19" s="36">
        <v>132</v>
      </c>
      <c r="J19" s="36">
        <v>3</v>
      </c>
      <c r="K19" s="36">
        <v>3</v>
      </c>
      <c r="L19" s="36"/>
      <c r="M19" s="37">
        <v>180</v>
      </c>
      <c r="N19" s="36">
        <v>120</v>
      </c>
      <c r="O19" s="36">
        <v>2</v>
      </c>
      <c r="P19" s="36">
        <v>1</v>
      </c>
      <c r="Q19" s="30">
        <f t="shared" si="0"/>
        <v>-10.44776119402985</v>
      </c>
      <c r="R19" s="31">
        <f t="shared" si="1"/>
        <v>-9.0909090909090917</v>
      </c>
      <c r="S19" s="33"/>
      <c r="T19" s="7"/>
      <c r="U19" s="7"/>
      <c r="V19" s="7"/>
      <c r="W19" s="7"/>
      <c r="X19" s="26"/>
      <c r="Y19" s="26"/>
      <c r="Z19" s="26"/>
      <c r="AA19" s="26"/>
      <c r="AB19" s="26"/>
      <c r="AC19" s="26"/>
      <c r="AD19" s="26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27" customFormat="1" ht="15" x14ac:dyDescent="0.25">
      <c r="A20" s="34" t="s">
        <v>13</v>
      </c>
      <c r="B20" s="36"/>
      <c r="C20" s="37">
        <v>111</v>
      </c>
      <c r="D20" s="36">
        <v>79</v>
      </c>
      <c r="E20" s="36">
        <v>0</v>
      </c>
      <c r="F20" s="36">
        <v>3</v>
      </c>
      <c r="G20" s="36"/>
      <c r="H20" s="37">
        <v>89</v>
      </c>
      <c r="I20" s="36">
        <v>89</v>
      </c>
      <c r="J20" s="36">
        <v>0</v>
      </c>
      <c r="K20" s="36">
        <v>1</v>
      </c>
      <c r="L20" s="36"/>
      <c r="M20" s="37">
        <v>109</v>
      </c>
      <c r="N20" s="36">
        <v>64</v>
      </c>
      <c r="O20" s="36">
        <v>0</v>
      </c>
      <c r="P20" s="36">
        <v>3</v>
      </c>
      <c r="Q20" s="30">
        <f t="shared" si="0"/>
        <v>22.471910112359549</v>
      </c>
      <c r="R20" s="31">
        <f t="shared" si="1"/>
        <v>-28.08988764044944</v>
      </c>
      <c r="S20" s="33"/>
      <c r="T20" s="7"/>
      <c r="U20" s="7"/>
      <c r="V20" s="7"/>
      <c r="W20" s="7"/>
      <c r="X20" s="26"/>
      <c r="Y20" s="26"/>
      <c r="Z20" s="26"/>
      <c r="AA20" s="26"/>
      <c r="AB20" s="26"/>
      <c r="AC20" s="26"/>
      <c r="AD20" s="26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38" customFormat="1" ht="15" x14ac:dyDescent="0.25">
      <c r="A21" s="34" t="s">
        <v>14</v>
      </c>
      <c r="B21" s="36"/>
      <c r="C21" s="37">
        <v>123</v>
      </c>
      <c r="D21" s="36">
        <v>90</v>
      </c>
      <c r="E21" s="36">
        <v>0</v>
      </c>
      <c r="F21" s="36">
        <v>0</v>
      </c>
      <c r="G21" s="36"/>
      <c r="H21" s="37">
        <v>121</v>
      </c>
      <c r="I21" s="36">
        <v>83</v>
      </c>
      <c r="J21" s="36">
        <v>0</v>
      </c>
      <c r="K21" s="36">
        <v>0</v>
      </c>
      <c r="L21" s="36"/>
      <c r="M21" s="37">
        <v>112</v>
      </c>
      <c r="N21" s="36">
        <v>79</v>
      </c>
      <c r="O21" s="36">
        <v>0</v>
      </c>
      <c r="P21" s="36">
        <v>1</v>
      </c>
      <c r="Q21" s="30">
        <f t="shared" si="0"/>
        <v>-7.4380165289256199</v>
      </c>
      <c r="R21" s="31">
        <f t="shared" si="1"/>
        <v>-4.8192771084337354</v>
      </c>
      <c r="S21" s="33"/>
      <c r="T21" s="7"/>
      <c r="U21" s="7"/>
      <c r="V21" s="7"/>
      <c r="W21" s="7"/>
      <c r="X21" s="26"/>
      <c r="Y21" s="26"/>
      <c r="Z21" s="26"/>
      <c r="AA21" s="26"/>
      <c r="AB21" s="26"/>
      <c r="AC21" s="26"/>
      <c r="AD21" s="26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38" customFormat="1" ht="15" x14ac:dyDescent="0.25">
      <c r="A22" s="34" t="s">
        <v>15</v>
      </c>
      <c r="B22" s="36"/>
      <c r="C22" s="37">
        <v>21</v>
      </c>
      <c r="D22" s="36">
        <v>7</v>
      </c>
      <c r="E22" s="36">
        <v>0</v>
      </c>
      <c r="F22" s="36">
        <v>0</v>
      </c>
      <c r="G22" s="36"/>
      <c r="H22" s="37">
        <v>13</v>
      </c>
      <c r="I22" s="36">
        <v>11</v>
      </c>
      <c r="J22" s="36">
        <v>0</v>
      </c>
      <c r="K22" s="36">
        <v>0</v>
      </c>
      <c r="L22" s="36"/>
      <c r="M22" s="37">
        <v>19</v>
      </c>
      <c r="N22" s="36">
        <v>24</v>
      </c>
      <c r="O22" s="36">
        <v>0</v>
      </c>
      <c r="P22" s="36">
        <v>0</v>
      </c>
      <c r="Q22" s="30">
        <f t="shared" si="0"/>
        <v>46.153846153846153</v>
      </c>
      <c r="R22" s="31">
        <f>(N22-I22)/I22*100</f>
        <v>118.18181818181819</v>
      </c>
      <c r="S22" s="33"/>
      <c r="T22" s="7"/>
      <c r="U22" s="7"/>
      <c r="V22" s="7"/>
      <c r="W22" s="7"/>
      <c r="X22" s="26"/>
      <c r="Y22" s="26"/>
      <c r="Z22" s="26"/>
      <c r="AA22" s="26"/>
      <c r="AB22" s="26"/>
      <c r="AC22" s="26"/>
      <c r="AD22" s="26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38" customFormat="1" ht="15" x14ac:dyDescent="0.25">
      <c r="A23" s="34" t="s">
        <v>16</v>
      </c>
      <c r="B23" s="36"/>
      <c r="C23" s="37">
        <v>58</v>
      </c>
      <c r="D23" s="36">
        <v>41</v>
      </c>
      <c r="E23" s="36">
        <v>0</v>
      </c>
      <c r="F23" s="36">
        <v>3</v>
      </c>
      <c r="G23" s="36"/>
      <c r="H23" s="37">
        <v>51</v>
      </c>
      <c r="I23" s="36">
        <v>31</v>
      </c>
      <c r="J23" s="36">
        <v>0</v>
      </c>
      <c r="K23" s="36">
        <v>1</v>
      </c>
      <c r="L23" s="36"/>
      <c r="M23" s="37">
        <v>64</v>
      </c>
      <c r="N23" s="36">
        <v>44</v>
      </c>
      <c r="O23" s="36">
        <v>1</v>
      </c>
      <c r="P23" s="36">
        <v>1</v>
      </c>
      <c r="Q23" s="30">
        <f t="shared" si="0"/>
        <v>25.490196078431371</v>
      </c>
      <c r="R23" s="31">
        <f t="shared" si="1"/>
        <v>41.935483870967744</v>
      </c>
      <c r="S23" s="33"/>
      <c r="T23" s="7"/>
      <c r="U23" s="7"/>
      <c r="V23" s="7"/>
      <c r="W23" s="7"/>
      <c r="X23" s="26"/>
      <c r="Y23" s="26"/>
      <c r="Z23" s="26"/>
      <c r="AA23" s="26"/>
      <c r="AB23" s="26"/>
      <c r="AC23" s="26"/>
      <c r="AD23" s="26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s="38" customFormat="1" ht="15" x14ac:dyDescent="0.25">
      <c r="A24" s="34" t="s">
        <v>17</v>
      </c>
      <c r="B24" s="36"/>
      <c r="C24" s="37">
        <v>40</v>
      </c>
      <c r="D24" s="36">
        <v>35</v>
      </c>
      <c r="E24" s="36">
        <v>0</v>
      </c>
      <c r="F24" s="36">
        <v>1</v>
      </c>
      <c r="G24" s="36"/>
      <c r="H24" s="37">
        <v>56</v>
      </c>
      <c r="I24" s="36">
        <v>30</v>
      </c>
      <c r="J24" s="36">
        <v>0</v>
      </c>
      <c r="K24" s="36">
        <v>3</v>
      </c>
      <c r="L24" s="36"/>
      <c r="M24" s="37">
        <v>56</v>
      </c>
      <c r="N24" s="36">
        <v>32</v>
      </c>
      <c r="O24" s="36">
        <v>0</v>
      </c>
      <c r="P24" s="36">
        <v>3</v>
      </c>
      <c r="Q24" s="30">
        <f>(M24-H24)/H24*100</f>
        <v>0</v>
      </c>
      <c r="R24" s="31">
        <f>(N24-I24)/I24*100</f>
        <v>6.666666666666667</v>
      </c>
      <c r="S24" s="33"/>
      <c r="T24" s="7"/>
      <c r="U24" s="7"/>
      <c r="V24" s="7"/>
      <c r="W24" s="7"/>
      <c r="X24" s="26"/>
      <c r="Y24" s="26"/>
      <c r="Z24" s="26"/>
      <c r="AA24" s="26"/>
      <c r="AB24" s="26"/>
      <c r="AC24" s="26"/>
      <c r="AD24" s="26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T24" s="2"/>
      <c r="AU24" s="2"/>
      <c r="AV24" s="2"/>
      <c r="AW24" s="2"/>
    </row>
    <row r="25" spans="1:49" s="38" customFormat="1" ht="15" x14ac:dyDescent="0.25">
      <c r="A25" s="34" t="s">
        <v>18</v>
      </c>
      <c r="B25" s="36"/>
      <c r="C25" s="37">
        <v>58</v>
      </c>
      <c r="D25" s="36">
        <v>41</v>
      </c>
      <c r="E25" s="36">
        <v>0</v>
      </c>
      <c r="F25" s="36">
        <v>5</v>
      </c>
      <c r="G25" s="36"/>
      <c r="H25" s="37">
        <v>56</v>
      </c>
      <c r="I25" s="36">
        <v>41</v>
      </c>
      <c r="J25" s="36">
        <v>0</v>
      </c>
      <c r="K25" s="36">
        <v>0</v>
      </c>
      <c r="L25" s="36"/>
      <c r="M25" s="37">
        <v>67</v>
      </c>
      <c r="N25" s="36">
        <v>34</v>
      </c>
      <c r="O25" s="36">
        <v>1</v>
      </c>
      <c r="P25" s="36">
        <v>3</v>
      </c>
      <c r="Q25" s="30">
        <f t="shared" si="0"/>
        <v>19.642857142857142</v>
      </c>
      <c r="R25" s="31">
        <f t="shared" si="1"/>
        <v>-17.073170731707318</v>
      </c>
      <c r="S25" s="33"/>
      <c r="T25" s="7"/>
      <c r="U25" s="7"/>
      <c r="V25" s="7"/>
      <c r="W25" s="7"/>
      <c r="X25" s="26"/>
      <c r="Y25" s="26"/>
      <c r="Z25" s="26"/>
      <c r="AA25" s="26"/>
      <c r="AB25" s="26"/>
      <c r="AC25" s="26"/>
      <c r="AD25" s="26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7"/>
      <c r="AS25" s="7"/>
      <c r="AT25" s="2"/>
      <c r="AU25" s="2"/>
      <c r="AV25" s="2"/>
      <c r="AW25" s="2"/>
    </row>
    <row r="26" spans="1:49" s="38" customFormat="1" ht="15" x14ac:dyDescent="0.25">
      <c r="A26" s="34" t="s">
        <v>19</v>
      </c>
      <c r="B26" s="36"/>
      <c r="C26" s="37">
        <v>139</v>
      </c>
      <c r="D26" s="36">
        <v>112</v>
      </c>
      <c r="E26" s="36">
        <v>0</v>
      </c>
      <c r="F26" s="36">
        <v>3</v>
      </c>
      <c r="G26" s="36"/>
      <c r="H26" s="37">
        <v>130</v>
      </c>
      <c r="I26" s="36">
        <v>82</v>
      </c>
      <c r="J26" s="36">
        <v>0</v>
      </c>
      <c r="K26" s="36">
        <v>2</v>
      </c>
      <c r="L26" s="36"/>
      <c r="M26" s="37">
        <v>109</v>
      </c>
      <c r="N26" s="36">
        <v>75</v>
      </c>
      <c r="O26" s="36">
        <v>0</v>
      </c>
      <c r="P26" s="36">
        <v>5</v>
      </c>
      <c r="Q26" s="30">
        <f t="shared" si="0"/>
        <v>-16.153846153846153</v>
      </c>
      <c r="R26" s="31">
        <f t="shared" si="1"/>
        <v>-8.536585365853659</v>
      </c>
      <c r="S26" s="33"/>
      <c r="T26" s="7"/>
      <c r="U26" s="7"/>
      <c r="V26" s="7"/>
      <c r="W26" s="7"/>
      <c r="X26" s="26"/>
      <c r="Y26" s="26"/>
      <c r="Z26" s="26"/>
      <c r="AA26" s="26"/>
      <c r="AB26" s="26"/>
      <c r="AC26" s="26"/>
      <c r="AD26" s="26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T26" s="2"/>
      <c r="AU26" s="2"/>
      <c r="AV26" s="2"/>
      <c r="AW26" s="2"/>
    </row>
    <row r="27" spans="1:49" s="38" customFormat="1" ht="15" x14ac:dyDescent="0.25">
      <c r="A27" s="34" t="s">
        <v>20</v>
      </c>
      <c r="B27" s="36"/>
      <c r="C27" s="37">
        <v>242</v>
      </c>
      <c r="D27" s="36">
        <v>165</v>
      </c>
      <c r="E27" s="36">
        <v>0</v>
      </c>
      <c r="F27" s="36">
        <v>0</v>
      </c>
      <c r="G27" s="36"/>
      <c r="H27" s="37">
        <v>232</v>
      </c>
      <c r="I27" s="36">
        <v>169</v>
      </c>
      <c r="J27" s="36">
        <v>0</v>
      </c>
      <c r="K27" s="36">
        <v>4</v>
      </c>
      <c r="L27" s="36"/>
      <c r="M27" s="37">
        <v>204</v>
      </c>
      <c r="N27" s="36">
        <v>135</v>
      </c>
      <c r="O27" s="36">
        <v>0</v>
      </c>
      <c r="P27" s="36">
        <v>3</v>
      </c>
      <c r="Q27" s="30">
        <f t="shared" si="0"/>
        <v>-12.068965517241379</v>
      </c>
      <c r="R27" s="31">
        <f>(N27-I27)/I27*100</f>
        <v>-20.118343195266274</v>
      </c>
      <c r="S27" s="33"/>
      <c r="T27" s="7"/>
      <c r="U27" s="7"/>
      <c r="V27" s="7"/>
      <c r="W27" s="7"/>
      <c r="X27" s="26"/>
      <c r="Y27" s="26"/>
      <c r="Z27" s="26"/>
      <c r="AA27" s="26"/>
      <c r="AB27" s="26"/>
      <c r="AC27" s="26"/>
      <c r="AD27" s="26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s="38" customFormat="1" ht="15" x14ac:dyDescent="0.25">
      <c r="A28" s="34" t="s">
        <v>21</v>
      </c>
      <c r="B28" s="36"/>
      <c r="C28" s="37">
        <v>124</v>
      </c>
      <c r="D28" s="36">
        <v>95</v>
      </c>
      <c r="E28" s="36">
        <v>0</v>
      </c>
      <c r="F28" s="36">
        <v>2</v>
      </c>
      <c r="G28" s="36"/>
      <c r="H28" s="37">
        <v>141</v>
      </c>
      <c r="I28" s="36">
        <v>100</v>
      </c>
      <c r="J28" s="36">
        <v>1</v>
      </c>
      <c r="K28" s="36">
        <v>3</v>
      </c>
      <c r="L28" s="36"/>
      <c r="M28" s="37">
        <v>123</v>
      </c>
      <c r="N28" s="36">
        <v>82</v>
      </c>
      <c r="O28" s="36">
        <v>0</v>
      </c>
      <c r="P28" s="36">
        <v>2</v>
      </c>
      <c r="Q28" s="30">
        <f>(M28-H28)/H28*100</f>
        <v>-12.76595744680851</v>
      </c>
      <c r="R28" s="31">
        <f t="shared" si="1"/>
        <v>-18</v>
      </c>
      <c r="S28" s="33"/>
      <c r="T28" s="7"/>
      <c r="U28" s="7"/>
      <c r="V28" s="7"/>
      <c r="W28" s="7"/>
      <c r="X28" s="26"/>
      <c r="Y28" s="26"/>
      <c r="Z28" s="26"/>
      <c r="AA28" s="26"/>
      <c r="AB28" s="26"/>
      <c r="AC28" s="26"/>
      <c r="AD28" s="26"/>
      <c r="AF28" s="39"/>
      <c r="AG28" s="39"/>
      <c r="AH28" s="39"/>
      <c r="AI28" s="39"/>
      <c r="AJ28" s="3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s="38" customFormat="1" ht="15" x14ac:dyDescent="0.25">
      <c r="A29" s="34" t="s">
        <v>22</v>
      </c>
      <c r="B29" s="36"/>
      <c r="C29" s="37">
        <v>175</v>
      </c>
      <c r="D29" s="36">
        <v>133</v>
      </c>
      <c r="E29" s="36">
        <v>0</v>
      </c>
      <c r="F29" s="36">
        <v>3</v>
      </c>
      <c r="G29" s="36"/>
      <c r="H29" s="37">
        <v>178</v>
      </c>
      <c r="I29" s="36">
        <v>104</v>
      </c>
      <c r="J29" s="36">
        <v>3</v>
      </c>
      <c r="K29" s="36">
        <v>4</v>
      </c>
      <c r="L29" s="36"/>
      <c r="M29" s="37">
        <v>187</v>
      </c>
      <c r="N29" s="36">
        <v>130</v>
      </c>
      <c r="O29" s="36">
        <v>0</v>
      </c>
      <c r="P29" s="36">
        <v>5</v>
      </c>
      <c r="Q29" s="30">
        <f t="shared" si="0"/>
        <v>5.0561797752808983</v>
      </c>
      <c r="R29" s="31">
        <f t="shared" si="1"/>
        <v>25</v>
      </c>
      <c r="S29" s="33"/>
      <c r="T29" s="7"/>
      <c r="U29" s="7"/>
      <c r="V29" s="7"/>
      <c r="W29" s="7"/>
      <c r="X29" s="26"/>
      <c r="Y29" s="26"/>
      <c r="Z29" s="26"/>
      <c r="AA29" s="26"/>
      <c r="AB29" s="26"/>
      <c r="AC29" s="26"/>
      <c r="AD29" s="26"/>
      <c r="AF29" s="7"/>
      <c r="AG29" s="39"/>
      <c r="AH29" s="39"/>
      <c r="AI29" s="39"/>
      <c r="AJ29" s="39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s="38" customFormat="1" ht="15" x14ac:dyDescent="0.2">
      <c r="A30" s="34" t="s">
        <v>23</v>
      </c>
      <c r="B30" s="36"/>
      <c r="C30" s="37">
        <v>129</v>
      </c>
      <c r="D30" s="36">
        <v>105</v>
      </c>
      <c r="E30" s="36">
        <v>0</v>
      </c>
      <c r="F30" s="36">
        <v>7</v>
      </c>
      <c r="G30" s="36"/>
      <c r="H30" s="37">
        <v>129</v>
      </c>
      <c r="I30" s="36">
        <v>97</v>
      </c>
      <c r="J30" s="36">
        <v>0</v>
      </c>
      <c r="K30" s="36">
        <v>0</v>
      </c>
      <c r="L30" s="36"/>
      <c r="M30" s="37">
        <v>160</v>
      </c>
      <c r="N30" s="36">
        <v>103</v>
      </c>
      <c r="O30" s="36">
        <v>3</v>
      </c>
      <c r="P30" s="36">
        <v>4</v>
      </c>
      <c r="Q30" s="30">
        <f t="shared" si="0"/>
        <v>24.031007751937985</v>
      </c>
      <c r="R30" s="31">
        <f t="shared" si="1"/>
        <v>6.1855670103092786</v>
      </c>
      <c r="S30" s="33"/>
      <c r="T30" s="7"/>
      <c r="U30" s="7"/>
      <c r="V30" s="7"/>
      <c r="W30" s="7"/>
      <c r="X30" s="26"/>
      <c r="Y30" s="26"/>
      <c r="Z30" s="26"/>
      <c r="AA30" s="26"/>
      <c r="AB30" s="26"/>
      <c r="AC30" s="26"/>
      <c r="AD30" s="26"/>
      <c r="AF30" s="40"/>
      <c r="AG30" s="67"/>
      <c r="AH30" s="67"/>
      <c r="AI30" s="39"/>
      <c r="AJ30" s="3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s="49" customFormat="1" ht="15" x14ac:dyDescent="0.2">
      <c r="A31" s="41" t="s">
        <v>8</v>
      </c>
      <c r="B31" s="42"/>
      <c r="C31" s="43">
        <v>299</v>
      </c>
      <c r="D31" s="42">
        <v>192</v>
      </c>
      <c r="E31" s="42">
        <v>0</v>
      </c>
      <c r="F31" s="42">
        <v>4</v>
      </c>
      <c r="G31" s="42"/>
      <c r="H31" s="43">
        <v>283</v>
      </c>
      <c r="I31" s="42">
        <v>179</v>
      </c>
      <c r="J31" s="42">
        <v>1</v>
      </c>
      <c r="K31" s="42">
        <v>9</v>
      </c>
      <c r="L31" s="42"/>
      <c r="M31" s="43">
        <v>266</v>
      </c>
      <c r="N31" s="42">
        <v>202</v>
      </c>
      <c r="O31" s="42">
        <v>0</v>
      </c>
      <c r="P31" s="42">
        <v>10</v>
      </c>
      <c r="Q31" s="44">
        <f t="shared" si="0"/>
        <v>-6.0070671378091873</v>
      </c>
      <c r="R31" s="45">
        <f>(N31-I31)/I31*100</f>
        <v>12.849162011173185</v>
      </c>
      <c r="S31" s="26"/>
      <c r="T31" s="7"/>
      <c r="U31" s="7"/>
      <c r="V31" s="7"/>
      <c r="W31" s="7"/>
      <c r="X31" s="26"/>
      <c r="Y31" s="26"/>
      <c r="Z31" s="26"/>
      <c r="AA31" s="26"/>
      <c r="AB31" s="26"/>
      <c r="AC31" s="26"/>
      <c r="AD31" s="26"/>
      <c r="AE31" s="46"/>
      <c r="AF31" s="46"/>
      <c r="AG31" s="46"/>
      <c r="AH31" s="46"/>
      <c r="AI31" s="46"/>
      <c r="AJ31" s="47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</row>
    <row r="32" spans="1:49" s="2" customFormat="1" ht="17.25" x14ac:dyDescent="0.45">
      <c r="A32" s="50" t="s">
        <v>36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2" t="s">
        <v>37</v>
      </c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4"/>
      <c r="AE32" s="54"/>
      <c r="AF32" s="54"/>
      <c r="AG32" s="54"/>
      <c r="AH32" s="54"/>
      <c r="AI32" s="54"/>
      <c r="AJ32" s="39"/>
    </row>
    <row r="33" spans="2:49" s="55" customFormat="1" x14ac:dyDescent="0.2"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4"/>
      <c r="AE33" s="54"/>
      <c r="AF33" s="54"/>
      <c r="AG33" s="54"/>
      <c r="AH33" s="54"/>
      <c r="AI33" s="54"/>
      <c r="AJ33" s="54"/>
    </row>
    <row r="34" spans="2:49" s="55" customFormat="1" x14ac:dyDescent="0.2"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</row>
    <row r="35" spans="2:49" s="55" customFormat="1" x14ac:dyDescent="0.2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67"/>
      <c r="AF35" s="67"/>
      <c r="AG35" s="67"/>
      <c r="AH35" s="67"/>
      <c r="AI35" s="67"/>
      <c r="AJ35" s="67"/>
      <c r="AK35" s="67"/>
      <c r="AL35" s="67"/>
      <c r="AM35" s="54"/>
    </row>
    <row r="36" spans="2:49" s="55" customFormat="1" x14ac:dyDescent="0.2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19"/>
      <c r="AF36" s="19"/>
      <c r="AG36" s="19"/>
      <c r="AH36" s="19"/>
      <c r="AI36" s="19"/>
      <c r="AJ36" s="19"/>
      <c r="AK36" s="19"/>
      <c r="AL36" s="19"/>
      <c r="AM36" s="54"/>
    </row>
    <row r="37" spans="2:49" s="55" customFormat="1" x14ac:dyDescent="0.2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4"/>
      <c r="AE37" s="57"/>
      <c r="AF37" s="57"/>
      <c r="AG37" s="57"/>
      <c r="AH37" s="57"/>
      <c r="AI37" s="57"/>
      <c r="AJ37" s="57"/>
      <c r="AK37" s="57"/>
      <c r="AL37" s="57"/>
      <c r="AM37" s="54"/>
    </row>
    <row r="38" spans="2:49" s="55" customFormat="1" x14ac:dyDescent="0.2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AD38" s="58"/>
      <c r="AE38" s="57"/>
      <c r="AF38" s="57"/>
      <c r="AG38" s="57"/>
      <c r="AH38" s="57"/>
      <c r="AI38" s="57"/>
      <c r="AJ38" s="57"/>
      <c r="AK38" s="57"/>
      <c r="AL38" s="57"/>
      <c r="AM38" s="54"/>
    </row>
    <row r="39" spans="2:49" s="55" customFormat="1" x14ac:dyDescent="0.2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2:49" s="55" customFormat="1" x14ac:dyDescent="0.2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AF40" s="66">
        <v>2010</v>
      </c>
      <c r="AG40" s="66"/>
      <c r="AH40" s="66">
        <v>2011</v>
      </c>
      <c r="AI40" s="66"/>
      <c r="AJ40" s="66">
        <v>2012</v>
      </c>
      <c r="AK40" s="66"/>
      <c r="AL40" s="66">
        <v>2013</v>
      </c>
      <c r="AM40" s="66"/>
      <c r="AN40" s="66">
        <v>2014</v>
      </c>
      <c r="AO40" s="66"/>
      <c r="AP40" s="66">
        <v>2015</v>
      </c>
      <c r="AQ40" s="66"/>
      <c r="AR40" s="66">
        <v>2016</v>
      </c>
      <c r="AS40" s="66"/>
      <c r="AT40" s="66">
        <v>2017</v>
      </c>
      <c r="AU40" s="66"/>
      <c r="AV40" s="66">
        <v>2018</v>
      </c>
      <c r="AW40" s="66"/>
    </row>
    <row r="41" spans="2:49" s="55" customFormat="1" x14ac:dyDescent="0.2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AF41" s="17" t="s">
        <v>38</v>
      </c>
      <c r="AG41" s="17" t="s">
        <v>39</v>
      </c>
      <c r="AH41" s="17" t="s">
        <v>38</v>
      </c>
      <c r="AI41" s="17" t="s">
        <v>39</v>
      </c>
      <c r="AJ41" s="17" t="s">
        <v>38</v>
      </c>
      <c r="AK41" s="17" t="s">
        <v>39</v>
      </c>
      <c r="AL41" s="17" t="s">
        <v>38</v>
      </c>
      <c r="AM41" s="17" t="s">
        <v>39</v>
      </c>
      <c r="AN41" s="17" t="s">
        <v>38</v>
      </c>
      <c r="AO41" s="17" t="s">
        <v>39</v>
      </c>
      <c r="AP41" s="17" t="s">
        <v>38</v>
      </c>
      <c r="AQ41" s="17" t="s">
        <v>39</v>
      </c>
      <c r="AR41" s="17" t="s">
        <v>38</v>
      </c>
      <c r="AS41" s="17" t="s">
        <v>39</v>
      </c>
      <c r="AT41" s="17" t="s">
        <v>38</v>
      </c>
      <c r="AU41" s="17" t="s">
        <v>39</v>
      </c>
      <c r="AV41" s="17" t="s">
        <v>38</v>
      </c>
      <c r="AW41" s="17" t="s">
        <v>39</v>
      </c>
    </row>
    <row r="42" spans="2:49" s="55" customFormat="1" x14ac:dyDescent="0.2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AE42" s="4" t="s">
        <v>3</v>
      </c>
      <c r="AF42" s="57">
        <v>2491</v>
      </c>
      <c r="AG42" s="57">
        <v>1248</v>
      </c>
      <c r="AH42" s="59">
        <v>2366</v>
      </c>
      <c r="AI42" s="59">
        <v>1209</v>
      </c>
      <c r="AJ42" s="57">
        <v>2404</v>
      </c>
      <c r="AK42" s="57">
        <v>1320</v>
      </c>
      <c r="AL42" s="55">
        <v>2463</v>
      </c>
      <c r="AM42" s="55">
        <v>1508</v>
      </c>
      <c r="AN42" s="55">
        <v>2357</v>
      </c>
      <c r="AO42" s="55">
        <v>1368</v>
      </c>
      <c r="AP42" s="55">
        <v>2417</v>
      </c>
      <c r="AQ42" s="55">
        <v>1288</v>
      </c>
      <c r="AR42" s="55">
        <v>2304</v>
      </c>
      <c r="AS42" s="55">
        <v>1341</v>
      </c>
      <c r="AT42" s="55">
        <v>2168</v>
      </c>
      <c r="AU42" s="55">
        <v>1248</v>
      </c>
      <c r="AV42" s="55">
        <f t="shared" ref="AV42:AW44" si="2">M9</f>
        <v>2191</v>
      </c>
      <c r="AW42" s="55">
        <f t="shared" si="2"/>
        <v>1156</v>
      </c>
    </row>
    <row r="43" spans="2:49" s="55" customFormat="1" ht="15" x14ac:dyDescent="0.2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AE43" s="32" t="s">
        <v>2</v>
      </c>
      <c r="AN43" s="55">
        <v>125</v>
      </c>
      <c r="AO43" s="55">
        <v>98</v>
      </c>
      <c r="AP43" s="55">
        <v>193</v>
      </c>
      <c r="AQ43" s="55">
        <v>167</v>
      </c>
      <c r="AR43" s="55">
        <v>223</v>
      </c>
      <c r="AS43" s="55">
        <v>155</v>
      </c>
      <c r="AT43" s="55">
        <v>207</v>
      </c>
      <c r="AU43" s="55">
        <v>149</v>
      </c>
      <c r="AV43" s="55">
        <f t="shared" si="2"/>
        <v>258</v>
      </c>
      <c r="AW43" s="55">
        <f t="shared" si="2"/>
        <v>217</v>
      </c>
    </row>
    <row r="44" spans="2:49" s="55" customFormat="1" x14ac:dyDescent="0.2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AE44" s="60" t="s">
        <v>4</v>
      </c>
      <c r="AF44" s="57">
        <v>3645</v>
      </c>
      <c r="AG44" s="57">
        <v>1547</v>
      </c>
      <c r="AH44" s="59">
        <v>3649</v>
      </c>
      <c r="AI44" s="59">
        <v>1807</v>
      </c>
      <c r="AJ44" s="61">
        <v>3295</v>
      </c>
      <c r="AK44" s="61">
        <v>1691</v>
      </c>
      <c r="AL44" s="55">
        <v>3157</v>
      </c>
      <c r="AM44" s="55">
        <v>1823</v>
      </c>
      <c r="AN44" s="55">
        <v>3230</v>
      </c>
      <c r="AO44" s="55">
        <v>1936</v>
      </c>
      <c r="AP44" s="55">
        <v>3153</v>
      </c>
      <c r="AQ44" s="55">
        <v>1903</v>
      </c>
      <c r="AR44" s="55">
        <v>2961</v>
      </c>
      <c r="AS44" s="55">
        <v>1921</v>
      </c>
      <c r="AT44" s="55">
        <v>2862</v>
      </c>
      <c r="AU44" s="55">
        <v>1814</v>
      </c>
      <c r="AV44" s="55">
        <f t="shared" si="2"/>
        <v>2841</v>
      </c>
      <c r="AW44" s="55">
        <f t="shared" si="2"/>
        <v>1793</v>
      </c>
    </row>
    <row r="45" spans="2:49" s="55" customFormat="1" x14ac:dyDescent="0.2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2:49" s="55" customFormat="1" x14ac:dyDescent="0.2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</row>
    <row r="47" spans="2:49" s="55" customFormat="1" x14ac:dyDescent="0.2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2:49" s="55" customFormat="1" x14ac:dyDescent="0.2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2:39" s="55" customFormat="1" x14ac:dyDescent="0.2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2:39" s="55" customFormat="1" x14ac:dyDescent="0.2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2:39" s="55" customFormat="1" x14ac:dyDescent="0.2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</row>
    <row r="52" spans="2:39" s="55" customFormat="1" x14ac:dyDescent="0.2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</row>
    <row r="53" spans="2:39" s="55" customFormat="1" x14ac:dyDescent="0.2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</row>
    <row r="54" spans="2:39" s="55" customFormat="1" x14ac:dyDescent="0.2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2:39" s="55" customFormat="1" x14ac:dyDescent="0.2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AF55" s="54"/>
      <c r="AG55" s="54"/>
      <c r="AH55" s="54"/>
    </row>
    <row r="56" spans="2:39" s="55" customFormat="1" x14ac:dyDescent="0.2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AF56" s="54"/>
      <c r="AG56" s="54"/>
      <c r="AH56" s="54"/>
      <c r="AK56" s="54"/>
      <c r="AL56" s="54"/>
      <c r="AM56" s="54"/>
    </row>
    <row r="57" spans="2:39" s="55" customFormat="1" x14ac:dyDescent="0.2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AF57" s="54"/>
      <c r="AG57" s="19"/>
      <c r="AH57" s="19"/>
      <c r="AK57" s="54"/>
      <c r="AL57" s="19"/>
      <c r="AM57" s="19"/>
    </row>
    <row r="58" spans="2:39" s="55" customFormat="1" x14ac:dyDescent="0.2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AF58" s="53"/>
      <c r="AG58" s="62"/>
      <c r="AH58" s="62"/>
      <c r="AK58" s="53"/>
      <c r="AL58" s="62"/>
      <c r="AM58" s="62"/>
    </row>
    <row r="59" spans="2:39" s="55" customFormat="1" x14ac:dyDescent="0.2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AF59" s="53"/>
      <c r="AG59" s="62"/>
      <c r="AH59" s="62"/>
      <c r="AK59" s="53"/>
      <c r="AL59" s="62"/>
      <c r="AM59" s="62"/>
    </row>
    <row r="60" spans="2:39" s="55" customFormat="1" x14ac:dyDescent="0.2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AF60" s="53"/>
      <c r="AG60" s="62"/>
      <c r="AH60" s="62"/>
      <c r="AK60" s="53"/>
      <c r="AL60" s="62"/>
      <c r="AM60" s="62"/>
    </row>
    <row r="61" spans="2:39" s="55" customFormat="1" x14ac:dyDescent="0.2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AF61" s="53"/>
      <c r="AG61" s="62"/>
      <c r="AH61" s="62"/>
      <c r="AK61" s="53"/>
      <c r="AL61" s="62"/>
      <c r="AM61" s="62"/>
    </row>
    <row r="62" spans="2:39" s="55" customFormat="1" x14ac:dyDescent="0.2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AF62" s="53"/>
      <c r="AG62" s="62"/>
      <c r="AH62" s="62"/>
      <c r="AK62" s="53"/>
      <c r="AL62" s="62"/>
      <c r="AM62" s="62"/>
    </row>
    <row r="63" spans="2:39" s="55" customFormat="1" x14ac:dyDescent="0.2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AF63" s="53"/>
      <c r="AG63" s="62"/>
      <c r="AH63" s="62"/>
      <c r="AK63" s="53"/>
      <c r="AL63" s="62"/>
      <c r="AM63" s="62"/>
    </row>
    <row r="64" spans="2:39" s="55" customFormat="1" x14ac:dyDescent="0.2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AF64" s="53"/>
      <c r="AG64" s="62"/>
      <c r="AH64" s="62"/>
      <c r="AK64" s="53"/>
      <c r="AL64" s="62"/>
      <c r="AM64" s="62"/>
    </row>
    <row r="65" spans="2:39" s="55" customFormat="1" x14ac:dyDescent="0.2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AF65" s="53"/>
      <c r="AG65" s="62"/>
      <c r="AH65" s="62"/>
      <c r="AK65" s="53"/>
      <c r="AL65" s="62"/>
      <c r="AM65" s="62"/>
    </row>
    <row r="66" spans="2:39" s="55" customFormat="1" x14ac:dyDescent="0.2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AF66" s="53"/>
      <c r="AG66" s="62"/>
      <c r="AH66" s="62"/>
      <c r="AK66" s="53"/>
      <c r="AL66" s="62"/>
      <c r="AM66" s="62"/>
    </row>
    <row r="67" spans="2:39" s="55" customFormat="1" x14ac:dyDescent="0.2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AF67" s="53"/>
      <c r="AG67" s="62"/>
      <c r="AH67" s="62"/>
      <c r="AK67" s="53"/>
      <c r="AL67" s="62"/>
      <c r="AM67" s="62"/>
    </row>
    <row r="68" spans="2:39" s="55" customFormat="1" x14ac:dyDescent="0.2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AF68" s="53"/>
      <c r="AG68" s="62"/>
      <c r="AH68" s="62"/>
      <c r="AK68" s="53"/>
      <c r="AL68" s="62"/>
      <c r="AM68" s="62"/>
    </row>
    <row r="69" spans="2:39" s="55" customFormat="1" x14ac:dyDescent="0.2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AF69" s="53"/>
      <c r="AG69" s="62"/>
      <c r="AH69" s="62"/>
      <c r="AK69" s="53"/>
      <c r="AL69" s="62"/>
      <c r="AM69" s="62"/>
    </row>
    <row r="70" spans="2:39" s="55" customFormat="1" x14ac:dyDescent="0.2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AF70" s="53"/>
      <c r="AG70" s="62"/>
      <c r="AH70" s="62"/>
      <c r="AK70" s="53"/>
      <c r="AL70" s="62"/>
      <c r="AM70" s="62"/>
    </row>
    <row r="71" spans="2:39" s="55" customFormat="1" x14ac:dyDescent="0.2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AF71" s="53"/>
      <c r="AG71" s="62"/>
      <c r="AH71" s="62"/>
      <c r="AK71" s="53"/>
      <c r="AL71" s="62"/>
      <c r="AM71" s="62"/>
    </row>
    <row r="72" spans="2:39" s="55" customFormat="1" x14ac:dyDescent="0.2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AF72" s="53"/>
      <c r="AG72" s="62"/>
      <c r="AH72" s="62"/>
      <c r="AK72" s="53"/>
      <c r="AL72" s="62"/>
      <c r="AM72" s="62"/>
    </row>
    <row r="73" spans="2:39" s="55" customFormat="1" x14ac:dyDescent="0.2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AF73" s="53"/>
      <c r="AG73" s="62"/>
      <c r="AH73" s="62"/>
      <c r="AK73" s="53"/>
      <c r="AL73" s="62"/>
      <c r="AM73" s="62"/>
    </row>
    <row r="74" spans="2:39" s="55" customFormat="1" x14ac:dyDescent="0.2"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AF74" s="53"/>
      <c r="AG74" s="62"/>
      <c r="AH74" s="62"/>
      <c r="AK74" s="53"/>
      <c r="AL74" s="62"/>
      <c r="AM74" s="62"/>
    </row>
    <row r="75" spans="2:39" s="55" customFormat="1" x14ac:dyDescent="0.2"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AF75" s="53"/>
      <c r="AG75" s="62"/>
      <c r="AH75" s="62"/>
      <c r="AK75" s="53"/>
      <c r="AL75" s="62"/>
      <c r="AM75" s="62"/>
    </row>
    <row r="76" spans="2:39" s="55" customFormat="1" x14ac:dyDescent="0.2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AF76" s="53"/>
      <c r="AG76" s="62"/>
      <c r="AH76" s="62"/>
      <c r="AK76" s="53"/>
      <c r="AL76" s="62"/>
      <c r="AM76" s="62"/>
    </row>
    <row r="77" spans="2:39" s="55" customFormat="1" x14ac:dyDescent="0.2"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AF77" s="63"/>
      <c r="AG77" s="62"/>
      <c r="AH77" s="62"/>
      <c r="AK77" s="63"/>
      <c r="AL77" s="62"/>
      <c r="AM77" s="62"/>
    </row>
    <row r="78" spans="2:39" s="55" customFormat="1" x14ac:dyDescent="0.2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AF78" s="54"/>
      <c r="AG78" s="54"/>
      <c r="AH78" s="54"/>
      <c r="AK78" s="54"/>
      <c r="AL78" s="54"/>
      <c r="AM78" s="54"/>
    </row>
    <row r="79" spans="2:39" s="55" customFormat="1" x14ac:dyDescent="0.2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AF79" s="54"/>
      <c r="AG79" s="54"/>
      <c r="AH79" s="54"/>
    </row>
    <row r="80" spans="2:39" s="55" customFormat="1" x14ac:dyDescent="0.2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AF80" s="54"/>
      <c r="AG80" s="54"/>
      <c r="AH80" s="54"/>
    </row>
    <row r="81" spans="2:34" s="55" customFormat="1" x14ac:dyDescent="0.2"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AF81" s="54"/>
      <c r="AG81" s="54"/>
      <c r="AH81" s="54"/>
    </row>
    <row r="82" spans="2:34" s="55" customFormat="1" x14ac:dyDescent="0.2"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AF82" s="54"/>
      <c r="AG82" s="54"/>
      <c r="AH82" s="54"/>
    </row>
    <row r="83" spans="2:34" s="55" customFormat="1" x14ac:dyDescent="0.2"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AF83" s="54"/>
      <c r="AG83" s="54"/>
      <c r="AH83" s="54"/>
    </row>
    <row r="84" spans="2:34" s="55" customFormat="1" x14ac:dyDescent="0.2"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5" spans="2:34" s="55" customFormat="1" x14ac:dyDescent="0.2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</row>
    <row r="86" spans="2:34" s="55" customFormat="1" x14ac:dyDescent="0.2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</row>
    <row r="87" spans="2:34" s="55" customFormat="1" x14ac:dyDescent="0.2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</row>
    <row r="88" spans="2:34" s="55" customFormat="1" x14ac:dyDescent="0.2"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</row>
    <row r="89" spans="2:34" s="55" customFormat="1" x14ac:dyDescent="0.2"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</row>
    <row r="90" spans="2:34" s="55" customFormat="1" x14ac:dyDescent="0.2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</row>
    <row r="91" spans="2:34" s="55" customFormat="1" x14ac:dyDescent="0.2"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</row>
    <row r="92" spans="2:34" s="55" customFormat="1" x14ac:dyDescent="0.2"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</row>
    <row r="93" spans="2:34" s="55" customFormat="1" x14ac:dyDescent="0.2"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</row>
    <row r="94" spans="2:34" s="55" customFormat="1" x14ac:dyDescent="0.2"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</row>
    <row r="95" spans="2:34" s="55" customFormat="1" x14ac:dyDescent="0.2"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</row>
    <row r="96" spans="2:34" s="55" customFormat="1" x14ac:dyDescent="0.2"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</row>
    <row r="97" spans="2:17" s="55" customFormat="1" x14ac:dyDescent="0.2"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</row>
    <row r="98" spans="2:17" s="55" customFormat="1" x14ac:dyDescent="0.2"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</row>
    <row r="99" spans="2:17" s="55" customFormat="1" x14ac:dyDescent="0.2"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</row>
    <row r="100" spans="2:17" s="55" customFormat="1" x14ac:dyDescent="0.2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</row>
    <row r="101" spans="2:17" s="55" customFormat="1" x14ac:dyDescent="0.2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</row>
    <row r="102" spans="2:17" s="55" customFormat="1" x14ac:dyDescent="0.2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</row>
    <row r="103" spans="2:17" s="55" customFormat="1" x14ac:dyDescent="0.2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</row>
    <row r="104" spans="2:17" s="55" customFormat="1" x14ac:dyDescent="0.2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</row>
    <row r="105" spans="2:17" s="55" customFormat="1" x14ac:dyDescent="0.2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</row>
    <row r="106" spans="2:17" s="55" customFormat="1" x14ac:dyDescent="0.2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</row>
    <row r="107" spans="2:17" s="55" customFormat="1" x14ac:dyDescent="0.2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</row>
    <row r="108" spans="2:17" s="55" customFormat="1" x14ac:dyDescent="0.2"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</row>
    <row r="109" spans="2:17" s="55" customFormat="1" x14ac:dyDescent="0.2"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</row>
    <row r="110" spans="2:17" s="55" customFormat="1" x14ac:dyDescent="0.2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</row>
    <row r="111" spans="2:17" s="55" customFormat="1" x14ac:dyDescent="0.2"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</row>
    <row r="112" spans="2:17" s="55" customFormat="1" x14ac:dyDescent="0.2"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</row>
    <row r="113" spans="2:17" s="55" customFormat="1" x14ac:dyDescent="0.2"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</row>
    <row r="114" spans="2:17" s="55" customFormat="1" x14ac:dyDescent="0.2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</row>
    <row r="115" spans="2:17" s="55" customFormat="1" x14ac:dyDescent="0.2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</row>
    <row r="116" spans="2:17" s="55" customFormat="1" x14ac:dyDescent="0.2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</row>
    <row r="117" spans="2:17" s="55" customFormat="1" x14ac:dyDescent="0.2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</row>
    <row r="118" spans="2:17" s="55" customFormat="1" x14ac:dyDescent="0.2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</row>
    <row r="119" spans="2:17" s="55" customFormat="1" x14ac:dyDescent="0.2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</row>
    <row r="120" spans="2:17" s="55" customFormat="1" x14ac:dyDescent="0.2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</row>
    <row r="121" spans="2:17" s="55" customFormat="1" x14ac:dyDescent="0.2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</row>
    <row r="122" spans="2:17" s="55" customFormat="1" x14ac:dyDescent="0.2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</row>
    <row r="123" spans="2:17" s="55" customFormat="1" x14ac:dyDescent="0.2"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</row>
    <row r="124" spans="2:17" s="55" customFormat="1" x14ac:dyDescent="0.2"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</row>
    <row r="125" spans="2:17" s="55" customFormat="1" x14ac:dyDescent="0.2"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</row>
    <row r="126" spans="2:17" s="55" customFormat="1" x14ac:dyDescent="0.2"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</row>
    <row r="127" spans="2:17" s="55" customFormat="1" x14ac:dyDescent="0.2"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</row>
    <row r="128" spans="2:17" s="55" customFormat="1" x14ac:dyDescent="0.2"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</row>
    <row r="129" spans="2:17" s="55" customFormat="1" x14ac:dyDescent="0.2"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</row>
    <row r="130" spans="2:17" s="55" customFormat="1" x14ac:dyDescent="0.2"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</row>
    <row r="131" spans="2:17" s="55" customFormat="1" x14ac:dyDescent="0.2"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</row>
    <row r="132" spans="2:17" s="55" customFormat="1" x14ac:dyDescent="0.2"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</row>
    <row r="133" spans="2:17" s="55" customFormat="1" x14ac:dyDescent="0.2"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</row>
    <row r="134" spans="2:17" s="55" customFormat="1" x14ac:dyDescent="0.2"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</row>
    <row r="135" spans="2:17" s="55" customFormat="1" x14ac:dyDescent="0.2"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</row>
    <row r="136" spans="2:17" s="55" customFormat="1" x14ac:dyDescent="0.2"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</row>
    <row r="137" spans="2:17" s="55" customFormat="1" x14ac:dyDescent="0.2"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</row>
    <row r="138" spans="2:17" s="55" customFormat="1" x14ac:dyDescent="0.2"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</row>
    <row r="139" spans="2:17" s="55" customFormat="1" x14ac:dyDescent="0.2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</row>
    <row r="140" spans="2:17" s="55" customFormat="1" x14ac:dyDescent="0.2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</row>
    <row r="141" spans="2:17" s="55" customFormat="1" x14ac:dyDescent="0.2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</row>
    <row r="142" spans="2:17" s="55" customFormat="1" x14ac:dyDescent="0.2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</row>
    <row r="143" spans="2:17" s="55" customFormat="1" x14ac:dyDescent="0.2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</row>
    <row r="144" spans="2:17" s="55" customFormat="1" x14ac:dyDescent="0.2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</row>
    <row r="145" spans="2:17" s="55" customFormat="1" x14ac:dyDescent="0.2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</row>
    <row r="146" spans="2:17" s="55" customFormat="1" x14ac:dyDescent="0.2"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</row>
    <row r="147" spans="2:17" s="55" customFormat="1" x14ac:dyDescent="0.2"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</row>
    <row r="148" spans="2:17" s="55" customFormat="1" x14ac:dyDescent="0.2"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</row>
    <row r="149" spans="2:17" s="55" customFormat="1" x14ac:dyDescent="0.2"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</row>
    <row r="150" spans="2:17" s="55" customFormat="1" x14ac:dyDescent="0.2"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</row>
    <row r="151" spans="2:17" s="55" customFormat="1" x14ac:dyDescent="0.2"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</row>
    <row r="152" spans="2:17" s="55" customFormat="1" x14ac:dyDescent="0.2"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</row>
    <row r="153" spans="2:17" s="55" customFormat="1" x14ac:dyDescent="0.2"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</row>
    <row r="154" spans="2:17" s="55" customFormat="1" x14ac:dyDescent="0.2"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</row>
    <row r="155" spans="2:17" s="55" customFormat="1" x14ac:dyDescent="0.2"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</row>
    <row r="156" spans="2:17" s="55" customFormat="1" x14ac:dyDescent="0.2"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</row>
    <row r="157" spans="2:17" s="55" customFormat="1" x14ac:dyDescent="0.2"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</row>
    <row r="158" spans="2:17" s="55" customFormat="1" x14ac:dyDescent="0.2"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</row>
    <row r="159" spans="2:17" s="55" customFormat="1" x14ac:dyDescent="0.2"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</row>
    <row r="160" spans="2:17" s="55" customFormat="1" x14ac:dyDescent="0.2"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</row>
    <row r="161" spans="2:17" s="55" customFormat="1" x14ac:dyDescent="0.2"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</row>
    <row r="162" spans="2:17" s="55" customFormat="1" x14ac:dyDescent="0.2"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</row>
    <row r="163" spans="2:17" s="55" customFormat="1" x14ac:dyDescent="0.2"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</row>
    <row r="164" spans="2:17" s="55" customFormat="1" x14ac:dyDescent="0.2"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</row>
    <row r="165" spans="2:17" s="55" customFormat="1" x14ac:dyDescent="0.2"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</row>
    <row r="166" spans="2:17" s="55" customFormat="1" x14ac:dyDescent="0.2"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</row>
    <row r="167" spans="2:17" s="55" customFormat="1" x14ac:dyDescent="0.2"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</row>
    <row r="168" spans="2:17" s="55" customFormat="1" x14ac:dyDescent="0.2"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</row>
    <row r="169" spans="2:17" s="55" customFormat="1" x14ac:dyDescent="0.2"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</row>
    <row r="170" spans="2:17" s="55" customFormat="1" x14ac:dyDescent="0.2"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</row>
    <row r="171" spans="2:17" s="55" customFormat="1" x14ac:dyDescent="0.2"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</row>
    <row r="172" spans="2:17" s="55" customFormat="1" x14ac:dyDescent="0.2"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</row>
    <row r="173" spans="2:17" s="55" customFormat="1" x14ac:dyDescent="0.2"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</row>
    <row r="174" spans="2:17" s="55" customFormat="1" x14ac:dyDescent="0.2"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</row>
    <row r="175" spans="2:17" s="55" customFormat="1" x14ac:dyDescent="0.2"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</row>
    <row r="176" spans="2:17" s="55" customFormat="1" x14ac:dyDescent="0.2"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</row>
    <row r="177" spans="2:17" s="55" customFormat="1" x14ac:dyDescent="0.2"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</row>
    <row r="178" spans="2:17" s="55" customFormat="1" x14ac:dyDescent="0.2"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</row>
    <row r="179" spans="2:17" s="55" customFormat="1" x14ac:dyDescent="0.2"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</row>
    <row r="180" spans="2:17" s="55" customFormat="1" x14ac:dyDescent="0.2"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</row>
    <row r="181" spans="2:17" s="55" customFormat="1" x14ac:dyDescent="0.2"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</row>
    <row r="182" spans="2:17" s="55" customFormat="1" x14ac:dyDescent="0.2"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</row>
    <row r="183" spans="2:17" s="55" customFormat="1" x14ac:dyDescent="0.2"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</row>
    <row r="184" spans="2:17" s="55" customFormat="1" x14ac:dyDescent="0.2"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</row>
    <row r="185" spans="2:17" s="55" customFormat="1" x14ac:dyDescent="0.2"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</row>
    <row r="186" spans="2:17" s="55" customFormat="1" x14ac:dyDescent="0.2"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</row>
    <row r="187" spans="2:17" s="55" customFormat="1" x14ac:dyDescent="0.2"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</row>
    <row r="188" spans="2:17" s="55" customFormat="1" x14ac:dyDescent="0.2"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</row>
    <row r="189" spans="2:17" s="55" customFormat="1" x14ac:dyDescent="0.2"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</row>
    <row r="190" spans="2:17" s="55" customFormat="1" x14ac:dyDescent="0.2"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</row>
    <row r="191" spans="2:17" s="55" customFormat="1" x14ac:dyDescent="0.2"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</row>
    <row r="192" spans="2:17" s="55" customFormat="1" x14ac:dyDescent="0.2"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</row>
    <row r="193" spans="2:17" s="55" customFormat="1" x14ac:dyDescent="0.2"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</row>
    <row r="194" spans="2:17" s="55" customFormat="1" x14ac:dyDescent="0.2"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</row>
    <row r="195" spans="2:17" s="55" customFormat="1" x14ac:dyDescent="0.2"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</row>
    <row r="196" spans="2:17" s="55" customFormat="1" x14ac:dyDescent="0.2"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</row>
    <row r="197" spans="2:17" s="55" customFormat="1" x14ac:dyDescent="0.2"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</row>
    <row r="198" spans="2:17" s="55" customFormat="1" x14ac:dyDescent="0.2"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</row>
    <row r="199" spans="2:17" s="55" customFormat="1" x14ac:dyDescent="0.2"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</row>
    <row r="200" spans="2:17" s="55" customFormat="1" x14ac:dyDescent="0.2"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</row>
    <row r="201" spans="2:17" s="55" customFormat="1" x14ac:dyDescent="0.2"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</row>
    <row r="202" spans="2:17" s="55" customFormat="1" x14ac:dyDescent="0.2"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</row>
    <row r="203" spans="2:17" s="55" customFormat="1" x14ac:dyDescent="0.2"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</row>
    <row r="204" spans="2:17" s="55" customFormat="1" x14ac:dyDescent="0.2"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</row>
    <row r="205" spans="2:17" s="55" customFormat="1" x14ac:dyDescent="0.2"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</row>
    <row r="206" spans="2:17" s="55" customFormat="1" x14ac:dyDescent="0.2"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</row>
    <row r="207" spans="2:17" s="55" customFormat="1" x14ac:dyDescent="0.2"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</row>
    <row r="208" spans="2:17" s="55" customFormat="1" x14ac:dyDescent="0.2"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</row>
    <row r="209" spans="2:17" s="55" customFormat="1" x14ac:dyDescent="0.2"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</row>
    <row r="210" spans="2:17" s="55" customFormat="1" x14ac:dyDescent="0.2"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</row>
    <row r="211" spans="2:17" s="55" customFormat="1" x14ac:dyDescent="0.2"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</row>
    <row r="212" spans="2:17" s="55" customFormat="1" x14ac:dyDescent="0.2"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</row>
    <row r="213" spans="2:17" s="55" customFormat="1" x14ac:dyDescent="0.2"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</row>
    <row r="214" spans="2:17" s="55" customFormat="1" x14ac:dyDescent="0.2"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</row>
    <row r="215" spans="2:17" s="55" customFormat="1" x14ac:dyDescent="0.2"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</row>
    <row r="216" spans="2:17" s="55" customFormat="1" x14ac:dyDescent="0.2"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</row>
    <row r="217" spans="2:17" s="55" customFormat="1" x14ac:dyDescent="0.2"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</row>
    <row r="218" spans="2:17" s="55" customFormat="1" x14ac:dyDescent="0.2"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</row>
    <row r="219" spans="2:17" s="55" customFormat="1" x14ac:dyDescent="0.2"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</row>
    <row r="220" spans="2:17" s="55" customFormat="1" x14ac:dyDescent="0.2"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</row>
    <row r="221" spans="2:17" s="55" customFormat="1" x14ac:dyDescent="0.2"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</row>
    <row r="222" spans="2:17" s="55" customFormat="1" x14ac:dyDescent="0.2"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</row>
    <row r="223" spans="2:17" s="55" customFormat="1" x14ac:dyDescent="0.2"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</row>
    <row r="224" spans="2:17" s="55" customFormat="1" x14ac:dyDescent="0.2"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 spans="2:17" s="55" customFormat="1" x14ac:dyDescent="0.2"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</row>
    <row r="226" spans="2:17" s="55" customFormat="1" x14ac:dyDescent="0.2"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</row>
    <row r="227" spans="2:17" s="55" customFormat="1" x14ac:dyDescent="0.2"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 spans="2:17" s="55" customFormat="1" x14ac:dyDescent="0.2"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</row>
    <row r="229" spans="2:17" s="55" customFormat="1" x14ac:dyDescent="0.2"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</row>
    <row r="230" spans="2:17" s="55" customFormat="1" x14ac:dyDescent="0.2"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</row>
    <row r="231" spans="2:17" s="55" customFormat="1" x14ac:dyDescent="0.2"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</row>
    <row r="232" spans="2:17" s="55" customFormat="1" x14ac:dyDescent="0.2"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</row>
    <row r="233" spans="2:17" s="55" customFormat="1" x14ac:dyDescent="0.2"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</row>
    <row r="234" spans="2:17" s="55" customFormat="1" x14ac:dyDescent="0.2"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</row>
    <row r="235" spans="2:17" s="55" customFormat="1" x14ac:dyDescent="0.2"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</row>
    <row r="236" spans="2:17" s="55" customFormat="1" x14ac:dyDescent="0.2"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</row>
    <row r="237" spans="2:17" s="55" customFormat="1" x14ac:dyDescent="0.2"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</row>
    <row r="238" spans="2:17" s="55" customFormat="1" x14ac:dyDescent="0.2"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</row>
    <row r="239" spans="2:17" s="55" customFormat="1" x14ac:dyDescent="0.2"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</row>
    <row r="240" spans="2:17" s="55" customFormat="1" x14ac:dyDescent="0.2"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</row>
    <row r="241" spans="2:17" s="55" customFormat="1" x14ac:dyDescent="0.2"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</row>
    <row r="242" spans="2:17" s="55" customFormat="1" x14ac:dyDescent="0.2"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</row>
    <row r="243" spans="2:17" s="55" customFormat="1" x14ac:dyDescent="0.2"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</row>
    <row r="244" spans="2:17" s="55" customFormat="1" x14ac:dyDescent="0.2"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</row>
    <row r="245" spans="2:17" s="55" customFormat="1" x14ac:dyDescent="0.2"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</row>
    <row r="246" spans="2:17" s="55" customFormat="1" x14ac:dyDescent="0.2"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</row>
    <row r="247" spans="2:17" s="55" customFormat="1" x14ac:dyDescent="0.2"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</row>
    <row r="248" spans="2:17" s="55" customFormat="1" x14ac:dyDescent="0.2"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</row>
    <row r="249" spans="2:17" s="55" customFormat="1" x14ac:dyDescent="0.2"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</row>
    <row r="250" spans="2:17" s="55" customFormat="1" x14ac:dyDescent="0.2"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</row>
    <row r="251" spans="2:17" s="55" customFormat="1" x14ac:dyDescent="0.2"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</row>
    <row r="252" spans="2:17" s="55" customFormat="1" x14ac:dyDescent="0.2"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</row>
    <row r="253" spans="2:17" s="55" customFormat="1" x14ac:dyDescent="0.2"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</row>
    <row r="254" spans="2:17" s="55" customFormat="1" x14ac:dyDescent="0.2"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</row>
    <row r="255" spans="2:17" s="55" customFormat="1" x14ac:dyDescent="0.2"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</row>
    <row r="256" spans="2:17" s="55" customFormat="1" x14ac:dyDescent="0.2"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</row>
    <row r="257" spans="2:17" s="55" customFormat="1" x14ac:dyDescent="0.2"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</row>
    <row r="258" spans="2:17" s="55" customFormat="1" x14ac:dyDescent="0.2"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</row>
    <row r="259" spans="2:17" s="55" customFormat="1" x14ac:dyDescent="0.2"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</row>
    <row r="260" spans="2:17" s="55" customFormat="1" x14ac:dyDescent="0.2"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</row>
    <row r="261" spans="2:17" s="55" customFormat="1" x14ac:dyDescent="0.2"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</row>
    <row r="262" spans="2:17" s="55" customFormat="1" x14ac:dyDescent="0.2"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</row>
    <row r="263" spans="2:17" s="55" customFormat="1" x14ac:dyDescent="0.2"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</row>
    <row r="264" spans="2:17" s="55" customFormat="1" x14ac:dyDescent="0.2"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</row>
    <row r="265" spans="2:17" s="55" customFormat="1" x14ac:dyDescent="0.2"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</row>
    <row r="266" spans="2:17" s="55" customFormat="1" x14ac:dyDescent="0.2"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</row>
    <row r="267" spans="2:17" s="55" customFormat="1" x14ac:dyDescent="0.2"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</row>
    <row r="268" spans="2:17" s="55" customFormat="1" x14ac:dyDescent="0.2"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</row>
    <row r="269" spans="2:17" s="55" customFormat="1" x14ac:dyDescent="0.2"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</row>
    <row r="270" spans="2:17" s="55" customFormat="1" x14ac:dyDescent="0.2"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</row>
    <row r="271" spans="2:17" s="55" customFormat="1" x14ac:dyDescent="0.2"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</row>
    <row r="272" spans="2:17" s="55" customFormat="1" x14ac:dyDescent="0.2"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</row>
    <row r="273" spans="2:17" s="55" customFormat="1" x14ac:dyDescent="0.2"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</row>
    <row r="274" spans="2:17" s="55" customFormat="1" x14ac:dyDescent="0.2"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</row>
    <row r="275" spans="2:17" s="55" customFormat="1" x14ac:dyDescent="0.2"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</row>
    <row r="276" spans="2:17" s="55" customFormat="1" x14ac:dyDescent="0.2"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</row>
    <row r="277" spans="2:17" s="55" customFormat="1" x14ac:dyDescent="0.2"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</row>
    <row r="278" spans="2:17" s="55" customFormat="1" x14ac:dyDescent="0.2"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</row>
    <row r="279" spans="2:17" s="55" customFormat="1" x14ac:dyDescent="0.2"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</row>
    <row r="280" spans="2:17" s="55" customFormat="1" x14ac:dyDescent="0.2"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</row>
    <row r="281" spans="2:17" s="55" customFormat="1" x14ac:dyDescent="0.2"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</row>
    <row r="282" spans="2:17" s="55" customFormat="1" x14ac:dyDescent="0.2"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</row>
    <row r="283" spans="2:17" s="55" customFormat="1" x14ac:dyDescent="0.2"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</row>
    <row r="284" spans="2:17" s="55" customFormat="1" x14ac:dyDescent="0.2"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</row>
    <row r="285" spans="2:17" s="55" customFormat="1" x14ac:dyDescent="0.2"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</row>
    <row r="286" spans="2:17" s="55" customFormat="1" x14ac:dyDescent="0.2"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</row>
    <row r="287" spans="2:17" s="55" customFormat="1" x14ac:dyDescent="0.2"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</row>
    <row r="288" spans="2:17" s="55" customFormat="1" x14ac:dyDescent="0.2"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</row>
    <row r="289" spans="2:17" s="55" customFormat="1" x14ac:dyDescent="0.2"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</row>
    <row r="290" spans="2:17" s="55" customFormat="1" x14ac:dyDescent="0.2"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</row>
    <row r="291" spans="2:17" s="55" customFormat="1" x14ac:dyDescent="0.2"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</row>
    <row r="292" spans="2:17" s="55" customFormat="1" x14ac:dyDescent="0.2"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</row>
    <row r="293" spans="2:17" s="55" customFormat="1" x14ac:dyDescent="0.2"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</row>
    <row r="294" spans="2:17" s="55" customFormat="1" x14ac:dyDescent="0.2"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</row>
    <row r="295" spans="2:17" s="55" customFormat="1" x14ac:dyDescent="0.2"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</row>
    <row r="296" spans="2:17" s="55" customFormat="1" x14ac:dyDescent="0.2"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</row>
    <row r="297" spans="2:17" s="55" customFormat="1" x14ac:dyDescent="0.2"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</row>
    <row r="298" spans="2:17" s="55" customFormat="1" x14ac:dyDescent="0.2"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</row>
    <row r="299" spans="2:17" s="55" customFormat="1" x14ac:dyDescent="0.2"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</row>
    <row r="300" spans="2:17" s="55" customFormat="1" x14ac:dyDescent="0.2"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</row>
    <row r="301" spans="2:17" s="55" customFormat="1" x14ac:dyDescent="0.2"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</row>
    <row r="302" spans="2:17" s="55" customFormat="1" x14ac:dyDescent="0.2"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</row>
    <row r="303" spans="2:17" s="55" customFormat="1" x14ac:dyDescent="0.2"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</row>
    <row r="304" spans="2:17" s="55" customFormat="1" x14ac:dyDescent="0.2"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</row>
    <row r="305" spans="2:17" s="55" customFormat="1" x14ac:dyDescent="0.2"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</row>
    <row r="306" spans="2:17" s="55" customFormat="1" x14ac:dyDescent="0.2"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</row>
    <row r="307" spans="2:17" s="55" customFormat="1" x14ac:dyDescent="0.2"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</row>
    <row r="308" spans="2:17" s="55" customFormat="1" x14ac:dyDescent="0.2"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</row>
    <row r="309" spans="2:17" s="55" customFormat="1" x14ac:dyDescent="0.2"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</row>
    <row r="310" spans="2:17" s="55" customFormat="1" x14ac:dyDescent="0.2"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</row>
    <row r="311" spans="2:17" s="55" customFormat="1" x14ac:dyDescent="0.2"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</row>
    <row r="312" spans="2:17" s="55" customFormat="1" x14ac:dyDescent="0.2"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</row>
    <row r="313" spans="2:17" s="55" customFormat="1" x14ac:dyDescent="0.2"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</row>
    <row r="314" spans="2:17" s="55" customFormat="1" x14ac:dyDescent="0.2"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</row>
    <row r="315" spans="2:17" s="55" customFormat="1" x14ac:dyDescent="0.2"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</row>
    <row r="316" spans="2:17" s="55" customFormat="1" x14ac:dyDescent="0.2"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</row>
    <row r="317" spans="2:17" s="55" customFormat="1" x14ac:dyDescent="0.2"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</row>
    <row r="318" spans="2:17" s="55" customFormat="1" x14ac:dyDescent="0.2"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</row>
    <row r="319" spans="2:17" s="55" customFormat="1" x14ac:dyDescent="0.2"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</row>
    <row r="320" spans="2:17" s="55" customFormat="1" x14ac:dyDescent="0.2"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</row>
    <row r="321" spans="2:17" s="55" customFormat="1" x14ac:dyDescent="0.2"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</row>
    <row r="322" spans="2:17" s="55" customFormat="1" x14ac:dyDescent="0.2"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</row>
    <row r="323" spans="2:17" s="55" customFormat="1" x14ac:dyDescent="0.2"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</row>
    <row r="324" spans="2:17" s="55" customFormat="1" x14ac:dyDescent="0.2"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</row>
    <row r="325" spans="2:17" s="55" customFormat="1" x14ac:dyDescent="0.2"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</row>
    <row r="326" spans="2:17" s="55" customFormat="1" x14ac:dyDescent="0.2"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</row>
    <row r="327" spans="2:17" s="55" customFormat="1" x14ac:dyDescent="0.2"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</row>
    <row r="328" spans="2:17" s="55" customFormat="1" x14ac:dyDescent="0.2"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</row>
    <row r="329" spans="2:17" s="55" customFormat="1" x14ac:dyDescent="0.2"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</row>
    <row r="330" spans="2:17" s="55" customFormat="1" x14ac:dyDescent="0.2"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</row>
    <row r="331" spans="2:17" s="55" customFormat="1" x14ac:dyDescent="0.2"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</row>
    <row r="332" spans="2:17" s="55" customFormat="1" x14ac:dyDescent="0.2"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</row>
    <row r="333" spans="2:17" s="55" customFormat="1" x14ac:dyDescent="0.2"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</row>
    <row r="334" spans="2:17" s="55" customFormat="1" x14ac:dyDescent="0.2"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</row>
    <row r="335" spans="2:17" s="55" customFormat="1" x14ac:dyDescent="0.2"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</row>
    <row r="336" spans="2:17" s="55" customFormat="1" x14ac:dyDescent="0.2"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</row>
    <row r="337" spans="2:17" s="55" customFormat="1" x14ac:dyDescent="0.2"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</row>
    <row r="338" spans="2:17" s="55" customFormat="1" x14ac:dyDescent="0.2"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</row>
    <row r="339" spans="2:17" s="55" customFormat="1" x14ac:dyDescent="0.2"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</row>
    <row r="340" spans="2:17" s="55" customFormat="1" x14ac:dyDescent="0.2"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</row>
    <row r="341" spans="2:17" s="55" customFormat="1" x14ac:dyDescent="0.2"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</row>
    <row r="342" spans="2:17" s="55" customFormat="1" x14ac:dyDescent="0.2"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</row>
    <row r="343" spans="2:17" s="55" customFormat="1" x14ac:dyDescent="0.2"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</row>
    <row r="344" spans="2:17" s="55" customFormat="1" x14ac:dyDescent="0.2"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</row>
    <row r="345" spans="2:17" s="55" customFormat="1" x14ac:dyDescent="0.2"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</row>
    <row r="346" spans="2:17" s="55" customFormat="1" x14ac:dyDescent="0.2"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</row>
    <row r="347" spans="2:17" s="55" customFormat="1" x14ac:dyDescent="0.2"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</row>
    <row r="348" spans="2:17" s="55" customFormat="1" x14ac:dyDescent="0.2"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</row>
    <row r="349" spans="2:17" s="55" customFormat="1" x14ac:dyDescent="0.2"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</row>
    <row r="350" spans="2:17" s="55" customFormat="1" x14ac:dyDescent="0.2"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</row>
    <row r="351" spans="2:17" s="55" customFormat="1" x14ac:dyDescent="0.2"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</row>
    <row r="352" spans="2:17" s="55" customFormat="1" x14ac:dyDescent="0.2"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</row>
    <row r="353" spans="2:17" s="55" customFormat="1" x14ac:dyDescent="0.2"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</row>
    <row r="354" spans="2:17" s="55" customFormat="1" x14ac:dyDescent="0.2"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</row>
    <row r="355" spans="2:17" s="55" customFormat="1" x14ac:dyDescent="0.2"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</row>
    <row r="356" spans="2:17" s="55" customFormat="1" x14ac:dyDescent="0.2"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</row>
    <row r="357" spans="2:17" s="55" customFormat="1" x14ac:dyDescent="0.2"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</row>
    <row r="358" spans="2:17" s="55" customFormat="1" x14ac:dyDescent="0.2"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</row>
    <row r="359" spans="2:17" s="55" customFormat="1" x14ac:dyDescent="0.2"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</row>
    <row r="360" spans="2:17" s="55" customFormat="1" x14ac:dyDescent="0.2"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</row>
    <row r="361" spans="2:17" s="55" customFormat="1" x14ac:dyDescent="0.2"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</row>
    <row r="362" spans="2:17" s="55" customFormat="1" x14ac:dyDescent="0.2"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</row>
    <row r="363" spans="2:17" s="55" customFormat="1" x14ac:dyDescent="0.2"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</row>
    <row r="364" spans="2:17" s="55" customFormat="1" x14ac:dyDescent="0.2"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</row>
    <row r="365" spans="2:17" s="55" customFormat="1" x14ac:dyDescent="0.2"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</row>
    <row r="366" spans="2:17" s="55" customFormat="1" x14ac:dyDescent="0.2"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</row>
    <row r="367" spans="2:17" s="55" customFormat="1" x14ac:dyDescent="0.2"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</row>
    <row r="368" spans="2:17" s="55" customFormat="1" x14ac:dyDescent="0.2"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</row>
    <row r="369" spans="2:17" s="55" customFormat="1" x14ac:dyDescent="0.2"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</row>
    <row r="370" spans="2:17" s="55" customFormat="1" x14ac:dyDescent="0.2"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</row>
    <row r="371" spans="2:17" s="55" customFormat="1" x14ac:dyDescent="0.2"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</row>
    <row r="372" spans="2:17" s="55" customFormat="1" x14ac:dyDescent="0.2"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</row>
    <row r="373" spans="2:17" s="55" customFormat="1" x14ac:dyDescent="0.2"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</row>
    <row r="374" spans="2:17" s="55" customFormat="1" x14ac:dyDescent="0.2"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</row>
    <row r="375" spans="2:17" s="55" customFormat="1" x14ac:dyDescent="0.2"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</row>
    <row r="376" spans="2:17" s="55" customFormat="1" x14ac:dyDescent="0.2"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</row>
    <row r="377" spans="2:17" s="55" customFormat="1" x14ac:dyDescent="0.2"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</row>
    <row r="378" spans="2:17" s="55" customFormat="1" x14ac:dyDescent="0.2"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</row>
    <row r="379" spans="2:17" s="55" customFormat="1" x14ac:dyDescent="0.2"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</row>
    <row r="380" spans="2:17" s="55" customFormat="1" x14ac:dyDescent="0.2"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</row>
    <row r="381" spans="2:17" s="55" customFormat="1" x14ac:dyDescent="0.2"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</row>
    <row r="382" spans="2:17" s="55" customFormat="1" x14ac:dyDescent="0.2"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</row>
    <row r="383" spans="2:17" s="55" customFormat="1" x14ac:dyDescent="0.2"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</row>
    <row r="384" spans="2:17" s="55" customFormat="1" x14ac:dyDescent="0.2"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</row>
    <row r="385" spans="2:17" s="55" customFormat="1" x14ac:dyDescent="0.2"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</row>
    <row r="386" spans="2:17" s="55" customFormat="1" x14ac:dyDescent="0.2"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</row>
    <row r="387" spans="2:17" s="55" customFormat="1" x14ac:dyDescent="0.2"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</row>
    <row r="388" spans="2:17" s="55" customFormat="1" x14ac:dyDescent="0.2"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</row>
    <row r="389" spans="2:17" s="55" customFormat="1" x14ac:dyDescent="0.2"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</row>
    <row r="390" spans="2:17" s="55" customFormat="1" x14ac:dyDescent="0.2"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</row>
    <row r="391" spans="2:17" s="55" customFormat="1" x14ac:dyDescent="0.2"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</row>
    <row r="392" spans="2:17" s="55" customFormat="1" x14ac:dyDescent="0.2"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</row>
    <row r="393" spans="2:17" s="55" customFormat="1" x14ac:dyDescent="0.2"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</row>
    <row r="394" spans="2:17" s="55" customFormat="1" x14ac:dyDescent="0.2"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</row>
    <row r="395" spans="2:17" s="55" customFormat="1" x14ac:dyDescent="0.2"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</row>
    <row r="396" spans="2:17" s="55" customFormat="1" x14ac:dyDescent="0.2"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</row>
    <row r="397" spans="2:17" s="55" customFormat="1" x14ac:dyDescent="0.2"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</row>
    <row r="398" spans="2:17" s="55" customFormat="1" x14ac:dyDescent="0.2"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</row>
    <row r="399" spans="2:17" s="55" customFormat="1" x14ac:dyDescent="0.2"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</row>
    <row r="400" spans="2:17" s="55" customFormat="1" x14ac:dyDescent="0.2"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</row>
    <row r="401" spans="2:17" s="55" customFormat="1" x14ac:dyDescent="0.2"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</row>
    <row r="402" spans="2:17" s="55" customFormat="1" x14ac:dyDescent="0.2"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</row>
    <row r="403" spans="2:17" s="55" customFormat="1" x14ac:dyDescent="0.2"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</row>
    <row r="404" spans="2:17" s="55" customFormat="1" x14ac:dyDescent="0.2"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</row>
    <row r="405" spans="2:17" s="55" customFormat="1" x14ac:dyDescent="0.2"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</row>
    <row r="406" spans="2:17" s="55" customFormat="1" x14ac:dyDescent="0.2"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</row>
    <row r="407" spans="2:17" s="55" customFormat="1" x14ac:dyDescent="0.2"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</row>
    <row r="408" spans="2:17" s="55" customFormat="1" x14ac:dyDescent="0.2"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</row>
    <row r="409" spans="2:17" s="55" customFormat="1" x14ac:dyDescent="0.2"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</row>
    <row r="410" spans="2:17" s="55" customFormat="1" x14ac:dyDescent="0.2"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</row>
    <row r="411" spans="2:17" s="55" customFormat="1" x14ac:dyDescent="0.2"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</row>
    <row r="412" spans="2:17" s="55" customFormat="1" x14ac:dyDescent="0.2"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</row>
    <row r="413" spans="2:17" s="55" customFormat="1" x14ac:dyDescent="0.2"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</row>
    <row r="414" spans="2:17" s="55" customFormat="1" x14ac:dyDescent="0.2"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</row>
    <row r="415" spans="2:17" s="55" customFormat="1" x14ac:dyDescent="0.2"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</row>
    <row r="416" spans="2:17" s="55" customFormat="1" x14ac:dyDescent="0.2"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</row>
    <row r="417" spans="2:17" s="55" customFormat="1" x14ac:dyDescent="0.2"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</row>
    <row r="418" spans="2:17" s="55" customFormat="1" x14ac:dyDescent="0.2"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</row>
    <row r="419" spans="2:17" s="55" customFormat="1" x14ac:dyDescent="0.2"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</row>
    <row r="420" spans="2:17" s="55" customFormat="1" x14ac:dyDescent="0.2"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</row>
    <row r="421" spans="2:17" s="55" customFormat="1" x14ac:dyDescent="0.2"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</row>
    <row r="422" spans="2:17" s="55" customFormat="1" x14ac:dyDescent="0.2"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</row>
    <row r="423" spans="2:17" s="55" customFormat="1" x14ac:dyDescent="0.2"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</row>
    <row r="424" spans="2:17" s="55" customFormat="1" x14ac:dyDescent="0.2"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</row>
    <row r="425" spans="2:17" s="55" customFormat="1" x14ac:dyDescent="0.2"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</row>
    <row r="426" spans="2:17" s="55" customFormat="1" x14ac:dyDescent="0.2"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</row>
    <row r="427" spans="2:17" s="55" customFormat="1" x14ac:dyDescent="0.2"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</row>
    <row r="428" spans="2:17" s="55" customFormat="1" x14ac:dyDescent="0.2"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</row>
    <row r="429" spans="2:17" s="55" customFormat="1" x14ac:dyDescent="0.2"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</row>
    <row r="430" spans="2:17" s="55" customFormat="1" x14ac:dyDescent="0.2"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</row>
    <row r="431" spans="2:17" s="55" customFormat="1" x14ac:dyDescent="0.2"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</row>
    <row r="432" spans="2:17" s="55" customFormat="1" x14ac:dyDescent="0.2"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</row>
    <row r="433" spans="2:17" s="55" customFormat="1" x14ac:dyDescent="0.2"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</row>
    <row r="434" spans="2:17" s="55" customFormat="1" x14ac:dyDescent="0.2"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</row>
    <row r="435" spans="2:17" s="55" customFormat="1" x14ac:dyDescent="0.2"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</row>
    <row r="436" spans="2:17" s="55" customFormat="1" x14ac:dyDescent="0.2"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</row>
    <row r="437" spans="2:17" s="55" customFormat="1" x14ac:dyDescent="0.2"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</row>
    <row r="438" spans="2:17" s="55" customFormat="1" x14ac:dyDescent="0.2"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</row>
    <row r="439" spans="2:17" s="55" customFormat="1" x14ac:dyDescent="0.2"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</row>
    <row r="440" spans="2:17" s="55" customFormat="1" x14ac:dyDescent="0.2"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</row>
    <row r="441" spans="2:17" s="55" customFormat="1" x14ac:dyDescent="0.2"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</row>
    <row r="442" spans="2:17" s="55" customFormat="1" x14ac:dyDescent="0.2"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</row>
    <row r="443" spans="2:17" s="55" customFormat="1" x14ac:dyDescent="0.2"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</row>
    <row r="444" spans="2:17" s="55" customFormat="1" x14ac:dyDescent="0.2"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</row>
    <row r="445" spans="2:17" s="55" customFormat="1" x14ac:dyDescent="0.2"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</row>
    <row r="446" spans="2:17" s="55" customFormat="1" x14ac:dyDescent="0.2"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</row>
    <row r="447" spans="2:17" s="55" customFormat="1" x14ac:dyDescent="0.2"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</row>
    <row r="448" spans="2:17" s="55" customFormat="1" x14ac:dyDescent="0.2"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</row>
    <row r="449" spans="2:17" s="55" customFormat="1" x14ac:dyDescent="0.2"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</row>
    <row r="450" spans="2:17" s="55" customFormat="1" x14ac:dyDescent="0.2"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</row>
    <row r="451" spans="2:17" s="55" customFormat="1" x14ac:dyDescent="0.2"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</row>
    <row r="452" spans="2:17" s="55" customFormat="1" x14ac:dyDescent="0.2"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</row>
    <row r="453" spans="2:17" s="55" customFormat="1" x14ac:dyDescent="0.2"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</row>
    <row r="454" spans="2:17" s="55" customFormat="1" x14ac:dyDescent="0.2"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</row>
    <row r="455" spans="2:17" s="55" customFormat="1" x14ac:dyDescent="0.2"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</row>
    <row r="456" spans="2:17" s="55" customFormat="1" x14ac:dyDescent="0.2"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</row>
    <row r="457" spans="2:17" s="55" customFormat="1" x14ac:dyDescent="0.2"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</row>
    <row r="458" spans="2:17" s="55" customFormat="1" x14ac:dyDescent="0.2"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</row>
    <row r="459" spans="2:17" s="55" customFormat="1" x14ac:dyDescent="0.2"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</row>
    <row r="460" spans="2:17" s="55" customFormat="1" x14ac:dyDescent="0.2"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</row>
    <row r="461" spans="2:17" s="55" customFormat="1" x14ac:dyDescent="0.2"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</row>
    <row r="462" spans="2:17" s="55" customFormat="1" x14ac:dyDescent="0.2"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</row>
    <row r="463" spans="2:17" s="55" customFormat="1" x14ac:dyDescent="0.2"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</row>
    <row r="464" spans="2:17" s="55" customFormat="1" x14ac:dyDescent="0.2"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</row>
    <row r="465" spans="2:17" s="55" customFormat="1" x14ac:dyDescent="0.2"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</row>
    <row r="466" spans="2:17" s="55" customFormat="1" x14ac:dyDescent="0.2"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</row>
    <row r="467" spans="2:17" s="55" customFormat="1" x14ac:dyDescent="0.2"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</row>
    <row r="468" spans="2:17" s="55" customFormat="1" x14ac:dyDescent="0.2"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</row>
    <row r="469" spans="2:17" s="55" customFormat="1" x14ac:dyDescent="0.2"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</row>
    <row r="470" spans="2:17" s="55" customFormat="1" x14ac:dyDescent="0.2"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</row>
    <row r="471" spans="2:17" s="55" customFormat="1" x14ac:dyDescent="0.2"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</row>
    <row r="472" spans="2:17" s="55" customFormat="1" x14ac:dyDescent="0.2"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</row>
    <row r="473" spans="2:17" s="55" customFormat="1" x14ac:dyDescent="0.2"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</row>
    <row r="474" spans="2:17" s="55" customFormat="1" x14ac:dyDescent="0.2"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</row>
    <row r="475" spans="2:17" s="55" customFormat="1" x14ac:dyDescent="0.2"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</row>
    <row r="476" spans="2:17" s="55" customFormat="1" x14ac:dyDescent="0.2"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</row>
    <row r="477" spans="2:17" s="55" customFormat="1" x14ac:dyDescent="0.2"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</row>
    <row r="478" spans="2:17" s="55" customFormat="1" x14ac:dyDescent="0.2"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</row>
    <row r="479" spans="2:17" s="55" customFormat="1" x14ac:dyDescent="0.2"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</row>
    <row r="480" spans="2:17" s="55" customFormat="1" x14ac:dyDescent="0.2"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</row>
    <row r="481" spans="2:17" s="55" customFormat="1" x14ac:dyDescent="0.2"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</row>
    <row r="482" spans="2:17" s="55" customFormat="1" x14ac:dyDescent="0.2"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</row>
    <row r="483" spans="2:17" s="55" customFormat="1" x14ac:dyDescent="0.2"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</row>
    <row r="484" spans="2:17" s="55" customFormat="1" x14ac:dyDescent="0.2"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</row>
    <row r="485" spans="2:17" s="55" customFormat="1" x14ac:dyDescent="0.2"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</row>
    <row r="486" spans="2:17" s="55" customFormat="1" x14ac:dyDescent="0.2"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</row>
    <row r="487" spans="2:17" s="55" customFormat="1" x14ac:dyDescent="0.2"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</row>
    <row r="488" spans="2:17" s="55" customFormat="1" x14ac:dyDescent="0.2"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</row>
    <row r="489" spans="2:17" s="55" customFormat="1" x14ac:dyDescent="0.2"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</row>
    <row r="490" spans="2:17" s="55" customFormat="1" x14ac:dyDescent="0.2"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</row>
    <row r="491" spans="2:17" s="55" customFormat="1" x14ac:dyDescent="0.2"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</row>
    <row r="492" spans="2:17" s="55" customFormat="1" x14ac:dyDescent="0.2"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</row>
    <row r="493" spans="2:17" s="55" customFormat="1" x14ac:dyDescent="0.2"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</row>
    <row r="494" spans="2:17" s="55" customFormat="1" x14ac:dyDescent="0.2"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</row>
    <row r="495" spans="2:17" s="55" customFormat="1" x14ac:dyDescent="0.2"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</row>
    <row r="496" spans="2:17" s="55" customFormat="1" x14ac:dyDescent="0.2"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</row>
    <row r="497" spans="2:17" s="55" customFormat="1" x14ac:dyDescent="0.2"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</row>
    <row r="498" spans="2:17" s="55" customFormat="1" x14ac:dyDescent="0.2"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</row>
    <row r="499" spans="2:17" s="55" customFormat="1" x14ac:dyDescent="0.2"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</row>
    <row r="500" spans="2:17" s="55" customFormat="1" x14ac:dyDescent="0.2"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</row>
    <row r="501" spans="2:17" s="55" customFormat="1" x14ac:dyDescent="0.2"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</row>
    <row r="502" spans="2:17" s="55" customFormat="1" x14ac:dyDescent="0.2"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</row>
    <row r="503" spans="2:17" s="55" customFormat="1" x14ac:dyDescent="0.2"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</row>
    <row r="504" spans="2:17" s="55" customFormat="1" x14ac:dyDescent="0.2"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</row>
    <row r="505" spans="2:17" s="55" customFormat="1" x14ac:dyDescent="0.2"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</row>
    <row r="506" spans="2:17" s="55" customFormat="1" x14ac:dyDescent="0.2"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</row>
    <row r="507" spans="2:17" s="55" customFormat="1" x14ac:dyDescent="0.2"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</row>
    <row r="508" spans="2:17" s="55" customFormat="1" x14ac:dyDescent="0.2"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</row>
    <row r="509" spans="2:17" s="55" customFormat="1" x14ac:dyDescent="0.2"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</row>
    <row r="510" spans="2:17" s="55" customFormat="1" x14ac:dyDescent="0.2"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</row>
    <row r="511" spans="2:17" s="55" customFormat="1" x14ac:dyDescent="0.2"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</row>
    <row r="512" spans="2:17" s="55" customFormat="1" x14ac:dyDescent="0.2"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</row>
    <row r="513" spans="2:17" s="55" customFormat="1" x14ac:dyDescent="0.2"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</row>
    <row r="514" spans="2:17" s="55" customFormat="1" x14ac:dyDescent="0.2"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</row>
    <row r="515" spans="2:17" s="55" customFormat="1" x14ac:dyDescent="0.2"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</row>
    <row r="516" spans="2:17" s="55" customFormat="1" x14ac:dyDescent="0.2"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</row>
    <row r="517" spans="2:17" s="55" customFormat="1" x14ac:dyDescent="0.2"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</row>
    <row r="518" spans="2:17" s="55" customFormat="1" x14ac:dyDescent="0.2"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</row>
    <row r="519" spans="2:17" s="55" customFormat="1" x14ac:dyDescent="0.2"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</row>
    <row r="520" spans="2:17" s="55" customFormat="1" x14ac:dyDescent="0.2"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</row>
    <row r="521" spans="2:17" s="55" customFormat="1" x14ac:dyDescent="0.2"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</row>
    <row r="522" spans="2:17" s="55" customFormat="1" x14ac:dyDescent="0.2"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</row>
    <row r="523" spans="2:17" s="55" customFormat="1" x14ac:dyDescent="0.2"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</row>
    <row r="524" spans="2:17" s="55" customFormat="1" x14ac:dyDescent="0.2"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</row>
    <row r="525" spans="2:17" s="55" customFormat="1" x14ac:dyDescent="0.2"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</row>
    <row r="526" spans="2:17" s="55" customFormat="1" x14ac:dyDescent="0.2"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</row>
    <row r="527" spans="2:17" s="55" customFormat="1" x14ac:dyDescent="0.2"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</row>
    <row r="528" spans="2:17" s="55" customFormat="1" x14ac:dyDescent="0.2"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</row>
    <row r="529" spans="2:17" s="55" customFormat="1" x14ac:dyDescent="0.2"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</row>
    <row r="530" spans="2:17" s="55" customFormat="1" x14ac:dyDescent="0.2"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</row>
    <row r="531" spans="2:17" s="55" customFormat="1" x14ac:dyDescent="0.2"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</row>
    <row r="532" spans="2:17" s="55" customFormat="1" x14ac:dyDescent="0.2"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</row>
    <row r="533" spans="2:17" s="55" customFormat="1" x14ac:dyDescent="0.2"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</row>
    <row r="534" spans="2:17" s="55" customFormat="1" x14ac:dyDescent="0.2"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</row>
    <row r="535" spans="2:17" s="55" customFormat="1" x14ac:dyDescent="0.2"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</row>
    <row r="536" spans="2:17" s="55" customFormat="1" x14ac:dyDescent="0.2"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</row>
    <row r="537" spans="2:17" s="55" customFormat="1" x14ac:dyDescent="0.2"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</row>
    <row r="538" spans="2:17" s="55" customFormat="1" x14ac:dyDescent="0.2"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</row>
    <row r="539" spans="2:17" s="55" customFormat="1" x14ac:dyDescent="0.2"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</row>
    <row r="540" spans="2:17" s="55" customFormat="1" x14ac:dyDescent="0.2"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</row>
    <row r="541" spans="2:17" s="55" customFormat="1" x14ac:dyDescent="0.2"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</row>
    <row r="542" spans="2:17" s="55" customFormat="1" x14ac:dyDescent="0.2"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</row>
    <row r="543" spans="2:17" s="55" customFormat="1" x14ac:dyDescent="0.2"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</row>
    <row r="544" spans="2:17" s="55" customFormat="1" x14ac:dyDescent="0.2"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</row>
    <row r="545" spans="2:17" s="55" customFormat="1" x14ac:dyDescent="0.2"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</row>
    <row r="546" spans="2:17" s="55" customFormat="1" x14ac:dyDescent="0.2"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</row>
    <row r="547" spans="2:17" s="55" customFormat="1" x14ac:dyDescent="0.2"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</row>
    <row r="548" spans="2:17" s="55" customFormat="1" x14ac:dyDescent="0.2"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</row>
    <row r="549" spans="2:17" s="55" customFormat="1" x14ac:dyDescent="0.2"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</row>
    <row r="550" spans="2:17" s="55" customFormat="1" x14ac:dyDescent="0.2"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</row>
    <row r="551" spans="2:17" s="55" customFormat="1" x14ac:dyDescent="0.2"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</row>
    <row r="552" spans="2:17" s="55" customFormat="1" x14ac:dyDescent="0.2"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</row>
    <row r="553" spans="2:17" s="55" customFormat="1" x14ac:dyDescent="0.2"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</row>
    <row r="554" spans="2:17" s="55" customFormat="1" x14ac:dyDescent="0.2"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</row>
    <row r="555" spans="2:17" s="55" customFormat="1" x14ac:dyDescent="0.2"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</row>
    <row r="556" spans="2:17" s="55" customFormat="1" x14ac:dyDescent="0.2"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</row>
    <row r="557" spans="2:17" s="55" customFormat="1" x14ac:dyDescent="0.2"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</row>
    <row r="558" spans="2:17" s="55" customFormat="1" x14ac:dyDescent="0.2"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</row>
    <row r="559" spans="2:17" s="55" customFormat="1" x14ac:dyDescent="0.2"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</row>
    <row r="560" spans="2:17" s="55" customFormat="1" x14ac:dyDescent="0.2"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</row>
    <row r="561" spans="2:17" s="55" customFormat="1" x14ac:dyDescent="0.2"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</row>
    <row r="562" spans="2:17" s="55" customFormat="1" x14ac:dyDescent="0.2"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</row>
    <row r="563" spans="2:17" s="55" customFormat="1" x14ac:dyDescent="0.2"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</row>
    <row r="564" spans="2:17" s="55" customFormat="1" x14ac:dyDescent="0.2"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</row>
    <row r="565" spans="2:17" s="55" customFormat="1" x14ac:dyDescent="0.2"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</row>
    <row r="566" spans="2:17" s="55" customFormat="1" x14ac:dyDescent="0.2"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</row>
    <row r="567" spans="2:17" s="55" customFormat="1" x14ac:dyDescent="0.2"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</row>
    <row r="568" spans="2:17" s="55" customFormat="1" x14ac:dyDescent="0.2"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</row>
    <row r="569" spans="2:17" s="55" customFormat="1" x14ac:dyDescent="0.2"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</row>
    <row r="570" spans="2:17" s="55" customFormat="1" x14ac:dyDescent="0.2"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</row>
    <row r="571" spans="2:17" s="55" customFormat="1" x14ac:dyDescent="0.2"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</row>
    <row r="572" spans="2:17" s="55" customFormat="1" x14ac:dyDescent="0.2"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</row>
    <row r="573" spans="2:17" s="55" customFormat="1" x14ac:dyDescent="0.2"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</row>
    <row r="574" spans="2:17" s="55" customFormat="1" x14ac:dyDescent="0.2"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</row>
    <row r="575" spans="2:17" s="55" customFormat="1" x14ac:dyDescent="0.2"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</row>
    <row r="576" spans="2:17" s="55" customFormat="1" x14ac:dyDescent="0.2"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</row>
    <row r="577" spans="2:17" s="55" customFormat="1" x14ac:dyDescent="0.2"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</row>
    <row r="578" spans="2:17" s="55" customFormat="1" x14ac:dyDescent="0.2"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</row>
    <row r="579" spans="2:17" s="55" customFormat="1" x14ac:dyDescent="0.2"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</row>
    <row r="580" spans="2:17" s="55" customFormat="1" x14ac:dyDescent="0.2"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</row>
    <row r="581" spans="2:17" s="55" customFormat="1" x14ac:dyDescent="0.2"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</row>
    <row r="582" spans="2:17" s="55" customFormat="1" x14ac:dyDescent="0.2"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</row>
    <row r="583" spans="2:17" s="55" customFormat="1" x14ac:dyDescent="0.2"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</row>
    <row r="584" spans="2:17" s="55" customFormat="1" x14ac:dyDescent="0.2"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</row>
    <row r="585" spans="2:17" s="55" customFormat="1" x14ac:dyDescent="0.2"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</row>
    <row r="586" spans="2:17" s="55" customFormat="1" x14ac:dyDescent="0.2"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</row>
    <row r="587" spans="2:17" s="55" customFormat="1" x14ac:dyDescent="0.2"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</row>
    <row r="588" spans="2:17" s="55" customFormat="1" x14ac:dyDescent="0.2"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</row>
    <row r="589" spans="2:17" s="55" customFormat="1" x14ac:dyDescent="0.2"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</row>
    <row r="590" spans="2:17" s="55" customFormat="1" x14ac:dyDescent="0.2"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</row>
    <row r="591" spans="2:17" s="55" customFormat="1" x14ac:dyDescent="0.2"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</row>
    <row r="592" spans="2:17" s="55" customFormat="1" x14ac:dyDescent="0.2"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</row>
    <row r="593" spans="2:17" s="55" customFormat="1" x14ac:dyDescent="0.2"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</row>
    <row r="594" spans="2:17" s="55" customFormat="1" x14ac:dyDescent="0.2"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</row>
    <row r="595" spans="2:17" s="55" customFormat="1" x14ac:dyDescent="0.2"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</row>
    <row r="596" spans="2:17" s="55" customFormat="1" x14ac:dyDescent="0.2"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</row>
    <row r="597" spans="2:17" s="55" customFormat="1" x14ac:dyDescent="0.2"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</row>
    <row r="598" spans="2:17" s="55" customFormat="1" x14ac:dyDescent="0.2"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</row>
    <row r="599" spans="2:17" s="55" customFormat="1" x14ac:dyDescent="0.2"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</row>
    <row r="600" spans="2:17" s="55" customFormat="1" x14ac:dyDescent="0.2"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</row>
    <row r="601" spans="2:17" s="55" customFormat="1" x14ac:dyDescent="0.2"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</row>
    <row r="602" spans="2:17" s="55" customFormat="1" x14ac:dyDescent="0.2"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</row>
    <row r="603" spans="2:17" s="55" customFormat="1" x14ac:dyDescent="0.2"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</row>
    <row r="604" spans="2:17" s="55" customFormat="1" x14ac:dyDescent="0.2"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</row>
    <row r="605" spans="2:17" s="55" customFormat="1" x14ac:dyDescent="0.2"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</row>
    <row r="606" spans="2:17" s="55" customFormat="1" x14ac:dyDescent="0.2"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</row>
    <row r="607" spans="2:17" s="55" customFormat="1" x14ac:dyDescent="0.2"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</row>
    <row r="608" spans="2:17" s="55" customFormat="1" x14ac:dyDescent="0.2"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</row>
    <row r="609" spans="2:17" s="55" customFormat="1" x14ac:dyDescent="0.2"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</row>
    <row r="610" spans="2:17" s="55" customFormat="1" x14ac:dyDescent="0.2"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</row>
    <row r="611" spans="2:17" s="55" customFormat="1" x14ac:dyDescent="0.2"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</row>
    <row r="612" spans="2:17" s="55" customFormat="1" x14ac:dyDescent="0.2"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</row>
    <row r="613" spans="2:17" s="55" customFormat="1" x14ac:dyDescent="0.2"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</row>
    <row r="614" spans="2:17" s="55" customFormat="1" x14ac:dyDescent="0.2"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</row>
    <row r="615" spans="2:17" s="55" customFormat="1" x14ac:dyDescent="0.2"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</row>
    <row r="616" spans="2:17" s="55" customFormat="1" x14ac:dyDescent="0.2"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</row>
    <row r="617" spans="2:17" s="55" customFormat="1" x14ac:dyDescent="0.2"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</row>
    <row r="618" spans="2:17" s="55" customFormat="1" x14ac:dyDescent="0.2"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</row>
    <row r="619" spans="2:17" s="55" customFormat="1" x14ac:dyDescent="0.2"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</row>
    <row r="620" spans="2:17" s="55" customFormat="1" x14ac:dyDescent="0.2"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</row>
    <row r="621" spans="2:17" s="55" customFormat="1" x14ac:dyDescent="0.2"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</row>
    <row r="622" spans="2:17" s="55" customFormat="1" x14ac:dyDescent="0.2"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</row>
    <row r="623" spans="2:17" s="55" customFormat="1" x14ac:dyDescent="0.2"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</row>
    <row r="624" spans="2:17" s="55" customFormat="1" x14ac:dyDescent="0.2"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</row>
    <row r="625" spans="2:17" s="55" customFormat="1" x14ac:dyDescent="0.2"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</row>
    <row r="626" spans="2:17" s="55" customFormat="1" x14ac:dyDescent="0.2"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</row>
    <row r="627" spans="2:17" s="55" customFormat="1" x14ac:dyDescent="0.2"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</row>
    <row r="628" spans="2:17" s="55" customFormat="1" x14ac:dyDescent="0.2"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</row>
    <row r="629" spans="2:17" s="55" customFormat="1" x14ac:dyDescent="0.2"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</row>
    <row r="630" spans="2:17" s="55" customFormat="1" x14ac:dyDescent="0.2"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</row>
    <row r="631" spans="2:17" s="55" customFormat="1" x14ac:dyDescent="0.2"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</row>
    <row r="632" spans="2:17" s="55" customFormat="1" x14ac:dyDescent="0.2"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</row>
    <row r="633" spans="2:17" s="55" customFormat="1" x14ac:dyDescent="0.2"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</row>
    <row r="634" spans="2:17" s="55" customFormat="1" x14ac:dyDescent="0.2"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</row>
    <row r="635" spans="2:17" s="55" customFormat="1" x14ac:dyDescent="0.2"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</row>
    <row r="636" spans="2:17" s="55" customFormat="1" x14ac:dyDescent="0.2"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</row>
    <row r="637" spans="2:17" s="55" customFormat="1" x14ac:dyDescent="0.2"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</row>
    <row r="638" spans="2:17" s="55" customFormat="1" x14ac:dyDescent="0.2"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</row>
    <row r="639" spans="2:17" s="55" customFormat="1" x14ac:dyDescent="0.2"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</row>
    <row r="640" spans="2:17" s="55" customFormat="1" x14ac:dyDescent="0.2"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</row>
    <row r="641" spans="2:17" s="55" customFormat="1" x14ac:dyDescent="0.2"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</row>
    <row r="642" spans="2:17" s="55" customFormat="1" x14ac:dyDescent="0.2"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</row>
    <row r="643" spans="2:17" s="55" customFormat="1" x14ac:dyDescent="0.2"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</row>
    <row r="644" spans="2:17" s="55" customFormat="1" x14ac:dyDescent="0.2"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</row>
    <row r="645" spans="2:17" s="55" customFormat="1" x14ac:dyDescent="0.2"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</row>
    <row r="646" spans="2:17" s="55" customFormat="1" x14ac:dyDescent="0.2"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</row>
    <row r="647" spans="2:17" s="55" customFormat="1" x14ac:dyDescent="0.2"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</row>
    <row r="648" spans="2:17" s="55" customFormat="1" x14ac:dyDescent="0.2"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</row>
    <row r="649" spans="2:17" s="55" customFormat="1" x14ac:dyDescent="0.2"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</row>
    <row r="650" spans="2:17" s="55" customFormat="1" x14ac:dyDescent="0.2"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</row>
    <row r="651" spans="2:17" s="55" customFormat="1" x14ac:dyDescent="0.2"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</row>
    <row r="652" spans="2:17" s="55" customFormat="1" x14ac:dyDescent="0.2"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</row>
    <row r="653" spans="2:17" s="55" customFormat="1" x14ac:dyDescent="0.2"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</row>
    <row r="654" spans="2:17" s="55" customFormat="1" x14ac:dyDescent="0.2"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</row>
    <row r="655" spans="2:17" s="55" customFormat="1" x14ac:dyDescent="0.2"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</row>
    <row r="656" spans="2:17" s="55" customFormat="1" x14ac:dyDescent="0.2"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</row>
    <row r="657" spans="2:17" s="55" customFormat="1" x14ac:dyDescent="0.2"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</row>
    <row r="658" spans="2:17" s="55" customFormat="1" x14ac:dyDescent="0.2"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</row>
    <row r="659" spans="2:17" s="55" customFormat="1" x14ac:dyDescent="0.2"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</row>
    <row r="660" spans="2:17" s="55" customFormat="1" x14ac:dyDescent="0.2"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</row>
    <row r="661" spans="2:17" s="55" customFormat="1" x14ac:dyDescent="0.2"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</row>
    <row r="662" spans="2:17" s="55" customFormat="1" x14ac:dyDescent="0.2"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</row>
    <row r="663" spans="2:17" s="55" customFormat="1" x14ac:dyDescent="0.2"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</row>
    <row r="664" spans="2:17" s="55" customFormat="1" x14ac:dyDescent="0.2"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</row>
    <row r="665" spans="2:17" s="55" customFormat="1" x14ac:dyDescent="0.2"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</row>
    <row r="666" spans="2:17" s="55" customFormat="1" x14ac:dyDescent="0.2"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</row>
    <row r="667" spans="2:17" s="55" customFormat="1" x14ac:dyDescent="0.2"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</row>
    <row r="668" spans="2:17" s="55" customFormat="1" x14ac:dyDescent="0.2"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</row>
    <row r="669" spans="2:17" s="55" customFormat="1" x14ac:dyDescent="0.2"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</row>
    <row r="670" spans="2:17" s="55" customFormat="1" x14ac:dyDescent="0.2"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</row>
    <row r="671" spans="2:17" s="55" customFormat="1" x14ac:dyDescent="0.2"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</row>
    <row r="672" spans="2:17" s="55" customFormat="1" x14ac:dyDescent="0.2"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</row>
    <row r="673" spans="2:17" s="55" customFormat="1" x14ac:dyDescent="0.2"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</row>
    <row r="674" spans="2:17" s="55" customFormat="1" x14ac:dyDescent="0.2"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</row>
    <row r="675" spans="2:17" s="55" customFormat="1" x14ac:dyDescent="0.2"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</row>
    <row r="676" spans="2:17" s="55" customFormat="1" x14ac:dyDescent="0.2"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</row>
    <row r="677" spans="2:17" s="55" customFormat="1" x14ac:dyDescent="0.2"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</row>
    <row r="678" spans="2:17" s="55" customFormat="1" x14ac:dyDescent="0.2"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</row>
    <row r="679" spans="2:17" s="55" customFormat="1" x14ac:dyDescent="0.2"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</row>
    <row r="680" spans="2:17" s="55" customFormat="1" x14ac:dyDescent="0.2"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</row>
    <row r="681" spans="2:17" s="55" customFormat="1" x14ac:dyDescent="0.2"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</row>
    <row r="682" spans="2:17" s="55" customFormat="1" x14ac:dyDescent="0.2"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</row>
    <row r="683" spans="2:17" s="55" customFormat="1" x14ac:dyDescent="0.2"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</row>
    <row r="684" spans="2:17" s="55" customFormat="1" x14ac:dyDescent="0.2"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</row>
    <row r="685" spans="2:17" s="55" customFormat="1" x14ac:dyDescent="0.2"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</row>
    <row r="686" spans="2:17" s="55" customFormat="1" x14ac:dyDescent="0.2"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</row>
    <row r="687" spans="2:17" s="55" customFormat="1" x14ac:dyDescent="0.2"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</row>
    <row r="688" spans="2:17" s="55" customFormat="1" x14ac:dyDescent="0.2"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</row>
    <row r="689" spans="2:17" s="55" customFormat="1" x14ac:dyDescent="0.2"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</row>
    <row r="690" spans="2:17" s="55" customFormat="1" x14ac:dyDescent="0.2"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</row>
    <row r="691" spans="2:17" s="55" customFormat="1" x14ac:dyDescent="0.2"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</row>
    <row r="692" spans="2:17" s="55" customFormat="1" x14ac:dyDescent="0.2"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</row>
    <row r="693" spans="2:17" s="55" customFormat="1" x14ac:dyDescent="0.2"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</row>
    <row r="694" spans="2:17" s="55" customFormat="1" x14ac:dyDescent="0.2"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</row>
    <row r="695" spans="2:17" s="55" customFormat="1" x14ac:dyDescent="0.2"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</row>
    <row r="696" spans="2:17" s="55" customFormat="1" x14ac:dyDescent="0.2"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</row>
    <row r="697" spans="2:17" s="55" customFormat="1" x14ac:dyDescent="0.2"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</row>
    <row r="698" spans="2:17" s="55" customFormat="1" x14ac:dyDescent="0.2"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</row>
    <row r="699" spans="2:17" s="55" customFormat="1" x14ac:dyDescent="0.2"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</row>
    <row r="700" spans="2:17" s="55" customFormat="1" x14ac:dyDescent="0.2"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</row>
    <row r="701" spans="2:17" s="55" customFormat="1" x14ac:dyDescent="0.2"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</row>
    <row r="702" spans="2:17" s="55" customFormat="1" x14ac:dyDescent="0.2"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</row>
    <row r="703" spans="2:17" s="55" customFormat="1" x14ac:dyDescent="0.2"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</row>
    <row r="704" spans="2:17" s="55" customFormat="1" x14ac:dyDescent="0.2"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</row>
    <row r="705" spans="2:17" s="55" customFormat="1" x14ac:dyDescent="0.2"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</row>
    <row r="706" spans="2:17" s="55" customFormat="1" x14ac:dyDescent="0.2"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</row>
    <row r="707" spans="2:17" s="55" customFormat="1" x14ac:dyDescent="0.2"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</row>
    <row r="708" spans="2:17" s="55" customFormat="1" x14ac:dyDescent="0.2"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</row>
    <row r="709" spans="2:17" s="55" customFormat="1" x14ac:dyDescent="0.2"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</row>
    <row r="710" spans="2:17" s="55" customFormat="1" x14ac:dyDescent="0.2"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</row>
    <row r="711" spans="2:17" s="55" customFormat="1" x14ac:dyDescent="0.2"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</row>
    <row r="712" spans="2:17" s="55" customFormat="1" x14ac:dyDescent="0.2"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</row>
    <row r="713" spans="2:17" s="55" customFormat="1" x14ac:dyDescent="0.2"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</row>
    <row r="714" spans="2:17" s="55" customFormat="1" x14ac:dyDescent="0.2"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</row>
    <row r="715" spans="2:17" s="55" customFormat="1" x14ac:dyDescent="0.2"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</row>
    <row r="716" spans="2:17" s="55" customFormat="1" x14ac:dyDescent="0.2"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</row>
    <row r="717" spans="2:17" s="55" customFormat="1" x14ac:dyDescent="0.2"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</row>
    <row r="718" spans="2:17" s="55" customFormat="1" x14ac:dyDescent="0.2"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</row>
    <row r="719" spans="2:17" s="55" customFormat="1" x14ac:dyDescent="0.2"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</row>
    <row r="720" spans="2:17" s="55" customFormat="1" x14ac:dyDescent="0.2"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</row>
    <row r="721" spans="2:17" s="55" customFormat="1" x14ac:dyDescent="0.2"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</row>
    <row r="722" spans="2:17" s="55" customFormat="1" x14ac:dyDescent="0.2"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</row>
    <row r="723" spans="2:17" s="55" customFormat="1" x14ac:dyDescent="0.2"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</row>
    <row r="724" spans="2:17" s="55" customFormat="1" x14ac:dyDescent="0.2"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</row>
    <row r="725" spans="2:17" s="55" customFormat="1" x14ac:dyDescent="0.2"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</row>
    <row r="726" spans="2:17" s="55" customFormat="1" x14ac:dyDescent="0.2"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</row>
    <row r="727" spans="2:17" s="55" customFormat="1" x14ac:dyDescent="0.2"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</row>
    <row r="728" spans="2:17" s="55" customFormat="1" x14ac:dyDescent="0.2"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</row>
    <row r="729" spans="2:17" s="55" customFormat="1" x14ac:dyDescent="0.2"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</row>
    <row r="730" spans="2:17" s="55" customFormat="1" x14ac:dyDescent="0.2"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</row>
    <row r="731" spans="2:17" s="55" customFormat="1" x14ac:dyDescent="0.2"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</row>
    <row r="732" spans="2:17" s="55" customFormat="1" x14ac:dyDescent="0.2"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</row>
    <row r="733" spans="2:17" s="55" customFormat="1" x14ac:dyDescent="0.2"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</row>
    <row r="734" spans="2:17" s="55" customFormat="1" x14ac:dyDescent="0.2"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</row>
    <row r="735" spans="2:17" s="55" customFormat="1" x14ac:dyDescent="0.2"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</row>
    <row r="736" spans="2:17" s="55" customFormat="1" x14ac:dyDescent="0.2"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</row>
    <row r="737" spans="2:17" s="55" customFormat="1" x14ac:dyDescent="0.2"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</row>
    <row r="738" spans="2:17" s="55" customFormat="1" x14ac:dyDescent="0.2"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</row>
    <row r="739" spans="2:17" s="55" customFormat="1" x14ac:dyDescent="0.2"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</row>
    <row r="740" spans="2:17" s="55" customFormat="1" x14ac:dyDescent="0.2"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</row>
    <row r="741" spans="2:17" s="55" customFormat="1" x14ac:dyDescent="0.2"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</row>
    <row r="742" spans="2:17" s="55" customFormat="1" x14ac:dyDescent="0.2"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</row>
    <row r="743" spans="2:17" s="55" customFormat="1" x14ac:dyDescent="0.2"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</row>
    <row r="744" spans="2:17" s="55" customFormat="1" x14ac:dyDescent="0.2"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</row>
    <row r="745" spans="2:17" s="55" customFormat="1" x14ac:dyDescent="0.2"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</row>
    <row r="746" spans="2:17" s="55" customFormat="1" x14ac:dyDescent="0.2"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</row>
    <row r="747" spans="2:17" s="55" customFormat="1" x14ac:dyDescent="0.2"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</row>
    <row r="748" spans="2:17" s="55" customFormat="1" x14ac:dyDescent="0.2"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</row>
    <row r="749" spans="2:17" s="55" customFormat="1" x14ac:dyDescent="0.2"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</row>
    <row r="750" spans="2:17" s="55" customFormat="1" x14ac:dyDescent="0.2"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</row>
    <row r="751" spans="2:17" s="55" customFormat="1" x14ac:dyDescent="0.2"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</row>
    <row r="752" spans="2:17" s="55" customFormat="1" x14ac:dyDescent="0.2"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</row>
    <row r="753" spans="2:17" s="55" customFormat="1" x14ac:dyDescent="0.2"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</row>
    <row r="754" spans="2:17" s="55" customFormat="1" x14ac:dyDescent="0.2"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</row>
    <row r="755" spans="2:17" s="55" customFormat="1" x14ac:dyDescent="0.2"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</row>
    <row r="756" spans="2:17" s="55" customFormat="1" x14ac:dyDescent="0.2"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</row>
    <row r="757" spans="2:17" s="55" customFormat="1" x14ac:dyDescent="0.2"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</row>
    <row r="758" spans="2:17" s="55" customFormat="1" x14ac:dyDescent="0.2"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</row>
    <row r="759" spans="2:17" s="55" customFormat="1" x14ac:dyDescent="0.2"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</row>
    <row r="760" spans="2:17" s="55" customFormat="1" x14ac:dyDescent="0.2"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</row>
    <row r="761" spans="2:17" s="55" customFormat="1" x14ac:dyDescent="0.2"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</row>
    <row r="762" spans="2:17" s="55" customFormat="1" x14ac:dyDescent="0.2"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</row>
    <row r="763" spans="2:17" s="55" customFormat="1" x14ac:dyDescent="0.2"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</row>
    <row r="764" spans="2:17" s="55" customFormat="1" x14ac:dyDescent="0.2"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</row>
    <row r="765" spans="2:17" s="55" customFormat="1" x14ac:dyDescent="0.2"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</row>
    <row r="766" spans="2:17" s="55" customFormat="1" x14ac:dyDescent="0.2"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</row>
    <row r="767" spans="2:17" s="55" customFormat="1" x14ac:dyDescent="0.2"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</row>
    <row r="768" spans="2:17" s="55" customFormat="1" x14ac:dyDescent="0.2"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</row>
    <row r="769" spans="2:17" s="55" customFormat="1" x14ac:dyDescent="0.2"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</row>
    <row r="770" spans="2:17" s="55" customFormat="1" x14ac:dyDescent="0.2"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</row>
    <row r="771" spans="2:17" s="55" customFormat="1" x14ac:dyDescent="0.2"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</row>
    <row r="772" spans="2:17" s="55" customFormat="1" x14ac:dyDescent="0.2"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</row>
    <row r="773" spans="2:17" s="55" customFormat="1" x14ac:dyDescent="0.2"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</row>
    <row r="774" spans="2:17" s="55" customFormat="1" x14ac:dyDescent="0.2"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</row>
    <row r="775" spans="2:17" s="55" customFormat="1" x14ac:dyDescent="0.2"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</row>
    <row r="776" spans="2:17" s="55" customFormat="1" x14ac:dyDescent="0.2"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</row>
    <row r="777" spans="2:17" s="55" customFormat="1" x14ac:dyDescent="0.2"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</row>
    <row r="778" spans="2:17" s="55" customFormat="1" x14ac:dyDescent="0.2"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</row>
    <row r="779" spans="2:17" s="55" customFormat="1" x14ac:dyDescent="0.2"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</row>
    <row r="780" spans="2:17" s="55" customFormat="1" x14ac:dyDescent="0.2"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</row>
    <row r="781" spans="2:17" s="55" customFormat="1" x14ac:dyDescent="0.2"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</row>
    <row r="782" spans="2:17" s="55" customFormat="1" x14ac:dyDescent="0.2"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</row>
    <row r="783" spans="2:17" s="55" customFormat="1" x14ac:dyDescent="0.2"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</row>
    <row r="784" spans="2:17" s="55" customFormat="1" x14ac:dyDescent="0.2"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</row>
    <row r="785" spans="2:17" s="55" customFormat="1" x14ac:dyDescent="0.2"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</row>
    <row r="786" spans="2:17" s="55" customFormat="1" x14ac:dyDescent="0.2"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</row>
    <row r="787" spans="2:17" s="55" customFormat="1" x14ac:dyDescent="0.2"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</row>
    <row r="788" spans="2:17" s="55" customFormat="1" x14ac:dyDescent="0.2"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</row>
    <row r="789" spans="2:17" s="55" customFormat="1" x14ac:dyDescent="0.2"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</row>
    <row r="790" spans="2:17" s="55" customFormat="1" x14ac:dyDescent="0.2"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</row>
    <row r="791" spans="2:17" s="55" customFormat="1" x14ac:dyDescent="0.2"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</row>
    <row r="792" spans="2:17" s="55" customFormat="1" x14ac:dyDescent="0.2"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</row>
    <row r="793" spans="2:17" s="55" customFormat="1" x14ac:dyDescent="0.2"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</row>
    <row r="794" spans="2:17" s="55" customFormat="1" x14ac:dyDescent="0.2"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</row>
    <row r="795" spans="2:17" s="55" customFormat="1" x14ac:dyDescent="0.2"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</row>
    <row r="796" spans="2:17" s="55" customFormat="1" x14ac:dyDescent="0.2"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</row>
    <row r="797" spans="2:17" s="55" customFormat="1" x14ac:dyDescent="0.2"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</row>
    <row r="798" spans="2:17" s="55" customFormat="1" x14ac:dyDescent="0.2"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</row>
    <row r="799" spans="2:17" s="55" customFormat="1" x14ac:dyDescent="0.2"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</row>
    <row r="800" spans="2:17" s="55" customFormat="1" x14ac:dyDescent="0.2"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</row>
    <row r="801" spans="2:17" s="55" customFormat="1" x14ac:dyDescent="0.2"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</row>
    <row r="802" spans="2:17" s="55" customFormat="1" x14ac:dyDescent="0.2"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</row>
    <row r="803" spans="2:17" s="55" customFormat="1" x14ac:dyDescent="0.2"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</row>
    <row r="804" spans="2:17" s="55" customFormat="1" x14ac:dyDescent="0.2"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</row>
    <row r="805" spans="2:17" s="55" customFormat="1" x14ac:dyDescent="0.2"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</row>
    <row r="806" spans="2:17" s="55" customFormat="1" x14ac:dyDescent="0.2"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</row>
    <row r="807" spans="2:17" s="55" customFormat="1" x14ac:dyDescent="0.2"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</row>
    <row r="808" spans="2:17" s="55" customFormat="1" x14ac:dyDescent="0.2"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</row>
    <row r="809" spans="2:17" s="55" customFormat="1" x14ac:dyDescent="0.2"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</row>
    <row r="810" spans="2:17" s="55" customFormat="1" x14ac:dyDescent="0.2"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</row>
    <row r="811" spans="2:17" s="55" customFormat="1" x14ac:dyDescent="0.2"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</row>
    <row r="812" spans="2:17" s="55" customFormat="1" x14ac:dyDescent="0.2"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</row>
    <row r="813" spans="2:17" s="55" customFormat="1" x14ac:dyDescent="0.2"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</row>
    <row r="814" spans="2:17" s="55" customFormat="1" x14ac:dyDescent="0.2"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</row>
    <row r="815" spans="2:17" s="55" customFormat="1" x14ac:dyDescent="0.2"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</row>
    <row r="816" spans="2:17" s="55" customFormat="1" x14ac:dyDescent="0.2"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</row>
    <row r="817" spans="2:17" s="55" customFormat="1" x14ac:dyDescent="0.2"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</row>
    <row r="818" spans="2:17" s="55" customFormat="1" x14ac:dyDescent="0.2"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</row>
    <row r="819" spans="2:17" s="55" customFormat="1" x14ac:dyDescent="0.2"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</row>
    <row r="820" spans="2:17" s="55" customFormat="1" x14ac:dyDescent="0.2"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</row>
    <row r="821" spans="2:17" s="55" customFormat="1" x14ac:dyDescent="0.2"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</row>
    <row r="822" spans="2:17" s="55" customFormat="1" x14ac:dyDescent="0.2"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</row>
    <row r="823" spans="2:17" s="55" customFormat="1" x14ac:dyDescent="0.2"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</row>
    <row r="824" spans="2:17" s="55" customFormat="1" x14ac:dyDescent="0.2"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</row>
    <row r="825" spans="2:17" s="55" customFormat="1" x14ac:dyDescent="0.2"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</row>
    <row r="826" spans="2:17" s="55" customFormat="1" x14ac:dyDescent="0.2"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</row>
    <row r="827" spans="2:17" s="55" customFormat="1" x14ac:dyDescent="0.2"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</row>
    <row r="828" spans="2:17" s="55" customFormat="1" x14ac:dyDescent="0.2"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</row>
    <row r="829" spans="2:17" s="55" customFormat="1" x14ac:dyDescent="0.2"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</row>
    <row r="830" spans="2:17" s="55" customFormat="1" x14ac:dyDescent="0.2"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</row>
    <row r="831" spans="2:17" s="55" customFormat="1" x14ac:dyDescent="0.2"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</row>
    <row r="832" spans="2:17" s="55" customFormat="1" x14ac:dyDescent="0.2"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</row>
    <row r="833" spans="2:17" s="55" customFormat="1" x14ac:dyDescent="0.2"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</row>
    <row r="834" spans="2:17" s="55" customFormat="1" x14ac:dyDescent="0.2"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</row>
    <row r="835" spans="2:17" s="55" customFormat="1" x14ac:dyDescent="0.2"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</row>
    <row r="836" spans="2:17" s="55" customFormat="1" x14ac:dyDescent="0.2"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</row>
    <row r="837" spans="2:17" s="55" customFormat="1" x14ac:dyDescent="0.2"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</row>
    <row r="838" spans="2:17" s="55" customFormat="1" x14ac:dyDescent="0.2"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</row>
    <row r="839" spans="2:17" s="55" customFormat="1" x14ac:dyDescent="0.2"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</row>
    <row r="840" spans="2:17" s="55" customFormat="1" x14ac:dyDescent="0.2"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</row>
    <row r="841" spans="2:17" s="55" customFormat="1" x14ac:dyDescent="0.2"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</row>
    <row r="842" spans="2:17" s="55" customFormat="1" x14ac:dyDescent="0.2"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</row>
    <row r="843" spans="2:17" s="55" customFormat="1" x14ac:dyDescent="0.2"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</row>
    <row r="844" spans="2:17" s="55" customFormat="1" x14ac:dyDescent="0.2"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</row>
    <row r="845" spans="2:17" s="55" customFormat="1" x14ac:dyDescent="0.2"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</row>
    <row r="846" spans="2:17" s="55" customFormat="1" x14ac:dyDescent="0.2"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</row>
    <row r="847" spans="2:17" s="55" customFormat="1" x14ac:dyDescent="0.2"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</row>
    <row r="848" spans="2:17" s="55" customFormat="1" x14ac:dyDescent="0.2"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</row>
    <row r="849" spans="2:17" s="55" customFormat="1" x14ac:dyDescent="0.2"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</row>
    <row r="850" spans="2:17" s="55" customFormat="1" x14ac:dyDescent="0.2"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</row>
    <row r="851" spans="2:17" s="55" customFormat="1" x14ac:dyDescent="0.2"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</row>
    <row r="852" spans="2:17" s="55" customFormat="1" x14ac:dyDescent="0.2"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</row>
    <row r="853" spans="2:17" s="55" customFormat="1" x14ac:dyDescent="0.2"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</row>
    <row r="854" spans="2:17" s="55" customFormat="1" x14ac:dyDescent="0.2"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</row>
    <row r="855" spans="2:17" s="55" customFormat="1" x14ac:dyDescent="0.2"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</row>
    <row r="856" spans="2:17" s="55" customFormat="1" x14ac:dyDescent="0.2"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</row>
    <row r="857" spans="2:17" s="55" customFormat="1" x14ac:dyDescent="0.2"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</row>
    <row r="858" spans="2:17" s="55" customFormat="1" x14ac:dyDescent="0.2"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</row>
    <row r="859" spans="2:17" s="55" customFormat="1" x14ac:dyDescent="0.2"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</row>
    <row r="860" spans="2:17" s="55" customFormat="1" x14ac:dyDescent="0.2"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</row>
    <row r="861" spans="2:17" s="55" customFormat="1" x14ac:dyDescent="0.2"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</row>
    <row r="862" spans="2:17" s="55" customFormat="1" x14ac:dyDescent="0.2"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</row>
    <row r="863" spans="2:17" s="55" customFormat="1" x14ac:dyDescent="0.2"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</row>
    <row r="864" spans="2:17" s="55" customFormat="1" x14ac:dyDescent="0.2"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</row>
    <row r="865" spans="2:17" s="55" customFormat="1" x14ac:dyDescent="0.2"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</row>
    <row r="866" spans="2:17" s="55" customFormat="1" x14ac:dyDescent="0.2"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</row>
    <row r="867" spans="2:17" s="55" customFormat="1" x14ac:dyDescent="0.2"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</row>
    <row r="868" spans="2:17" s="55" customFormat="1" x14ac:dyDescent="0.2"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</row>
    <row r="869" spans="2:17" s="55" customFormat="1" x14ac:dyDescent="0.2"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</row>
    <row r="870" spans="2:17" s="55" customFormat="1" x14ac:dyDescent="0.2"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</row>
    <row r="871" spans="2:17" s="55" customFormat="1" x14ac:dyDescent="0.2"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</row>
    <row r="872" spans="2:17" s="55" customFormat="1" x14ac:dyDescent="0.2"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</row>
    <row r="873" spans="2:17" s="55" customFormat="1" x14ac:dyDescent="0.2"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</row>
    <row r="874" spans="2:17" s="55" customFormat="1" x14ac:dyDescent="0.2"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</row>
    <row r="875" spans="2:17" s="55" customFormat="1" x14ac:dyDescent="0.2"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</row>
    <row r="876" spans="2:17" s="55" customFormat="1" x14ac:dyDescent="0.2"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</row>
    <row r="877" spans="2:17" s="55" customFormat="1" x14ac:dyDescent="0.2"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</row>
    <row r="878" spans="2:17" s="55" customFormat="1" x14ac:dyDescent="0.2"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</row>
    <row r="879" spans="2:17" s="55" customFormat="1" x14ac:dyDescent="0.2"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</row>
    <row r="880" spans="2:17" s="55" customFormat="1" x14ac:dyDescent="0.2"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</row>
    <row r="881" spans="2:17" s="55" customFormat="1" x14ac:dyDescent="0.2"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</row>
    <row r="882" spans="2:17" s="55" customFormat="1" x14ac:dyDescent="0.2"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</row>
    <row r="883" spans="2:17" s="55" customFormat="1" x14ac:dyDescent="0.2"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</row>
    <row r="884" spans="2:17" s="55" customFormat="1" x14ac:dyDescent="0.2"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</row>
    <row r="885" spans="2:17" s="55" customFormat="1" x14ac:dyDescent="0.2"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</row>
    <row r="886" spans="2:17" s="55" customFormat="1" x14ac:dyDescent="0.2"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</row>
    <row r="887" spans="2:17" s="55" customFormat="1" x14ac:dyDescent="0.2"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</row>
    <row r="888" spans="2:17" s="55" customFormat="1" x14ac:dyDescent="0.2"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</row>
    <row r="889" spans="2:17" s="55" customFormat="1" x14ac:dyDescent="0.2"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</row>
    <row r="890" spans="2:17" s="55" customFormat="1" x14ac:dyDescent="0.2"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</row>
    <row r="891" spans="2:17" s="55" customFormat="1" x14ac:dyDescent="0.2"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</row>
    <row r="892" spans="2:17" s="55" customFormat="1" x14ac:dyDescent="0.2"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</row>
    <row r="893" spans="2:17" s="55" customFormat="1" x14ac:dyDescent="0.2"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</row>
    <row r="894" spans="2:17" s="55" customFormat="1" x14ac:dyDescent="0.2"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</row>
    <row r="895" spans="2:17" s="55" customFormat="1" x14ac:dyDescent="0.2"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</row>
    <row r="896" spans="2:17" s="55" customFormat="1" x14ac:dyDescent="0.2"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</row>
    <row r="897" spans="2:17" s="55" customFormat="1" x14ac:dyDescent="0.2"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</row>
    <row r="898" spans="2:17" s="55" customFormat="1" x14ac:dyDescent="0.2"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</row>
    <row r="899" spans="2:17" s="55" customFormat="1" x14ac:dyDescent="0.2"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</row>
    <row r="900" spans="2:17" s="55" customFormat="1" x14ac:dyDescent="0.2"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</row>
    <row r="901" spans="2:17" s="55" customFormat="1" x14ac:dyDescent="0.2"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</row>
    <row r="902" spans="2:17" s="55" customFormat="1" x14ac:dyDescent="0.2"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</row>
    <row r="903" spans="2:17" s="55" customFormat="1" x14ac:dyDescent="0.2"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</row>
    <row r="904" spans="2:17" s="55" customFormat="1" x14ac:dyDescent="0.2"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</row>
    <row r="905" spans="2:17" s="55" customFormat="1" x14ac:dyDescent="0.2"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</row>
    <row r="906" spans="2:17" s="55" customFormat="1" x14ac:dyDescent="0.2"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</row>
    <row r="907" spans="2:17" s="55" customFormat="1" x14ac:dyDescent="0.2"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</row>
    <row r="908" spans="2:17" s="55" customFormat="1" x14ac:dyDescent="0.2"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</row>
    <row r="909" spans="2:17" s="55" customFormat="1" x14ac:dyDescent="0.2"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</row>
    <row r="910" spans="2:17" s="55" customFormat="1" x14ac:dyDescent="0.2"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</row>
    <row r="911" spans="2:17" s="55" customFormat="1" x14ac:dyDescent="0.2"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</row>
    <row r="912" spans="2:17" s="55" customFormat="1" x14ac:dyDescent="0.2"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</row>
    <row r="913" spans="2:17" s="55" customFormat="1" x14ac:dyDescent="0.2"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</row>
    <row r="914" spans="2:17" s="55" customFormat="1" x14ac:dyDescent="0.2"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</row>
    <row r="915" spans="2:17" s="55" customFormat="1" x14ac:dyDescent="0.2"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</row>
    <row r="916" spans="2:17" s="55" customFormat="1" x14ac:dyDescent="0.2"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</row>
    <row r="917" spans="2:17" s="55" customFormat="1" x14ac:dyDescent="0.2"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</row>
    <row r="918" spans="2:17" s="55" customFormat="1" x14ac:dyDescent="0.2"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</row>
    <row r="919" spans="2:17" s="55" customFormat="1" x14ac:dyDescent="0.2"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</row>
    <row r="920" spans="2:17" s="55" customFormat="1" x14ac:dyDescent="0.2"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</row>
    <row r="921" spans="2:17" s="55" customFormat="1" x14ac:dyDescent="0.2"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</row>
    <row r="922" spans="2:17" s="55" customFormat="1" x14ac:dyDescent="0.2"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</row>
    <row r="923" spans="2:17" s="55" customFormat="1" x14ac:dyDescent="0.2"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</row>
    <row r="924" spans="2:17" s="55" customFormat="1" x14ac:dyDescent="0.2"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</row>
    <row r="925" spans="2:17" s="55" customFormat="1" x14ac:dyDescent="0.2"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</row>
    <row r="926" spans="2:17" s="55" customFormat="1" x14ac:dyDescent="0.2"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</row>
    <row r="927" spans="2:17" s="55" customFormat="1" x14ac:dyDescent="0.2"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</row>
    <row r="928" spans="2:17" s="55" customFormat="1" x14ac:dyDescent="0.2"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</row>
    <row r="929" spans="2:17" s="55" customFormat="1" x14ac:dyDescent="0.2"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</row>
    <row r="930" spans="2:17" s="55" customFormat="1" x14ac:dyDescent="0.2"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</row>
    <row r="931" spans="2:17" s="55" customFormat="1" x14ac:dyDescent="0.2"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</row>
    <row r="932" spans="2:17" s="55" customFormat="1" x14ac:dyDescent="0.2"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</row>
    <row r="933" spans="2:17" s="55" customFormat="1" x14ac:dyDescent="0.2"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</row>
    <row r="934" spans="2:17" s="55" customFormat="1" x14ac:dyDescent="0.2"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</row>
    <row r="935" spans="2:17" s="55" customFormat="1" x14ac:dyDescent="0.2"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</row>
    <row r="936" spans="2:17" s="55" customFormat="1" x14ac:dyDescent="0.2"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</row>
    <row r="937" spans="2:17" s="55" customFormat="1" x14ac:dyDescent="0.2"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</row>
    <row r="938" spans="2:17" s="55" customFormat="1" x14ac:dyDescent="0.2"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</row>
    <row r="939" spans="2:17" s="55" customFormat="1" x14ac:dyDescent="0.2"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</row>
    <row r="940" spans="2:17" s="55" customFormat="1" x14ac:dyDescent="0.2"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</row>
    <row r="941" spans="2:17" s="55" customFormat="1" x14ac:dyDescent="0.2"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</row>
    <row r="942" spans="2:17" s="55" customFormat="1" x14ac:dyDescent="0.2"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</row>
    <row r="943" spans="2:17" s="55" customFormat="1" x14ac:dyDescent="0.2"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</row>
    <row r="944" spans="2:17" s="55" customFormat="1" x14ac:dyDescent="0.2"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</row>
    <row r="945" spans="2:17" s="55" customFormat="1" x14ac:dyDescent="0.2"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</row>
    <row r="946" spans="2:17" s="55" customFormat="1" x14ac:dyDescent="0.2"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</row>
    <row r="947" spans="2:17" s="55" customFormat="1" x14ac:dyDescent="0.2"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</row>
    <row r="948" spans="2:17" s="55" customFormat="1" x14ac:dyDescent="0.2"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</row>
    <row r="949" spans="2:17" s="55" customFormat="1" x14ac:dyDescent="0.2"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</row>
    <row r="950" spans="2:17" s="55" customFormat="1" x14ac:dyDescent="0.2"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</row>
    <row r="951" spans="2:17" s="55" customFormat="1" x14ac:dyDescent="0.2"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</row>
    <row r="952" spans="2:17" s="55" customFormat="1" x14ac:dyDescent="0.2"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</row>
    <row r="953" spans="2:17" s="55" customFormat="1" x14ac:dyDescent="0.2"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</row>
    <row r="954" spans="2:17" s="55" customFormat="1" x14ac:dyDescent="0.2"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</row>
    <row r="955" spans="2:17" s="55" customFormat="1" x14ac:dyDescent="0.2"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</row>
    <row r="956" spans="2:17" s="55" customFormat="1" x14ac:dyDescent="0.2"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</row>
    <row r="957" spans="2:17" s="55" customFormat="1" x14ac:dyDescent="0.2"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</row>
    <row r="958" spans="2:17" s="55" customFormat="1" x14ac:dyDescent="0.2"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</row>
    <row r="959" spans="2:17" s="55" customFormat="1" x14ac:dyDescent="0.2"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</row>
    <row r="960" spans="2:17" s="55" customFormat="1" x14ac:dyDescent="0.2"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</row>
    <row r="961" spans="2:17" s="55" customFormat="1" x14ac:dyDescent="0.2"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</row>
    <row r="962" spans="2:17" s="55" customFormat="1" x14ac:dyDescent="0.2"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</row>
    <row r="963" spans="2:17" s="55" customFormat="1" x14ac:dyDescent="0.2"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</row>
    <row r="964" spans="2:17" s="55" customFormat="1" x14ac:dyDescent="0.2"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</row>
    <row r="965" spans="2:17" s="55" customFormat="1" x14ac:dyDescent="0.2"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</row>
    <row r="966" spans="2:17" s="55" customFormat="1" x14ac:dyDescent="0.2"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</row>
    <row r="967" spans="2:17" s="55" customFormat="1" x14ac:dyDescent="0.2"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</row>
    <row r="968" spans="2:17" s="55" customFormat="1" x14ac:dyDescent="0.2"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</row>
    <row r="969" spans="2:17" s="55" customFormat="1" x14ac:dyDescent="0.2"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</row>
    <row r="970" spans="2:17" s="55" customFormat="1" x14ac:dyDescent="0.2"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</row>
    <row r="971" spans="2:17" s="55" customFormat="1" x14ac:dyDescent="0.2"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</row>
    <row r="972" spans="2:17" s="55" customFormat="1" x14ac:dyDescent="0.2"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</row>
    <row r="973" spans="2:17" s="55" customFormat="1" x14ac:dyDescent="0.2"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</row>
    <row r="974" spans="2:17" s="55" customFormat="1" x14ac:dyDescent="0.2"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</row>
    <row r="975" spans="2:17" s="55" customFormat="1" x14ac:dyDescent="0.2"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</row>
    <row r="976" spans="2:17" s="55" customFormat="1" x14ac:dyDescent="0.2"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</row>
    <row r="977" spans="2:17" s="55" customFormat="1" x14ac:dyDescent="0.2"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</row>
    <row r="978" spans="2:17" s="55" customFormat="1" x14ac:dyDescent="0.2"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</row>
    <row r="979" spans="2:17" s="55" customFormat="1" x14ac:dyDescent="0.2"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</row>
    <row r="980" spans="2:17" s="55" customFormat="1" x14ac:dyDescent="0.2"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</row>
    <row r="981" spans="2:17" s="55" customFormat="1" x14ac:dyDescent="0.2"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</row>
    <row r="982" spans="2:17" s="55" customFormat="1" x14ac:dyDescent="0.2"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</row>
    <row r="983" spans="2:17" s="55" customFormat="1" x14ac:dyDescent="0.2"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</row>
    <row r="984" spans="2:17" s="55" customFormat="1" x14ac:dyDescent="0.2"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</row>
    <row r="985" spans="2:17" s="55" customFormat="1" x14ac:dyDescent="0.2"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</row>
    <row r="986" spans="2:17" s="55" customFormat="1" x14ac:dyDescent="0.2"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</row>
    <row r="987" spans="2:17" s="55" customFormat="1" x14ac:dyDescent="0.2"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</row>
    <row r="988" spans="2:17" s="55" customFormat="1" x14ac:dyDescent="0.2"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</row>
    <row r="989" spans="2:17" s="55" customFormat="1" x14ac:dyDescent="0.2"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</row>
    <row r="990" spans="2:17" s="55" customFormat="1" x14ac:dyDescent="0.2"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</row>
    <row r="991" spans="2:17" s="55" customFormat="1" x14ac:dyDescent="0.2"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</row>
    <row r="992" spans="2:17" s="55" customFormat="1" x14ac:dyDescent="0.2"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</row>
    <row r="993" spans="2:17" s="55" customFormat="1" x14ac:dyDescent="0.2"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</row>
    <row r="994" spans="2:17" s="55" customFormat="1" x14ac:dyDescent="0.2"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</row>
    <row r="995" spans="2:17" s="55" customFormat="1" x14ac:dyDescent="0.2"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</row>
    <row r="996" spans="2:17" s="55" customFormat="1" x14ac:dyDescent="0.2"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</row>
    <row r="997" spans="2:17" s="55" customFormat="1" x14ac:dyDescent="0.2"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</row>
    <row r="998" spans="2:17" s="55" customFormat="1" x14ac:dyDescent="0.2"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</row>
    <row r="999" spans="2:17" s="55" customFormat="1" x14ac:dyDescent="0.2"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</row>
    <row r="1000" spans="2:17" s="55" customFormat="1" x14ac:dyDescent="0.2"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</row>
    <row r="1001" spans="2:17" s="55" customFormat="1" x14ac:dyDescent="0.2"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</row>
    <row r="1002" spans="2:17" s="55" customFormat="1" x14ac:dyDescent="0.2"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</row>
    <row r="1003" spans="2:17" s="55" customFormat="1" x14ac:dyDescent="0.2"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</row>
    <row r="1004" spans="2:17" s="55" customFormat="1" x14ac:dyDescent="0.2"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</row>
    <row r="1005" spans="2:17" s="55" customFormat="1" x14ac:dyDescent="0.2"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</row>
    <row r="1006" spans="2:17" s="55" customFormat="1" x14ac:dyDescent="0.2"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</row>
    <row r="1007" spans="2:17" s="55" customFormat="1" x14ac:dyDescent="0.2"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</row>
    <row r="1008" spans="2:17" s="55" customFormat="1" x14ac:dyDescent="0.2"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</row>
    <row r="1009" spans="2:17" s="55" customFormat="1" x14ac:dyDescent="0.2"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</row>
    <row r="1010" spans="2:17" s="55" customFormat="1" x14ac:dyDescent="0.2"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</row>
    <row r="1011" spans="2:17" s="55" customFormat="1" x14ac:dyDescent="0.2"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</row>
    <row r="1012" spans="2:17" s="55" customFormat="1" x14ac:dyDescent="0.2"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</row>
    <row r="1013" spans="2:17" s="55" customFormat="1" x14ac:dyDescent="0.2"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</row>
    <row r="1014" spans="2:17" s="55" customFormat="1" x14ac:dyDescent="0.2"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</row>
    <row r="1015" spans="2:17" s="55" customFormat="1" x14ac:dyDescent="0.2"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</row>
    <row r="1016" spans="2:17" s="55" customFormat="1" x14ac:dyDescent="0.2"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</row>
    <row r="1017" spans="2:17" s="55" customFormat="1" x14ac:dyDescent="0.2"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</row>
    <row r="1018" spans="2:17" s="55" customFormat="1" x14ac:dyDescent="0.2"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</row>
    <row r="1019" spans="2:17" s="55" customFormat="1" x14ac:dyDescent="0.2"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</row>
    <row r="1020" spans="2:17" s="55" customFormat="1" x14ac:dyDescent="0.2"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</row>
    <row r="1021" spans="2:17" s="55" customFormat="1" x14ac:dyDescent="0.2"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</row>
    <row r="1022" spans="2:17" s="55" customFormat="1" x14ac:dyDescent="0.2"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</row>
    <row r="1023" spans="2:17" s="55" customFormat="1" x14ac:dyDescent="0.2"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</row>
    <row r="1024" spans="2:17" s="55" customFormat="1" x14ac:dyDescent="0.2"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</row>
    <row r="1025" spans="2:17" s="55" customFormat="1" x14ac:dyDescent="0.2"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</row>
    <row r="1026" spans="2:17" s="55" customFormat="1" x14ac:dyDescent="0.2"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</row>
    <row r="1027" spans="2:17" s="55" customFormat="1" x14ac:dyDescent="0.2"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</row>
    <row r="1028" spans="2:17" s="55" customFormat="1" x14ac:dyDescent="0.2"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</row>
    <row r="1029" spans="2:17" s="55" customFormat="1" x14ac:dyDescent="0.2"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</row>
    <row r="1030" spans="2:17" s="55" customFormat="1" x14ac:dyDescent="0.2">
      <c r="B1030" s="56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</row>
    <row r="1031" spans="2:17" s="55" customFormat="1" x14ac:dyDescent="0.2">
      <c r="B1031" s="56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</row>
    <row r="1032" spans="2:17" s="55" customFormat="1" x14ac:dyDescent="0.2">
      <c r="B1032" s="56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56"/>
      <c r="P1032" s="56"/>
      <c r="Q1032" s="56"/>
    </row>
    <row r="1033" spans="2:17" s="55" customFormat="1" x14ac:dyDescent="0.2">
      <c r="B1033" s="56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56"/>
      <c r="P1033" s="56"/>
      <c r="Q1033" s="56"/>
    </row>
    <row r="1034" spans="2:17" s="55" customFormat="1" x14ac:dyDescent="0.2">
      <c r="B1034" s="56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56"/>
      <c r="P1034" s="56"/>
      <c r="Q1034" s="56"/>
    </row>
    <row r="1035" spans="2:17" s="55" customFormat="1" x14ac:dyDescent="0.2">
      <c r="B1035" s="56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56"/>
      <c r="P1035" s="56"/>
      <c r="Q1035" s="56"/>
    </row>
    <row r="1036" spans="2:17" s="55" customFormat="1" x14ac:dyDescent="0.2">
      <c r="B1036" s="56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56"/>
      <c r="P1036" s="56"/>
      <c r="Q1036" s="56"/>
    </row>
    <row r="1037" spans="2:17" s="55" customFormat="1" x14ac:dyDescent="0.2">
      <c r="B1037" s="56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56"/>
    </row>
    <row r="1038" spans="2:17" s="55" customFormat="1" x14ac:dyDescent="0.2">
      <c r="B1038" s="56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56"/>
      <c r="P1038" s="56"/>
      <c r="Q1038" s="56"/>
    </row>
    <row r="1039" spans="2:17" s="55" customFormat="1" x14ac:dyDescent="0.2">
      <c r="B1039" s="56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</row>
  </sheetData>
  <mergeCells count="21">
    <mergeCell ref="AG30:AH30"/>
    <mergeCell ref="AE35:AF35"/>
    <mergeCell ref="A1:R1"/>
    <mergeCell ref="A2:R2"/>
    <mergeCell ref="A4:A7"/>
    <mergeCell ref="C4:F5"/>
    <mergeCell ref="H4:K5"/>
    <mergeCell ref="M4:P5"/>
    <mergeCell ref="Q4:R5"/>
    <mergeCell ref="AR40:AS40"/>
    <mergeCell ref="AT40:AU40"/>
    <mergeCell ref="AV40:AW40"/>
    <mergeCell ref="AG35:AH35"/>
    <mergeCell ref="AI35:AJ35"/>
    <mergeCell ref="AK35:AL35"/>
    <mergeCell ref="AN40:AO40"/>
    <mergeCell ref="AP40:AQ40"/>
    <mergeCell ref="AF40:AG40"/>
    <mergeCell ref="AH40:AI40"/>
    <mergeCell ref="AJ40:AK40"/>
    <mergeCell ref="AL40:AM40"/>
  </mergeCells>
  <pageMargins left="0.7" right="0.7" top="0.75" bottom="0.75" header="0.3" footer="0.3"/>
  <pageSetup scale="45" orientation="portrait" r:id="rId1"/>
  <colBreaks count="2" manualBreakCount="2">
    <brk id="19" max="1048575" man="1"/>
    <brk id="27" max="78" man="1"/>
  </colBreaks>
  <ignoredErrors>
    <ignoredError sqref="R8:R23 R28:R30 R25:R2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3.17</vt:lpstr>
      <vt:lpstr>'3.17'!Print_Area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2019-08-01T03:33:26Z</cp:lastPrinted>
  <dcterms:created xsi:type="dcterms:W3CDTF">2019-07-22T06:02:33Z</dcterms:created>
  <dcterms:modified xsi:type="dcterms:W3CDTF">2019-08-01T03:34:04Z</dcterms:modified>
</cp:coreProperties>
</file>