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9" sheetId="8" r:id="rId1"/>
  </sheets>
  <externalReferences>
    <externalReference r:id="rId2"/>
    <externalReference r:id="rId3"/>
    <externalReference r:id="rId4"/>
  </externalReferences>
  <definedNames>
    <definedName name="_xlnm.Print_Area" localSheetId="0">'3.9'!$A$1:$P$32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8" l="1"/>
  <c r="M14" i="8"/>
  <c r="N13" i="8"/>
  <c r="M13" i="8"/>
  <c r="L10" i="8"/>
  <c r="H10" i="8"/>
  <c r="D10" i="8"/>
  <c r="L9" i="8"/>
  <c r="H9" i="8"/>
  <c r="D9" i="8"/>
  <c r="O8" i="8"/>
  <c r="N8" i="8"/>
  <c r="M8" i="8"/>
  <c r="K8" i="8"/>
  <c r="J8" i="8"/>
  <c r="I8" i="8"/>
  <c r="G8" i="8"/>
  <c r="F8" i="8"/>
  <c r="E8" i="8"/>
  <c r="L7" i="8"/>
  <c r="H7" i="8"/>
  <c r="D7" i="8"/>
  <c r="L6" i="8"/>
  <c r="H6" i="8"/>
  <c r="D6" i="8"/>
  <c r="O5" i="8"/>
  <c r="N5" i="8"/>
  <c r="M5" i="8"/>
  <c r="K5" i="8"/>
  <c r="J5" i="8"/>
  <c r="I5" i="8"/>
  <c r="G5" i="8"/>
  <c r="F5" i="8"/>
  <c r="E5" i="8"/>
  <c r="D8" i="8" l="1"/>
  <c r="M12" i="8"/>
  <c r="AQ20" i="8" s="1"/>
  <c r="L13" i="8"/>
  <c r="H5" i="8"/>
  <c r="N12" i="8"/>
  <c r="AQ21" i="8" s="1"/>
  <c r="D5" i="8"/>
  <c r="L14" i="8"/>
  <c r="H13" i="8"/>
  <c r="H8" i="8"/>
  <c r="L5" i="8"/>
  <c r="J12" i="8"/>
  <c r="AP21" i="8" s="1"/>
  <c r="H14" i="8"/>
  <c r="L8" i="8"/>
  <c r="I12" i="8"/>
  <c r="AP20" i="8" s="1"/>
  <c r="H12" i="8" l="1"/>
  <c r="L12" i="8"/>
</calcChain>
</file>

<file path=xl/sharedStrings.xml><?xml version="1.0" encoding="utf-8"?>
<sst xmlns="http://schemas.openxmlformats.org/spreadsheetml/2006/main" count="42" uniqueCount="24">
  <si>
    <t>Republic</t>
  </si>
  <si>
    <t>Male'</t>
  </si>
  <si>
    <t>Atolls</t>
  </si>
  <si>
    <t xml:space="preserve">މިނިސްޓްރީ އޮފް ހެލްތު </t>
  </si>
  <si>
    <t>2018-2015 ,cnidukwDukivurwm iaWncnidukwDuk ibitirid uriaivcnwfua  : 3.9  ulwvWt</t>
  </si>
  <si>
    <t>Table 3.9 :  LIVE BIRTHS AND INFANT DEATHS, 2015 - 2018</t>
  </si>
  <si>
    <t>Particulars</t>
  </si>
  <si>
    <t>clIBcfwt</t>
  </si>
  <si>
    <t>Abroad</t>
  </si>
  <si>
    <r>
      <t xml:space="preserve">     Live Births </t>
    </r>
    <r>
      <rPr>
        <b/>
        <vertAlign val="superscript"/>
        <sz val="10"/>
        <rFont val="Calibri"/>
        <family val="2"/>
      </rPr>
      <t>1_/</t>
    </r>
  </si>
  <si>
    <t xml:space="preserve"> 1- / cniduk ibitiriduriaivcnwfua   </t>
  </si>
  <si>
    <t xml:space="preserve">     Male</t>
  </si>
  <si>
    <t xml:space="preserve">cnehirif     </t>
  </si>
  <si>
    <t xml:space="preserve">     Female</t>
  </si>
  <si>
    <t xml:space="preserve">cnehcnwa     </t>
  </si>
  <si>
    <t>Infant Deaths</t>
  </si>
  <si>
    <t xml:space="preserve">cnidukwDukivurwm   </t>
  </si>
  <si>
    <t>Infant Mortality (IMR)</t>
  </si>
  <si>
    <t xml:space="preserve">  -uriaivcnwfua ) cTErWvurwm cnidukwDuk   </t>
  </si>
  <si>
    <t xml:space="preserve"> Rate ('000) Live Births</t>
  </si>
  <si>
    <t xml:space="preserve">( cSokctwbcsin cSwkwjcauk / 000 emcnok iruhirid   </t>
  </si>
  <si>
    <r>
      <t xml:space="preserve">Note: </t>
    </r>
    <r>
      <rPr>
        <i/>
        <vertAlign val="superscript"/>
        <sz val="9"/>
        <rFont val="Calibri"/>
        <family val="2"/>
      </rPr>
      <t xml:space="preserve"> 1_/</t>
    </r>
    <r>
      <rPr>
        <i/>
        <sz val="9"/>
        <rFont val="Calibri"/>
        <family val="2"/>
      </rPr>
      <t xml:space="preserve"> Total include Maldivians born abroad</t>
    </r>
  </si>
  <si>
    <t>ނޯޓް: ޖުމްލައިގެތެރޭގައި ރާއްޖެއިން ބޭރުގައި އުފަންވިކުދިން ހިމެނިފައި</t>
  </si>
  <si>
    <r>
      <rPr>
        <b/>
        <i/>
        <sz val="9"/>
        <rFont val="Calibri"/>
        <family val="2"/>
      </rPr>
      <t>Source:</t>
    </r>
    <r>
      <rPr>
        <i/>
        <sz val="9"/>
        <rFont val="Calibri"/>
        <family val="2"/>
      </rPr>
      <t xml:space="preserve"> Ministry of Health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</si>
</sst>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3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_Randhoo"/>
    </font>
    <font>
      <sz val="9"/>
      <name val="Arial"/>
      <family val="2"/>
    </font>
    <font>
      <b/>
      <i/>
      <sz val="9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Calibri"/>
      <family val="2"/>
    </font>
    <font>
      <sz val="9"/>
      <name val="Calibri"/>
      <family val="2"/>
    </font>
    <font>
      <b/>
      <vertAlign val="superscript"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vertAlign val="superscript"/>
      <sz val="9"/>
      <name val="Calibri"/>
      <family val="2"/>
    </font>
    <font>
      <sz val="1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2" fillId="0" borderId="0"/>
    <xf numFmtId="0" fontId="12" fillId="0" borderId="0"/>
    <xf numFmtId="168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" fillId="0" borderId="0"/>
    <xf numFmtId="164" fontId="2" fillId="0" borderId="0"/>
    <xf numFmtId="164" fontId="2" fillId="0" borderId="0"/>
    <xf numFmtId="0" fontId="12" fillId="0" borderId="0"/>
  </cellStyleXfs>
  <cellXfs count="76">
    <xf numFmtId="0" fontId="0" fillId="0" borderId="0" xfId="0"/>
    <xf numFmtId="164" fontId="2" fillId="2" borderId="0" xfId="11" applyFill="1"/>
    <xf numFmtId="164" fontId="14" fillId="2" borderId="0" xfId="11" applyFont="1" applyFill="1"/>
    <xf numFmtId="3" fontId="22" fillId="2" borderId="0" xfId="10" applyNumberFormat="1" applyFont="1" applyFill="1" applyBorder="1" applyAlignment="1">
      <alignment horizontal="right" vertical="center"/>
    </xf>
    <xf numFmtId="3" fontId="23" fillId="2" borderId="0" xfId="10" applyNumberFormat="1" applyFont="1" applyFill="1" applyBorder="1" applyAlignment="1">
      <alignment horizontal="right" vertical="center"/>
    </xf>
    <xf numFmtId="1" fontId="23" fillId="2" borderId="0" xfId="10" applyNumberFormat="1" applyFont="1" applyFill="1" applyBorder="1" applyAlignment="1">
      <alignment horizontal="right" vertical="center"/>
    </xf>
    <xf numFmtId="3" fontId="23" fillId="2" borderId="0" xfId="10" applyNumberFormat="1" applyFont="1" applyFill="1" applyBorder="1" applyAlignment="1" applyProtection="1">
      <alignment horizontal="right" vertical="center"/>
      <protection locked="0"/>
    </xf>
    <xf numFmtId="1" fontId="22" fillId="2" borderId="0" xfId="10" applyNumberFormat="1" applyFont="1" applyFill="1" applyBorder="1" applyAlignment="1">
      <alignment horizontal="right" vertical="center"/>
    </xf>
    <xf numFmtId="164" fontId="12" fillId="2" borderId="0" xfId="11" applyFont="1" applyFill="1"/>
    <xf numFmtId="164" fontId="19" fillId="2" borderId="0" xfId="11" applyFont="1" applyFill="1" applyBorder="1" applyAlignment="1" applyProtection="1">
      <alignment horizontal="center" vertical="center"/>
    </xf>
    <xf numFmtId="164" fontId="19" fillId="2" borderId="4" xfId="11" applyFont="1" applyFill="1" applyBorder="1" applyAlignment="1" applyProtection="1">
      <alignment horizontal="center" vertical="center"/>
    </xf>
    <xf numFmtId="164" fontId="4" fillId="2" borderId="0" xfId="11" applyFont="1" applyFill="1" applyAlignment="1">
      <alignment vertical="center"/>
    </xf>
    <xf numFmtId="164" fontId="19" fillId="2" borderId="1" xfId="11" applyFont="1" applyFill="1" applyBorder="1" applyAlignment="1">
      <alignment horizontal="right" vertical="top"/>
    </xf>
    <xf numFmtId="164" fontId="19" fillId="2" borderId="6" xfId="11" applyFont="1" applyFill="1" applyBorder="1" applyAlignment="1">
      <alignment horizontal="right" vertical="center"/>
    </xf>
    <xf numFmtId="164" fontId="19" fillId="2" borderId="7" xfId="11" applyFont="1" applyFill="1" applyBorder="1" applyAlignment="1">
      <alignment horizontal="right" vertical="center"/>
    </xf>
    <xf numFmtId="1" fontId="13" fillId="2" borderId="0" xfId="11" applyNumberFormat="1" applyFont="1" applyFill="1" applyAlignment="1" applyProtection="1">
      <alignment vertical="center"/>
    </xf>
    <xf numFmtId="3" fontId="19" fillId="2" borderId="0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/>
    </xf>
    <xf numFmtId="3" fontId="13" fillId="2" borderId="2" xfId="0" applyNumberFormat="1" applyFont="1" applyFill="1" applyBorder="1" applyAlignment="1">
      <alignment horizontal="right" vertical="center"/>
    </xf>
    <xf numFmtId="1" fontId="5" fillId="2" borderId="0" xfId="10" applyNumberFormat="1" applyFont="1" applyFill="1" applyAlignment="1">
      <alignment horizontal="right" vertical="center"/>
    </xf>
    <xf numFmtId="1" fontId="4" fillId="2" borderId="0" xfId="11" applyNumberFormat="1" applyFont="1" applyFill="1" applyAlignment="1">
      <alignment horizontal="center" vertical="center"/>
    </xf>
    <xf numFmtId="1" fontId="14" fillId="2" borderId="0" xfId="11" applyNumberFormat="1" applyFont="1" applyFill="1" applyAlignment="1" applyProtection="1">
      <alignment horizontal="left" vertical="center"/>
    </xf>
    <xf numFmtId="173" fontId="20" fillId="2" borderId="0" xfId="5" applyNumberFormat="1" applyFont="1" applyFill="1" applyAlignment="1">
      <alignment horizontal="right" vertical="center"/>
    </xf>
    <xf numFmtId="173" fontId="14" fillId="2" borderId="0" xfId="5" applyNumberFormat="1" applyFont="1" applyFill="1" applyAlignment="1">
      <alignment horizontal="right" vertical="center"/>
    </xf>
    <xf numFmtId="3" fontId="14" fillId="2" borderId="2" xfId="10" applyNumberFormat="1" applyFont="1" applyFill="1" applyBorder="1" applyAlignment="1">
      <alignment horizontal="right" vertical="center"/>
    </xf>
    <xf numFmtId="3" fontId="14" fillId="2" borderId="0" xfId="10" applyNumberFormat="1" applyFont="1" applyFill="1" applyBorder="1" applyAlignment="1">
      <alignment horizontal="right" vertical="center"/>
    </xf>
    <xf numFmtId="1" fontId="15" fillId="2" borderId="0" xfId="10" applyNumberFormat="1" applyFont="1" applyFill="1" applyAlignment="1">
      <alignment horizontal="right" vertical="center"/>
    </xf>
    <xf numFmtId="1" fontId="12" fillId="2" borderId="0" xfId="11" applyNumberFormat="1" applyFont="1" applyFill="1" applyAlignment="1">
      <alignment horizontal="center" vertical="center"/>
    </xf>
    <xf numFmtId="1" fontId="13" fillId="2" borderId="0" xfId="11" applyNumberFormat="1" applyFont="1" applyFill="1" applyAlignment="1" applyProtection="1">
      <alignment horizontal="center" vertical="center"/>
    </xf>
    <xf numFmtId="3" fontId="19" fillId="2" borderId="0" xfId="10" applyNumberFormat="1" applyFont="1" applyFill="1" applyBorder="1" applyAlignment="1">
      <alignment horizontal="right" vertical="center"/>
    </xf>
    <xf numFmtId="3" fontId="13" fillId="2" borderId="0" xfId="10" applyNumberFormat="1" applyFont="1" applyFill="1" applyBorder="1" applyAlignment="1">
      <alignment horizontal="right" vertical="center"/>
    </xf>
    <xf numFmtId="3" fontId="13" fillId="2" borderId="2" xfId="10" applyNumberFormat="1" applyFont="1" applyFill="1" applyBorder="1" applyAlignment="1">
      <alignment horizontal="right" vertical="center"/>
    </xf>
    <xf numFmtId="3" fontId="20" fillId="2" borderId="0" xfId="10" applyNumberFormat="1" applyFont="1" applyFill="1" applyBorder="1" applyAlignment="1" applyProtection="1">
      <alignment horizontal="right" vertical="center"/>
      <protection locked="0"/>
    </xf>
    <xf numFmtId="3" fontId="14" fillId="2" borderId="0" xfId="10" applyNumberFormat="1" applyFont="1" applyFill="1" applyBorder="1" applyAlignment="1" applyProtection="1">
      <alignment horizontal="right" vertical="center"/>
      <protection locked="0"/>
    </xf>
    <xf numFmtId="3" fontId="14" fillId="2" borderId="2" xfId="10" applyNumberFormat="1" applyFont="1" applyFill="1" applyBorder="1" applyAlignment="1" applyProtection="1">
      <alignment horizontal="right" vertical="center"/>
      <protection locked="0"/>
    </xf>
    <xf numFmtId="1" fontId="19" fillId="2" borderId="0" xfId="10" applyNumberFormat="1" applyFont="1" applyFill="1" applyBorder="1" applyAlignment="1">
      <alignment horizontal="right" vertical="center"/>
    </xf>
    <xf numFmtId="1" fontId="13" fillId="2" borderId="0" xfId="10" applyNumberFormat="1" applyFont="1" applyFill="1" applyBorder="1" applyAlignment="1">
      <alignment horizontal="right" vertical="center"/>
    </xf>
    <xf numFmtId="1" fontId="13" fillId="2" borderId="2" xfId="10" applyNumberFormat="1" applyFont="1" applyFill="1" applyBorder="1" applyAlignment="1">
      <alignment horizontal="right" vertical="center"/>
    </xf>
    <xf numFmtId="1" fontId="13" fillId="2" borderId="0" xfId="11" applyNumberFormat="1" applyFont="1" applyFill="1" applyAlignment="1" applyProtection="1">
      <alignment horizontal="left" vertical="center"/>
    </xf>
    <xf numFmtId="49" fontId="13" fillId="2" borderId="0" xfId="10" applyNumberFormat="1" applyFont="1" applyFill="1" applyBorder="1" applyAlignment="1">
      <alignment horizontal="right" vertical="center"/>
    </xf>
    <xf numFmtId="1" fontId="20" fillId="2" borderId="0" xfId="10" applyNumberFormat="1" applyFont="1" applyFill="1" applyBorder="1" applyAlignment="1">
      <alignment horizontal="right" vertical="center"/>
    </xf>
    <xf numFmtId="49" fontId="14" fillId="2" borderId="0" xfId="10" applyNumberFormat="1" applyFont="1" applyFill="1" applyBorder="1" applyAlignment="1">
      <alignment horizontal="right" vertical="center"/>
    </xf>
    <xf numFmtId="1" fontId="14" fillId="2" borderId="0" xfId="10" applyNumberFormat="1" applyFont="1" applyFill="1" applyBorder="1" applyAlignment="1">
      <alignment horizontal="right" vertical="center"/>
    </xf>
    <xf numFmtId="1" fontId="14" fillId="2" borderId="2" xfId="10" applyNumberFormat="1" applyFont="1" applyFill="1" applyBorder="1" applyAlignment="1">
      <alignment horizontal="right" vertical="center"/>
    </xf>
    <xf numFmtId="1" fontId="16" fillId="2" borderId="0" xfId="10" applyNumberFormat="1" applyFont="1" applyFill="1" applyBorder="1" applyAlignment="1">
      <alignment horizontal="right" vertical="center"/>
    </xf>
    <xf numFmtId="1" fontId="14" fillId="2" borderId="1" xfId="11" applyNumberFormat="1" applyFont="1" applyFill="1" applyBorder="1" applyAlignment="1" applyProtection="1">
      <alignment horizontal="left" vertical="center"/>
    </xf>
    <xf numFmtId="1" fontId="20" fillId="2" borderId="1" xfId="10" applyNumberFormat="1" applyFont="1" applyFill="1" applyBorder="1" applyAlignment="1">
      <alignment horizontal="right" vertical="center"/>
    </xf>
    <xf numFmtId="49" fontId="14" fillId="2" borderId="1" xfId="10" applyNumberFormat="1" applyFont="1" applyFill="1" applyBorder="1" applyAlignment="1">
      <alignment horizontal="right" vertical="center"/>
    </xf>
    <xf numFmtId="1" fontId="14" fillId="2" borderId="1" xfId="10" applyNumberFormat="1" applyFont="1" applyFill="1" applyBorder="1" applyAlignment="1">
      <alignment horizontal="right" vertical="center"/>
    </xf>
    <xf numFmtId="1" fontId="14" fillId="2" borderId="3" xfId="10" applyNumberFormat="1" applyFont="1" applyFill="1" applyBorder="1" applyAlignment="1">
      <alignment horizontal="right" vertical="center"/>
    </xf>
    <xf numFmtId="1" fontId="15" fillId="2" borderId="1" xfId="10" applyNumberFormat="1" applyFont="1" applyFill="1" applyBorder="1" applyAlignment="1">
      <alignment horizontal="right" vertical="center"/>
    </xf>
    <xf numFmtId="164" fontId="10" fillId="2" borderId="0" xfId="10" applyFont="1" applyFill="1" applyAlignment="1" applyProtection="1">
      <alignment vertical="center"/>
    </xf>
    <xf numFmtId="164" fontId="11" fillId="2" borderId="0" xfId="10" applyFont="1" applyFill="1" applyAlignment="1" applyProtection="1">
      <alignment vertical="center"/>
      <protection hidden="1"/>
    </xf>
    <xf numFmtId="164" fontId="6" fillId="2" borderId="0" xfId="11" applyFont="1" applyFill="1" applyAlignment="1">
      <alignment vertical="center"/>
    </xf>
    <xf numFmtId="164" fontId="11" fillId="2" borderId="0" xfId="10" applyFont="1" applyFill="1" applyAlignment="1" applyProtection="1">
      <alignment horizontal="right" vertical="center"/>
      <protection hidden="1"/>
    </xf>
    <xf numFmtId="164" fontId="8" fillId="2" borderId="0" xfId="11" applyFont="1" applyFill="1" applyAlignment="1">
      <alignment vertical="center"/>
    </xf>
    <xf numFmtId="164" fontId="10" fillId="2" borderId="0" xfId="0" applyNumberFormat="1" applyFont="1" applyFill="1" applyAlignment="1" applyProtection="1">
      <alignment horizontal="left" vertical="center"/>
    </xf>
    <xf numFmtId="164" fontId="15" fillId="2" borderId="0" xfId="11" applyFont="1" applyFill="1" applyAlignment="1">
      <alignment vertical="center"/>
    </xf>
    <xf numFmtId="164" fontId="12" fillId="2" borderId="0" xfId="11" applyFont="1" applyFill="1" applyAlignment="1">
      <alignment vertical="center"/>
    </xf>
    <xf numFmtId="164" fontId="9" fillId="2" borderId="0" xfId="11" applyFont="1" applyFill="1"/>
    <xf numFmtId="0" fontId="12" fillId="2" borderId="0" xfId="12" applyFill="1"/>
    <xf numFmtId="0" fontId="12" fillId="2" borderId="0" xfId="12" applyFont="1" applyFill="1"/>
    <xf numFmtId="1" fontId="6" fillId="2" borderId="0" xfId="11" applyNumberFormat="1" applyFont="1" applyFill="1" applyBorder="1" applyAlignment="1">
      <alignment horizontal="right" vertical="center"/>
    </xf>
    <xf numFmtId="1" fontId="12" fillId="2" borderId="0" xfId="11" applyNumberFormat="1" applyFont="1" applyFill="1"/>
    <xf numFmtId="1" fontId="12" fillId="2" borderId="0" xfId="12" applyNumberFormat="1" applyFont="1" applyFill="1"/>
    <xf numFmtId="164" fontId="2" fillId="2" borderId="0" xfId="11" applyFont="1" applyFill="1"/>
    <xf numFmtId="164" fontId="25" fillId="2" borderId="0" xfId="11" applyFont="1" applyFill="1"/>
    <xf numFmtId="164" fontId="19" fillId="2" borderId="4" xfId="11" applyFont="1" applyFill="1" applyBorder="1" applyAlignment="1" applyProtection="1">
      <alignment horizontal="center" vertical="center"/>
    </xf>
    <xf numFmtId="164" fontId="5" fillId="2" borderId="0" xfId="10" applyFont="1" applyFill="1" applyBorder="1" applyAlignment="1">
      <alignment horizontal="right" vertical="center"/>
    </xf>
    <xf numFmtId="164" fontId="5" fillId="2" borderId="1" xfId="10" applyFont="1" applyFill="1" applyBorder="1" applyAlignment="1">
      <alignment horizontal="right" vertical="center"/>
    </xf>
    <xf numFmtId="1" fontId="22" fillId="2" borderId="0" xfId="10" applyNumberFormat="1" applyFont="1" applyFill="1" applyBorder="1" applyAlignment="1">
      <alignment horizontal="center" vertical="center"/>
    </xf>
    <xf numFmtId="164" fontId="18" fillId="2" borderId="0" xfId="10" applyFont="1" applyFill="1" applyAlignment="1">
      <alignment horizontal="center" vertical="center" wrapText="1"/>
    </xf>
    <xf numFmtId="164" fontId="3" fillId="2" borderId="1" xfId="11" applyFont="1" applyFill="1" applyBorder="1" applyAlignment="1" applyProtection="1">
      <alignment horizontal="center" vertical="center"/>
    </xf>
    <xf numFmtId="164" fontId="13" fillId="2" borderId="0" xfId="11" applyFont="1" applyFill="1" applyBorder="1" applyAlignment="1" applyProtection="1">
      <alignment horizontal="left" vertical="center"/>
    </xf>
    <xf numFmtId="164" fontId="13" fillId="2" borderId="1" xfId="11" applyFont="1" applyFill="1" applyBorder="1" applyAlignment="1" applyProtection="1">
      <alignment horizontal="left" vertical="center"/>
    </xf>
    <xf numFmtId="164" fontId="19" fillId="2" borderId="5" xfId="11" applyFont="1" applyFill="1" applyBorder="1" applyAlignment="1" applyProtection="1">
      <alignment horizontal="center" vertical="center"/>
    </xf>
  </cellXfs>
  <cellStyles count="13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  <cellStyle name="Normal_fig7" xfId="12"/>
    <cellStyle name="Normal_Stat Year Book 2007 tables" xfId="1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45117971364692E-2"/>
          <c:y val="0.14806549537179739"/>
          <c:w val="0.93207094822359482"/>
          <c:h val="0.72861901159152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'3.9'!$AC$20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'3.9'!$AG$19:$AQ$19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 formatCode="General_)">
                  <c:v>2010</c:v>
                </c:pt>
                <c:pt idx="4" formatCode="General_)">
                  <c:v>2011</c:v>
                </c:pt>
                <c:pt idx="5">
                  <c:v>2012</c:v>
                </c:pt>
                <c:pt idx="6" formatCode="General_)">
                  <c:v>2013</c:v>
                </c:pt>
                <c:pt idx="7" formatCode="General_)">
                  <c:v>2014</c:v>
                </c:pt>
                <c:pt idx="8">
                  <c:v>2015</c:v>
                </c:pt>
                <c:pt idx="9" formatCode="General_)">
                  <c:v>2016</c:v>
                </c:pt>
                <c:pt idx="10" formatCode="General_)">
                  <c:v>2017</c:v>
                </c:pt>
              </c:numCache>
            </c:numRef>
          </c:cat>
          <c:val>
            <c:numRef>
              <c:f>'3.9'!$AG$20:$AQ$20</c:f>
              <c:numCache>
                <c:formatCode>0</c:formatCode>
                <c:ptCount val="11"/>
                <c:pt idx="0">
                  <c:v>9.0820629257216989</c:v>
                </c:pt>
                <c:pt idx="1">
                  <c:v>12</c:v>
                </c:pt>
                <c:pt idx="2">
                  <c:v>14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5.1085568326947639</c:v>
                </c:pt>
                <c:pt idx="7">
                  <c:v>8.4388185654008439</c:v>
                </c:pt>
                <c:pt idx="8">
                  <c:v>9.7949886104783594</c:v>
                </c:pt>
                <c:pt idx="9">
                  <c:v>8.2063305978898011</c:v>
                </c:pt>
                <c:pt idx="10">
                  <c:v>10.526315789473683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2-430D-A178-ABC8C9D55230}"/>
            </c:ext>
          </c:extLst>
        </c:ser>
        <c:ser>
          <c:idx val="1"/>
          <c:order val="1"/>
          <c:tx>
            <c:strRef>
              <c:f>'3.9'!$AC$21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D966"/>
            </a:solidFill>
          </c:spPr>
          <c:invertIfNegative val="1"/>
          <c:cat>
            <c:numRef>
              <c:f>'3.9'!$AG$19:$AQ$19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 formatCode="General_)">
                  <c:v>2010</c:v>
                </c:pt>
                <c:pt idx="4" formatCode="General_)">
                  <c:v>2011</c:v>
                </c:pt>
                <c:pt idx="5">
                  <c:v>2012</c:v>
                </c:pt>
                <c:pt idx="6" formatCode="General_)">
                  <c:v>2013</c:v>
                </c:pt>
                <c:pt idx="7" formatCode="General_)">
                  <c:v>2014</c:v>
                </c:pt>
                <c:pt idx="8">
                  <c:v>2015</c:v>
                </c:pt>
                <c:pt idx="9" formatCode="General_)">
                  <c:v>2016</c:v>
                </c:pt>
                <c:pt idx="10" formatCode="General_)">
                  <c:v>2017</c:v>
                </c:pt>
              </c:numCache>
            </c:numRef>
          </c:cat>
          <c:val>
            <c:numRef>
              <c:f>'3.9'!$AG$21:$AQ$21</c:f>
              <c:numCache>
                <c:formatCode>0</c:formatCode>
                <c:ptCount val="11"/>
                <c:pt idx="0">
                  <c:v>10.900745840504877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7</c:v>
                </c:pt>
                <c:pt idx="6">
                  <c:v>6.9060773480662982</c:v>
                </c:pt>
                <c:pt idx="7">
                  <c:v>4.6296296296296298</c:v>
                </c:pt>
                <c:pt idx="8">
                  <c:v>5.84795321637427</c:v>
                </c:pt>
                <c:pt idx="9">
                  <c:v>6.5207265952491849</c:v>
                </c:pt>
                <c:pt idx="10">
                  <c:v>6.381039197812215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0022-430D-A178-ABC8C9D55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647753791"/>
        <c:axId val="1"/>
      </c:barChart>
      <c:catAx>
        <c:axId val="647753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FFD966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 '000 Live Births</a:t>
                </a:r>
              </a:p>
            </c:rich>
          </c:tx>
          <c:layout>
            <c:manualLayout>
              <c:xMode val="edge"/>
              <c:yMode val="edge"/>
              <c:x val="5.5661626367500524E-3"/>
              <c:y val="5.9941528661230509E-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7753791"/>
        <c:crosses val="autoZero"/>
        <c:crossBetween val="between"/>
        <c:majorUnit val="4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017837150887112"/>
          <c:y val="0.18149458430372259"/>
          <c:w val="0.14873600976869042"/>
          <c:h val="0.17090828435177996"/>
        </c:manualLayout>
      </c:layout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17</xdr:row>
      <xdr:rowOff>9525</xdr:rowOff>
    </xdr:from>
    <xdr:to>
      <xdr:col>15</xdr:col>
      <xdr:colOff>571500</xdr:colOff>
      <xdr:row>31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0.20432</cdr:x>
      <cdr:y>0.02673</cdr:y>
    </cdr:from>
    <cdr:to>
      <cdr:x>0.82671</cdr:x>
      <cdr:y>0.11388</cdr:y>
    </cdr:to>
    <cdr:sp macro="" textlink="">
      <cdr:nvSpPr>
        <cdr:cNvPr id="378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2045" y="71782"/>
          <a:ext cx="4484172" cy="2340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3.12: Infant mortality rate, 2007 - 2017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"/>
  <sheetViews>
    <sheetView tabSelected="1" zoomScaleNormal="100" workbookViewId="0">
      <selection activeCell="U13" sqref="U13"/>
    </sheetView>
  </sheetViews>
  <sheetFormatPr defaultColWidth="17.85546875" defaultRowHeight="16.5" customHeight="1" x14ac:dyDescent="0.2"/>
  <cols>
    <col min="1" max="1" width="18.7109375" style="8" customWidth="1"/>
    <col min="2" max="2" width="1.7109375" style="8" customWidth="1"/>
    <col min="3" max="3" width="0.85546875" style="8" customWidth="1"/>
    <col min="4" max="15" width="8.7109375" style="8" customWidth="1"/>
    <col min="16" max="16" width="45.140625" style="8" customWidth="1"/>
    <col min="17" max="28" width="17.85546875" style="8"/>
    <col min="29" max="37" width="5.42578125" style="8" customWidth="1"/>
    <col min="38" max="42" width="6" style="8" customWidth="1"/>
    <col min="43" max="43" width="6.85546875" style="8" customWidth="1"/>
    <col min="44" max="44" width="5.42578125" style="8" customWidth="1"/>
    <col min="45" max="239" width="17.85546875" style="8"/>
    <col min="240" max="240" width="18.7109375" style="8" customWidth="1"/>
    <col min="241" max="241" width="1.7109375" style="8" customWidth="1"/>
    <col min="242" max="242" width="0.85546875" style="8" customWidth="1"/>
    <col min="243" max="263" width="0" style="8" hidden="1" customWidth="1"/>
    <col min="264" max="275" width="8.7109375" style="8" customWidth="1"/>
    <col min="276" max="279" width="0" style="8" hidden="1" customWidth="1"/>
    <col min="280" max="280" width="45.140625" style="8" customWidth="1"/>
    <col min="281" max="284" width="17.85546875" style="8"/>
    <col min="285" max="293" width="5.42578125" style="8" customWidth="1"/>
    <col min="294" max="298" width="6" style="8" customWidth="1"/>
    <col min="299" max="299" width="6.85546875" style="8" customWidth="1"/>
    <col min="300" max="300" width="5.42578125" style="8" customWidth="1"/>
    <col min="301" max="495" width="17.85546875" style="8"/>
    <col min="496" max="496" width="18.7109375" style="8" customWidth="1"/>
    <col min="497" max="497" width="1.7109375" style="8" customWidth="1"/>
    <col min="498" max="498" width="0.85546875" style="8" customWidth="1"/>
    <col min="499" max="519" width="0" style="8" hidden="1" customWidth="1"/>
    <col min="520" max="531" width="8.7109375" style="8" customWidth="1"/>
    <col min="532" max="535" width="0" style="8" hidden="1" customWidth="1"/>
    <col min="536" max="536" width="45.140625" style="8" customWidth="1"/>
    <col min="537" max="540" width="17.85546875" style="8"/>
    <col min="541" max="549" width="5.42578125" style="8" customWidth="1"/>
    <col min="550" max="554" width="6" style="8" customWidth="1"/>
    <col min="555" max="555" width="6.85546875" style="8" customWidth="1"/>
    <col min="556" max="556" width="5.42578125" style="8" customWidth="1"/>
    <col min="557" max="751" width="17.85546875" style="8"/>
    <col min="752" max="752" width="18.7109375" style="8" customWidth="1"/>
    <col min="753" max="753" width="1.7109375" style="8" customWidth="1"/>
    <col min="754" max="754" width="0.85546875" style="8" customWidth="1"/>
    <col min="755" max="775" width="0" style="8" hidden="1" customWidth="1"/>
    <col min="776" max="787" width="8.7109375" style="8" customWidth="1"/>
    <col min="788" max="791" width="0" style="8" hidden="1" customWidth="1"/>
    <col min="792" max="792" width="45.140625" style="8" customWidth="1"/>
    <col min="793" max="796" width="17.85546875" style="8"/>
    <col min="797" max="805" width="5.42578125" style="8" customWidth="1"/>
    <col min="806" max="810" width="6" style="8" customWidth="1"/>
    <col min="811" max="811" width="6.85546875" style="8" customWidth="1"/>
    <col min="812" max="812" width="5.42578125" style="8" customWidth="1"/>
    <col min="813" max="1007" width="17.85546875" style="8"/>
    <col min="1008" max="1008" width="18.7109375" style="8" customWidth="1"/>
    <col min="1009" max="1009" width="1.7109375" style="8" customWidth="1"/>
    <col min="1010" max="1010" width="0.85546875" style="8" customWidth="1"/>
    <col min="1011" max="1031" width="0" style="8" hidden="1" customWidth="1"/>
    <col min="1032" max="1043" width="8.7109375" style="8" customWidth="1"/>
    <col min="1044" max="1047" width="0" style="8" hidden="1" customWidth="1"/>
    <col min="1048" max="1048" width="45.140625" style="8" customWidth="1"/>
    <col min="1049" max="1052" width="17.85546875" style="8"/>
    <col min="1053" max="1061" width="5.42578125" style="8" customWidth="1"/>
    <col min="1062" max="1066" width="6" style="8" customWidth="1"/>
    <col min="1067" max="1067" width="6.85546875" style="8" customWidth="1"/>
    <col min="1068" max="1068" width="5.42578125" style="8" customWidth="1"/>
    <col min="1069" max="1263" width="17.85546875" style="8"/>
    <col min="1264" max="1264" width="18.7109375" style="8" customWidth="1"/>
    <col min="1265" max="1265" width="1.7109375" style="8" customWidth="1"/>
    <col min="1266" max="1266" width="0.85546875" style="8" customWidth="1"/>
    <col min="1267" max="1287" width="0" style="8" hidden="1" customWidth="1"/>
    <col min="1288" max="1299" width="8.7109375" style="8" customWidth="1"/>
    <col min="1300" max="1303" width="0" style="8" hidden="1" customWidth="1"/>
    <col min="1304" max="1304" width="45.140625" style="8" customWidth="1"/>
    <col min="1305" max="1308" width="17.85546875" style="8"/>
    <col min="1309" max="1317" width="5.42578125" style="8" customWidth="1"/>
    <col min="1318" max="1322" width="6" style="8" customWidth="1"/>
    <col min="1323" max="1323" width="6.85546875" style="8" customWidth="1"/>
    <col min="1324" max="1324" width="5.42578125" style="8" customWidth="1"/>
    <col min="1325" max="1519" width="17.85546875" style="8"/>
    <col min="1520" max="1520" width="18.7109375" style="8" customWidth="1"/>
    <col min="1521" max="1521" width="1.7109375" style="8" customWidth="1"/>
    <col min="1522" max="1522" width="0.85546875" style="8" customWidth="1"/>
    <col min="1523" max="1543" width="0" style="8" hidden="1" customWidth="1"/>
    <col min="1544" max="1555" width="8.7109375" style="8" customWidth="1"/>
    <col min="1556" max="1559" width="0" style="8" hidden="1" customWidth="1"/>
    <col min="1560" max="1560" width="45.140625" style="8" customWidth="1"/>
    <col min="1561" max="1564" width="17.85546875" style="8"/>
    <col min="1565" max="1573" width="5.42578125" style="8" customWidth="1"/>
    <col min="1574" max="1578" width="6" style="8" customWidth="1"/>
    <col min="1579" max="1579" width="6.85546875" style="8" customWidth="1"/>
    <col min="1580" max="1580" width="5.42578125" style="8" customWidth="1"/>
    <col min="1581" max="1775" width="17.85546875" style="8"/>
    <col min="1776" max="1776" width="18.7109375" style="8" customWidth="1"/>
    <col min="1777" max="1777" width="1.7109375" style="8" customWidth="1"/>
    <col min="1778" max="1778" width="0.85546875" style="8" customWidth="1"/>
    <col min="1779" max="1799" width="0" style="8" hidden="1" customWidth="1"/>
    <col min="1800" max="1811" width="8.7109375" style="8" customWidth="1"/>
    <col min="1812" max="1815" width="0" style="8" hidden="1" customWidth="1"/>
    <col min="1816" max="1816" width="45.140625" style="8" customWidth="1"/>
    <col min="1817" max="1820" width="17.85546875" style="8"/>
    <col min="1821" max="1829" width="5.42578125" style="8" customWidth="1"/>
    <col min="1830" max="1834" width="6" style="8" customWidth="1"/>
    <col min="1835" max="1835" width="6.85546875" style="8" customWidth="1"/>
    <col min="1836" max="1836" width="5.42578125" style="8" customWidth="1"/>
    <col min="1837" max="2031" width="17.85546875" style="8"/>
    <col min="2032" max="2032" width="18.7109375" style="8" customWidth="1"/>
    <col min="2033" max="2033" width="1.7109375" style="8" customWidth="1"/>
    <col min="2034" max="2034" width="0.85546875" style="8" customWidth="1"/>
    <col min="2035" max="2055" width="0" style="8" hidden="1" customWidth="1"/>
    <col min="2056" max="2067" width="8.7109375" style="8" customWidth="1"/>
    <col min="2068" max="2071" width="0" style="8" hidden="1" customWidth="1"/>
    <col min="2072" max="2072" width="45.140625" style="8" customWidth="1"/>
    <col min="2073" max="2076" width="17.85546875" style="8"/>
    <col min="2077" max="2085" width="5.42578125" style="8" customWidth="1"/>
    <col min="2086" max="2090" width="6" style="8" customWidth="1"/>
    <col min="2091" max="2091" width="6.85546875" style="8" customWidth="1"/>
    <col min="2092" max="2092" width="5.42578125" style="8" customWidth="1"/>
    <col min="2093" max="2287" width="17.85546875" style="8"/>
    <col min="2288" max="2288" width="18.7109375" style="8" customWidth="1"/>
    <col min="2289" max="2289" width="1.7109375" style="8" customWidth="1"/>
    <col min="2290" max="2290" width="0.85546875" style="8" customWidth="1"/>
    <col min="2291" max="2311" width="0" style="8" hidden="1" customWidth="1"/>
    <col min="2312" max="2323" width="8.7109375" style="8" customWidth="1"/>
    <col min="2324" max="2327" width="0" style="8" hidden="1" customWidth="1"/>
    <col min="2328" max="2328" width="45.140625" style="8" customWidth="1"/>
    <col min="2329" max="2332" width="17.85546875" style="8"/>
    <col min="2333" max="2341" width="5.42578125" style="8" customWidth="1"/>
    <col min="2342" max="2346" width="6" style="8" customWidth="1"/>
    <col min="2347" max="2347" width="6.85546875" style="8" customWidth="1"/>
    <col min="2348" max="2348" width="5.42578125" style="8" customWidth="1"/>
    <col min="2349" max="2543" width="17.85546875" style="8"/>
    <col min="2544" max="2544" width="18.7109375" style="8" customWidth="1"/>
    <col min="2545" max="2545" width="1.7109375" style="8" customWidth="1"/>
    <col min="2546" max="2546" width="0.85546875" style="8" customWidth="1"/>
    <col min="2547" max="2567" width="0" style="8" hidden="1" customWidth="1"/>
    <col min="2568" max="2579" width="8.7109375" style="8" customWidth="1"/>
    <col min="2580" max="2583" width="0" style="8" hidden="1" customWidth="1"/>
    <col min="2584" max="2584" width="45.140625" style="8" customWidth="1"/>
    <col min="2585" max="2588" width="17.85546875" style="8"/>
    <col min="2589" max="2597" width="5.42578125" style="8" customWidth="1"/>
    <col min="2598" max="2602" width="6" style="8" customWidth="1"/>
    <col min="2603" max="2603" width="6.85546875" style="8" customWidth="1"/>
    <col min="2604" max="2604" width="5.42578125" style="8" customWidth="1"/>
    <col min="2605" max="2799" width="17.85546875" style="8"/>
    <col min="2800" max="2800" width="18.7109375" style="8" customWidth="1"/>
    <col min="2801" max="2801" width="1.7109375" style="8" customWidth="1"/>
    <col min="2802" max="2802" width="0.85546875" style="8" customWidth="1"/>
    <col min="2803" max="2823" width="0" style="8" hidden="1" customWidth="1"/>
    <col min="2824" max="2835" width="8.7109375" style="8" customWidth="1"/>
    <col min="2836" max="2839" width="0" style="8" hidden="1" customWidth="1"/>
    <col min="2840" max="2840" width="45.140625" style="8" customWidth="1"/>
    <col min="2841" max="2844" width="17.85546875" style="8"/>
    <col min="2845" max="2853" width="5.42578125" style="8" customWidth="1"/>
    <col min="2854" max="2858" width="6" style="8" customWidth="1"/>
    <col min="2859" max="2859" width="6.85546875" style="8" customWidth="1"/>
    <col min="2860" max="2860" width="5.42578125" style="8" customWidth="1"/>
    <col min="2861" max="3055" width="17.85546875" style="8"/>
    <col min="3056" max="3056" width="18.7109375" style="8" customWidth="1"/>
    <col min="3057" max="3057" width="1.7109375" style="8" customWidth="1"/>
    <col min="3058" max="3058" width="0.85546875" style="8" customWidth="1"/>
    <col min="3059" max="3079" width="0" style="8" hidden="1" customWidth="1"/>
    <col min="3080" max="3091" width="8.7109375" style="8" customWidth="1"/>
    <col min="3092" max="3095" width="0" style="8" hidden="1" customWidth="1"/>
    <col min="3096" max="3096" width="45.140625" style="8" customWidth="1"/>
    <col min="3097" max="3100" width="17.85546875" style="8"/>
    <col min="3101" max="3109" width="5.42578125" style="8" customWidth="1"/>
    <col min="3110" max="3114" width="6" style="8" customWidth="1"/>
    <col min="3115" max="3115" width="6.85546875" style="8" customWidth="1"/>
    <col min="3116" max="3116" width="5.42578125" style="8" customWidth="1"/>
    <col min="3117" max="3311" width="17.85546875" style="8"/>
    <col min="3312" max="3312" width="18.7109375" style="8" customWidth="1"/>
    <col min="3313" max="3313" width="1.7109375" style="8" customWidth="1"/>
    <col min="3314" max="3314" width="0.85546875" style="8" customWidth="1"/>
    <col min="3315" max="3335" width="0" style="8" hidden="1" customWidth="1"/>
    <col min="3336" max="3347" width="8.7109375" style="8" customWidth="1"/>
    <col min="3348" max="3351" width="0" style="8" hidden="1" customWidth="1"/>
    <col min="3352" max="3352" width="45.140625" style="8" customWidth="1"/>
    <col min="3353" max="3356" width="17.85546875" style="8"/>
    <col min="3357" max="3365" width="5.42578125" style="8" customWidth="1"/>
    <col min="3366" max="3370" width="6" style="8" customWidth="1"/>
    <col min="3371" max="3371" width="6.85546875" style="8" customWidth="1"/>
    <col min="3372" max="3372" width="5.42578125" style="8" customWidth="1"/>
    <col min="3373" max="3567" width="17.85546875" style="8"/>
    <col min="3568" max="3568" width="18.7109375" style="8" customWidth="1"/>
    <col min="3569" max="3569" width="1.7109375" style="8" customWidth="1"/>
    <col min="3570" max="3570" width="0.85546875" style="8" customWidth="1"/>
    <col min="3571" max="3591" width="0" style="8" hidden="1" customWidth="1"/>
    <col min="3592" max="3603" width="8.7109375" style="8" customWidth="1"/>
    <col min="3604" max="3607" width="0" style="8" hidden="1" customWidth="1"/>
    <col min="3608" max="3608" width="45.140625" style="8" customWidth="1"/>
    <col min="3609" max="3612" width="17.85546875" style="8"/>
    <col min="3613" max="3621" width="5.42578125" style="8" customWidth="1"/>
    <col min="3622" max="3626" width="6" style="8" customWidth="1"/>
    <col min="3627" max="3627" width="6.85546875" style="8" customWidth="1"/>
    <col min="3628" max="3628" width="5.42578125" style="8" customWidth="1"/>
    <col min="3629" max="3823" width="17.85546875" style="8"/>
    <col min="3824" max="3824" width="18.7109375" style="8" customWidth="1"/>
    <col min="3825" max="3825" width="1.7109375" style="8" customWidth="1"/>
    <col min="3826" max="3826" width="0.85546875" style="8" customWidth="1"/>
    <col min="3827" max="3847" width="0" style="8" hidden="1" customWidth="1"/>
    <col min="3848" max="3859" width="8.7109375" style="8" customWidth="1"/>
    <col min="3860" max="3863" width="0" style="8" hidden="1" customWidth="1"/>
    <col min="3864" max="3864" width="45.140625" style="8" customWidth="1"/>
    <col min="3865" max="3868" width="17.85546875" style="8"/>
    <col min="3869" max="3877" width="5.42578125" style="8" customWidth="1"/>
    <col min="3878" max="3882" width="6" style="8" customWidth="1"/>
    <col min="3883" max="3883" width="6.85546875" style="8" customWidth="1"/>
    <col min="3884" max="3884" width="5.42578125" style="8" customWidth="1"/>
    <col min="3885" max="4079" width="17.85546875" style="8"/>
    <col min="4080" max="4080" width="18.7109375" style="8" customWidth="1"/>
    <col min="4081" max="4081" width="1.7109375" style="8" customWidth="1"/>
    <col min="4082" max="4082" width="0.85546875" style="8" customWidth="1"/>
    <col min="4083" max="4103" width="0" style="8" hidden="1" customWidth="1"/>
    <col min="4104" max="4115" width="8.7109375" style="8" customWidth="1"/>
    <col min="4116" max="4119" width="0" style="8" hidden="1" customWidth="1"/>
    <col min="4120" max="4120" width="45.140625" style="8" customWidth="1"/>
    <col min="4121" max="4124" width="17.85546875" style="8"/>
    <col min="4125" max="4133" width="5.42578125" style="8" customWidth="1"/>
    <col min="4134" max="4138" width="6" style="8" customWidth="1"/>
    <col min="4139" max="4139" width="6.85546875" style="8" customWidth="1"/>
    <col min="4140" max="4140" width="5.42578125" style="8" customWidth="1"/>
    <col min="4141" max="4335" width="17.85546875" style="8"/>
    <col min="4336" max="4336" width="18.7109375" style="8" customWidth="1"/>
    <col min="4337" max="4337" width="1.7109375" style="8" customWidth="1"/>
    <col min="4338" max="4338" width="0.85546875" style="8" customWidth="1"/>
    <col min="4339" max="4359" width="0" style="8" hidden="1" customWidth="1"/>
    <col min="4360" max="4371" width="8.7109375" style="8" customWidth="1"/>
    <col min="4372" max="4375" width="0" style="8" hidden="1" customWidth="1"/>
    <col min="4376" max="4376" width="45.140625" style="8" customWidth="1"/>
    <col min="4377" max="4380" width="17.85546875" style="8"/>
    <col min="4381" max="4389" width="5.42578125" style="8" customWidth="1"/>
    <col min="4390" max="4394" width="6" style="8" customWidth="1"/>
    <col min="4395" max="4395" width="6.85546875" style="8" customWidth="1"/>
    <col min="4396" max="4396" width="5.42578125" style="8" customWidth="1"/>
    <col min="4397" max="4591" width="17.85546875" style="8"/>
    <col min="4592" max="4592" width="18.7109375" style="8" customWidth="1"/>
    <col min="4593" max="4593" width="1.7109375" style="8" customWidth="1"/>
    <col min="4594" max="4594" width="0.85546875" style="8" customWidth="1"/>
    <col min="4595" max="4615" width="0" style="8" hidden="1" customWidth="1"/>
    <col min="4616" max="4627" width="8.7109375" style="8" customWidth="1"/>
    <col min="4628" max="4631" width="0" style="8" hidden="1" customWidth="1"/>
    <col min="4632" max="4632" width="45.140625" style="8" customWidth="1"/>
    <col min="4633" max="4636" width="17.85546875" style="8"/>
    <col min="4637" max="4645" width="5.42578125" style="8" customWidth="1"/>
    <col min="4646" max="4650" width="6" style="8" customWidth="1"/>
    <col min="4651" max="4651" width="6.85546875" style="8" customWidth="1"/>
    <col min="4652" max="4652" width="5.42578125" style="8" customWidth="1"/>
    <col min="4653" max="4847" width="17.85546875" style="8"/>
    <col min="4848" max="4848" width="18.7109375" style="8" customWidth="1"/>
    <col min="4849" max="4849" width="1.7109375" style="8" customWidth="1"/>
    <col min="4850" max="4850" width="0.85546875" style="8" customWidth="1"/>
    <col min="4851" max="4871" width="0" style="8" hidden="1" customWidth="1"/>
    <col min="4872" max="4883" width="8.7109375" style="8" customWidth="1"/>
    <col min="4884" max="4887" width="0" style="8" hidden="1" customWidth="1"/>
    <col min="4888" max="4888" width="45.140625" style="8" customWidth="1"/>
    <col min="4889" max="4892" width="17.85546875" style="8"/>
    <col min="4893" max="4901" width="5.42578125" style="8" customWidth="1"/>
    <col min="4902" max="4906" width="6" style="8" customWidth="1"/>
    <col min="4907" max="4907" width="6.85546875" style="8" customWidth="1"/>
    <col min="4908" max="4908" width="5.42578125" style="8" customWidth="1"/>
    <col min="4909" max="5103" width="17.85546875" style="8"/>
    <col min="5104" max="5104" width="18.7109375" style="8" customWidth="1"/>
    <col min="5105" max="5105" width="1.7109375" style="8" customWidth="1"/>
    <col min="5106" max="5106" width="0.85546875" style="8" customWidth="1"/>
    <col min="5107" max="5127" width="0" style="8" hidden="1" customWidth="1"/>
    <col min="5128" max="5139" width="8.7109375" style="8" customWidth="1"/>
    <col min="5140" max="5143" width="0" style="8" hidden="1" customWidth="1"/>
    <col min="5144" max="5144" width="45.140625" style="8" customWidth="1"/>
    <col min="5145" max="5148" width="17.85546875" style="8"/>
    <col min="5149" max="5157" width="5.42578125" style="8" customWidth="1"/>
    <col min="5158" max="5162" width="6" style="8" customWidth="1"/>
    <col min="5163" max="5163" width="6.85546875" style="8" customWidth="1"/>
    <col min="5164" max="5164" width="5.42578125" style="8" customWidth="1"/>
    <col min="5165" max="5359" width="17.85546875" style="8"/>
    <col min="5360" max="5360" width="18.7109375" style="8" customWidth="1"/>
    <col min="5361" max="5361" width="1.7109375" style="8" customWidth="1"/>
    <col min="5362" max="5362" width="0.85546875" style="8" customWidth="1"/>
    <col min="5363" max="5383" width="0" style="8" hidden="1" customWidth="1"/>
    <col min="5384" max="5395" width="8.7109375" style="8" customWidth="1"/>
    <col min="5396" max="5399" width="0" style="8" hidden="1" customWidth="1"/>
    <col min="5400" max="5400" width="45.140625" style="8" customWidth="1"/>
    <col min="5401" max="5404" width="17.85546875" style="8"/>
    <col min="5405" max="5413" width="5.42578125" style="8" customWidth="1"/>
    <col min="5414" max="5418" width="6" style="8" customWidth="1"/>
    <col min="5419" max="5419" width="6.85546875" style="8" customWidth="1"/>
    <col min="5420" max="5420" width="5.42578125" style="8" customWidth="1"/>
    <col min="5421" max="5615" width="17.85546875" style="8"/>
    <col min="5616" max="5616" width="18.7109375" style="8" customWidth="1"/>
    <col min="5617" max="5617" width="1.7109375" style="8" customWidth="1"/>
    <col min="5618" max="5618" width="0.85546875" style="8" customWidth="1"/>
    <col min="5619" max="5639" width="0" style="8" hidden="1" customWidth="1"/>
    <col min="5640" max="5651" width="8.7109375" style="8" customWidth="1"/>
    <col min="5652" max="5655" width="0" style="8" hidden="1" customWidth="1"/>
    <col min="5656" max="5656" width="45.140625" style="8" customWidth="1"/>
    <col min="5657" max="5660" width="17.85546875" style="8"/>
    <col min="5661" max="5669" width="5.42578125" style="8" customWidth="1"/>
    <col min="5670" max="5674" width="6" style="8" customWidth="1"/>
    <col min="5675" max="5675" width="6.85546875" style="8" customWidth="1"/>
    <col min="5676" max="5676" width="5.42578125" style="8" customWidth="1"/>
    <col min="5677" max="5871" width="17.85546875" style="8"/>
    <col min="5872" max="5872" width="18.7109375" style="8" customWidth="1"/>
    <col min="5873" max="5873" width="1.7109375" style="8" customWidth="1"/>
    <col min="5874" max="5874" width="0.85546875" style="8" customWidth="1"/>
    <col min="5875" max="5895" width="0" style="8" hidden="1" customWidth="1"/>
    <col min="5896" max="5907" width="8.7109375" style="8" customWidth="1"/>
    <col min="5908" max="5911" width="0" style="8" hidden="1" customWidth="1"/>
    <col min="5912" max="5912" width="45.140625" style="8" customWidth="1"/>
    <col min="5913" max="5916" width="17.85546875" style="8"/>
    <col min="5917" max="5925" width="5.42578125" style="8" customWidth="1"/>
    <col min="5926" max="5930" width="6" style="8" customWidth="1"/>
    <col min="5931" max="5931" width="6.85546875" style="8" customWidth="1"/>
    <col min="5932" max="5932" width="5.42578125" style="8" customWidth="1"/>
    <col min="5933" max="6127" width="17.85546875" style="8"/>
    <col min="6128" max="6128" width="18.7109375" style="8" customWidth="1"/>
    <col min="6129" max="6129" width="1.7109375" style="8" customWidth="1"/>
    <col min="6130" max="6130" width="0.85546875" style="8" customWidth="1"/>
    <col min="6131" max="6151" width="0" style="8" hidden="1" customWidth="1"/>
    <col min="6152" max="6163" width="8.7109375" style="8" customWidth="1"/>
    <col min="6164" max="6167" width="0" style="8" hidden="1" customWidth="1"/>
    <col min="6168" max="6168" width="45.140625" style="8" customWidth="1"/>
    <col min="6169" max="6172" width="17.85546875" style="8"/>
    <col min="6173" max="6181" width="5.42578125" style="8" customWidth="1"/>
    <col min="6182" max="6186" width="6" style="8" customWidth="1"/>
    <col min="6187" max="6187" width="6.85546875" style="8" customWidth="1"/>
    <col min="6188" max="6188" width="5.42578125" style="8" customWidth="1"/>
    <col min="6189" max="6383" width="17.85546875" style="8"/>
    <col min="6384" max="6384" width="18.7109375" style="8" customWidth="1"/>
    <col min="6385" max="6385" width="1.7109375" style="8" customWidth="1"/>
    <col min="6386" max="6386" width="0.85546875" style="8" customWidth="1"/>
    <col min="6387" max="6407" width="0" style="8" hidden="1" customWidth="1"/>
    <col min="6408" max="6419" width="8.7109375" style="8" customWidth="1"/>
    <col min="6420" max="6423" width="0" style="8" hidden="1" customWidth="1"/>
    <col min="6424" max="6424" width="45.140625" style="8" customWidth="1"/>
    <col min="6425" max="6428" width="17.85546875" style="8"/>
    <col min="6429" max="6437" width="5.42578125" style="8" customWidth="1"/>
    <col min="6438" max="6442" width="6" style="8" customWidth="1"/>
    <col min="6443" max="6443" width="6.85546875" style="8" customWidth="1"/>
    <col min="6444" max="6444" width="5.42578125" style="8" customWidth="1"/>
    <col min="6445" max="6639" width="17.85546875" style="8"/>
    <col min="6640" max="6640" width="18.7109375" style="8" customWidth="1"/>
    <col min="6641" max="6641" width="1.7109375" style="8" customWidth="1"/>
    <col min="6642" max="6642" width="0.85546875" style="8" customWidth="1"/>
    <col min="6643" max="6663" width="0" style="8" hidden="1" customWidth="1"/>
    <col min="6664" max="6675" width="8.7109375" style="8" customWidth="1"/>
    <col min="6676" max="6679" width="0" style="8" hidden="1" customWidth="1"/>
    <col min="6680" max="6680" width="45.140625" style="8" customWidth="1"/>
    <col min="6681" max="6684" width="17.85546875" style="8"/>
    <col min="6685" max="6693" width="5.42578125" style="8" customWidth="1"/>
    <col min="6694" max="6698" width="6" style="8" customWidth="1"/>
    <col min="6699" max="6699" width="6.85546875" style="8" customWidth="1"/>
    <col min="6700" max="6700" width="5.42578125" style="8" customWidth="1"/>
    <col min="6701" max="6895" width="17.85546875" style="8"/>
    <col min="6896" max="6896" width="18.7109375" style="8" customWidth="1"/>
    <col min="6897" max="6897" width="1.7109375" style="8" customWidth="1"/>
    <col min="6898" max="6898" width="0.85546875" style="8" customWidth="1"/>
    <col min="6899" max="6919" width="0" style="8" hidden="1" customWidth="1"/>
    <col min="6920" max="6931" width="8.7109375" style="8" customWidth="1"/>
    <col min="6932" max="6935" width="0" style="8" hidden="1" customWidth="1"/>
    <col min="6936" max="6936" width="45.140625" style="8" customWidth="1"/>
    <col min="6937" max="6940" width="17.85546875" style="8"/>
    <col min="6941" max="6949" width="5.42578125" style="8" customWidth="1"/>
    <col min="6950" max="6954" width="6" style="8" customWidth="1"/>
    <col min="6955" max="6955" width="6.85546875" style="8" customWidth="1"/>
    <col min="6956" max="6956" width="5.42578125" style="8" customWidth="1"/>
    <col min="6957" max="7151" width="17.85546875" style="8"/>
    <col min="7152" max="7152" width="18.7109375" style="8" customWidth="1"/>
    <col min="7153" max="7153" width="1.7109375" style="8" customWidth="1"/>
    <col min="7154" max="7154" width="0.85546875" style="8" customWidth="1"/>
    <col min="7155" max="7175" width="0" style="8" hidden="1" customWidth="1"/>
    <col min="7176" max="7187" width="8.7109375" style="8" customWidth="1"/>
    <col min="7188" max="7191" width="0" style="8" hidden="1" customWidth="1"/>
    <col min="7192" max="7192" width="45.140625" style="8" customWidth="1"/>
    <col min="7193" max="7196" width="17.85546875" style="8"/>
    <col min="7197" max="7205" width="5.42578125" style="8" customWidth="1"/>
    <col min="7206" max="7210" width="6" style="8" customWidth="1"/>
    <col min="7211" max="7211" width="6.85546875" style="8" customWidth="1"/>
    <col min="7212" max="7212" width="5.42578125" style="8" customWidth="1"/>
    <col min="7213" max="7407" width="17.85546875" style="8"/>
    <col min="7408" max="7408" width="18.7109375" style="8" customWidth="1"/>
    <col min="7409" max="7409" width="1.7109375" style="8" customWidth="1"/>
    <col min="7410" max="7410" width="0.85546875" style="8" customWidth="1"/>
    <col min="7411" max="7431" width="0" style="8" hidden="1" customWidth="1"/>
    <col min="7432" max="7443" width="8.7109375" style="8" customWidth="1"/>
    <col min="7444" max="7447" width="0" style="8" hidden="1" customWidth="1"/>
    <col min="7448" max="7448" width="45.140625" style="8" customWidth="1"/>
    <col min="7449" max="7452" width="17.85546875" style="8"/>
    <col min="7453" max="7461" width="5.42578125" style="8" customWidth="1"/>
    <col min="7462" max="7466" width="6" style="8" customWidth="1"/>
    <col min="7467" max="7467" width="6.85546875" style="8" customWidth="1"/>
    <col min="7468" max="7468" width="5.42578125" style="8" customWidth="1"/>
    <col min="7469" max="7663" width="17.85546875" style="8"/>
    <col min="7664" max="7664" width="18.7109375" style="8" customWidth="1"/>
    <col min="7665" max="7665" width="1.7109375" style="8" customWidth="1"/>
    <col min="7666" max="7666" width="0.85546875" style="8" customWidth="1"/>
    <col min="7667" max="7687" width="0" style="8" hidden="1" customWidth="1"/>
    <col min="7688" max="7699" width="8.7109375" style="8" customWidth="1"/>
    <col min="7700" max="7703" width="0" style="8" hidden="1" customWidth="1"/>
    <col min="7704" max="7704" width="45.140625" style="8" customWidth="1"/>
    <col min="7705" max="7708" width="17.85546875" style="8"/>
    <col min="7709" max="7717" width="5.42578125" style="8" customWidth="1"/>
    <col min="7718" max="7722" width="6" style="8" customWidth="1"/>
    <col min="7723" max="7723" width="6.85546875" style="8" customWidth="1"/>
    <col min="7724" max="7724" width="5.42578125" style="8" customWidth="1"/>
    <col min="7725" max="7919" width="17.85546875" style="8"/>
    <col min="7920" max="7920" width="18.7109375" style="8" customWidth="1"/>
    <col min="7921" max="7921" width="1.7109375" style="8" customWidth="1"/>
    <col min="7922" max="7922" width="0.85546875" style="8" customWidth="1"/>
    <col min="7923" max="7943" width="0" style="8" hidden="1" customWidth="1"/>
    <col min="7944" max="7955" width="8.7109375" style="8" customWidth="1"/>
    <col min="7956" max="7959" width="0" style="8" hidden="1" customWidth="1"/>
    <col min="7960" max="7960" width="45.140625" style="8" customWidth="1"/>
    <col min="7961" max="7964" width="17.85546875" style="8"/>
    <col min="7965" max="7973" width="5.42578125" style="8" customWidth="1"/>
    <col min="7974" max="7978" width="6" style="8" customWidth="1"/>
    <col min="7979" max="7979" width="6.85546875" style="8" customWidth="1"/>
    <col min="7980" max="7980" width="5.42578125" style="8" customWidth="1"/>
    <col min="7981" max="8175" width="17.85546875" style="8"/>
    <col min="8176" max="8176" width="18.7109375" style="8" customWidth="1"/>
    <col min="8177" max="8177" width="1.7109375" style="8" customWidth="1"/>
    <col min="8178" max="8178" width="0.85546875" style="8" customWidth="1"/>
    <col min="8179" max="8199" width="0" style="8" hidden="1" customWidth="1"/>
    <col min="8200" max="8211" width="8.7109375" style="8" customWidth="1"/>
    <col min="8212" max="8215" width="0" style="8" hidden="1" customWidth="1"/>
    <col min="8216" max="8216" width="45.140625" style="8" customWidth="1"/>
    <col min="8217" max="8220" width="17.85546875" style="8"/>
    <col min="8221" max="8229" width="5.42578125" style="8" customWidth="1"/>
    <col min="8230" max="8234" width="6" style="8" customWidth="1"/>
    <col min="8235" max="8235" width="6.85546875" style="8" customWidth="1"/>
    <col min="8236" max="8236" width="5.42578125" style="8" customWidth="1"/>
    <col min="8237" max="8431" width="17.85546875" style="8"/>
    <col min="8432" max="8432" width="18.7109375" style="8" customWidth="1"/>
    <col min="8433" max="8433" width="1.7109375" style="8" customWidth="1"/>
    <col min="8434" max="8434" width="0.85546875" style="8" customWidth="1"/>
    <col min="8435" max="8455" width="0" style="8" hidden="1" customWidth="1"/>
    <col min="8456" max="8467" width="8.7109375" style="8" customWidth="1"/>
    <col min="8468" max="8471" width="0" style="8" hidden="1" customWidth="1"/>
    <col min="8472" max="8472" width="45.140625" style="8" customWidth="1"/>
    <col min="8473" max="8476" width="17.85546875" style="8"/>
    <col min="8477" max="8485" width="5.42578125" style="8" customWidth="1"/>
    <col min="8486" max="8490" width="6" style="8" customWidth="1"/>
    <col min="8491" max="8491" width="6.85546875" style="8" customWidth="1"/>
    <col min="8492" max="8492" width="5.42578125" style="8" customWidth="1"/>
    <col min="8493" max="8687" width="17.85546875" style="8"/>
    <col min="8688" max="8688" width="18.7109375" style="8" customWidth="1"/>
    <col min="8689" max="8689" width="1.7109375" style="8" customWidth="1"/>
    <col min="8690" max="8690" width="0.85546875" style="8" customWidth="1"/>
    <col min="8691" max="8711" width="0" style="8" hidden="1" customWidth="1"/>
    <col min="8712" max="8723" width="8.7109375" style="8" customWidth="1"/>
    <col min="8724" max="8727" width="0" style="8" hidden="1" customWidth="1"/>
    <col min="8728" max="8728" width="45.140625" style="8" customWidth="1"/>
    <col min="8729" max="8732" width="17.85546875" style="8"/>
    <col min="8733" max="8741" width="5.42578125" style="8" customWidth="1"/>
    <col min="8742" max="8746" width="6" style="8" customWidth="1"/>
    <col min="8747" max="8747" width="6.85546875" style="8" customWidth="1"/>
    <col min="8748" max="8748" width="5.42578125" style="8" customWidth="1"/>
    <col min="8749" max="8943" width="17.85546875" style="8"/>
    <col min="8944" max="8944" width="18.7109375" style="8" customWidth="1"/>
    <col min="8945" max="8945" width="1.7109375" style="8" customWidth="1"/>
    <col min="8946" max="8946" width="0.85546875" style="8" customWidth="1"/>
    <col min="8947" max="8967" width="0" style="8" hidden="1" customWidth="1"/>
    <col min="8968" max="8979" width="8.7109375" style="8" customWidth="1"/>
    <col min="8980" max="8983" width="0" style="8" hidden="1" customWidth="1"/>
    <col min="8984" max="8984" width="45.140625" style="8" customWidth="1"/>
    <col min="8985" max="8988" width="17.85546875" style="8"/>
    <col min="8989" max="8997" width="5.42578125" style="8" customWidth="1"/>
    <col min="8998" max="9002" width="6" style="8" customWidth="1"/>
    <col min="9003" max="9003" width="6.85546875" style="8" customWidth="1"/>
    <col min="9004" max="9004" width="5.42578125" style="8" customWidth="1"/>
    <col min="9005" max="9199" width="17.85546875" style="8"/>
    <col min="9200" max="9200" width="18.7109375" style="8" customWidth="1"/>
    <col min="9201" max="9201" width="1.7109375" style="8" customWidth="1"/>
    <col min="9202" max="9202" width="0.85546875" style="8" customWidth="1"/>
    <col min="9203" max="9223" width="0" style="8" hidden="1" customWidth="1"/>
    <col min="9224" max="9235" width="8.7109375" style="8" customWidth="1"/>
    <col min="9236" max="9239" width="0" style="8" hidden="1" customWidth="1"/>
    <col min="9240" max="9240" width="45.140625" style="8" customWidth="1"/>
    <col min="9241" max="9244" width="17.85546875" style="8"/>
    <col min="9245" max="9253" width="5.42578125" style="8" customWidth="1"/>
    <col min="9254" max="9258" width="6" style="8" customWidth="1"/>
    <col min="9259" max="9259" width="6.85546875" style="8" customWidth="1"/>
    <col min="9260" max="9260" width="5.42578125" style="8" customWidth="1"/>
    <col min="9261" max="9455" width="17.85546875" style="8"/>
    <col min="9456" max="9456" width="18.7109375" style="8" customWidth="1"/>
    <col min="9457" max="9457" width="1.7109375" style="8" customWidth="1"/>
    <col min="9458" max="9458" width="0.85546875" style="8" customWidth="1"/>
    <col min="9459" max="9479" width="0" style="8" hidden="1" customWidth="1"/>
    <col min="9480" max="9491" width="8.7109375" style="8" customWidth="1"/>
    <col min="9492" max="9495" width="0" style="8" hidden="1" customWidth="1"/>
    <col min="9496" max="9496" width="45.140625" style="8" customWidth="1"/>
    <col min="9497" max="9500" width="17.85546875" style="8"/>
    <col min="9501" max="9509" width="5.42578125" style="8" customWidth="1"/>
    <col min="9510" max="9514" width="6" style="8" customWidth="1"/>
    <col min="9515" max="9515" width="6.85546875" style="8" customWidth="1"/>
    <col min="9516" max="9516" width="5.42578125" style="8" customWidth="1"/>
    <col min="9517" max="9711" width="17.85546875" style="8"/>
    <col min="9712" max="9712" width="18.7109375" style="8" customWidth="1"/>
    <col min="9713" max="9713" width="1.7109375" style="8" customWidth="1"/>
    <col min="9714" max="9714" width="0.85546875" style="8" customWidth="1"/>
    <col min="9715" max="9735" width="0" style="8" hidden="1" customWidth="1"/>
    <col min="9736" max="9747" width="8.7109375" style="8" customWidth="1"/>
    <col min="9748" max="9751" width="0" style="8" hidden="1" customWidth="1"/>
    <col min="9752" max="9752" width="45.140625" style="8" customWidth="1"/>
    <col min="9753" max="9756" width="17.85546875" style="8"/>
    <col min="9757" max="9765" width="5.42578125" style="8" customWidth="1"/>
    <col min="9766" max="9770" width="6" style="8" customWidth="1"/>
    <col min="9771" max="9771" width="6.85546875" style="8" customWidth="1"/>
    <col min="9772" max="9772" width="5.42578125" style="8" customWidth="1"/>
    <col min="9773" max="9967" width="17.85546875" style="8"/>
    <col min="9968" max="9968" width="18.7109375" style="8" customWidth="1"/>
    <col min="9969" max="9969" width="1.7109375" style="8" customWidth="1"/>
    <col min="9970" max="9970" width="0.85546875" style="8" customWidth="1"/>
    <col min="9971" max="9991" width="0" style="8" hidden="1" customWidth="1"/>
    <col min="9992" max="10003" width="8.7109375" style="8" customWidth="1"/>
    <col min="10004" max="10007" width="0" style="8" hidden="1" customWidth="1"/>
    <col min="10008" max="10008" width="45.140625" style="8" customWidth="1"/>
    <col min="10009" max="10012" width="17.85546875" style="8"/>
    <col min="10013" max="10021" width="5.42578125" style="8" customWidth="1"/>
    <col min="10022" max="10026" width="6" style="8" customWidth="1"/>
    <col min="10027" max="10027" width="6.85546875" style="8" customWidth="1"/>
    <col min="10028" max="10028" width="5.42578125" style="8" customWidth="1"/>
    <col min="10029" max="10223" width="17.85546875" style="8"/>
    <col min="10224" max="10224" width="18.7109375" style="8" customWidth="1"/>
    <col min="10225" max="10225" width="1.7109375" style="8" customWidth="1"/>
    <col min="10226" max="10226" width="0.85546875" style="8" customWidth="1"/>
    <col min="10227" max="10247" width="0" style="8" hidden="1" customWidth="1"/>
    <col min="10248" max="10259" width="8.7109375" style="8" customWidth="1"/>
    <col min="10260" max="10263" width="0" style="8" hidden="1" customWidth="1"/>
    <col min="10264" max="10264" width="45.140625" style="8" customWidth="1"/>
    <col min="10265" max="10268" width="17.85546875" style="8"/>
    <col min="10269" max="10277" width="5.42578125" style="8" customWidth="1"/>
    <col min="10278" max="10282" width="6" style="8" customWidth="1"/>
    <col min="10283" max="10283" width="6.85546875" style="8" customWidth="1"/>
    <col min="10284" max="10284" width="5.42578125" style="8" customWidth="1"/>
    <col min="10285" max="10479" width="17.85546875" style="8"/>
    <col min="10480" max="10480" width="18.7109375" style="8" customWidth="1"/>
    <col min="10481" max="10481" width="1.7109375" style="8" customWidth="1"/>
    <col min="10482" max="10482" width="0.85546875" style="8" customWidth="1"/>
    <col min="10483" max="10503" width="0" style="8" hidden="1" customWidth="1"/>
    <col min="10504" max="10515" width="8.7109375" style="8" customWidth="1"/>
    <col min="10516" max="10519" width="0" style="8" hidden="1" customWidth="1"/>
    <col min="10520" max="10520" width="45.140625" style="8" customWidth="1"/>
    <col min="10521" max="10524" width="17.85546875" style="8"/>
    <col min="10525" max="10533" width="5.42578125" style="8" customWidth="1"/>
    <col min="10534" max="10538" width="6" style="8" customWidth="1"/>
    <col min="10539" max="10539" width="6.85546875" style="8" customWidth="1"/>
    <col min="10540" max="10540" width="5.42578125" style="8" customWidth="1"/>
    <col min="10541" max="10735" width="17.85546875" style="8"/>
    <col min="10736" max="10736" width="18.7109375" style="8" customWidth="1"/>
    <col min="10737" max="10737" width="1.7109375" style="8" customWidth="1"/>
    <col min="10738" max="10738" width="0.85546875" style="8" customWidth="1"/>
    <col min="10739" max="10759" width="0" style="8" hidden="1" customWidth="1"/>
    <col min="10760" max="10771" width="8.7109375" style="8" customWidth="1"/>
    <col min="10772" max="10775" width="0" style="8" hidden="1" customWidth="1"/>
    <col min="10776" max="10776" width="45.140625" style="8" customWidth="1"/>
    <col min="10777" max="10780" width="17.85546875" style="8"/>
    <col min="10781" max="10789" width="5.42578125" style="8" customWidth="1"/>
    <col min="10790" max="10794" width="6" style="8" customWidth="1"/>
    <col min="10795" max="10795" width="6.85546875" style="8" customWidth="1"/>
    <col min="10796" max="10796" width="5.42578125" style="8" customWidth="1"/>
    <col min="10797" max="10991" width="17.85546875" style="8"/>
    <col min="10992" max="10992" width="18.7109375" style="8" customWidth="1"/>
    <col min="10993" max="10993" width="1.7109375" style="8" customWidth="1"/>
    <col min="10994" max="10994" width="0.85546875" style="8" customWidth="1"/>
    <col min="10995" max="11015" width="0" style="8" hidden="1" customWidth="1"/>
    <col min="11016" max="11027" width="8.7109375" style="8" customWidth="1"/>
    <col min="11028" max="11031" width="0" style="8" hidden="1" customWidth="1"/>
    <col min="11032" max="11032" width="45.140625" style="8" customWidth="1"/>
    <col min="11033" max="11036" width="17.85546875" style="8"/>
    <col min="11037" max="11045" width="5.42578125" style="8" customWidth="1"/>
    <col min="11046" max="11050" width="6" style="8" customWidth="1"/>
    <col min="11051" max="11051" width="6.85546875" style="8" customWidth="1"/>
    <col min="11052" max="11052" width="5.42578125" style="8" customWidth="1"/>
    <col min="11053" max="11247" width="17.85546875" style="8"/>
    <col min="11248" max="11248" width="18.7109375" style="8" customWidth="1"/>
    <col min="11249" max="11249" width="1.7109375" style="8" customWidth="1"/>
    <col min="11250" max="11250" width="0.85546875" style="8" customWidth="1"/>
    <col min="11251" max="11271" width="0" style="8" hidden="1" customWidth="1"/>
    <col min="11272" max="11283" width="8.7109375" style="8" customWidth="1"/>
    <col min="11284" max="11287" width="0" style="8" hidden="1" customWidth="1"/>
    <col min="11288" max="11288" width="45.140625" style="8" customWidth="1"/>
    <col min="11289" max="11292" width="17.85546875" style="8"/>
    <col min="11293" max="11301" width="5.42578125" style="8" customWidth="1"/>
    <col min="11302" max="11306" width="6" style="8" customWidth="1"/>
    <col min="11307" max="11307" width="6.85546875" style="8" customWidth="1"/>
    <col min="11308" max="11308" width="5.42578125" style="8" customWidth="1"/>
    <col min="11309" max="11503" width="17.85546875" style="8"/>
    <col min="11504" max="11504" width="18.7109375" style="8" customWidth="1"/>
    <col min="11505" max="11505" width="1.7109375" style="8" customWidth="1"/>
    <col min="11506" max="11506" width="0.85546875" style="8" customWidth="1"/>
    <col min="11507" max="11527" width="0" style="8" hidden="1" customWidth="1"/>
    <col min="11528" max="11539" width="8.7109375" style="8" customWidth="1"/>
    <col min="11540" max="11543" width="0" style="8" hidden="1" customWidth="1"/>
    <col min="11544" max="11544" width="45.140625" style="8" customWidth="1"/>
    <col min="11545" max="11548" width="17.85546875" style="8"/>
    <col min="11549" max="11557" width="5.42578125" style="8" customWidth="1"/>
    <col min="11558" max="11562" width="6" style="8" customWidth="1"/>
    <col min="11563" max="11563" width="6.85546875" style="8" customWidth="1"/>
    <col min="11564" max="11564" width="5.42578125" style="8" customWidth="1"/>
    <col min="11565" max="11759" width="17.85546875" style="8"/>
    <col min="11760" max="11760" width="18.7109375" style="8" customWidth="1"/>
    <col min="11761" max="11761" width="1.7109375" style="8" customWidth="1"/>
    <col min="11762" max="11762" width="0.85546875" style="8" customWidth="1"/>
    <col min="11763" max="11783" width="0" style="8" hidden="1" customWidth="1"/>
    <col min="11784" max="11795" width="8.7109375" style="8" customWidth="1"/>
    <col min="11796" max="11799" width="0" style="8" hidden="1" customWidth="1"/>
    <col min="11800" max="11800" width="45.140625" style="8" customWidth="1"/>
    <col min="11801" max="11804" width="17.85546875" style="8"/>
    <col min="11805" max="11813" width="5.42578125" style="8" customWidth="1"/>
    <col min="11814" max="11818" width="6" style="8" customWidth="1"/>
    <col min="11819" max="11819" width="6.85546875" style="8" customWidth="1"/>
    <col min="11820" max="11820" width="5.42578125" style="8" customWidth="1"/>
    <col min="11821" max="12015" width="17.85546875" style="8"/>
    <col min="12016" max="12016" width="18.7109375" style="8" customWidth="1"/>
    <col min="12017" max="12017" width="1.7109375" style="8" customWidth="1"/>
    <col min="12018" max="12018" width="0.85546875" style="8" customWidth="1"/>
    <col min="12019" max="12039" width="0" style="8" hidden="1" customWidth="1"/>
    <col min="12040" max="12051" width="8.7109375" style="8" customWidth="1"/>
    <col min="12052" max="12055" width="0" style="8" hidden="1" customWidth="1"/>
    <col min="12056" max="12056" width="45.140625" style="8" customWidth="1"/>
    <col min="12057" max="12060" width="17.85546875" style="8"/>
    <col min="12061" max="12069" width="5.42578125" style="8" customWidth="1"/>
    <col min="12070" max="12074" width="6" style="8" customWidth="1"/>
    <col min="12075" max="12075" width="6.85546875" style="8" customWidth="1"/>
    <col min="12076" max="12076" width="5.42578125" style="8" customWidth="1"/>
    <col min="12077" max="12271" width="17.85546875" style="8"/>
    <col min="12272" max="12272" width="18.7109375" style="8" customWidth="1"/>
    <col min="12273" max="12273" width="1.7109375" style="8" customWidth="1"/>
    <col min="12274" max="12274" width="0.85546875" style="8" customWidth="1"/>
    <col min="12275" max="12295" width="0" style="8" hidden="1" customWidth="1"/>
    <col min="12296" max="12307" width="8.7109375" style="8" customWidth="1"/>
    <col min="12308" max="12311" width="0" style="8" hidden="1" customWidth="1"/>
    <col min="12312" max="12312" width="45.140625" style="8" customWidth="1"/>
    <col min="12313" max="12316" width="17.85546875" style="8"/>
    <col min="12317" max="12325" width="5.42578125" style="8" customWidth="1"/>
    <col min="12326" max="12330" width="6" style="8" customWidth="1"/>
    <col min="12331" max="12331" width="6.85546875" style="8" customWidth="1"/>
    <col min="12332" max="12332" width="5.42578125" style="8" customWidth="1"/>
    <col min="12333" max="12527" width="17.85546875" style="8"/>
    <col min="12528" max="12528" width="18.7109375" style="8" customWidth="1"/>
    <col min="12529" max="12529" width="1.7109375" style="8" customWidth="1"/>
    <col min="12530" max="12530" width="0.85546875" style="8" customWidth="1"/>
    <col min="12531" max="12551" width="0" style="8" hidden="1" customWidth="1"/>
    <col min="12552" max="12563" width="8.7109375" style="8" customWidth="1"/>
    <col min="12564" max="12567" width="0" style="8" hidden="1" customWidth="1"/>
    <col min="12568" max="12568" width="45.140625" style="8" customWidth="1"/>
    <col min="12569" max="12572" width="17.85546875" style="8"/>
    <col min="12573" max="12581" width="5.42578125" style="8" customWidth="1"/>
    <col min="12582" max="12586" width="6" style="8" customWidth="1"/>
    <col min="12587" max="12587" width="6.85546875" style="8" customWidth="1"/>
    <col min="12588" max="12588" width="5.42578125" style="8" customWidth="1"/>
    <col min="12589" max="12783" width="17.85546875" style="8"/>
    <col min="12784" max="12784" width="18.7109375" style="8" customWidth="1"/>
    <col min="12785" max="12785" width="1.7109375" style="8" customWidth="1"/>
    <col min="12786" max="12786" width="0.85546875" style="8" customWidth="1"/>
    <col min="12787" max="12807" width="0" style="8" hidden="1" customWidth="1"/>
    <col min="12808" max="12819" width="8.7109375" style="8" customWidth="1"/>
    <col min="12820" max="12823" width="0" style="8" hidden="1" customWidth="1"/>
    <col min="12824" max="12824" width="45.140625" style="8" customWidth="1"/>
    <col min="12825" max="12828" width="17.85546875" style="8"/>
    <col min="12829" max="12837" width="5.42578125" style="8" customWidth="1"/>
    <col min="12838" max="12842" width="6" style="8" customWidth="1"/>
    <col min="12843" max="12843" width="6.85546875" style="8" customWidth="1"/>
    <col min="12844" max="12844" width="5.42578125" style="8" customWidth="1"/>
    <col min="12845" max="13039" width="17.85546875" style="8"/>
    <col min="13040" max="13040" width="18.7109375" style="8" customWidth="1"/>
    <col min="13041" max="13041" width="1.7109375" style="8" customWidth="1"/>
    <col min="13042" max="13042" width="0.85546875" style="8" customWidth="1"/>
    <col min="13043" max="13063" width="0" style="8" hidden="1" customWidth="1"/>
    <col min="13064" max="13075" width="8.7109375" style="8" customWidth="1"/>
    <col min="13076" max="13079" width="0" style="8" hidden="1" customWidth="1"/>
    <col min="13080" max="13080" width="45.140625" style="8" customWidth="1"/>
    <col min="13081" max="13084" width="17.85546875" style="8"/>
    <col min="13085" max="13093" width="5.42578125" style="8" customWidth="1"/>
    <col min="13094" max="13098" width="6" style="8" customWidth="1"/>
    <col min="13099" max="13099" width="6.85546875" style="8" customWidth="1"/>
    <col min="13100" max="13100" width="5.42578125" style="8" customWidth="1"/>
    <col min="13101" max="13295" width="17.85546875" style="8"/>
    <col min="13296" max="13296" width="18.7109375" style="8" customWidth="1"/>
    <col min="13297" max="13297" width="1.7109375" style="8" customWidth="1"/>
    <col min="13298" max="13298" width="0.85546875" style="8" customWidth="1"/>
    <col min="13299" max="13319" width="0" style="8" hidden="1" customWidth="1"/>
    <col min="13320" max="13331" width="8.7109375" style="8" customWidth="1"/>
    <col min="13332" max="13335" width="0" style="8" hidden="1" customWidth="1"/>
    <col min="13336" max="13336" width="45.140625" style="8" customWidth="1"/>
    <col min="13337" max="13340" width="17.85546875" style="8"/>
    <col min="13341" max="13349" width="5.42578125" style="8" customWidth="1"/>
    <col min="13350" max="13354" width="6" style="8" customWidth="1"/>
    <col min="13355" max="13355" width="6.85546875" style="8" customWidth="1"/>
    <col min="13356" max="13356" width="5.42578125" style="8" customWidth="1"/>
    <col min="13357" max="13551" width="17.85546875" style="8"/>
    <col min="13552" max="13552" width="18.7109375" style="8" customWidth="1"/>
    <col min="13553" max="13553" width="1.7109375" style="8" customWidth="1"/>
    <col min="13554" max="13554" width="0.85546875" style="8" customWidth="1"/>
    <col min="13555" max="13575" width="0" style="8" hidden="1" customWidth="1"/>
    <col min="13576" max="13587" width="8.7109375" style="8" customWidth="1"/>
    <col min="13588" max="13591" width="0" style="8" hidden="1" customWidth="1"/>
    <col min="13592" max="13592" width="45.140625" style="8" customWidth="1"/>
    <col min="13593" max="13596" width="17.85546875" style="8"/>
    <col min="13597" max="13605" width="5.42578125" style="8" customWidth="1"/>
    <col min="13606" max="13610" width="6" style="8" customWidth="1"/>
    <col min="13611" max="13611" width="6.85546875" style="8" customWidth="1"/>
    <col min="13612" max="13612" width="5.42578125" style="8" customWidth="1"/>
    <col min="13613" max="13807" width="17.85546875" style="8"/>
    <col min="13808" max="13808" width="18.7109375" style="8" customWidth="1"/>
    <col min="13809" max="13809" width="1.7109375" style="8" customWidth="1"/>
    <col min="13810" max="13810" width="0.85546875" style="8" customWidth="1"/>
    <col min="13811" max="13831" width="0" style="8" hidden="1" customWidth="1"/>
    <col min="13832" max="13843" width="8.7109375" style="8" customWidth="1"/>
    <col min="13844" max="13847" width="0" style="8" hidden="1" customWidth="1"/>
    <col min="13848" max="13848" width="45.140625" style="8" customWidth="1"/>
    <col min="13849" max="13852" width="17.85546875" style="8"/>
    <col min="13853" max="13861" width="5.42578125" style="8" customWidth="1"/>
    <col min="13862" max="13866" width="6" style="8" customWidth="1"/>
    <col min="13867" max="13867" width="6.85546875" style="8" customWidth="1"/>
    <col min="13868" max="13868" width="5.42578125" style="8" customWidth="1"/>
    <col min="13869" max="14063" width="17.85546875" style="8"/>
    <col min="14064" max="14064" width="18.7109375" style="8" customWidth="1"/>
    <col min="14065" max="14065" width="1.7109375" style="8" customWidth="1"/>
    <col min="14066" max="14066" width="0.85546875" style="8" customWidth="1"/>
    <col min="14067" max="14087" width="0" style="8" hidden="1" customWidth="1"/>
    <col min="14088" max="14099" width="8.7109375" style="8" customWidth="1"/>
    <col min="14100" max="14103" width="0" style="8" hidden="1" customWidth="1"/>
    <col min="14104" max="14104" width="45.140625" style="8" customWidth="1"/>
    <col min="14105" max="14108" width="17.85546875" style="8"/>
    <col min="14109" max="14117" width="5.42578125" style="8" customWidth="1"/>
    <col min="14118" max="14122" width="6" style="8" customWidth="1"/>
    <col min="14123" max="14123" width="6.85546875" style="8" customWidth="1"/>
    <col min="14124" max="14124" width="5.42578125" style="8" customWidth="1"/>
    <col min="14125" max="14319" width="17.85546875" style="8"/>
    <col min="14320" max="14320" width="18.7109375" style="8" customWidth="1"/>
    <col min="14321" max="14321" width="1.7109375" style="8" customWidth="1"/>
    <col min="14322" max="14322" width="0.85546875" style="8" customWidth="1"/>
    <col min="14323" max="14343" width="0" style="8" hidden="1" customWidth="1"/>
    <col min="14344" max="14355" width="8.7109375" style="8" customWidth="1"/>
    <col min="14356" max="14359" width="0" style="8" hidden="1" customWidth="1"/>
    <col min="14360" max="14360" width="45.140625" style="8" customWidth="1"/>
    <col min="14361" max="14364" width="17.85546875" style="8"/>
    <col min="14365" max="14373" width="5.42578125" style="8" customWidth="1"/>
    <col min="14374" max="14378" width="6" style="8" customWidth="1"/>
    <col min="14379" max="14379" width="6.85546875" style="8" customWidth="1"/>
    <col min="14380" max="14380" width="5.42578125" style="8" customWidth="1"/>
    <col min="14381" max="14575" width="17.85546875" style="8"/>
    <col min="14576" max="14576" width="18.7109375" style="8" customWidth="1"/>
    <col min="14577" max="14577" width="1.7109375" style="8" customWidth="1"/>
    <col min="14578" max="14578" width="0.85546875" style="8" customWidth="1"/>
    <col min="14579" max="14599" width="0" style="8" hidden="1" customWidth="1"/>
    <col min="14600" max="14611" width="8.7109375" style="8" customWidth="1"/>
    <col min="14612" max="14615" width="0" style="8" hidden="1" customWidth="1"/>
    <col min="14616" max="14616" width="45.140625" style="8" customWidth="1"/>
    <col min="14617" max="14620" width="17.85546875" style="8"/>
    <col min="14621" max="14629" width="5.42578125" style="8" customWidth="1"/>
    <col min="14630" max="14634" width="6" style="8" customWidth="1"/>
    <col min="14635" max="14635" width="6.85546875" style="8" customWidth="1"/>
    <col min="14636" max="14636" width="5.42578125" style="8" customWidth="1"/>
    <col min="14637" max="14831" width="17.85546875" style="8"/>
    <col min="14832" max="14832" width="18.7109375" style="8" customWidth="1"/>
    <col min="14833" max="14833" width="1.7109375" style="8" customWidth="1"/>
    <col min="14834" max="14834" width="0.85546875" style="8" customWidth="1"/>
    <col min="14835" max="14855" width="0" style="8" hidden="1" customWidth="1"/>
    <col min="14856" max="14867" width="8.7109375" style="8" customWidth="1"/>
    <col min="14868" max="14871" width="0" style="8" hidden="1" customWidth="1"/>
    <col min="14872" max="14872" width="45.140625" style="8" customWidth="1"/>
    <col min="14873" max="14876" width="17.85546875" style="8"/>
    <col min="14877" max="14885" width="5.42578125" style="8" customWidth="1"/>
    <col min="14886" max="14890" width="6" style="8" customWidth="1"/>
    <col min="14891" max="14891" width="6.85546875" style="8" customWidth="1"/>
    <col min="14892" max="14892" width="5.42578125" style="8" customWidth="1"/>
    <col min="14893" max="15087" width="17.85546875" style="8"/>
    <col min="15088" max="15088" width="18.7109375" style="8" customWidth="1"/>
    <col min="15089" max="15089" width="1.7109375" style="8" customWidth="1"/>
    <col min="15090" max="15090" width="0.85546875" style="8" customWidth="1"/>
    <col min="15091" max="15111" width="0" style="8" hidden="1" customWidth="1"/>
    <col min="15112" max="15123" width="8.7109375" style="8" customWidth="1"/>
    <col min="15124" max="15127" width="0" style="8" hidden="1" customWidth="1"/>
    <col min="15128" max="15128" width="45.140625" style="8" customWidth="1"/>
    <col min="15129" max="15132" width="17.85546875" style="8"/>
    <col min="15133" max="15141" width="5.42578125" style="8" customWidth="1"/>
    <col min="15142" max="15146" width="6" style="8" customWidth="1"/>
    <col min="15147" max="15147" width="6.85546875" style="8" customWidth="1"/>
    <col min="15148" max="15148" width="5.42578125" style="8" customWidth="1"/>
    <col min="15149" max="15343" width="17.85546875" style="8"/>
    <col min="15344" max="15344" width="18.7109375" style="8" customWidth="1"/>
    <col min="15345" max="15345" width="1.7109375" style="8" customWidth="1"/>
    <col min="15346" max="15346" width="0.85546875" style="8" customWidth="1"/>
    <col min="15347" max="15367" width="0" style="8" hidden="1" customWidth="1"/>
    <col min="15368" max="15379" width="8.7109375" style="8" customWidth="1"/>
    <col min="15380" max="15383" width="0" style="8" hidden="1" customWidth="1"/>
    <col min="15384" max="15384" width="45.140625" style="8" customWidth="1"/>
    <col min="15385" max="15388" width="17.85546875" style="8"/>
    <col min="15389" max="15397" width="5.42578125" style="8" customWidth="1"/>
    <col min="15398" max="15402" width="6" style="8" customWidth="1"/>
    <col min="15403" max="15403" width="6.85546875" style="8" customWidth="1"/>
    <col min="15404" max="15404" width="5.42578125" style="8" customWidth="1"/>
    <col min="15405" max="15599" width="17.85546875" style="8"/>
    <col min="15600" max="15600" width="18.7109375" style="8" customWidth="1"/>
    <col min="15601" max="15601" width="1.7109375" style="8" customWidth="1"/>
    <col min="15602" max="15602" width="0.85546875" style="8" customWidth="1"/>
    <col min="15603" max="15623" width="0" style="8" hidden="1" customWidth="1"/>
    <col min="15624" max="15635" width="8.7109375" style="8" customWidth="1"/>
    <col min="15636" max="15639" width="0" style="8" hidden="1" customWidth="1"/>
    <col min="15640" max="15640" width="45.140625" style="8" customWidth="1"/>
    <col min="15641" max="15644" width="17.85546875" style="8"/>
    <col min="15645" max="15653" width="5.42578125" style="8" customWidth="1"/>
    <col min="15654" max="15658" width="6" style="8" customWidth="1"/>
    <col min="15659" max="15659" width="6.85546875" style="8" customWidth="1"/>
    <col min="15660" max="15660" width="5.42578125" style="8" customWidth="1"/>
    <col min="15661" max="15855" width="17.85546875" style="8"/>
    <col min="15856" max="15856" width="18.7109375" style="8" customWidth="1"/>
    <col min="15857" max="15857" width="1.7109375" style="8" customWidth="1"/>
    <col min="15858" max="15858" width="0.85546875" style="8" customWidth="1"/>
    <col min="15859" max="15879" width="0" style="8" hidden="1" customWidth="1"/>
    <col min="15880" max="15891" width="8.7109375" style="8" customWidth="1"/>
    <col min="15892" max="15895" width="0" style="8" hidden="1" customWidth="1"/>
    <col min="15896" max="15896" width="45.140625" style="8" customWidth="1"/>
    <col min="15897" max="15900" width="17.85546875" style="8"/>
    <col min="15901" max="15909" width="5.42578125" style="8" customWidth="1"/>
    <col min="15910" max="15914" width="6" style="8" customWidth="1"/>
    <col min="15915" max="15915" width="6.85546875" style="8" customWidth="1"/>
    <col min="15916" max="15916" width="5.42578125" style="8" customWidth="1"/>
    <col min="15917" max="16111" width="17.85546875" style="8"/>
    <col min="16112" max="16112" width="18.7109375" style="8" customWidth="1"/>
    <col min="16113" max="16113" width="1.7109375" style="8" customWidth="1"/>
    <col min="16114" max="16114" width="0.85546875" style="8" customWidth="1"/>
    <col min="16115" max="16135" width="0" style="8" hidden="1" customWidth="1"/>
    <col min="16136" max="16147" width="8.7109375" style="8" customWidth="1"/>
    <col min="16148" max="16151" width="0" style="8" hidden="1" customWidth="1"/>
    <col min="16152" max="16152" width="45.140625" style="8" customWidth="1"/>
    <col min="16153" max="16156" width="17.85546875" style="8"/>
    <col min="16157" max="16165" width="5.42578125" style="8" customWidth="1"/>
    <col min="16166" max="16170" width="6" style="8" customWidth="1"/>
    <col min="16171" max="16171" width="6.85546875" style="8" customWidth="1"/>
    <col min="16172" max="16172" width="5.42578125" style="8" customWidth="1"/>
    <col min="16173" max="16384" width="17.85546875" style="8"/>
  </cols>
  <sheetData>
    <row r="1" spans="1:32" ht="19.5" x14ac:dyDescent="0.2">
      <c r="A1" s="71" t="s">
        <v>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32" ht="21.75" customHeight="1" x14ac:dyDescent="0.2">
      <c r="A2" s="72" t="s">
        <v>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3" spans="1:32" s="11" customFormat="1" ht="12.75" x14ac:dyDescent="0.25">
      <c r="A3" s="73" t="s">
        <v>6</v>
      </c>
      <c r="B3" s="9"/>
      <c r="C3" s="10"/>
      <c r="D3" s="75">
        <v>2015</v>
      </c>
      <c r="E3" s="67"/>
      <c r="F3" s="67"/>
      <c r="G3" s="67"/>
      <c r="H3" s="75">
        <v>2016</v>
      </c>
      <c r="I3" s="67"/>
      <c r="J3" s="67"/>
      <c r="K3" s="67"/>
      <c r="L3" s="75">
        <v>2017</v>
      </c>
      <c r="M3" s="67"/>
      <c r="N3" s="67"/>
      <c r="O3" s="67"/>
      <c r="P3" s="68" t="s">
        <v>7</v>
      </c>
    </row>
    <row r="4" spans="1:32" s="11" customFormat="1" ht="12.75" x14ac:dyDescent="0.25">
      <c r="A4" s="74"/>
      <c r="B4" s="12"/>
      <c r="C4" s="12"/>
      <c r="D4" s="14" t="s">
        <v>0</v>
      </c>
      <c r="E4" s="13" t="s">
        <v>1</v>
      </c>
      <c r="F4" s="13" t="s">
        <v>2</v>
      </c>
      <c r="G4" s="13" t="s">
        <v>8</v>
      </c>
      <c r="H4" s="14" t="s">
        <v>0</v>
      </c>
      <c r="I4" s="13" t="s">
        <v>1</v>
      </c>
      <c r="J4" s="13" t="s">
        <v>2</v>
      </c>
      <c r="K4" s="13" t="s">
        <v>8</v>
      </c>
      <c r="L4" s="14" t="s">
        <v>0</v>
      </c>
      <c r="M4" s="13" t="s">
        <v>1</v>
      </c>
      <c r="N4" s="13" t="s">
        <v>2</v>
      </c>
      <c r="O4" s="13" t="s">
        <v>8</v>
      </c>
      <c r="P4" s="69"/>
    </row>
    <row r="5" spans="1:32" s="20" customFormat="1" ht="15.75" x14ac:dyDescent="0.25">
      <c r="A5" s="15" t="s">
        <v>9</v>
      </c>
      <c r="B5" s="16"/>
      <c r="C5" s="17"/>
      <c r="D5" s="18">
        <f>SUM(D6:D7)</f>
        <v>6986</v>
      </c>
      <c r="E5" s="17">
        <f>SUM(E6:E7)</f>
        <v>4390</v>
      </c>
      <c r="F5" s="17">
        <f>SUM(F6:F7)</f>
        <v>2223</v>
      </c>
      <c r="G5" s="17">
        <f>SUM(G6:G7)</f>
        <v>373</v>
      </c>
      <c r="H5" s="18">
        <f t="shared" ref="H5:H10" si="0">SUM(I5:K5)</f>
        <v>6756</v>
      </c>
      <c r="I5" s="17">
        <f>SUM(I6:I7)</f>
        <v>4265</v>
      </c>
      <c r="J5" s="17">
        <f>SUM(J6:J7)</f>
        <v>2147</v>
      </c>
      <c r="K5" s="17">
        <f>SUM(K6:K7)</f>
        <v>344</v>
      </c>
      <c r="L5" s="18">
        <f t="shared" ref="L5:L10" si="1">SUM(M5:O5)</f>
        <v>6723</v>
      </c>
      <c r="M5" s="17">
        <f>SUM(M6:M7)</f>
        <v>4180</v>
      </c>
      <c r="N5" s="17">
        <f>SUM(N6:N7)</f>
        <v>2194</v>
      </c>
      <c r="O5" s="17">
        <f>SUM(O6:O7)</f>
        <v>349</v>
      </c>
      <c r="P5" s="19" t="s">
        <v>10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32" s="27" customFormat="1" ht="15.75" x14ac:dyDescent="0.25">
      <c r="A6" s="21" t="s">
        <v>11</v>
      </c>
      <c r="B6" s="22"/>
      <c r="C6" s="23"/>
      <c r="D6" s="24">
        <f>SUM(E6:G6)</f>
        <v>3530</v>
      </c>
      <c r="E6" s="25">
        <v>2205</v>
      </c>
      <c r="F6" s="25">
        <v>1138</v>
      </c>
      <c r="G6" s="25">
        <v>187</v>
      </c>
      <c r="H6" s="24">
        <f t="shared" si="0"/>
        <v>3390</v>
      </c>
      <c r="I6" s="25">
        <v>2153</v>
      </c>
      <c r="J6" s="25">
        <v>1068</v>
      </c>
      <c r="K6" s="25">
        <v>169</v>
      </c>
      <c r="L6" s="24">
        <f t="shared" si="1"/>
        <v>3403</v>
      </c>
      <c r="M6" s="4">
        <v>2151</v>
      </c>
      <c r="N6" s="4">
        <v>1097</v>
      </c>
      <c r="O6" s="4">
        <v>155</v>
      </c>
      <c r="P6" s="26" t="s">
        <v>12</v>
      </c>
      <c r="Q6" s="3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32" s="27" customFormat="1" ht="15.75" x14ac:dyDescent="0.25">
      <c r="A7" s="21" t="s">
        <v>13</v>
      </c>
      <c r="B7" s="22"/>
      <c r="C7" s="23"/>
      <c r="D7" s="24">
        <f>SUM(E7:G7)</f>
        <v>3456</v>
      </c>
      <c r="E7" s="25">
        <v>2185</v>
      </c>
      <c r="F7" s="25">
        <v>1085</v>
      </c>
      <c r="G7" s="25">
        <v>186</v>
      </c>
      <c r="H7" s="24">
        <f t="shared" si="0"/>
        <v>3366</v>
      </c>
      <c r="I7" s="25">
        <v>2112</v>
      </c>
      <c r="J7" s="25">
        <v>1079</v>
      </c>
      <c r="K7" s="25">
        <v>175</v>
      </c>
      <c r="L7" s="24">
        <f t="shared" si="1"/>
        <v>3320</v>
      </c>
      <c r="M7" s="4">
        <v>2029</v>
      </c>
      <c r="N7" s="4">
        <v>1097</v>
      </c>
      <c r="O7" s="4">
        <v>194</v>
      </c>
      <c r="P7" s="26" t="s">
        <v>14</v>
      </c>
      <c r="Q7" s="3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32" s="20" customFormat="1" ht="15.75" x14ac:dyDescent="0.25">
      <c r="A8" s="28" t="s">
        <v>15</v>
      </c>
      <c r="B8" s="29"/>
      <c r="C8" s="30"/>
      <c r="D8" s="31">
        <f>SUM(D9:D10)</f>
        <v>63</v>
      </c>
      <c r="E8" s="30">
        <f>SUM(E9:E10)</f>
        <v>43</v>
      </c>
      <c r="F8" s="30">
        <f>SUM(F9:F10)</f>
        <v>13</v>
      </c>
      <c r="G8" s="30">
        <f>SUM(G9:G10)</f>
        <v>7</v>
      </c>
      <c r="H8" s="31">
        <f t="shared" si="0"/>
        <v>53</v>
      </c>
      <c r="I8" s="30">
        <f>SUM(I9:I10)</f>
        <v>35</v>
      </c>
      <c r="J8" s="30">
        <f>SUM(J9:J10)</f>
        <v>14</v>
      </c>
      <c r="K8" s="30">
        <f>SUM(K9:K10)</f>
        <v>4</v>
      </c>
      <c r="L8" s="31">
        <f t="shared" si="1"/>
        <v>64</v>
      </c>
      <c r="M8" s="30">
        <f>SUM(M9:M10)</f>
        <v>44</v>
      </c>
      <c r="N8" s="30">
        <f>SUM(N9:N10)</f>
        <v>14</v>
      </c>
      <c r="O8" s="30">
        <f>SUM(O9:O10)</f>
        <v>6</v>
      </c>
      <c r="P8" s="19" t="s">
        <v>16</v>
      </c>
      <c r="Q8" s="3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32" s="20" customFormat="1" ht="15.75" x14ac:dyDescent="0.25">
      <c r="A9" s="21" t="s">
        <v>11</v>
      </c>
      <c r="B9" s="32"/>
      <c r="C9" s="33"/>
      <c r="D9" s="34">
        <f>SUM(E9:G9)</f>
        <v>34</v>
      </c>
      <c r="E9" s="33">
        <v>25</v>
      </c>
      <c r="F9" s="33">
        <v>6</v>
      </c>
      <c r="G9" s="33">
        <v>3</v>
      </c>
      <c r="H9" s="34">
        <f t="shared" si="0"/>
        <v>21</v>
      </c>
      <c r="I9" s="33">
        <v>17</v>
      </c>
      <c r="J9" s="33">
        <v>2</v>
      </c>
      <c r="K9" s="33">
        <v>2</v>
      </c>
      <c r="L9" s="34">
        <f t="shared" si="1"/>
        <v>42</v>
      </c>
      <c r="M9" s="6">
        <v>31</v>
      </c>
      <c r="N9" s="6">
        <v>7</v>
      </c>
      <c r="O9" s="6">
        <v>4</v>
      </c>
      <c r="P9" s="26" t="s">
        <v>12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32" s="20" customFormat="1" ht="15.75" x14ac:dyDescent="0.25">
      <c r="A10" s="21" t="s">
        <v>13</v>
      </c>
      <c r="B10" s="32"/>
      <c r="C10" s="33"/>
      <c r="D10" s="34">
        <f>SUM(E10:G10)</f>
        <v>29</v>
      </c>
      <c r="E10" s="33">
        <v>18</v>
      </c>
      <c r="F10" s="33">
        <v>7</v>
      </c>
      <c r="G10" s="33">
        <v>4</v>
      </c>
      <c r="H10" s="34">
        <f t="shared" si="0"/>
        <v>32</v>
      </c>
      <c r="I10" s="33">
        <v>18</v>
      </c>
      <c r="J10" s="33">
        <v>12</v>
      </c>
      <c r="K10" s="33">
        <v>2</v>
      </c>
      <c r="L10" s="34">
        <f t="shared" si="1"/>
        <v>22</v>
      </c>
      <c r="M10" s="6">
        <v>13</v>
      </c>
      <c r="N10" s="6">
        <v>7</v>
      </c>
      <c r="O10" s="6">
        <v>2</v>
      </c>
      <c r="P10" s="26" t="s">
        <v>14</v>
      </c>
      <c r="Q10" s="3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32" s="20" customFormat="1" ht="15.75" x14ac:dyDescent="0.25">
      <c r="A11" s="28" t="s">
        <v>17</v>
      </c>
      <c r="B11" s="35"/>
      <c r="C11" s="36"/>
      <c r="D11" s="37"/>
      <c r="E11" s="36"/>
      <c r="F11" s="36"/>
      <c r="G11" s="36"/>
      <c r="H11" s="37"/>
      <c r="I11" s="36"/>
      <c r="J11" s="36"/>
      <c r="K11" s="36"/>
      <c r="L11" s="37"/>
      <c r="M11" s="36"/>
      <c r="N11" s="36"/>
      <c r="O11" s="36"/>
      <c r="P11" s="19" t="s">
        <v>18</v>
      </c>
      <c r="Q11" s="3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32" s="20" customFormat="1" ht="15.75" x14ac:dyDescent="0.25">
      <c r="A12" s="38" t="s">
        <v>19</v>
      </c>
      <c r="B12" s="35"/>
      <c r="C12" s="39"/>
      <c r="D12" s="37">
        <v>9.0180360721442892</v>
      </c>
      <c r="E12" s="36">
        <v>9.7949886104783594</v>
      </c>
      <c r="F12" s="36">
        <v>5.8479532163742682</v>
      </c>
      <c r="G12" s="36">
        <v>18.766756032171582</v>
      </c>
      <c r="H12" s="37">
        <f t="shared" ref="H12:J14" si="2">H8/H5*1000</f>
        <v>7.8448786264061576</v>
      </c>
      <c r="I12" s="36">
        <f t="shared" si="2"/>
        <v>8.2063305978898011</v>
      </c>
      <c r="J12" s="36">
        <f t="shared" si="2"/>
        <v>6.5207265952491849</v>
      </c>
      <c r="K12" s="36">
        <v>0</v>
      </c>
      <c r="L12" s="37">
        <f t="shared" ref="L12:N14" si="3">L8/L5*1000</f>
        <v>9.519559720362933</v>
      </c>
      <c r="M12" s="36">
        <f t="shared" si="3"/>
        <v>10.526315789473683</v>
      </c>
      <c r="N12" s="36">
        <f t="shared" si="3"/>
        <v>6.381039197812215</v>
      </c>
      <c r="O12" s="36">
        <v>0</v>
      </c>
      <c r="P12" s="19" t="s">
        <v>20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32" s="27" customFormat="1" ht="15.75" x14ac:dyDescent="0.25">
      <c r="A13" s="21" t="s">
        <v>11</v>
      </c>
      <c r="B13" s="40"/>
      <c r="C13" s="41"/>
      <c r="D13" s="43">
        <v>9.6317280453257794</v>
      </c>
      <c r="E13" s="42">
        <v>11.337868480725623</v>
      </c>
      <c r="F13" s="42">
        <v>5.272407732864675</v>
      </c>
      <c r="G13" s="42">
        <v>16.042780748663102</v>
      </c>
      <c r="H13" s="43">
        <f t="shared" si="2"/>
        <v>6.1946902654867255</v>
      </c>
      <c r="I13" s="42">
        <v>7.8959591267998146</v>
      </c>
      <c r="J13" s="42">
        <v>1.8726591760299625</v>
      </c>
      <c r="K13" s="42">
        <v>0</v>
      </c>
      <c r="L13" s="43">
        <f t="shared" si="3"/>
        <v>12.342051131354687</v>
      </c>
      <c r="M13" s="42">
        <f t="shared" si="3"/>
        <v>14.411901441190144</v>
      </c>
      <c r="N13" s="42">
        <f t="shared" si="3"/>
        <v>6.381039197812215</v>
      </c>
      <c r="O13" s="42">
        <v>0</v>
      </c>
      <c r="P13" s="26" t="s">
        <v>12</v>
      </c>
      <c r="Q13" s="44"/>
      <c r="R13" s="7"/>
      <c r="S13" s="7"/>
      <c r="T13" s="7"/>
      <c r="U13" s="7"/>
      <c r="V13" s="7"/>
      <c r="W13" s="7"/>
      <c r="X13" s="7"/>
      <c r="Y13" s="7"/>
      <c r="Z13" s="7"/>
      <c r="AA13" s="7"/>
      <c r="AB13" s="70"/>
    </row>
    <row r="14" spans="1:32" s="27" customFormat="1" ht="15.75" x14ac:dyDescent="0.25">
      <c r="A14" s="45" t="s">
        <v>13</v>
      </c>
      <c r="B14" s="46"/>
      <c r="C14" s="47"/>
      <c r="D14" s="49">
        <v>8.3912037037037042</v>
      </c>
      <c r="E14" s="48">
        <v>8.2379862700228834</v>
      </c>
      <c r="F14" s="48">
        <v>6.4516129032258061</v>
      </c>
      <c r="G14" s="48">
        <v>21.505376344086024</v>
      </c>
      <c r="H14" s="49">
        <f t="shared" si="2"/>
        <v>9.5068330362448012</v>
      </c>
      <c r="I14" s="48">
        <v>8.5227272727272716</v>
      </c>
      <c r="J14" s="48">
        <v>11.121408711770158</v>
      </c>
      <c r="K14" s="48">
        <v>0</v>
      </c>
      <c r="L14" s="49">
        <f t="shared" si="3"/>
        <v>6.6265060240963853</v>
      </c>
      <c r="M14" s="48">
        <f t="shared" si="3"/>
        <v>6.4070970921636272</v>
      </c>
      <c r="N14" s="48">
        <f t="shared" si="3"/>
        <v>6.381039197812215</v>
      </c>
      <c r="O14" s="48">
        <v>0</v>
      </c>
      <c r="P14" s="50" t="s">
        <v>14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0"/>
    </row>
    <row r="15" spans="1:32" s="53" customFormat="1" ht="17.25" x14ac:dyDescent="0.25">
      <c r="A15" s="51" t="s">
        <v>21</v>
      </c>
      <c r="B15" s="52"/>
      <c r="C15" s="52"/>
      <c r="D15" s="52"/>
      <c r="E15" s="52"/>
      <c r="F15" s="52"/>
      <c r="G15" s="52"/>
      <c r="P15" s="54" t="s">
        <v>22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0"/>
      <c r="AC15" s="55"/>
      <c r="AD15" s="55"/>
      <c r="AE15" s="55"/>
      <c r="AF15" s="55"/>
    </row>
    <row r="16" spans="1:32" s="58" customFormat="1" ht="17.25" x14ac:dyDescent="0.25">
      <c r="A16" s="56" t="s">
        <v>23</v>
      </c>
      <c r="B16" s="57"/>
      <c r="C16" s="57"/>
      <c r="P16" s="54" t="s">
        <v>3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 spans="1:43" s="58" customFormat="1" ht="15.75" x14ac:dyDescent="0.25"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 spans="1:43" ht="12.75" x14ac:dyDescent="0.2"/>
    <row r="19" spans="1:43" ht="12.75" x14ac:dyDescent="0.2">
      <c r="A19" s="2"/>
      <c r="P19" s="59"/>
      <c r="AC19" s="60"/>
      <c r="AD19" s="61">
        <v>2004</v>
      </c>
      <c r="AE19" s="61">
        <v>2005</v>
      </c>
      <c r="AF19" s="61">
        <v>2006</v>
      </c>
      <c r="AG19" s="61">
        <v>2007</v>
      </c>
      <c r="AH19" s="61">
        <v>2008</v>
      </c>
      <c r="AI19" s="61">
        <v>2009</v>
      </c>
      <c r="AJ19" s="8">
        <v>2010</v>
      </c>
      <c r="AK19" s="8">
        <v>2011</v>
      </c>
      <c r="AL19" s="61">
        <v>2012</v>
      </c>
      <c r="AM19" s="8">
        <v>2013</v>
      </c>
      <c r="AN19" s="8">
        <v>2014</v>
      </c>
      <c r="AO19" s="61">
        <v>2015</v>
      </c>
      <c r="AP19" s="8">
        <v>2016</v>
      </c>
      <c r="AQ19" s="8">
        <v>2017</v>
      </c>
    </row>
    <row r="20" spans="1:43" ht="12.75" x14ac:dyDescent="0.2">
      <c r="AC20" s="61" t="s">
        <v>1</v>
      </c>
      <c r="AD20" s="62">
        <v>10</v>
      </c>
      <c r="AE20" s="63">
        <v>12</v>
      </c>
      <c r="AF20" s="63">
        <v>13</v>
      </c>
      <c r="AG20" s="63">
        <v>9.0820629257216989</v>
      </c>
      <c r="AH20" s="63">
        <v>12</v>
      </c>
      <c r="AI20" s="63">
        <v>14</v>
      </c>
      <c r="AJ20" s="63">
        <v>11</v>
      </c>
      <c r="AK20" s="35">
        <v>10</v>
      </c>
      <c r="AL20" s="35">
        <v>10</v>
      </c>
      <c r="AM20" s="63">
        <v>5.1085568326947639</v>
      </c>
      <c r="AN20" s="63">
        <v>8.4388185654008439</v>
      </c>
      <c r="AO20" s="63">
        <v>9.7949886104783594</v>
      </c>
      <c r="AP20" s="63">
        <f>I12</f>
        <v>8.2063305978898011</v>
      </c>
      <c r="AQ20" s="63">
        <f>M12</f>
        <v>10.526315789473683</v>
      </c>
    </row>
    <row r="21" spans="1:43" ht="12.75" x14ac:dyDescent="0.2">
      <c r="AC21" s="61" t="s">
        <v>2</v>
      </c>
      <c r="AD21" s="64">
        <v>18</v>
      </c>
      <c r="AE21" s="63">
        <v>12</v>
      </c>
      <c r="AF21" s="63">
        <v>18</v>
      </c>
      <c r="AG21" s="63">
        <v>10.900745840504877</v>
      </c>
      <c r="AH21" s="63">
        <v>10</v>
      </c>
      <c r="AI21" s="63">
        <v>8</v>
      </c>
      <c r="AJ21" s="63">
        <v>10</v>
      </c>
      <c r="AK21" s="35">
        <v>6</v>
      </c>
      <c r="AL21" s="35">
        <v>7</v>
      </c>
      <c r="AM21" s="63">
        <v>6.9060773480662982</v>
      </c>
      <c r="AN21" s="63">
        <v>4.6296296296296298</v>
      </c>
      <c r="AO21" s="63">
        <v>5.84795321637427</v>
      </c>
      <c r="AP21" s="63">
        <f>J12</f>
        <v>6.5207265952491849</v>
      </c>
      <c r="AQ21" s="63">
        <f>N12</f>
        <v>6.381039197812215</v>
      </c>
    </row>
    <row r="22" spans="1:43" ht="12.75" x14ac:dyDescent="0.2">
      <c r="AP22" s="63"/>
    </row>
    <row r="23" spans="1:43" ht="16.5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65"/>
      <c r="AG23" s="66"/>
    </row>
    <row r="24" spans="1:43" ht="16.5" customHeight="1" x14ac:dyDescent="0.3">
      <c r="AG24" s="66"/>
    </row>
    <row r="25" spans="1:43" ht="16.5" customHeight="1" x14ac:dyDescent="0.3"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3"/>
      <c r="AG25" s="66"/>
    </row>
    <row r="26" spans="1:43" ht="16.5" customHeight="1" x14ac:dyDescent="0.3">
      <c r="AG26" s="66"/>
    </row>
    <row r="27" spans="1:43" ht="16.5" customHeight="1" x14ac:dyDescent="0.3">
      <c r="AG27" s="66"/>
    </row>
    <row r="28" spans="1:43" ht="16.5" customHeight="1" x14ac:dyDescent="0.3">
      <c r="AG28" s="66"/>
    </row>
    <row r="29" spans="1:43" ht="16.5" customHeight="1" x14ac:dyDescent="0.3">
      <c r="AG29" s="66"/>
    </row>
    <row r="30" spans="1:43" ht="16.5" customHeight="1" x14ac:dyDescent="0.3">
      <c r="AF30" s="66"/>
      <c r="AG30" s="66"/>
    </row>
  </sheetData>
  <mergeCells count="8">
    <mergeCell ref="P3:P4"/>
    <mergeCell ref="AB13:AB15"/>
    <mergeCell ref="A1:P1"/>
    <mergeCell ref="A2:P2"/>
    <mergeCell ref="A3:A4"/>
    <mergeCell ref="D3:G3"/>
    <mergeCell ref="H3:K3"/>
    <mergeCell ref="L3:O3"/>
  </mergeCells>
  <pageMargins left="0.7" right="0.7" top="0.75" bottom="0.75" header="0.3" footer="0.3"/>
  <pageSetup paperSize="9" scale="76" orientation="landscape" r:id="rId1"/>
  <ignoredErrors>
    <ignoredError sqref="D8:O8 D11:O11" formula="1"/>
    <ignoredError sqref="D9:O10" formula="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3.9</vt:lpstr>
      <vt:lpstr>'3.9'!Print_Area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2019-07-31T06:04:05Z</cp:lastPrinted>
  <dcterms:created xsi:type="dcterms:W3CDTF">2019-07-22T06:02:33Z</dcterms:created>
  <dcterms:modified xsi:type="dcterms:W3CDTF">2019-07-31T06:05:22Z</dcterms:modified>
</cp:coreProperties>
</file>