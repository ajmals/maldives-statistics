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FINAL\"/>
    </mc:Choice>
  </mc:AlternateContent>
  <bookViews>
    <workbookView xWindow="0" yWindow="0" windowWidth="28800" windowHeight="11730" activeTab="2"/>
  </bookViews>
  <sheets>
    <sheet name="19.1" sheetId="1" r:id="rId1"/>
    <sheet name="19.2" sheetId="2" r:id="rId2"/>
    <sheet name="19.3" sheetId="3" r:id="rId3"/>
  </sheets>
  <externalReferences>
    <externalReference r:id="rId4"/>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86" i="3" l="1"/>
  <c r="O85" i="3"/>
  <c r="O84" i="3"/>
  <c r="O83" i="3"/>
  <c r="L83" i="3"/>
  <c r="O82" i="3"/>
  <c r="O81" i="3"/>
  <c r="O80" i="3"/>
  <c r="O79" i="3"/>
  <c r="L79" i="3"/>
  <c r="O78" i="3"/>
  <c r="L78" i="3"/>
  <c r="O77" i="3"/>
  <c r="L77" i="3"/>
  <c r="O75" i="3"/>
  <c r="O74" i="3"/>
  <c r="O73" i="3"/>
  <c r="O71" i="3"/>
  <c r="O70" i="3"/>
  <c r="O69" i="3"/>
  <c r="O68" i="3"/>
  <c r="O67" i="3"/>
  <c r="O66" i="3"/>
  <c r="L66" i="3"/>
  <c r="O65" i="3"/>
  <c r="S64" i="3"/>
  <c r="O64" i="3"/>
  <c r="L64" i="3"/>
  <c r="O60" i="3"/>
  <c r="L60" i="3"/>
  <c r="O57" i="3"/>
  <c r="L57" i="3"/>
  <c r="O56" i="3"/>
  <c r="O55" i="3"/>
  <c r="O54" i="3"/>
  <c r="O53" i="3"/>
  <c r="O52" i="3"/>
  <c r="O51" i="3"/>
  <c r="L51" i="3"/>
  <c r="O50" i="3"/>
  <c r="L50" i="3"/>
  <c r="O49" i="3"/>
  <c r="O48" i="3"/>
  <c r="L48" i="3"/>
  <c r="O45" i="3"/>
  <c r="L45" i="3"/>
  <c r="O44" i="3"/>
  <c r="T42" i="3"/>
  <c r="T7" i="3" s="1"/>
  <c r="S42" i="3"/>
  <c r="O42" i="3"/>
  <c r="L42" i="3"/>
  <c r="O41" i="3"/>
  <c r="L41" i="3"/>
  <c r="O40" i="3"/>
  <c r="O37" i="3"/>
  <c r="L37" i="3"/>
  <c r="O36" i="3"/>
  <c r="T35" i="3"/>
  <c r="S35" i="3"/>
  <c r="O35" i="3"/>
  <c r="L35" i="3"/>
  <c r="T34" i="3"/>
  <c r="S34" i="3"/>
  <c r="S7" i="3" s="1"/>
  <c r="O34" i="3"/>
  <c r="L34" i="3"/>
  <c r="O33" i="3"/>
  <c r="O32" i="3"/>
  <c r="O31" i="3"/>
  <c r="O30" i="3"/>
  <c r="O29" i="3"/>
  <c r="L29" i="3"/>
  <c r="O28" i="3"/>
  <c r="O27" i="3"/>
  <c r="O26" i="3"/>
  <c r="O25" i="3"/>
  <c r="O24" i="3"/>
  <c r="L24" i="3"/>
  <c r="O23" i="3"/>
  <c r="O22" i="3"/>
  <c r="L22" i="3"/>
  <c r="O21" i="3"/>
  <c r="O20" i="3"/>
  <c r="O19" i="3"/>
  <c r="L19" i="3"/>
  <c r="O17" i="3"/>
  <c r="O16" i="3"/>
  <c r="L16" i="3"/>
  <c r="O15" i="3"/>
  <c r="L15" i="3"/>
  <c r="T14" i="3"/>
  <c r="O14" i="3"/>
  <c r="L14" i="3"/>
  <c r="O13" i="3"/>
  <c r="L13" i="3"/>
  <c r="L7" i="3" s="1"/>
  <c r="O12" i="3"/>
  <c r="O11" i="3"/>
  <c r="O7" i="3" s="1"/>
  <c r="O10" i="3"/>
  <c r="O9" i="3"/>
  <c r="O8" i="3"/>
  <c r="R7" i="3"/>
  <c r="Q7" i="3"/>
  <c r="P7" i="3"/>
  <c r="N7" i="3"/>
  <c r="K7" i="3"/>
  <c r="J7" i="3"/>
  <c r="I7" i="3"/>
  <c r="H7" i="3"/>
  <c r="G7" i="3"/>
  <c r="C7" i="3"/>
  <c r="J7" i="2"/>
  <c r="H7" i="2"/>
  <c r="G5" i="2"/>
  <c r="F5" i="2"/>
  <c r="E5" i="2"/>
  <c r="D5" i="2"/>
  <c r="C5" i="2"/>
  <c r="B5" i="2"/>
  <c r="M5" i="1"/>
  <c r="L5" i="1"/>
  <c r="K5" i="1"/>
  <c r="J5" i="1"/>
  <c r="I5" i="1"/>
  <c r="H5" i="1"/>
  <c r="G5" i="1"/>
  <c r="F5" i="1"/>
  <c r="E5" i="1"/>
  <c r="D5" i="1"/>
  <c r="C5" i="1"/>
  <c r="B5" i="1"/>
</calcChain>
</file>

<file path=xl/sharedStrings.xml><?xml version="1.0" encoding="utf-8"?>
<sst xmlns="http://schemas.openxmlformats.org/spreadsheetml/2006/main" count="477" uniqueCount="245">
  <si>
    <t>ތާވަލު 19.1: އަހަރުތެރޭގައި ބަލާ ނިންމުނު އިންސާނީ ޙައްޤުތަކާ ގުޅުންހުރި މައްސަލަތައް، 2007 - 2018</t>
  </si>
  <si>
    <t>TABLE 19.1:  NUMBER OF HUMAN RIGHTS RELATED CASES COMPLETED, 2007 - 2018</t>
  </si>
  <si>
    <t>Type of Cases</t>
  </si>
  <si>
    <t>މައްސަލަތަކުގެ ބާވަތް</t>
  </si>
  <si>
    <t>Total</t>
  </si>
  <si>
    <t>ޖުމްލަ</t>
  </si>
  <si>
    <t>Non-discrimination</t>
  </si>
  <si>
    <t xml:space="preserve"> - </t>
  </si>
  <si>
    <t>ތަފާތުނުކުރުން</t>
  </si>
  <si>
    <t>Duty of the State</t>
  </si>
  <si>
    <t>ދައުލަތުގެ ވާޖިބު</t>
  </si>
  <si>
    <t>Equality</t>
  </si>
  <si>
    <t>ހަމަހަމަކަން</t>
  </si>
  <si>
    <t>Right to life</t>
  </si>
  <si>
    <t>ދިރިހުރުމުގެ ޙައްޤު</t>
  </si>
  <si>
    <t>Economic and social rights</t>
  </si>
  <si>
    <t>އިޤްތިޞާދީ އަދި އިޖްތިމާޢީ ޙައްގުތައް</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</si>
  <si>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</si>
  <si>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</si>
  <si>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</si>
  <si>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</si>
  <si>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</si>
  <si>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</si>
  <si>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</si>
  <si>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</si>
  <si>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</si>
  <si>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 xml:space="preserve">Freedom of acquiring and imparting knowledge </t>
  </si>
  <si>
    <t>މަޢުލޫމާތު ހޯދުމާއި މަޢުލޫމާތު ދިނުމުގެ މިނިވަންކަން</t>
  </si>
  <si>
    <t>Freedom to form political parties, associations and societies</t>
  </si>
  <si>
    <t>ސިޔާސީ ޕާޓީތަކާއި، ޖަމްޢިއްޔާތައް ހެދުމުގެ މިނިވަންކަން</t>
  </si>
  <si>
    <t>ހަޅުތާލުކުރުމުގެ ޙައްޤު</t>
  </si>
  <si>
    <t>Freedom of Assembly</t>
  </si>
  <si>
    <t>އެއްވެއުޅުމުގެ މިނިވަންކަން</t>
  </si>
  <si>
    <t>Right to protect reputation &amp; name</t>
  </si>
  <si>
    <t>ނަމާއި އަބުރު ރައްކާތެރިކުރުމުގެ ޙައްޤު</t>
  </si>
  <si>
    <t>Right to marry and establishment of the family</t>
  </si>
  <si>
    <t>ކައިވެނިކުރުމާއި ޢާއިލާ ޤާއިމްކުރުމުގެ ޙައްޤު</t>
  </si>
  <si>
    <t>Social protection to children, young, elderly and disadvantaged people</t>
  </si>
  <si>
    <t>ކުޑަކުދީންނާއި ޅަފުރާގެ ކުދީންނާއި ޢުމުރުން ދުވަސްވީ މީހުންނާއި ޙާއްޞަ އެހީއަށް ބޭނުންވާ މީހުންނަށް ލިބޭ ޙާއްޞަ ރައްކާތެރިކަން</t>
  </si>
  <si>
    <t>Right to education</t>
  </si>
  <si>
    <t>އުނގެނުމުގެ ޙައްޤު</t>
  </si>
  <si>
    <t>Right to work</t>
  </si>
  <si>
    <t>މަސައްކަތްކުރުމުގެ ޙައްޤު</t>
  </si>
  <si>
    <t>Right of pension</t>
  </si>
  <si>
    <t xml:space="preserve"> -</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</si>
  <si>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</si>
  <si>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</si>
  <si>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</si>
  <si>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</si>
  <si>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</si>
  <si>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</si>
  <si>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</si>
  <si>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 xml:space="preserve">Fair administrative action </t>
  </si>
  <si>
    <t>ޢަދުލުވެރިކަމާއެކު އިދާރީ ފިޔަވަޅުތައްއެޅުން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</si>
  <si>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</si>
  <si>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</si>
  <si>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</si>
  <si>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</si>
  <si>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</si>
  <si>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</si>
  <si>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</si>
  <si>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</si>
  <si>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Rights of the accused</t>
  </si>
  <si>
    <t>ކުށެއް ކުރިކަމުގެ ދަޢުވާ އުފުލިފައިވާ މީހުންގެ ޙައްޤުތައް</t>
  </si>
  <si>
    <t>Confessions and illegal evidence</t>
  </si>
  <si>
    <t>އިޢުތިރާފާއި، ޤާނޫނާ ޚިލާފަށް ހޯދާ ހެކި</t>
  </si>
  <si>
    <t>Assistance of legal counsel</t>
  </si>
  <si>
    <t>ޤާނޫނީ ވަކީލެއްގެ އެހީތެރިކަން</t>
  </si>
  <si>
    <t>No degrading treatment or torture</t>
  </si>
  <si>
    <t>ލާއިންސާނީ އަދަބު ނުދިނުން</t>
  </si>
  <si>
    <t>Right to appeal</t>
  </si>
  <si>
    <t>އިސްތިއުނާފުކުރުމުގެ ޙައްޤު</t>
  </si>
  <si>
    <t>Humane treatment of arrested or detained persons</t>
  </si>
  <si>
    <t>ބަންދުކުރެވިފައިވާ މީހުންނާ އިޙްތިރާމާއެކު މުޢާމަލަތުކުރުން</t>
  </si>
  <si>
    <t>Compensation</t>
  </si>
  <si>
    <t>ބަދަލު ލިބިދިނުން</t>
  </si>
  <si>
    <t>Retention of other rights</t>
  </si>
  <si>
    <t>އެހެނިހެން ޙައްޤުތައް ލިބިދިނުން</t>
  </si>
  <si>
    <t>Responsibilities and Duties</t>
  </si>
  <si>
    <t>މަސްއޫލިއްޔަތުތަކާއި ވާޖިބުތައް</t>
  </si>
  <si>
    <t>Non-Issue</t>
  </si>
  <si>
    <t>ނަން އިޝޫ</t>
  </si>
  <si>
    <t>* During 2008 Ratification of the New Constitution</t>
  </si>
  <si>
    <t>*2008 ގައި އައު ޤާނޫނުއަސާސީ ތަޞްދީޤުކުރުން.</t>
  </si>
  <si>
    <t>Source: Human Rights Commission of the Maldives</t>
  </si>
  <si>
    <t>މަޢުލޫމާތު ދެއްވި ފަރާތް: ހިއުމަން ރައިޓްސް ކޮމިޝަން އޮފް ދި މޯލްޑިވްސް</t>
  </si>
  <si>
    <t>ތާވަލު 19.2: އިންސާނީ ޙައްޤުތަކާ ގުޅުންހުރި މައްސަލަތައް ހުށަހެޅުނު އަދި ބެލުނު މިންވަރު، 2007 - 2018</t>
  </si>
  <si>
    <t xml:space="preserve">TABLE 19.2:  NUMBER OF HUMAN RIGHTS RELATED CASES REPORTED AND COMPLETED,  2007 - 2018
</t>
  </si>
  <si>
    <t>Details</t>
  </si>
  <si>
    <t>2008*</t>
  </si>
  <si>
    <t>ތަފްޞީލު</t>
  </si>
  <si>
    <t xml:space="preserve">Total Number of Cases submitted </t>
  </si>
  <si>
    <t xml:space="preserve"> އަހަރުތެރޭގައި ހުށަހެޅުނު މައްސަލަތަކުގެ ޖުމްލަ </t>
  </si>
  <si>
    <r>
      <t xml:space="preserve">Cases completed </t>
    </r>
    <r>
      <rPr>
        <i/>
        <sz val="10"/>
        <color theme="1"/>
        <rFont val="Calibri"/>
        <family val="2"/>
        <scheme val="minor"/>
      </rPr>
      <t>(year end)</t>
    </r>
  </si>
  <si>
    <t xml:space="preserve"> އަހަރުތެރޭގައި ބަލާ ނިންމުނު މައްސަލަތައް</t>
  </si>
  <si>
    <r>
      <t xml:space="preserve">Cases incomplete </t>
    </r>
    <r>
      <rPr>
        <i/>
        <sz val="10"/>
        <color theme="1"/>
        <rFont val="Calibri"/>
        <family val="2"/>
        <scheme val="minor"/>
      </rPr>
      <t>(year end)</t>
    </r>
  </si>
  <si>
    <t xml:space="preserve"> އަހަރު ނިމުނުއިރު ނުނިމި ހުރި މައްސަލަތަކުގެ ޢަދަދު</t>
  </si>
  <si>
    <t>Note:  * Ratification of the New Constitution</t>
  </si>
  <si>
    <t>ނޯޓް: * އައު ޤާނޫނުއަސާސީ ތަޞްދީޤުކުރުން.</t>
  </si>
  <si>
    <t>Cases completed includes cases initiated and investigated by the HR Commission</t>
  </si>
  <si>
    <t>އަހަރުތެރޭގައި ބަލާ ނިންމުނު މައްސަލަތަކުގެ ތެރޭގައި އަހަރުތެރޭގައި ކޮމިޝަނުން އިސްނަގައިގެން ބެލުނު މައްސަލަތައްވެސް ހިމެނެއެވެ.</t>
  </si>
  <si>
    <t xml:space="preserve"> މަޢުލޫމާތު ދެއްވި ފަރާތް: ހިއުމަން ރައިޓްސް ކޮމިޝަން އޮފް ދި މޯލްޑިވްސް</t>
  </si>
  <si>
    <t>ތާވަލު 19.3: ހިއުމަން ރައިޓްސް ކޮމިޝަނަށް ހުށައެޅުނު އަދި ބެލުނު މައްސަލަތައް، 2014 - 2018</t>
  </si>
  <si>
    <t>TABLE 19.3:  NUMBER OF CASES SUBMITTED AND COMPLETED BY THE HUMAN RIGHTS COMMISSION,  2014 - 2018</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</si>
  <si>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</si>
  <si>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</si>
  <si>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</si>
  <si>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</si>
  <si>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</si>
  <si>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</si>
  <si>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</si>
  <si>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</si>
  <si>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</si>
  <si>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</si>
  <si>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</si>
  <si>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</si>
  <si>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</si>
  <si>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</si>
  <si>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</si>
  <si>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</si>
  <si>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</si>
  <si>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23(e )</t>
  </si>
  <si>
    <t>equal access to means of communication, he State media, transportation facilities, and the natural recources of the country</t>
  </si>
  <si>
    <t>ދިވެހިރާއްޖޭގެ ތަބިއީ މުއްސަނދިކަމާއި، ދަތުރުފަތުރު ކުރުމުގެ ވަސީލަތްތަކާއި، ދައުލަތުގެ ޙަބަރު ފަތުރާ ވަސީލަތްތަކާއި، ހުރިހައި ބާވަތެއްގެ މުއާޟަލާތީ ޚިދުމަތްތައް ހަމަހަމަކަމާއެކު ބޭނުންކުރުމުގެ ފުރުޞަތު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</si>
  <si>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</si>
  <si>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</si>
  <si>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</si>
  <si>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</si>
  <si>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</si>
  <si>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</si>
  <si>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</si>
  <si>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</si>
  <si>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</si>
  <si>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</si>
  <si>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</si>
  <si>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</si>
  <si>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</si>
  <si>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</si>
  <si>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</si>
  <si>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</si>
  <si>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</si>
  <si>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</si>
  <si>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</si>
  <si>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</si>
  <si>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</si>
  <si>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</si>
  <si>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</si>
  <si>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</si>
  <si>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</si>
  <si>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</si>
  <si>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</si>
  <si>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</si>
  <si>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</si>
  <si>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</si>
  <si>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</si>
  <si>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</si>
  <si>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</si>
  <si>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</si>
  <si>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</si>
  <si>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</si>
  <si>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</si>
  <si>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</si>
  <si>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</si>
  <si>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</si>
  <si>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</si>
  <si>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</si>
  <si>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</si>
  <si>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</si>
  <si>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</si>
  <si>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</si>
  <si>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</si>
  <si>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</si>
  <si>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</si>
  <si>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</si>
  <si>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</si>
  <si>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</si>
  <si>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</si>
  <si>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</si>
  <si>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</si>
  <si>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</si>
  <si>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</si>
  <si>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</si>
  <si>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</si>
  <si>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</si>
  <si>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</si>
  <si>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47(a)</t>
  </si>
  <si>
    <t>No person shall be subject to search or seizure unless there is reasonable cause.</t>
  </si>
  <si>
    <t>އެކަށީގެންވާ ސަބަބެއްނެތި އެއްވެސް މީހެއްގެ ގަޔަށް އަތްލައި، ފާސްކޮށް، މީހެއްގެ އެއްޗެއް ގަދަކަމުން އަތުލައިގެނެއް ނުވާނެއެވެ.</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</si>
  <si>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</si>
  <si>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</si>
  <si>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</si>
  <si>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</si>
  <si>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</si>
  <si>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</si>
  <si>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</si>
  <si>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</si>
  <si>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</si>
  <si>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</si>
  <si>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</si>
  <si>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</si>
  <si>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</si>
  <si>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</si>
  <si>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</si>
  <si>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</si>
  <si>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</si>
  <si>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</si>
  <si>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</si>
  <si>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</si>
  <si>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</si>
  <si>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</si>
  <si>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</si>
  <si>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</si>
  <si>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51(f)</t>
  </si>
  <si>
    <t>to be tried in person, and to defend himself through legal counsel of his own choosing</t>
  </si>
  <si>
    <t>އެ މީހެއްގެ ހާޒިރުގައި ޝާރީޢަތް ކުރެވުމާއި، އެ މީހަކު އިޙްތިޔާރުކުރާ ޤާނޫނީ ވަކީލެއްގެ އެހީގައި ކުށުން ބަރީއަވުމަށް މަސައްކަތްކުރުމުގެ ޙައްޤު ލިބިގެންވުން</t>
  </si>
  <si>
    <t>51(g)</t>
  </si>
  <si>
    <t xml:space="preserve">to examine the witnesses against him and to obtain the attendance and examination of witnesses </t>
  </si>
  <si>
    <t>ދަޢުވާ ހުށަހަޅާ ފަރާތުން ޝަރީޢަތަށް ހާޒިރުކުރާ ހެކީންނާ ސުވާލުކުރުމާއި، އެ މީހަކު ބޭނުން ހެކީން ޝަރީޢަތަށް ހާޒިރުކޮށްދިނުމަށް ކޯޓުގައި އެދުމާއި، އެ ހެކީންނާ ޝަރީޢަތުގެ މަޖިލީހުގައި ސުވާލު ކުރުމުގެ ޙައްޤު ލިބިގެންވުން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</si>
  <si>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</si>
  <si>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</si>
  <si>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</si>
  <si>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</si>
  <si>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</si>
  <si>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</si>
  <si>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</si>
  <si>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</si>
  <si>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In serious criminal cases, the State shall provide a lawyer for an accused person who cannot afford to engage one</t>
  </si>
  <si>
    <t>ޖިނާއީ ބޮޑެތި މައްސަލަތަކުގައި، ތުހުމަތުކުރެވޭ މީހާއަކީ ޤާނޫނީ ވަކީލެއްގެ އެހީތެރިކަން ހޯދޭ ފަދަ މާލީ ތަނަވަސްކަމެއް ނެތް މީހެއް ނަމަ، އޭނާއަށް ދައުލަތުން ޤާނޫނީ ވަކީލަކު ޢައްޔަން ކޮށްދޭން ވާނެއެވެ.</t>
  </si>
  <si>
    <t>53(b)</t>
  </si>
  <si>
    <t>އިސްތިއުނާފު ކުރުމުގެ ޙައްޤު</t>
  </si>
  <si>
    <t>Compensation collected</t>
  </si>
  <si>
    <t>62(a)</t>
  </si>
  <si>
    <t>The enumeration of rights and freedoms in this Chapter are guaranteed equally to female and male persons.</t>
  </si>
  <si>
    <t>މި ބާބުގައި ބަޔާންކުރެވިފައިވާ އެންމެހައި ޙައްޤުތަކާއި މިނިވަންކަން އަންހުނުންނަށާއި ފިރިހެނުންނަށް ހަމަހަމަކަމާއެކު ލިބިގެންވުން</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</si>
  <si>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</si>
  <si>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</si>
  <si>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</si>
  <si>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Non-compliance with unlawful orders</t>
  </si>
  <si>
    <t>ޢައިރު ގާނޫނީ އަމުރުތަކަށް ތަބާނުވުމުން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</si>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</sst>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 [$€-1];[Red]\-#,##0\ [$€-1]"/>
  </numFmts>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color theme="1"/>
      <name val="Faruma"/>
    </font>
    <font>
      <b/>
      <sz val="12"/>
      <color theme="1"/>
      <name val="Calibri"/>
      <family val="2"/>
      <scheme val="minor"/>
    </font>
    <font>
      <i/>
      <sz val="12"/>
      <color theme="1"/>
      <name val="Faruma"/>
    </font>
    <font>
      <sz val="12"/>
      <color theme="1"/>
      <name val="Calibri"/>
      <family val="2"/>
      <scheme val="minor"/>
    </font>
    <font>
      <sz val="12"/>
      <name val="Calibri"/>
      <family val="2"/>
      <scheme val="minor"/>
    </font>
    <font>
      <sz val="12"/>
      <color theme="1"/>
      <name val="Faruma"/>
    </font>
    <font>
      <sz val="9.5"/>
      <color rgb="FF222222"/>
      <name val="Arial"/>
      <family val="2"/>
    </font>
    <font>
      <sz val="9"/>
      <color theme="1"/>
      <name val="Calibri"/>
      <family val="2"/>
      <scheme val="minor"/>
    </font>
    <font>
      <i/>
      <sz val="9"/>
      <color theme="1"/>
      <name val="Calibri"/>
      <family val="2"/>
      <scheme val="minor"/>
    </font>
    <font>
      <b/>
      <sz val="12"/>
      <color rgb="FFFF0000"/>
      <name val="Faruma"/>
    </font>
    <font>
      <sz val="10"/>
      <color theme="1"/>
      <name val="Calibri"/>
      <family val="2"/>
      <scheme val="minor"/>
    </font>
    <font>
      <sz val="10"/>
      <name val="Faruma"/>
    </font>
    <font>
      <sz val="10"/>
      <color theme="1"/>
      <name val="Faruma"/>
    </font>
    <font>
      <b/>
      <sz val="11"/>
      <color theme="1"/>
      <name val="Faruma"/>
    </font>
    <font>
      <i/>
      <sz val="11"/>
      <color theme="1"/>
      <name val="Calibri"/>
      <family val="2"/>
      <scheme val="minor"/>
    </font>
    <font>
      <i/>
      <sz val="10"/>
      <color theme="1"/>
      <name val="Calibri"/>
      <family val="2"/>
      <scheme val="minor"/>
    </font>
    <font>
      <b/>
      <sz val="9"/>
      <color theme="1"/>
      <name val="Faruma"/>
    </font>
    <font>
      <sz val="9"/>
      <color theme="1"/>
      <name val="Faruma"/>
    </font>
    <font>
      <sz val="9.5"/>
      <color theme="1"/>
      <name val="Arial"/>
      <family val="2"/>
    </font>
    <font>
      <b/>
      <sz val="10"/>
      <color theme="1"/>
      <name val="Calibri"/>
      <family val="2"/>
      <scheme val="minor"/>
    </font>
    <font>
      <b/>
      <sz val="10"/>
      <color theme="1"/>
      <name val="Faruma"/>
    </font>
    <font>
      <sz val="11"/>
      <color theme="1"/>
      <name val="Faruma"/>
    </font>
    <font>
      <b/>
      <sz val="8"/>
      <color theme="1"/>
      <name val="Faruma"/>
    </font>
    <font>
      <sz val="11"/>
      <name val="Calibri"/>
      <family val="2"/>
      <scheme val="minor"/>
    </font>
    <font>
      <sz val="11"/>
      <name val="Faruma"/>
    </font>
    <font>
      <sz val="12"/>
      <color theme="0"/>
      <name val="Faruma"/>
    </font>
  </fonts>
  <fills count="3">
    <fill>
      <patternFill patternType="none"/>
    </fill>
    <fill>
      <patternFill patternType="gray125"/>
    </fill>
    <fill>
      <patternFill patternType="solid">
        <fgColor theme="0"/>
        <bgColor indexed="64"/>
      </patternFill>
    </fill>
  </fills>
  <borders count="16">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hair">
        <color auto="1"/>
      </bottom>
      <diagonal/>
    </border>
    <border>
      <left/>
      <right style="thin">
        <color indexed="64"/>
      </right>
      <top/>
      <bottom style="hair">
        <color auto="1"/>
      </bottom>
      <diagonal/>
    </border>
    <border>
      <left/>
      <right/>
      <top/>
      <bottom style="dotted">
        <color indexed="64"/>
      </bottom>
      <diagonal/>
    </border>
    <border>
      <left style="thin">
        <color indexed="64"/>
      </left>
      <right/>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161">
    <xf numFmtId="0" fontId="0" fillId="0" borderId="0" xfId="0"/>
    <xf numFmtId="0" fontId="4" fillId="2" borderId="0" xfId="0" applyFont="1" applyFill="1" applyBorder="1" applyAlignment="1">
      <alignment horizontal="center"/>
    </xf>
    <xf numFmtId="0" fontId="0" fillId="2" borderId="0" xfId="0" applyFill="1" applyBorder="1"/>
    <xf numFmtId="0" fontId="5" fillId="2" borderId="0" xfId="0" applyFont="1" applyFill="1" applyBorder="1" applyAlignment="1">
      <alignment horizontal="center" vertical="center"/>
    </xf>
    <xf numFmtId="0" fontId="6" fillId="2" borderId="0" xfId="0" applyFont="1" applyFill="1" applyBorder="1" applyAlignment="1">
      <alignment wrapText="1"/>
    </xf>
    <xf numFmtId="0" fontId="5" fillId="2" borderId="1" xfId="0" applyFont="1" applyFill="1" applyBorder="1"/>
    <xf numFmtId="0" fontId="5" fillId="2" borderId="1" xfId="0" applyFont="1" applyFill="1" applyBorder="1" applyAlignment="1">
      <alignment horizontal="right" vertical="center"/>
    </xf>
    <xf numFmtId="0" fontId="4" fillId="2" borderId="1" xfId="0" applyFont="1" applyFill="1" applyBorder="1" applyAlignment="1">
      <alignment wrapText="1"/>
    </xf>
    <xf numFmtId="0" fontId="7" fillId="2" borderId="0" xfId="0" applyFont="1" applyFill="1" applyBorder="1"/>
    <xf numFmtId="0" fontId="5" fillId="2" borderId="0" xfId="0" applyFont="1" applyFill="1" applyBorder="1" applyAlignment="1">
      <alignment horizontal="left" vertical="center" wrapText="1"/>
    </xf>
    <xf numFmtId="164" fontId="5" fillId="2" borderId="0" xfId="1" applyNumberFormat="1" applyFont="1" applyFill="1" applyBorder="1" applyAlignment="1">
      <alignment horizontal="right" vertical="center" wrapText="1"/>
    </xf>
    <xf numFmtId="0" fontId="4" fillId="2" borderId="0" xfId="0" applyFont="1" applyFill="1" applyBorder="1" applyAlignment="1">
      <alignment horizontal="right" vertical="center" wrapText="1"/>
    </xf>
    <xf numFmtId="0" fontId="7" fillId="2" borderId="0" xfId="0" applyFont="1" applyFill="1" applyBorder="1" applyAlignment="1">
      <alignment horizontal="left" vertical="center" wrapText="1"/>
    </xf>
    <xf numFmtId="0" fontId="7" fillId="2" borderId="0" xfId="0" applyFont="1" applyFill="1" applyBorder="1" applyAlignment="1">
      <alignment horizontal="right" vertical="center"/>
    </xf>
    <xf numFmtId="0" fontId="7" fillId="2" borderId="0" xfId="0" applyFont="1" applyFill="1" applyBorder="1" applyAlignment="1">
      <alignment horizontal="right" vertical="center" wrapText="1"/>
    </xf>
    <xf numFmtId="0" fontId="10" fillId="2" borderId="0" xfId="0" applyFont="1" applyFill="1" applyAlignment="1">
      <alignment vertical="center"/>
    </xf>
    <xf numFmtId="0" fontId="0" fillId="2" borderId="0" xfId="0" applyFill="1" applyBorder="1" applyAlignment="1"/>
    <xf numFmtId="0" fontId="7" fillId="2" borderId="0" xfId="0" applyFont="1" applyFill="1" applyBorder="1" applyAlignment="1">
      <alignment horizontal="left" vertical="center"/>
    </xf>
    <xf numFmtId="0" fontId="11" fillId="2" borderId="0" xfId="0" applyFont="1" applyFill="1" applyBorder="1" applyAlignment="1">
      <alignment horizontal="left" vertical="center" wrapText="1"/>
    </xf>
    <xf numFmtId="0" fontId="11" fillId="2" borderId="0" xfId="0" applyFont="1" applyFill="1" applyBorder="1" applyAlignment="1">
      <alignment horizontal="right" vertical="center"/>
    </xf>
    <xf numFmtId="0" fontId="11" fillId="2" borderId="0"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2" xfId="0" applyFont="1" applyFill="1" applyBorder="1" applyAlignment="1">
      <alignment horizontal="right" vertical="center"/>
    </xf>
    <xf numFmtId="0" fontId="12" fillId="2" borderId="0" xfId="0" applyFont="1" applyFill="1" applyBorder="1" applyAlignment="1">
      <alignment vertical="center"/>
    </xf>
    <xf numFmtId="0" fontId="13" fillId="2" borderId="3" xfId="0" applyFont="1" applyFill="1" applyBorder="1" applyAlignment="1">
      <alignment vertical="center" wrapText="1" readingOrder="2"/>
    </xf>
    <xf numFmtId="0" fontId="14" fillId="2" borderId="0" xfId="0" applyFont="1" applyFill="1" applyBorder="1"/>
    <xf numFmtId="0" fontId="15" fillId="2" borderId="0" xfId="0" applyFont="1" applyFill="1" applyBorder="1" applyAlignment="1">
      <alignment horizontal="right" vertical="center" wrapText="1" readingOrder="2"/>
    </xf>
    <xf numFmtId="0" fontId="12" fillId="2" borderId="0" xfId="0" applyFont="1" applyFill="1" applyBorder="1" applyAlignment="1">
      <alignment horizontal="left" vertical="center"/>
    </xf>
    <xf numFmtId="0" fontId="16" fillId="2" borderId="0" xfId="0" applyFont="1" applyFill="1" applyBorder="1" applyAlignment="1">
      <alignment horizontal="right" vertical="center" wrapText="1"/>
    </xf>
    <xf numFmtId="0" fontId="0" fillId="2" borderId="0" xfId="0" applyFill="1" applyBorder="1" applyAlignment="1">
      <alignment wrapText="1"/>
    </xf>
    <xf numFmtId="0" fontId="14" fillId="2" borderId="0" xfId="0" applyFont="1" applyFill="1" applyBorder="1" applyAlignment="1">
      <alignment horizontal="left" vertical="center" wrapText="1"/>
    </xf>
    <xf numFmtId="0" fontId="14" fillId="2" borderId="0" xfId="0" applyFont="1" applyFill="1" applyBorder="1" applyAlignment="1">
      <alignment horizontal="right" vertical="center"/>
    </xf>
    <xf numFmtId="0" fontId="14" fillId="2" borderId="0" xfId="0" applyFont="1" applyFill="1" applyBorder="1" applyAlignment="1">
      <alignment horizontal="right" vertical="center" wrapText="1"/>
    </xf>
    <xf numFmtId="0" fontId="14" fillId="2" borderId="2" xfId="0" applyFont="1" applyFill="1" applyBorder="1" applyAlignment="1">
      <alignment horizontal="left" vertical="center" wrapText="1"/>
    </xf>
    <xf numFmtId="0" fontId="14" fillId="2" borderId="2" xfId="0" applyFont="1" applyFill="1" applyBorder="1" applyAlignment="1">
      <alignment horizontal="right" vertical="center"/>
    </xf>
    <xf numFmtId="0" fontId="4" fillId="2" borderId="0" xfId="0" applyFont="1" applyFill="1" applyAlignment="1">
      <alignment horizontal="center"/>
    </xf>
    <xf numFmtId="0" fontId="0" fillId="2" borderId="0" xfId="0" applyFont="1" applyFill="1"/>
    <xf numFmtId="0" fontId="3" fillId="2" borderId="0" xfId="0" applyFont="1" applyFill="1" applyAlignment="1">
      <alignment horizontal="center" vertical="top" wrapText="1"/>
    </xf>
    <xf numFmtId="0" fontId="3" fillId="2" borderId="0" xfId="0" applyFont="1" applyFill="1"/>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17" fillId="2" borderId="1" xfId="0" applyFont="1" applyFill="1" applyBorder="1" applyAlignment="1">
      <alignment horizontal="right" vertical="center"/>
    </xf>
    <xf numFmtId="0" fontId="3" fillId="2" borderId="0" xfId="0" applyFont="1" applyFill="1" applyAlignment="1">
      <alignment horizontal="center" vertical="center"/>
    </xf>
    <xf numFmtId="0" fontId="3" fillId="2" borderId="0" xfId="0" applyFont="1" applyFill="1" applyBorder="1" applyAlignment="1">
      <alignment vertical="center"/>
    </xf>
    <xf numFmtId="164" fontId="3" fillId="2" borderId="0" xfId="1" applyNumberFormat="1" applyFont="1" applyFill="1" applyBorder="1" applyAlignment="1">
      <alignment horizontal="right" vertical="center"/>
    </xf>
    <xf numFmtId="0" fontId="4" fillId="2" borderId="0" xfId="0" applyFont="1" applyFill="1" applyBorder="1" applyAlignment="1">
      <alignment vertical="center"/>
    </xf>
    <xf numFmtId="0" fontId="3" fillId="2" borderId="0" xfId="0" applyFont="1" applyFill="1" applyAlignment="1">
      <alignment vertical="center"/>
    </xf>
    <xf numFmtId="0" fontId="18" fillId="2" borderId="0" xfId="0" applyFont="1" applyFill="1" applyBorder="1" applyAlignment="1">
      <alignment horizontal="left" vertical="center"/>
    </xf>
    <xf numFmtId="164" fontId="0" fillId="2" borderId="0" xfId="1" applyNumberFormat="1" applyFont="1" applyFill="1" applyBorder="1" applyAlignment="1">
      <alignment horizontal="right" vertical="center"/>
    </xf>
    <xf numFmtId="0" fontId="9" fillId="2" borderId="0" xfId="0" applyFont="1" applyFill="1" applyBorder="1" applyAlignment="1">
      <alignment horizontal="right" vertical="center"/>
    </xf>
    <xf numFmtId="0" fontId="0" fillId="2" borderId="0" xfId="0" applyFont="1" applyFill="1" applyAlignment="1">
      <alignment vertical="center"/>
    </xf>
    <xf numFmtId="0" fontId="18" fillId="2" borderId="2" xfId="0" applyFont="1" applyFill="1" applyBorder="1" applyAlignment="1">
      <alignment horizontal="left" vertical="center"/>
    </xf>
    <xf numFmtId="164" fontId="0" fillId="2" borderId="2" xfId="1" applyNumberFormat="1" applyFont="1" applyFill="1" applyBorder="1" applyAlignment="1">
      <alignment horizontal="right" vertical="center"/>
    </xf>
    <xf numFmtId="0" fontId="9" fillId="2" borderId="2" xfId="0" applyFont="1" applyFill="1" applyBorder="1" applyAlignment="1">
      <alignment horizontal="right" vertical="center"/>
    </xf>
    <xf numFmtId="0" fontId="0" fillId="2" borderId="0" xfId="0" applyFont="1" applyFill="1" applyBorder="1" applyAlignment="1">
      <alignment vertical="center"/>
    </xf>
    <xf numFmtId="0" fontId="20" fillId="2" borderId="0" xfId="0" applyFont="1" applyFill="1" applyBorder="1" applyAlignment="1">
      <alignment vertical="center" wrapText="1" readingOrder="2"/>
    </xf>
    <xf numFmtId="0" fontId="11" fillId="2" borderId="0" xfId="0" applyFont="1" applyFill="1" applyBorder="1" applyAlignment="1">
      <alignment vertical="center"/>
    </xf>
    <xf numFmtId="0" fontId="21" fillId="2" borderId="0" xfId="0" applyFont="1" applyFill="1" applyBorder="1" applyAlignment="1">
      <alignment horizontal="right" vertical="center" wrapText="1" indent="1" readingOrder="2"/>
    </xf>
    <xf numFmtId="0" fontId="12" fillId="2" borderId="0" xfId="0" applyFont="1" applyFill="1" applyBorder="1" applyAlignment="1">
      <alignment horizontal="left" vertical="center" indent="1"/>
    </xf>
    <xf numFmtId="0" fontId="20" fillId="2" borderId="0" xfId="0" applyFont="1" applyFill="1" applyBorder="1" applyAlignment="1">
      <alignment horizontal="left" vertical="center" wrapText="1" indent="1" readingOrder="2"/>
    </xf>
    <xf numFmtId="0" fontId="11" fillId="2" borderId="0" xfId="0" applyFont="1" applyFill="1" applyBorder="1" applyAlignment="1">
      <alignment horizontal="left" vertical="center" indent="1"/>
    </xf>
    <xf numFmtId="0" fontId="21" fillId="2" borderId="0" xfId="0" applyFont="1" applyFill="1" applyBorder="1" applyAlignment="1">
      <alignment horizontal="right" vertical="center" indent="1" readingOrder="2"/>
    </xf>
    <xf numFmtId="0" fontId="12" fillId="2" borderId="0" xfId="0" applyFont="1" applyFill="1" applyBorder="1" applyAlignment="1">
      <alignment horizontal="left" indent="1"/>
    </xf>
    <xf numFmtId="0" fontId="11" fillId="2" borderId="0" xfId="0" applyFont="1" applyFill="1" applyBorder="1" applyAlignment="1">
      <alignment horizontal="left"/>
    </xf>
    <xf numFmtId="0" fontId="21" fillId="2" borderId="0" xfId="0" applyFont="1" applyFill="1" applyBorder="1" applyAlignment="1">
      <alignment horizontal="left"/>
    </xf>
    <xf numFmtId="0" fontId="21" fillId="2" borderId="0" xfId="0" applyFont="1" applyFill="1" applyBorder="1" applyAlignment="1">
      <alignment horizontal="right" vertical="center"/>
    </xf>
    <xf numFmtId="0" fontId="22" fillId="2" borderId="0" xfId="0" applyFont="1" applyFill="1" applyAlignment="1">
      <alignment vertical="center"/>
    </xf>
    <xf numFmtId="0" fontId="17" fillId="2" borderId="0" xfId="0" applyFont="1" applyFill="1" applyBorder="1" applyAlignment="1">
      <alignment horizontal="center" vertical="center"/>
    </xf>
    <xf numFmtId="0" fontId="3" fillId="2" borderId="0" xfId="0" applyFont="1" applyFill="1" applyBorder="1" applyAlignment="1">
      <alignment horizontal="center" vertical="center"/>
    </xf>
    <xf numFmtId="0" fontId="0" fillId="2" borderId="0" xfId="0" applyFont="1" applyFill="1" applyBorder="1" applyAlignment="1">
      <alignment horizontal="right" vertical="center"/>
    </xf>
    <xf numFmtId="0" fontId="0" fillId="2" borderId="0" xfId="0" applyFill="1" applyBorder="1" applyAlignment="1">
      <alignment horizontal="center" vertical="center"/>
    </xf>
    <xf numFmtId="0" fontId="23" fillId="2" borderId="3" xfId="0" applyFont="1" applyFill="1" applyBorder="1" applyAlignment="1">
      <alignment horizontal="right" vertical="center" wrapText="1"/>
    </xf>
    <xf numFmtId="0" fontId="23" fillId="2" borderId="3" xfId="0" applyFont="1" applyFill="1" applyBorder="1" applyAlignment="1">
      <alignment horizontal="right" vertical="center"/>
    </xf>
    <xf numFmtId="0" fontId="23" fillId="2" borderId="4" xfId="0" applyFont="1" applyFill="1" applyBorder="1" applyAlignment="1">
      <alignment horizontal="right" vertical="center"/>
    </xf>
    <xf numFmtId="0" fontId="23" fillId="2" borderId="5" xfId="0" applyFont="1" applyFill="1" applyBorder="1" applyAlignment="1">
      <alignment horizontal="right" vertical="center" wrapText="1"/>
    </xf>
    <xf numFmtId="0" fontId="24" fillId="2" borderId="3" xfId="0" applyFont="1" applyFill="1" applyBorder="1" applyAlignment="1">
      <alignment horizontal="right" vertical="center"/>
    </xf>
    <xf numFmtId="0" fontId="0" fillId="2" borderId="0" xfId="0" applyFill="1" applyBorder="1" applyAlignment="1">
      <alignment horizontal="center" vertical="top"/>
    </xf>
    <xf numFmtId="0" fontId="25" fillId="2" borderId="0" xfId="0" applyFont="1" applyFill="1" applyBorder="1" applyAlignment="1">
      <alignment horizontal="center" vertical="center" wrapText="1"/>
    </xf>
    <xf numFmtId="0" fontId="26" fillId="2" borderId="6" xfId="0" applyFont="1" applyFill="1" applyBorder="1" applyAlignment="1">
      <alignment horizontal="right" vertical="center" wrapText="1"/>
    </xf>
    <xf numFmtId="0" fontId="24" fillId="2" borderId="6" xfId="0" applyFont="1" applyFill="1" applyBorder="1" applyAlignment="1">
      <alignment horizontal="right" vertical="center" wrapText="1"/>
    </xf>
    <xf numFmtId="0" fontId="24" fillId="2" borderId="7" xfId="0" applyFont="1" applyFill="1" applyBorder="1" applyAlignment="1">
      <alignment horizontal="right" vertical="center" wrapText="1"/>
    </xf>
    <xf numFmtId="0" fontId="24" fillId="2" borderId="8" xfId="0" applyFont="1" applyFill="1" applyBorder="1" applyAlignment="1">
      <alignment horizontal="right" vertical="center" wrapText="1"/>
    </xf>
    <xf numFmtId="0" fontId="26" fillId="2" borderId="9" xfId="0" applyFont="1" applyFill="1" applyBorder="1" applyAlignment="1">
      <alignment horizontal="right" vertical="center" wrapText="1"/>
    </xf>
    <xf numFmtId="0" fontId="24" fillId="2" borderId="0" xfId="0" applyFont="1" applyFill="1" applyBorder="1" applyAlignment="1">
      <alignment horizontal="right" vertical="center" wrapText="1"/>
    </xf>
    <xf numFmtId="0" fontId="24" fillId="2" borderId="0" xfId="0" applyFont="1" applyFill="1" applyBorder="1" applyAlignment="1">
      <alignment horizontal="right" vertical="center"/>
    </xf>
    <xf numFmtId="0" fontId="3" fillId="2" borderId="0" xfId="0" applyFont="1" applyFill="1" applyBorder="1"/>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xf>
    <xf numFmtId="0" fontId="3" fillId="2" borderId="2" xfId="0" applyFont="1" applyFill="1" applyBorder="1" applyAlignment="1">
      <alignment horizontal="center"/>
    </xf>
    <xf numFmtId="0" fontId="3" fillId="2" borderId="12" xfId="0" applyFont="1" applyFill="1" applyBorder="1" applyAlignment="1">
      <alignment horizontal="center"/>
    </xf>
    <xf numFmtId="0" fontId="3" fillId="2" borderId="2" xfId="0" applyFont="1" applyFill="1" applyBorder="1" applyAlignment="1">
      <alignment horizontal="center"/>
    </xf>
    <xf numFmtId="0" fontId="24" fillId="2" borderId="2" xfId="0" applyFont="1" applyFill="1" applyBorder="1" applyAlignment="1">
      <alignment horizontal="right" vertical="center"/>
    </xf>
    <xf numFmtId="0" fontId="3" fillId="2" borderId="3" xfId="0" applyFont="1" applyFill="1" applyBorder="1" applyAlignment="1">
      <alignment horizontal="right" vertical="center" wrapText="1"/>
    </xf>
    <xf numFmtId="0" fontId="3" fillId="2" borderId="4" xfId="0" applyFont="1" applyFill="1" applyBorder="1" applyAlignment="1">
      <alignment horizontal="right" vertical="center" wrapText="1"/>
    </xf>
    <xf numFmtId="0" fontId="3" fillId="2" borderId="5" xfId="0" applyFont="1" applyFill="1" applyBorder="1" applyAlignment="1">
      <alignment horizontal="right" vertical="center" wrapText="1"/>
    </xf>
    <xf numFmtId="0" fontId="17" fillId="2" borderId="3" xfId="0" applyFont="1" applyFill="1" applyBorder="1" applyAlignment="1">
      <alignment horizontal="right" vertical="center" wrapText="1"/>
    </xf>
    <xf numFmtId="0" fontId="0" fillId="2" borderId="0" xfId="0" applyFont="1" applyFill="1" applyBorder="1" applyAlignment="1">
      <alignment horizontal="right" vertical="center" wrapText="1"/>
    </xf>
    <xf numFmtId="0" fontId="0" fillId="2" borderId="14" xfId="0" applyFont="1" applyFill="1" applyBorder="1" applyAlignment="1">
      <alignment horizontal="right" vertical="center"/>
    </xf>
    <xf numFmtId="0" fontId="0" fillId="2" borderId="15" xfId="0" applyFont="1" applyFill="1" applyBorder="1" applyAlignment="1">
      <alignment horizontal="right" vertical="center" wrapText="1"/>
    </xf>
    <xf numFmtId="0" fontId="25" fillId="2" borderId="0" xfId="0" applyFont="1" applyFill="1" applyBorder="1" applyAlignment="1">
      <alignment horizontal="right" vertical="center" wrapText="1" indent="1" readingOrder="2"/>
    </xf>
    <xf numFmtId="0" fontId="0" fillId="2" borderId="0" xfId="0" applyFont="1" applyFill="1" applyAlignment="1">
      <alignment horizontal="right" vertical="center"/>
    </xf>
    <xf numFmtId="0" fontId="0" fillId="2" borderId="15" xfId="0" applyFont="1" applyFill="1" applyBorder="1" applyAlignment="1">
      <alignment horizontal="right" vertical="center"/>
    </xf>
    <xf numFmtId="0" fontId="0" fillId="2" borderId="0" xfId="0" applyFont="1" applyFill="1" applyAlignment="1">
      <alignment horizontal="right" vertical="center" wrapText="1"/>
    </xf>
    <xf numFmtId="0" fontId="7" fillId="2" borderId="15" xfId="0" applyFont="1" applyFill="1" applyBorder="1" applyAlignment="1">
      <alignment horizontal="right" vertical="center" wrapText="1"/>
    </xf>
    <xf numFmtId="0" fontId="0" fillId="2" borderId="14" xfId="0" applyFont="1" applyFill="1" applyBorder="1" applyAlignment="1">
      <alignment horizontal="right" vertical="center" wrapText="1"/>
    </xf>
    <xf numFmtId="0" fontId="25" fillId="2" borderId="0" xfId="0" applyFont="1" applyFill="1" applyBorder="1" applyAlignment="1">
      <alignment horizontal="right" vertical="center" wrapText="1" indent="1"/>
    </xf>
    <xf numFmtId="0" fontId="28" fillId="2" borderId="0" xfId="0" applyFont="1" applyFill="1" applyBorder="1" applyAlignment="1">
      <alignment horizontal="right" vertical="center" wrapText="1" indent="1" readingOrder="2"/>
    </xf>
    <xf numFmtId="0" fontId="2" fillId="2" borderId="0" xfId="0" applyFont="1" applyFill="1" applyBorder="1"/>
    <xf numFmtId="0" fontId="27" fillId="2" borderId="0" xfId="0" applyFont="1" applyFill="1" applyBorder="1" applyAlignment="1">
      <alignment horizontal="right" vertical="center" wrapText="1"/>
    </xf>
    <xf numFmtId="0" fontId="27" fillId="2" borderId="0" xfId="0" applyFont="1" applyFill="1" applyBorder="1" applyAlignment="1">
      <alignment horizontal="right" vertical="center"/>
    </xf>
    <xf numFmtId="0" fontId="27" fillId="2" borderId="14" xfId="0" applyFont="1" applyFill="1" applyBorder="1" applyAlignment="1">
      <alignment horizontal="right" vertical="center"/>
    </xf>
    <xf numFmtId="0" fontId="27" fillId="2" borderId="0" xfId="0" applyFont="1" applyFill="1" applyAlignment="1">
      <alignment horizontal="right" vertical="center" wrapText="1"/>
    </xf>
    <xf numFmtId="0" fontId="27" fillId="2" borderId="15" xfId="0" applyFont="1" applyFill="1" applyBorder="1" applyAlignment="1">
      <alignment horizontal="right" vertical="center" wrapText="1"/>
    </xf>
    <xf numFmtId="0" fontId="27" fillId="2" borderId="0" xfId="0" applyFont="1" applyFill="1" applyBorder="1"/>
    <xf numFmtId="0" fontId="29" fillId="2" borderId="0" xfId="0" applyFont="1" applyFill="1" applyBorder="1" applyAlignment="1">
      <alignment horizontal="right" vertical="center" wrapText="1" readingOrder="2"/>
    </xf>
    <xf numFmtId="0" fontId="0" fillId="2" borderId="2" xfId="0" applyFont="1" applyFill="1" applyBorder="1" applyAlignment="1">
      <alignment horizontal="right" vertical="center" wrapText="1"/>
    </xf>
    <xf numFmtId="0" fontId="0" fillId="2" borderId="2" xfId="0" applyFont="1" applyFill="1" applyBorder="1" applyAlignment="1">
      <alignment horizontal="right" vertical="center"/>
    </xf>
    <xf numFmtId="0" fontId="0" fillId="2" borderId="12" xfId="0" applyFont="1" applyFill="1" applyBorder="1" applyAlignment="1">
      <alignment horizontal="right" vertical="center"/>
    </xf>
    <xf numFmtId="0" fontId="0" fillId="2" borderId="13" xfId="0" applyFont="1" applyFill="1" applyBorder="1" applyAlignment="1">
      <alignment horizontal="right" vertical="center" wrapText="1"/>
    </xf>
    <xf numFmtId="0" fontId="25" fillId="2" borderId="2" xfId="0" applyFont="1" applyFill="1" applyBorder="1" applyAlignment="1">
      <alignment horizontal="right" vertical="center" wrapText="1" indent="1"/>
    </xf>
    <xf numFmtId="0" fontId="12" fillId="2" borderId="0" xfId="0" applyFont="1" applyFill="1" applyBorder="1" applyAlignment="1">
      <alignment horizontal="right" vertical="center"/>
    </xf>
    <xf numFmtId="0" fontId="21" fillId="2" borderId="0" xfId="0" applyFont="1" applyFill="1" applyBorder="1" applyAlignment="1">
      <alignment vertical="center"/>
    </xf>
    <xf numFmtId="0" fontId="8" fillId="2" borderId="0" xfId="0" applyFont="1" applyFill="1" applyBorder="1" applyAlignment="1">
      <alignment horizontal="right" vertical="center"/>
    </xf>
    <xf numFmtId="0" fontId="8" fillId="2" borderId="0" xfId="0" applyFont="1" applyFill="1" applyBorder="1" applyAlignment="1">
      <alignment horizontal="right" vertical="center" wrapText="1"/>
    </xf>
    <xf numFmtId="0" fontId="8" fillId="2" borderId="2" xfId="0" applyFont="1" applyFill="1" applyBorder="1" applyAlignment="1">
      <alignment horizontal="right" vertical="center"/>
    </xf>
    <xf numFmtId="0" fontId="23" fillId="2" borderId="3" xfId="0" applyFont="1" applyFill="1" applyBorder="1" applyAlignment="1">
      <alignment horizontal="left" vertical="center"/>
    </xf>
    <xf numFmtId="0" fontId="23" fillId="2" borderId="0" xfId="0" applyFont="1" applyFill="1" applyBorder="1" applyAlignment="1">
      <alignment horizontal="left" vertical="center"/>
    </xf>
    <xf numFmtId="0" fontId="23" fillId="2" borderId="2" xfId="0" applyFont="1" applyFill="1" applyBorder="1" applyAlignment="1">
      <alignment horizontal="left" vertical="center"/>
    </xf>
    <xf numFmtId="0" fontId="0" fillId="2" borderId="0" xfId="0" applyFont="1" applyFill="1" applyBorder="1" applyAlignment="1">
      <alignment horizontal="left" vertical="center" wrapText="1"/>
    </xf>
    <xf numFmtId="0" fontId="9" fillId="2" borderId="0" xfId="0" applyFont="1" applyFill="1" applyBorder="1" applyAlignment="1">
      <alignment horizontal="right" vertical="center" wrapText="1" indent="2" readingOrder="2"/>
    </xf>
    <xf numFmtId="0" fontId="9" fillId="2" borderId="0" xfId="0" applyFont="1" applyFill="1" applyBorder="1" applyAlignment="1">
      <alignment horizontal="right" vertical="center" wrapText="1" indent="2"/>
    </xf>
    <xf numFmtId="0" fontId="9" fillId="2" borderId="2" xfId="0" applyFont="1" applyFill="1" applyBorder="1" applyAlignment="1">
      <alignment horizontal="right" vertical="center" wrapText="1" indent="2"/>
    </xf>
    <xf numFmtId="0" fontId="7" fillId="2" borderId="0" xfId="0" applyFont="1" applyFill="1" applyBorder="1" applyAlignment="1">
      <alignment horizontal="left" vertical="center" wrapText="1" indent="2"/>
    </xf>
    <xf numFmtId="0" fontId="0" fillId="2" borderId="0" xfId="0" applyFont="1" applyFill="1" applyBorder="1" applyAlignment="1">
      <alignment horizontal="left" vertical="center" wrapText="1" indent="2"/>
    </xf>
    <xf numFmtId="0" fontId="0" fillId="2" borderId="0" xfId="0" applyFill="1" applyAlignment="1">
      <alignment horizontal="left" vertical="top" indent="2"/>
    </xf>
    <xf numFmtId="0" fontId="7" fillId="2" borderId="2" xfId="0" applyFont="1" applyFill="1" applyBorder="1" applyAlignment="1">
      <alignment horizontal="left" vertical="center" wrapText="1" indent="2"/>
    </xf>
    <xf numFmtId="0" fontId="27" fillId="2" borderId="15" xfId="0" applyFont="1" applyFill="1" applyBorder="1" applyAlignment="1">
      <alignment horizontal="right" vertical="center"/>
    </xf>
    <xf numFmtId="0" fontId="8" fillId="2" borderId="15" xfId="0" applyFont="1" applyFill="1" applyBorder="1" applyAlignment="1">
      <alignment horizontal="right" vertical="center" wrapText="1"/>
    </xf>
    <xf numFmtId="0" fontId="2" fillId="2" borderId="0" xfId="0" applyFont="1" applyFill="1" applyBorder="1" applyAlignment="1">
      <alignment horizontal="right" vertical="center"/>
    </xf>
    <xf numFmtId="0" fontId="27" fillId="2" borderId="13" xfId="0" applyFont="1" applyFill="1" applyBorder="1" applyAlignment="1">
      <alignment horizontal="right" vertical="center" wrapText="1"/>
    </xf>
    <xf numFmtId="0" fontId="17" fillId="2" borderId="0"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165" fontId="0" fillId="2" borderId="0" xfId="0" applyNumberFormat="1" applyFill="1" applyBorder="1" applyAlignment="1">
      <alignment horizontal="center" vertical="top"/>
    </xf>
    <xf numFmtId="0" fontId="27" fillId="2" borderId="0" xfId="0" applyFont="1" applyFill="1" applyBorder="1" applyAlignment="1">
      <alignment horizontal="center" vertical="top"/>
    </xf>
    <xf numFmtId="0" fontId="0" fillId="2" borderId="2" xfId="0" applyFill="1" applyBorder="1" applyAlignment="1">
      <alignment horizontal="center" vertical="top"/>
    </xf>
    <xf numFmtId="0" fontId="0" fillId="2" borderId="0" xfId="0" applyFill="1" applyAlignment="1">
      <alignment vertical="center" wrapText="1"/>
    </xf>
    <xf numFmtId="0" fontId="0" fillId="2" borderId="0" xfId="0" applyFill="1" applyBorder="1" applyAlignment="1">
      <alignment vertical="center"/>
    </xf>
    <xf numFmtId="0" fontId="3" fillId="2" borderId="3" xfId="0" applyFont="1" applyFill="1" applyBorder="1" applyAlignment="1">
      <alignment horizontal="left" vertical="center" wrapText="1"/>
    </xf>
    <xf numFmtId="0" fontId="0" fillId="2" borderId="0" xfId="0" applyFill="1" applyBorder="1" applyAlignment="1">
      <alignment horizontal="left" vertical="center" wrapText="1"/>
    </xf>
    <xf numFmtId="0" fontId="0" fillId="2" borderId="0" xfId="0" applyFill="1" applyAlignment="1">
      <alignment vertical="center"/>
    </xf>
    <xf numFmtId="0" fontId="27" fillId="2" borderId="0" xfId="0" applyFont="1" applyFill="1" applyAlignment="1">
      <alignment vertical="center" wrapText="1"/>
    </xf>
    <xf numFmtId="0" fontId="0" fillId="2" borderId="2" xfId="0" applyFont="1" applyFill="1" applyBorder="1" applyAlignment="1">
      <alignment horizontal="left" vertical="center" wrapText="1"/>
    </xf>
    <xf numFmtId="0" fontId="0" fillId="2" borderId="3" xfId="0" applyFont="1" applyFill="1" applyBorder="1" applyAlignment="1">
      <alignment horizontal="center" vertical="center"/>
    </xf>
    <xf numFmtId="0" fontId="0" fillId="2" borderId="0" xfId="0" applyFont="1" applyFill="1" applyBorder="1" applyAlignment="1">
      <alignment horizontal="center" vertical="center"/>
    </xf>
    <xf numFmtId="165" fontId="0" fillId="2" borderId="0" xfId="0" applyNumberFormat="1" applyFont="1" applyFill="1" applyBorder="1" applyAlignment="1">
      <alignment horizontal="center" vertical="center"/>
    </xf>
    <xf numFmtId="0" fontId="0" fillId="2" borderId="2"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Candara" panose="020E0502030303020204" pitchFamily="34" charset="0"/>
                <a:ea typeface="Cambria Math" pitchFamily="18" charset="0"/>
                <a:cs typeface="Consolas" pitchFamily="49" charset="0"/>
              </a:defRPr>
            </a:pPr>
            <a:r>
              <a:rPr lang="en-US" sz="1200">
                <a:latin typeface="Candara" panose="020E0502030303020204" pitchFamily="34" charset="0"/>
                <a:ea typeface="Cambria Math" pitchFamily="18" charset="0"/>
                <a:cs typeface="Consolas" pitchFamily="49" charset="0"/>
              </a:rPr>
              <a:t>Figure</a:t>
            </a:r>
            <a:r>
              <a:rPr lang="en-US" sz="1200" baseline="0">
                <a:latin typeface="Candara" panose="020E0502030303020204" pitchFamily="34" charset="0"/>
                <a:ea typeface="Cambria Math" pitchFamily="18" charset="0"/>
                <a:cs typeface="Consolas" pitchFamily="49" charset="0"/>
              </a:rPr>
              <a:t> 19.1: </a:t>
            </a:r>
            <a:r>
              <a:rPr lang="en-US" sz="1200">
                <a:latin typeface="Candara" panose="020E0502030303020204" pitchFamily="34" charset="0"/>
                <a:ea typeface="Cambria Math" pitchFamily="18" charset="0"/>
                <a:cs typeface="Consolas" pitchFamily="49" charset="0"/>
              </a:rPr>
              <a:t>Number of  Human Rights related cases completed, 2007 - 2018</a:t>
            </a:r>
          </a:p>
        </c:rich>
      </c:tx>
      <c:layout>
        <c:manualLayout>
          <c:xMode val="edge"/>
          <c:yMode val="edge"/>
          <c:x val="0.18905817912973008"/>
          <c:y val="4.4516980465042842E-2"/>
        </c:manualLayout>
      </c:layout>
      <c:overlay val="0"/>
    </c:title>
    <c:autoTitleDeleted val="0"/>
    <c:plotArea>
      <c:layout>
        <c:manualLayout>
          <c:layoutTarget val="inner"/>
          <c:xMode val="edge"/>
          <c:yMode val="edge"/>
          <c:x val="5.8196166049002948E-2"/>
          <c:y val="0.19916835278591519"/>
          <c:w val="0.92374086663972155"/>
          <c:h val="0.67514480031714552"/>
        </c:manualLayout>
      </c:layout>
      <c:barChart>
        <c:barDir val="col"/>
        <c:grouping val="clustered"/>
        <c:varyColors val="0"/>
        <c:ser>
          <c:idx val="1"/>
          <c:order val="0"/>
          <c:spPr>
            <a:solidFill>
              <a:schemeClr val="accent4">
                <a:lumMod val="50000"/>
              </a:schemeClr>
            </a:solidFill>
          </c:spPr>
          <c:invertIfNegative val="0"/>
          <c:cat>
            <c:numRef>
              <c:f>'19.1'!$B$4:$M$4</c:f>
              <c:numCache>
                <c:formatCode>General</c:formatCode>
                <c:ptCount val="12"/>
                <c:pt idx="0">
                  <c:v>2007</c:v>
                </c:pt>
                <c:pt idx="1">
                  <c:v>2008</c:v>
                </c:pt>
                <c:pt idx="2">
                  <c:v>2009</c:v>
                </c:pt>
                <c:pt idx="3">
                  <c:v>2010</c:v>
                </c:pt>
                <c:pt idx="4">
                  <c:v>2011</c:v>
                </c:pt>
                <c:pt idx="5">
                  <c:v>2012</c:v>
                </c:pt>
                <c:pt idx="6">
                  <c:v>2013</c:v>
                </c:pt>
                <c:pt idx="7">
                  <c:v>2014</c:v>
                </c:pt>
                <c:pt idx="8">
                  <c:v>2015</c:v>
                </c:pt>
                <c:pt idx="9">
                  <c:v>2016</c:v>
                </c:pt>
                <c:pt idx="10">
                  <c:v>2017</c:v>
                </c:pt>
                <c:pt idx="11">
                  <c:v>2018</c:v>
                </c:pt>
              </c:numCache>
            </c:numRef>
          </c:cat>
          <c:val>
            <c:numRef>
              <c:f>'19.1'!$B$5:$M$5</c:f>
              <c:numCache>
                <c:formatCode>_(* #,##0_);_(* \(#,##0\);_(* "-"??_);_(@_)</c:formatCode>
                <c:ptCount val="12"/>
                <c:pt idx="0">
                  <c:v>293</c:v>
                </c:pt>
                <c:pt idx="1">
                  <c:v>421</c:v>
                </c:pt>
                <c:pt idx="2">
                  <c:v>376</c:v>
                </c:pt>
                <c:pt idx="3">
                  <c:v>120</c:v>
                </c:pt>
                <c:pt idx="4">
                  <c:v>252</c:v>
                </c:pt>
                <c:pt idx="5">
                  <c:v>221</c:v>
                </c:pt>
                <c:pt idx="6">
                  <c:v>352</c:v>
                </c:pt>
                <c:pt idx="7">
                  <c:v>244</c:v>
                </c:pt>
                <c:pt idx="8">
                  <c:v>775</c:v>
                </c:pt>
                <c:pt idx="9">
                  <c:v>1190</c:v>
                </c:pt>
                <c:pt idx="10">
                  <c:v>576</c:v>
                </c:pt>
                <c:pt idx="11">
                  <c:v>400</c:v>
                </c:pt>
              </c:numCache>
            </c:numRef>
          </c:val>
          <c:extLst>
            <c:ext xmlns:c16="http://schemas.microsoft.com/office/drawing/2014/chart" uri="{C3380CC4-5D6E-409C-BE32-E72D297353CC}">
              <c16:uniqueId val="{00000000-0E8D-47A7-9C91-656C89EAFA93}"/>
            </c:ext>
          </c:extLst>
        </c:ser>
        <c:dLbls>
          <c:showLegendKey val="0"/>
          <c:showVal val="0"/>
          <c:showCatName val="0"/>
          <c:showSerName val="0"/>
          <c:showPercent val="0"/>
          <c:showBubbleSize val="0"/>
        </c:dLbls>
        <c:gapWidth val="111"/>
        <c:overlap val="-1"/>
        <c:axId val="93077504"/>
        <c:axId val="93079040"/>
      </c:barChart>
      <c:catAx>
        <c:axId val="93077504"/>
        <c:scaling>
          <c:orientation val="minMax"/>
        </c:scaling>
        <c:delete val="0"/>
        <c:axPos val="b"/>
        <c:numFmt formatCode="General" sourceLinked="1"/>
        <c:majorTickMark val="none"/>
        <c:minorTickMark val="cross"/>
        <c:tickLblPos val="nextTo"/>
        <c:txPr>
          <a:bodyPr rot="0" vert="horz" anchor="t" anchorCtr="1"/>
          <a:lstStyle/>
          <a:p>
            <a:pPr>
              <a:defRPr sz="1050"/>
            </a:pPr>
            <a:endParaRPr lang="en-US"/>
          </a:p>
        </c:txPr>
        <c:crossAx val="93079040"/>
        <c:crosses val="autoZero"/>
        <c:auto val="1"/>
        <c:lblAlgn val="ctr"/>
        <c:lblOffset val="100"/>
        <c:noMultiLvlLbl val="0"/>
      </c:catAx>
      <c:valAx>
        <c:axId val="93079040"/>
        <c:scaling>
          <c:orientation val="minMax"/>
        </c:scaling>
        <c:delete val="0"/>
        <c:axPos val="l"/>
        <c:title>
          <c:tx>
            <c:rich>
              <a:bodyPr rot="0" vert="horz"/>
              <a:lstStyle/>
              <a:p>
                <a:pPr>
                  <a:defRPr sz="1050" b="0"/>
                </a:pPr>
                <a:r>
                  <a:rPr lang="en-US" sz="1050" b="0"/>
                  <a:t>Number</a:t>
                </a:r>
              </a:p>
            </c:rich>
          </c:tx>
          <c:layout>
            <c:manualLayout>
              <c:xMode val="edge"/>
              <c:yMode val="edge"/>
              <c:x val="1.4515563024426852E-2"/>
              <c:y val="0.10785053689812403"/>
            </c:manualLayout>
          </c:layout>
          <c:overlay val="0"/>
        </c:title>
        <c:numFmt formatCode="#,##0" sourceLinked="0"/>
        <c:majorTickMark val="out"/>
        <c:minorTickMark val="none"/>
        <c:tickLblPos val="nextTo"/>
        <c:crossAx val="93077504"/>
        <c:crosses val="autoZero"/>
        <c:crossBetween val="between"/>
      </c:valAx>
      <c:spPr>
        <a:solidFill>
          <a:srgbClr val="FFFBEF"/>
        </a:solidFill>
        <a:ln>
          <a:solidFill>
            <a:schemeClr val="bg1">
              <a:lumMod val="85000"/>
            </a:schemeClr>
          </a:solidFill>
        </a:ln>
      </c:spPr>
    </c:plotArea>
    <c:plotVisOnly val="1"/>
    <c:dispBlanksAs val="gap"/>
    <c:showDLblsOverMax val="0"/>
  </c:chart>
  <c:spPr>
    <a:solidFill>
      <a:schemeClr val="bg1"/>
    </a:solidFill>
  </c:spPr>
  <c:printSettings>
    <c:headerFooter/>
    <c:pageMargins b="0.750000000000004" l="0.70000000000000062" r="0.70000000000000062" t="0.750000000000004"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3"/>
    </mc:Choice>
    <mc:Fallback>
      <c:style val="23"/>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19.2: Number of Human Rights related cases reported and completed,</a:t>
            </a:r>
            <a:r>
              <a:rPr lang="en-US" sz="1100" baseline="0">
                <a:latin typeface="Consolas" pitchFamily="49" charset="0"/>
                <a:cs typeface="Consolas" pitchFamily="49" charset="0"/>
              </a:rPr>
              <a:t> 2011 - 2018</a:t>
            </a:r>
            <a:endParaRPr lang="en-US" sz="1100">
              <a:latin typeface="Consolas" pitchFamily="49" charset="0"/>
              <a:cs typeface="Consolas" pitchFamily="49" charset="0"/>
            </a:endParaRPr>
          </a:p>
        </c:rich>
      </c:tx>
      <c:layout>
        <c:manualLayout>
          <c:xMode val="edge"/>
          <c:yMode val="edge"/>
          <c:x val="0.13580019346944769"/>
          <c:y val="4.1666623355248913E-2"/>
        </c:manualLayout>
      </c:layout>
      <c:overlay val="0"/>
    </c:title>
    <c:autoTitleDeleted val="0"/>
    <c:plotArea>
      <c:layout>
        <c:manualLayout>
          <c:layoutTarget val="inner"/>
          <c:xMode val="edge"/>
          <c:yMode val="edge"/>
          <c:x val="5.4316020716389052E-2"/>
          <c:y val="0.15524314668999853"/>
          <c:w val="0.92459719907273996"/>
          <c:h val="0.74421905182644243"/>
        </c:manualLayout>
      </c:layout>
      <c:barChart>
        <c:barDir val="col"/>
        <c:grouping val="clustered"/>
        <c:varyColors val="0"/>
        <c:ser>
          <c:idx val="1"/>
          <c:order val="0"/>
          <c:tx>
            <c:strRef>
              <c:f>'19.2'!$A$5</c:f>
              <c:strCache>
                <c:ptCount val="1"/>
                <c:pt idx="0">
                  <c:v>Total Number of Cases submitted </c:v>
                </c:pt>
              </c:strCache>
            </c:strRef>
          </c:tx>
          <c:spPr>
            <a:solidFill>
              <a:schemeClr val="accent4">
                <a:lumMod val="50000"/>
              </a:schemeClr>
            </a:solidFill>
          </c:spPr>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'19.2'!$F$4:$M$4</c:f>
              <c:numCache>
                <c:formatCode>General</c:formatCode>
                <c:ptCount val="8"/>
                <c:pt idx="0">
                  <c:v>2011</c:v>
                </c:pt>
                <c:pt idx="1">
                  <c:v>2012</c:v>
                </c:pt>
                <c:pt idx="2">
                  <c:v>2013</c:v>
                </c:pt>
                <c:pt idx="3">
                  <c:v>2014</c:v>
                </c:pt>
                <c:pt idx="4">
                  <c:v>2015</c:v>
                </c:pt>
                <c:pt idx="5">
                  <c:v>2016</c:v>
                </c:pt>
                <c:pt idx="6">
                  <c:v>2017</c:v>
                </c:pt>
                <c:pt idx="7">
                  <c:v>2018</c:v>
                </c:pt>
              </c:numCache>
            </c:numRef>
          </c:cat>
          <c:val>
            <c:numRef>
              <c:f>'19.2'!$F$5:$M$5</c:f>
              <c:numCache>
                <c:formatCode>_(* #,##0_);_(* \(#,##0\);_(* "-"??_);_(@_)</c:formatCode>
                <c:ptCount val="8"/>
                <c:pt idx="0">
                  <c:v>625</c:v>
                </c:pt>
                <c:pt idx="1">
                  <c:v>732</c:v>
                </c:pt>
                <c:pt idx="2">
                  <c:v>719</c:v>
                </c:pt>
                <c:pt idx="3">
                  <c:v>529</c:v>
                </c:pt>
                <c:pt idx="4">
                  <c:v>592</c:v>
                </c:pt>
                <c:pt idx="5">
                  <c:v>538</c:v>
                </c:pt>
                <c:pt idx="6">
                  <c:v>365</c:v>
                </c:pt>
                <c:pt idx="7">
                  <c:v>396</c:v>
                </c:pt>
              </c:numCache>
            </c:numRef>
          </c:val>
          <c:extLst>
            <c:ext xmlns:c16="http://schemas.microsoft.com/office/drawing/2014/chart" uri="{C3380CC4-5D6E-409C-BE32-E72D297353CC}">
              <c16:uniqueId val="{00000000-0ACF-43BE-8AC0-C0CDF02AEE2F}"/>
            </c:ext>
          </c:extLst>
        </c:ser>
        <c:ser>
          <c:idx val="2"/>
          <c:order val="1"/>
          <c:tx>
            <c:strRef>
              <c:f>'19.2'!$A$6</c:f>
              <c:strCache>
                <c:ptCount val="1"/>
                <c:pt idx="0">
                  <c:v>Cases completed (year end)</c:v>
                </c:pt>
              </c:strCache>
            </c:strRef>
          </c:tx>
          <c:spPr>
            <a:solidFill>
              <a:schemeClr val="accent4">
                <a:lumMod val="75000"/>
              </a:schemeClr>
            </a:solid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'19.2'!$F$4:$M$4</c:f>
              <c:numCache>
                <c:formatCode>General</c:formatCode>
                <c:ptCount val="8"/>
                <c:pt idx="0">
                  <c:v>2011</c:v>
                </c:pt>
                <c:pt idx="1">
                  <c:v>2012</c:v>
                </c:pt>
                <c:pt idx="2">
                  <c:v>2013</c:v>
                </c:pt>
                <c:pt idx="3">
                  <c:v>2014</c:v>
                </c:pt>
                <c:pt idx="4">
                  <c:v>2015</c:v>
                </c:pt>
                <c:pt idx="5">
                  <c:v>2016</c:v>
                </c:pt>
                <c:pt idx="6">
                  <c:v>2017</c:v>
                </c:pt>
                <c:pt idx="7">
                  <c:v>2018</c:v>
                </c:pt>
              </c:numCache>
            </c:numRef>
          </c:cat>
          <c:val>
            <c:numRef>
              <c:f>'19.2'!$F$6:$M$6</c:f>
              <c:numCache>
                <c:formatCode>_(* #,##0_);_(* \(#,##0\);_(* "-"??_);_(@_)</c:formatCode>
                <c:ptCount val="8"/>
                <c:pt idx="0">
                  <c:v>252</c:v>
                </c:pt>
                <c:pt idx="1">
                  <c:v>221</c:v>
                </c:pt>
                <c:pt idx="2">
                  <c:v>352</c:v>
                </c:pt>
                <c:pt idx="3">
                  <c:v>244</c:v>
                </c:pt>
                <c:pt idx="4">
                  <c:v>775</c:v>
                </c:pt>
                <c:pt idx="5">
                  <c:v>1190</c:v>
                </c:pt>
                <c:pt idx="6">
                  <c:v>576</c:v>
                </c:pt>
                <c:pt idx="7">
                  <c:v>400</c:v>
                </c:pt>
              </c:numCache>
            </c:numRef>
          </c:val>
          <c:extLst>
            <c:ext xmlns:c16="http://schemas.microsoft.com/office/drawing/2014/chart" uri="{C3380CC4-5D6E-409C-BE32-E72D297353CC}">
              <c16:uniqueId val="{00000001-0ACF-43BE-8AC0-C0CDF02AEE2F}"/>
            </c:ext>
          </c:extLst>
        </c:ser>
        <c:ser>
          <c:idx val="3"/>
          <c:order val="2"/>
          <c:tx>
            <c:strRef>
              <c:f>'19.2'!$A$7</c:f>
              <c:strCache>
                <c:ptCount val="1"/>
                <c:pt idx="0">
                  <c:v>Cases incomplete (year end)</c:v>
                </c:pt>
              </c:strCache>
            </c:strRef>
          </c:tx>
          <c:spPr>
            <a:solidFill>
              <a:schemeClr val="accent4">
                <a:lumMod val="60000"/>
                <a:lumOff val="40000"/>
              </a:schemeClr>
            </a:solid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'19.2'!$F$4:$M$4</c:f>
              <c:numCache>
                <c:formatCode>General</c:formatCode>
                <c:ptCount val="8"/>
                <c:pt idx="0">
                  <c:v>2011</c:v>
                </c:pt>
                <c:pt idx="1">
                  <c:v>2012</c:v>
                </c:pt>
                <c:pt idx="2">
                  <c:v>2013</c:v>
                </c:pt>
                <c:pt idx="3">
                  <c:v>2014</c:v>
                </c:pt>
                <c:pt idx="4">
                  <c:v>2015</c:v>
                </c:pt>
                <c:pt idx="5">
                  <c:v>2016</c:v>
                </c:pt>
                <c:pt idx="6">
                  <c:v>2017</c:v>
                </c:pt>
                <c:pt idx="7">
                  <c:v>2018</c:v>
                </c:pt>
              </c:numCache>
            </c:numRef>
          </c:cat>
          <c:val>
            <c:numRef>
              <c:f>'19.2'!$F$7:$M$7</c:f>
              <c:numCache>
                <c:formatCode>_(* #,##0_);_(* \(#,##0\);_(* "-"??_);_(@_)</c:formatCode>
                <c:ptCount val="8"/>
                <c:pt idx="0">
                  <c:v>373</c:v>
                </c:pt>
                <c:pt idx="1">
                  <c:v>511</c:v>
                </c:pt>
                <c:pt idx="2">
                  <c:v>367</c:v>
                </c:pt>
                <c:pt idx="3">
                  <c:v>285</c:v>
                </c:pt>
                <c:pt idx="4">
                  <c:v>194</c:v>
                </c:pt>
                <c:pt idx="5">
                  <c:v>477</c:v>
                </c:pt>
                <c:pt idx="6">
                  <c:v>164</c:v>
                </c:pt>
                <c:pt idx="7">
                  <c:v>152</c:v>
                </c:pt>
              </c:numCache>
            </c:numRef>
          </c:val>
          <c:extLst>
            <c:ext xmlns:c16="http://schemas.microsoft.com/office/drawing/2014/chart" uri="{C3380CC4-5D6E-409C-BE32-E72D297353CC}">
              <c16:uniqueId val="{00000002-0ACF-43BE-8AC0-C0CDF02AEE2F}"/>
            </c:ext>
          </c:extLst>
        </c:ser>
        <c:dLbls>
          <c:showLegendKey val="0"/>
          <c:showVal val="0"/>
          <c:showCatName val="0"/>
          <c:showSerName val="0"/>
          <c:showPercent val="0"/>
          <c:showBubbleSize val="0"/>
        </c:dLbls>
        <c:gapWidth val="69"/>
        <c:overlap val="-2"/>
        <c:axId val="94693632"/>
        <c:axId val="94699520"/>
      </c:barChart>
      <c:catAx>
        <c:axId val="94693632"/>
        <c:scaling>
          <c:orientation val="minMax"/>
        </c:scaling>
        <c:delete val="0"/>
        <c:axPos val="b"/>
        <c:numFmt formatCode="General" sourceLinked="1"/>
        <c:majorTickMark val="none"/>
        <c:minorTickMark val="none"/>
        <c:tickLblPos val="nextTo"/>
        <c:crossAx val="94699520"/>
        <c:crosses val="autoZero"/>
        <c:auto val="1"/>
        <c:lblAlgn val="ctr"/>
        <c:lblOffset val="100"/>
        <c:noMultiLvlLbl val="0"/>
      </c:catAx>
      <c:valAx>
        <c:axId val="94699520"/>
        <c:scaling>
          <c:orientation val="minMax"/>
        </c:scaling>
        <c:delete val="0"/>
        <c:axPos val="l"/>
        <c:majorGridlines>
          <c:spPr>
            <a:ln>
              <a:noFill/>
            </a:ln>
          </c:spPr>
        </c:majorGridlines>
        <c:numFmt formatCode="#,##0" sourceLinked="0"/>
        <c:majorTickMark val="none"/>
        <c:minorTickMark val="none"/>
        <c:tickLblPos val="nextTo"/>
        <c:spPr>
          <a:ln w="9525">
            <a:noFill/>
          </a:ln>
        </c:spPr>
        <c:crossAx val="94693632"/>
        <c:crosses val="autoZero"/>
        <c:crossBetween val="between"/>
      </c:valAx>
      <c:spPr>
        <a:solidFill>
          <a:srgbClr val="FFFBEF"/>
        </a:solidFill>
        <a:ln>
          <a:solidFill>
            <a:schemeClr val="bg1">
              <a:lumMod val="50000"/>
            </a:schemeClr>
          </a:solidFill>
        </a:ln>
      </c:spPr>
    </c:plotArea>
    <c:legend>
      <c:legendPos val="b"/>
      <c:layout>
        <c:manualLayout>
          <c:xMode val="edge"/>
          <c:yMode val="edge"/>
          <c:x val="6.6385899078892793E-2"/>
          <c:y val="0.188605978708107"/>
          <c:w val="0.81535099182313386"/>
          <c:h val="8.7104592417277568E-2"/>
        </c:manualLayout>
      </c:layout>
      <c:overlay val="0"/>
      <c:txPr>
        <a:bodyPr/>
        <a:lstStyle/>
        <a:p>
          <a:pPr>
            <a:defRPr sz="1100"/>
          </a:pPr>
          <a:endParaRPr lang="en-US"/>
        </a:p>
      </c:txPr>
    </c:legend>
    <c:plotVisOnly val="1"/>
    <c:dispBlanksAs val="gap"/>
    <c:showDLblsOverMax val="0"/>
  </c:chart>
  <c:spPr>
    <a:solidFill>
      <a:schemeClr val="bg1"/>
    </a:solidFill>
  </c:spPr>
  <c:printSettings>
    <c:headerFooter/>
    <c:pageMargins b="0.75000000000000377" l="0.70000000000000062" r="0.70000000000000062" t="0.750000000000003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2638137</xdr:colOff>
      <xdr:row>45</xdr:row>
      <xdr:rowOff>48780</xdr:rowOff>
    </xdr:from>
    <xdr:to>
      <xdr:col>13</xdr:col>
      <xdr:colOff>533401</xdr:colOff>
      <xdr:row>58</xdr:row>
      <xdr:rowOff>9525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1571624</xdr:colOff>
      <xdr:row>10</xdr:row>
      <xdr:rowOff>190499</xdr:rowOff>
    </xdr:from>
    <xdr:to>
      <xdr:col>13</xdr:col>
      <xdr:colOff>1478280</xdr:colOff>
      <xdr:row>26</xdr:row>
      <xdr:rowOff>28574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RECEIVED/19%20%20HUMAN%20RIGH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1"/>
      <sheetName val="19.2"/>
      <sheetName val="19.3"/>
    </sheetNames>
    <sheetDataSet>
      <sheetData sheetId="0">
        <row r="4">
          <cell r="B4">
            <v>2007</v>
          </cell>
          <cell r="C4">
            <v>2008</v>
          </cell>
          <cell r="D4">
            <v>2009</v>
          </cell>
          <cell r="E4">
            <v>2010</v>
          </cell>
          <cell r="F4">
            <v>2011</v>
          </cell>
          <cell r="G4">
            <v>2012</v>
          </cell>
          <cell r="H4">
            <v>2013</v>
          </cell>
          <cell r="I4">
            <v>2014</v>
          </cell>
          <cell r="J4">
            <v>2015</v>
          </cell>
          <cell r="K4">
            <v>2016</v>
          </cell>
          <cell r="L4">
            <v>2017</v>
          </cell>
        </row>
        <row r="5">
          <cell r="B5">
            <v>293</v>
          </cell>
          <cell r="C5">
            <v>421</v>
          </cell>
          <cell r="D5">
            <v>376</v>
          </cell>
          <cell r="E5">
            <v>120</v>
          </cell>
          <cell r="F5">
            <v>252</v>
          </cell>
          <cell r="G5">
            <v>221</v>
          </cell>
          <cell r="H5">
            <v>352</v>
          </cell>
          <cell r="I5">
            <v>244</v>
          </cell>
          <cell r="J5">
            <v>775</v>
          </cell>
          <cell r="K5">
            <v>1190</v>
          </cell>
          <cell r="L5">
            <v>576</v>
          </cell>
        </row>
      </sheetData>
      <sheetData sheetId="1">
        <row r="4">
          <cell r="F4">
            <v>2011</v>
          </cell>
          <cell r="G4">
            <v>2012</v>
          </cell>
          <cell r="H4">
            <v>2013</v>
          </cell>
          <cell r="I4">
            <v>2014</v>
          </cell>
          <cell r="J4">
            <v>2015</v>
          </cell>
          <cell r="K4">
            <v>2016</v>
          </cell>
          <cell r="L4">
            <v>2017</v>
          </cell>
          <cell r="M4">
            <v>2018</v>
          </cell>
        </row>
        <row r="5">
          <cell r="A5" t="str">
            <v xml:space="preserve">Total Number of Cases submitted </v>
          </cell>
          <cell r="F5">
            <v>625</v>
          </cell>
          <cell r="G5">
            <v>732</v>
          </cell>
          <cell r="H5">
            <v>719</v>
          </cell>
          <cell r="I5">
            <v>529</v>
          </cell>
          <cell r="J5">
            <v>592</v>
          </cell>
          <cell r="K5">
            <v>538</v>
          </cell>
          <cell r="L5">
            <v>365</v>
          </cell>
          <cell r="M5">
            <v>396</v>
          </cell>
        </row>
        <row r="6">
          <cell r="A6" t="str">
            <v>Cases completed (year end)</v>
          </cell>
          <cell r="F6">
            <v>252</v>
          </cell>
          <cell r="G6">
            <v>221</v>
          </cell>
          <cell r="H6">
            <v>352</v>
          </cell>
          <cell r="I6">
            <v>244</v>
          </cell>
          <cell r="J6">
            <v>775</v>
          </cell>
          <cell r="K6">
            <v>1190</v>
          </cell>
          <cell r="L6">
            <v>576</v>
          </cell>
          <cell r="M6">
            <v>400</v>
          </cell>
        </row>
        <row r="7">
          <cell r="A7" t="str">
            <v>Cases incomplete (year end)</v>
          </cell>
          <cell r="F7">
            <v>373</v>
          </cell>
          <cell r="G7">
            <v>511</v>
          </cell>
          <cell r="H7">
            <v>367</v>
          </cell>
          <cell r="I7">
            <v>285</v>
          </cell>
          <cell r="J7">
            <v>194</v>
          </cell>
          <cell r="K7">
            <v>477</v>
          </cell>
          <cell r="L7">
            <v>164</v>
          </cell>
          <cell r="M7">
            <v>152</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4"/>
  <sheetViews>
    <sheetView topLeftCell="A34" workbookViewId="0">
      <selection activeCell="N56" sqref="N56"/>
    </sheetView>
  </sheetViews>
  <sheetFormatPr defaultColWidth="9.140625" defaultRowHeight="15" x14ac:dyDescent="0.25"/>
  <cols>
    <col min="1" max="1" width="44.85546875" style="2" customWidth="1"/>
    <col min="2" max="10" width="8.85546875" style="2" customWidth="1"/>
    <col min="11" max="13" width="10.42578125" style="2" customWidth="1"/>
    <col min="14" max="14" width="53.7109375" style="29" customWidth="1"/>
    <col min="15" max="18" width="9.140625" style="2"/>
    <col min="19" max="19" width="27" style="2" customWidth="1"/>
    <col min="20" max="22" width="9.140625" style="2"/>
    <col min="23" max="23" width="24.85546875" style="2" customWidth="1"/>
    <col min="24" max="24" width="5.7109375" style="2" customWidth="1"/>
    <col min="25" max="16384" width="9.140625" style="2"/>
  </cols>
  <sheetData>
    <row r="1" spans="1:24" ht="21.75" x14ac:dyDescent="0.55000000000000004">
      <c r="A1" s="1" t="s">
        <v>0</v>
      </c>
      <c r="B1" s="1"/>
      <c r="C1" s="1"/>
      <c r="D1" s="1"/>
      <c r="E1" s="1"/>
      <c r="F1" s="1"/>
      <c r="G1" s="1"/>
      <c r="H1" s="1"/>
      <c r="I1" s="1"/>
      <c r="J1" s="1"/>
      <c r="K1" s="1"/>
      <c r="L1" s="1"/>
      <c r="M1" s="1"/>
      <c r="N1" s="1"/>
    </row>
    <row r="2" spans="1:24" ht="15.75" x14ac:dyDescent="0.25">
      <c r="A2" s="3" t="s">
        <v>1</v>
      </c>
      <c r="B2" s="3"/>
      <c r="C2" s="3"/>
      <c r="D2" s="3"/>
      <c r="E2" s="3"/>
      <c r="F2" s="3"/>
      <c r="G2" s="3"/>
      <c r="H2" s="3"/>
      <c r="I2" s="3"/>
      <c r="J2" s="3"/>
      <c r="K2" s="3"/>
      <c r="L2" s="3"/>
      <c r="M2" s="3"/>
      <c r="N2" s="3"/>
    </row>
    <row r="3" spans="1:24" ht="21.75" x14ac:dyDescent="0.55000000000000004">
      <c r="N3" s="4"/>
    </row>
    <row r="4" spans="1:24" s="8" customFormat="1" ht="21.75" x14ac:dyDescent="0.55000000000000004">
      <c r="A4" s="5" t="s">
        <v>2</v>
      </c>
      <c r="B4" s="6">
        <v>2007</v>
      </c>
      <c r="C4" s="6">
        <v>2008</v>
      </c>
      <c r="D4" s="6">
        <v>2009</v>
      </c>
      <c r="E4" s="6">
        <v>2010</v>
      </c>
      <c r="F4" s="6">
        <v>2011</v>
      </c>
      <c r="G4" s="6">
        <v>2012</v>
      </c>
      <c r="H4" s="6">
        <v>2013</v>
      </c>
      <c r="I4" s="6">
        <v>2014</v>
      </c>
      <c r="J4" s="6">
        <v>2015</v>
      </c>
      <c r="K4" s="6">
        <v>2016</v>
      </c>
      <c r="L4" s="6">
        <v>2017</v>
      </c>
      <c r="M4" s="6">
        <v>2018</v>
      </c>
      <c r="N4" s="7" t="s">
        <v>3</v>
      </c>
    </row>
    <row r="5" spans="1:24" ht="20.45" customHeight="1" x14ac:dyDescent="0.25">
      <c r="A5" s="9" t="s">
        <v>4</v>
      </c>
      <c r="B5" s="10">
        <f>SUM(B6:B43)</f>
        <v>293</v>
      </c>
      <c r="C5" s="10">
        <f t="shared" ref="C5:L5" si="0">SUM(C6:C43)</f>
        <v>421</v>
      </c>
      <c r="D5" s="10">
        <f t="shared" si="0"/>
        <v>376</v>
      </c>
      <c r="E5" s="10">
        <f t="shared" si="0"/>
        <v>120</v>
      </c>
      <c r="F5" s="10">
        <f t="shared" si="0"/>
        <v>252</v>
      </c>
      <c r="G5" s="10">
        <f t="shared" si="0"/>
        <v>221</v>
      </c>
      <c r="H5" s="10">
        <f t="shared" si="0"/>
        <v>352</v>
      </c>
      <c r="I5" s="10">
        <f>SUM(I6:I43)</f>
        <v>244</v>
      </c>
      <c r="J5" s="10">
        <f t="shared" si="0"/>
        <v>775</v>
      </c>
      <c r="K5" s="10">
        <f t="shared" si="0"/>
        <v>1190</v>
      </c>
      <c r="L5" s="10">
        <f t="shared" si="0"/>
        <v>576</v>
      </c>
      <c r="M5" s="10">
        <f>SUM(M6:M43)</f>
        <v>400</v>
      </c>
      <c r="N5" s="11" t="s">
        <v>5</v>
      </c>
      <c r="W5" s="12"/>
      <c r="X5" s="13"/>
    </row>
    <row r="6" spans="1:24" ht="24" customHeight="1" x14ac:dyDescent="0.25">
      <c r="A6" s="136" t="s">
        <v>6</v>
      </c>
      <c r="B6" s="14" t="s">
        <v>7</v>
      </c>
      <c r="C6" s="14" t="s">
        <v>7</v>
      </c>
      <c r="D6" s="14" t="s">
        <v>7</v>
      </c>
      <c r="E6" s="13">
        <v>0</v>
      </c>
      <c r="F6" s="14">
        <v>4</v>
      </c>
      <c r="G6" s="13">
        <v>4</v>
      </c>
      <c r="H6" s="13">
        <v>4</v>
      </c>
      <c r="I6" s="13">
        <v>0</v>
      </c>
      <c r="J6" s="13">
        <v>3</v>
      </c>
      <c r="K6" s="13">
        <v>4</v>
      </c>
      <c r="L6" s="13">
        <v>3</v>
      </c>
      <c r="M6" s="126">
        <v>1</v>
      </c>
      <c r="N6" s="133" t="s">
        <v>8</v>
      </c>
      <c r="W6" s="12"/>
      <c r="X6" s="13"/>
    </row>
    <row r="7" spans="1:24" ht="24" customHeight="1" x14ac:dyDescent="0.25">
      <c r="A7" s="136" t="s">
        <v>9</v>
      </c>
      <c r="B7" s="14" t="s">
        <v>7</v>
      </c>
      <c r="C7" s="14" t="s">
        <v>7</v>
      </c>
      <c r="D7" s="14" t="s">
        <v>7</v>
      </c>
      <c r="E7" s="13">
        <v>1</v>
      </c>
      <c r="F7" s="13">
        <v>0</v>
      </c>
      <c r="G7" s="13">
        <v>13</v>
      </c>
      <c r="H7" s="13">
        <v>0</v>
      </c>
      <c r="I7" s="13">
        <v>0</v>
      </c>
      <c r="J7" s="13">
        <v>0</v>
      </c>
      <c r="K7" s="13">
        <v>0</v>
      </c>
      <c r="L7" s="13">
        <v>1</v>
      </c>
      <c r="M7" s="126">
        <v>0</v>
      </c>
      <c r="N7" s="133" t="s">
        <v>10</v>
      </c>
      <c r="W7" s="12"/>
      <c r="X7" s="13"/>
    </row>
    <row r="8" spans="1:24" ht="24" customHeight="1" x14ac:dyDescent="0.25">
      <c r="A8" s="136" t="s">
        <v>11</v>
      </c>
      <c r="B8" s="14" t="s">
        <v>7</v>
      </c>
      <c r="C8" s="14" t="s">
        <v>7</v>
      </c>
      <c r="D8" s="14" t="s">
        <v>7</v>
      </c>
      <c r="E8" s="13">
        <v>1</v>
      </c>
      <c r="F8" s="13">
        <v>0</v>
      </c>
      <c r="G8" s="13" t="s">
        <v>7</v>
      </c>
      <c r="H8" s="13">
        <v>0</v>
      </c>
      <c r="I8" s="13">
        <v>0</v>
      </c>
      <c r="J8" s="13">
        <v>0</v>
      </c>
      <c r="K8" s="13">
        <v>0</v>
      </c>
      <c r="L8" s="13">
        <v>1</v>
      </c>
      <c r="M8" s="126">
        <v>0</v>
      </c>
      <c r="N8" s="133" t="s">
        <v>12</v>
      </c>
      <c r="W8" s="12"/>
      <c r="X8" s="13"/>
    </row>
    <row r="9" spans="1:24" ht="21" customHeight="1" x14ac:dyDescent="0.25">
      <c r="A9" s="136" t="s">
        <v>13</v>
      </c>
      <c r="B9" s="14">
        <v>2</v>
      </c>
      <c r="C9" s="14" t="s">
        <v>7</v>
      </c>
      <c r="D9" s="14">
        <v>0</v>
      </c>
      <c r="E9" s="13">
        <v>1</v>
      </c>
      <c r="F9" s="14">
        <v>2</v>
      </c>
      <c r="G9" s="13">
        <v>0</v>
      </c>
      <c r="H9" s="13">
        <v>3</v>
      </c>
      <c r="I9" s="13">
        <v>2</v>
      </c>
      <c r="J9" s="13">
        <v>9</v>
      </c>
      <c r="K9" s="13">
        <v>5</v>
      </c>
      <c r="L9" s="13">
        <v>5</v>
      </c>
      <c r="M9" s="126">
        <v>12</v>
      </c>
      <c r="N9" s="133" t="s">
        <v>14</v>
      </c>
      <c r="W9" s="12"/>
      <c r="X9" s="13"/>
    </row>
    <row r="10" spans="1:24" ht="23.25" customHeight="1" x14ac:dyDescent="0.25">
      <c r="A10" s="136" t="s">
        <v>15</v>
      </c>
      <c r="B10" s="14">
        <v>58</v>
      </c>
      <c r="C10" s="14">
        <v>73</v>
      </c>
      <c r="D10" s="14">
        <v>56</v>
      </c>
      <c r="E10" s="13">
        <v>22</v>
      </c>
      <c r="F10" s="14">
        <v>32</v>
      </c>
      <c r="G10" s="13">
        <v>41</v>
      </c>
      <c r="H10" s="13">
        <v>110</v>
      </c>
      <c r="I10" s="13">
        <v>62</v>
      </c>
      <c r="J10" s="13">
        <v>262</v>
      </c>
      <c r="K10" s="13">
        <v>320</v>
      </c>
      <c r="L10" s="13">
        <v>117</v>
      </c>
      <c r="M10" s="126">
        <v>115</v>
      </c>
      <c r="N10" s="133" t="s">
        <v>16</v>
      </c>
      <c r="O10" s="15"/>
      <c r="P10" s="15"/>
      <c r="Q10" s="15"/>
      <c r="R10" s="15"/>
      <c r="S10" s="15"/>
      <c r="T10" s="15"/>
      <c r="U10" s="15"/>
      <c r="V10" s="15"/>
      <c r="W10" s="15"/>
      <c r="X10" s="13"/>
    </row>
    <row r="11" spans="1:24" ht="24" customHeight="1" x14ac:dyDescent="0.25">
      <c r="A11" s="136" t="s">
        <v>17</v>
      </c>
      <c r="B11" s="14">
        <v>10</v>
      </c>
      <c r="C11" s="14" t="s">
        <v>7</v>
      </c>
      <c r="D11" s="14">
        <v>5</v>
      </c>
      <c r="E11" s="13">
        <v>0</v>
      </c>
      <c r="F11" s="14">
        <v>2</v>
      </c>
      <c r="G11" s="13">
        <v>8</v>
      </c>
      <c r="H11" s="13">
        <v>5</v>
      </c>
      <c r="I11" s="13">
        <v>3</v>
      </c>
      <c r="J11" s="13">
        <v>4</v>
      </c>
      <c r="K11" s="13">
        <v>5</v>
      </c>
      <c r="L11" s="13">
        <v>0</v>
      </c>
      <c r="M11" s="126">
        <v>6</v>
      </c>
      <c r="N11" s="133" t="s">
        <v>18</v>
      </c>
      <c r="O11" s="16"/>
      <c r="P11" s="16"/>
      <c r="Q11" s="16"/>
      <c r="R11" s="16"/>
      <c r="S11" s="16"/>
      <c r="T11" s="16"/>
      <c r="U11" s="16"/>
      <c r="V11" s="16"/>
      <c r="W11" s="17"/>
      <c r="X11" s="13"/>
    </row>
    <row r="12" spans="1:24" ht="24" customHeight="1" x14ac:dyDescent="0.25">
      <c r="A12" s="137" t="s">
        <v>130</v>
      </c>
      <c r="B12" s="14"/>
      <c r="C12" s="14">
        <v>0</v>
      </c>
      <c r="D12" s="14">
        <v>0</v>
      </c>
      <c r="E12" s="13">
        <v>0</v>
      </c>
      <c r="F12" s="14">
        <v>0</v>
      </c>
      <c r="G12" s="13">
        <v>0</v>
      </c>
      <c r="H12" s="13">
        <v>0</v>
      </c>
      <c r="I12" s="13">
        <v>0</v>
      </c>
      <c r="J12" s="13">
        <v>0</v>
      </c>
      <c r="K12" s="13">
        <v>2</v>
      </c>
      <c r="L12" s="13">
        <v>0</v>
      </c>
      <c r="M12" s="126">
        <v>0</v>
      </c>
      <c r="N12" s="133" t="s">
        <v>19</v>
      </c>
      <c r="O12" s="16"/>
      <c r="P12" s="16"/>
      <c r="Q12" s="16"/>
      <c r="R12" s="16"/>
      <c r="S12" s="16"/>
      <c r="T12" s="16"/>
      <c r="U12" s="16"/>
      <c r="V12" s="16"/>
      <c r="W12" s="17"/>
      <c r="X12" s="13"/>
    </row>
    <row r="13" spans="1:24" ht="24" customHeight="1" x14ac:dyDescent="0.25">
      <c r="A13" s="136" t="s">
        <v>20</v>
      </c>
      <c r="B13" s="14">
        <v>4</v>
      </c>
      <c r="C13" s="14">
        <v>9</v>
      </c>
      <c r="D13" s="14">
        <v>16</v>
      </c>
      <c r="E13" s="13">
        <v>0</v>
      </c>
      <c r="F13" s="14">
        <v>7</v>
      </c>
      <c r="G13" s="13">
        <v>2</v>
      </c>
      <c r="H13" s="13">
        <v>10</v>
      </c>
      <c r="I13" s="13">
        <v>8</v>
      </c>
      <c r="J13" s="13">
        <v>3</v>
      </c>
      <c r="K13" s="13">
        <v>12</v>
      </c>
      <c r="L13" s="13">
        <v>1</v>
      </c>
      <c r="M13" s="126">
        <v>9</v>
      </c>
      <c r="N13" s="133" t="s">
        <v>21</v>
      </c>
      <c r="O13" s="16"/>
      <c r="P13" s="16"/>
      <c r="Q13" s="16"/>
      <c r="R13" s="16"/>
      <c r="S13" s="16"/>
      <c r="T13" s="16"/>
      <c r="U13" s="16"/>
      <c r="V13" s="16"/>
      <c r="W13" s="17"/>
      <c r="X13" s="13"/>
    </row>
    <row r="14" spans="1:24" ht="24" customHeight="1" x14ac:dyDescent="0.25">
      <c r="A14" s="136" t="s">
        <v>22</v>
      </c>
      <c r="B14" s="14" t="s">
        <v>7</v>
      </c>
      <c r="C14" s="14" t="s">
        <v>7</v>
      </c>
      <c r="D14" s="14" t="s">
        <v>7</v>
      </c>
      <c r="E14" s="13">
        <v>0</v>
      </c>
      <c r="F14" s="14">
        <v>1</v>
      </c>
      <c r="G14" s="13">
        <v>0</v>
      </c>
      <c r="H14" s="13">
        <v>1</v>
      </c>
      <c r="I14" s="13">
        <v>0</v>
      </c>
      <c r="J14" s="13">
        <v>14</v>
      </c>
      <c r="K14" s="13">
        <v>20</v>
      </c>
      <c r="L14" s="13">
        <v>0</v>
      </c>
      <c r="M14" s="126">
        <v>0</v>
      </c>
      <c r="N14" s="133" t="s">
        <v>23</v>
      </c>
      <c r="W14" s="12"/>
      <c r="X14" s="13"/>
    </row>
    <row r="15" spans="1:24" ht="24" customHeight="1" x14ac:dyDescent="0.25">
      <c r="A15" s="136" t="s">
        <v>24</v>
      </c>
      <c r="B15" s="14" t="s">
        <v>7</v>
      </c>
      <c r="C15" s="14" t="s">
        <v>7</v>
      </c>
      <c r="D15" s="14" t="s">
        <v>7</v>
      </c>
      <c r="E15" s="13">
        <v>1</v>
      </c>
      <c r="F15" s="13" t="s">
        <v>7</v>
      </c>
      <c r="G15" s="13" t="s">
        <v>7</v>
      </c>
      <c r="H15" s="13">
        <v>5</v>
      </c>
      <c r="I15" s="13">
        <v>0</v>
      </c>
      <c r="J15" s="13">
        <v>2</v>
      </c>
      <c r="K15" s="13">
        <v>2</v>
      </c>
      <c r="L15" s="13">
        <v>0</v>
      </c>
      <c r="M15" s="126">
        <v>1</v>
      </c>
      <c r="N15" s="133" t="s">
        <v>25</v>
      </c>
      <c r="W15" s="12"/>
      <c r="X15" s="13"/>
    </row>
    <row r="16" spans="1:24" ht="31.5" x14ac:dyDescent="0.25">
      <c r="A16" s="136" t="s">
        <v>26</v>
      </c>
      <c r="B16" s="14" t="s">
        <v>7</v>
      </c>
      <c r="C16" s="14" t="s">
        <v>7</v>
      </c>
      <c r="D16" s="14" t="s">
        <v>7</v>
      </c>
      <c r="E16" s="13">
        <v>0</v>
      </c>
      <c r="F16" s="14">
        <v>1</v>
      </c>
      <c r="G16" s="13">
        <v>0</v>
      </c>
      <c r="H16" s="13">
        <v>0</v>
      </c>
      <c r="I16" s="13">
        <v>2</v>
      </c>
      <c r="J16" s="13">
        <v>1</v>
      </c>
      <c r="K16" s="13">
        <v>1</v>
      </c>
      <c r="L16" s="13">
        <v>0</v>
      </c>
      <c r="M16" s="126">
        <v>0</v>
      </c>
      <c r="N16" s="133" t="s">
        <v>27</v>
      </c>
      <c r="W16" s="12"/>
      <c r="X16" s="13"/>
    </row>
    <row r="17" spans="1:24" ht="32.450000000000003" customHeight="1" x14ac:dyDescent="0.25">
      <c r="A17" s="136" t="s">
        <v>28</v>
      </c>
      <c r="B17" s="14" t="s">
        <v>7</v>
      </c>
      <c r="C17" s="14" t="s">
        <v>7</v>
      </c>
      <c r="D17" s="14" t="s">
        <v>7</v>
      </c>
      <c r="E17" s="14" t="s">
        <v>7</v>
      </c>
      <c r="F17" s="14" t="s">
        <v>7</v>
      </c>
      <c r="G17" s="14" t="s">
        <v>7</v>
      </c>
      <c r="H17" s="13">
        <v>2</v>
      </c>
      <c r="I17" s="13">
        <v>0</v>
      </c>
      <c r="J17" s="13">
        <v>0</v>
      </c>
      <c r="K17" s="13">
        <v>0</v>
      </c>
      <c r="L17" s="13">
        <v>1</v>
      </c>
      <c r="M17" s="126">
        <v>1</v>
      </c>
      <c r="N17" s="133" t="s">
        <v>29</v>
      </c>
      <c r="W17" s="12"/>
      <c r="X17" s="13"/>
    </row>
    <row r="18" spans="1:24" ht="32.450000000000003" customHeight="1" x14ac:dyDescent="0.25">
      <c r="A18" s="137" t="s">
        <v>31</v>
      </c>
      <c r="B18" s="14"/>
      <c r="C18" s="14">
        <v>0</v>
      </c>
      <c r="D18" s="14">
        <v>0</v>
      </c>
      <c r="E18" s="14">
        <v>0</v>
      </c>
      <c r="F18" s="14">
        <v>0</v>
      </c>
      <c r="G18" s="14">
        <v>0</v>
      </c>
      <c r="H18" s="13">
        <v>0</v>
      </c>
      <c r="I18" s="13">
        <v>0</v>
      </c>
      <c r="J18" s="13">
        <v>0</v>
      </c>
      <c r="K18" s="13">
        <v>0</v>
      </c>
      <c r="L18" s="13">
        <v>0</v>
      </c>
      <c r="M18" s="126">
        <v>0</v>
      </c>
      <c r="N18" s="133" t="s">
        <v>30</v>
      </c>
      <c r="W18" s="12"/>
      <c r="X18" s="13"/>
    </row>
    <row r="19" spans="1:24" ht="24" customHeight="1" x14ac:dyDescent="0.25">
      <c r="A19" s="136" t="s">
        <v>31</v>
      </c>
      <c r="B19" s="14" t="s">
        <v>7</v>
      </c>
      <c r="C19" s="14" t="s">
        <v>7</v>
      </c>
      <c r="D19" s="14" t="s">
        <v>7</v>
      </c>
      <c r="E19" s="13">
        <v>0</v>
      </c>
      <c r="F19" s="14">
        <v>0</v>
      </c>
      <c r="G19" s="13">
        <v>3</v>
      </c>
      <c r="H19" s="13">
        <v>0</v>
      </c>
      <c r="I19" s="13">
        <v>0</v>
      </c>
      <c r="J19" s="13">
        <v>5</v>
      </c>
      <c r="K19" s="13">
        <v>2</v>
      </c>
      <c r="L19" s="13">
        <v>2</v>
      </c>
      <c r="M19" s="126">
        <v>0</v>
      </c>
      <c r="N19" s="133" t="s">
        <v>32</v>
      </c>
      <c r="W19" s="12"/>
      <c r="X19" s="13"/>
    </row>
    <row r="20" spans="1:24" ht="24" customHeight="1" x14ac:dyDescent="0.25">
      <c r="A20" s="136" t="s">
        <v>33</v>
      </c>
      <c r="B20" s="14" t="s">
        <v>7</v>
      </c>
      <c r="C20" s="14" t="s">
        <v>7</v>
      </c>
      <c r="D20" s="14" t="s">
        <v>7</v>
      </c>
      <c r="E20" s="13">
        <v>1</v>
      </c>
      <c r="F20" s="14">
        <v>2</v>
      </c>
      <c r="G20" s="13">
        <v>3</v>
      </c>
      <c r="H20" s="13">
        <v>2</v>
      </c>
      <c r="I20" s="13">
        <v>1</v>
      </c>
      <c r="J20" s="13">
        <v>6</v>
      </c>
      <c r="K20" s="13">
        <v>11</v>
      </c>
      <c r="L20" s="13">
        <v>2</v>
      </c>
      <c r="M20" s="126">
        <v>0</v>
      </c>
      <c r="N20" s="133" t="s">
        <v>34</v>
      </c>
      <c r="W20" s="12"/>
      <c r="X20" s="13"/>
    </row>
    <row r="21" spans="1:24" ht="24" customHeight="1" x14ac:dyDescent="0.25">
      <c r="A21" s="136" t="s">
        <v>35</v>
      </c>
      <c r="B21" s="14">
        <v>9</v>
      </c>
      <c r="C21" s="14">
        <v>9</v>
      </c>
      <c r="D21" s="14">
        <v>8</v>
      </c>
      <c r="E21" s="13">
        <v>4</v>
      </c>
      <c r="F21" s="14">
        <v>11</v>
      </c>
      <c r="G21" s="13">
        <v>12</v>
      </c>
      <c r="H21" s="13">
        <v>10</v>
      </c>
      <c r="I21" s="13">
        <v>9</v>
      </c>
      <c r="J21" s="13">
        <v>12</v>
      </c>
      <c r="K21" s="13">
        <v>9</v>
      </c>
      <c r="L21" s="13">
        <v>6</v>
      </c>
      <c r="M21" s="126">
        <v>11</v>
      </c>
      <c r="N21" s="133" t="s">
        <v>36</v>
      </c>
      <c r="W21" s="12"/>
      <c r="X21" s="13"/>
    </row>
    <row r="22" spans="1:24" ht="43.15" customHeight="1" x14ac:dyDescent="0.25">
      <c r="A22" s="136" t="s">
        <v>37</v>
      </c>
      <c r="B22" s="14">
        <v>1</v>
      </c>
      <c r="C22" s="14">
        <v>8</v>
      </c>
      <c r="D22" s="14">
        <v>10</v>
      </c>
      <c r="E22" s="13">
        <v>7</v>
      </c>
      <c r="F22" s="14">
        <v>18</v>
      </c>
      <c r="G22" s="14">
        <v>9</v>
      </c>
      <c r="H22" s="14">
        <v>30</v>
      </c>
      <c r="I22" s="14">
        <v>26</v>
      </c>
      <c r="J22" s="14">
        <v>73</v>
      </c>
      <c r="K22" s="14">
        <v>106</v>
      </c>
      <c r="L22" s="14">
        <v>120</v>
      </c>
      <c r="M22" s="127">
        <v>64</v>
      </c>
      <c r="N22" s="133" t="s">
        <v>38</v>
      </c>
      <c r="W22" s="12"/>
      <c r="X22" s="13"/>
    </row>
    <row r="23" spans="1:24" ht="24" customHeight="1" x14ac:dyDescent="0.25">
      <c r="A23" s="136" t="s">
        <v>39</v>
      </c>
      <c r="B23" s="14">
        <v>3</v>
      </c>
      <c r="C23" s="14">
        <v>18</v>
      </c>
      <c r="D23" s="14">
        <v>20</v>
      </c>
      <c r="E23" s="13">
        <v>6</v>
      </c>
      <c r="F23" s="14">
        <v>5</v>
      </c>
      <c r="G23" s="13">
        <v>27</v>
      </c>
      <c r="H23" s="13">
        <v>18</v>
      </c>
      <c r="I23" s="13">
        <v>8</v>
      </c>
      <c r="J23" s="13">
        <v>28</v>
      </c>
      <c r="K23" s="13">
        <v>21</v>
      </c>
      <c r="L23" s="13">
        <v>4</v>
      </c>
      <c r="M23" s="126">
        <v>4</v>
      </c>
      <c r="N23" s="133" t="s">
        <v>40</v>
      </c>
      <c r="W23" s="12"/>
      <c r="X23" s="13"/>
    </row>
    <row r="24" spans="1:24" ht="24" customHeight="1" x14ac:dyDescent="0.25">
      <c r="A24" s="136" t="s">
        <v>41</v>
      </c>
      <c r="B24" s="14">
        <v>44</v>
      </c>
      <c r="C24" s="14">
        <v>113</v>
      </c>
      <c r="D24" s="14">
        <v>110</v>
      </c>
      <c r="E24" s="13">
        <v>42</v>
      </c>
      <c r="F24" s="14">
        <v>62</v>
      </c>
      <c r="G24" s="13">
        <v>28</v>
      </c>
      <c r="H24" s="13">
        <v>40</v>
      </c>
      <c r="I24" s="13">
        <v>36</v>
      </c>
      <c r="J24" s="13">
        <v>65</v>
      </c>
      <c r="K24" s="13">
        <v>101</v>
      </c>
      <c r="L24" s="13">
        <v>22</v>
      </c>
      <c r="M24" s="126">
        <v>18</v>
      </c>
      <c r="N24" s="133" t="s">
        <v>42</v>
      </c>
      <c r="W24" s="12"/>
      <c r="X24" s="13"/>
    </row>
    <row r="25" spans="1:24" ht="24" customHeight="1" x14ac:dyDescent="0.25">
      <c r="A25" s="136" t="s">
        <v>43</v>
      </c>
      <c r="B25" s="14" t="s">
        <v>44</v>
      </c>
      <c r="C25" s="14" t="s">
        <v>44</v>
      </c>
      <c r="D25" s="14" t="s">
        <v>44</v>
      </c>
      <c r="E25" s="13" t="s">
        <v>44</v>
      </c>
      <c r="F25" s="14" t="s">
        <v>44</v>
      </c>
      <c r="G25" s="13" t="s">
        <v>44</v>
      </c>
      <c r="H25" s="13" t="s">
        <v>44</v>
      </c>
      <c r="I25" s="13" t="s">
        <v>7</v>
      </c>
      <c r="J25" s="13" t="s">
        <v>44</v>
      </c>
      <c r="K25" s="13" t="s">
        <v>44</v>
      </c>
      <c r="L25" s="13" t="s">
        <v>44</v>
      </c>
      <c r="M25" s="126">
        <v>6</v>
      </c>
      <c r="N25" s="133" t="s">
        <v>45</v>
      </c>
      <c r="W25" s="12"/>
      <c r="X25" s="13"/>
    </row>
    <row r="26" spans="1:24" ht="24" customHeight="1" x14ac:dyDescent="0.25">
      <c r="A26" s="136" t="s">
        <v>46</v>
      </c>
      <c r="B26" s="14" t="s">
        <v>7</v>
      </c>
      <c r="C26" s="14" t="s">
        <v>7</v>
      </c>
      <c r="D26" s="14" t="s">
        <v>7</v>
      </c>
      <c r="E26" s="13">
        <v>2</v>
      </c>
      <c r="F26" s="14">
        <v>12</v>
      </c>
      <c r="G26" s="13">
        <v>1</v>
      </c>
      <c r="H26" s="13">
        <v>2</v>
      </c>
      <c r="I26" s="13">
        <v>1</v>
      </c>
      <c r="J26" s="13">
        <v>2</v>
      </c>
      <c r="K26" s="13">
        <v>8</v>
      </c>
      <c r="L26" s="13">
        <v>2</v>
      </c>
      <c r="M26" s="126">
        <v>2</v>
      </c>
      <c r="N26" s="133" t="s">
        <v>47</v>
      </c>
      <c r="W26" s="12"/>
      <c r="X26" s="13"/>
    </row>
    <row r="27" spans="1:24" ht="24" customHeight="1" x14ac:dyDescent="0.25">
      <c r="A27" s="136" t="s">
        <v>48</v>
      </c>
      <c r="B27" s="14" t="s">
        <v>7</v>
      </c>
      <c r="C27" s="14" t="s">
        <v>7</v>
      </c>
      <c r="D27" s="14" t="s">
        <v>7</v>
      </c>
      <c r="E27" s="13" t="s">
        <v>7</v>
      </c>
      <c r="F27" s="14">
        <v>0</v>
      </c>
      <c r="G27" s="13">
        <v>5</v>
      </c>
      <c r="H27" s="13">
        <v>1</v>
      </c>
      <c r="I27" s="13">
        <v>0</v>
      </c>
      <c r="J27" s="13">
        <v>2</v>
      </c>
      <c r="K27" s="13">
        <v>8</v>
      </c>
      <c r="L27" s="13">
        <v>10</v>
      </c>
      <c r="M27" s="126">
        <v>1</v>
      </c>
      <c r="N27" s="133" t="s">
        <v>49</v>
      </c>
      <c r="W27" s="12"/>
      <c r="X27" s="13"/>
    </row>
    <row r="28" spans="1:24" ht="24" customHeight="1" x14ac:dyDescent="0.25">
      <c r="A28" s="136" t="s">
        <v>50</v>
      </c>
      <c r="B28" s="14">
        <v>9</v>
      </c>
      <c r="C28" s="14" t="s">
        <v>7</v>
      </c>
      <c r="D28" s="14">
        <v>21</v>
      </c>
      <c r="E28" s="13">
        <v>6</v>
      </c>
      <c r="F28" s="14">
        <v>7</v>
      </c>
      <c r="G28" s="13">
        <v>12</v>
      </c>
      <c r="H28" s="13">
        <v>10</v>
      </c>
      <c r="I28" s="13">
        <v>3</v>
      </c>
      <c r="J28" s="13">
        <v>15</v>
      </c>
      <c r="K28" s="13">
        <v>21</v>
      </c>
      <c r="L28" s="13">
        <v>7</v>
      </c>
      <c r="M28" s="126">
        <v>1</v>
      </c>
      <c r="N28" s="133" t="s">
        <v>51</v>
      </c>
      <c r="W28" s="12"/>
      <c r="X28" s="13"/>
    </row>
    <row r="29" spans="1:24" ht="24" customHeight="1" x14ac:dyDescent="0.25">
      <c r="A29" s="136" t="s">
        <v>52</v>
      </c>
      <c r="B29" s="14">
        <v>6</v>
      </c>
      <c r="C29" s="14">
        <v>4</v>
      </c>
      <c r="D29" s="14">
        <v>31</v>
      </c>
      <c r="E29" s="13">
        <v>4</v>
      </c>
      <c r="F29" s="14">
        <v>33</v>
      </c>
      <c r="G29" s="13">
        <v>26</v>
      </c>
      <c r="H29" s="13">
        <v>44</v>
      </c>
      <c r="I29" s="13">
        <v>24</v>
      </c>
      <c r="J29" s="13">
        <v>78</v>
      </c>
      <c r="K29" s="13">
        <v>190</v>
      </c>
      <c r="L29" s="13">
        <v>104</v>
      </c>
      <c r="M29" s="126">
        <v>61</v>
      </c>
      <c r="N29" s="133" t="s">
        <v>53</v>
      </c>
      <c r="W29" s="12"/>
      <c r="X29" s="13"/>
    </row>
    <row r="30" spans="1:24" ht="24" customHeight="1" x14ac:dyDescent="0.25">
      <c r="A30" s="136" t="s">
        <v>54</v>
      </c>
      <c r="B30" s="14">
        <v>33</v>
      </c>
      <c r="C30" s="14" t="s">
        <v>7</v>
      </c>
      <c r="D30" s="14" t="s">
        <v>7</v>
      </c>
      <c r="E30" s="13">
        <v>0</v>
      </c>
      <c r="F30" s="14">
        <v>1</v>
      </c>
      <c r="G30" s="13">
        <v>0</v>
      </c>
      <c r="H30" s="13">
        <v>2</v>
      </c>
      <c r="I30" s="13">
        <v>1</v>
      </c>
      <c r="J30" s="13">
        <v>13</v>
      </c>
      <c r="K30" s="13">
        <v>28</v>
      </c>
      <c r="L30" s="13">
        <v>13</v>
      </c>
      <c r="M30" s="126">
        <v>3</v>
      </c>
      <c r="N30" s="133" t="s">
        <v>55</v>
      </c>
      <c r="W30" s="12"/>
      <c r="X30" s="13"/>
    </row>
    <row r="31" spans="1:24" ht="24" customHeight="1" x14ac:dyDescent="0.25">
      <c r="A31" s="136" t="s">
        <v>56</v>
      </c>
      <c r="B31" s="14" t="s">
        <v>7</v>
      </c>
      <c r="C31" s="14" t="s">
        <v>7</v>
      </c>
      <c r="D31" s="14" t="s">
        <v>7</v>
      </c>
      <c r="E31" s="13" t="s">
        <v>7</v>
      </c>
      <c r="F31" s="13" t="s">
        <v>7</v>
      </c>
      <c r="G31" s="13">
        <v>1</v>
      </c>
      <c r="H31" s="13">
        <v>2</v>
      </c>
      <c r="I31" s="13">
        <v>0</v>
      </c>
      <c r="J31" s="13">
        <v>4</v>
      </c>
      <c r="K31" s="13">
        <v>8</v>
      </c>
      <c r="L31" s="13">
        <v>3</v>
      </c>
      <c r="M31" s="126">
        <v>0</v>
      </c>
      <c r="N31" s="133" t="s">
        <v>57</v>
      </c>
    </row>
    <row r="32" spans="1:24" ht="24" customHeight="1" x14ac:dyDescent="0.25">
      <c r="A32" s="136" t="s">
        <v>58</v>
      </c>
      <c r="B32" s="14" t="s">
        <v>7</v>
      </c>
      <c r="C32" s="14">
        <v>34</v>
      </c>
      <c r="D32" s="14">
        <v>38</v>
      </c>
      <c r="E32" s="13">
        <v>8</v>
      </c>
      <c r="F32" s="14">
        <v>2</v>
      </c>
      <c r="G32" s="13">
        <v>0</v>
      </c>
      <c r="H32" s="13">
        <v>3</v>
      </c>
      <c r="I32" s="13">
        <v>3</v>
      </c>
      <c r="J32" s="13">
        <v>15</v>
      </c>
      <c r="K32" s="13">
        <v>12</v>
      </c>
      <c r="L32" s="13">
        <v>2</v>
      </c>
      <c r="M32" s="126">
        <v>3</v>
      </c>
      <c r="N32" s="133" t="s">
        <v>59</v>
      </c>
      <c r="W32" s="18"/>
      <c r="X32" s="19"/>
    </row>
    <row r="33" spans="1:24" ht="24" customHeight="1" x14ac:dyDescent="0.25">
      <c r="A33" s="136" t="s">
        <v>60</v>
      </c>
      <c r="B33" s="14" t="s">
        <v>7</v>
      </c>
      <c r="C33" s="14">
        <v>15</v>
      </c>
      <c r="D33" s="14">
        <v>8</v>
      </c>
      <c r="E33" s="13">
        <v>1</v>
      </c>
      <c r="F33" s="14">
        <v>3</v>
      </c>
      <c r="G33" s="13">
        <v>3</v>
      </c>
      <c r="H33" s="13">
        <v>12</v>
      </c>
      <c r="I33" s="13">
        <v>7</v>
      </c>
      <c r="J33" s="13">
        <v>16</v>
      </c>
      <c r="K33" s="13">
        <v>27</v>
      </c>
      <c r="L33" s="13">
        <v>14</v>
      </c>
      <c r="M33" s="126">
        <v>3</v>
      </c>
      <c r="N33" s="133" t="s">
        <v>61</v>
      </c>
      <c r="W33" s="18"/>
      <c r="X33" s="19"/>
    </row>
    <row r="34" spans="1:24" ht="24" customHeight="1" x14ac:dyDescent="0.25">
      <c r="A34" s="136" t="s">
        <v>62</v>
      </c>
      <c r="B34" s="14" t="s">
        <v>7</v>
      </c>
      <c r="C34" s="14" t="s">
        <v>7</v>
      </c>
      <c r="D34" s="14" t="s">
        <v>7</v>
      </c>
      <c r="E34" s="13" t="s">
        <v>7</v>
      </c>
      <c r="F34" s="14">
        <v>0</v>
      </c>
      <c r="G34" s="13">
        <v>1</v>
      </c>
      <c r="H34" s="13">
        <v>1</v>
      </c>
      <c r="I34" s="13">
        <v>2</v>
      </c>
      <c r="J34" s="13">
        <v>4</v>
      </c>
      <c r="K34" s="13">
        <v>35</v>
      </c>
      <c r="L34" s="13">
        <v>22</v>
      </c>
      <c r="M34" s="126">
        <v>6</v>
      </c>
      <c r="N34" s="133" t="s">
        <v>63</v>
      </c>
      <c r="W34" s="18"/>
      <c r="X34" s="19"/>
    </row>
    <row r="35" spans="1:24" ht="24" customHeight="1" x14ac:dyDescent="0.25">
      <c r="A35" s="136" t="s">
        <v>64</v>
      </c>
      <c r="B35" s="14" t="s">
        <v>7</v>
      </c>
      <c r="C35" s="14" t="s">
        <v>7</v>
      </c>
      <c r="D35" s="14" t="s">
        <v>7</v>
      </c>
      <c r="E35" s="13" t="s">
        <v>7</v>
      </c>
      <c r="F35" s="14">
        <v>0</v>
      </c>
      <c r="G35" s="13">
        <v>0</v>
      </c>
      <c r="H35" s="13">
        <v>0</v>
      </c>
      <c r="I35" s="13">
        <v>1</v>
      </c>
      <c r="J35" s="13">
        <v>1</v>
      </c>
      <c r="K35" s="13">
        <v>0</v>
      </c>
      <c r="L35" s="13">
        <v>2</v>
      </c>
      <c r="M35" s="126">
        <v>0</v>
      </c>
      <c r="N35" s="133" t="s">
        <v>65</v>
      </c>
      <c r="W35" s="18"/>
      <c r="X35" s="19"/>
    </row>
    <row r="36" spans="1:24" ht="24" customHeight="1" x14ac:dyDescent="0.25">
      <c r="A36" s="138" t="s">
        <v>66</v>
      </c>
      <c r="B36" s="14" t="s">
        <v>7</v>
      </c>
      <c r="C36" s="14" t="s">
        <v>7</v>
      </c>
      <c r="D36" s="14" t="s">
        <v>7</v>
      </c>
      <c r="E36" s="13" t="s">
        <v>7</v>
      </c>
      <c r="F36" s="13" t="s">
        <v>7</v>
      </c>
      <c r="G36" s="13" t="s">
        <v>7</v>
      </c>
      <c r="H36" s="13" t="s">
        <v>7</v>
      </c>
      <c r="I36" s="13" t="s">
        <v>7</v>
      </c>
      <c r="J36" s="13">
        <v>2</v>
      </c>
      <c r="K36" s="13">
        <v>2</v>
      </c>
      <c r="L36" s="13">
        <v>1</v>
      </c>
      <c r="M36" s="126">
        <v>0</v>
      </c>
      <c r="N36" s="133" t="s">
        <v>67</v>
      </c>
      <c r="W36" s="18"/>
      <c r="X36" s="19"/>
    </row>
    <row r="37" spans="1:24" ht="24" customHeight="1" x14ac:dyDescent="0.25">
      <c r="A37" s="136" t="s">
        <v>68</v>
      </c>
      <c r="B37" s="14">
        <v>14</v>
      </c>
      <c r="C37" s="14">
        <v>25</v>
      </c>
      <c r="D37" s="14">
        <v>19</v>
      </c>
      <c r="E37" s="13">
        <v>2</v>
      </c>
      <c r="F37" s="14">
        <v>9</v>
      </c>
      <c r="G37" s="13">
        <v>15</v>
      </c>
      <c r="H37" s="13">
        <v>15</v>
      </c>
      <c r="I37" s="13">
        <v>18</v>
      </c>
      <c r="J37" s="13">
        <v>103</v>
      </c>
      <c r="K37" s="13">
        <v>189</v>
      </c>
      <c r="L37" s="13">
        <v>77</v>
      </c>
      <c r="M37" s="126">
        <v>47</v>
      </c>
      <c r="N37" s="133" t="s">
        <v>69</v>
      </c>
      <c r="W37" s="18"/>
      <c r="X37" s="19"/>
    </row>
    <row r="38" spans="1:24" ht="24" customHeight="1" x14ac:dyDescent="0.25">
      <c r="A38" s="136" t="s">
        <v>70</v>
      </c>
      <c r="B38" s="14" t="s">
        <v>7</v>
      </c>
      <c r="C38" s="14" t="s">
        <v>7</v>
      </c>
      <c r="D38" s="14" t="s">
        <v>7</v>
      </c>
      <c r="E38" s="13">
        <v>2</v>
      </c>
      <c r="F38" s="14">
        <v>0</v>
      </c>
      <c r="G38" s="13" t="s">
        <v>7</v>
      </c>
      <c r="H38" s="13">
        <v>0</v>
      </c>
      <c r="I38" s="13">
        <v>0</v>
      </c>
      <c r="J38" s="13">
        <v>0</v>
      </c>
      <c r="K38" s="13">
        <v>4</v>
      </c>
      <c r="L38" s="13">
        <v>2</v>
      </c>
      <c r="M38" s="126">
        <v>0</v>
      </c>
      <c r="N38" s="134" t="s">
        <v>71</v>
      </c>
      <c r="W38" s="18"/>
      <c r="X38" s="19"/>
    </row>
    <row r="39" spans="1:24" ht="34.9" customHeight="1" x14ac:dyDescent="0.25">
      <c r="A39" s="136" t="s">
        <v>72</v>
      </c>
      <c r="B39" s="14" t="s">
        <v>7</v>
      </c>
      <c r="C39" s="14">
        <v>43</v>
      </c>
      <c r="D39" s="14" t="s">
        <v>7</v>
      </c>
      <c r="E39" s="13">
        <v>5</v>
      </c>
      <c r="F39" s="14">
        <v>27</v>
      </c>
      <c r="G39" s="13">
        <v>4</v>
      </c>
      <c r="H39" s="13">
        <v>11</v>
      </c>
      <c r="I39" s="13">
        <v>10</v>
      </c>
      <c r="J39" s="13">
        <v>20</v>
      </c>
      <c r="K39" s="13">
        <v>20</v>
      </c>
      <c r="L39" s="13">
        <v>22</v>
      </c>
      <c r="M39" s="126">
        <v>14</v>
      </c>
      <c r="N39" s="133" t="s">
        <v>73</v>
      </c>
      <c r="W39" s="18"/>
      <c r="X39" s="19"/>
    </row>
    <row r="40" spans="1:24" ht="24" customHeight="1" x14ac:dyDescent="0.25">
      <c r="A40" s="136" t="s">
        <v>74</v>
      </c>
      <c r="B40" s="14" t="s">
        <v>7</v>
      </c>
      <c r="C40" s="14" t="s">
        <v>7</v>
      </c>
      <c r="D40" s="14" t="s">
        <v>7</v>
      </c>
      <c r="E40" s="13">
        <v>1</v>
      </c>
      <c r="F40" s="13" t="s">
        <v>7</v>
      </c>
      <c r="G40" s="13" t="s">
        <v>7</v>
      </c>
      <c r="H40" s="13">
        <v>0</v>
      </c>
      <c r="I40" s="13">
        <v>0</v>
      </c>
      <c r="J40" s="13">
        <v>2</v>
      </c>
      <c r="K40" s="13">
        <v>0</v>
      </c>
      <c r="L40" s="13">
        <v>0</v>
      </c>
      <c r="M40" s="126">
        <v>0</v>
      </c>
      <c r="N40" s="133" t="s">
        <v>75</v>
      </c>
      <c r="W40" s="18"/>
      <c r="X40" s="19"/>
    </row>
    <row r="41" spans="1:24" ht="24" customHeight="1" x14ac:dyDescent="0.25">
      <c r="A41" s="136" t="s">
        <v>76</v>
      </c>
      <c r="B41" s="14">
        <v>100</v>
      </c>
      <c r="C41" s="14">
        <v>70</v>
      </c>
      <c r="D41" s="14">
        <v>34</v>
      </c>
      <c r="E41" s="13">
        <v>3</v>
      </c>
      <c r="F41" s="14">
        <v>1</v>
      </c>
      <c r="G41" s="13">
        <v>3</v>
      </c>
      <c r="H41" s="13">
        <v>4</v>
      </c>
      <c r="I41" s="13">
        <v>0</v>
      </c>
      <c r="J41" s="13">
        <v>6</v>
      </c>
      <c r="K41" s="13">
        <v>13</v>
      </c>
      <c r="L41" s="13">
        <v>0</v>
      </c>
      <c r="M41" s="126">
        <v>8</v>
      </c>
      <c r="N41" s="133" t="s">
        <v>77</v>
      </c>
      <c r="W41" s="18"/>
      <c r="X41" s="19"/>
    </row>
    <row r="42" spans="1:24" ht="24" customHeight="1" x14ac:dyDescent="0.25">
      <c r="A42" s="136" t="s">
        <v>78</v>
      </c>
      <c r="B42" s="14" t="s">
        <v>7</v>
      </c>
      <c r="C42" s="14" t="s">
        <v>7</v>
      </c>
      <c r="D42" s="14" t="s">
        <v>7</v>
      </c>
      <c r="E42" s="13" t="s">
        <v>7</v>
      </c>
      <c r="F42" s="14">
        <v>1</v>
      </c>
      <c r="G42" s="13">
        <v>0</v>
      </c>
      <c r="H42" s="13">
        <v>2</v>
      </c>
      <c r="I42" s="13">
        <v>0</v>
      </c>
      <c r="J42" s="13">
        <v>2</v>
      </c>
      <c r="K42" s="13">
        <v>0</v>
      </c>
      <c r="L42" s="13">
        <v>10</v>
      </c>
      <c r="M42" s="126">
        <v>0</v>
      </c>
      <c r="N42" s="134" t="s">
        <v>79</v>
      </c>
      <c r="W42" s="18"/>
      <c r="X42" s="20"/>
    </row>
    <row r="43" spans="1:24" ht="24" customHeight="1" x14ac:dyDescent="0.25">
      <c r="A43" s="139" t="s">
        <v>80</v>
      </c>
      <c r="B43" s="21" t="s">
        <v>7</v>
      </c>
      <c r="C43" s="22" t="s">
        <v>7</v>
      </c>
      <c r="D43" s="21" t="s">
        <v>7</v>
      </c>
      <c r="E43" s="22" t="s">
        <v>7</v>
      </c>
      <c r="F43" s="21">
        <v>9</v>
      </c>
      <c r="G43" s="22" t="s">
        <v>7</v>
      </c>
      <c r="H43" s="22">
        <v>3</v>
      </c>
      <c r="I43" s="22">
        <v>17</v>
      </c>
      <c r="J43" s="22">
        <v>3</v>
      </c>
      <c r="K43" s="22">
        <v>4</v>
      </c>
      <c r="L43" s="22">
        <v>0</v>
      </c>
      <c r="M43" s="128">
        <v>3</v>
      </c>
      <c r="N43" s="135" t="s">
        <v>81</v>
      </c>
      <c r="W43" s="18"/>
      <c r="X43" s="19"/>
    </row>
    <row r="44" spans="1:24" ht="16.5" customHeight="1" x14ac:dyDescent="0.25">
      <c r="A44" s="23" t="s">
        <v>82</v>
      </c>
      <c r="B44" s="24"/>
      <c r="C44" s="24"/>
      <c r="D44" s="8"/>
      <c r="E44" s="8"/>
      <c r="F44" s="8"/>
      <c r="G44" s="25"/>
      <c r="H44" s="25"/>
      <c r="I44" s="25"/>
      <c r="J44" s="25"/>
      <c r="K44" s="25"/>
      <c r="L44" s="25"/>
      <c r="M44" s="25"/>
      <c r="N44" s="26" t="s">
        <v>83</v>
      </c>
      <c r="W44" s="18"/>
      <c r="X44" s="19"/>
    </row>
    <row r="45" spans="1:24" ht="16.5" customHeight="1" x14ac:dyDescent="0.25">
      <c r="A45" s="27" t="s">
        <v>84</v>
      </c>
      <c r="B45" s="8"/>
      <c r="C45" s="8"/>
      <c r="D45" s="8"/>
      <c r="E45" s="8"/>
      <c r="F45" s="8"/>
      <c r="G45" s="28" t="s">
        <v>85</v>
      </c>
      <c r="H45" s="28"/>
      <c r="I45" s="28"/>
      <c r="J45" s="28"/>
      <c r="K45" s="28"/>
      <c r="L45" s="28"/>
      <c r="M45" s="28"/>
      <c r="N45" s="28"/>
      <c r="W45" s="18"/>
      <c r="X45" s="19"/>
    </row>
    <row r="49" spans="19:20" ht="18.75" customHeight="1" x14ac:dyDescent="0.25">
      <c r="S49" s="30"/>
      <c r="T49" s="31"/>
    </row>
    <row r="50" spans="19:20" ht="18.75" customHeight="1" x14ac:dyDescent="0.25">
      <c r="S50" s="30"/>
      <c r="T50" s="31"/>
    </row>
    <row r="51" spans="19:20" ht="18.75" customHeight="1" x14ac:dyDescent="0.25">
      <c r="S51" s="30"/>
      <c r="T51" s="31"/>
    </row>
    <row r="52" spans="19:20" ht="18.75" customHeight="1" x14ac:dyDescent="0.25">
      <c r="S52" s="30"/>
      <c r="T52" s="31"/>
    </row>
    <row r="53" spans="19:20" ht="18.75" customHeight="1" x14ac:dyDescent="0.25">
      <c r="S53" s="30"/>
      <c r="T53" s="31"/>
    </row>
    <row r="54" spans="19:20" ht="18.75" customHeight="1" x14ac:dyDescent="0.25">
      <c r="S54" s="30"/>
      <c r="T54" s="31"/>
    </row>
    <row r="55" spans="19:20" ht="18.75" customHeight="1" x14ac:dyDescent="0.25">
      <c r="S55" s="30"/>
      <c r="T55" s="31"/>
    </row>
    <row r="56" spans="19:20" ht="18.75" customHeight="1" x14ac:dyDescent="0.25">
      <c r="S56" s="30"/>
      <c r="T56" s="31"/>
    </row>
    <row r="57" spans="19:20" ht="18.75" customHeight="1" x14ac:dyDescent="0.25">
      <c r="S57" s="30"/>
      <c r="T57" s="31"/>
    </row>
    <row r="58" spans="19:20" ht="18.75" customHeight="1" x14ac:dyDescent="0.25">
      <c r="S58" s="30"/>
      <c r="T58" s="31"/>
    </row>
    <row r="59" spans="19:20" ht="18.75" customHeight="1" x14ac:dyDescent="0.25">
      <c r="S59" s="30"/>
      <c r="T59" s="31"/>
    </row>
    <row r="60" spans="19:20" ht="18.75" customHeight="1" x14ac:dyDescent="0.25">
      <c r="S60" s="30"/>
      <c r="T60" s="31"/>
    </row>
    <row r="61" spans="19:20" ht="18.75" customHeight="1" x14ac:dyDescent="0.25">
      <c r="S61" s="30"/>
      <c r="T61" s="31"/>
    </row>
    <row r="62" spans="19:20" ht="18.75" customHeight="1" x14ac:dyDescent="0.25">
      <c r="S62" s="30"/>
      <c r="T62" s="32"/>
    </row>
    <row r="63" spans="19:20" ht="18.75" customHeight="1" x14ac:dyDescent="0.25">
      <c r="S63" s="30"/>
      <c r="T63" s="31"/>
    </row>
    <row r="64" spans="19:20" ht="18.75" customHeight="1" x14ac:dyDescent="0.25">
      <c r="S64" s="30"/>
      <c r="T64" s="31"/>
    </row>
    <row r="65" spans="19:20" ht="18.75" customHeight="1" x14ac:dyDescent="0.25">
      <c r="S65" s="30"/>
    </row>
    <row r="66" spans="19:20" ht="18.75" customHeight="1" x14ac:dyDescent="0.25">
      <c r="S66" s="30"/>
      <c r="T66" s="31"/>
    </row>
    <row r="67" spans="19:20" ht="18.75" customHeight="1" x14ac:dyDescent="0.25">
      <c r="S67" s="30"/>
      <c r="T67" s="31"/>
    </row>
    <row r="68" spans="19:20" ht="18.75" customHeight="1" x14ac:dyDescent="0.25">
      <c r="S68" s="30"/>
      <c r="T68" s="31"/>
    </row>
    <row r="69" spans="19:20" ht="18.75" customHeight="1" x14ac:dyDescent="0.25">
      <c r="S69" s="30"/>
      <c r="T69" s="31"/>
    </row>
    <row r="70" spans="19:20" ht="18.75" customHeight="1" x14ac:dyDescent="0.25">
      <c r="S70" s="30"/>
      <c r="T70" s="31"/>
    </row>
    <row r="71" spans="19:20" ht="18.75" customHeight="1" x14ac:dyDescent="0.25">
      <c r="S71" s="30"/>
      <c r="T71" s="31"/>
    </row>
    <row r="72" spans="19:20" ht="18.75" customHeight="1" x14ac:dyDescent="0.25">
      <c r="S72" s="30"/>
      <c r="T72" s="31"/>
    </row>
    <row r="73" spans="19:20" ht="18.75" customHeight="1" x14ac:dyDescent="0.25">
      <c r="S73" s="30"/>
      <c r="T73" s="31"/>
    </row>
    <row r="74" spans="19:20" ht="18.75" customHeight="1" x14ac:dyDescent="0.25">
      <c r="S74" s="30"/>
      <c r="T74" s="31"/>
    </row>
    <row r="75" spans="19:20" ht="18.75" customHeight="1" x14ac:dyDescent="0.25">
      <c r="S75" s="30"/>
      <c r="T75" s="31"/>
    </row>
    <row r="76" spans="19:20" ht="18.75" customHeight="1" x14ac:dyDescent="0.25">
      <c r="S76" s="30"/>
      <c r="T76" s="31"/>
    </row>
    <row r="77" spans="19:20" ht="18.75" customHeight="1" x14ac:dyDescent="0.25">
      <c r="S77" s="30"/>
      <c r="T77" s="31"/>
    </row>
    <row r="78" spans="19:20" ht="18.75" customHeight="1" x14ac:dyDescent="0.25">
      <c r="S78" s="30"/>
      <c r="T78" s="31"/>
    </row>
    <row r="79" spans="19:20" ht="18.75" customHeight="1" x14ac:dyDescent="0.25">
      <c r="S79" s="30"/>
      <c r="T79" s="31"/>
    </row>
    <row r="80" spans="19:20" ht="18.75" customHeight="1" x14ac:dyDescent="0.25">
      <c r="S80" s="30"/>
      <c r="T80" s="31"/>
    </row>
    <row r="81" spans="19:20" ht="18.75" customHeight="1" x14ac:dyDescent="0.25">
      <c r="S81" s="30"/>
      <c r="T81" s="31"/>
    </row>
    <row r="82" spans="19:20" ht="18.75" customHeight="1" x14ac:dyDescent="0.25">
      <c r="S82" s="30"/>
      <c r="T82" s="31"/>
    </row>
    <row r="83" spans="19:20" ht="18.75" customHeight="1" x14ac:dyDescent="0.25">
      <c r="S83" s="33"/>
      <c r="T83" s="34"/>
    </row>
    <row r="84" spans="19:20" ht="18.75" customHeight="1" x14ac:dyDescent="0.25"/>
  </sheetData>
  <mergeCells count="3">
    <mergeCell ref="A1:N1"/>
    <mergeCell ref="A2:N2"/>
    <mergeCell ref="G45:N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election activeCell="G7" sqref="G7"/>
    </sheetView>
  </sheetViews>
  <sheetFormatPr defaultColWidth="9.140625" defaultRowHeight="15" x14ac:dyDescent="0.25"/>
  <cols>
    <col min="1" max="1" width="35.42578125" style="36" customWidth="1"/>
    <col min="2" max="13" width="8.5703125" style="36" customWidth="1"/>
    <col min="14" max="14" width="50.7109375" style="36" customWidth="1"/>
    <col min="15" max="15" width="5" style="36" customWidth="1"/>
    <col min="16" max="16384" width="9.140625" style="36"/>
  </cols>
  <sheetData>
    <row r="1" spans="1:15" ht="21.75" x14ac:dyDescent="0.55000000000000004">
      <c r="A1" s="35" t="s">
        <v>86</v>
      </c>
      <c r="B1" s="35"/>
      <c r="C1" s="35"/>
      <c r="D1" s="35"/>
      <c r="E1" s="35"/>
      <c r="F1" s="35"/>
      <c r="G1" s="35"/>
      <c r="H1" s="35"/>
      <c r="I1" s="35"/>
      <c r="J1" s="35"/>
      <c r="K1" s="35"/>
      <c r="L1" s="35"/>
      <c r="M1" s="35"/>
      <c r="N1" s="35"/>
    </row>
    <row r="2" spans="1:15" s="38" customFormat="1" ht="25.5" customHeight="1" x14ac:dyDescent="0.25">
      <c r="A2" s="37" t="s">
        <v>87</v>
      </c>
      <c r="B2" s="37"/>
      <c r="C2" s="37"/>
      <c r="D2" s="37"/>
      <c r="E2" s="37"/>
      <c r="F2" s="37"/>
      <c r="G2" s="37"/>
      <c r="H2" s="37"/>
      <c r="I2" s="37"/>
      <c r="J2" s="37"/>
      <c r="K2" s="37"/>
      <c r="L2" s="37"/>
      <c r="M2" s="37"/>
      <c r="N2" s="37"/>
    </row>
    <row r="3" spans="1:15" hidden="1" x14ac:dyDescent="0.25"/>
    <row r="4" spans="1:15" s="42" customFormat="1" ht="21" x14ac:dyDescent="0.25">
      <c r="A4" s="39" t="s">
        <v>88</v>
      </c>
      <c r="B4" s="40">
        <v>2007</v>
      </c>
      <c r="C4" s="40" t="s">
        <v>89</v>
      </c>
      <c r="D4" s="40">
        <v>2009</v>
      </c>
      <c r="E4" s="40">
        <v>2010</v>
      </c>
      <c r="F4" s="40">
        <v>2011</v>
      </c>
      <c r="G4" s="40">
        <v>2012</v>
      </c>
      <c r="H4" s="40">
        <v>2013</v>
      </c>
      <c r="I4" s="40">
        <v>2014</v>
      </c>
      <c r="J4" s="40">
        <v>2015</v>
      </c>
      <c r="K4" s="40">
        <v>2016</v>
      </c>
      <c r="L4" s="40">
        <v>2017</v>
      </c>
      <c r="M4" s="40">
        <v>2018</v>
      </c>
      <c r="N4" s="41" t="s">
        <v>90</v>
      </c>
    </row>
    <row r="5" spans="1:15" s="46" customFormat="1" ht="21.75" x14ac:dyDescent="0.25">
      <c r="A5" s="43" t="s">
        <v>91</v>
      </c>
      <c r="B5" s="44">
        <f>SUM(B6:B7)</f>
        <v>531</v>
      </c>
      <c r="C5" s="44">
        <f t="shared" ref="C5:E5" si="0">SUM(C6:C7)</f>
        <v>705</v>
      </c>
      <c r="D5" s="44">
        <f t="shared" si="0"/>
        <v>546</v>
      </c>
      <c r="E5" s="44">
        <f t="shared" si="0"/>
        <v>712</v>
      </c>
      <c r="F5" s="44">
        <f>SUM(F6:F7)</f>
        <v>625</v>
      </c>
      <c r="G5" s="44">
        <f t="shared" ref="G5" si="1">SUM(G6:G7)</f>
        <v>732</v>
      </c>
      <c r="H5" s="44">
        <v>719</v>
      </c>
      <c r="I5" s="44">
        <v>529</v>
      </c>
      <c r="J5" s="44">
        <v>592</v>
      </c>
      <c r="K5" s="44">
        <v>538</v>
      </c>
      <c r="L5" s="44">
        <v>365</v>
      </c>
      <c r="M5" s="44">
        <v>396</v>
      </c>
      <c r="N5" s="45" t="s">
        <v>92</v>
      </c>
    </row>
    <row r="6" spans="1:15" s="50" customFormat="1" ht="21.75" x14ac:dyDescent="0.25">
      <c r="A6" s="47" t="s">
        <v>93</v>
      </c>
      <c r="B6" s="48">
        <v>293</v>
      </c>
      <c r="C6" s="48">
        <v>421</v>
      </c>
      <c r="D6" s="48">
        <v>376</v>
      </c>
      <c r="E6" s="48">
        <v>120</v>
      </c>
      <c r="F6" s="48">
        <v>252</v>
      </c>
      <c r="G6" s="48">
        <v>221</v>
      </c>
      <c r="H6" s="48">
        <v>352</v>
      </c>
      <c r="I6" s="48">
        <v>244</v>
      </c>
      <c r="J6" s="48">
        <v>775</v>
      </c>
      <c r="K6" s="48">
        <v>1190</v>
      </c>
      <c r="L6" s="48">
        <v>576</v>
      </c>
      <c r="M6" s="48">
        <v>400</v>
      </c>
      <c r="N6" s="49" t="s">
        <v>94</v>
      </c>
    </row>
    <row r="7" spans="1:15" s="54" customFormat="1" ht="21.75" x14ac:dyDescent="0.25">
      <c r="A7" s="51" t="s">
        <v>95</v>
      </c>
      <c r="B7" s="52">
        <v>238</v>
      </c>
      <c r="C7" s="52">
        <v>284</v>
      </c>
      <c r="D7" s="52">
        <v>170</v>
      </c>
      <c r="E7" s="52">
        <v>592</v>
      </c>
      <c r="F7" s="52">
        <v>373</v>
      </c>
      <c r="G7" s="52">
        <v>511</v>
      </c>
      <c r="H7" s="52">
        <f>H5-H6</f>
        <v>367</v>
      </c>
      <c r="I7" s="52">
        <v>285</v>
      </c>
      <c r="J7" s="52">
        <f>194</f>
        <v>194</v>
      </c>
      <c r="K7" s="52">
        <v>477</v>
      </c>
      <c r="L7" s="52">
        <v>164</v>
      </c>
      <c r="M7" s="52">
        <v>152</v>
      </c>
      <c r="N7" s="53" t="s">
        <v>96</v>
      </c>
    </row>
    <row r="8" spans="1:15" s="56" customFormat="1" ht="17.25" x14ac:dyDescent="0.25">
      <c r="A8" s="23" t="s">
        <v>97</v>
      </c>
      <c r="B8" s="55"/>
      <c r="C8" s="55"/>
      <c r="N8" s="57" t="s">
        <v>98</v>
      </c>
    </row>
    <row r="9" spans="1:15" s="60" customFormat="1" ht="17.25" x14ac:dyDescent="0.25">
      <c r="A9" s="58" t="s">
        <v>99</v>
      </c>
      <c r="B9" s="59"/>
      <c r="C9" s="59"/>
      <c r="N9" s="61" t="s">
        <v>100</v>
      </c>
    </row>
    <row r="10" spans="1:15" s="63" customFormat="1" ht="17.25" x14ac:dyDescent="0.45">
      <c r="A10" s="62" t="s">
        <v>84</v>
      </c>
      <c r="G10" s="64"/>
      <c r="H10" s="64"/>
      <c r="I10" s="64"/>
      <c r="J10" s="64"/>
      <c r="K10" s="64"/>
      <c r="L10" s="64"/>
      <c r="M10" s="64"/>
      <c r="N10" s="65" t="s">
        <v>101</v>
      </c>
      <c r="O10" s="64"/>
    </row>
    <row r="29" spans="1:10" ht="64.5" customHeight="1" x14ac:dyDescent="0.25">
      <c r="A29" s="66"/>
      <c r="B29" s="66"/>
      <c r="C29" s="66"/>
      <c r="D29" s="66"/>
      <c r="E29" s="66"/>
      <c r="F29" s="66"/>
      <c r="G29" s="66"/>
      <c r="H29" s="66"/>
      <c r="I29" s="66"/>
      <c r="J29" s="66"/>
    </row>
  </sheetData>
  <mergeCells count="2">
    <mergeCell ref="A1:N1"/>
    <mergeCell ref="A2:N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
  <sheetViews>
    <sheetView tabSelected="1" topLeftCell="A40" workbookViewId="0">
      <selection activeCell="U47" sqref="U47"/>
    </sheetView>
  </sheetViews>
  <sheetFormatPr defaultColWidth="11.85546875" defaultRowHeight="15" x14ac:dyDescent="0.25"/>
  <cols>
    <col min="1" max="1" width="6.28515625" style="158" customWidth="1"/>
    <col min="2" max="2" width="45.140625" style="151" customWidth="1"/>
    <col min="3" max="3" width="13.28515625" style="69" customWidth="1"/>
    <col min="4" max="5" width="9.85546875" style="69" customWidth="1"/>
    <col min="6" max="6" width="1.140625" style="69" customWidth="1"/>
    <col min="7" max="7" width="13.140625" style="69" customWidth="1"/>
    <col min="8" max="9" width="9.85546875" style="69" customWidth="1"/>
    <col min="10" max="10" width="13.28515625" style="69" customWidth="1"/>
    <col min="11" max="12" width="9.85546875" style="69" customWidth="1"/>
    <col min="13" max="13" width="13.28515625" style="69" customWidth="1"/>
    <col min="14" max="15" width="9.85546875" style="69" customWidth="1"/>
    <col min="16" max="17" width="10.7109375" style="2" hidden="1" customWidth="1"/>
    <col min="18" max="18" width="13.28515625" style="69" customWidth="1"/>
    <col min="19" max="19" width="9.85546875" style="69" customWidth="1"/>
    <col min="20" max="20" width="9.7109375" style="69" bestFit="1" customWidth="1"/>
    <col min="21" max="21" width="48.7109375" style="2" customWidth="1"/>
    <col min="22" max="22" width="7" style="76" customWidth="1"/>
    <col min="23" max="23" width="28.28515625" style="2" customWidth="1"/>
    <col min="24" max="16384" width="11.85546875" style="2"/>
  </cols>
  <sheetData>
    <row r="1" spans="1:22" ht="18.75" customHeight="1" x14ac:dyDescent="0.25">
      <c r="B1" s="67" t="s">
        <v>102</v>
      </c>
      <c r="C1" s="67"/>
      <c r="D1" s="67"/>
      <c r="E1" s="67"/>
      <c r="F1" s="67"/>
      <c r="G1" s="67"/>
      <c r="H1" s="67"/>
      <c r="I1" s="67"/>
      <c r="J1" s="67"/>
      <c r="K1" s="67"/>
      <c r="L1" s="67"/>
      <c r="M1" s="67"/>
      <c r="N1" s="67"/>
      <c r="O1" s="67"/>
      <c r="P1" s="67"/>
      <c r="Q1" s="67"/>
      <c r="R1" s="67"/>
      <c r="S1" s="67"/>
      <c r="T1" s="67"/>
      <c r="U1" s="67"/>
    </row>
    <row r="2" spans="1:22" ht="18.75" customHeight="1" x14ac:dyDescent="0.25">
      <c r="B2" s="68" t="s">
        <v>103</v>
      </c>
      <c r="C2" s="68"/>
      <c r="D2" s="68"/>
      <c r="E2" s="68"/>
      <c r="F2" s="68"/>
      <c r="G2" s="68"/>
      <c r="H2" s="68"/>
      <c r="I2" s="68"/>
      <c r="J2" s="68"/>
      <c r="K2" s="68"/>
      <c r="L2" s="68"/>
      <c r="M2" s="68"/>
      <c r="N2" s="68"/>
      <c r="O2" s="68"/>
      <c r="P2" s="68"/>
      <c r="Q2" s="68"/>
      <c r="R2" s="68"/>
      <c r="S2" s="68"/>
      <c r="T2" s="68"/>
      <c r="U2" s="68"/>
    </row>
    <row r="3" spans="1:22" ht="6.75" customHeight="1" x14ac:dyDescent="0.25"/>
    <row r="4" spans="1:22" s="70" customFormat="1" ht="36.75" customHeight="1" x14ac:dyDescent="0.25">
      <c r="A4" s="157"/>
      <c r="B4" s="129" t="s">
        <v>104</v>
      </c>
      <c r="C4" s="71" t="s">
        <v>91</v>
      </c>
      <c r="D4" s="72" t="s">
        <v>105</v>
      </c>
      <c r="E4" s="73" t="s">
        <v>106</v>
      </c>
      <c r="F4" s="72"/>
      <c r="G4" s="71" t="s">
        <v>91</v>
      </c>
      <c r="H4" s="72" t="s">
        <v>105</v>
      </c>
      <c r="I4" s="73" t="s">
        <v>106</v>
      </c>
      <c r="J4" s="71" t="s">
        <v>91</v>
      </c>
      <c r="K4" s="72" t="s">
        <v>105</v>
      </c>
      <c r="L4" s="72" t="s">
        <v>106</v>
      </c>
      <c r="M4" s="74" t="s">
        <v>91</v>
      </c>
      <c r="N4" s="72" t="s">
        <v>105</v>
      </c>
      <c r="O4" s="72" t="s">
        <v>106</v>
      </c>
      <c r="Q4" s="72"/>
      <c r="R4" s="74" t="s">
        <v>91</v>
      </c>
      <c r="S4" s="72" t="s">
        <v>105</v>
      </c>
      <c r="T4" s="72" t="s">
        <v>106</v>
      </c>
      <c r="U4" s="75" t="s">
        <v>3</v>
      </c>
      <c r="V4" s="146" t="s">
        <v>243</v>
      </c>
    </row>
    <row r="5" spans="1:22" s="77" customFormat="1" ht="45.75" customHeight="1" x14ac:dyDescent="0.25">
      <c r="B5" s="130"/>
      <c r="C5" s="78" t="s">
        <v>92</v>
      </c>
      <c r="D5" s="79" t="s">
        <v>107</v>
      </c>
      <c r="E5" s="80" t="s">
        <v>108</v>
      </c>
      <c r="F5" s="79"/>
      <c r="G5" s="78" t="s">
        <v>92</v>
      </c>
      <c r="H5" s="79" t="s">
        <v>107</v>
      </c>
      <c r="I5" s="80" t="s">
        <v>108</v>
      </c>
      <c r="J5" s="78" t="s">
        <v>92</v>
      </c>
      <c r="K5" s="79" t="s">
        <v>107</v>
      </c>
      <c r="L5" s="81" t="s">
        <v>108</v>
      </c>
      <c r="M5" s="82" t="s">
        <v>92</v>
      </c>
      <c r="N5" s="79" t="s">
        <v>107</v>
      </c>
      <c r="O5" s="81" t="s">
        <v>108</v>
      </c>
      <c r="Q5" s="83"/>
      <c r="R5" s="82" t="s">
        <v>92</v>
      </c>
      <c r="S5" s="79" t="s">
        <v>107</v>
      </c>
      <c r="T5" s="81" t="s">
        <v>108</v>
      </c>
      <c r="U5" s="84"/>
      <c r="V5" s="144"/>
    </row>
    <row r="6" spans="1:22" s="85" customFormat="1" ht="18.75" customHeight="1" x14ac:dyDescent="0.25">
      <c r="A6" s="88"/>
      <c r="B6" s="131"/>
      <c r="C6" s="86">
        <v>2014</v>
      </c>
      <c r="D6" s="86"/>
      <c r="E6" s="87"/>
      <c r="F6" s="88"/>
      <c r="G6" s="89">
        <v>2015</v>
      </c>
      <c r="H6" s="89"/>
      <c r="I6" s="90"/>
      <c r="J6" s="89">
        <v>2016</v>
      </c>
      <c r="K6" s="89"/>
      <c r="L6" s="89"/>
      <c r="M6" s="91">
        <v>2017</v>
      </c>
      <c r="N6" s="92"/>
      <c r="O6" s="92"/>
      <c r="P6" s="93"/>
      <c r="Q6" s="94"/>
      <c r="R6" s="91">
        <v>2018</v>
      </c>
      <c r="S6" s="92"/>
      <c r="T6" s="92"/>
      <c r="U6" s="95"/>
      <c r="V6" s="145"/>
    </row>
    <row r="7" spans="1:22" ht="18.75" customHeight="1" x14ac:dyDescent="0.25">
      <c r="A7" s="158" t="s">
        <v>244</v>
      </c>
      <c r="B7" s="152" t="s">
        <v>4</v>
      </c>
      <c r="C7" s="96">
        <f>SUM(C8:C86)</f>
        <v>527</v>
      </c>
      <c r="D7" s="96">
        <v>285</v>
      </c>
      <c r="E7" s="97">
        <v>244</v>
      </c>
      <c r="F7" s="96"/>
      <c r="G7" s="96">
        <f t="shared" ref="G7:L7" si="0">SUM(G8:G86)</f>
        <v>591</v>
      </c>
      <c r="H7" s="96">
        <f t="shared" si="0"/>
        <v>194</v>
      </c>
      <c r="I7" s="97">
        <f t="shared" si="0"/>
        <v>775</v>
      </c>
      <c r="J7" s="96">
        <f t="shared" si="0"/>
        <v>538</v>
      </c>
      <c r="K7" s="96">
        <f t="shared" si="0"/>
        <v>477</v>
      </c>
      <c r="L7" s="96">
        <f t="shared" si="0"/>
        <v>1190</v>
      </c>
      <c r="M7" s="98">
        <v>365</v>
      </c>
      <c r="N7" s="96">
        <f t="shared" ref="N7:T7" si="1">SUM(N8:N86)</f>
        <v>164</v>
      </c>
      <c r="O7" s="96">
        <f t="shared" si="1"/>
        <v>576</v>
      </c>
      <c r="P7" s="96">
        <f t="shared" si="1"/>
        <v>462</v>
      </c>
      <c r="Q7" s="96">
        <f t="shared" si="1"/>
        <v>114</v>
      </c>
      <c r="R7" s="98">
        <f t="shared" si="1"/>
        <v>396</v>
      </c>
      <c r="S7" s="96">
        <f t="shared" si="1"/>
        <v>152</v>
      </c>
      <c r="T7" s="96">
        <f t="shared" si="1"/>
        <v>400</v>
      </c>
      <c r="U7" s="99" t="s">
        <v>5</v>
      </c>
    </row>
    <row r="8" spans="1:22" ht="24" customHeight="1" x14ac:dyDescent="0.25">
      <c r="A8" s="158">
        <v>17</v>
      </c>
      <c r="B8" s="132" t="s">
        <v>6</v>
      </c>
      <c r="C8" s="100">
        <v>1</v>
      </c>
      <c r="D8" s="69">
        <v>1</v>
      </c>
      <c r="E8" s="101">
        <v>0</v>
      </c>
      <c r="G8" s="100">
        <v>5</v>
      </c>
      <c r="H8" s="69">
        <v>3</v>
      </c>
      <c r="I8" s="101">
        <v>3</v>
      </c>
      <c r="J8" s="100">
        <v>0</v>
      </c>
      <c r="K8" s="69">
        <v>1</v>
      </c>
      <c r="L8" s="69">
        <v>4</v>
      </c>
      <c r="M8" s="102">
        <v>0</v>
      </c>
      <c r="N8" s="69">
        <v>0</v>
      </c>
      <c r="O8" s="69">
        <f>Q8+P8</f>
        <v>3</v>
      </c>
      <c r="P8" s="69"/>
      <c r="Q8" s="69">
        <v>3</v>
      </c>
      <c r="R8" s="116">
        <v>1</v>
      </c>
      <c r="S8" s="69">
        <v>0</v>
      </c>
      <c r="T8" s="69">
        <v>1</v>
      </c>
      <c r="U8" s="103" t="s">
        <v>8</v>
      </c>
      <c r="V8" s="76">
        <v>17</v>
      </c>
    </row>
    <row r="9" spans="1:22" ht="24" customHeight="1" x14ac:dyDescent="0.25">
      <c r="A9" s="158">
        <v>18</v>
      </c>
      <c r="B9" s="132" t="s">
        <v>9</v>
      </c>
      <c r="C9" s="100">
        <v>0</v>
      </c>
      <c r="D9" s="69">
        <v>0</v>
      </c>
      <c r="E9" s="101">
        <v>0</v>
      </c>
      <c r="G9" s="100">
        <v>0</v>
      </c>
      <c r="H9" s="69">
        <v>0</v>
      </c>
      <c r="I9" s="101">
        <v>0</v>
      </c>
      <c r="J9" s="100">
        <v>0</v>
      </c>
      <c r="K9" s="69">
        <v>0</v>
      </c>
      <c r="L9" s="69">
        <v>0</v>
      </c>
      <c r="M9" s="102">
        <v>0</v>
      </c>
      <c r="N9" s="69">
        <v>0</v>
      </c>
      <c r="O9" s="69">
        <f t="shared" ref="O9:O84" si="2">Q9+P9</f>
        <v>1</v>
      </c>
      <c r="P9" s="69">
        <v>1</v>
      </c>
      <c r="Q9" s="69"/>
      <c r="R9" s="116">
        <v>0</v>
      </c>
      <c r="S9" s="69">
        <v>1</v>
      </c>
      <c r="T9" s="69">
        <v>0</v>
      </c>
      <c r="U9" s="103" t="s">
        <v>10</v>
      </c>
      <c r="V9" s="76">
        <v>18</v>
      </c>
    </row>
    <row r="10" spans="1:22" ht="24" customHeight="1" x14ac:dyDescent="0.25">
      <c r="A10" s="158">
        <v>20</v>
      </c>
      <c r="B10" s="153" t="s">
        <v>11</v>
      </c>
      <c r="C10" s="100">
        <v>0</v>
      </c>
      <c r="D10" s="69">
        <v>0</v>
      </c>
      <c r="E10" s="101">
        <v>0</v>
      </c>
      <c r="G10" s="100">
        <v>0</v>
      </c>
      <c r="H10" s="69">
        <v>0</v>
      </c>
      <c r="I10" s="101">
        <v>0</v>
      </c>
      <c r="J10" s="100">
        <v>0</v>
      </c>
      <c r="K10" s="69">
        <v>0</v>
      </c>
      <c r="L10" s="69">
        <v>0</v>
      </c>
      <c r="M10" s="102">
        <v>0</v>
      </c>
      <c r="N10" s="69">
        <v>0</v>
      </c>
      <c r="O10" s="69">
        <f t="shared" si="2"/>
        <v>1</v>
      </c>
      <c r="P10" s="69">
        <v>1</v>
      </c>
      <c r="Q10" s="69"/>
      <c r="R10" s="116">
        <v>0</v>
      </c>
      <c r="S10" s="69">
        <v>0</v>
      </c>
      <c r="T10" s="69">
        <v>0</v>
      </c>
      <c r="U10" s="103" t="s">
        <v>12</v>
      </c>
      <c r="V10" s="76">
        <v>20</v>
      </c>
    </row>
    <row r="11" spans="1:22" ht="24" customHeight="1" x14ac:dyDescent="0.25">
      <c r="A11" s="158">
        <v>21</v>
      </c>
      <c r="B11" s="132" t="s">
        <v>13</v>
      </c>
      <c r="C11" s="100">
        <v>5</v>
      </c>
      <c r="D11" s="69">
        <v>3</v>
      </c>
      <c r="E11" s="101">
        <v>2</v>
      </c>
      <c r="G11" s="100">
        <v>7</v>
      </c>
      <c r="H11" s="69">
        <v>2</v>
      </c>
      <c r="I11" s="101">
        <v>9</v>
      </c>
      <c r="J11" s="100">
        <v>4</v>
      </c>
      <c r="K11" s="69">
        <v>7</v>
      </c>
      <c r="L11" s="69">
        <v>5</v>
      </c>
      <c r="M11" s="102">
        <v>7</v>
      </c>
      <c r="N11" s="69">
        <v>8</v>
      </c>
      <c r="O11" s="69">
        <f t="shared" si="2"/>
        <v>5</v>
      </c>
      <c r="P11" s="69">
        <v>5</v>
      </c>
      <c r="Q11" s="69"/>
      <c r="R11" s="116">
        <v>13</v>
      </c>
      <c r="S11" s="69">
        <v>6</v>
      </c>
      <c r="T11" s="69">
        <v>12</v>
      </c>
      <c r="U11" s="103" t="s">
        <v>14</v>
      </c>
      <c r="V11" s="76">
        <v>21</v>
      </c>
    </row>
    <row r="12" spans="1:22" ht="24" customHeight="1" x14ac:dyDescent="0.25">
      <c r="A12" s="158">
        <v>23</v>
      </c>
      <c r="B12" s="132" t="s">
        <v>15</v>
      </c>
      <c r="C12" s="100">
        <v>0</v>
      </c>
      <c r="D12" s="69">
        <v>58</v>
      </c>
      <c r="E12" s="101">
        <v>62</v>
      </c>
      <c r="G12" s="100">
        <v>0</v>
      </c>
      <c r="H12" s="69">
        <v>56</v>
      </c>
      <c r="I12" s="101">
        <v>0</v>
      </c>
      <c r="J12" s="100">
        <v>0</v>
      </c>
      <c r="K12" s="69">
        <v>0</v>
      </c>
      <c r="L12" s="101">
        <v>0</v>
      </c>
      <c r="M12" s="102">
        <v>0</v>
      </c>
      <c r="N12" s="69">
        <v>0</v>
      </c>
      <c r="O12" s="69">
        <f t="shared" si="2"/>
        <v>0</v>
      </c>
      <c r="P12" s="69"/>
      <c r="Q12" s="69"/>
      <c r="R12" s="116"/>
      <c r="U12" s="103" t="s">
        <v>16</v>
      </c>
      <c r="V12" s="76">
        <v>23</v>
      </c>
    </row>
    <row r="13" spans="1:22" ht="24" customHeight="1" x14ac:dyDescent="0.25">
      <c r="A13" s="158" t="s">
        <v>109</v>
      </c>
      <c r="B13" s="154" t="s">
        <v>110</v>
      </c>
      <c r="C13" s="69">
        <v>9</v>
      </c>
      <c r="D13" s="69">
        <v>0</v>
      </c>
      <c r="E13" s="101">
        <v>0</v>
      </c>
      <c r="G13" s="69">
        <v>0</v>
      </c>
      <c r="H13" s="69">
        <v>0</v>
      </c>
      <c r="I13" s="101">
        <v>2</v>
      </c>
      <c r="J13" s="104">
        <v>1</v>
      </c>
      <c r="K13" s="69">
        <v>0</v>
      </c>
      <c r="L13" s="69">
        <f>6+1</f>
        <v>7</v>
      </c>
      <c r="M13" s="105">
        <v>0</v>
      </c>
      <c r="O13" s="69">
        <f t="shared" si="2"/>
        <v>1</v>
      </c>
      <c r="P13" s="69">
        <v>1</v>
      </c>
      <c r="Q13" s="69"/>
      <c r="R13" s="140">
        <v>0</v>
      </c>
      <c r="S13" s="69">
        <v>0</v>
      </c>
      <c r="T13" s="69">
        <v>0</v>
      </c>
      <c r="U13" s="103" t="s">
        <v>111</v>
      </c>
      <c r="V13" s="76" t="s">
        <v>109</v>
      </c>
    </row>
    <row r="14" spans="1:22" ht="24" customHeight="1" x14ac:dyDescent="0.25">
      <c r="A14" s="158" t="s">
        <v>112</v>
      </c>
      <c r="B14" s="154" t="s">
        <v>113</v>
      </c>
      <c r="C14" s="69">
        <v>23</v>
      </c>
      <c r="D14" s="69">
        <v>0</v>
      </c>
      <c r="E14" s="101">
        <v>0</v>
      </c>
      <c r="G14" s="69">
        <v>30</v>
      </c>
      <c r="H14" s="69">
        <v>0</v>
      </c>
      <c r="I14" s="101">
        <v>122</v>
      </c>
      <c r="J14" s="104">
        <v>135</v>
      </c>
      <c r="K14" s="69">
        <v>0</v>
      </c>
      <c r="L14" s="69">
        <f>164</f>
        <v>164</v>
      </c>
      <c r="M14" s="105">
        <v>11</v>
      </c>
      <c r="N14" s="69">
        <v>7</v>
      </c>
      <c r="O14" s="69">
        <f t="shared" si="2"/>
        <v>8</v>
      </c>
      <c r="P14" s="69">
        <v>5</v>
      </c>
      <c r="Q14" s="69">
        <v>3</v>
      </c>
      <c r="R14" s="140">
        <v>14</v>
      </c>
      <c r="S14" s="69">
        <v>2</v>
      </c>
      <c r="T14" s="69">
        <f>16+1</f>
        <v>17</v>
      </c>
      <c r="U14" s="103" t="s">
        <v>114</v>
      </c>
      <c r="V14" s="76" t="s">
        <v>112</v>
      </c>
    </row>
    <row r="15" spans="1:22" ht="24" customHeight="1" x14ac:dyDescent="0.25">
      <c r="A15" s="158" t="s">
        <v>115</v>
      </c>
      <c r="B15" s="154" t="s">
        <v>116</v>
      </c>
      <c r="C15" s="69">
        <v>78</v>
      </c>
      <c r="D15" s="69">
        <v>0</v>
      </c>
      <c r="E15" s="101">
        <v>0</v>
      </c>
      <c r="G15" s="69">
        <v>83</v>
      </c>
      <c r="H15" s="69">
        <v>0</v>
      </c>
      <c r="I15" s="101">
        <v>97</v>
      </c>
      <c r="J15" s="104">
        <v>69</v>
      </c>
      <c r="K15" s="69">
        <v>78</v>
      </c>
      <c r="L15" s="69">
        <f>118+5</f>
        <v>123</v>
      </c>
      <c r="M15" s="105">
        <v>71</v>
      </c>
      <c r="N15" s="69">
        <v>40</v>
      </c>
      <c r="O15" s="69">
        <f t="shared" si="2"/>
        <v>101</v>
      </c>
      <c r="P15" s="69">
        <v>94</v>
      </c>
      <c r="Q15" s="69">
        <v>7</v>
      </c>
      <c r="R15" s="140">
        <v>96</v>
      </c>
      <c r="S15" s="69">
        <v>46</v>
      </c>
      <c r="T15" s="69">
        <v>88</v>
      </c>
      <c r="U15" s="103" t="s">
        <v>117</v>
      </c>
      <c r="V15" s="76" t="s">
        <v>115</v>
      </c>
    </row>
    <row r="16" spans="1:22" ht="24" customHeight="1" x14ac:dyDescent="0.25">
      <c r="A16" s="158" t="s">
        <v>118</v>
      </c>
      <c r="B16" s="154" t="s">
        <v>119</v>
      </c>
      <c r="C16" s="69">
        <v>5</v>
      </c>
      <c r="D16" s="69">
        <v>0</v>
      </c>
      <c r="E16" s="101">
        <v>0</v>
      </c>
      <c r="G16" s="69">
        <v>19</v>
      </c>
      <c r="H16" s="69">
        <v>0</v>
      </c>
      <c r="I16" s="101">
        <v>31</v>
      </c>
      <c r="J16" s="104">
        <v>9</v>
      </c>
      <c r="K16" s="69">
        <v>1</v>
      </c>
      <c r="L16" s="69">
        <f>16+2</f>
        <v>18</v>
      </c>
      <c r="M16" s="105">
        <v>1</v>
      </c>
      <c r="N16" s="69">
        <v>3</v>
      </c>
      <c r="O16" s="69">
        <f t="shared" si="2"/>
        <v>5</v>
      </c>
      <c r="P16" s="69">
        <v>4</v>
      </c>
      <c r="Q16" s="69">
        <v>1</v>
      </c>
      <c r="R16" s="140">
        <v>9</v>
      </c>
      <c r="S16" s="69">
        <v>3</v>
      </c>
      <c r="T16" s="69">
        <v>10</v>
      </c>
      <c r="U16" s="103" t="s">
        <v>120</v>
      </c>
      <c r="V16" s="76" t="s">
        <v>118</v>
      </c>
    </row>
    <row r="17" spans="1:22" ht="78.75" customHeight="1" x14ac:dyDescent="0.25">
      <c r="A17" s="158" t="s">
        <v>121</v>
      </c>
      <c r="B17" s="150" t="s">
        <v>122</v>
      </c>
      <c r="C17" s="69">
        <v>1</v>
      </c>
      <c r="D17" s="69">
        <v>0</v>
      </c>
      <c r="E17" s="101">
        <v>0</v>
      </c>
      <c r="G17" s="69">
        <v>0</v>
      </c>
      <c r="H17" s="69">
        <v>0</v>
      </c>
      <c r="I17" s="101">
        <v>1</v>
      </c>
      <c r="J17" s="104">
        <v>0</v>
      </c>
      <c r="K17" s="69">
        <v>0</v>
      </c>
      <c r="L17" s="69">
        <v>0</v>
      </c>
      <c r="M17" s="105">
        <v>1</v>
      </c>
      <c r="N17" s="69">
        <v>0</v>
      </c>
      <c r="O17" s="69">
        <f t="shared" si="2"/>
        <v>1</v>
      </c>
      <c r="P17" s="69">
        <v>1</v>
      </c>
      <c r="Q17" s="69"/>
      <c r="R17" s="140">
        <v>0</v>
      </c>
      <c r="S17" s="69">
        <v>0</v>
      </c>
      <c r="T17" s="69">
        <v>0</v>
      </c>
      <c r="U17" s="103" t="s">
        <v>123</v>
      </c>
      <c r="V17" s="76" t="s">
        <v>121</v>
      </c>
    </row>
    <row r="18" spans="1:22" ht="45" x14ac:dyDescent="0.25">
      <c r="A18" s="158" t="s">
        <v>124</v>
      </c>
      <c r="B18" s="150" t="s">
        <v>125</v>
      </c>
      <c r="C18" s="69">
        <v>1</v>
      </c>
      <c r="D18" s="69">
        <v>0</v>
      </c>
      <c r="E18" s="101">
        <v>0</v>
      </c>
      <c r="G18" s="69">
        <v>0</v>
      </c>
      <c r="H18" s="69">
        <v>0</v>
      </c>
      <c r="I18" s="101">
        <v>1</v>
      </c>
      <c r="J18" s="104">
        <v>0</v>
      </c>
      <c r="K18" s="69">
        <v>0</v>
      </c>
      <c r="L18" s="69">
        <v>0</v>
      </c>
      <c r="M18" s="105">
        <v>0</v>
      </c>
      <c r="N18" s="69">
        <v>0</v>
      </c>
      <c r="O18" s="69">
        <v>0</v>
      </c>
      <c r="P18" s="69"/>
      <c r="Q18" s="69"/>
      <c r="R18" s="140">
        <v>0</v>
      </c>
      <c r="S18" s="69">
        <v>0</v>
      </c>
      <c r="T18" s="69">
        <v>0</v>
      </c>
      <c r="U18" s="103" t="s">
        <v>126</v>
      </c>
      <c r="V18" s="76" t="s">
        <v>124</v>
      </c>
    </row>
    <row r="19" spans="1:22" ht="45.75" customHeight="1" x14ac:dyDescent="0.25">
      <c r="A19" s="158" t="s">
        <v>127</v>
      </c>
      <c r="B19" s="150" t="s">
        <v>128</v>
      </c>
      <c r="C19" s="100">
        <v>3</v>
      </c>
      <c r="D19" s="69">
        <v>0</v>
      </c>
      <c r="E19" s="101">
        <v>0</v>
      </c>
      <c r="G19" s="100">
        <v>6</v>
      </c>
      <c r="H19" s="69">
        <v>0</v>
      </c>
      <c r="I19" s="101">
        <v>10</v>
      </c>
      <c r="J19" s="106">
        <v>4</v>
      </c>
      <c r="K19" s="69">
        <v>2</v>
      </c>
      <c r="L19" s="69">
        <f>7+1</f>
        <v>8</v>
      </c>
      <c r="M19" s="102">
        <v>0</v>
      </c>
      <c r="N19" s="69">
        <v>0</v>
      </c>
      <c r="O19" s="69">
        <f t="shared" si="2"/>
        <v>1</v>
      </c>
      <c r="P19" s="69">
        <v>1</v>
      </c>
      <c r="Q19" s="69"/>
      <c r="R19" s="116">
        <v>0</v>
      </c>
      <c r="S19" s="69">
        <v>0</v>
      </c>
      <c r="T19" s="69">
        <v>0</v>
      </c>
      <c r="U19" s="103" t="s">
        <v>129</v>
      </c>
      <c r="V19" s="76" t="s">
        <v>127</v>
      </c>
    </row>
    <row r="20" spans="1:22" ht="24" customHeight="1" x14ac:dyDescent="0.25">
      <c r="A20" s="158">
        <v>24</v>
      </c>
      <c r="B20" s="132" t="s">
        <v>17</v>
      </c>
      <c r="C20" s="100">
        <v>3</v>
      </c>
      <c r="D20" s="69">
        <v>0</v>
      </c>
      <c r="E20" s="101">
        <v>3</v>
      </c>
      <c r="G20" s="100">
        <v>2</v>
      </c>
      <c r="H20" s="69">
        <v>1</v>
      </c>
      <c r="I20" s="101">
        <v>4</v>
      </c>
      <c r="J20" s="100">
        <v>0</v>
      </c>
      <c r="K20" s="69">
        <v>1</v>
      </c>
      <c r="L20" s="69">
        <v>5</v>
      </c>
      <c r="M20" s="102">
        <v>1</v>
      </c>
      <c r="N20" s="69">
        <v>1</v>
      </c>
      <c r="O20" s="69">
        <f t="shared" si="2"/>
        <v>0</v>
      </c>
      <c r="P20" s="69"/>
      <c r="Q20" s="69"/>
      <c r="R20" s="116">
        <v>5</v>
      </c>
      <c r="S20" s="69">
        <v>0</v>
      </c>
      <c r="T20" s="69">
        <v>6</v>
      </c>
      <c r="U20" s="103" t="s">
        <v>18</v>
      </c>
      <c r="V20" s="76">
        <v>24</v>
      </c>
    </row>
    <row r="21" spans="1:22" ht="24" customHeight="1" x14ac:dyDescent="0.25">
      <c r="A21" s="158">
        <v>25</v>
      </c>
      <c r="B21" s="132" t="s">
        <v>130</v>
      </c>
      <c r="C21" s="100">
        <v>0</v>
      </c>
      <c r="D21" s="69">
        <v>0</v>
      </c>
      <c r="E21" s="101">
        <v>0</v>
      </c>
      <c r="G21" s="100">
        <v>0</v>
      </c>
      <c r="H21" s="69">
        <v>0</v>
      </c>
      <c r="I21" s="101">
        <v>0</v>
      </c>
      <c r="J21" s="100">
        <v>0</v>
      </c>
      <c r="K21" s="69">
        <v>0</v>
      </c>
      <c r="L21" s="69">
        <v>2</v>
      </c>
      <c r="M21" s="102">
        <v>1</v>
      </c>
      <c r="N21" s="69">
        <v>0</v>
      </c>
      <c r="O21" s="69">
        <f t="shared" si="2"/>
        <v>0</v>
      </c>
      <c r="P21" s="69"/>
      <c r="Q21" s="69"/>
      <c r="R21" s="116">
        <v>0</v>
      </c>
      <c r="S21" s="69">
        <v>0</v>
      </c>
      <c r="T21" s="69">
        <v>0</v>
      </c>
      <c r="U21" s="103" t="s">
        <v>19</v>
      </c>
      <c r="V21" s="76">
        <v>25</v>
      </c>
    </row>
    <row r="22" spans="1:22" ht="24" customHeight="1" x14ac:dyDescent="0.25">
      <c r="A22" s="158">
        <v>26</v>
      </c>
      <c r="B22" s="132" t="s">
        <v>20</v>
      </c>
      <c r="C22" s="100">
        <v>8</v>
      </c>
      <c r="D22" s="69">
        <v>0</v>
      </c>
      <c r="E22" s="101">
        <v>8</v>
      </c>
      <c r="G22" s="100">
        <v>0</v>
      </c>
      <c r="H22" s="69">
        <v>0</v>
      </c>
      <c r="I22" s="101">
        <v>3</v>
      </c>
      <c r="J22" s="100">
        <v>7</v>
      </c>
      <c r="K22" s="69">
        <v>0</v>
      </c>
      <c r="L22" s="69">
        <f>5+7</f>
        <v>12</v>
      </c>
      <c r="M22" s="102">
        <v>1</v>
      </c>
      <c r="N22" s="69">
        <v>0</v>
      </c>
      <c r="O22" s="69">
        <f t="shared" si="2"/>
        <v>1</v>
      </c>
      <c r="P22" s="69"/>
      <c r="Q22" s="69">
        <v>1</v>
      </c>
      <c r="R22" s="116">
        <v>12</v>
      </c>
      <c r="S22" s="69">
        <v>3</v>
      </c>
      <c r="T22" s="69">
        <v>9</v>
      </c>
      <c r="U22" s="103" t="s">
        <v>21</v>
      </c>
      <c r="V22" s="76">
        <v>26</v>
      </c>
    </row>
    <row r="23" spans="1:22" ht="24" customHeight="1" x14ac:dyDescent="0.25">
      <c r="A23" s="158">
        <v>27</v>
      </c>
      <c r="B23" s="132" t="s">
        <v>22</v>
      </c>
      <c r="C23" s="100">
        <v>0</v>
      </c>
      <c r="D23" s="69">
        <v>0</v>
      </c>
      <c r="E23" s="101">
        <v>0</v>
      </c>
      <c r="G23" s="100">
        <v>32</v>
      </c>
      <c r="H23" s="69">
        <v>18</v>
      </c>
      <c r="I23" s="101">
        <v>14</v>
      </c>
      <c r="J23" s="100">
        <v>0</v>
      </c>
      <c r="K23" s="69">
        <v>1</v>
      </c>
      <c r="L23" s="69">
        <v>20</v>
      </c>
      <c r="M23" s="102">
        <v>0</v>
      </c>
      <c r="N23" s="69">
        <v>0</v>
      </c>
      <c r="O23" s="69">
        <f t="shared" si="2"/>
        <v>0</v>
      </c>
      <c r="P23" s="69"/>
      <c r="Q23" s="69"/>
      <c r="R23" s="116">
        <v>0</v>
      </c>
      <c r="S23" s="69">
        <v>0</v>
      </c>
      <c r="T23" s="69">
        <v>0</v>
      </c>
      <c r="U23" s="103" t="s">
        <v>23</v>
      </c>
      <c r="V23" s="76">
        <v>27</v>
      </c>
    </row>
    <row r="24" spans="1:22" ht="24" customHeight="1" x14ac:dyDescent="0.25">
      <c r="A24" s="158">
        <v>28</v>
      </c>
      <c r="B24" s="12" t="s">
        <v>24</v>
      </c>
      <c r="C24" s="14">
        <v>1</v>
      </c>
      <c r="D24" s="69">
        <v>1</v>
      </c>
      <c r="E24" s="101">
        <v>0</v>
      </c>
      <c r="G24" s="14">
        <v>2</v>
      </c>
      <c r="H24" s="69">
        <v>0</v>
      </c>
      <c r="I24" s="101">
        <v>2</v>
      </c>
      <c r="J24" s="14">
        <v>1</v>
      </c>
      <c r="K24" s="69">
        <v>0</v>
      </c>
      <c r="L24" s="69">
        <f>1+1</f>
        <v>2</v>
      </c>
      <c r="M24" s="107">
        <v>0</v>
      </c>
      <c r="N24" s="69">
        <v>0</v>
      </c>
      <c r="O24" s="69">
        <f t="shared" si="2"/>
        <v>0</v>
      </c>
      <c r="P24" s="69"/>
      <c r="Q24" s="69"/>
      <c r="R24" s="141">
        <v>1</v>
      </c>
      <c r="S24" s="69">
        <v>0</v>
      </c>
      <c r="T24" s="69">
        <v>1</v>
      </c>
      <c r="U24" s="103" t="s">
        <v>25</v>
      </c>
      <c r="V24" s="76">
        <v>28</v>
      </c>
    </row>
    <row r="25" spans="1:22" ht="21.75" customHeight="1" x14ac:dyDescent="0.25">
      <c r="A25" s="158">
        <v>29</v>
      </c>
      <c r="B25" s="132" t="s">
        <v>26</v>
      </c>
      <c r="C25" s="100">
        <v>2</v>
      </c>
      <c r="D25" s="69">
        <v>2</v>
      </c>
      <c r="E25" s="101">
        <v>2</v>
      </c>
      <c r="G25" s="100">
        <v>0</v>
      </c>
      <c r="H25" s="69">
        <v>0</v>
      </c>
      <c r="I25" s="101">
        <v>1</v>
      </c>
      <c r="J25" s="100">
        <v>1</v>
      </c>
      <c r="K25" s="69">
        <v>2</v>
      </c>
      <c r="L25" s="69">
        <v>1</v>
      </c>
      <c r="M25" s="102">
        <v>0</v>
      </c>
      <c r="N25" s="69">
        <v>0</v>
      </c>
      <c r="O25" s="69">
        <f t="shared" si="2"/>
        <v>0</v>
      </c>
      <c r="P25" s="69"/>
      <c r="Q25" s="69"/>
      <c r="R25" s="116"/>
      <c r="T25" s="69">
        <v>0</v>
      </c>
      <c r="U25" s="103" t="s">
        <v>27</v>
      </c>
      <c r="V25" s="76">
        <v>29</v>
      </c>
    </row>
    <row r="26" spans="1:22" ht="32.25" customHeight="1" x14ac:dyDescent="0.25">
      <c r="A26" s="158">
        <v>30</v>
      </c>
      <c r="B26" s="12" t="s">
        <v>28</v>
      </c>
      <c r="C26" s="14">
        <v>0</v>
      </c>
      <c r="D26" s="69">
        <v>0</v>
      </c>
      <c r="E26" s="101">
        <v>0</v>
      </c>
      <c r="G26" s="14">
        <v>0</v>
      </c>
      <c r="H26" s="69">
        <v>0</v>
      </c>
      <c r="I26" s="101">
        <v>0</v>
      </c>
      <c r="J26" s="14">
        <v>0</v>
      </c>
      <c r="K26" s="69">
        <v>0</v>
      </c>
      <c r="L26" s="69">
        <v>0</v>
      </c>
      <c r="M26" s="107">
        <v>2</v>
      </c>
      <c r="N26" s="69">
        <v>1</v>
      </c>
      <c r="O26" s="69">
        <f t="shared" si="2"/>
        <v>1</v>
      </c>
      <c r="P26" s="69"/>
      <c r="Q26" s="69">
        <v>1</v>
      </c>
      <c r="R26" s="141">
        <v>2</v>
      </c>
      <c r="S26" s="69">
        <v>1</v>
      </c>
      <c r="T26" s="69">
        <v>1</v>
      </c>
      <c r="U26" s="103" t="s">
        <v>29</v>
      </c>
      <c r="V26" s="76">
        <v>30</v>
      </c>
    </row>
    <row r="27" spans="1:22" ht="24" customHeight="1" x14ac:dyDescent="0.25">
      <c r="A27" s="158">
        <v>31</v>
      </c>
      <c r="B27" s="132" t="s">
        <v>31</v>
      </c>
      <c r="C27" s="100">
        <v>0</v>
      </c>
      <c r="D27" s="69">
        <v>0</v>
      </c>
      <c r="E27" s="101">
        <v>0</v>
      </c>
      <c r="G27" s="100">
        <v>0</v>
      </c>
      <c r="H27" s="69">
        <v>1</v>
      </c>
      <c r="I27" s="101">
        <v>0</v>
      </c>
      <c r="J27" s="100">
        <v>0</v>
      </c>
      <c r="K27" s="69">
        <v>0</v>
      </c>
      <c r="M27" s="102">
        <v>0</v>
      </c>
      <c r="N27" s="69">
        <v>0</v>
      </c>
      <c r="O27" s="69">
        <f t="shared" si="2"/>
        <v>0</v>
      </c>
      <c r="P27" s="69"/>
      <c r="Q27" s="69"/>
      <c r="R27" s="116"/>
      <c r="T27" s="69">
        <v>0</v>
      </c>
      <c r="U27" s="103" t="s">
        <v>30</v>
      </c>
      <c r="V27" s="76">
        <v>31</v>
      </c>
    </row>
    <row r="28" spans="1:22" ht="42.75" customHeight="1" x14ac:dyDescent="0.25">
      <c r="A28" s="158">
        <v>32</v>
      </c>
      <c r="B28" s="154" t="s">
        <v>131</v>
      </c>
      <c r="C28" s="69">
        <v>1</v>
      </c>
      <c r="D28" s="69">
        <v>0</v>
      </c>
      <c r="E28" s="101">
        <v>0</v>
      </c>
      <c r="G28" s="69">
        <v>5</v>
      </c>
      <c r="I28" s="101">
        <v>5</v>
      </c>
      <c r="J28" s="104">
        <v>2</v>
      </c>
      <c r="K28" s="69">
        <v>0</v>
      </c>
      <c r="L28" s="69">
        <v>2</v>
      </c>
      <c r="M28" s="105">
        <v>1</v>
      </c>
      <c r="N28" s="69">
        <v>0</v>
      </c>
      <c r="O28" s="69">
        <f t="shared" si="2"/>
        <v>2</v>
      </c>
      <c r="P28" s="69">
        <v>2</v>
      </c>
      <c r="Q28" s="69"/>
      <c r="R28" s="140">
        <v>0</v>
      </c>
      <c r="S28" s="69">
        <v>0</v>
      </c>
      <c r="T28" s="69">
        <v>0</v>
      </c>
      <c r="U28" s="103" t="s">
        <v>132</v>
      </c>
      <c r="V28" s="76">
        <v>32</v>
      </c>
    </row>
    <row r="29" spans="1:22" ht="24" customHeight="1" x14ac:dyDescent="0.25">
      <c r="A29" s="158">
        <v>33</v>
      </c>
      <c r="B29" s="132" t="s">
        <v>33</v>
      </c>
      <c r="C29" s="100">
        <v>4</v>
      </c>
      <c r="D29" s="69">
        <v>3</v>
      </c>
      <c r="E29" s="101">
        <v>1</v>
      </c>
      <c r="G29" s="100">
        <v>1</v>
      </c>
      <c r="H29" s="69">
        <v>0</v>
      </c>
      <c r="I29" s="101">
        <v>6</v>
      </c>
      <c r="J29" s="100">
        <v>4</v>
      </c>
      <c r="K29" s="69">
        <v>0</v>
      </c>
      <c r="L29" s="69">
        <f>9+2</f>
        <v>11</v>
      </c>
      <c r="M29" s="102">
        <v>0</v>
      </c>
      <c r="N29" s="69">
        <v>0</v>
      </c>
      <c r="O29" s="69">
        <f t="shared" si="2"/>
        <v>2</v>
      </c>
      <c r="P29" s="69">
        <v>2</v>
      </c>
      <c r="Q29" s="69"/>
      <c r="R29" s="116">
        <v>0</v>
      </c>
      <c r="S29" s="69">
        <v>0</v>
      </c>
      <c r="T29" s="69">
        <v>0</v>
      </c>
      <c r="U29" s="103" t="s">
        <v>34</v>
      </c>
      <c r="V29" s="76">
        <v>33</v>
      </c>
    </row>
    <row r="30" spans="1:22" ht="24" customHeight="1" x14ac:dyDescent="0.25">
      <c r="A30" s="158">
        <v>34</v>
      </c>
      <c r="B30" s="132" t="s">
        <v>35</v>
      </c>
      <c r="C30" s="100">
        <v>0</v>
      </c>
      <c r="D30" s="69">
        <v>10</v>
      </c>
      <c r="E30" s="101">
        <v>9</v>
      </c>
      <c r="G30" s="100">
        <v>0</v>
      </c>
      <c r="H30" s="69">
        <v>1</v>
      </c>
      <c r="I30" s="101">
        <v>0</v>
      </c>
      <c r="J30" s="100">
        <v>0</v>
      </c>
      <c r="K30" s="69">
        <v>0</v>
      </c>
      <c r="L30" s="69">
        <v>0</v>
      </c>
      <c r="M30" s="102">
        <v>0</v>
      </c>
      <c r="N30" s="69">
        <v>0</v>
      </c>
      <c r="O30" s="69">
        <f t="shared" si="2"/>
        <v>0</v>
      </c>
      <c r="R30" s="116"/>
      <c r="U30" s="103" t="s">
        <v>36</v>
      </c>
      <c r="V30" s="76">
        <v>34</v>
      </c>
    </row>
    <row r="31" spans="1:22" ht="124.5" customHeight="1" x14ac:dyDescent="0.25">
      <c r="A31" s="158" t="s">
        <v>133</v>
      </c>
      <c r="B31" s="150" t="s">
        <v>134</v>
      </c>
      <c r="C31" s="100">
        <v>5</v>
      </c>
      <c r="D31" s="69">
        <v>0</v>
      </c>
      <c r="E31" s="101">
        <v>0</v>
      </c>
      <c r="G31" s="100">
        <v>0</v>
      </c>
      <c r="H31" s="69">
        <v>0</v>
      </c>
      <c r="I31" s="101">
        <v>0</v>
      </c>
      <c r="J31" s="106">
        <v>3</v>
      </c>
      <c r="K31" s="69">
        <v>0</v>
      </c>
      <c r="L31" s="69">
        <v>9</v>
      </c>
      <c r="M31" s="102">
        <v>0</v>
      </c>
      <c r="N31" s="69">
        <v>5</v>
      </c>
      <c r="O31" s="69">
        <f t="shared" si="2"/>
        <v>2</v>
      </c>
      <c r="P31" s="69">
        <v>2</v>
      </c>
      <c r="Q31" s="69"/>
      <c r="R31" s="116">
        <v>3</v>
      </c>
      <c r="S31" s="69">
        <v>0</v>
      </c>
      <c r="T31" s="69">
        <v>8</v>
      </c>
      <c r="U31" s="103" t="s">
        <v>135</v>
      </c>
      <c r="V31" s="76" t="s">
        <v>133</v>
      </c>
    </row>
    <row r="32" spans="1:22" ht="45" x14ac:dyDescent="0.25">
      <c r="A32" s="158" t="s">
        <v>136</v>
      </c>
      <c r="B32" s="150" t="s">
        <v>137</v>
      </c>
      <c r="C32" s="100">
        <v>14</v>
      </c>
      <c r="D32" s="69">
        <v>0</v>
      </c>
      <c r="E32" s="101">
        <v>0</v>
      </c>
      <c r="G32" s="100">
        <v>7</v>
      </c>
      <c r="H32" s="69">
        <v>0</v>
      </c>
      <c r="I32" s="101">
        <v>12</v>
      </c>
      <c r="J32" s="106">
        <v>1</v>
      </c>
      <c r="K32" s="69">
        <v>12</v>
      </c>
      <c r="L32" s="69">
        <v>0</v>
      </c>
      <c r="M32" s="102">
        <v>0</v>
      </c>
      <c r="N32" s="69">
        <v>0</v>
      </c>
      <c r="O32" s="69">
        <f t="shared" si="2"/>
        <v>4</v>
      </c>
      <c r="P32" s="69">
        <v>4</v>
      </c>
      <c r="Q32" s="69"/>
      <c r="R32" s="116">
        <v>0</v>
      </c>
      <c r="S32" s="69">
        <v>0</v>
      </c>
      <c r="T32" s="69">
        <v>3</v>
      </c>
      <c r="U32" s="103" t="s">
        <v>138</v>
      </c>
      <c r="V32" s="76" t="s">
        <v>136</v>
      </c>
    </row>
    <row r="33" spans="1:22" ht="45.75" customHeight="1" x14ac:dyDescent="0.25">
      <c r="A33" s="158">
        <v>35</v>
      </c>
      <c r="B33" s="132" t="s">
        <v>37</v>
      </c>
      <c r="C33" s="100">
        <v>0</v>
      </c>
      <c r="D33" s="100">
        <v>54</v>
      </c>
      <c r="E33" s="108">
        <v>26</v>
      </c>
      <c r="F33" s="100"/>
      <c r="G33" s="100">
        <v>0</v>
      </c>
      <c r="H33" s="69">
        <v>0</v>
      </c>
      <c r="I33" s="101">
        <v>0</v>
      </c>
      <c r="J33" s="100">
        <v>0</v>
      </c>
      <c r="K33" s="69">
        <v>0</v>
      </c>
      <c r="L33" s="101">
        <v>0</v>
      </c>
      <c r="M33" s="102">
        <v>0</v>
      </c>
      <c r="N33" s="100">
        <v>0</v>
      </c>
      <c r="O33" s="69">
        <f t="shared" si="2"/>
        <v>0</v>
      </c>
      <c r="P33" s="100"/>
      <c r="Q33" s="100"/>
      <c r="R33" s="116"/>
      <c r="S33" s="100"/>
      <c r="U33" s="109" t="s">
        <v>38</v>
      </c>
      <c r="V33" s="76">
        <v>35</v>
      </c>
    </row>
    <row r="34" spans="1:22" ht="165" customHeight="1" x14ac:dyDescent="0.25">
      <c r="A34" s="158" t="s">
        <v>139</v>
      </c>
      <c r="B34" s="150" t="s">
        <v>140</v>
      </c>
      <c r="C34" s="100">
        <v>60</v>
      </c>
      <c r="D34" s="69">
        <v>0</v>
      </c>
      <c r="E34" s="101">
        <v>0</v>
      </c>
      <c r="F34" s="100"/>
      <c r="G34" s="100">
        <v>60</v>
      </c>
      <c r="H34" s="69">
        <v>0</v>
      </c>
      <c r="I34" s="101">
        <v>46</v>
      </c>
      <c r="J34" s="106">
        <v>55</v>
      </c>
      <c r="K34" s="100">
        <v>117</v>
      </c>
      <c r="L34" s="100">
        <f>81+7</f>
        <v>88</v>
      </c>
      <c r="M34" s="102">
        <v>37</v>
      </c>
      <c r="N34" s="100">
        <v>43</v>
      </c>
      <c r="O34" s="69">
        <f t="shared" si="2"/>
        <v>93</v>
      </c>
      <c r="P34" s="100">
        <v>87</v>
      </c>
      <c r="Q34" s="100">
        <v>6</v>
      </c>
      <c r="R34" s="116">
        <v>25</v>
      </c>
      <c r="S34" s="100">
        <f>7+7</f>
        <v>14</v>
      </c>
      <c r="T34" s="69">
        <f>37+4</f>
        <v>41</v>
      </c>
      <c r="U34" s="109" t="s">
        <v>141</v>
      </c>
      <c r="V34" s="76" t="s">
        <v>139</v>
      </c>
    </row>
    <row r="35" spans="1:22" ht="81" customHeight="1" x14ac:dyDescent="0.25">
      <c r="A35" s="158" t="s">
        <v>142</v>
      </c>
      <c r="B35" s="150" t="s">
        <v>143</v>
      </c>
      <c r="C35" s="100">
        <v>20</v>
      </c>
      <c r="D35" s="69">
        <v>0</v>
      </c>
      <c r="E35" s="101">
        <v>0</v>
      </c>
      <c r="F35" s="100"/>
      <c r="G35" s="100">
        <v>20</v>
      </c>
      <c r="H35" s="69">
        <v>0</v>
      </c>
      <c r="I35" s="101">
        <v>27</v>
      </c>
      <c r="J35" s="106">
        <v>10</v>
      </c>
      <c r="K35" s="100">
        <v>24</v>
      </c>
      <c r="L35" s="100">
        <f>16+2</f>
        <v>18</v>
      </c>
      <c r="M35" s="102">
        <v>20</v>
      </c>
      <c r="N35" s="100">
        <v>11</v>
      </c>
      <c r="O35" s="69">
        <f t="shared" si="2"/>
        <v>27</v>
      </c>
      <c r="P35" s="100">
        <v>19</v>
      </c>
      <c r="Q35" s="100">
        <v>8</v>
      </c>
      <c r="R35" s="116">
        <v>28</v>
      </c>
      <c r="S35" s="100">
        <f>8+8</f>
        <v>16</v>
      </c>
      <c r="T35" s="69">
        <f>22+1</f>
        <v>23</v>
      </c>
      <c r="U35" s="109" t="s">
        <v>144</v>
      </c>
      <c r="V35" s="76" t="s">
        <v>142</v>
      </c>
    </row>
    <row r="36" spans="1:22" ht="24" customHeight="1" x14ac:dyDescent="0.25">
      <c r="A36" s="158">
        <v>36</v>
      </c>
      <c r="B36" s="132" t="s">
        <v>39</v>
      </c>
      <c r="C36" s="100">
        <v>0</v>
      </c>
      <c r="D36" s="69">
        <v>10</v>
      </c>
      <c r="E36" s="101">
        <v>8</v>
      </c>
      <c r="G36" s="100">
        <v>0</v>
      </c>
      <c r="H36" s="69">
        <v>6</v>
      </c>
      <c r="I36" s="101">
        <v>0</v>
      </c>
      <c r="J36" s="100">
        <v>0</v>
      </c>
      <c r="K36" s="69">
        <v>0</v>
      </c>
      <c r="L36" s="69">
        <v>0</v>
      </c>
      <c r="M36" s="102">
        <v>0</v>
      </c>
      <c r="N36" s="69">
        <v>0</v>
      </c>
      <c r="O36" s="69">
        <f t="shared" si="2"/>
        <v>0</v>
      </c>
      <c r="P36" s="69"/>
      <c r="Q36" s="69"/>
      <c r="R36" s="116"/>
      <c r="U36" s="103" t="s">
        <v>40</v>
      </c>
      <c r="V36" s="76">
        <v>36</v>
      </c>
    </row>
    <row r="37" spans="1:22" ht="49.5" customHeight="1" x14ac:dyDescent="0.25">
      <c r="A37" s="158" t="s">
        <v>145</v>
      </c>
      <c r="B37" s="150" t="s">
        <v>146</v>
      </c>
      <c r="C37" s="100">
        <v>18</v>
      </c>
      <c r="D37" s="69">
        <v>0</v>
      </c>
      <c r="E37" s="101">
        <v>0</v>
      </c>
      <c r="G37" s="100">
        <v>21</v>
      </c>
      <c r="H37" s="69">
        <v>0</v>
      </c>
      <c r="I37" s="101">
        <v>26</v>
      </c>
      <c r="J37" s="106">
        <v>7</v>
      </c>
      <c r="K37" s="69">
        <v>0</v>
      </c>
      <c r="L37" s="69">
        <f>20+1</f>
        <v>21</v>
      </c>
      <c r="M37" s="102">
        <v>3</v>
      </c>
      <c r="N37" s="69">
        <v>1</v>
      </c>
      <c r="O37" s="69">
        <f t="shared" si="2"/>
        <v>4</v>
      </c>
      <c r="P37" s="69">
        <v>1</v>
      </c>
      <c r="Q37" s="69">
        <v>3</v>
      </c>
      <c r="R37" s="116">
        <v>4</v>
      </c>
      <c r="S37" s="69">
        <v>0</v>
      </c>
      <c r="T37" s="69">
        <v>4</v>
      </c>
      <c r="U37" s="103" t="s">
        <v>147</v>
      </c>
      <c r="V37" s="76" t="s">
        <v>145</v>
      </c>
    </row>
    <row r="38" spans="1:22" ht="102.6" customHeight="1" x14ac:dyDescent="0.25">
      <c r="A38" s="158" t="s">
        <v>148</v>
      </c>
      <c r="B38" s="150" t="s">
        <v>149</v>
      </c>
      <c r="C38" s="100">
        <v>0</v>
      </c>
      <c r="D38" s="69">
        <v>0</v>
      </c>
      <c r="E38" s="101">
        <v>0</v>
      </c>
      <c r="G38" s="100">
        <v>2</v>
      </c>
      <c r="H38" s="69">
        <v>0</v>
      </c>
      <c r="I38" s="101">
        <v>2</v>
      </c>
      <c r="J38" s="106">
        <v>0</v>
      </c>
      <c r="K38" s="69">
        <v>0</v>
      </c>
      <c r="L38" s="69">
        <v>0</v>
      </c>
      <c r="M38" s="102">
        <v>0</v>
      </c>
      <c r="N38" s="69">
        <v>0</v>
      </c>
      <c r="O38" s="69">
        <v>0</v>
      </c>
      <c r="P38" s="69"/>
      <c r="Q38" s="69"/>
      <c r="R38" s="116">
        <v>0</v>
      </c>
      <c r="S38" s="69">
        <v>0</v>
      </c>
      <c r="T38" s="69">
        <v>0</v>
      </c>
      <c r="U38" s="103" t="s">
        <v>150</v>
      </c>
      <c r="V38" s="76" t="s">
        <v>148</v>
      </c>
    </row>
    <row r="39" spans="1:22" ht="102.6" customHeight="1" x14ac:dyDescent="0.25">
      <c r="A39" s="158" t="s">
        <v>151</v>
      </c>
      <c r="B39" s="150" t="s">
        <v>152</v>
      </c>
      <c r="C39" s="100">
        <v>0</v>
      </c>
      <c r="D39" s="69">
        <v>0</v>
      </c>
      <c r="E39" s="101">
        <v>0</v>
      </c>
      <c r="G39" s="100">
        <v>0</v>
      </c>
      <c r="H39" s="69">
        <v>0</v>
      </c>
      <c r="I39" s="101">
        <v>0</v>
      </c>
      <c r="J39" s="106">
        <v>0</v>
      </c>
      <c r="K39" s="69">
        <v>0</v>
      </c>
      <c r="L39" s="69">
        <v>0</v>
      </c>
      <c r="M39" s="102">
        <v>0</v>
      </c>
      <c r="N39" s="69">
        <v>0</v>
      </c>
      <c r="O39" s="69">
        <v>0</v>
      </c>
      <c r="P39" s="69"/>
      <c r="Q39" s="69"/>
      <c r="R39" s="116">
        <v>1</v>
      </c>
      <c r="S39" s="69">
        <v>1</v>
      </c>
      <c r="T39" s="69">
        <v>0</v>
      </c>
      <c r="U39" s="103" t="s">
        <v>153</v>
      </c>
      <c r="V39" s="76" t="s">
        <v>154</v>
      </c>
    </row>
    <row r="40" spans="1:22" ht="24" customHeight="1" x14ac:dyDescent="0.25">
      <c r="A40" s="158">
        <v>37</v>
      </c>
      <c r="B40" s="132" t="s">
        <v>41</v>
      </c>
      <c r="C40" s="100">
        <v>0</v>
      </c>
      <c r="D40" s="69">
        <v>12</v>
      </c>
      <c r="E40" s="101">
        <v>36</v>
      </c>
      <c r="G40" s="100">
        <v>0</v>
      </c>
      <c r="H40" s="69">
        <v>14</v>
      </c>
      <c r="I40" s="101">
        <v>0</v>
      </c>
      <c r="J40" s="100">
        <v>0</v>
      </c>
      <c r="K40" s="69">
        <v>0</v>
      </c>
      <c r="L40" s="69">
        <v>0</v>
      </c>
      <c r="M40" s="102">
        <v>0</v>
      </c>
      <c r="N40" s="69">
        <v>0</v>
      </c>
      <c r="O40" s="69">
        <f t="shared" si="2"/>
        <v>0</v>
      </c>
      <c r="P40" s="69"/>
      <c r="Q40" s="69"/>
      <c r="R40" s="116"/>
      <c r="U40" s="103" t="s">
        <v>42</v>
      </c>
      <c r="V40" s="76">
        <v>37</v>
      </c>
    </row>
    <row r="41" spans="1:22" ht="51" customHeight="1" x14ac:dyDescent="0.25">
      <c r="A41" s="158" t="s">
        <v>155</v>
      </c>
      <c r="B41" s="150" t="s">
        <v>156</v>
      </c>
      <c r="C41" s="100">
        <v>18</v>
      </c>
      <c r="D41" s="69">
        <v>0</v>
      </c>
      <c r="E41" s="101">
        <v>0</v>
      </c>
      <c r="G41" s="100">
        <v>19</v>
      </c>
      <c r="I41" s="101">
        <v>24</v>
      </c>
      <c r="J41" s="106">
        <v>4</v>
      </c>
      <c r="K41" s="69">
        <v>7</v>
      </c>
      <c r="L41" s="69">
        <f>20+2</f>
        <v>22</v>
      </c>
      <c r="M41" s="102">
        <v>3</v>
      </c>
      <c r="O41" s="69">
        <f t="shared" si="2"/>
        <v>4</v>
      </c>
      <c r="P41" s="69">
        <v>2</v>
      </c>
      <c r="Q41" s="69">
        <v>2</v>
      </c>
      <c r="R41" s="116">
        <v>2</v>
      </c>
      <c r="S41" s="69">
        <v>0</v>
      </c>
      <c r="T41" s="69">
        <v>2</v>
      </c>
      <c r="U41" s="103" t="s">
        <v>157</v>
      </c>
      <c r="V41" s="76" t="s">
        <v>155</v>
      </c>
    </row>
    <row r="42" spans="1:22" ht="127.5" customHeight="1" x14ac:dyDescent="0.25">
      <c r="A42" s="158" t="s">
        <v>158</v>
      </c>
      <c r="B42" s="150" t="s">
        <v>159</v>
      </c>
      <c r="C42" s="100">
        <v>30</v>
      </c>
      <c r="D42" s="69">
        <v>0</v>
      </c>
      <c r="E42" s="101">
        <v>0</v>
      </c>
      <c r="G42" s="100">
        <v>30</v>
      </c>
      <c r="I42" s="101">
        <v>39</v>
      </c>
      <c r="J42" s="106">
        <v>29</v>
      </c>
      <c r="K42" s="69">
        <v>7</v>
      </c>
      <c r="L42" s="69">
        <f>60+19</f>
        <v>79</v>
      </c>
      <c r="M42" s="102">
        <v>10</v>
      </c>
      <c r="N42" s="69">
        <v>5</v>
      </c>
      <c r="O42" s="69">
        <f t="shared" si="2"/>
        <v>18</v>
      </c>
      <c r="P42" s="69">
        <v>15</v>
      </c>
      <c r="Q42" s="69">
        <v>3</v>
      </c>
      <c r="R42" s="116">
        <v>15</v>
      </c>
      <c r="S42" s="69">
        <f>5+1</f>
        <v>6</v>
      </c>
      <c r="T42" s="69">
        <f>10+6</f>
        <v>16</v>
      </c>
      <c r="U42" s="103" t="s">
        <v>160</v>
      </c>
      <c r="V42" s="76" t="s">
        <v>158</v>
      </c>
    </row>
    <row r="43" spans="1:22" ht="84" x14ac:dyDescent="0.25">
      <c r="A43" s="158" t="s">
        <v>161</v>
      </c>
      <c r="B43" s="150" t="s">
        <v>162</v>
      </c>
      <c r="C43" s="100">
        <v>0</v>
      </c>
      <c r="D43" s="69">
        <v>0</v>
      </c>
      <c r="E43" s="101">
        <v>0</v>
      </c>
      <c r="G43" s="100">
        <v>0</v>
      </c>
      <c r="H43" s="69">
        <v>0</v>
      </c>
      <c r="I43" s="101">
        <v>0</v>
      </c>
      <c r="J43" s="106">
        <v>1</v>
      </c>
      <c r="K43" s="69">
        <v>0</v>
      </c>
      <c r="L43" s="69">
        <v>0</v>
      </c>
      <c r="M43" s="102">
        <v>0</v>
      </c>
      <c r="N43" s="69">
        <v>0</v>
      </c>
      <c r="O43" s="69">
        <v>0</v>
      </c>
      <c r="P43" s="69"/>
      <c r="Q43" s="69"/>
      <c r="R43" s="116">
        <v>0</v>
      </c>
      <c r="S43" s="69">
        <v>0</v>
      </c>
      <c r="T43" s="69">
        <v>0</v>
      </c>
      <c r="U43" s="103" t="s">
        <v>163</v>
      </c>
      <c r="V43" s="76" t="s">
        <v>161</v>
      </c>
    </row>
    <row r="44" spans="1:22" ht="40.5" customHeight="1" x14ac:dyDescent="0.25">
      <c r="A44" s="158">
        <v>38</v>
      </c>
      <c r="B44" s="150" t="s">
        <v>164</v>
      </c>
      <c r="C44" s="100">
        <v>0</v>
      </c>
      <c r="D44" s="69">
        <v>0</v>
      </c>
      <c r="E44" s="101">
        <v>0</v>
      </c>
      <c r="G44" s="100">
        <v>0</v>
      </c>
      <c r="H44" s="69">
        <v>0</v>
      </c>
      <c r="I44" s="101">
        <v>0</v>
      </c>
      <c r="J44" s="106">
        <v>3</v>
      </c>
      <c r="K44" s="69">
        <v>3</v>
      </c>
      <c r="L44" s="69">
        <v>0</v>
      </c>
      <c r="M44" s="102">
        <v>0</v>
      </c>
      <c r="N44" s="69">
        <v>3</v>
      </c>
      <c r="O44" s="69">
        <f t="shared" si="2"/>
        <v>0</v>
      </c>
      <c r="P44" s="69"/>
      <c r="Q44" s="69"/>
      <c r="R44" s="116">
        <v>3</v>
      </c>
      <c r="S44" s="69">
        <v>0</v>
      </c>
      <c r="T44" s="69">
        <v>6</v>
      </c>
      <c r="U44" s="103" t="s">
        <v>45</v>
      </c>
      <c r="V44" s="76">
        <v>38</v>
      </c>
    </row>
    <row r="45" spans="1:22" ht="24" customHeight="1" x14ac:dyDescent="0.25">
      <c r="A45" s="158">
        <v>40</v>
      </c>
      <c r="B45" s="132" t="s">
        <v>46</v>
      </c>
      <c r="C45" s="100">
        <v>0</v>
      </c>
      <c r="D45" s="69">
        <v>0</v>
      </c>
      <c r="E45" s="101">
        <v>1</v>
      </c>
      <c r="G45" s="100">
        <v>0</v>
      </c>
      <c r="H45" s="69">
        <v>2</v>
      </c>
      <c r="I45" s="101">
        <v>0</v>
      </c>
      <c r="J45" s="100">
        <v>2</v>
      </c>
      <c r="K45" s="69">
        <v>1</v>
      </c>
      <c r="L45" s="69">
        <f>7+1</f>
        <v>8</v>
      </c>
      <c r="M45" s="102">
        <v>4</v>
      </c>
      <c r="O45" s="69">
        <f t="shared" si="2"/>
        <v>2</v>
      </c>
      <c r="P45" s="69"/>
      <c r="Q45" s="69">
        <v>2</v>
      </c>
      <c r="R45" s="116"/>
      <c r="U45" s="103" t="s">
        <v>47</v>
      </c>
      <c r="V45" s="76">
        <v>40</v>
      </c>
    </row>
    <row r="46" spans="1:22" ht="45" x14ac:dyDescent="0.25">
      <c r="A46" s="158" t="s">
        <v>165</v>
      </c>
      <c r="B46" s="132" t="s">
        <v>166</v>
      </c>
      <c r="C46" s="100">
        <v>1</v>
      </c>
      <c r="D46" s="69">
        <v>0</v>
      </c>
      <c r="E46" s="101">
        <v>0</v>
      </c>
      <c r="G46" s="100">
        <v>2</v>
      </c>
      <c r="H46" s="69">
        <v>0</v>
      </c>
      <c r="I46" s="101">
        <v>1</v>
      </c>
      <c r="J46" s="100">
        <v>0</v>
      </c>
      <c r="K46" s="69">
        <v>0</v>
      </c>
      <c r="L46" s="69">
        <v>0</v>
      </c>
      <c r="M46" s="102">
        <v>0</v>
      </c>
      <c r="N46" s="69">
        <v>1</v>
      </c>
      <c r="O46" s="69">
        <v>0</v>
      </c>
      <c r="P46" s="69"/>
      <c r="Q46" s="69"/>
      <c r="R46" s="116">
        <v>1</v>
      </c>
      <c r="S46" s="69">
        <v>1</v>
      </c>
      <c r="T46" s="69">
        <v>0</v>
      </c>
      <c r="U46" s="103" t="s">
        <v>167</v>
      </c>
      <c r="V46" s="76" t="s">
        <v>165</v>
      </c>
    </row>
    <row r="47" spans="1:22" ht="147" x14ac:dyDescent="0.25">
      <c r="B47" s="132" t="s">
        <v>168</v>
      </c>
      <c r="C47" s="100">
        <v>0</v>
      </c>
      <c r="D47" s="69">
        <v>0</v>
      </c>
      <c r="E47" s="101">
        <v>0</v>
      </c>
      <c r="G47" s="100">
        <v>0</v>
      </c>
      <c r="H47" s="69">
        <v>0</v>
      </c>
      <c r="I47" s="101">
        <v>1</v>
      </c>
      <c r="J47" s="100">
        <v>0</v>
      </c>
      <c r="K47" s="69">
        <v>0</v>
      </c>
      <c r="L47" s="69">
        <v>0</v>
      </c>
      <c r="M47" s="102">
        <v>0</v>
      </c>
      <c r="N47" s="69">
        <v>0</v>
      </c>
      <c r="O47" s="69">
        <v>0</v>
      </c>
      <c r="P47" s="69"/>
      <c r="Q47" s="69"/>
      <c r="R47" s="116">
        <v>0</v>
      </c>
      <c r="S47" s="69">
        <v>0</v>
      </c>
      <c r="T47" s="69">
        <v>2</v>
      </c>
      <c r="U47" s="103" t="s">
        <v>169</v>
      </c>
      <c r="V47" s="76" t="s">
        <v>170</v>
      </c>
    </row>
    <row r="48" spans="1:22" ht="24" customHeight="1" x14ac:dyDescent="0.25">
      <c r="A48" s="158">
        <v>41</v>
      </c>
      <c r="B48" s="132" t="s">
        <v>48</v>
      </c>
      <c r="C48" s="100">
        <v>0</v>
      </c>
      <c r="D48" s="69">
        <v>0</v>
      </c>
      <c r="E48" s="101">
        <v>0</v>
      </c>
      <c r="G48" s="100">
        <v>0</v>
      </c>
      <c r="H48" s="69">
        <v>0</v>
      </c>
      <c r="I48" s="101">
        <v>2</v>
      </c>
      <c r="J48" s="100">
        <v>10</v>
      </c>
      <c r="K48" s="69">
        <v>1</v>
      </c>
      <c r="L48" s="69">
        <f>2+6</f>
        <v>8</v>
      </c>
      <c r="M48" s="102">
        <v>3</v>
      </c>
      <c r="N48" s="69">
        <v>0</v>
      </c>
      <c r="O48" s="69">
        <f t="shared" si="2"/>
        <v>10</v>
      </c>
      <c r="P48" s="69">
        <v>9</v>
      </c>
      <c r="Q48" s="69">
        <v>1</v>
      </c>
      <c r="R48" s="116">
        <v>2</v>
      </c>
      <c r="S48" s="69">
        <v>1</v>
      </c>
      <c r="T48" s="69">
        <v>1</v>
      </c>
      <c r="U48" s="103" t="s">
        <v>49</v>
      </c>
      <c r="V48" s="76">
        <v>41</v>
      </c>
    </row>
    <row r="49" spans="1:22" ht="24" customHeight="1" x14ac:dyDescent="0.25">
      <c r="A49" s="158">
        <v>42</v>
      </c>
      <c r="B49" s="132" t="s">
        <v>50</v>
      </c>
      <c r="C49" s="100">
        <v>0</v>
      </c>
      <c r="D49" s="69">
        <v>10</v>
      </c>
      <c r="E49" s="101">
        <v>3</v>
      </c>
      <c r="G49" s="100">
        <v>0</v>
      </c>
      <c r="H49" s="69">
        <v>6</v>
      </c>
      <c r="I49" s="101">
        <v>0</v>
      </c>
      <c r="J49" s="100">
        <v>0</v>
      </c>
      <c r="K49" s="69">
        <v>0</v>
      </c>
      <c r="L49" s="69">
        <v>0</v>
      </c>
      <c r="M49" s="102">
        <v>0</v>
      </c>
      <c r="N49" s="69">
        <v>0</v>
      </c>
      <c r="O49" s="69">
        <f t="shared" si="2"/>
        <v>0</v>
      </c>
      <c r="P49" s="69"/>
      <c r="Q49" s="69"/>
      <c r="R49" s="116"/>
      <c r="U49" s="103" t="s">
        <v>51</v>
      </c>
      <c r="V49" s="76">
        <v>42</v>
      </c>
    </row>
    <row r="50" spans="1:22" ht="134.25" customHeight="1" x14ac:dyDescent="0.25">
      <c r="A50" s="158" t="s">
        <v>171</v>
      </c>
      <c r="B50" s="150" t="s">
        <v>172</v>
      </c>
      <c r="C50" s="100">
        <v>10</v>
      </c>
      <c r="D50" s="69">
        <v>0</v>
      </c>
      <c r="E50" s="101">
        <v>0</v>
      </c>
      <c r="G50" s="100">
        <v>5</v>
      </c>
      <c r="H50" s="69">
        <v>0</v>
      </c>
      <c r="I50" s="101">
        <v>9</v>
      </c>
      <c r="J50" s="106">
        <v>2</v>
      </c>
      <c r="K50" s="69">
        <v>0</v>
      </c>
      <c r="L50" s="69">
        <f>13+5</f>
        <v>18</v>
      </c>
      <c r="M50" s="102">
        <v>4</v>
      </c>
      <c r="O50" s="69">
        <f t="shared" si="2"/>
        <v>4</v>
      </c>
      <c r="P50" s="69"/>
      <c r="Q50" s="69">
        <v>4</v>
      </c>
      <c r="R50" s="116">
        <v>1</v>
      </c>
      <c r="S50" s="69">
        <v>0</v>
      </c>
      <c r="T50" s="69">
        <v>1</v>
      </c>
      <c r="U50" s="103" t="s">
        <v>173</v>
      </c>
      <c r="V50" s="76" t="s">
        <v>171</v>
      </c>
    </row>
    <row r="51" spans="1:22" ht="47.25" customHeight="1" x14ac:dyDescent="0.25">
      <c r="A51" s="158" t="s">
        <v>174</v>
      </c>
      <c r="B51" s="150" t="s">
        <v>175</v>
      </c>
      <c r="C51" s="100">
        <v>3</v>
      </c>
      <c r="D51" s="69">
        <v>0</v>
      </c>
      <c r="E51" s="101">
        <v>0</v>
      </c>
      <c r="G51" s="100">
        <v>5</v>
      </c>
      <c r="H51" s="69">
        <v>0</v>
      </c>
      <c r="I51" s="101">
        <v>6</v>
      </c>
      <c r="J51" s="106">
        <v>1</v>
      </c>
      <c r="K51" s="69">
        <v>0</v>
      </c>
      <c r="L51" s="69">
        <f>2+1</f>
        <v>3</v>
      </c>
      <c r="M51" s="102">
        <v>1</v>
      </c>
      <c r="N51" s="69">
        <v>0</v>
      </c>
      <c r="O51" s="69">
        <f t="shared" si="2"/>
        <v>3</v>
      </c>
      <c r="P51" s="69">
        <v>2</v>
      </c>
      <c r="Q51" s="69">
        <v>1</v>
      </c>
      <c r="R51" s="116">
        <v>0</v>
      </c>
      <c r="S51" s="69">
        <v>0</v>
      </c>
      <c r="T51" s="69">
        <v>0</v>
      </c>
      <c r="U51" s="103" t="s">
        <v>176</v>
      </c>
      <c r="V51" s="76" t="s">
        <v>174</v>
      </c>
    </row>
    <row r="52" spans="1:22" ht="24" customHeight="1" x14ac:dyDescent="0.25">
      <c r="A52" s="158">
        <v>43</v>
      </c>
      <c r="B52" s="132" t="s">
        <v>52</v>
      </c>
      <c r="C52" s="100">
        <v>0</v>
      </c>
      <c r="D52" s="69">
        <v>43</v>
      </c>
      <c r="E52" s="101">
        <v>24</v>
      </c>
      <c r="G52" s="100">
        <v>0</v>
      </c>
      <c r="H52" s="69">
        <v>30</v>
      </c>
      <c r="I52" s="101">
        <v>0</v>
      </c>
      <c r="J52" s="100">
        <v>0</v>
      </c>
      <c r="K52" s="69">
        <v>0</v>
      </c>
      <c r="L52" s="69">
        <v>0</v>
      </c>
      <c r="M52" s="102">
        <v>0</v>
      </c>
      <c r="N52" s="69">
        <v>0</v>
      </c>
      <c r="O52" s="69">
        <f t="shared" si="2"/>
        <v>0</v>
      </c>
      <c r="P52" s="69"/>
      <c r="Q52" s="69"/>
      <c r="R52" s="116"/>
      <c r="U52" s="103" t="s">
        <v>53</v>
      </c>
      <c r="V52" s="76">
        <v>43</v>
      </c>
    </row>
    <row r="53" spans="1:22" ht="81.75" customHeight="1" x14ac:dyDescent="0.25">
      <c r="A53" s="158" t="s">
        <v>177</v>
      </c>
      <c r="B53" s="150" t="s">
        <v>178</v>
      </c>
      <c r="C53" s="100">
        <v>65</v>
      </c>
      <c r="D53" s="69">
        <v>0</v>
      </c>
      <c r="E53" s="101">
        <v>0</v>
      </c>
      <c r="G53" s="100">
        <v>58</v>
      </c>
      <c r="H53" s="69">
        <v>0</v>
      </c>
      <c r="I53" s="101">
        <v>74</v>
      </c>
      <c r="J53" s="106">
        <v>76</v>
      </c>
      <c r="K53" s="69">
        <v>122</v>
      </c>
      <c r="L53" s="69">
        <v>185</v>
      </c>
      <c r="M53" s="102">
        <v>83</v>
      </c>
      <c r="N53" s="69">
        <v>21</v>
      </c>
      <c r="O53" s="69">
        <f t="shared" si="2"/>
        <v>104</v>
      </c>
      <c r="P53" s="69">
        <v>72</v>
      </c>
      <c r="Q53" s="69">
        <v>32</v>
      </c>
      <c r="R53" s="116">
        <v>75</v>
      </c>
      <c r="S53" s="69">
        <v>33</v>
      </c>
      <c r="T53" s="69">
        <v>60</v>
      </c>
      <c r="U53" s="103" t="s">
        <v>179</v>
      </c>
      <c r="V53" s="76" t="s">
        <v>177</v>
      </c>
    </row>
    <row r="54" spans="1:22" ht="69" customHeight="1" x14ac:dyDescent="0.25">
      <c r="A54" s="158" t="s">
        <v>180</v>
      </c>
      <c r="B54" s="150" t="s">
        <v>181</v>
      </c>
      <c r="C54" s="100">
        <v>2</v>
      </c>
      <c r="D54" s="69">
        <v>0</v>
      </c>
      <c r="E54" s="101">
        <v>0</v>
      </c>
      <c r="G54" s="100">
        <v>7</v>
      </c>
      <c r="H54" s="69">
        <v>0</v>
      </c>
      <c r="I54" s="101">
        <v>4</v>
      </c>
      <c r="J54" s="106">
        <v>0</v>
      </c>
      <c r="K54" s="69">
        <v>0</v>
      </c>
      <c r="L54" s="69">
        <v>5</v>
      </c>
      <c r="M54" s="102">
        <v>0</v>
      </c>
      <c r="N54" s="69">
        <v>1</v>
      </c>
      <c r="O54" s="69">
        <f t="shared" si="2"/>
        <v>0</v>
      </c>
      <c r="P54" s="69"/>
      <c r="Q54" s="69"/>
      <c r="R54" s="116">
        <v>0</v>
      </c>
      <c r="S54" s="69">
        <v>0</v>
      </c>
      <c r="T54" s="69">
        <v>1</v>
      </c>
      <c r="U54" s="103" t="s">
        <v>182</v>
      </c>
      <c r="V54" s="76" t="s">
        <v>180</v>
      </c>
    </row>
    <row r="55" spans="1:22" ht="24" customHeight="1" x14ac:dyDescent="0.25">
      <c r="A55" s="158">
        <v>45</v>
      </c>
      <c r="B55" s="132" t="s">
        <v>54</v>
      </c>
      <c r="C55" s="100">
        <v>3</v>
      </c>
      <c r="D55" s="69">
        <v>2</v>
      </c>
      <c r="E55" s="101">
        <v>1</v>
      </c>
      <c r="G55" s="100">
        <v>14</v>
      </c>
      <c r="H55" s="69">
        <v>6</v>
      </c>
      <c r="I55" s="101">
        <v>13</v>
      </c>
      <c r="J55" s="100">
        <v>13</v>
      </c>
      <c r="K55" s="69">
        <v>6</v>
      </c>
      <c r="L55" s="69">
        <v>28</v>
      </c>
      <c r="M55" s="102">
        <v>9</v>
      </c>
      <c r="N55" s="69">
        <v>3</v>
      </c>
      <c r="O55" s="69">
        <f t="shared" si="2"/>
        <v>13</v>
      </c>
      <c r="P55" s="69">
        <v>8</v>
      </c>
      <c r="Q55" s="69">
        <v>5</v>
      </c>
      <c r="R55" s="116">
        <v>2</v>
      </c>
      <c r="S55" s="69">
        <v>0</v>
      </c>
      <c r="T55" s="69">
        <v>3</v>
      </c>
      <c r="U55" s="103" t="s">
        <v>55</v>
      </c>
      <c r="V55" s="76">
        <v>45</v>
      </c>
    </row>
    <row r="56" spans="1:22" ht="24" customHeight="1" x14ac:dyDescent="0.25">
      <c r="A56" s="158">
        <v>46</v>
      </c>
      <c r="B56" s="132" t="s">
        <v>183</v>
      </c>
      <c r="C56" s="100">
        <v>0</v>
      </c>
      <c r="D56" s="69">
        <v>0</v>
      </c>
      <c r="E56" s="101">
        <v>0</v>
      </c>
      <c r="G56" s="100">
        <v>0</v>
      </c>
      <c r="H56" s="69">
        <v>0</v>
      </c>
      <c r="I56" s="101">
        <v>0</v>
      </c>
      <c r="J56" s="100">
        <v>0</v>
      </c>
      <c r="K56" s="69">
        <v>0</v>
      </c>
      <c r="M56" s="102">
        <v>0</v>
      </c>
      <c r="N56" s="69">
        <v>0</v>
      </c>
      <c r="O56" s="69">
        <f t="shared" si="2"/>
        <v>0</v>
      </c>
      <c r="P56" s="69"/>
      <c r="Q56" s="69"/>
      <c r="R56" s="116"/>
      <c r="T56" s="69">
        <v>0</v>
      </c>
      <c r="U56" s="103" t="s">
        <v>184</v>
      </c>
      <c r="V56" s="76">
        <v>46</v>
      </c>
    </row>
    <row r="57" spans="1:22" ht="24" customHeight="1" x14ac:dyDescent="0.25">
      <c r="A57" s="158">
        <v>47</v>
      </c>
      <c r="B57" s="132" t="s">
        <v>56</v>
      </c>
      <c r="C57" s="100">
        <v>0</v>
      </c>
      <c r="D57" s="69">
        <v>3</v>
      </c>
      <c r="E57" s="101">
        <v>0</v>
      </c>
      <c r="G57" s="100">
        <v>0</v>
      </c>
      <c r="H57" s="69">
        <v>2</v>
      </c>
      <c r="I57" s="101">
        <v>0</v>
      </c>
      <c r="J57" s="100">
        <v>6</v>
      </c>
      <c r="K57" s="69">
        <v>0</v>
      </c>
      <c r="L57" s="69">
        <f>5+3</f>
        <v>8</v>
      </c>
      <c r="M57" s="102">
        <v>3</v>
      </c>
      <c r="N57" s="69">
        <v>0</v>
      </c>
      <c r="O57" s="69">
        <f t="shared" si="2"/>
        <v>3</v>
      </c>
      <c r="P57" s="69"/>
      <c r="Q57" s="69">
        <v>3</v>
      </c>
      <c r="R57" s="116"/>
      <c r="U57" s="103" t="s">
        <v>57</v>
      </c>
      <c r="V57" s="76">
        <v>47</v>
      </c>
    </row>
    <row r="58" spans="1:22" ht="42" x14ac:dyDescent="0.25">
      <c r="A58" s="158" t="s">
        <v>185</v>
      </c>
      <c r="B58" s="132" t="s">
        <v>186</v>
      </c>
      <c r="C58" s="100">
        <v>1</v>
      </c>
      <c r="D58" s="69">
        <v>0</v>
      </c>
      <c r="E58" s="101">
        <v>0</v>
      </c>
      <c r="G58" s="100">
        <v>2</v>
      </c>
      <c r="H58" s="69">
        <v>0</v>
      </c>
      <c r="I58" s="101">
        <v>1</v>
      </c>
      <c r="J58" s="100">
        <v>0</v>
      </c>
      <c r="K58" s="69">
        <v>0</v>
      </c>
      <c r="L58" s="69">
        <v>0</v>
      </c>
      <c r="M58" s="102">
        <v>0</v>
      </c>
      <c r="N58" s="69">
        <v>0</v>
      </c>
      <c r="O58" s="69">
        <v>0</v>
      </c>
      <c r="P58" s="69"/>
      <c r="Q58" s="69"/>
      <c r="R58" s="116">
        <v>0</v>
      </c>
      <c r="S58" s="69">
        <v>0</v>
      </c>
      <c r="T58" s="69">
        <v>0</v>
      </c>
      <c r="U58" s="103" t="s">
        <v>187</v>
      </c>
      <c r="V58" s="76" t="s">
        <v>185</v>
      </c>
    </row>
    <row r="59" spans="1:22" ht="126" x14ac:dyDescent="0.25">
      <c r="A59" s="158" t="s">
        <v>188</v>
      </c>
      <c r="B59" s="132" t="s">
        <v>189</v>
      </c>
      <c r="C59" s="100">
        <v>2</v>
      </c>
      <c r="D59" s="69">
        <v>0</v>
      </c>
      <c r="E59" s="101">
        <v>0</v>
      </c>
      <c r="G59" s="100">
        <v>1</v>
      </c>
      <c r="H59" s="69">
        <v>0</v>
      </c>
      <c r="I59" s="101">
        <v>3</v>
      </c>
      <c r="J59" s="100">
        <v>0</v>
      </c>
      <c r="K59" s="69">
        <v>0</v>
      </c>
      <c r="L59" s="69">
        <v>0</v>
      </c>
      <c r="M59" s="102">
        <v>0</v>
      </c>
      <c r="N59" s="69">
        <v>0</v>
      </c>
      <c r="P59" s="69"/>
      <c r="Q59" s="69"/>
      <c r="R59" s="116">
        <v>0</v>
      </c>
      <c r="S59" s="69">
        <v>0</v>
      </c>
      <c r="T59" s="69">
        <v>0</v>
      </c>
      <c r="U59" s="103" t="s">
        <v>190</v>
      </c>
      <c r="V59" s="76" t="s">
        <v>188</v>
      </c>
    </row>
    <row r="60" spans="1:22" ht="24" customHeight="1" x14ac:dyDescent="0.25">
      <c r="A60" s="158">
        <v>48</v>
      </c>
      <c r="B60" s="132" t="s">
        <v>58</v>
      </c>
      <c r="C60" s="100">
        <v>0</v>
      </c>
      <c r="D60" s="69">
        <v>3</v>
      </c>
      <c r="E60" s="101">
        <v>3</v>
      </c>
      <c r="G60" s="100">
        <v>0</v>
      </c>
      <c r="H60" s="69">
        <v>4</v>
      </c>
      <c r="I60" s="101">
        <v>0</v>
      </c>
      <c r="J60" s="100">
        <v>2</v>
      </c>
      <c r="K60" s="69">
        <v>1</v>
      </c>
      <c r="L60" s="69">
        <f>10+2</f>
        <v>12</v>
      </c>
      <c r="M60" s="102">
        <v>0</v>
      </c>
      <c r="N60" s="69">
        <v>0</v>
      </c>
      <c r="O60" s="69">
        <f t="shared" si="2"/>
        <v>2</v>
      </c>
      <c r="P60" s="69">
        <v>2</v>
      </c>
      <c r="Q60" s="69"/>
      <c r="R60" s="116"/>
      <c r="U60" s="103" t="s">
        <v>59</v>
      </c>
      <c r="V60" s="76">
        <v>48</v>
      </c>
    </row>
    <row r="61" spans="1:22" ht="63" x14ac:dyDescent="0.25">
      <c r="A61" s="158" t="s">
        <v>191</v>
      </c>
      <c r="B61" s="132" t="s">
        <v>192</v>
      </c>
      <c r="C61" s="100">
        <v>4</v>
      </c>
      <c r="D61" s="69">
        <v>0</v>
      </c>
      <c r="E61" s="101">
        <v>0</v>
      </c>
      <c r="G61" s="100">
        <v>15</v>
      </c>
      <c r="H61" s="69">
        <v>0</v>
      </c>
      <c r="I61" s="101">
        <v>13</v>
      </c>
      <c r="J61" s="100">
        <v>0</v>
      </c>
      <c r="K61" s="69">
        <v>0</v>
      </c>
      <c r="L61" s="69">
        <v>0</v>
      </c>
      <c r="M61" s="102">
        <v>0</v>
      </c>
      <c r="N61" s="69">
        <v>0</v>
      </c>
      <c r="O61" s="69">
        <v>0</v>
      </c>
      <c r="P61" s="69"/>
      <c r="Q61" s="69"/>
      <c r="R61" s="116">
        <v>0</v>
      </c>
      <c r="S61" s="69">
        <v>0</v>
      </c>
      <c r="T61" s="69">
        <v>0</v>
      </c>
      <c r="U61" s="103" t="s">
        <v>193</v>
      </c>
      <c r="V61" s="76" t="s">
        <v>191</v>
      </c>
    </row>
    <row r="62" spans="1:22" ht="126" x14ac:dyDescent="0.25">
      <c r="A62" s="158" t="s">
        <v>194</v>
      </c>
      <c r="B62" s="132" t="s">
        <v>195</v>
      </c>
      <c r="C62" s="100">
        <v>2</v>
      </c>
      <c r="D62" s="69">
        <v>0</v>
      </c>
      <c r="E62" s="101">
        <v>0</v>
      </c>
      <c r="G62" s="100">
        <v>1</v>
      </c>
      <c r="H62" s="69">
        <v>0</v>
      </c>
      <c r="I62" s="101">
        <v>2</v>
      </c>
      <c r="J62" s="100">
        <v>0</v>
      </c>
      <c r="K62" s="69">
        <v>0</v>
      </c>
      <c r="L62" s="69">
        <v>0</v>
      </c>
      <c r="M62" s="102">
        <v>0</v>
      </c>
      <c r="N62" s="69">
        <v>0</v>
      </c>
      <c r="O62" s="69">
        <v>0</v>
      </c>
      <c r="P62" s="69"/>
      <c r="Q62" s="69"/>
      <c r="R62" s="116">
        <v>2</v>
      </c>
      <c r="S62" s="69">
        <v>0</v>
      </c>
      <c r="T62" s="69">
        <v>2</v>
      </c>
      <c r="U62" s="103" t="s">
        <v>196</v>
      </c>
      <c r="V62" s="76" t="s">
        <v>194</v>
      </c>
    </row>
    <row r="63" spans="1:22" ht="147" x14ac:dyDescent="0.25">
      <c r="B63" s="132" t="s">
        <v>197</v>
      </c>
      <c r="C63" s="100">
        <v>0</v>
      </c>
      <c r="D63" s="69">
        <v>0</v>
      </c>
      <c r="E63" s="101">
        <v>0</v>
      </c>
      <c r="G63" s="100">
        <v>0</v>
      </c>
      <c r="H63" s="69">
        <v>0</v>
      </c>
      <c r="I63" s="101">
        <v>0</v>
      </c>
      <c r="J63" s="100">
        <v>0</v>
      </c>
      <c r="K63" s="69">
        <v>0</v>
      </c>
      <c r="L63" s="69">
        <v>0</v>
      </c>
      <c r="M63" s="102">
        <v>0</v>
      </c>
      <c r="N63" s="69">
        <v>0</v>
      </c>
      <c r="O63" s="69">
        <v>0</v>
      </c>
      <c r="P63" s="69"/>
      <c r="Q63" s="69"/>
      <c r="R63" s="116">
        <v>1</v>
      </c>
      <c r="S63" s="69">
        <v>0</v>
      </c>
      <c r="T63" s="69">
        <v>1</v>
      </c>
      <c r="U63" s="103" t="s">
        <v>198</v>
      </c>
      <c r="V63" s="76" t="s">
        <v>199</v>
      </c>
    </row>
    <row r="64" spans="1:22" ht="24" customHeight="1" x14ac:dyDescent="0.25">
      <c r="A64" s="158">
        <v>50</v>
      </c>
      <c r="B64" s="132" t="s">
        <v>60</v>
      </c>
      <c r="C64" s="100">
        <v>25</v>
      </c>
      <c r="D64" s="69">
        <v>18</v>
      </c>
      <c r="E64" s="101">
        <v>7</v>
      </c>
      <c r="G64" s="100">
        <v>5</v>
      </c>
      <c r="H64" s="69">
        <v>3</v>
      </c>
      <c r="I64" s="101">
        <v>16</v>
      </c>
      <c r="J64" s="100">
        <v>6</v>
      </c>
      <c r="K64" s="69">
        <v>8</v>
      </c>
      <c r="L64" s="69">
        <f>24+3</f>
        <v>27</v>
      </c>
      <c r="M64" s="102">
        <v>9</v>
      </c>
      <c r="N64" s="69">
        <v>1</v>
      </c>
      <c r="O64" s="69">
        <f t="shared" si="2"/>
        <v>14</v>
      </c>
      <c r="P64" s="69">
        <v>8</v>
      </c>
      <c r="Q64" s="69">
        <v>6</v>
      </c>
      <c r="R64" s="116">
        <v>6</v>
      </c>
      <c r="S64" s="69">
        <f>3+1</f>
        <v>4</v>
      </c>
      <c r="T64" s="69">
        <v>3</v>
      </c>
      <c r="U64" s="103" t="s">
        <v>61</v>
      </c>
      <c r="V64" s="76">
        <v>50</v>
      </c>
    </row>
    <row r="65" spans="1:23" ht="24" customHeight="1" x14ac:dyDescent="0.25">
      <c r="A65" s="158">
        <v>51</v>
      </c>
      <c r="B65" s="132" t="s">
        <v>62</v>
      </c>
      <c r="C65" s="100">
        <v>0</v>
      </c>
      <c r="D65" s="69">
        <v>13</v>
      </c>
      <c r="E65" s="101">
        <v>2</v>
      </c>
      <c r="G65" s="100">
        <v>0</v>
      </c>
      <c r="H65" s="69">
        <v>5</v>
      </c>
      <c r="I65" s="101">
        <v>0</v>
      </c>
      <c r="J65" s="100">
        <v>0</v>
      </c>
      <c r="K65" s="69">
        <v>2</v>
      </c>
      <c r="L65" s="69">
        <v>0</v>
      </c>
      <c r="M65" s="102">
        <v>0</v>
      </c>
      <c r="N65" s="69">
        <v>0</v>
      </c>
      <c r="O65" s="69">
        <f t="shared" si="2"/>
        <v>0</v>
      </c>
      <c r="P65" s="69"/>
      <c r="Q65" s="69"/>
      <c r="R65" s="116"/>
      <c r="U65" s="103" t="s">
        <v>63</v>
      </c>
      <c r="V65" s="76">
        <v>51</v>
      </c>
    </row>
    <row r="66" spans="1:23" ht="52.5" customHeight="1" x14ac:dyDescent="0.25">
      <c r="A66" s="158" t="s">
        <v>200</v>
      </c>
      <c r="B66" s="154" t="s">
        <v>201</v>
      </c>
      <c r="C66" s="69">
        <v>12</v>
      </c>
      <c r="D66" s="69">
        <v>0</v>
      </c>
      <c r="E66" s="101">
        <v>0</v>
      </c>
      <c r="G66" s="69">
        <v>9</v>
      </c>
      <c r="H66" s="69">
        <v>0</v>
      </c>
      <c r="I66" s="101">
        <v>4</v>
      </c>
      <c r="J66" s="104">
        <v>11</v>
      </c>
      <c r="K66" s="69">
        <v>1</v>
      </c>
      <c r="L66" s="69">
        <f>19+10</f>
        <v>29</v>
      </c>
      <c r="M66" s="105">
        <v>20</v>
      </c>
      <c r="N66" s="69">
        <v>0</v>
      </c>
      <c r="O66" s="69">
        <f t="shared" si="2"/>
        <v>22</v>
      </c>
      <c r="P66" s="69">
        <v>8</v>
      </c>
      <c r="Q66" s="69">
        <v>14</v>
      </c>
      <c r="R66" s="140">
        <v>9</v>
      </c>
      <c r="S66" s="69">
        <v>3</v>
      </c>
      <c r="T66" s="69">
        <v>6</v>
      </c>
      <c r="U66" s="103" t="s">
        <v>202</v>
      </c>
      <c r="V66" s="76" t="s">
        <v>200</v>
      </c>
    </row>
    <row r="67" spans="1:23" ht="45" customHeight="1" x14ac:dyDescent="0.25">
      <c r="A67" s="158" t="s">
        <v>203</v>
      </c>
      <c r="B67" s="154" t="s">
        <v>204</v>
      </c>
      <c r="C67" s="69">
        <v>0</v>
      </c>
      <c r="D67" s="69">
        <v>0</v>
      </c>
      <c r="E67" s="101">
        <v>0</v>
      </c>
      <c r="G67" s="69">
        <v>0</v>
      </c>
      <c r="H67" s="69">
        <v>0</v>
      </c>
      <c r="I67" s="101">
        <v>0</v>
      </c>
      <c r="J67" s="104">
        <v>0</v>
      </c>
      <c r="K67" s="69">
        <v>0</v>
      </c>
      <c r="L67" s="69">
        <v>1</v>
      </c>
      <c r="M67" s="105">
        <v>0</v>
      </c>
      <c r="N67" s="69">
        <v>0</v>
      </c>
      <c r="O67" s="69">
        <f t="shared" si="2"/>
        <v>0</v>
      </c>
      <c r="P67" s="69"/>
      <c r="Q67" s="69"/>
      <c r="R67" s="140">
        <v>0</v>
      </c>
      <c r="S67" s="69">
        <v>0</v>
      </c>
      <c r="T67" s="69">
        <v>0</v>
      </c>
      <c r="U67" s="103" t="s">
        <v>205</v>
      </c>
      <c r="V67" s="76" t="s">
        <v>203</v>
      </c>
    </row>
    <row r="68" spans="1:23" ht="67.5" customHeight="1" x14ac:dyDescent="0.25">
      <c r="A68" s="158" t="s">
        <v>206</v>
      </c>
      <c r="B68" s="150" t="s">
        <v>207</v>
      </c>
      <c r="C68" s="100">
        <v>1</v>
      </c>
      <c r="D68" s="69">
        <v>0</v>
      </c>
      <c r="E68" s="101">
        <v>0</v>
      </c>
      <c r="G68" s="100">
        <v>0</v>
      </c>
      <c r="H68" s="69">
        <v>0</v>
      </c>
      <c r="I68" s="101">
        <v>0</v>
      </c>
      <c r="J68" s="106">
        <v>0</v>
      </c>
      <c r="K68" s="69">
        <v>0</v>
      </c>
      <c r="L68" s="69">
        <v>1</v>
      </c>
      <c r="M68" s="102">
        <v>0</v>
      </c>
      <c r="N68" s="69">
        <v>0</v>
      </c>
      <c r="O68" s="69">
        <f t="shared" si="2"/>
        <v>0</v>
      </c>
      <c r="P68" s="69"/>
      <c r="Q68" s="69"/>
      <c r="R68" s="116">
        <v>0</v>
      </c>
      <c r="S68" s="69">
        <v>0</v>
      </c>
      <c r="T68" s="69">
        <v>0</v>
      </c>
      <c r="U68" s="103" t="s">
        <v>208</v>
      </c>
      <c r="V68" s="76" t="s">
        <v>206</v>
      </c>
    </row>
    <row r="69" spans="1:23" ht="70.5" customHeight="1" x14ac:dyDescent="0.25">
      <c r="A69" s="159" t="s">
        <v>209</v>
      </c>
      <c r="B69" s="150" t="s">
        <v>210</v>
      </c>
      <c r="C69" s="100">
        <v>1</v>
      </c>
      <c r="D69" s="69">
        <v>0</v>
      </c>
      <c r="E69" s="101">
        <v>0</v>
      </c>
      <c r="G69" s="100">
        <v>0</v>
      </c>
      <c r="H69" s="69">
        <v>0</v>
      </c>
      <c r="I69" s="101">
        <v>0</v>
      </c>
      <c r="J69" s="106">
        <v>2</v>
      </c>
      <c r="K69" s="69">
        <v>0</v>
      </c>
      <c r="L69" s="69">
        <v>1</v>
      </c>
      <c r="M69" s="102">
        <v>0</v>
      </c>
      <c r="N69" s="69">
        <v>0</v>
      </c>
      <c r="O69" s="69">
        <f t="shared" si="2"/>
        <v>0</v>
      </c>
      <c r="P69" s="69"/>
      <c r="Q69" s="69"/>
      <c r="R69" s="116">
        <v>0</v>
      </c>
      <c r="S69" s="69">
        <v>0</v>
      </c>
      <c r="T69" s="69">
        <v>0</v>
      </c>
      <c r="U69" s="103" t="s">
        <v>211</v>
      </c>
      <c r="V69" s="147" t="s">
        <v>209</v>
      </c>
    </row>
    <row r="70" spans="1:23" ht="68.25" customHeight="1" x14ac:dyDescent="0.25">
      <c r="A70" s="158" t="s">
        <v>212</v>
      </c>
      <c r="B70" s="150" t="s">
        <v>213</v>
      </c>
      <c r="C70" s="100">
        <v>1</v>
      </c>
      <c r="D70" s="69">
        <v>0</v>
      </c>
      <c r="E70" s="101">
        <v>0</v>
      </c>
      <c r="G70" s="100">
        <v>0</v>
      </c>
      <c r="H70" s="69">
        <v>0</v>
      </c>
      <c r="I70" s="101">
        <v>0</v>
      </c>
      <c r="J70" s="106">
        <v>0</v>
      </c>
      <c r="K70" s="69">
        <v>0</v>
      </c>
      <c r="L70" s="69">
        <v>2</v>
      </c>
      <c r="M70" s="102">
        <v>0</v>
      </c>
      <c r="N70" s="69">
        <v>0</v>
      </c>
      <c r="O70" s="69">
        <f t="shared" si="2"/>
        <v>0</v>
      </c>
      <c r="P70" s="69"/>
      <c r="Q70" s="69"/>
      <c r="R70" s="116">
        <v>0</v>
      </c>
      <c r="S70" s="69">
        <v>0</v>
      </c>
      <c r="T70" s="69">
        <v>0</v>
      </c>
      <c r="U70" s="103" t="s">
        <v>214</v>
      </c>
      <c r="V70" s="76" t="s">
        <v>212</v>
      </c>
    </row>
    <row r="71" spans="1:23" ht="99" customHeight="1" x14ac:dyDescent="0.25">
      <c r="A71" s="158" t="s">
        <v>215</v>
      </c>
      <c r="B71" s="150" t="s">
        <v>216</v>
      </c>
      <c r="C71" s="100">
        <v>0</v>
      </c>
      <c r="D71" s="69">
        <v>0</v>
      </c>
      <c r="E71" s="101">
        <v>0</v>
      </c>
      <c r="G71" s="100">
        <v>0</v>
      </c>
      <c r="H71" s="69">
        <v>0</v>
      </c>
      <c r="I71" s="101">
        <v>0</v>
      </c>
      <c r="J71" s="106">
        <v>0</v>
      </c>
      <c r="K71" s="69">
        <v>0</v>
      </c>
      <c r="L71" s="69">
        <v>1</v>
      </c>
      <c r="M71" s="102">
        <v>0</v>
      </c>
      <c r="N71" s="69">
        <v>0</v>
      </c>
      <c r="O71" s="69">
        <f t="shared" si="2"/>
        <v>0</v>
      </c>
      <c r="P71" s="69"/>
      <c r="Q71" s="69"/>
      <c r="R71" s="116">
        <v>0</v>
      </c>
      <c r="S71" s="69">
        <v>0</v>
      </c>
      <c r="T71" s="69">
        <v>0</v>
      </c>
      <c r="U71" s="103" t="s">
        <v>217</v>
      </c>
      <c r="V71" s="76" t="s">
        <v>215</v>
      </c>
    </row>
    <row r="72" spans="1:23" ht="63" x14ac:dyDescent="0.25">
      <c r="A72" s="158" t="s">
        <v>218</v>
      </c>
      <c r="B72" s="150" t="s">
        <v>219</v>
      </c>
      <c r="C72" s="100">
        <v>0</v>
      </c>
      <c r="D72" s="69">
        <v>0</v>
      </c>
      <c r="E72" s="101">
        <v>0</v>
      </c>
      <c r="G72" s="100">
        <v>0</v>
      </c>
      <c r="H72" s="69">
        <v>0</v>
      </c>
      <c r="I72" s="101">
        <v>0</v>
      </c>
      <c r="J72" s="106">
        <v>1</v>
      </c>
      <c r="K72" s="69">
        <v>0</v>
      </c>
      <c r="L72" s="69">
        <v>0</v>
      </c>
      <c r="M72" s="102">
        <v>0</v>
      </c>
      <c r="N72" s="69">
        <v>0</v>
      </c>
      <c r="O72" s="69">
        <v>0</v>
      </c>
      <c r="P72" s="69"/>
      <c r="Q72" s="69"/>
      <c r="R72" s="116">
        <v>0</v>
      </c>
      <c r="S72" s="69">
        <v>0</v>
      </c>
      <c r="T72" s="69">
        <v>0</v>
      </c>
      <c r="U72" s="103" t="s">
        <v>220</v>
      </c>
      <c r="V72" s="76" t="s">
        <v>218</v>
      </c>
    </row>
    <row r="73" spans="1:23" s="111" customFormat="1" ht="105" x14ac:dyDescent="0.25">
      <c r="A73" s="158">
        <v>52</v>
      </c>
      <c r="B73" s="155" t="s">
        <v>221</v>
      </c>
      <c r="C73" s="100">
        <v>0</v>
      </c>
      <c r="D73" s="69">
        <v>0</v>
      </c>
      <c r="E73" s="101">
        <v>0</v>
      </c>
      <c r="F73" s="69"/>
      <c r="G73" s="100">
        <v>0</v>
      </c>
      <c r="H73" s="69">
        <v>0</v>
      </c>
      <c r="I73" s="101">
        <v>1</v>
      </c>
      <c r="J73" s="106">
        <v>0</v>
      </c>
      <c r="K73" s="69">
        <v>0</v>
      </c>
      <c r="L73" s="69">
        <v>0</v>
      </c>
      <c r="M73" s="102">
        <v>0</v>
      </c>
      <c r="N73" s="69">
        <v>0</v>
      </c>
      <c r="O73" s="69">
        <f t="shared" si="2"/>
        <v>2</v>
      </c>
      <c r="P73" s="142">
        <v>2</v>
      </c>
      <c r="Q73" s="142"/>
      <c r="R73" s="116">
        <v>0</v>
      </c>
      <c r="S73" s="69">
        <v>0</v>
      </c>
      <c r="T73" s="69">
        <v>0</v>
      </c>
      <c r="U73" s="110" t="s">
        <v>222</v>
      </c>
      <c r="V73" s="148">
        <v>52</v>
      </c>
    </row>
    <row r="74" spans="1:23" ht="24" customHeight="1" x14ac:dyDescent="0.25">
      <c r="A74" s="158">
        <v>53</v>
      </c>
      <c r="B74" s="154" t="s">
        <v>66</v>
      </c>
      <c r="C74" s="69">
        <v>0</v>
      </c>
      <c r="D74" s="69">
        <v>0</v>
      </c>
      <c r="E74" s="101">
        <v>0</v>
      </c>
      <c r="G74" s="69">
        <v>0</v>
      </c>
      <c r="H74" s="69">
        <v>0</v>
      </c>
      <c r="I74" s="101">
        <v>0</v>
      </c>
      <c r="J74" s="104">
        <v>0</v>
      </c>
      <c r="K74" s="69">
        <v>0</v>
      </c>
      <c r="L74" s="69">
        <v>0</v>
      </c>
      <c r="M74" s="105">
        <v>0</v>
      </c>
      <c r="N74" s="69">
        <v>0</v>
      </c>
      <c r="O74" s="69">
        <f t="shared" si="2"/>
        <v>0</v>
      </c>
      <c r="P74" s="69"/>
      <c r="Q74" s="69"/>
      <c r="R74" s="140"/>
      <c r="U74" s="103" t="s">
        <v>67</v>
      </c>
      <c r="V74" s="76">
        <v>53</v>
      </c>
    </row>
    <row r="75" spans="1:23" s="117" customFormat="1" ht="59.25" customHeight="1" x14ac:dyDescent="0.25">
      <c r="A75" s="158" t="s">
        <v>223</v>
      </c>
      <c r="B75" s="155" t="s">
        <v>224</v>
      </c>
      <c r="C75" s="112">
        <v>0</v>
      </c>
      <c r="D75" s="113">
        <v>0</v>
      </c>
      <c r="E75" s="114">
        <v>0</v>
      </c>
      <c r="F75" s="113"/>
      <c r="G75" s="112">
        <v>2</v>
      </c>
      <c r="H75" s="113">
        <v>0</v>
      </c>
      <c r="I75" s="114">
        <v>1</v>
      </c>
      <c r="J75" s="115">
        <v>1</v>
      </c>
      <c r="K75" s="113">
        <v>1</v>
      </c>
      <c r="L75" s="113">
        <v>2</v>
      </c>
      <c r="M75" s="116">
        <v>1</v>
      </c>
      <c r="N75" s="113">
        <v>0</v>
      </c>
      <c r="O75" s="113">
        <f t="shared" si="2"/>
        <v>1</v>
      </c>
      <c r="P75" s="113"/>
      <c r="Q75" s="113">
        <v>1</v>
      </c>
      <c r="R75" s="116">
        <v>0</v>
      </c>
      <c r="S75" s="113">
        <v>0</v>
      </c>
      <c r="T75" s="113">
        <v>0</v>
      </c>
      <c r="U75" s="110" t="s">
        <v>225</v>
      </c>
      <c r="V75" s="148" t="s">
        <v>223</v>
      </c>
    </row>
    <row r="76" spans="1:23" s="117" customFormat="1" ht="84" x14ac:dyDescent="0.25">
      <c r="A76" s="158"/>
      <c r="B76" s="155" t="s">
        <v>226</v>
      </c>
      <c r="C76" s="112">
        <v>0</v>
      </c>
      <c r="D76" s="113">
        <v>0</v>
      </c>
      <c r="E76" s="114">
        <v>0</v>
      </c>
      <c r="F76" s="113"/>
      <c r="G76" s="112">
        <v>1</v>
      </c>
      <c r="H76" s="113">
        <v>0</v>
      </c>
      <c r="I76" s="114">
        <v>1</v>
      </c>
      <c r="J76" s="115">
        <v>0</v>
      </c>
      <c r="K76" s="113">
        <v>0</v>
      </c>
      <c r="L76" s="113">
        <v>0</v>
      </c>
      <c r="M76" s="116">
        <v>0</v>
      </c>
      <c r="N76" s="113">
        <v>0</v>
      </c>
      <c r="O76" s="113">
        <v>0</v>
      </c>
      <c r="P76" s="113"/>
      <c r="Q76" s="113"/>
      <c r="R76" s="116">
        <v>0</v>
      </c>
      <c r="S76" s="113">
        <v>0</v>
      </c>
      <c r="T76" s="113">
        <v>0</v>
      </c>
      <c r="U76" s="110" t="s">
        <v>227</v>
      </c>
      <c r="V76" s="148" t="s">
        <v>228</v>
      </c>
    </row>
    <row r="77" spans="1:23" ht="24" customHeight="1" x14ac:dyDescent="0.25">
      <c r="A77" s="158">
        <v>54</v>
      </c>
      <c r="B77" s="132" t="s">
        <v>68</v>
      </c>
      <c r="C77" s="100">
        <v>33</v>
      </c>
      <c r="D77" s="69">
        <v>15</v>
      </c>
      <c r="E77" s="101">
        <v>18</v>
      </c>
      <c r="G77" s="100">
        <v>78</v>
      </c>
      <c r="H77" s="69">
        <v>20</v>
      </c>
      <c r="I77" s="101">
        <v>103</v>
      </c>
      <c r="J77" s="100">
        <v>32</v>
      </c>
      <c r="K77" s="69">
        <v>61</v>
      </c>
      <c r="L77" s="69">
        <f>188+1</f>
        <v>189</v>
      </c>
      <c r="M77" s="102">
        <v>45</v>
      </c>
      <c r="N77" s="69">
        <v>8</v>
      </c>
      <c r="O77" s="69">
        <f t="shared" si="2"/>
        <v>77</v>
      </c>
      <c r="P77" s="69">
        <v>77</v>
      </c>
      <c r="Q77" s="69"/>
      <c r="R77" s="116">
        <v>43</v>
      </c>
      <c r="S77" s="69">
        <v>10</v>
      </c>
      <c r="T77" s="69">
        <v>47</v>
      </c>
      <c r="U77" s="103" t="s">
        <v>69</v>
      </c>
      <c r="V77" s="76">
        <v>54</v>
      </c>
    </row>
    <row r="78" spans="1:23" ht="24" customHeight="1" x14ac:dyDescent="0.25">
      <c r="A78" s="158">
        <v>56</v>
      </c>
      <c r="B78" s="154" t="s">
        <v>70</v>
      </c>
      <c r="C78" s="69">
        <v>3</v>
      </c>
      <c r="D78" s="69">
        <v>0</v>
      </c>
      <c r="E78" s="101">
        <v>0</v>
      </c>
      <c r="G78" s="69">
        <v>1</v>
      </c>
      <c r="H78" s="69">
        <v>0</v>
      </c>
      <c r="I78" s="101">
        <v>0</v>
      </c>
      <c r="J78" s="104">
        <v>1</v>
      </c>
      <c r="K78" s="69">
        <v>0</v>
      </c>
      <c r="L78" s="69">
        <f>3+1</f>
        <v>4</v>
      </c>
      <c r="M78" s="105">
        <v>2</v>
      </c>
      <c r="N78" s="69">
        <v>0</v>
      </c>
      <c r="O78" s="69">
        <f t="shared" si="2"/>
        <v>2</v>
      </c>
      <c r="P78" s="69">
        <v>1</v>
      </c>
      <c r="Q78" s="69">
        <v>1</v>
      </c>
      <c r="R78" s="140"/>
      <c r="T78" s="69">
        <v>0</v>
      </c>
      <c r="U78" s="103" t="s">
        <v>229</v>
      </c>
      <c r="V78" s="76">
        <v>56</v>
      </c>
      <c r="W78" s="118"/>
    </row>
    <row r="79" spans="1:23" ht="32.25" customHeight="1" x14ac:dyDescent="0.25">
      <c r="A79" s="158">
        <v>57</v>
      </c>
      <c r="B79" s="132" t="s">
        <v>72</v>
      </c>
      <c r="C79" s="100">
        <v>27</v>
      </c>
      <c r="D79" s="69">
        <v>3</v>
      </c>
      <c r="E79" s="101">
        <v>3</v>
      </c>
      <c r="G79" s="100">
        <v>26</v>
      </c>
      <c r="H79" s="69">
        <v>1</v>
      </c>
      <c r="I79" s="101">
        <v>20</v>
      </c>
      <c r="J79" s="100">
        <v>8</v>
      </c>
      <c r="K79" s="69">
        <v>9</v>
      </c>
      <c r="L79" s="69">
        <f>18+2</f>
        <v>20</v>
      </c>
      <c r="M79" s="102">
        <v>7</v>
      </c>
      <c r="N79" s="69">
        <v>1</v>
      </c>
      <c r="O79" s="69">
        <f t="shared" si="2"/>
        <v>22</v>
      </c>
      <c r="P79" s="69">
        <v>18</v>
      </c>
      <c r="Q79" s="69">
        <v>4</v>
      </c>
      <c r="R79" s="116">
        <v>14</v>
      </c>
      <c r="S79" s="69">
        <v>1</v>
      </c>
      <c r="T79" s="69">
        <v>14</v>
      </c>
      <c r="U79" s="103" t="s">
        <v>73</v>
      </c>
      <c r="V79" s="76">
        <v>57</v>
      </c>
    </row>
    <row r="80" spans="1:23" ht="24" customHeight="1" x14ac:dyDescent="0.25">
      <c r="A80" s="158">
        <v>58</v>
      </c>
      <c r="B80" s="132" t="s">
        <v>230</v>
      </c>
      <c r="C80" s="100">
        <v>1</v>
      </c>
      <c r="D80" s="69">
        <v>17</v>
      </c>
      <c r="E80" s="101">
        <v>10</v>
      </c>
      <c r="G80" s="100">
        <v>1</v>
      </c>
      <c r="H80" s="69">
        <v>11</v>
      </c>
      <c r="I80" s="101">
        <v>2</v>
      </c>
      <c r="J80" s="100">
        <v>0</v>
      </c>
      <c r="K80" s="69">
        <v>0</v>
      </c>
      <c r="L80" s="69">
        <v>0</v>
      </c>
      <c r="M80" s="102">
        <v>0</v>
      </c>
      <c r="N80" s="69">
        <v>0</v>
      </c>
      <c r="O80" s="69">
        <f t="shared" si="2"/>
        <v>0</v>
      </c>
      <c r="P80" s="69"/>
      <c r="Q80" s="69"/>
      <c r="R80" s="116">
        <v>0</v>
      </c>
      <c r="S80" s="69">
        <v>0</v>
      </c>
      <c r="T80" s="69">
        <v>0</v>
      </c>
      <c r="U80" s="103" t="s">
        <v>75</v>
      </c>
      <c r="V80" s="76">
        <v>58</v>
      </c>
    </row>
    <row r="81" spans="1:22" ht="24" customHeight="1" x14ac:dyDescent="0.25">
      <c r="A81" s="158">
        <v>62</v>
      </c>
      <c r="B81" s="132" t="s">
        <v>76</v>
      </c>
      <c r="C81" s="100">
        <v>0</v>
      </c>
      <c r="D81" s="69">
        <v>0</v>
      </c>
      <c r="E81" s="101">
        <v>0</v>
      </c>
      <c r="G81" s="100">
        <v>0</v>
      </c>
      <c r="H81" s="69">
        <v>0</v>
      </c>
      <c r="I81" s="101">
        <v>0</v>
      </c>
      <c r="J81" s="100">
        <v>0</v>
      </c>
      <c r="K81" s="69">
        <v>0</v>
      </c>
      <c r="L81" s="69">
        <v>3</v>
      </c>
      <c r="M81" s="102">
        <v>0</v>
      </c>
      <c r="N81" s="69">
        <v>0</v>
      </c>
      <c r="O81" s="69">
        <f t="shared" si="2"/>
        <v>0</v>
      </c>
      <c r="P81" s="69"/>
      <c r="Q81" s="69"/>
      <c r="R81" s="116"/>
      <c r="U81" s="103" t="s">
        <v>77</v>
      </c>
      <c r="V81" s="76">
        <v>62</v>
      </c>
    </row>
    <row r="82" spans="1:22" ht="45.75" customHeight="1" x14ac:dyDescent="0.25">
      <c r="A82" s="158" t="s">
        <v>231</v>
      </c>
      <c r="B82" s="150" t="s">
        <v>232</v>
      </c>
      <c r="C82" s="100">
        <v>3</v>
      </c>
      <c r="D82" s="69">
        <v>0</v>
      </c>
      <c r="E82" s="101">
        <v>0</v>
      </c>
      <c r="G82" s="100">
        <v>1</v>
      </c>
      <c r="H82" s="69">
        <v>0</v>
      </c>
      <c r="I82" s="101">
        <v>3</v>
      </c>
      <c r="J82" s="106">
        <v>13</v>
      </c>
      <c r="K82" s="69">
        <v>1</v>
      </c>
      <c r="L82" s="69">
        <v>4</v>
      </c>
      <c r="M82" s="102">
        <v>1</v>
      </c>
      <c r="N82" s="69">
        <v>0</v>
      </c>
      <c r="O82" s="69">
        <f t="shared" si="2"/>
        <v>5</v>
      </c>
      <c r="P82" s="69">
        <v>5</v>
      </c>
      <c r="Q82" s="69"/>
      <c r="R82" s="116">
        <v>3</v>
      </c>
      <c r="S82" s="69">
        <v>0</v>
      </c>
      <c r="T82" s="69">
        <v>3</v>
      </c>
      <c r="U82" s="103" t="s">
        <v>233</v>
      </c>
      <c r="V82" s="76" t="s">
        <v>231</v>
      </c>
    </row>
    <row r="83" spans="1:22" ht="65.25" customHeight="1" x14ac:dyDescent="0.25">
      <c r="A83" s="158" t="s">
        <v>234</v>
      </c>
      <c r="B83" s="150" t="s">
        <v>235</v>
      </c>
      <c r="C83" s="100">
        <v>0</v>
      </c>
      <c r="D83" s="69">
        <v>0</v>
      </c>
      <c r="E83" s="101">
        <v>0</v>
      </c>
      <c r="G83" s="100">
        <v>3</v>
      </c>
      <c r="H83" s="69">
        <v>0</v>
      </c>
      <c r="I83" s="101">
        <v>3</v>
      </c>
      <c r="J83" s="106">
        <v>1</v>
      </c>
      <c r="K83" s="69">
        <v>0</v>
      </c>
      <c r="L83" s="69">
        <f>4+2</f>
        <v>6</v>
      </c>
      <c r="M83" s="102">
        <v>3</v>
      </c>
      <c r="N83" s="69">
        <v>0</v>
      </c>
      <c r="O83" s="69">
        <f t="shared" si="2"/>
        <v>5</v>
      </c>
      <c r="P83" s="69">
        <v>3</v>
      </c>
      <c r="Q83" s="69">
        <v>2</v>
      </c>
      <c r="R83" s="116">
        <v>3</v>
      </c>
      <c r="S83" s="69">
        <v>0</v>
      </c>
      <c r="T83" s="69">
        <v>5</v>
      </c>
      <c r="U83" s="103" t="s">
        <v>236</v>
      </c>
      <c r="V83" s="76" t="s">
        <v>234</v>
      </c>
    </row>
    <row r="84" spans="1:22" ht="24" customHeight="1" x14ac:dyDescent="0.25">
      <c r="A84" s="158">
        <v>64</v>
      </c>
      <c r="B84" s="132" t="s">
        <v>237</v>
      </c>
      <c r="C84" s="100">
        <v>0</v>
      </c>
      <c r="D84" s="69">
        <v>3</v>
      </c>
      <c r="E84" s="101">
        <v>0</v>
      </c>
      <c r="G84" s="100">
        <v>0</v>
      </c>
      <c r="H84" s="69">
        <v>2</v>
      </c>
      <c r="I84" s="101">
        <v>0</v>
      </c>
      <c r="J84" s="100">
        <v>0</v>
      </c>
      <c r="K84" s="69">
        <v>0</v>
      </c>
      <c r="L84" s="69">
        <v>0</v>
      </c>
      <c r="M84" s="102">
        <v>0</v>
      </c>
      <c r="N84" s="69">
        <v>0</v>
      </c>
      <c r="O84" s="69">
        <f t="shared" si="2"/>
        <v>0</v>
      </c>
      <c r="P84" s="69"/>
      <c r="Q84" s="69"/>
      <c r="R84" s="116">
        <v>0</v>
      </c>
      <c r="S84" s="69">
        <v>0</v>
      </c>
      <c r="T84" s="69">
        <v>0</v>
      </c>
      <c r="U84" s="103" t="s">
        <v>238</v>
      </c>
      <c r="V84" s="76">
        <v>64</v>
      </c>
    </row>
    <row r="85" spans="1:22" ht="24" customHeight="1" x14ac:dyDescent="0.25">
      <c r="A85" s="158">
        <v>67</v>
      </c>
      <c r="B85" s="132" t="s">
        <v>78</v>
      </c>
      <c r="C85" s="100">
        <v>0</v>
      </c>
      <c r="D85" s="69">
        <v>0</v>
      </c>
      <c r="E85" s="101">
        <v>0</v>
      </c>
      <c r="G85" s="100">
        <v>0</v>
      </c>
      <c r="H85" s="69">
        <v>0</v>
      </c>
      <c r="I85" s="101">
        <v>2</v>
      </c>
      <c r="J85" s="100">
        <v>0</v>
      </c>
      <c r="K85" s="69">
        <v>0</v>
      </c>
      <c r="L85" s="69">
        <v>0</v>
      </c>
      <c r="M85" s="102">
        <v>0</v>
      </c>
      <c r="N85" s="69">
        <v>0</v>
      </c>
      <c r="O85" s="69">
        <f t="shared" ref="O85:O86" si="3">Q85+P85</f>
        <v>0</v>
      </c>
      <c r="P85" s="69"/>
      <c r="Q85" s="69"/>
      <c r="R85" s="116">
        <v>0</v>
      </c>
      <c r="S85" s="69">
        <v>0</v>
      </c>
      <c r="T85" s="69">
        <v>0</v>
      </c>
      <c r="U85" s="109" t="s">
        <v>79</v>
      </c>
      <c r="V85" s="76">
        <v>67</v>
      </c>
    </row>
    <row r="86" spans="1:22" ht="24" customHeight="1" x14ac:dyDescent="0.25">
      <c r="A86" s="160"/>
      <c r="B86" s="156" t="s">
        <v>239</v>
      </c>
      <c r="C86" s="119">
        <v>17</v>
      </c>
      <c r="D86" s="120">
        <v>0</v>
      </c>
      <c r="E86" s="121">
        <v>0</v>
      </c>
      <c r="F86" s="120"/>
      <c r="G86" s="119">
        <v>3</v>
      </c>
      <c r="H86" s="120">
        <v>0</v>
      </c>
      <c r="I86" s="121">
        <v>3</v>
      </c>
      <c r="J86" s="119">
        <v>0</v>
      </c>
      <c r="K86" s="120">
        <v>0</v>
      </c>
      <c r="L86" s="120">
        <v>4</v>
      </c>
      <c r="M86" s="122">
        <v>0</v>
      </c>
      <c r="N86" s="120">
        <v>0</v>
      </c>
      <c r="O86" s="120">
        <f t="shared" si="3"/>
        <v>0</v>
      </c>
      <c r="P86" s="120"/>
      <c r="Q86" s="120"/>
      <c r="R86" s="143">
        <v>0</v>
      </c>
      <c r="S86" s="120">
        <v>0</v>
      </c>
      <c r="T86" s="120">
        <v>3</v>
      </c>
      <c r="U86" s="123" t="s">
        <v>81</v>
      </c>
      <c r="V86" s="149"/>
    </row>
    <row r="87" spans="1:22" ht="16.5" customHeight="1" x14ac:dyDescent="0.25">
      <c r="B87" s="27" t="s">
        <v>240</v>
      </c>
      <c r="C87" s="124"/>
      <c r="D87" s="19"/>
      <c r="E87" s="19"/>
      <c r="F87" s="19"/>
      <c r="G87" s="124"/>
      <c r="H87" s="19"/>
      <c r="I87" s="19"/>
      <c r="J87" s="124"/>
      <c r="K87" s="19"/>
      <c r="L87" s="19"/>
      <c r="M87" s="124"/>
      <c r="N87" s="19"/>
      <c r="O87" s="19"/>
      <c r="P87" s="19"/>
      <c r="Q87" s="19"/>
      <c r="R87" s="124"/>
      <c r="S87" s="19"/>
      <c r="T87" s="19"/>
      <c r="U87" s="125" t="s">
        <v>241</v>
      </c>
    </row>
    <row r="88" spans="1:22" ht="18.75" customHeight="1" x14ac:dyDescent="0.25">
      <c r="B88" s="23" t="s">
        <v>84</v>
      </c>
      <c r="C88" s="124"/>
      <c r="D88" s="19"/>
      <c r="E88" s="19"/>
      <c r="F88" s="19"/>
      <c r="G88" s="124"/>
      <c r="H88" s="19"/>
      <c r="I88" s="19"/>
      <c r="J88" s="124"/>
      <c r="K88" s="19"/>
      <c r="L88" s="19"/>
      <c r="M88" s="124"/>
      <c r="N88" s="19"/>
      <c r="O88" s="19"/>
      <c r="P88" s="56"/>
      <c r="Q88" s="56"/>
      <c r="R88" s="124"/>
      <c r="S88" s="19"/>
      <c r="T88" s="19"/>
      <c r="U88" s="125" t="s">
        <v>242</v>
      </c>
    </row>
  </sheetData>
  <mergeCells count="10">
    <mergeCell ref="V4:V6"/>
    <mergeCell ref="B1:U1"/>
    <mergeCell ref="B2:U2"/>
    <mergeCell ref="B4:B6"/>
    <mergeCell ref="U4:U6"/>
    <mergeCell ref="C6:E6"/>
    <mergeCell ref="G6:I6"/>
    <mergeCell ref="J6:L6"/>
    <mergeCell ref="M6:P6"/>
    <mergeCell ref="R6:T6"/>
  </mergeCell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19.1</vt:lpstr>
      <vt:lpstr>19.2</vt:lpstr>
      <vt:lpstr>19.3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2019-09-11T06:11:12Z</dcterms:created>
  <dcterms:modified xsi:type="dcterms:W3CDTF">2019-09-11T06:25:17Z</dcterms:modified>
</cp:coreProperties>
</file>