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6" sheetId="6" r:id="rId1"/>
  </sheets>
  <externalReferences>
    <externalReference r:id="rId2"/>
  </externalReferences>
  <definedNames>
    <definedName name="_xlnm.Print_Area" localSheetId="0">'5.6'!$A$1:$M$44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6" l="1"/>
  <c r="K8" i="6"/>
  <c r="H8" i="6"/>
  <c r="G8" i="6"/>
  <c r="J9" i="6"/>
  <c r="J10" i="6"/>
  <c r="J11" i="6"/>
  <c r="J12" i="6"/>
  <c r="B12" i="6" s="1"/>
  <c r="J13" i="6"/>
  <c r="J14" i="6"/>
  <c r="J15" i="6"/>
  <c r="J16" i="6"/>
  <c r="J17" i="6"/>
  <c r="J18" i="6"/>
  <c r="J19" i="6"/>
  <c r="J20" i="6"/>
  <c r="J21" i="6"/>
  <c r="B21" i="6" s="1"/>
  <c r="J22" i="6"/>
  <c r="J23" i="6"/>
  <c r="J24" i="6"/>
  <c r="J25" i="6"/>
  <c r="J26" i="6"/>
  <c r="J27" i="6"/>
  <c r="J28" i="6"/>
  <c r="J29" i="6"/>
  <c r="J30" i="6"/>
  <c r="J31" i="6"/>
  <c r="J32" i="6"/>
  <c r="B32" i="6" s="1"/>
  <c r="J33" i="6"/>
  <c r="J34" i="6"/>
  <c r="J35" i="6"/>
  <c r="J36" i="6"/>
  <c r="J37" i="6"/>
  <c r="B37" i="6" s="1"/>
  <c r="J38" i="6"/>
  <c r="J39" i="6"/>
  <c r="J40" i="6"/>
  <c r="B40" i="6" s="1"/>
  <c r="J41" i="6"/>
  <c r="J42" i="6"/>
  <c r="F9" i="6"/>
  <c r="B9" i="6" s="1"/>
  <c r="F10" i="6"/>
  <c r="F11" i="6"/>
  <c r="F12" i="6"/>
  <c r="F13" i="6"/>
  <c r="F14" i="6"/>
  <c r="B14" i="6" s="1"/>
  <c r="F15" i="6"/>
  <c r="F16" i="6"/>
  <c r="F17" i="6"/>
  <c r="B17" i="6" s="1"/>
  <c r="F18" i="6"/>
  <c r="F19" i="6"/>
  <c r="F20" i="6"/>
  <c r="F21" i="6"/>
  <c r="F22" i="6"/>
  <c r="B22" i="6" s="1"/>
  <c r="F23" i="6"/>
  <c r="F24" i="6"/>
  <c r="F25" i="6"/>
  <c r="B25" i="6" s="1"/>
  <c r="F26" i="6"/>
  <c r="F27" i="6"/>
  <c r="F28" i="6"/>
  <c r="F29" i="6"/>
  <c r="F30" i="6"/>
  <c r="B30" i="6" s="1"/>
  <c r="F31" i="6"/>
  <c r="F32" i="6"/>
  <c r="F33" i="6"/>
  <c r="B33" i="6" s="1"/>
  <c r="F34" i="6"/>
  <c r="F35" i="6"/>
  <c r="F36" i="6"/>
  <c r="F37" i="6"/>
  <c r="F38" i="6"/>
  <c r="B38" i="6" s="1"/>
  <c r="F39" i="6"/>
  <c r="F40" i="6"/>
  <c r="F41" i="6"/>
  <c r="B41" i="6" s="1"/>
  <c r="F42" i="6"/>
  <c r="C9" i="6"/>
  <c r="D9" i="6"/>
  <c r="C10" i="6"/>
  <c r="D10" i="6"/>
  <c r="C11" i="6"/>
  <c r="D11" i="6"/>
  <c r="C12" i="6"/>
  <c r="D12" i="6"/>
  <c r="B13" i="6"/>
  <c r="C13" i="6"/>
  <c r="D13" i="6"/>
  <c r="C14" i="6"/>
  <c r="D14" i="6"/>
  <c r="B15" i="6"/>
  <c r="C15" i="6"/>
  <c r="D15" i="6"/>
  <c r="C16" i="6"/>
  <c r="D16" i="6"/>
  <c r="C17" i="6"/>
  <c r="D17" i="6"/>
  <c r="C18" i="6"/>
  <c r="D18" i="6"/>
  <c r="C19" i="6"/>
  <c r="D19" i="6"/>
  <c r="B20" i="6"/>
  <c r="C20" i="6"/>
  <c r="D20" i="6"/>
  <c r="C21" i="6"/>
  <c r="D21" i="6"/>
  <c r="C22" i="6"/>
  <c r="D22" i="6"/>
  <c r="B23" i="6"/>
  <c r="C23" i="6"/>
  <c r="D23" i="6"/>
  <c r="C24" i="6"/>
  <c r="D24" i="6"/>
  <c r="C25" i="6"/>
  <c r="D25" i="6"/>
  <c r="C26" i="6"/>
  <c r="D26" i="6"/>
  <c r="C27" i="6"/>
  <c r="D27" i="6"/>
  <c r="B28" i="6"/>
  <c r="C28" i="6"/>
  <c r="D28" i="6"/>
  <c r="B29" i="6"/>
  <c r="C29" i="6"/>
  <c r="D29" i="6"/>
  <c r="C30" i="6"/>
  <c r="D30" i="6"/>
  <c r="B31" i="6"/>
  <c r="C31" i="6"/>
  <c r="D31" i="6"/>
  <c r="C32" i="6"/>
  <c r="D32" i="6"/>
  <c r="C33" i="6"/>
  <c r="D33" i="6"/>
  <c r="C34" i="6"/>
  <c r="D34" i="6"/>
  <c r="C35" i="6"/>
  <c r="D35" i="6"/>
  <c r="B36" i="6"/>
  <c r="C36" i="6"/>
  <c r="D36" i="6"/>
  <c r="C37" i="6"/>
  <c r="D37" i="6"/>
  <c r="C38" i="6"/>
  <c r="D38" i="6"/>
  <c r="B39" i="6"/>
  <c r="C39" i="6"/>
  <c r="D39" i="6"/>
  <c r="C40" i="6"/>
  <c r="D40" i="6"/>
  <c r="C41" i="6"/>
  <c r="D41" i="6"/>
  <c r="C42" i="6"/>
  <c r="D42" i="6"/>
  <c r="B27" i="6" l="1"/>
  <c r="B11" i="6"/>
  <c r="B42" i="6"/>
  <c r="B34" i="6"/>
  <c r="B26" i="6"/>
  <c r="B18" i="6"/>
  <c r="B35" i="6"/>
  <c r="B19" i="6"/>
  <c r="B10" i="6"/>
  <c r="B24" i="6"/>
  <c r="J8" i="6"/>
  <c r="D8" i="6"/>
  <c r="C8" i="6"/>
  <c r="F8" i="6"/>
  <c r="B16" i="6"/>
  <c r="B8" i="6" l="1"/>
</calcChain>
</file>

<file path=xl/sharedStrings.xml><?xml version="1.0" encoding="utf-8"?>
<sst xmlns="http://schemas.openxmlformats.org/spreadsheetml/2006/main" count="60" uniqueCount="48">
  <si>
    <t>Republic</t>
  </si>
  <si>
    <t>Male'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</si>
  <si>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</si>
  <si>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</si>
  <si>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</si>
  <si>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</si>
  <si>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</si>
  <si>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</si>
  <si>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</si>
  <si>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</si>
  <si>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</si>
  <si>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Atolls</t>
  </si>
  <si>
    <t>ތާވަލު 5.6: އަދާކުރާ ވަޒީފާގެ ގޮތުން ސިވިލް ސަރވަންޓުން ބެހިފައިވާ ގޮތް އަދި ޖިންސް، 2018</t>
  </si>
  <si>
    <t>Table 5.6: CIVIL SERVANTS CLASSIFIED BY OCCUPATION AND  SEX, 2018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</si>
  <si>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</si>
  <si>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</si>
  <si>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</si>
  <si>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</si>
  <si>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</si>
  <si>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</si>
  <si>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</si>
  <si>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</si>
  <si>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</si>
  <si>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</si>
  <si>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</si>
  <si>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</si>
  <si>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</si>
  <si>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</si>
  <si>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</si>
  <si>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</si>
  <si>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</si>
  <si>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</si>
  <si>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</si>
  <si>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</si>
  <si>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</si>
  <si>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</si>
  <si>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</si>
  <si>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</si>
  <si>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</si>
  <si>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</si>
  <si>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</si>
  <si>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</si>
  <si>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</si>
  <si>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</si>
  <si>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</si>
  <si>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TECHNICAL - GENERAL</t>
  </si>
  <si>
    <t>UNSPECIFIED</t>
  </si>
  <si>
    <t>VAAIZ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</si>
</sst>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-* #,##0\ _ރ_._-;_-* #,##0\ _ރ_.\-;_-* &quot;-&quot;??\ _ރ_.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2" fillId="0" borderId="0"/>
  </cellStyleXfs>
  <cellXfs count="28">
    <xf numFmtId="0" fontId="0" fillId="0" borderId="0" xfId="0"/>
    <xf numFmtId="0" fontId="0" fillId="2" borderId="0" xfId="0" applyFill="1"/>
    <xf numFmtId="0" fontId="7" fillId="2" borderId="0" xfId="0" applyFont="1" applyFill="1" applyBorder="1" applyAlignment="1">
      <alignment horizontal="right" vertical="center" readingOrder="2"/>
    </xf>
    <xf numFmtId="165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3" fontId="8" fillId="2" borderId="2" xfId="1" applyNumberFormat="1" applyFont="1" applyFill="1" applyBorder="1" applyAlignment="1">
      <alignment horizontal="right" vertical="center"/>
    </xf>
    <xf numFmtId="3" fontId="6" fillId="2" borderId="2" xfId="1" applyNumberFormat="1" applyFont="1" applyFill="1" applyBorder="1" applyAlignment="1">
      <alignment horizontal="right" vertical="center"/>
    </xf>
    <xf numFmtId="0" fontId="9" fillId="2" borderId="3" xfId="2" applyFont="1" applyFill="1" applyBorder="1" applyAlignment="1">
      <alignment vertical="center"/>
    </xf>
    <xf numFmtId="0" fontId="0" fillId="2" borderId="0" xfId="0" applyFont="1" applyFill="1"/>
    <xf numFmtId="3" fontId="10" fillId="2" borderId="0" xfId="3" applyNumberFormat="1" applyFont="1" applyFill="1" applyBorder="1" applyAlignment="1" applyProtection="1">
      <alignment horizontal="right" vertical="center"/>
    </xf>
    <xf numFmtId="3" fontId="0" fillId="2" borderId="0" xfId="0" applyNumberFormat="1" applyFill="1"/>
    <xf numFmtId="0" fontId="2" fillId="2" borderId="0" xfId="0" applyFont="1" applyFill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165" fontId="6" fillId="2" borderId="1" xfId="1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vertical="center"/>
    </xf>
    <xf numFmtId="3" fontId="0" fillId="2" borderId="0" xfId="0" applyNumberFormat="1" applyFill="1" applyBorder="1"/>
    <xf numFmtId="3" fontId="0" fillId="2" borderId="2" xfId="0" applyNumberFormat="1" applyFill="1" applyBorder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6" fillId="2" borderId="4" xfId="1" applyNumberFormat="1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4"/>
    <cellStyle name="Normal 4" xfId="5"/>
    <cellStyle name="Normal_II-16(Populaion)" xfId="3"/>
    <cellStyle name="Normal_po" xfId="2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4"/>
  <sheetViews>
    <sheetView tabSelected="1" zoomScaleNormal="100" workbookViewId="0">
      <selection activeCell="W25" sqref="W25"/>
    </sheetView>
  </sheetViews>
  <sheetFormatPr defaultRowHeight="15" x14ac:dyDescent="0.25"/>
  <cols>
    <col min="1" max="1" width="35" style="1" customWidth="1"/>
    <col min="2" max="2" width="10.85546875" style="1" customWidth="1"/>
    <col min="3" max="3" width="9.28515625" style="1" customWidth="1"/>
    <col min="4" max="4" width="9.140625" style="1"/>
    <col min="5" max="5" width="2" style="1" customWidth="1"/>
    <col min="6" max="6" width="9.140625" style="1"/>
    <col min="7" max="7" width="9.140625" style="1" bestFit="1" customWidth="1"/>
    <col min="8" max="8" width="9.140625" style="1"/>
    <col min="9" max="9" width="1.7109375" style="1" customWidth="1"/>
    <col min="10" max="10" width="10" style="1" customWidth="1"/>
    <col min="11" max="11" width="9.140625" style="1" bestFit="1" customWidth="1"/>
    <col min="12" max="12" width="9.140625" style="1"/>
    <col min="13" max="13" width="1.5703125" style="1" customWidth="1"/>
    <col min="14" max="15" width="5.85546875" style="1" customWidth="1"/>
    <col min="16" max="29" width="3.7109375" style="1" customWidth="1"/>
    <col min="30" max="16384" width="9.140625" style="1"/>
  </cols>
  <sheetData>
    <row r="2" spans="1:13" ht="21" x14ac:dyDescent="0.55000000000000004">
      <c r="A2" s="25" t="s">
        <v>12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3" x14ac:dyDescent="0.25">
      <c r="A3" s="26" t="s">
        <v>13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13"/>
    </row>
    <row r="4" spans="1:13" ht="5.25" customHeight="1" x14ac:dyDescent="0.25"/>
    <row r="5" spans="1:13" x14ac:dyDescent="0.25">
      <c r="A5" s="15"/>
      <c r="B5" s="27" t="s">
        <v>0</v>
      </c>
      <c r="C5" s="27"/>
      <c r="D5" s="27"/>
      <c r="E5" s="16"/>
      <c r="F5" s="27" t="s">
        <v>1</v>
      </c>
      <c r="G5" s="27"/>
      <c r="H5" s="27"/>
      <c r="I5" s="16"/>
      <c r="J5" s="27" t="s">
        <v>11</v>
      </c>
      <c r="K5" s="27"/>
      <c r="L5" s="27"/>
    </row>
    <row r="6" spans="1:13" ht="18.75" x14ac:dyDescent="0.25">
      <c r="A6" s="17"/>
      <c r="B6" s="2" t="s">
        <v>2</v>
      </c>
      <c r="C6" s="2" t="s">
        <v>3</v>
      </c>
      <c r="D6" s="2" t="s">
        <v>4</v>
      </c>
      <c r="E6" s="2"/>
      <c r="F6" s="2" t="s">
        <v>2</v>
      </c>
      <c r="G6" s="2" t="s">
        <v>3</v>
      </c>
      <c r="H6" s="2" t="s">
        <v>4</v>
      </c>
      <c r="I6" s="2"/>
      <c r="J6" s="2" t="s">
        <v>2</v>
      </c>
      <c r="K6" s="2" t="s">
        <v>3</v>
      </c>
      <c r="L6" s="2" t="s">
        <v>4</v>
      </c>
    </row>
    <row r="7" spans="1:13" x14ac:dyDescent="0.25">
      <c r="A7" s="18"/>
      <c r="B7" s="3" t="s">
        <v>5</v>
      </c>
      <c r="C7" s="3" t="s">
        <v>6</v>
      </c>
      <c r="D7" s="3" t="s">
        <v>7</v>
      </c>
      <c r="E7" s="3"/>
      <c r="F7" s="3" t="s">
        <v>5</v>
      </c>
      <c r="G7" s="3" t="s">
        <v>6</v>
      </c>
      <c r="H7" s="3" t="s">
        <v>7</v>
      </c>
      <c r="I7" s="3"/>
      <c r="J7" s="3" t="s">
        <v>5</v>
      </c>
      <c r="K7" s="3" t="s">
        <v>6</v>
      </c>
      <c r="L7" s="3" t="s">
        <v>7</v>
      </c>
    </row>
    <row r="8" spans="1:13" s="10" customFormat="1" x14ac:dyDescent="0.25">
      <c r="A8" s="24" t="s">
        <v>8</v>
      </c>
      <c r="B8" s="4">
        <f>F8+J8</f>
        <v>23647</v>
      </c>
      <c r="C8" s="4">
        <f t="shared" ref="C8:D8" si="0">G8+K8</f>
        <v>9122</v>
      </c>
      <c r="D8" s="4">
        <f t="shared" si="0"/>
        <v>14525</v>
      </c>
      <c r="E8" s="4"/>
      <c r="F8" s="4">
        <f>SUM(G8:H8)</f>
        <v>8833</v>
      </c>
      <c r="G8" s="4">
        <f>SUM(G9:G42)</f>
        <v>3791</v>
      </c>
      <c r="H8" s="4">
        <f>SUM(H9:H42)</f>
        <v>5042</v>
      </c>
      <c r="I8" s="4"/>
      <c r="J8" s="4">
        <f>SUM(K8:L8)</f>
        <v>14814</v>
      </c>
      <c r="K8" s="4">
        <f>SUM(K9:K42)</f>
        <v>5331</v>
      </c>
      <c r="L8" s="4">
        <f>SUM(L9:L42)</f>
        <v>9483</v>
      </c>
    </row>
    <row r="9" spans="1:13" x14ac:dyDescent="0.25">
      <c r="A9" s="1" t="s">
        <v>14</v>
      </c>
      <c r="B9" s="4">
        <f t="shared" ref="B9:B42" si="1">F9+J9</f>
        <v>630</v>
      </c>
      <c r="C9" s="5">
        <f t="shared" ref="C9:C42" si="2">G9+K9</f>
        <v>236</v>
      </c>
      <c r="D9" s="5">
        <f t="shared" ref="D9:D42" si="3">H9+L9</f>
        <v>394</v>
      </c>
      <c r="E9" s="12"/>
      <c r="F9" s="4">
        <f t="shared" ref="F9:F42" si="4">SUM(G9:H9)</f>
        <v>251</v>
      </c>
      <c r="G9" s="12">
        <v>71</v>
      </c>
      <c r="H9" s="12">
        <v>180</v>
      </c>
      <c r="I9" s="12"/>
      <c r="J9" s="4">
        <f t="shared" ref="J9:J42" si="5">SUM(K9:L9)</f>
        <v>379</v>
      </c>
      <c r="K9" s="12">
        <v>165</v>
      </c>
      <c r="L9" s="12">
        <v>214</v>
      </c>
    </row>
    <row r="10" spans="1:13" x14ac:dyDescent="0.25">
      <c r="A10" s="1" t="s">
        <v>15</v>
      </c>
      <c r="B10" s="4">
        <f t="shared" si="1"/>
        <v>4565</v>
      </c>
      <c r="C10" s="5">
        <f t="shared" si="2"/>
        <v>1751</v>
      </c>
      <c r="D10" s="5">
        <f t="shared" si="3"/>
        <v>2814</v>
      </c>
      <c r="E10" s="12"/>
      <c r="F10" s="4">
        <f t="shared" si="4"/>
        <v>1722</v>
      </c>
      <c r="G10" s="12">
        <v>562</v>
      </c>
      <c r="H10" s="12">
        <v>1160</v>
      </c>
      <c r="I10" s="12"/>
      <c r="J10" s="4">
        <f t="shared" si="5"/>
        <v>2843</v>
      </c>
      <c r="K10" s="12">
        <v>1189</v>
      </c>
      <c r="L10" s="12">
        <v>1654</v>
      </c>
    </row>
    <row r="11" spans="1:13" x14ac:dyDescent="0.25">
      <c r="A11" s="1" t="s">
        <v>16</v>
      </c>
      <c r="B11" s="4">
        <f t="shared" si="1"/>
        <v>31</v>
      </c>
      <c r="C11" s="5">
        <f t="shared" si="2"/>
        <v>11</v>
      </c>
      <c r="D11" s="5">
        <f t="shared" si="3"/>
        <v>20</v>
      </c>
      <c r="E11" s="12"/>
      <c r="F11" s="4">
        <f t="shared" si="4"/>
        <v>31</v>
      </c>
      <c r="G11" s="12">
        <v>11</v>
      </c>
      <c r="H11" s="12">
        <v>20</v>
      </c>
      <c r="I11" s="12"/>
      <c r="J11" s="4">
        <f t="shared" si="5"/>
        <v>0</v>
      </c>
      <c r="K11" s="12">
        <v>0</v>
      </c>
      <c r="L11" s="12">
        <v>0</v>
      </c>
    </row>
    <row r="12" spans="1:13" x14ac:dyDescent="0.25">
      <c r="A12" s="1" t="s">
        <v>17</v>
      </c>
      <c r="B12" s="4">
        <f t="shared" si="1"/>
        <v>28</v>
      </c>
      <c r="C12" s="5">
        <f t="shared" si="2"/>
        <v>26</v>
      </c>
      <c r="D12" s="5">
        <f t="shared" si="3"/>
        <v>2</v>
      </c>
      <c r="E12" s="12"/>
      <c r="F12" s="4">
        <f t="shared" si="4"/>
        <v>28</v>
      </c>
      <c r="G12" s="12">
        <v>26</v>
      </c>
      <c r="H12" s="12">
        <v>2</v>
      </c>
      <c r="I12" s="12"/>
      <c r="J12" s="4">
        <f t="shared" si="5"/>
        <v>0</v>
      </c>
      <c r="K12" s="12">
        <v>0</v>
      </c>
      <c r="L12" s="12">
        <v>0</v>
      </c>
    </row>
    <row r="13" spans="1:13" x14ac:dyDescent="0.25">
      <c r="A13" s="1" t="s">
        <v>18</v>
      </c>
      <c r="B13" s="4">
        <f t="shared" si="1"/>
        <v>485</v>
      </c>
      <c r="C13" s="5">
        <f t="shared" si="2"/>
        <v>381</v>
      </c>
      <c r="D13" s="5">
        <f t="shared" si="3"/>
        <v>104</v>
      </c>
      <c r="E13" s="12"/>
      <c r="F13" s="4">
        <f t="shared" si="4"/>
        <v>485</v>
      </c>
      <c r="G13" s="12">
        <v>381</v>
      </c>
      <c r="H13" s="12">
        <v>104</v>
      </c>
      <c r="I13" s="12"/>
      <c r="J13" s="4">
        <f t="shared" si="5"/>
        <v>0</v>
      </c>
      <c r="K13" s="12">
        <v>0</v>
      </c>
      <c r="L13" s="12">
        <v>0</v>
      </c>
    </row>
    <row r="14" spans="1:13" x14ac:dyDescent="0.25">
      <c r="A14" s="1" t="s">
        <v>19</v>
      </c>
      <c r="B14" s="4">
        <f t="shared" si="1"/>
        <v>18</v>
      </c>
      <c r="C14" s="5">
        <f t="shared" si="2"/>
        <v>4</v>
      </c>
      <c r="D14" s="5">
        <f t="shared" si="3"/>
        <v>14</v>
      </c>
      <c r="E14" s="12"/>
      <c r="F14" s="4">
        <f t="shared" si="4"/>
        <v>18</v>
      </c>
      <c r="G14" s="12">
        <v>4</v>
      </c>
      <c r="H14" s="12">
        <v>14</v>
      </c>
      <c r="I14" s="12"/>
      <c r="J14" s="4">
        <f t="shared" si="5"/>
        <v>0</v>
      </c>
      <c r="K14" s="12">
        <v>0</v>
      </c>
      <c r="L14" s="12">
        <v>0</v>
      </c>
    </row>
    <row r="15" spans="1:13" x14ac:dyDescent="0.25">
      <c r="A15" s="1" t="s">
        <v>20</v>
      </c>
      <c r="B15" s="4">
        <f t="shared" si="1"/>
        <v>4555</v>
      </c>
      <c r="C15" s="5">
        <f t="shared" si="2"/>
        <v>1919</v>
      </c>
      <c r="D15" s="5">
        <f t="shared" si="3"/>
        <v>2636</v>
      </c>
      <c r="E15" s="12"/>
      <c r="F15" s="4">
        <f t="shared" si="4"/>
        <v>1652</v>
      </c>
      <c r="G15" s="12">
        <v>953</v>
      </c>
      <c r="H15" s="12">
        <v>699</v>
      </c>
      <c r="I15" s="12"/>
      <c r="J15" s="4">
        <f t="shared" si="5"/>
        <v>2903</v>
      </c>
      <c r="K15" s="12">
        <v>966</v>
      </c>
      <c r="L15" s="12">
        <v>1937</v>
      </c>
    </row>
    <row r="16" spans="1:13" x14ac:dyDescent="0.25">
      <c r="A16" s="1" t="s">
        <v>21</v>
      </c>
      <c r="B16" s="4">
        <f t="shared" si="1"/>
        <v>303</v>
      </c>
      <c r="C16" s="5">
        <f t="shared" si="2"/>
        <v>145</v>
      </c>
      <c r="D16" s="5">
        <f t="shared" si="3"/>
        <v>158</v>
      </c>
      <c r="E16" s="12"/>
      <c r="F16" s="4">
        <f t="shared" si="4"/>
        <v>87</v>
      </c>
      <c r="G16" s="12">
        <v>43</v>
      </c>
      <c r="H16" s="12">
        <v>44</v>
      </c>
      <c r="I16" s="12"/>
      <c r="J16" s="4">
        <f t="shared" si="5"/>
        <v>216</v>
      </c>
      <c r="K16" s="12">
        <v>102</v>
      </c>
      <c r="L16" s="12">
        <v>114</v>
      </c>
    </row>
    <row r="17" spans="1:12" x14ac:dyDescent="0.25">
      <c r="A17" s="1" t="s">
        <v>22</v>
      </c>
      <c r="B17" s="4">
        <f t="shared" si="1"/>
        <v>1</v>
      </c>
      <c r="C17" s="5">
        <f t="shared" si="2"/>
        <v>1</v>
      </c>
      <c r="D17" s="5">
        <f t="shared" si="3"/>
        <v>0</v>
      </c>
      <c r="E17" s="12"/>
      <c r="F17" s="4">
        <f t="shared" si="4"/>
        <v>1</v>
      </c>
      <c r="G17" s="12">
        <v>1</v>
      </c>
      <c r="H17" s="12">
        <v>0</v>
      </c>
      <c r="I17" s="12"/>
      <c r="J17" s="4">
        <f t="shared" si="5"/>
        <v>0</v>
      </c>
      <c r="K17" s="12">
        <v>0</v>
      </c>
      <c r="L17" s="12">
        <v>0</v>
      </c>
    </row>
    <row r="18" spans="1:12" x14ac:dyDescent="0.25">
      <c r="A18" s="1" t="s">
        <v>23</v>
      </c>
      <c r="B18" s="4">
        <f t="shared" si="1"/>
        <v>14</v>
      </c>
      <c r="C18" s="5">
        <f t="shared" si="2"/>
        <v>6</v>
      </c>
      <c r="D18" s="5">
        <f t="shared" si="3"/>
        <v>8</v>
      </c>
      <c r="E18" s="12"/>
      <c r="F18" s="4">
        <f t="shared" si="4"/>
        <v>6</v>
      </c>
      <c r="G18" s="12">
        <v>2</v>
      </c>
      <c r="H18" s="12">
        <v>4</v>
      </c>
      <c r="I18" s="12"/>
      <c r="J18" s="4">
        <f t="shared" si="5"/>
        <v>8</v>
      </c>
      <c r="K18" s="12">
        <v>4</v>
      </c>
      <c r="L18" s="12">
        <v>4</v>
      </c>
    </row>
    <row r="19" spans="1:12" x14ac:dyDescent="0.25">
      <c r="A19" s="1" t="s">
        <v>24</v>
      </c>
      <c r="B19" s="4">
        <f t="shared" si="1"/>
        <v>558</v>
      </c>
      <c r="C19" s="5">
        <f t="shared" si="2"/>
        <v>379</v>
      </c>
      <c r="D19" s="5">
        <f t="shared" si="3"/>
        <v>179</v>
      </c>
      <c r="E19" s="12"/>
      <c r="F19" s="4">
        <f t="shared" si="4"/>
        <v>233</v>
      </c>
      <c r="G19" s="12">
        <v>117</v>
      </c>
      <c r="H19" s="12">
        <v>116</v>
      </c>
      <c r="I19" s="12"/>
      <c r="J19" s="4">
        <f t="shared" si="5"/>
        <v>325</v>
      </c>
      <c r="K19" s="12">
        <v>262</v>
      </c>
      <c r="L19" s="12">
        <v>63</v>
      </c>
    </row>
    <row r="20" spans="1:12" x14ac:dyDescent="0.25">
      <c r="A20" s="1" t="s">
        <v>25</v>
      </c>
      <c r="B20" s="4">
        <f t="shared" si="1"/>
        <v>344</v>
      </c>
      <c r="C20" s="5">
        <f t="shared" si="2"/>
        <v>209</v>
      </c>
      <c r="D20" s="5">
        <f t="shared" si="3"/>
        <v>135</v>
      </c>
      <c r="E20" s="12"/>
      <c r="F20" s="4">
        <f t="shared" si="4"/>
        <v>142</v>
      </c>
      <c r="G20" s="12">
        <v>54</v>
      </c>
      <c r="H20" s="12">
        <v>88</v>
      </c>
      <c r="I20" s="12"/>
      <c r="J20" s="4">
        <f t="shared" si="5"/>
        <v>202</v>
      </c>
      <c r="K20" s="12">
        <v>155</v>
      </c>
      <c r="L20" s="12">
        <v>47</v>
      </c>
    </row>
    <row r="21" spans="1:12" x14ac:dyDescent="0.25">
      <c r="A21" s="1" t="s">
        <v>26</v>
      </c>
      <c r="B21" s="4">
        <f t="shared" si="1"/>
        <v>53</v>
      </c>
      <c r="C21" s="5">
        <f t="shared" si="2"/>
        <v>39</v>
      </c>
      <c r="D21" s="5">
        <f t="shared" si="3"/>
        <v>14</v>
      </c>
      <c r="E21" s="12"/>
      <c r="F21" s="4">
        <f t="shared" si="4"/>
        <v>49</v>
      </c>
      <c r="G21" s="12">
        <v>36</v>
      </c>
      <c r="H21" s="12">
        <v>13</v>
      </c>
      <c r="I21" s="12"/>
      <c r="J21" s="4">
        <f t="shared" si="5"/>
        <v>4</v>
      </c>
      <c r="K21" s="12">
        <v>3</v>
      </c>
      <c r="L21" s="12">
        <v>1</v>
      </c>
    </row>
    <row r="22" spans="1:12" x14ac:dyDescent="0.25">
      <c r="A22" s="1" t="s">
        <v>27</v>
      </c>
      <c r="B22" s="4">
        <f t="shared" si="1"/>
        <v>272</v>
      </c>
      <c r="C22" s="5">
        <f t="shared" si="2"/>
        <v>166</v>
      </c>
      <c r="D22" s="5">
        <f t="shared" si="3"/>
        <v>106</v>
      </c>
      <c r="E22" s="12"/>
      <c r="F22" s="4">
        <f t="shared" si="4"/>
        <v>272</v>
      </c>
      <c r="G22" s="12">
        <v>166</v>
      </c>
      <c r="H22" s="12">
        <v>106</v>
      </c>
      <c r="I22" s="12"/>
      <c r="J22" s="4">
        <f t="shared" si="5"/>
        <v>0</v>
      </c>
      <c r="K22" s="12">
        <v>0</v>
      </c>
      <c r="L22" s="12">
        <v>0</v>
      </c>
    </row>
    <row r="23" spans="1:12" x14ac:dyDescent="0.25">
      <c r="A23" s="1" t="s">
        <v>28</v>
      </c>
      <c r="B23" s="4">
        <f t="shared" si="1"/>
        <v>240</v>
      </c>
      <c r="C23" s="5">
        <f t="shared" si="2"/>
        <v>182</v>
      </c>
      <c r="D23" s="5">
        <f t="shared" si="3"/>
        <v>58</v>
      </c>
      <c r="E23" s="12"/>
      <c r="F23" s="4">
        <f t="shared" si="4"/>
        <v>131</v>
      </c>
      <c r="G23" s="12">
        <v>88</v>
      </c>
      <c r="H23" s="12">
        <v>43</v>
      </c>
      <c r="I23" s="12"/>
      <c r="J23" s="4">
        <f t="shared" si="5"/>
        <v>109</v>
      </c>
      <c r="K23" s="12">
        <v>94</v>
      </c>
      <c r="L23" s="12">
        <v>15</v>
      </c>
    </row>
    <row r="24" spans="1:12" x14ac:dyDescent="0.25">
      <c r="A24" s="1" t="s">
        <v>29</v>
      </c>
      <c r="B24" s="4">
        <f t="shared" si="1"/>
        <v>324</v>
      </c>
      <c r="C24" s="5">
        <f t="shared" si="2"/>
        <v>86</v>
      </c>
      <c r="D24" s="5">
        <f t="shared" si="3"/>
        <v>238</v>
      </c>
      <c r="E24" s="12"/>
      <c r="F24" s="4">
        <f t="shared" si="4"/>
        <v>129</v>
      </c>
      <c r="G24" s="12">
        <v>18</v>
      </c>
      <c r="H24" s="12">
        <v>111</v>
      </c>
      <c r="I24" s="12"/>
      <c r="J24" s="4">
        <f t="shared" si="5"/>
        <v>195</v>
      </c>
      <c r="K24" s="12">
        <v>68</v>
      </c>
      <c r="L24" s="12">
        <v>127</v>
      </c>
    </row>
    <row r="25" spans="1:12" x14ac:dyDescent="0.25">
      <c r="A25" s="1" t="s">
        <v>30</v>
      </c>
      <c r="B25" s="4">
        <f t="shared" si="1"/>
        <v>35</v>
      </c>
      <c r="C25" s="5">
        <f t="shared" si="2"/>
        <v>14</v>
      </c>
      <c r="D25" s="5">
        <f t="shared" si="3"/>
        <v>21</v>
      </c>
      <c r="E25" s="12"/>
      <c r="F25" s="4">
        <f t="shared" si="4"/>
        <v>30</v>
      </c>
      <c r="G25" s="12">
        <v>12</v>
      </c>
      <c r="H25" s="12">
        <v>18</v>
      </c>
      <c r="I25" s="12"/>
      <c r="J25" s="4">
        <f t="shared" si="5"/>
        <v>5</v>
      </c>
      <c r="K25" s="12">
        <v>2</v>
      </c>
      <c r="L25" s="12">
        <v>3</v>
      </c>
    </row>
    <row r="26" spans="1:12" x14ac:dyDescent="0.25">
      <c r="A26" s="1" t="s">
        <v>31</v>
      </c>
      <c r="B26" s="4">
        <f t="shared" si="1"/>
        <v>22</v>
      </c>
      <c r="C26" s="5">
        <f t="shared" si="2"/>
        <v>20</v>
      </c>
      <c r="D26" s="5">
        <f t="shared" si="3"/>
        <v>2</v>
      </c>
      <c r="E26" s="12"/>
      <c r="F26" s="4">
        <f t="shared" si="4"/>
        <v>22</v>
      </c>
      <c r="G26" s="12">
        <v>20</v>
      </c>
      <c r="H26" s="12">
        <v>2</v>
      </c>
      <c r="I26" s="12"/>
      <c r="J26" s="4">
        <f t="shared" si="5"/>
        <v>0</v>
      </c>
      <c r="K26" s="12">
        <v>0</v>
      </c>
      <c r="L26" s="12">
        <v>0</v>
      </c>
    </row>
    <row r="27" spans="1:12" x14ac:dyDescent="0.25">
      <c r="A27" s="1" t="s">
        <v>32</v>
      </c>
      <c r="B27" s="4">
        <f t="shared" si="1"/>
        <v>7</v>
      </c>
      <c r="C27" s="5">
        <f t="shared" si="2"/>
        <v>7</v>
      </c>
      <c r="D27" s="5">
        <f t="shared" si="3"/>
        <v>0</v>
      </c>
      <c r="E27" s="12"/>
      <c r="F27" s="4">
        <f t="shared" si="4"/>
        <v>7</v>
      </c>
      <c r="G27" s="12">
        <v>7</v>
      </c>
      <c r="H27" s="12">
        <v>0</v>
      </c>
      <c r="I27" s="12"/>
      <c r="J27" s="4">
        <f t="shared" si="5"/>
        <v>0</v>
      </c>
      <c r="K27" s="12">
        <v>0</v>
      </c>
      <c r="L27" s="12">
        <v>0</v>
      </c>
    </row>
    <row r="28" spans="1:12" x14ac:dyDescent="0.25">
      <c r="A28" s="1" t="s">
        <v>33</v>
      </c>
      <c r="B28" s="4">
        <f t="shared" si="1"/>
        <v>74</v>
      </c>
      <c r="C28" s="5">
        <f t="shared" si="2"/>
        <v>53</v>
      </c>
      <c r="D28" s="5">
        <f t="shared" si="3"/>
        <v>21</v>
      </c>
      <c r="E28" s="12"/>
      <c r="F28" s="4">
        <f t="shared" si="4"/>
        <v>74</v>
      </c>
      <c r="G28" s="12">
        <v>53</v>
      </c>
      <c r="H28" s="12">
        <v>21</v>
      </c>
      <c r="I28" s="12"/>
      <c r="J28" s="4">
        <f t="shared" si="5"/>
        <v>0</v>
      </c>
      <c r="K28" s="12">
        <v>0</v>
      </c>
      <c r="L28" s="12">
        <v>0</v>
      </c>
    </row>
    <row r="29" spans="1:12" x14ac:dyDescent="0.25">
      <c r="A29" s="1" t="s">
        <v>34</v>
      </c>
      <c r="B29" s="4">
        <f t="shared" si="1"/>
        <v>553</v>
      </c>
      <c r="C29" s="5">
        <f t="shared" si="2"/>
        <v>474</v>
      </c>
      <c r="D29" s="5">
        <f t="shared" si="3"/>
        <v>79</v>
      </c>
      <c r="E29" s="12"/>
      <c r="F29" s="4">
        <f t="shared" si="4"/>
        <v>547</v>
      </c>
      <c r="G29" s="12">
        <v>469</v>
      </c>
      <c r="H29" s="12">
        <v>78</v>
      </c>
      <c r="I29" s="12"/>
      <c r="J29" s="4">
        <f t="shared" si="5"/>
        <v>6</v>
      </c>
      <c r="K29" s="12">
        <v>5</v>
      </c>
      <c r="L29" s="12">
        <v>1</v>
      </c>
    </row>
    <row r="30" spans="1:12" x14ac:dyDescent="0.25">
      <c r="A30" s="1" t="s">
        <v>35</v>
      </c>
      <c r="B30" s="4">
        <f t="shared" si="1"/>
        <v>55</v>
      </c>
      <c r="C30" s="5">
        <f t="shared" si="2"/>
        <v>35</v>
      </c>
      <c r="D30" s="5">
        <f t="shared" si="3"/>
        <v>20</v>
      </c>
      <c r="E30" s="12"/>
      <c r="F30" s="4">
        <f t="shared" si="4"/>
        <v>51</v>
      </c>
      <c r="G30" s="12">
        <v>31</v>
      </c>
      <c r="H30" s="12">
        <v>20</v>
      </c>
      <c r="I30" s="12"/>
      <c r="J30" s="4">
        <f t="shared" si="5"/>
        <v>4</v>
      </c>
      <c r="K30" s="12">
        <v>4</v>
      </c>
      <c r="L30" s="12">
        <v>0</v>
      </c>
    </row>
    <row r="31" spans="1:12" x14ac:dyDescent="0.25">
      <c r="A31" s="1" t="s">
        <v>36</v>
      </c>
      <c r="B31" s="4">
        <f t="shared" si="1"/>
        <v>2061</v>
      </c>
      <c r="C31" s="5">
        <f t="shared" si="2"/>
        <v>130</v>
      </c>
      <c r="D31" s="5">
        <f t="shared" si="3"/>
        <v>1931</v>
      </c>
      <c r="E31" s="12"/>
      <c r="F31" s="4">
        <f t="shared" si="4"/>
        <v>668</v>
      </c>
      <c r="G31" s="12">
        <v>51</v>
      </c>
      <c r="H31" s="12">
        <v>617</v>
      </c>
      <c r="I31" s="12"/>
      <c r="J31" s="4">
        <f t="shared" si="5"/>
        <v>1393</v>
      </c>
      <c r="K31" s="12">
        <v>79</v>
      </c>
      <c r="L31" s="12">
        <v>1314</v>
      </c>
    </row>
    <row r="32" spans="1:12" x14ac:dyDescent="0.25">
      <c r="A32" s="1" t="s">
        <v>37</v>
      </c>
      <c r="B32" s="4">
        <f t="shared" si="1"/>
        <v>567</v>
      </c>
      <c r="C32" s="5">
        <f t="shared" si="2"/>
        <v>163</v>
      </c>
      <c r="D32" s="5">
        <f t="shared" si="3"/>
        <v>404</v>
      </c>
      <c r="E32" s="12"/>
      <c r="F32" s="4">
        <f t="shared" si="4"/>
        <v>143</v>
      </c>
      <c r="G32" s="12">
        <v>40</v>
      </c>
      <c r="H32" s="12">
        <v>103</v>
      </c>
      <c r="I32" s="12"/>
      <c r="J32" s="4">
        <f t="shared" si="5"/>
        <v>424</v>
      </c>
      <c r="K32" s="12">
        <v>123</v>
      </c>
      <c r="L32" s="12">
        <v>301</v>
      </c>
    </row>
    <row r="33" spans="1:15" x14ac:dyDescent="0.25">
      <c r="A33" s="1" t="s">
        <v>38</v>
      </c>
      <c r="B33" s="4">
        <f t="shared" si="1"/>
        <v>16</v>
      </c>
      <c r="C33" s="5">
        <f t="shared" si="2"/>
        <v>13</v>
      </c>
      <c r="D33" s="5">
        <f t="shared" si="3"/>
        <v>3</v>
      </c>
      <c r="E33" s="12"/>
      <c r="F33" s="4">
        <f t="shared" si="4"/>
        <v>16</v>
      </c>
      <c r="G33" s="12">
        <v>13</v>
      </c>
      <c r="H33" s="12">
        <v>3</v>
      </c>
      <c r="I33" s="12"/>
      <c r="J33" s="4">
        <f t="shared" si="5"/>
        <v>0</v>
      </c>
      <c r="K33" s="12">
        <v>0</v>
      </c>
      <c r="L33" s="12">
        <v>0</v>
      </c>
    </row>
    <row r="34" spans="1:15" x14ac:dyDescent="0.25">
      <c r="A34" s="1" t="s">
        <v>39</v>
      </c>
      <c r="B34" s="4">
        <f t="shared" si="1"/>
        <v>418</v>
      </c>
      <c r="C34" s="5">
        <f t="shared" si="2"/>
        <v>391</v>
      </c>
      <c r="D34" s="5">
        <f t="shared" si="3"/>
        <v>27</v>
      </c>
      <c r="E34" s="12"/>
      <c r="F34" s="4">
        <f t="shared" si="4"/>
        <v>162</v>
      </c>
      <c r="G34" s="12">
        <v>144</v>
      </c>
      <c r="H34" s="12">
        <v>18</v>
      </c>
      <c r="I34" s="12"/>
      <c r="J34" s="4">
        <f t="shared" si="5"/>
        <v>256</v>
      </c>
      <c r="K34" s="12">
        <v>247</v>
      </c>
      <c r="L34" s="12">
        <v>9</v>
      </c>
    </row>
    <row r="35" spans="1:15" s="6" customFormat="1" x14ac:dyDescent="0.25">
      <c r="A35" s="1" t="s">
        <v>40</v>
      </c>
      <c r="B35" s="4">
        <f t="shared" si="1"/>
        <v>532</v>
      </c>
      <c r="C35" s="5">
        <f t="shared" si="2"/>
        <v>167</v>
      </c>
      <c r="D35" s="5">
        <f t="shared" si="3"/>
        <v>365</v>
      </c>
      <c r="E35" s="12"/>
      <c r="F35" s="4">
        <f t="shared" si="4"/>
        <v>100</v>
      </c>
      <c r="G35" s="12">
        <v>37</v>
      </c>
      <c r="H35" s="12">
        <v>63</v>
      </c>
      <c r="I35" s="12"/>
      <c r="J35" s="4">
        <f t="shared" si="5"/>
        <v>432</v>
      </c>
      <c r="K35" s="12">
        <v>130</v>
      </c>
      <c r="L35" s="12">
        <v>302</v>
      </c>
      <c r="M35" s="1"/>
      <c r="O35" s="1"/>
    </row>
    <row r="36" spans="1:15" s="19" customFormat="1" x14ac:dyDescent="0.25">
      <c r="A36" s="1" t="s">
        <v>41</v>
      </c>
      <c r="B36" s="4">
        <f t="shared" si="1"/>
        <v>1</v>
      </c>
      <c r="C36" s="5">
        <f t="shared" si="2"/>
        <v>1</v>
      </c>
      <c r="D36" s="5">
        <f t="shared" si="3"/>
        <v>0</v>
      </c>
      <c r="E36" s="12"/>
      <c r="F36" s="4">
        <f t="shared" si="4"/>
        <v>1</v>
      </c>
      <c r="G36" s="12">
        <v>1</v>
      </c>
      <c r="H36" s="12">
        <v>0</v>
      </c>
      <c r="I36" s="12"/>
      <c r="J36" s="4">
        <f t="shared" si="5"/>
        <v>0</v>
      </c>
      <c r="K36" s="12">
        <v>0</v>
      </c>
      <c r="L36" s="12">
        <v>0</v>
      </c>
      <c r="M36" s="1"/>
      <c r="O36" s="1"/>
    </row>
    <row r="37" spans="1:15" x14ac:dyDescent="0.25">
      <c r="A37" s="1" t="s">
        <v>42</v>
      </c>
      <c r="B37" s="4">
        <f t="shared" si="1"/>
        <v>371</v>
      </c>
      <c r="C37" s="5">
        <f t="shared" si="2"/>
        <v>81</v>
      </c>
      <c r="D37" s="5">
        <f t="shared" si="3"/>
        <v>290</v>
      </c>
      <c r="E37" s="12"/>
      <c r="F37" s="4">
        <f t="shared" si="4"/>
        <v>185</v>
      </c>
      <c r="G37" s="12">
        <v>41</v>
      </c>
      <c r="H37" s="12">
        <v>144</v>
      </c>
      <c r="I37" s="12"/>
      <c r="J37" s="4">
        <f t="shared" si="5"/>
        <v>186</v>
      </c>
      <c r="K37" s="12">
        <v>40</v>
      </c>
      <c r="L37" s="12">
        <v>146</v>
      </c>
    </row>
    <row r="38" spans="1:15" x14ac:dyDescent="0.25">
      <c r="A38" s="1" t="s">
        <v>43</v>
      </c>
      <c r="B38" s="4">
        <f t="shared" si="1"/>
        <v>5427</v>
      </c>
      <c r="C38" s="5">
        <f t="shared" si="2"/>
        <v>1246</v>
      </c>
      <c r="D38" s="5">
        <f t="shared" si="3"/>
        <v>4181</v>
      </c>
      <c r="E38" s="20"/>
      <c r="F38" s="4">
        <f t="shared" si="4"/>
        <v>1219</v>
      </c>
      <c r="G38" s="20">
        <v>177</v>
      </c>
      <c r="H38" s="20">
        <v>1042</v>
      </c>
      <c r="I38" s="20"/>
      <c r="J38" s="4">
        <f t="shared" si="5"/>
        <v>4208</v>
      </c>
      <c r="K38" s="20">
        <v>1069</v>
      </c>
      <c r="L38" s="12">
        <v>3139</v>
      </c>
    </row>
    <row r="39" spans="1:15" x14ac:dyDescent="0.25">
      <c r="A39" s="1" t="s">
        <v>44</v>
      </c>
      <c r="B39" s="4">
        <f t="shared" si="1"/>
        <v>533</v>
      </c>
      <c r="C39" s="5">
        <f t="shared" si="2"/>
        <v>532</v>
      </c>
      <c r="D39" s="5">
        <f t="shared" si="3"/>
        <v>1</v>
      </c>
      <c r="E39" s="20"/>
      <c r="F39" s="4">
        <f t="shared" si="4"/>
        <v>55</v>
      </c>
      <c r="G39" s="20">
        <v>54</v>
      </c>
      <c r="H39" s="20">
        <v>1</v>
      </c>
      <c r="I39" s="20"/>
      <c r="J39" s="4">
        <f t="shared" si="5"/>
        <v>478</v>
      </c>
      <c r="K39" s="20">
        <v>478</v>
      </c>
      <c r="L39" s="12">
        <v>0</v>
      </c>
    </row>
    <row r="40" spans="1:15" x14ac:dyDescent="0.25">
      <c r="A40" s="1" t="s">
        <v>47</v>
      </c>
      <c r="B40" s="4">
        <f t="shared" si="1"/>
        <v>3</v>
      </c>
      <c r="C40" s="5">
        <f t="shared" si="2"/>
        <v>3</v>
      </c>
      <c r="D40" s="5">
        <f t="shared" si="3"/>
        <v>0</v>
      </c>
      <c r="E40" s="20"/>
      <c r="F40" s="4">
        <f t="shared" si="4"/>
        <v>3</v>
      </c>
      <c r="G40" s="20">
        <v>3</v>
      </c>
      <c r="H40" s="20">
        <v>0</v>
      </c>
      <c r="I40" s="20"/>
      <c r="J40" s="4">
        <f t="shared" si="5"/>
        <v>0</v>
      </c>
      <c r="K40" s="20">
        <v>0</v>
      </c>
      <c r="L40" s="12">
        <v>0</v>
      </c>
    </row>
    <row r="41" spans="1:15" x14ac:dyDescent="0.25">
      <c r="A41" s="6" t="s">
        <v>45</v>
      </c>
      <c r="B41" s="4">
        <f t="shared" si="1"/>
        <v>550</v>
      </c>
      <c r="C41" s="5">
        <f t="shared" si="2"/>
        <v>250</v>
      </c>
      <c r="D41" s="5">
        <f t="shared" si="3"/>
        <v>300</v>
      </c>
      <c r="E41" s="20"/>
      <c r="F41" s="4">
        <f t="shared" si="4"/>
        <v>312</v>
      </c>
      <c r="G41" s="20">
        <v>104</v>
      </c>
      <c r="H41" s="20">
        <v>208</v>
      </c>
      <c r="I41" s="20"/>
      <c r="J41" s="4">
        <f t="shared" si="5"/>
        <v>238</v>
      </c>
      <c r="K41" s="20">
        <v>146</v>
      </c>
      <c r="L41" s="12">
        <v>92</v>
      </c>
    </row>
    <row r="42" spans="1:15" x14ac:dyDescent="0.25">
      <c r="A42" s="14" t="s">
        <v>46</v>
      </c>
      <c r="B42" s="8">
        <f t="shared" si="1"/>
        <v>1</v>
      </c>
      <c r="C42" s="7">
        <f t="shared" si="2"/>
        <v>1</v>
      </c>
      <c r="D42" s="7">
        <f t="shared" si="3"/>
        <v>0</v>
      </c>
      <c r="E42" s="21"/>
      <c r="F42" s="8">
        <f t="shared" si="4"/>
        <v>1</v>
      </c>
      <c r="G42" s="21">
        <v>1</v>
      </c>
      <c r="H42" s="21">
        <v>0</v>
      </c>
      <c r="I42" s="21"/>
      <c r="J42" s="8">
        <f t="shared" si="5"/>
        <v>0</v>
      </c>
      <c r="K42" s="21">
        <v>0</v>
      </c>
      <c r="L42" s="21">
        <v>0</v>
      </c>
      <c r="M42" s="6"/>
      <c r="O42" s="6"/>
    </row>
    <row r="43" spans="1:15" ht="17.25" x14ac:dyDescent="0.25">
      <c r="A43" s="9" t="s">
        <v>9</v>
      </c>
      <c r="B43" s="22"/>
      <c r="D43" s="12"/>
      <c r="E43" s="19"/>
      <c r="F43" s="22"/>
      <c r="G43" s="19"/>
      <c r="H43" s="19"/>
      <c r="I43" s="19"/>
      <c r="J43" s="22"/>
      <c r="K43" s="19"/>
      <c r="L43" s="11" t="s">
        <v>10</v>
      </c>
      <c r="M43" s="19"/>
    </row>
    <row r="44" spans="1:15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3"/>
    </row>
  </sheetData>
  <mergeCells count="5">
    <mergeCell ref="A2:L2"/>
    <mergeCell ref="A3:L3"/>
    <mergeCell ref="B5:D5"/>
    <mergeCell ref="F5:H5"/>
    <mergeCell ref="J5:L5"/>
  </mergeCells>
  <pageMargins left="0.7" right="0.7" top="0.75" bottom="0.75" header="0.3" footer="0.3"/>
  <pageSetup paperSize="9" scale="6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2019-08-04T03:19:04Z</cp:lastPrinted>
  <dcterms:created xsi:type="dcterms:W3CDTF">2019-06-03T04:17:39Z</dcterms:created>
  <dcterms:modified xsi:type="dcterms:W3CDTF">2019-08-04T03:19:12Z</dcterms:modified>
</cp:coreProperties>
</file>