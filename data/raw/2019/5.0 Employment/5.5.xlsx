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X:\Dissemination\Publications\Statistical Year Book\YEARBOOK 2019\web\5.EMPLOYMENT\"/>
    </mc:Choice>
  </mc:AlternateContent>
  <bookViews>
    <workbookView xWindow="0" yWindow="0" windowWidth="28800" windowHeight="12330" tabRatio="692"/>
  </bookViews>
  <sheets>
    <sheet name="5.5" sheetId="5" r:id="rId1"/>
  </sheets>
  <externalReferences>
    <externalReference r:id="rId2"/>
  </externalReferences>
  <definedNames>
    <definedName name="_xlnm.Print_Area" localSheetId="0">'5.5'!$A$1:$N$48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9" i="5" l="1"/>
  <c r="J13" i="5" l="1"/>
  <c r="F13" i="5"/>
  <c r="D13" i="5"/>
  <c r="C13" i="5"/>
  <c r="J12" i="5"/>
  <c r="F12" i="5"/>
  <c r="D12" i="5"/>
  <c r="C12" i="5"/>
  <c r="J11" i="5"/>
  <c r="F11" i="5"/>
  <c r="B11" i="5" s="1"/>
  <c r="D11" i="5"/>
  <c r="C11" i="5"/>
  <c r="J10" i="5"/>
  <c r="F10" i="5"/>
  <c r="B10" i="5" s="1"/>
  <c r="D10" i="5"/>
  <c r="C10" i="5"/>
  <c r="L9" i="5"/>
  <c r="K9" i="5"/>
  <c r="J9" i="5" s="1"/>
  <c r="H9" i="5"/>
  <c r="G9" i="5"/>
  <c r="F9" i="5" s="1"/>
  <c r="B13" i="5" l="1"/>
  <c r="B12" i="5"/>
  <c r="AJ24" i="5"/>
  <c r="D9" i="5"/>
  <c r="C9" i="5"/>
  <c r="AJ22" i="5" l="1"/>
  <c r="AJ21" i="5"/>
  <c r="AJ23" i="5"/>
</calcChain>
</file>

<file path=xl/sharedStrings.xml><?xml version="1.0" encoding="utf-8"?>
<sst xmlns="http://schemas.openxmlformats.org/spreadsheetml/2006/main" count="44" uniqueCount="28">
  <si>
    <t>Republic</t>
  </si>
  <si>
    <t>Male'</t>
  </si>
  <si>
    <t>ދެޖިންސް</t>
  </si>
  <si>
    <t>ފިރިހެން</t>
  </si>
  <si>
    <t>އަންހެން</t>
  </si>
  <si>
    <t>Male</t>
  </si>
  <si>
    <t>Female</t>
  </si>
  <si>
    <t>Total</t>
  </si>
  <si>
    <t>Source: Civil Service Commision</t>
  </si>
  <si>
    <t>މަޢުލޫމާތު ދެއްވި ފަރާތް: ސިވިލް ސަރވިސް ކޮމިޝަން</t>
  </si>
  <si>
    <t xml:space="preserve"> މުޅިރާއްޖެ</t>
  </si>
  <si>
    <t>މާލެ</t>
  </si>
  <si>
    <t>އަތޮޅުތައް</t>
  </si>
  <si>
    <t>Atolls</t>
  </si>
  <si>
    <t>Both sexes</t>
  </si>
  <si>
    <t>ޖުމްލަ</t>
  </si>
  <si>
    <t>ތާވަލު 5.5: ސިވިލް ސަރވަންޓުންގެ މަގާމުތައް އަސާސީ މުސާރަ އަދި ޖިންސްއިން ކްލެސިފައިކުރެވިފައިވާ ގޮތް ، 2018</t>
  </si>
  <si>
    <t>Table 5.5: CIVIL SERVANTS CLASSIFIED BY  BASIC SALARY, SEX AND LOCALITY,  2018</t>
  </si>
  <si>
    <t>އަސާސީ މުސާރަ (ރުފިޔާއިން)</t>
  </si>
  <si>
    <t>Basic Salary Range (in MVR)</t>
  </si>
  <si>
    <t>Less than 5,000</t>
  </si>
  <si>
    <t xml:space="preserve">5،000އަށް ވުރެ ދަށް  </t>
  </si>
  <si>
    <t>5,000 - 9,999</t>
  </si>
  <si>
    <t>9,999 - 5,000</t>
  </si>
  <si>
    <t>10,000 - 14,999</t>
  </si>
  <si>
    <t>14,999 - 10,000</t>
  </si>
  <si>
    <t>15,000 and above</t>
  </si>
  <si>
    <t xml:space="preserve">15،000އާއި އެއަށްވުރެ މަތި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</si>
</sst>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7" formatCode="0.0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ourier"/>
      <family val="3"/>
    </font>
    <font>
      <b/>
      <sz val="1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1"/>
      <name val="Faruma"/>
    </font>
    <font>
      <sz val="10"/>
      <color theme="1"/>
      <name val="Calibri"/>
      <family val="2"/>
      <scheme val="minor"/>
    </font>
    <font>
      <i/>
      <sz val="9"/>
      <name val="Calibri"/>
      <family val="2"/>
      <scheme val="minor"/>
    </font>
    <font>
      <sz val="9"/>
      <name val="Faruma"/>
    </font>
    <font>
      <b/>
      <sz val="10"/>
      <name val="Faruma"/>
    </font>
    <font>
      <b/>
      <sz val="11"/>
      <color theme="1"/>
      <name val="Faruma"/>
    </font>
    <font>
      <sz val="11"/>
      <color theme="1"/>
      <name val="Faruma"/>
    </font>
    <font>
      <sz val="11"/>
      <color theme="1"/>
      <name val="Wingdings"/>
      <charset val="2"/>
    </font>
    <font>
      <sz val="10"/>
      <name val="MS Sans Serif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hair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/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/>
      <right style="hair">
        <color auto="1"/>
      </right>
      <top style="thin">
        <color auto="1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hair">
        <color auto="1"/>
      </right>
      <top/>
      <bottom style="thin">
        <color indexed="64"/>
      </bottom>
      <diagonal/>
    </border>
  </borders>
  <cellStyleXfs count="7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16" fillId="0" borderId="0"/>
  </cellStyleXfs>
  <cellXfs count="59">
    <xf numFmtId="0" fontId="0" fillId="0" borderId="0" xfId="0"/>
    <xf numFmtId="0" fontId="0" fillId="2" borderId="0" xfId="0" applyFill="1"/>
    <xf numFmtId="0" fontId="7" fillId="2" borderId="0" xfId="0" applyFont="1" applyFill="1" applyBorder="1" applyAlignment="1">
      <alignment horizontal="right" vertical="center"/>
    </xf>
    <xf numFmtId="0" fontId="7" fillId="2" borderId="0" xfId="0" applyFont="1" applyFill="1" applyBorder="1" applyAlignment="1">
      <alignment horizontal="center" vertical="center"/>
    </xf>
    <xf numFmtId="3" fontId="7" fillId="2" borderId="0" xfId="1" applyNumberFormat="1" applyFont="1" applyFill="1" applyBorder="1" applyAlignment="1">
      <alignment horizontal="right" vertical="center"/>
    </xf>
    <xf numFmtId="3" fontId="9" fillId="2" borderId="0" xfId="1" applyNumberFormat="1" applyFont="1" applyFill="1" applyBorder="1" applyAlignment="1">
      <alignment horizontal="right" vertical="center"/>
    </xf>
    <xf numFmtId="0" fontId="0" fillId="2" borderId="0" xfId="0" applyFill="1" applyBorder="1"/>
    <xf numFmtId="3" fontId="11" fillId="2" borderId="0" xfId="4" applyNumberFormat="1" applyFont="1" applyFill="1" applyBorder="1" applyAlignment="1" applyProtection="1">
      <alignment horizontal="right" vertical="center"/>
    </xf>
    <xf numFmtId="0" fontId="12" fillId="2" borderId="1" xfId="4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 readingOrder="2"/>
    </xf>
    <xf numFmtId="0" fontId="7" fillId="2" borderId="2" xfId="0" applyFont="1" applyFill="1" applyBorder="1" applyAlignment="1">
      <alignment horizontal="center" vertical="center"/>
    </xf>
    <xf numFmtId="0" fontId="2" fillId="2" borderId="0" xfId="0" applyFont="1" applyFill="1"/>
    <xf numFmtId="0" fontId="3" fillId="2" borderId="0" xfId="0" applyFont="1" applyFill="1"/>
    <xf numFmtId="0" fontId="10" fillId="2" borderId="5" xfId="3" applyFont="1" applyFill="1" applyBorder="1"/>
    <xf numFmtId="0" fontId="3" fillId="2" borderId="0" xfId="0" applyFont="1" applyFill="1" applyBorder="1" applyAlignment="1">
      <alignment horizontal="left" vertical="center"/>
    </xf>
    <xf numFmtId="0" fontId="0" fillId="2" borderId="1" xfId="0" applyFill="1" applyBorder="1"/>
    <xf numFmtId="0" fontId="12" fillId="2" borderId="7" xfId="4" applyFont="1" applyFill="1" applyBorder="1" applyAlignment="1">
      <alignment horizontal="center" vertical="center"/>
    </xf>
    <xf numFmtId="0" fontId="3" fillId="2" borderId="0" xfId="0" applyFont="1" applyFill="1" applyBorder="1"/>
    <xf numFmtId="0" fontId="7" fillId="2" borderId="9" xfId="0" applyFont="1" applyFill="1" applyBorder="1" applyAlignment="1">
      <alignment horizontal="center"/>
    </xf>
    <xf numFmtId="0" fontId="7" fillId="2" borderId="6" xfId="0" applyFont="1" applyFill="1" applyBorder="1" applyAlignment="1">
      <alignment horizontal="center"/>
    </xf>
    <xf numFmtId="0" fontId="7" fillId="2" borderId="3" xfId="0" applyFont="1" applyFill="1" applyBorder="1" applyAlignment="1">
      <alignment horizontal="center" vertical="center"/>
    </xf>
    <xf numFmtId="0" fontId="7" fillId="2" borderId="4" xfId="0" applyFont="1" applyFill="1" applyBorder="1" applyAlignment="1">
      <alignment horizontal="right" vertical="center"/>
    </xf>
    <xf numFmtId="0" fontId="0" fillId="2" borderId="2" xfId="0" applyFill="1" applyBorder="1"/>
    <xf numFmtId="0" fontId="7" fillId="2" borderId="11" xfId="0" applyFont="1" applyFill="1" applyBorder="1" applyAlignment="1">
      <alignment horizontal="center" vertical="center"/>
    </xf>
    <xf numFmtId="0" fontId="8" fillId="2" borderId="12" xfId="0" applyFont="1" applyFill="1" applyBorder="1" applyAlignment="1">
      <alignment horizontal="center" readingOrder="2"/>
    </xf>
    <xf numFmtId="167" fontId="0" fillId="2" borderId="0" xfId="0" applyNumberFormat="1" applyFill="1"/>
    <xf numFmtId="3" fontId="3" fillId="2" borderId="0" xfId="0" applyNumberFormat="1" applyFont="1" applyFill="1" applyBorder="1" applyAlignment="1">
      <alignment horizontal="right" readingOrder="2"/>
    </xf>
    <xf numFmtId="3" fontId="3" fillId="2" borderId="3" xfId="0" applyNumberFormat="1" applyFont="1" applyFill="1" applyBorder="1" applyAlignment="1">
      <alignment horizontal="right" readingOrder="2"/>
    </xf>
    <xf numFmtId="3" fontId="6" fillId="2" borderId="0" xfId="0" applyNumberFormat="1" applyFont="1" applyFill="1" applyBorder="1" applyAlignment="1">
      <alignment horizontal="right" vertical="center" readingOrder="2"/>
    </xf>
    <xf numFmtId="3" fontId="3" fillId="2" borderId="8" xfId="0" applyNumberFormat="1" applyFont="1" applyFill="1" applyBorder="1" applyAlignment="1">
      <alignment horizontal="right" readingOrder="2"/>
    </xf>
    <xf numFmtId="0" fontId="13" fillId="2" borderId="1" xfId="0" applyFont="1" applyFill="1" applyBorder="1" applyAlignment="1">
      <alignment horizontal="right" indent="1"/>
    </xf>
    <xf numFmtId="3" fontId="0" fillId="2" borderId="0" xfId="0" applyNumberFormat="1" applyFont="1" applyFill="1" applyBorder="1" applyAlignment="1">
      <alignment horizontal="right" readingOrder="2"/>
    </xf>
    <xf numFmtId="0" fontId="0" fillId="2" borderId="3" xfId="0" applyFont="1" applyFill="1" applyBorder="1" applyAlignment="1"/>
    <xf numFmtId="3" fontId="0" fillId="2" borderId="0" xfId="0" applyNumberFormat="1" applyFont="1" applyFill="1" applyBorder="1" applyAlignment="1"/>
    <xf numFmtId="3" fontId="14" fillId="2" borderId="0" xfId="0" applyNumberFormat="1" applyFont="1" applyFill="1" applyBorder="1" applyAlignment="1">
      <alignment horizontal="right"/>
    </xf>
    <xf numFmtId="0" fontId="14" fillId="2" borderId="0" xfId="0" applyFont="1" applyFill="1" applyBorder="1" applyAlignment="1">
      <alignment horizontal="right" indent="1"/>
    </xf>
    <xf numFmtId="0" fontId="0" fillId="2" borderId="0" xfId="0" applyFont="1" applyFill="1" applyBorder="1" applyAlignment="1"/>
    <xf numFmtId="3" fontId="3" fillId="2" borderId="2" xfId="0" applyNumberFormat="1" applyFont="1" applyFill="1" applyBorder="1" applyAlignment="1">
      <alignment horizontal="right" readingOrder="2"/>
    </xf>
    <xf numFmtId="3" fontId="0" fillId="2" borderId="2" xfId="0" applyNumberFormat="1" applyFont="1" applyFill="1" applyBorder="1" applyAlignment="1">
      <alignment horizontal="right" readingOrder="2"/>
    </xf>
    <xf numFmtId="0" fontId="0" fillId="2" borderId="11" xfId="0" applyFont="1" applyFill="1" applyBorder="1" applyAlignment="1"/>
    <xf numFmtId="3" fontId="6" fillId="2" borderId="2" xfId="0" applyNumberFormat="1" applyFont="1" applyFill="1" applyBorder="1" applyAlignment="1">
      <alignment horizontal="right" vertical="center" readingOrder="2"/>
    </xf>
    <xf numFmtId="0" fontId="0" fillId="2" borderId="2" xfId="0" applyFont="1" applyFill="1" applyBorder="1" applyAlignment="1"/>
    <xf numFmtId="3" fontId="0" fillId="2" borderId="2" xfId="0" applyNumberFormat="1" applyFont="1" applyFill="1" applyBorder="1" applyAlignment="1"/>
    <xf numFmtId="3" fontId="14" fillId="2" borderId="2" xfId="0" applyNumberFormat="1" applyFont="1" applyFill="1" applyBorder="1" applyAlignment="1">
      <alignment horizontal="right"/>
    </xf>
    <xf numFmtId="9" fontId="0" fillId="2" borderId="0" xfId="2" applyFont="1" applyFill="1"/>
    <xf numFmtId="3" fontId="0" fillId="2" borderId="4" xfId="0" applyNumberFormat="1" applyFont="1" applyFill="1" applyBorder="1" applyAlignment="1"/>
    <xf numFmtId="0" fontId="0" fillId="2" borderId="4" xfId="0" applyFont="1" applyFill="1" applyBorder="1" applyAlignment="1"/>
    <xf numFmtId="0" fontId="0" fillId="2" borderId="12" xfId="0" applyFont="1" applyFill="1" applyBorder="1" applyAlignment="1"/>
    <xf numFmtId="0" fontId="15" fillId="2" borderId="0" xfId="0" applyFont="1" applyFill="1" applyAlignment="1">
      <alignment horizontal="center" vertical="center"/>
    </xf>
    <xf numFmtId="0" fontId="12" fillId="2" borderId="1" xfId="4" applyFont="1" applyFill="1" applyBorder="1" applyAlignment="1">
      <alignment horizontal="center" vertical="top"/>
    </xf>
    <xf numFmtId="0" fontId="7" fillId="2" borderId="6" xfId="0" applyFont="1" applyFill="1" applyBorder="1" applyAlignment="1">
      <alignment horizontal="center" vertical="center"/>
    </xf>
    <xf numFmtId="0" fontId="7" fillId="2" borderId="6" xfId="0" applyFont="1" applyFill="1" applyBorder="1" applyAlignment="1">
      <alignment horizontal="center"/>
    </xf>
    <xf numFmtId="0" fontId="13" fillId="2" borderId="0" xfId="0" applyFont="1" applyFill="1" applyAlignment="1">
      <alignment horizontal="center"/>
    </xf>
    <xf numFmtId="0" fontId="12" fillId="2" borderId="8" xfId="4" applyFont="1" applyFill="1" applyBorder="1" applyAlignment="1">
      <alignment horizontal="center" vertical="top"/>
    </xf>
    <xf numFmtId="0" fontId="7" fillId="2" borderId="10" xfId="0" applyFont="1" applyFill="1" applyBorder="1" applyAlignment="1">
      <alignment horizontal="center"/>
    </xf>
    <xf numFmtId="0" fontId="3" fillId="2" borderId="0" xfId="0" applyFont="1" applyFill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0" fontId="13" fillId="2" borderId="0" xfId="0" applyFont="1" applyFill="1" applyBorder="1" applyAlignment="1">
      <alignment horizontal="center" vertical="center"/>
    </xf>
    <xf numFmtId="0" fontId="13" fillId="2" borderId="2" xfId="0" applyFont="1" applyFill="1" applyBorder="1" applyAlignment="1">
      <alignment horizontal="center" vertical="center"/>
    </xf>
  </cellXfs>
  <cellStyles count="7">
    <cellStyle name="Comma" xfId="1" builtinId="3"/>
    <cellStyle name="Normal" xfId="0" builtinId="0"/>
    <cellStyle name="Normal 2" xfId="5"/>
    <cellStyle name="Normal 4" xfId="6"/>
    <cellStyle name="Normal_II-16(Populaion)" xfId="4"/>
    <cellStyle name="Normal_po" xfId="3"/>
    <cellStyle name="Percent" xfId="2" builtinId="5"/>
  </cellStyles>
  <dxfs count="0"/>
  <tableStyles count="0" defaultTableStyle="TableStyleMedium2" defaultPivotStyle="PivotStyleLight16"/>
  <colors>
    <mruColors>
      <color rgb="FFFFFAEB"/>
      <color rgb="FFFFFDF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38812023316606"/>
          <c:y val="0.17529608567447594"/>
          <c:w val="0.86116296537145964"/>
          <c:h val="0.6411344415281423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'5.5'!$C$7</c:f>
              <c:strCache>
                <c:ptCount val="1"/>
                <c:pt idx="0">
                  <c:v>Male</c:v>
                </c:pt>
              </c:strCache>
            </c:strRef>
          </c:tx>
          <c:spPr>
            <a:solidFill>
              <a:schemeClr val="accent4">
                <a:lumMod val="50000"/>
              </a:schemeClr>
            </a:solidFill>
          </c:spPr>
          <c:invertIfNegative val="0"/>
          <c:cat>
            <c:strRef>
              <c:f>'5.5'!$A$10:$A$13</c:f>
              <c:strCache>
                <c:ptCount val="4"/>
                <c:pt idx="0">
                  <c:v>Less than 5,000</c:v>
                </c:pt>
                <c:pt idx="1">
                  <c:v>5,000 - 9,999</c:v>
                </c:pt>
                <c:pt idx="2">
                  <c:v>10,000 - 14,999</c:v>
                </c:pt>
                <c:pt idx="3">
                  <c:v>15,000 and above</c:v>
                </c:pt>
              </c:strCache>
            </c:strRef>
          </c:cat>
          <c:val>
            <c:numRef>
              <c:f>'5.5'!$C$10:$C$13</c:f>
              <c:numCache>
                <c:formatCode>#,##0</c:formatCode>
                <c:ptCount val="4"/>
                <c:pt idx="0">
                  <c:v>4442</c:v>
                </c:pt>
                <c:pt idx="1">
                  <c:v>4054</c:v>
                </c:pt>
                <c:pt idx="2">
                  <c:v>218</c:v>
                </c:pt>
                <c:pt idx="3">
                  <c:v>408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8F3-413B-A3F3-2403A9099481}"/>
            </c:ext>
          </c:extLst>
        </c:ser>
        <c:ser>
          <c:idx val="1"/>
          <c:order val="1"/>
          <c:tx>
            <c:strRef>
              <c:f>'5.5'!$D$7</c:f>
              <c:strCache>
                <c:ptCount val="1"/>
                <c:pt idx="0">
                  <c:v>Female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</c:spPr>
          <c:invertIfNegative val="0"/>
          <c:cat>
            <c:strRef>
              <c:f>'5.5'!$A$10:$A$13</c:f>
              <c:strCache>
                <c:ptCount val="4"/>
                <c:pt idx="0">
                  <c:v>Less than 5,000</c:v>
                </c:pt>
                <c:pt idx="1">
                  <c:v>5,000 - 9,999</c:v>
                </c:pt>
                <c:pt idx="2">
                  <c:v>10,000 - 14,999</c:v>
                </c:pt>
                <c:pt idx="3">
                  <c:v>15,000 and above</c:v>
                </c:pt>
              </c:strCache>
            </c:strRef>
          </c:cat>
          <c:val>
            <c:numRef>
              <c:f>'5.5'!$D$10:$D$13</c:f>
              <c:numCache>
                <c:formatCode>#,##0</c:formatCode>
                <c:ptCount val="4"/>
                <c:pt idx="0">
                  <c:v>5769</c:v>
                </c:pt>
                <c:pt idx="1">
                  <c:v>8247</c:v>
                </c:pt>
                <c:pt idx="2">
                  <c:v>321</c:v>
                </c:pt>
                <c:pt idx="3">
                  <c:v>188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8F3-413B-A3F3-2403A90994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04146576"/>
        <c:axId val="304146968"/>
      </c:barChart>
      <c:catAx>
        <c:axId val="30414657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Salary</a:t>
                </a:r>
                <a:r>
                  <a:rPr lang="en-US" baseline="0"/>
                  <a:t> Range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0.50259825586317852"/>
              <c:y val="0.92178477690288729"/>
            </c:manualLayout>
          </c:layout>
          <c:overlay val="0"/>
        </c:title>
        <c:numFmt formatCode="General" sourceLinked="0"/>
        <c:majorTickMark val="none"/>
        <c:minorTickMark val="none"/>
        <c:tickLblPos val="nextTo"/>
        <c:crossAx val="304146968"/>
        <c:crosses val="autoZero"/>
        <c:auto val="1"/>
        <c:lblAlgn val="ctr"/>
        <c:lblOffset val="100"/>
        <c:noMultiLvlLbl val="0"/>
      </c:catAx>
      <c:valAx>
        <c:axId val="304146968"/>
        <c:scaling>
          <c:orientation val="minMax"/>
        </c:scaling>
        <c:delete val="0"/>
        <c:axPos val="l"/>
        <c:majorGridlines>
          <c:spPr>
            <a:ln>
              <a:noFill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Number of civil servants</a:t>
                </a:r>
              </a:p>
            </c:rich>
          </c:tx>
          <c:layout>
            <c:manualLayout>
              <c:xMode val="edge"/>
              <c:yMode val="edge"/>
              <c:x val="2.0020569909269571E-2"/>
              <c:y val="0.19604969274518777"/>
            </c:manualLayout>
          </c:layout>
          <c:overlay val="0"/>
        </c:title>
        <c:numFmt formatCode="#,##0" sourceLinked="1"/>
        <c:majorTickMark val="out"/>
        <c:minorTickMark val="none"/>
        <c:tickLblPos val="nextTo"/>
        <c:crossAx val="304146576"/>
        <c:crosses val="autoZero"/>
        <c:crossBetween val="between"/>
      </c:valAx>
      <c:spPr>
        <a:solidFill>
          <a:schemeClr val="bg1"/>
        </a:solidFill>
        <a:ln>
          <a:solidFill>
            <a:schemeClr val="tx1">
              <a:lumMod val="50000"/>
              <a:lumOff val="50000"/>
            </a:schemeClr>
          </a:solidFill>
        </a:ln>
      </c:spPr>
    </c:plotArea>
    <c:legend>
      <c:legendPos val="r"/>
      <c:layout>
        <c:manualLayout>
          <c:xMode val="edge"/>
          <c:yMode val="edge"/>
          <c:x val="0.66808973452387177"/>
          <c:y val="0.26383820129786312"/>
          <c:w val="0.15220277655879211"/>
          <c:h val="9.16519004424E-2"/>
        </c:manualLayout>
      </c:layout>
      <c:overlay val="0"/>
    </c:legend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 orientation="portrait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 b="1"/>
              <a:t>Figure 5.8: Percentage share of civil servants by salary range,</a:t>
            </a:r>
            <a:r>
              <a:rPr lang="en-US" sz="1200" b="1" baseline="0"/>
              <a:t> 2018</a:t>
            </a:r>
            <a:endParaRPr lang="en-US" sz="1200" b="1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4.9369566965689178E-2"/>
          <c:y val="0.15024290833760831"/>
          <c:w val="0.93339212598425192"/>
          <c:h val="0.75957920782987598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4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'5.5'!$AI$21:$AI$24</c:f>
              <c:strCache>
                <c:ptCount val="4"/>
                <c:pt idx="0">
                  <c:v>Less than 5,000</c:v>
                </c:pt>
                <c:pt idx="1">
                  <c:v>5,000 - 9,999</c:v>
                </c:pt>
                <c:pt idx="2">
                  <c:v>10,000 - 14,999</c:v>
                </c:pt>
                <c:pt idx="3">
                  <c:v>15,000 and above</c:v>
                </c:pt>
              </c:strCache>
            </c:strRef>
          </c:cat>
          <c:val>
            <c:numRef>
              <c:f>'5.5'!$AJ$21:$AJ$24</c:f>
              <c:numCache>
                <c:formatCode>0.0</c:formatCode>
                <c:ptCount val="4"/>
                <c:pt idx="0">
                  <c:v>43.180953186450708</c:v>
                </c:pt>
                <c:pt idx="1">
                  <c:v>52.01928363005878</c:v>
                </c:pt>
                <c:pt idx="2">
                  <c:v>2.2793589038778701</c:v>
                </c:pt>
                <c:pt idx="3">
                  <c:v>2.5204042796126358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991-41E6-B13F-B2DA63F826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04147752"/>
        <c:axId val="304148144"/>
      </c:barChart>
      <c:catAx>
        <c:axId val="3041477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4148144"/>
        <c:crosses val="autoZero"/>
        <c:auto val="1"/>
        <c:lblAlgn val="ctr"/>
        <c:lblOffset val="100"/>
        <c:noMultiLvlLbl val="0"/>
      </c:catAx>
      <c:valAx>
        <c:axId val="304148144"/>
        <c:scaling>
          <c:orientation val="minMax"/>
          <c:max val="6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4147752"/>
        <c:crosses val="autoZero"/>
        <c:crossBetween val="between"/>
        <c:majorUnit val="10"/>
      </c:valAx>
      <c:spPr>
        <a:solidFill>
          <a:schemeClr val="bg1"/>
        </a:solidFill>
        <a:ln>
          <a:solidFill>
            <a:schemeClr val="bg1">
              <a:lumMod val="75000"/>
            </a:schemeClr>
          </a:solidFill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99060</xdr:colOff>
      <xdr:row>16</xdr:row>
      <xdr:rowOff>30480</xdr:rowOff>
    </xdr:from>
    <xdr:to>
      <xdr:col>12</xdr:col>
      <xdr:colOff>1276350</xdr:colOff>
      <xdr:row>29</xdr:row>
      <xdr:rowOff>53340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447674</xdr:colOff>
      <xdr:row>16</xdr:row>
      <xdr:rowOff>78104</xdr:rowOff>
    </xdr:from>
    <xdr:to>
      <xdr:col>12</xdr:col>
      <xdr:colOff>657224</xdr:colOff>
      <xdr:row>17</xdr:row>
      <xdr:rowOff>133349</xdr:rowOff>
    </xdr:to>
    <xdr:sp macro="" textlink="">
      <xdr:nvSpPr>
        <xdr:cNvPr id="3" name="TextBox 2"/>
        <xdr:cNvSpPr txBox="1"/>
      </xdr:nvSpPr>
      <xdr:spPr>
        <a:xfrm>
          <a:off x="2809874" y="3611879"/>
          <a:ext cx="5038725" cy="24574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050" b="1">
              <a:latin typeface="Consolas" pitchFamily="49" charset="0"/>
              <a:cs typeface="Consolas" pitchFamily="49" charset="0"/>
            </a:rPr>
            <a:t>Figure 5.7: Number of</a:t>
          </a:r>
          <a:r>
            <a:rPr lang="en-US" sz="1050" b="1" baseline="0">
              <a:latin typeface="Consolas" pitchFamily="49" charset="0"/>
              <a:cs typeface="Consolas" pitchFamily="49" charset="0"/>
            </a:rPr>
            <a:t> civil servants by salary range and sex, 2018</a:t>
          </a:r>
          <a:endParaRPr lang="en-US" sz="1050" b="1">
            <a:latin typeface="Consolas" pitchFamily="49" charset="0"/>
            <a:cs typeface="Consolas" pitchFamily="49" charset="0"/>
          </a:endParaRPr>
        </a:p>
      </xdr:txBody>
    </xdr:sp>
    <xdr:clientData/>
  </xdr:twoCellAnchor>
  <xdr:twoCellAnchor>
    <xdr:from>
      <xdr:col>1</xdr:col>
      <xdr:colOff>104775</xdr:colOff>
      <xdr:row>30</xdr:row>
      <xdr:rowOff>104774</xdr:rowOff>
    </xdr:from>
    <xdr:to>
      <xdr:col>12</xdr:col>
      <xdr:colOff>1352550</xdr:colOff>
      <xdr:row>46</xdr:row>
      <xdr:rowOff>95250</xdr:rowOff>
    </xdr:to>
    <xdr:graphicFrame macro="">
      <xdr:nvGraphicFramePr>
        <xdr:cNvPr id="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0.44847</cdr:x>
      <cdr:y>0.23324</cdr:y>
    </cdr:from>
    <cdr:to>
      <cdr:x>0.88719</cdr:x>
      <cdr:y>0.62682</cdr:y>
    </cdr:to>
    <cdr:sp macro="" textlink="">
      <cdr:nvSpPr>
        <cdr:cNvPr id="3" name="Oval 2"/>
        <cdr:cNvSpPr/>
      </cdr:nvSpPr>
      <cdr:spPr>
        <a:xfrm xmlns:a="http://schemas.openxmlformats.org/drawingml/2006/main">
          <a:off x="3067050" y="762002"/>
          <a:ext cx="3000375" cy="1285873"/>
        </a:xfrm>
        <a:prstGeom xmlns:a="http://schemas.openxmlformats.org/drawingml/2006/main" prst="ellipse">
          <a:avLst/>
        </a:prstGeom>
        <a:solidFill xmlns:a="http://schemas.openxmlformats.org/drawingml/2006/main">
          <a:srgbClr val="FFFDF7"/>
        </a:solidFill>
        <a:ln xmlns:a="http://schemas.openxmlformats.org/drawingml/2006/main" w="19050">
          <a:noFill/>
        </a:ln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 anchor="ctr"/>
        <a:lstStyle xmlns:a="http://schemas.openxmlformats.org/drawingml/2006/main"/>
        <a:p xmlns:a="http://schemas.openxmlformats.org/drawingml/2006/main">
          <a:pPr algn="ctr"/>
          <a:r>
            <a:rPr lang="en-US" sz="1300" b="1">
              <a:solidFill>
                <a:schemeClr val="accent4">
                  <a:lumMod val="75000"/>
                </a:schemeClr>
              </a:solidFill>
              <a:effectLst/>
              <a:latin typeface="Candara" panose="020E0502030303020204" pitchFamily="34" charset="0"/>
              <a:ea typeface="+mn-ea"/>
              <a:cs typeface="+mn-cs"/>
            </a:rPr>
            <a:t>95</a:t>
          </a:r>
          <a:r>
            <a:rPr lang="en-US" sz="1300" b="1" baseline="0">
              <a:solidFill>
                <a:schemeClr val="accent4">
                  <a:lumMod val="75000"/>
                </a:schemeClr>
              </a:solidFill>
              <a:effectLst/>
              <a:latin typeface="Candara" panose="020E0502030303020204" pitchFamily="34" charset="0"/>
              <a:ea typeface="+mn-ea"/>
              <a:cs typeface="+mn-cs"/>
            </a:rPr>
            <a:t> percent of the civil servants get a  salary less than 10,000 MVR per month.</a:t>
          </a:r>
          <a:endParaRPr lang="en-US" sz="1300">
            <a:solidFill>
              <a:schemeClr val="accent4">
                <a:lumMod val="75000"/>
              </a:schemeClr>
            </a:solidFill>
            <a:effectLst/>
            <a:latin typeface="Candara" panose="020E0502030303020204" pitchFamily="34" charset="0"/>
          </a:endParaRPr>
        </a:p>
      </cdr:txBody>
    </cdr:sp>
  </cdr:relSizeAnchor>
</c:userShape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issemination/Publications/Statistical%20Year%20Book/YEARBOOK%202019/Checking/5.%20EMPLOYMEN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5.1"/>
      <sheetName val="5.2"/>
      <sheetName val="5.3"/>
      <sheetName val="5.4"/>
      <sheetName val="5.5"/>
      <sheetName val="5.6"/>
      <sheetName val="5.7"/>
      <sheetName val="5.8"/>
    </sheetNames>
    <sheetDataSet>
      <sheetData sheetId="0"/>
      <sheetData sheetId="1"/>
      <sheetData sheetId="2">
        <row r="45">
          <cell r="Q45" t="str">
            <v>Male</v>
          </cell>
          <cell r="R45" t="str">
            <v>Female</v>
          </cell>
        </row>
        <row r="46">
          <cell r="P46" t="str">
            <v>HA</v>
          </cell>
          <cell r="Q46">
            <v>352</v>
          </cell>
          <cell r="R46">
            <v>565</v>
          </cell>
        </row>
        <row r="47">
          <cell r="P47" t="str">
            <v>HDh</v>
          </cell>
          <cell r="Q47">
            <v>456</v>
          </cell>
          <cell r="R47">
            <v>829</v>
          </cell>
        </row>
        <row r="48">
          <cell r="P48" t="str">
            <v>Sh</v>
          </cell>
          <cell r="Q48">
            <v>431</v>
          </cell>
          <cell r="R48">
            <v>476</v>
          </cell>
        </row>
        <row r="49">
          <cell r="P49" t="str">
            <v>N</v>
          </cell>
          <cell r="Q49">
            <v>317</v>
          </cell>
          <cell r="R49">
            <v>467</v>
          </cell>
        </row>
        <row r="50">
          <cell r="P50" t="str">
            <v>R</v>
          </cell>
          <cell r="Q50">
            <v>486</v>
          </cell>
          <cell r="R50">
            <v>697</v>
          </cell>
        </row>
        <row r="51">
          <cell r="P51" t="str">
            <v>B</v>
          </cell>
          <cell r="Q51">
            <v>268</v>
          </cell>
          <cell r="R51">
            <v>504</v>
          </cell>
        </row>
        <row r="52">
          <cell r="P52" t="str">
            <v>Lh</v>
          </cell>
          <cell r="Q52">
            <v>158</v>
          </cell>
          <cell r="R52">
            <v>298</v>
          </cell>
        </row>
        <row r="53">
          <cell r="P53" t="str">
            <v>K</v>
          </cell>
          <cell r="Q53">
            <v>354</v>
          </cell>
          <cell r="R53">
            <v>741</v>
          </cell>
        </row>
        <row r="54">
          <cell r="P54" t="str">
            <v>AA</v>
          </cell>
          <cell r="Q54">
            <v>182</v>
          </cell>
          <cell r="R54">
            <v>292</v>
          </cell>
        </row>
        <row r="55">
          <cell r="P55" t="str">
            <v>ADh</v>
          </cell>
          <cell r="Q55">
            <v>168</v>
          </cell>
          <cell r="R55">
            <v>417</v>
          </cell>
        </row>
        <row r="56">
          <cell r="P56" t="str">
            <v>V</v>
          </cell>
          <cell r="Q56">
            <v>69</v>
          </cell>
          <cell r="R56">
            <v>118</v>
          </cell>
        </row>
        <row r="57">
          <cell r="P57" t="str">
            <v>M</v>
          </cell>
          <cell r="Q57">
            <v>195</v>
          </cell>
          <cell r="R57">
            <v>270</v>
          </cell>
        </row>
        <row r="58">
          <cell r="P58" t="str">
            <v>F</v>
          </cell>
          <cell r="Q58">
            <v>176</v>
          </cell>
          <cell r="R58">
            <v>276</v>
          </cell>
        </row>
        <row r="59">
          <cell r="P59" t="str">
            <v>Dh</v>
          </cell>
          <cell r="Q59">
            <v>167</v>
          </cell>
          <cell r="R59">
            <v>325</v>
          </cell>
        </row>
        <row r="60">
          <cell r="P60" t="str">
            <v>Th</v>
          </cell>
          <cell r="Q60">
            <v>356</v>
          </cell>
          <cell r="R60">
            <v>507</v>
          </cell>
        </row>
        <row r="61">
          <cell r="P61" t="str">
            <v>L</v>
          </cell>
          <cell r="Q61">
            <v>329</v>
          </cell>
          <cell r="R61">
            <v>545</v>
          </cell>
        </row>
        <row r="62">
          <cell r="P62" t="str">
            <v>GA</v>
          </cell>
          <cell r="Q62">
            <v>180</v>
          </cell>
          <cell r="R62">
            <v>453</v>
          </cell>
        </row>
        <row r="63">
          <cell r="P63" t="str">
            <v>GDh</v>
          </cell>
          <cell r="Q63">
            <v>271</v>
          </cell>
          <cell r="R63">
            <v>523</v>
          </cell>
        </row>
        <row r="64">
          <cell r="P64" t="str">
            <v>Gn</v>
          </cell>
          <cell r="Q64">
            <v>182</v>
          </cell>
          <cell r="R64">
            <v>372</v>
          </cell>
        </row>
        <row r="65">
          <cell r="P65" t="str">
            <v>S</v>
          </cell>
          <cell r="Q65">
            <v>234</v>
          </cell>
          <cell r="R65">
            <v>808</v>
          </cell>
        </row>
      </sheetData>
      <sheetData sheetId="3"/>
      <sheetData sheetId="4"/>
      <sheetData sheetId="5"/>
      <sheetData sheetId="6">
        <row r="7">
          <cell r="C7" t="str">
            <v>Male</v>
          </cell>
        </row>
      </sheetData>
      <sheetData sheetId="7">
        <row r="37">
          <cell r="X37" t="str">
            <v>Schools</v>
          </cell>
          <cell r="Y37" t="str">
            <v>Hospitals</v>
          </cell>
          <cell r="Z37" t="str">
            <v>City / Atoll Councils</v>
          </cell>
          <cell r="AA37" t="str">
            <v>Island Councils</v>
          </cell>
          <cell r="AB37" t="str">
            <v>Government Ministries</v>
          </cell>
          <cell r="AC37" t="str">
            <v>other offices</v>
          </cell>
        </row>
        <row r="38">
          <cell r="V38" t="str">
            <v>MALE'</v>
          </cell>
          <cell r="X38">
            <v>1602</v>
          </cell>
          <cell r="Y38">
            <v>1775</v>
          </cell>
          <cell r="Z38">
            <v>314</v>
          </cell>
          <cell r="AA38">
            <v>0</v>
          </cell>
          <cell r="AB38">
            <v>2977</v>
          </cell>
          <cell r="AC38">
            <v>2166</v>
          </cell>
        </row>
        <row r="39">
          <cell r="V39" t="str">
            <v xml:space="preserve"> ATOLL</v>
          </cell>
          <cell r="X39">
            <v>6679</v>
          </cell>
          <cell r="Y39">
            <v>5472</v>
          </cell>
          <cell r="Z39">
            <v>924</v>
          </cell>
          <cell r="AA39">
            <v>1602</v>
          </cell>
          <cell r="AB39">
            <v>0</v>
          </cell>
          <cell r="AC39">
            <v>136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L48"/>
  <sheetViews>
    <sheetView tabSelected="1" topLeftCell="B1" zoomScaleNormal="100" workbookViewId="0">
      <selection activeCell="AD47" sqref="AD47"/>
    </sheetView>
  </sheetViews>
  <sheetFormatPr defaultRowHeight="15" x14ac:dyDescent="0.25"/>
  <cols>
    <col min="1" max="1" width="26.5703125" style="1" customWidth="1"/>
    <col min="2" max="4" width="9.140625" style="1"/>
    <col min="5" max="5" width="0.5703125" style="1" customWidth="1"/>
    <col min="6" max="8" width="9.140625" style="1"/>
    <col min="9" max="9" width="1" style="1" customWidth="1"/>
    <col min="10" max="12" width="9.140625" style="1"/>
    <col min="13" max="13" width="29.28515625" style="1" customWidth="1"/>
    <col min="14" max="14" width="2.42578125" style="1" customWidth="1"/>
    <col min="15" max="16384" width="9.140625" style="1"/>
  </cols>
  <sheetData>
    <row r="2" spans="1:14" ht="21" x14ac:dyDescent="0.55000000000000004">
      <c r="A2" s="52" t="s">
        <v>16</v>
      </c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</row>
    <row r="3" spans="1:14" x14ac:dyDescent="0.25">
      <c r="A3" s="55" t="s">
        <v>17</v>
      </c>
      <c r="B3" s="55"/>
      <c r="C3" s="55"/>
      <c r="D3" s="55"/>
      <c r="E3" s="55"/>
      <c r="F3" s="55"/>
      <c r="G3" s="55"/>
      <c r="H3" s="55"/>
      <c r="I3" s="55"/>
      <c r="J3" s="55"/>
      <c r="K3" s="55"/>
      <c r="L3" s="55"/>
      <c r="M3" s="55"/>
      <c r="N3" s="11"/>
    </row>
    <row r="4" spans="1:14" ht="7.5" customHeight="1" x14ac:dyDescent="0.25"/>
    <row r="5" spans="1:14" ht="18.75" customHeight="1" x14ac:dyDescent="0.25">
      <c r="A5" s="15"/>
      <c r="B5" s="49" t="s">
        <v>10</v>
      </c>
      <c r="C5" s="49"/>
      <c r="D5" s="49"/>
      <c r="E5" s="16"/>
      <c r="F5" s="49" t="s">
        <v>11</v>
      </c>
      <c r="G5" s="49"/>
      <c r="H5" s="53"/>
      <c r="I5" s="8"/>
      <c r="J5" s="49" t="s">
        <v>12</v>
      </c>
      <c r="K5" s="49"/>
      <c r="L5" s="49"/>
      <c r="M5" s="56" t="s">
        <v>18</v>
      </c>
    </row>
    <row r="6" spans="1:14" ht="15" customHeight="1" x14ac:dyDescent="0.25">
      <c r="A6" s="17" t="s">
        <v>19</v>
      </c>
      <c r="B6" s="50" t="s">
        <v>0</v>
      </c>
      <c r="C6" s="50"/>
      <c r="D6" s="50"/>
      <c r="E6" s="18"/>
      <c r="F6" s="51" t="s">
        <v>1</v>
      </c>
      <c r="G6" s="51"/>
      <c r="H6" s="54"/>
      <c r="I6" s="19"/>
      <c r="J6" s="51" t="s">
        <v>13</v>
      </c>
      <c r="K6" s="51"/>
      <c r="L6" s="51"/>
      <c r="M6" s="57"/>
    </row>
    <row r="7" spans="1:14" ht="15" customHeight="1" x14ac:dyDescent="0.25">
      <c r="A7" s="6"/>
      <c r="B7" s="2" t="s">
        <v>14</v>
      </c>
      <c r="C7" s="2" t="s">
        <v>5</v>
      </c>
      <c r="D7" s="2" t="s">
        <v>6</v>
      </c>
      <c r="E7" s="20"/>
      <c r="F7" s="2" t="s">
        <v>14</v>
      </c>
      <c r="G7" s="2" t="s">
        <v>5</v>
      </c>
      <c r="H7" s="21" t="s">
        <v>6</v>
      </c>
      <c r="I7" s="3"/>
      <c r="J7" s="2" t="s">
        <v>14</v>
      </c>
      <c r="K7" s="2" t="s">
        <v>5</v>
      </c>
      <c r="L7" s="2" t="s">
        <v>6</v>
      </c>
      <c r="M7" s="57"/>
    </row>
    <row r="8" spans="1:14" ht="18.75" customHeight="1" x14ac:dyDescent="0.5">
      <c r="A8" s="22"/>
      <c r="B8" s="9" t="s">
        <v>2</v>
      </c>
      <c r="C8" s="9" t="s">
        <v>3</v>
      </c>
      <c r="D8" s="9" t="s">
        <v>4</v>
      </c>
      <c r="E8" s="23"/>
      <c r="F8" s="9" t="s">
        <v>2</v>
      </c>
      <c r="G8" s="9" t="s">
        <v>3</v>
      </c>
      <c r="H8" s="24" t="s">
        <v>4</v>
      </c>
      <c r="I8" s="10"/>
      <c r="J8" s="9" t="s">
        <v>2</v>
      </c>
      <c r="K8" s="9" t="s">
        <v>3</v>
      </c>
      <c r="L8" s="9" t="s">
        <v>4</v>
      </c>
      <c r="M8" s="58"/>
    </row>
    <row r="9" spans="1:14" ht="21" x14ac:dyDescent="0.55000000000000004">
      <c r="A9" s="14" t="s">
        <v>7</v>
      </c>
      <c r="B9" s="26">
        <f>F9+J9</f>
        <v>23647</v>
      </c>
      <c r="C9" s="26">
        <f t="shared" ref="C9:D13" si="0">G9+K9</f>
        <v>9122</v>
      </c>
      <c r="D9" s="26">
        <f t="shared" si="0"/>
        <v>14525</v>
      </c>
      <c r="E9" s="27"/>
      <c r="F9" s="28">
        <f>G9+H9</f>
        <v>8833</v>
      </c>
      <c r="G9" s="26">
        <f>SUM(G10:G13)</f>
        <v>3791</v>
      </c>
      <c r="H9" s="29">
        <f>SUM(H10:H13)</f>
        <v>5042</v>
      </c>
      <c r="I9" s="26"/>
      <c r="J9" s="28">
        <f>K9+L9</f>
        <v>14814</v>
      </c>
      <c r="K9" s="26">
        <f>SUM(K10:K13)</f>
        <v>5331</v>
      </c>
      <c r="L9" s="26">
        <f>SUM(L10:L13)</f>
        <v>9483</v>
      </c>
      <c r="M9" s="30" t="s">
        <v>15</v>
      </c>
    </row>
    <row r="10" spans="1:14" ht="21" x14ac:dyDescent="0.55000000000000004">
      <c r="A10" s="6" t="s">
        <v>20</v>
      </c>
      <c r="B10" s="26">
        <f>F10+J10</f>
        <v>10211</v>
      </c>
      <c r="C10" s="31">
        <f t="shared" si="0"/>
        <v>4442</v>
      </c>
      <c r="D10" s="31">
        <f t="shared" si="0"/>
        <v>5769</v>
      </c>
      <c r="E10" s="32"/>
      <c r="F10" s="28">
        <f t="shared" ref="F10:F13" si="1">G10+H10</f>
        <v>3370</v>
      </c>
      <c r="G10" s="33">
        <v>1695</v>
      </c>
      <c r="H10" s="45">
        <v>1675</v>
      </c>
      <c r="I10" s="33"/>
      <c r="J10" s="28">
        <f t="shared" ref="J10:J13" si="2">K10+L10</f>
        <v>6841</v>
      </c>
      <c r="K10" s="33">
        <v>2747</v>
      </c>
      <c r="L10" s="33">
        <v>4094</v>
      </c>
      <c r="M10" s="34" t="s">
        <v>21</v>
      </c>
    </row>
    <row r="11" spans="1:14" ht="21" x14ac:dyDescent="0.55000000000000004">
      <c r="A11" s="6" t="s">
        <v>22</v>
      </c>
      <c r="B11" s="26">
        <f t="shared" ref="B11:B13" si="3">F11+J11</f>
        <v>12301</v>
      </c>
      <c r="C11" s="31">
        <f t="shared" si="0"/>
        <v>4054</v>
      </c>
      <c r="D11" s="31">
        <f t="shared" si="0"/>
        <v>8247</v>
      </c>
      <c r="E11" s="32"/>
      <c r="F11" s="28">
        <f t="shared" si="1"/>
        <v>4758</v>
      </c>
      <c r="G11" s="33">
        <v>1753</v>
      </c>
      <c r="H11" s="45">
        <v>3005</v>
      </c>
      <c r="I11" s="33"/>
      <c r="J11" s="28">
        <f t="shared" si="2"/>
        <v>7543</v>
      </c>
      <c r="K11" s="33">
        <v>2301</v>
      </c>
      <c r="L11" s="33">
        <v>5242</v>
      </c>
      <c r="M11" s="35" t="s">
        <v>23</v>
      </c>
    </row>
    <row r="12" spans="1:14" ht="21" x14ac:dyDescent="0.55000000000000004">
      <c r="A12" s="6" t="s">
        <v>24</v>
      </c>
      <c r="B12" s="26">
        <f t="shared" si="3"/>
        <v>539</v>
      </c>
      <c r="C12" s="31">
        <f t="shared" si="0"/>
        <v>218</v>
      </c>
      <c r="D12" s="31">
        <f t="shared" si="0"/>
        <v>321</v>
      </c>
      <c r="E12" s="32"/>
      <c r="F12" s="28">
        <f t="shared" si="1"/>
        <v>432</v>
      </c>
      <c r="G12" s="36">
        <v>194</v>
      </c>
      <c r="H12" s="46">
        <v>238</v>
      </c>
      <c r="I12" s="36"/>
      <c r="J12" s="28">
        <f t="shared" si="2"/>
        <v>107</v>
      </c>
      <c r="K12" s="33">
        <v>24</v>
      </c>
      <c r="L12" s="33">
        <v>83</v>
      </c>
      <c r="M12" s="35" t="s">
        <v>25</v>
      </c>
    </row>
    <row r="13" spans="1:14" ht="21" x14ac:dyDescent="0.55000000000000004">
      <c r="A13" s="22" t="s">
        <v>26</v>
      </c>
      <c r="B13" s="37">
        <f t="shared" si="3"/>
        <v>596</v>
      </c>
      <c r="C13" s="38">
        <f t="shared" si="0"/>
        <v>408</v>
      </c>
      <c r="D13" s="38">
        <f t="shared" si="0"/>
        <v>188</v>
      </c>
      <c r="E13" s="39"/>
      <c r="F13" s="40">
        <f t="shared" si="1"/>
        <v>273</v>
      </c>
      <c r="G13" s="41">
        <v>149</v>
      </c>
      <c r="H13" s="47">
        <v>124</v>
      </c>
      <c r="I13" s="41"/>
      <c r="J13" s="40">
        <f t="shared" si="2"/>
        <v>323</v>
      </c>
      <c r="K13" s="42">
        <v>259</v>
      </c>
      <c r="L13" s="42">
        <v>64</v>
      </c>
      <c r="M13" s="43" t="s">
        <v>27</v>
      </c>
    </row>
    <row r="14" spans="1:14" ht="17.25" x14ac:dyDescent="0.25">
      <c r="A14" s="13" t="s">
        <v>8</v>
      </c>
      <c r="B14" s="5"/>
      <c r="C14" s="4"/>
      <c r="D14" s="5"/>
      <c r="E14" s="5"/>
      <c r="F14" s="5"/>
      <c r="G14" s="4"/>
      <c r="J14" s="17"/>
      <c r="K14" s="6"/>
      <c r="M14" s="7" t="s">
        <v>9</v>
      </c>
    </row>
    <row r="15" spans="1:14" x14ac:dyDescent="0.25">
      <c r="F15" s="12"/>
    </row>
    <row r="21" spans="16:38" x14ac:dyDescent="0.25">
      <c r="AI21" s="6" t="s">
        <v>20</v>
      </c>
      <c r="AJ21" s="25">
        <f>B10/B9*100</f>
        <v>43.180953186450708</v>
      </c>
    </row>
    <row r="22" spans="16:38" x14ac:dyDescent="0.25">
      <c r="AI22" s="6" t="s">
        <v>22</v>
      </c>
      <c r="AJ22" s="25">
        <f>B11/B9*100</f>
        <v>52.01928363005878</v>
      </c>
    </row>
    <row r="23" spans="16:38" x14ac:dyDescent="0.25">
      <c r="AI23" s="6" t="s">
        <v>24</v>
      </c>
      <c r="AJ23" s="25">
        <f>B12/B9*100</f>
        <v>2.2793589038778701</v>
      </c>
      <c r="AL23" s="25"/>
    </row>
    <row r="24" spans="16:38" x14ac:dyDescent="0.25">
      <c r="AI24" s="22" t="s">
        <v>26</v>
      </c>
      <c r="AJ24" s="25">
        <f>B13/B9*100</f>
        <v>2.5204042796126358</v>
      </c>
    </row>
    <row r="29" spans="16:38" ht="19.899999999999999" customHeight="1" x14ac:dyDescent="0.25"/>
    <row r="30" spans="16:38" ht="19.899999999999999" customHeight="1" x14ac:dyDescent="0.25"/>
    <row r="31" spans="16:38" ht="19.899999999999999" customHeight="1" x14ac:dyDescent="0.25">
      <c r="P31" s="44"/>
      <c r="Q31" s="44"/>
      <c r="R31" s="44"/>
      <c r="S31" s="44"/>
      <c r="T31" s="44"/>
      <c r="U31" s="44"/>
      <c r="V31" s="44"/>
      <c r="W31" s="44"/>
      <c r="X31" s="44"/>
      <c r="Y31" s="44"/>
      <c r="Z31" s="44"/>
      <c r="AA31" s="44"/>
      <c r="AB31" s="44"/>
      <c r="AC31" s="44"/>
      <c r="AD31" s="44"/>
      <c r="AE31" s="44"/>
      <c r="AF31" s="44"/>
      <c r="AG31" s="44"/>
    </row>
    <row r="32" spans="16:38" ht="19.899999999999999" customHeight="1" x14ac:dyDescent="0.25">
      <c r="P32" s="44"/>
      <c r="Q32" s="44"/>
      <c r="R32" s="44"/>
      <c r="S32" s="44"/>
      <c r="T32" s="44"/>
      <c r="U32" s="44"/>
      <c r="V32" s="44"/>
      <c r="W32" s="44"/>
      <c r="X32" s="44"/>
      <c r="Y32" s="44"/>
      <c r="Z32" s="44"/>
      <c r="AA32" s="44"/>
      <c r="AB32" s="44"/>
      <c r="AC32" s="44"/>
      <c r="AD32" s="44"/>
      <c r="AE32" s="44"/>
      <c r="AF32" s="44"/>
      <c r="AG32" s="44"/>
    </row>
    <row r="33" spans="7:33" ht="19.899999999999999" customHeight="1" x14ac:dyDescent="0.25">
      <c r="P33" s="44"/>
      <c r="Q33" s="44"/>
      <c r="R33" s="44"/>
      <c r="S33" s="44"/>
      <c r="T33" s="44"/>
      <c r="U33" s="44"/>
      <c r="V33" s="44"/>
      <c r="W33" s="44"/>
      <c r="X33" s="44"/>
      <c r="Y33" s="44"/>
      <c r="Z33" s="44"/>
      <c r="AA33" s="44"/>
      <c r="AB33" s="44"/>
      <c r="AC33" s="44"/>
      <c r="AD33" s="44"/>
      <c r="AE33" s="44"/>
      <c r="AF33" s="44"/>
      <c r="AG33" s="44"/>
    </row>
    <row r="34" spans="7:33" ht="19.899999999999999" customHeight="1" x14ac:dyDescent="0.25">
      <c r="P34" s="44"/>
      <c r="Q34" s="44"/>
      <c r="R34" s="44"/>
      <c r="S34" s="44"/>
      <c r="T34" s="44"/>
      <c r="U34" s="44"/>
      <c r="V34" s="44"/>
      <c r="W34" s="44"/>
      <c r="X34" s="44"/>
      <c r="Y34" s="44"/>
      <c r="Z34" s="44"/>
      <c r="AA34" s="44"/>
      <c r="AB34" s="44"/>
      <c r="AC34" s="44"/>
      <c r="AD34" s="44"/>
      <c r="AE34" s="44"/>
      <c r="AF34" s="44"/>
      <c r="AG34" s="44"/>
    </row>
    <row r="48" spans="7:33" x14ac:dyDescent="0.25">
      <c r="G48" s="48"/>
    </row>
  </sheetData>
  <mergeCells count="9">
    <mergeCell ref="A2:M2"/>
    <mergeCell ref="A3:M3"/>
    <mergeCell ref="B5:D5"/>
    <mergeCell ref="F5:H5"/>
    <mergeCell ref="J5:L5"/>
    <mergeCell ref="M5:M8"/>
    <mergeCell ref="B6:D6"/>
    <mergeCell ref="F6:H6"/>
    <mergeCell ref="J6:L6"/>
  </mergeCells>
  <pageMargins left="0.7" right="0.7" top="0.75" bottom="0.75" header="0.3" footer="0.3"/>
  <pageSetup scale="63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5.5</vt:lpstr>
      <vt:lpstr>'5.5'!Print_Area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2019-06-27T03:35:31Z</cp:lastPrinted>
  <dcterms:created xsi:type="dcterms:W3CDTF">2019-06-03T04:17:39Z</dcterms:created>
  <dcterms:modified xsi:type="dcterms:W3CDTF">2019-08-04T03:18:09Z</dcterms:modified>
</cp:coreProperties>
</file>