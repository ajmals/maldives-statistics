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5.EMPLOYMENT\"/>
    </mc:Choice>
  </mc:AlternateContent>
  <bookViews>
    <workbookView xWindow="0" yWindow="0" windowWidth="28800" windowHeight="12330" tabRatio="692"/>
  </bookViews>
  <sheets>
    <sheet name="5.10" sheetId="11" r:id="rId1"/>
  </sheets>
  <externalReferences>
    <externalReference r:id="rId2"/>
  </externalReferences>
  <definedNames>
    <definedName name="_xlnm.Print_Area" localSheetId="0">'5.10'!$A$1:$F$110</definedName>
    <definedName name="_xlnm.Print_Titles" localSheetId="0">'5.10'!$5:$5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1" l="1"/>
  <c r="B74" i="11"/>
  <c r="D70" i="11"/>
  <c r="C70" i="11"/>
  <c r="B69" i="11"/>
  <c r="D58" i="11"/>
  <c r="C58" i="11"/>
  <c r="B57" i="11"/>
  <c r="D46" i="11"/>
  <c r="C46" i="11"/>
  <c r="B45" i="11"/>
  <c r="D31" i="11"/>
  <c r="B30" i="11"/>
  <c r="D19" i="11"/>
  <c r="C19" i="11"/>
  <c r="B18" i="11"/>
  <c r="D7" i="11"/>
  <c r="B73" i="11"/>
  <c r="B72" i="11"/>
  <c r="B71" i="11"/>
  <c r="B68" i="11"/>
  <c r="B67" i="11"/>
  <c r="B66" i="11"/>
  <c r="B65" i="11"/>
  <c r="B64" i="11"/>
  <c r="B63" i="11"/>
  <c r="B62" i="11"/>
  <c r="B61" i="11"/>
  <c r="B60" i="11"/>
  <c r="B59" i="11"/>
  <c r="B56" i="11"/>
  <c r="B55" i="11"/>
  <c r="B54" i="11"/>
  <c r="B53" i="11"/>
  <c r="B52" i="11"/>
  <c r="B51" i="11"/>
  <c r="B50" i="11"/>
  <c r="B49" i="11"/>
  <c r="B48" i="11"/>
  <c r="B47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C31" i="11"/>
  <c r="B29" i="11"/>
  <c r="B28" i="11"/>
  <c r="B27" i="11"/>
  <c r="B26" i="11"/>
  <c r="B25" i="11"/>
  <c r="B24" i="11"/>
  <c r="B23" i="11"/>
  <c r="B22" i="11"/>
  <c r="B21" i="11"/>
  <c r="B20" i="11"/>
  <c r="B17" i="11"/>
  <c r="B16" i="11"/>
  <c r="B15" i="11"/>
  <c r="B14" i="11"/>
  <c r="B13" i="11"/>
  <c r="B12" i="11"/>
  <c r="B11" i="11"/>
  <c r="B10" i="11"/>
  <c r="B9" i="11"/>
  <c r="B8" i="11"/>
  <c r="B58" i="11" l="1"/>
  <c r="B70" i="11"/>
  <c r="B31" i="11"/>
  <c r="B19" i="11"/>
  <c r="B46" i="11"/>
  <c r="C7" i="11"/>
  <c r="B7" i="11" l="1"/>
  <c r="C6" i="11"/>
  <c r="B6" i="11" s="1"/>
  <c r="E57" i="11" s="1"/>
  <c r="E73" i="11"/>
  <c r="E52" i="11"/>
  <c r="E15" i="11"/>
  <c r="E48" i="11"/>
  <c r="E62" i="11"/>
  <c r="E20" i="11"/>
  <c r="E45" i="11"/>
  <c r="E18" i="11"/>
  <c r="E56" i="11"/>
  <c r="E41" i="11"/>
  <c r="E70" i="11"/>
  <c r="E40" i="11"/>
  <c r="E54" i="11"/>
  <c r="E49" i="11"/>
  <c r="E58" i="11"/>
  <c r="E71" i="11"/>
  <c r="E53" i="11"/>
  <c r="E36" i="11"/>
  <c r="E66" i="11"/>
  <c r="E32" i="11"/>
  <c r="E17" i="11"/>
  <c r="E33" i="11"/>
  <c r="E13" i="11"/>
  <c r="E60" i="11"/>
  <c r="E28" i="11"/>
  <c r="E44" i="11"/>
  <c r="E46" i="11"/>
  <c r="E63" i="11"/>
  <c r="E37" i="11"/>
  <c r="E51" i="11"/>
  <c r="E19" i="11"/>
  <c r="E14" i="11"/>
  <c r="E12" i="11"/>
  <c r="E26" i="11"/>
  <c r="E69" i="11"/>
  <c r="E47" i="11"/>
  <c r="E6" i="11"/>
  <c r="E23" i="11"/>
  <c r="E9" i="11"/>
  <c r="E59" i="11"/>
  <c r="E72" i="11"/>
  <c r="E43" i="11"/>
  <c r="E30" i="11"/>
  <c r="E55" i="11"/>
  <c r="E29" i="11"/>
  <c r="E25" i="11"/>
  <c r="E34" i="11"/>
  <c r="E74" i="11"/>
  <c r="E22" i="11"/>
  <c r="E42" i="11"/>
  <c r="E61" i="11"/>
  <c r="E67" i="11"/>
  <c r="E65" i="11"/>
  <c r="E31" i="11"/>
  <c r="E11" i="11"/>
  <c r="E7" i="11"/>
  <c r="E68" i="11"/>
  <c r="E35" i="11"/>
  <c r="E64" i="11"/>
  <c r="E39" i="11"/>
  <c r="E21" i="11"/>
  <c r="E27" i="11"/>
  <c r="E16" i="11"/>
  <c r="E50" i="11" l="1"/>
  <c r="E24" i="11"/>
  <c r="E38" i="11"/>
  <c r="E10" i="11"/>
  <c r="E8" i="11"/>
</calcChain>
</file>

<file path=xl/sharedStrings.xml><?xml version="1.0" encoding="utf-8"?>
<sst xmlns="http://schemas.openxmlformats.org/spreadsheetml/2006/main" count="90" uniqueCount="75">
  <si>
    <t>Male</t>
  </si>
  <si>
    <t>Count of Nationality</t>
  </si>
  <si>
    <t xml:space="preserve">Total </t>
  </si>
  <si>
    <t xml:space="preserve">Female </t>
  </si>
  <si>
    <t>% share</t>
  </si>
  <si>
    <t>Grand Total</t>
  </si>
  <si>
    <t>AFRICA</t>
  </si>
  <si>
    <t>Mauritius</t>
  </si>
  <si>
    <t>South Africa</t>
  </si>
  <si>
    <t>Morocco</t>
  </si>
  <si>
    <t>Kenya</t>
  </si>
  <si>
    <t>Nigeria</t>
  </si>
  <si>
    <t>Tunisia</t>
  </si>
  <si>
    <t>Sudan</t>
  </si>
  <si>
    <t>Zimbabwe</t>
  </si>
  <si>
    <t>Tanzania</t>
  </si>
  <si>
    <t>Seychelles</t>
  </si>
  <si>
    <t>AMERICA</t>
  </si>
  <si>
    <t>Canada</t>
  </si>
  <si>
    <t>United States of America</t>
  </si>
  <si>
    <t>Mexico</t>
  </si>
  <si>
    <t>Brazil</t>
  </si>
  <si>
    <t>Argentina</t>
  </si>
  <si>
    <t>Colombia</t>
  </si>
  <si>
    <t>Peru</t>
  </si>
  <si>
    <t>Venezuela</t>
  </si>
  <si>
    <t>Saint Lucia</t>
  </si>
  <si>
    <t>Cuba</t>
  </si>
  <si>
    <t>ASIA</t>
  </si>
  <si>
    <t>Bangladesh</t>
  </si>
  <si>
    <t>India</t>
  </si>
  <si>
    <t>Sri Lanka</t>
  </si>
  <si>
    <t>China</t>
  </si>
  <si>
    <t>Nepal</t>
  </si>
  <si>
    <t>Philippines</t>
  </si>
  <si>
    <t>Indonesia</t>
  </si>
  <si>
    <t>Thailand</t>
  </si>
  <si>
    <t>Malaysia</t>
  </si>
  <si>
    <t>Pakistan</t>
  </si>
  <si>
    <t>Myanmar</t>
  </si>
  <si>
    <t>Russia</t>
  </si>
  <si>
    <t>Japan</t>
  </si>
  <si>
    <t>EUROPE</t>
  </si>
  <si>
    <t>Italy</t>
  </si>
  <si>
    <t>Germany</t>
  </si>
  <si>
    <t>United Kingdom</t>
  </si>
  <si>
    <t>France</t>
  </si>
  <si>
    <t>Ukraine</t>
  </si>
  <si>
    <t>Spain</t>
  </si>
  <si>
    <t>Switzerland</t>
  </si>
  <si>
    <t>Netherlands</t>
  </si>
  <si>
    <t>Czech Republic</t>
  </si>
  <si>
    <t>Austria</t>
  </si>
  <si>
    <t>MIDDLE EAST</t>
  </si>
  <si>
    <t>Egypt</t>
  </si>
  <si>
    <t>Turkey</t>
  </si>
  <si>
    <t>Saudi Arabia</t>
  </si>
  <si>
    <t>Syria</t>
  </si>
  <si>
    <t>Jordan</t>
  </si>
  <si>
    <t>Lebanon</t>
  </si>
  <si>
    <t>Yemen</t>
  </si>
  <si>
    <t>Iran</t>
  </si>
  <si>
    <t>Iraq</t>
  </si>
  <si>
    <t>Palestine</t>
  </si>
  <si>
    <t>OCEANIA</t>
  </si>
  <si>
    <t>Australia</t>
  </si>
  <si>
    <t>New Zealand</t>
  </si>
  <si>
    <t>Greece</t>
  </si>
  <si>
    <t>Data provided by: National Centre for Information Technology</t>
  </si>
  <si>
    <t>Others</t>
  </si>
  <si>
    <t>Table 5.10: Expatriate Employment by  Nationality and Sex, 2018</t>
  </si>
  <si>
    <t xml:space="preserve">ތާވަލު 5.10: ރާއްޖޭގައި މަސައްކަތްކުރާ ބިދޭސީ މަސައްކަތްތެރިންގެ ޤައުމިއްޔަތާއި ޖިންސް، 2018 </t>
  </si>
  <si>
    <t>މަޢުލޫމާތު ފޯރުކޯށްދެއްވީ: ނޭޝަނަލް ސެންޓަރ ފޮރ އިންފޮމޭޝަން ޓެކްނޮލޮޖީ</t>
  </si>
  <si>
    <t>ނޯޓް: ނޭޝަނަލް ބިއުރޯ އޮފް ސްޓެޓިސްޓިކްސް (އެން.ބީ.އެސް) ގެ އަންދާޒާ</t>
  </si>
  <si>
    <t>Note: Estimates of  National Bureau of Statistics (NBS).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</si>
</sst>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7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9"/>
      <name val="Faruma"/>
    </font>
    <font>
      <b/>
      <sz val="12"/>
      <color theme="1"/>
      <name val="Calibri"/>
      <family val="2"/>
      <scheme val="minor"/>
    </font>
    <font>
      <sz val="10"/>
      <name val="MS Sans Serif"/>
      <family val="2"/>
    </font>
    <font>
      <i/>
      <sz val="9"/>
      <color theme="1"/>
      <name val="Calibri"/>
      <family val="2"/>
      <scheme val="minor"/>
    </font>
    <font>
      <b/>
      <sz val="12"/>
      <name val="Faruma"/>
    </font>
    <font>
      <b/>
      <sz val="12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0" fontId="2" fillId="0" borderId="0"/>
    <xf numFmtId="0" fontId="6" fillId="0" borderId="0"/>
  </cellStyleXfs>
  <cellXfs count="24">
    <xf numFmtId="0" fontId="0" fillId="0" borderId="0" xfId="0"/>
    <xf numFmtId="0" fontId="0" fillId="2" borderId="0" xfId="0" applyFill="1"/>
    <xf numFmtId="3" fontId="0" fillId="2" borderId="0" xfId="0" applyNumberFormat="1" applyFont="1" applyFill="1"/>
    <xf numFmtId="3" fontId="1" fillId="2" borderId="0" xfId="0" applyNumberFormat="1" applyFont="1" applyFill="1"/>
    <xf numFmtId="3" fontId="4" fillId="2" borderId="0" xfId="2" applyNumberFormat="1" applyFont="1" applyFill="1" applyBorder="1" applyAlignment="1" applyProtection="1">
      <alignment horizontal="right" vertical="center"/>
    </xf>
    <xf numFmtId="3" fontId="0" fillId="2" borderId="0" xfId="0" applyNumberFormat="1" applyFill="1"/>
    <xf numFmtId="0" fontId="1" fillId="2" borderId="0" xfId="0" applyFont="1" applyFill="1"/>
    <xf numFmtId="0" fontId="1" fillId="2" borderId="2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3" fontId="1" fillId="2" borderId="0" xfId="0" applyNumberFormat="1" applyFont="1" applyFill="1" applyAlignment="1">
      <alignment vertical="center"/>
    </xf>
    <xf numFmtId="167" fontId="1" fillId="2" borderId="0" xfId="0" applyNumberFormat="1" applyFont="1" applyFill="1" applyAlignment="1">
      <alignment horizontal="right" vertical="center" indent="4"/>
    </xf>
    <xf numFmtId="0" fontId="0" fillId="2" borderId="0" xfId="0" applyFont="1" applyFill="1" applyAlignment="1">
      <alignment horizontal="left" vertical="center" indent="2"/>
    </xf>
    <xf numFmtId="167" fontId="0" fillId="2" borderId="0" xfId="0" applyNumberFormat="1" applyFont="1" applyFill="1" applyAlignment="1">
      <alignment horizontal="right" vertical="center" indent="4"/>
    </xf>
    <xf numFmtId="0" fontId="0" fillId="2" borderId="1" xfId="0" applyFont="1" applyFill="1" applyBorder="1" applyAlignment="1">
      <alignment horizontal="left" vertical="center" indent="2"/>
    </xf>
    <xf numFmtId="3" fontId="1" fillId="2" borderId="1" xfId="0" applyNumberFormat="1" applyFont="1" applyFill="1" applyBorder="1" applyAlignment="1">
      <alignment vertical="center"/>
    </xf>
    <xf numFmtId="3" fontId="0" fillId="2" borderId="1" xfId="0" applyNumberFormat="1" applyFont="1" applyFill="1" applyBorder="1"/>
    <xf numFmtId="167" fontId="0" fillId="2" borderId="1" xfId="0" applyNumberFormat="1" applyFont="1" applyFill="1" applyBorder="1" applyAlignment="1">
      <alignment horizontal="right" vertical="center" indent="4"/>
    </xf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164" fontId="9" fillId="2" borderId="0" xfId="1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164" fontId="8" fillId="2" borderId="0" xfId="1" applyNumberFormat="1" applyFont="1" applyFill="1" applyAlignment="1">
      <alignment horizontal="center" vertical="center"/>
    </xf>
  </cellXfs>
  <cellStyles count="5">
    <cellStyle name="Normal" xfId="0" builtinId="0"/>
    <cellStyle name="Normal 2" xfId="3"/>
    <cellStyle name="Normal 4" xfId="4"/>
    <cellStyle name="Normal_II-16(Populaion)" xfId="2"/>
    <cellStyle name="Normal_Population - II 2" xfId="1"/>
  </cellStyles>
  <dxfs count="0"/>
  <tableStyles count="0" defaultTableStyle="TableStyleMedium2" defaultPivotStyle="PivotStyleLight16"/>
  <colors>
    <mruColors>
      <color rgb="FFFFFAEB"/>
      <color rgb="FFFFF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</a:t>
            </a:r>
            <a:r>
              <a:rPr lang="en-US" sz="1200" b="1" baseline="0"/>
              <a:t> 5.12: </a:t>
            </a:r>
            <a:r>
              <a:rPr lang="en-US" sz="1200" b="1"/>
              <a:t>Expatriate</a:t>
            </a:r>
            <a:r>
              <a:rPr lang="en-US" sz="1200" b="1" baseline="0"/>
              <a:t> emplyment by nationality, 2018</a:t>
            </a:r>
            <a:endParaRPr lang="en-US" sz="1200" b="1"/>
          </a:p>
        </c:rich>
      </c:tx>
      <c:layout>
        <c:manualLayout>
          <c:xMode val="edge"/>
          <c:yMode val="edge"/>
          <c:x val="0.18252972340151716"/>
          <c:y val="3.65853658536585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573097768253884E-2"/>
          <c:y val="0.15077235772357725"/>
          <c:w val="0.86463076532032757"/>
          <c:h val="0.75949843159848918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'5.10'!$R$102:$R$110</c:f>
              <c:strCache>
                <c:ptCount val="9"/>
                <c:pt idx="0">
                  <c:v>Bangladesh</c:v>
                </c:pt>
                <c:pt idx="1">
                  <c:v>India</c:v>
                </c:pt>
                <c:pt idx="2">
                  <c:v>Sri Lanka</c:v>
                </c:pt>
                <c:pt idx="3">
                  <c:v>China</c:v>
                </c:pt>
                <c:pt idx="4">
                  <c:v>Nepal</c:v>
                </c:pt>
                <c:pt idx="5">
                  <c:v>Philippines</c:v>
                </c:pt>
                <c:pt idx="6">
                  <c:v>Indonesia</c:v>
                </c:pt>
                <c:pt idx="7">
                  <c:v>Thailand</c:v>
                </c:pt>
                <c:pt idx="8">
                  <c:v>Others</c:v>
                </c:pt>
              </c:strCache>
            </c:strRef>
          </c:cat>
          <c:val>
            <c:numRef>
              <c:f>'5.10'!$S$102:$S$110</c:f>
              <c:numCache>
                <c:formatCode>#,##0</c:formatCode>
                <c:ptCount val="9"/>
                <c:pt idx="0">
                  <c:v>60692</c:v>
                </c:pt>
                <c:pt idx="1">
                  <c:v>20385</c:v>
                </c:pt>
                <c:pt idx="2">
                  <c:v>13110</c:v>
                </c:pt>
                <c:pt idx="3">
                  <c:v>4849</c:v>
                </c:pt>
                <c:pt idx="4">
                  <c:v>4800</c:v>
                </c:pt>
                <c:pt idx="5">
                  <c:v>2459</c:v>
                </c:pt>
                <c:pt idx="6">
                  <c:v>2336</c:v>
                </c:pt>
                <c:pt idx="7">
                  <c:v>724</c:v>
                </c:pt>
                <c:pt idx="8">
                  <c:v>5626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0C-4461-A7BE-F122DE54B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1"/>
        <c:overlap val="-27"/>
        <c:axId val="304673055"/>
        <c:axId val="304664735"/>
      </c:barChart>
      <c:catAx>
        <c:axId val="30467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64735"/>
        <c:crosses val="autoZero"/>
        <c:auto val="1"/>
        <c:lblAlgn val="ctr"/>
        <c:lblOffset val="100"/>
        <c:noMultiLvlLbl val="0"/>
      </c:catAx>
      <c:valAx>
        <c:axId val="304664735"/>
        <c:scaling>
          <c:orientation val="minMax"/>
          <c:max val="65000"/>
          <c:min val="0"/>
        </c:scaling>
        <c:delete val="0"/>
        <c:axPos val="l"/>
        <c:majorGridlines>
          <c:spPr>
            <a:ln w="0" cap="flat" cmpd="sng" algn="ctr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73055"/>
        <c:crosses val="autoZero"/>
        <c:crossBetween val="between"/>
        <c:majorUnit val="8000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5.13: Expatriate emplyment by sex, 2018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21166088880528158"/>
          <c:y val="2.59740259740259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999641683014881"/>
          <c:y val="0.12300814670893413"/>
          <c:w val="0.4437942185554451"/>
          <c:h val="0.84436172751133376"/>
        </c:manualLayout>
      </c:layout>
      <c:pieChart>
        <c:varyColors val="1"/>
        <c:ser>
          <c:idx val="0"/>
          <c:order val="0"/>
          <c:spPr>
            <a:solidFill>
              <a:schemeClr val="accent4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B9E-4EE4-A622-785584E4D6BC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9E-4EE4-A622-785584E4D6BC}"/>
              </c:ext>
            </c:extLst>
          </c:dPt>
          <c:dLbls>
            <c:dLbl>
              <c:idx val="0"/>
              <c:layout>
                <c:manualLayout>
                  <c:x val="-0.10221609798775148"/>
                  <c:y val="-0.2408796296296296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B9E-4EE4-A622-785584E4D6BC}"/>
                </c:ext>
              </c:extLst>
            </c:dLbl>
            <c:dLbl>
              <c:idx val="1"/>
              <c:layout>
                <c:manualLayout>
                  <c:x val="4.9257925523814645E-2"/>
                  <c:y val="0.1851573098817193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B9E-4EE4-A622-785584E4D6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'5.10'!$C$5:$D$5</c:f>
              <c:strCache>
                <c:ptCount val="2"/>
                <c:pt idx="0">
                  <c:v>Male</c:v>
                </c:pt>
                <c:pt idx="1">
                  <c:v>Female </c:v>
                </c:pt>
              </c:strCache>
            </c:strRef>
          </c:cat>
          <c:val>
            <c:numRef>
              <c:f>'5.10'!$C$6:$D$6</c:f>
              <c:numCache>
                <c:formatCode>#,##0</c:formatCode>
                <c:ptCount val="2"/>
                <c:pt idx="0">
                  <c:v>104753</c:v>
                </c:pt>
                <c:pt idx="1">
                  <c:v>10228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E-4EE4-A622-785584E4D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76</xdr:row>
      <xdr:rowOff>123825</xdr:rowOff>
    </xdr:from>
    <xdr:to>
      <xdr:col>4</xdr:col>
      <xdr:colOff>1104901</xdr:colOff>
      <xdr:row>93</xdr:row>
      <xdr:rowOff>9525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238125</xdr:colOff>
      <xdr:row>94</xdr:row>
      <xdr:rowOff>19050</xdr:rowOff>
    </xdr:from>
    <xdr:to>
      <xdr:col>4</xdr:col>
      <xdr:colOff>1095375</xdr:colOff>
      <xdr:row>109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5.%20EMPLOY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5.4"/>
      <sheetName val="5.5"/>
      <sheetName val="5.6"/>
      <sheetName val="5.7"/>
      <sheetName val="5.8"/>
    </sheetNames>
    <sheetDataSet>
      <sheetData sheetId="0"/>
      <sheetData sheetId="1"/>
      <sheetData sheetId="2">
        <row r="45">
          <cell r="Q45" t="str">
            <v>Male</v>
          </cell>
          <cell r="R45" t="str">
            <v>Female</v>
          </cell>
        </row>
        <row r="46">
          <cell r="P46" t="str">
            <v>HA</v>
          </cell>
          <cell r="Q46">
            <v>352</v>
          </cell>
          <cell r="R46">
            <v>565</v>
          </cell>
        </row>
        <row r="47">
          <cell r="P47" t="str">
            <v>HDh</v>
          </cell>
          <cell r="Q47">
            <v>456</v>
          </cell>
          <cell r="R47">
            <v>829</v>
          </cell>
        </row>
        <row r="48">
          <cell r="P48" t="str">
            <v>Sh</v>
          </cell>
          <cell r="Q48">
            <v>431</v>
          </cell>
          <cell r="R48">
            <v>476</v>
          </cell>
        </row>
        <row r="49">
          <cell r="P49" t="str">
            <v>N</v>
          </cell>
          <cell r="Q49">
            <v>317</v>
          </cell>
          <cell r="R49">
            <v>467</v>
          </cell>
        </row>
        <row r="50">
          <cell r="P50" t="str">
            <v>R</v>
          </cell>
          <cell r="Q50">
            <v>486</v>
          </cell>
          <cell r="R50">
            <v>697</v>
          </cell>
        </row>
        <row r="51">
          <cell r="P51" t="str">
            <v>B</v>
          </cell>
          <cell r="Q51">
            <v>268</v>
          </cell>
          <cell r="R51">
            <v>504</v>
          </cell>
        </row>
        <row r="52">
          <cell r="P52" t="str">
            <v>Lh</v>
          </cell>
          <cell r="Q52">
            <v>158</v>
          </cell>
          <cell r="R52">
            <v>298</v>
          </cell>
        </row>
        <row r="53">
          <cell r="P53" t="str">
            <v>K</v>
          </cell>
          <cell r="Q53">
            <v>354</v>
          </cell>
          <cell r="R53">
            <v>741</v>
          </cell>
        </row>
        <row r="54">
          <cell r="P54" t="str">
            <v>AA</v>
          </cell>
          <cell r="Q54">
            <v>182</v>
          </cell>
          <cell r="R54">
            <v>292</v>
          </cell>
        </row>
        <row r="55">
          <cell r="P55" t="str">
            <v>ADh</v>
          </cell>
          <cell r="Q55">
            <v>168</v>
          </cell>
          <cell r="R55">
            <v>417</v>
          </cell>
        </row>
        <row r="56">
          <cell r="P56" t="str">
            <v>V</v>
          </cell>
          <cell r="Q56">
            <v>69</v>
          </cell>
          <cell r="R56">
            <v>118</v>
          </cell>
        </row>
        <row r="57">
          <cell r="P57" t="str">
            <v>M</v>
          </cell>
          <cell r="Q57">
            <v>195</v>
          </cell>
          <cell r="R57">
            <v>270</v>
          </cell>
        </row>
        <row r="58">
          <cell r="P58" t="str">
            <v>F</v>
          </cell>
          <cell r="Q58">
            <v>176</v>
          </cell>
          <cell r="R58">
            <v>276</v>
          </cell>
        </row>
        <row r="59">
          <cell r="P59" t="str">
            <v>Dh</v>
          </cell>
          <cell r="Q59">
            <v>167</v>
          </cell>
          <cell r="R59">
            <v>325</v>
          </cell>
        </row>
        <row r="60">
          <cell r="P60" t="str">
            <v>Th</v>
          </cell>
          <cell r="Q60">
            <v>356</v>
          </cell>
          <cell r="R60">
            <v>507</v>
          </cell>
        </row>
        <row r="61">
          <cell r="P61" t="str">
            <v>L</v>
          </cell>
          <cell r="Q61">
            <v>329</v>
          </cell>
          <cell r="R61">
            <v>545</v>
          </cell>
        </row>
        <row r="62">
          <cell r="P62" t="str">
            <v>GA</v>
          </cell>
          <cell r="Q62">
            <v>180</v>
          </cell>
          <cell r="R62">
            <v>453</v>
          </cell>
        </row>
        <row r="63">
          <cell r="P63" t="str">
            <v>GDh</v>
          </cell>
          <cell r="Q63">
            <v>271</v>
          </cell>
          <cell r="R63">
            <v>523</v>
          </cell>
        </row>
        <row r="64">
          <cell r="P64" t="str">
            <v>Gn</v>
          </cell>
          <cell r="Q64">
            <v>182</v>
          </cell>
          <cell r="R64">
            <v>372</v>
          </cell>
        </row>
        <row r="65">
          <cell r="P65" t="str">
            <v>S</v>
          </cell>
          <cell r="Q65">
            <v>234</v>
          </cell>
          <cell r="R65">
            <v>808</v>
          </cell>
        </row>
      </sheetData>
      <sheetData sheetId="3"/>
      <sheetData sheetId="4"/>
      <sheetData sheetId="5"/>
      <sheetData sheetId="6">
        <row r="7">
          <cell r="C7" t="str">
            <v>Male</v>
          </cell>
        </row>
      </sheetData>
      <sheetData sheetId="7">
        <row r="37">
          <cell r="X37" t="str">
            <v>Schools</v>
          </cell>
          <cell r="Y37" t="str">
            <v>Hospitals</v>
          </cell>
          <cell r="Z37" t="str">
            <v>City / Atoll Councils</v>
          </cell>
          <cell r="AA37" t="str">
            <v>Island Councils</v>
          </cell>
          <cell r="AB37" t="str">
            <v>Government Ministries</v>
          </cell>
          <cell r="AC37" t="str">
            <v>other offices</v>
          </cell>
        </row>
        <row r="38">
          <cell r="V38" t="str">
            <v>MALE'</v>
          </cell>
          <cell r="X38">
            <v>1602</v>
          </cell>
          <cell r="Y38">
            <v>1775</v>
          </cell>
          <cell r="Z38">
            <v>314</v>
          </cell>
          <cell r="AA38">
            <v>0</v>
          </cell>
          <cell r="AB38">
            <v>2977</v>
          </cell>
          <cell r="AC38">
            <v>2166</v>
          </cell>
        </row>
        <row r="39">
          <cell r="V39" t="str">
            <v xml:space="preserve"> ATOLL</v>
          </cell>
          <cell r="X39">
            <v>6679</v>
          </cell>
          <cell r="Y39">
            <v>5472</v>
          </cell>
          <cell r="Z39">
            <v>924</v>
          </cell>
          <cell r="AA39">
            <v>1602</v>
          </cell>
          <cell r="AB39">
            <v>0</v>
          </cell>
          <cell r="AC39">
            <v>136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1"/>
  <sheetViews>
    <sheetView tabSelected="1" zoomScaleNormal="100" workbookViewId="0">
      <selection activeCell="L11" sqref="L11"/>
    </sheetView>
  </sheetViews>
  <sheetFormatPr defaultColWidth="25.85546875" defaultRowHeight="15" x14ac:dyDescent="0.25"/>
  <cols>
    <col min="1" max="1" width="25.85546875" style="1"/>
    <col min="2" max="4" width="15" style="1" customWidth="1"/>
    <col min="5" max="5" width="19" style="1" customWidth="1"/>
    <col min="6" max="6" width="3" style="1" customWidth="1"/>
    <col min="7" max="14" width="25.85546875" style="1"/>
    <col min="15" max="17" width="10.28515625" style="1" customWidth="1"/>
    <col min="18" max="18" width="25.85546875" style="1"/>
    <col min="19" max="23" width="10.42578125" style="1" customWidth="1"/>
    <col min="24" max="16384" width="25.85546875" style="1"/>
  </cols>
  <sheetData>
    <row r="1" spans="1:37" ht="12" customHeight="1" x14ac:dyDescent="0.25"/>
    <row r="2" spans="1:37" ht="21.75" x14ac:dyDescent="0.25">
      <c r="A2" s="23" t="s">
        <v>71</v>
      </c>
      <c r="B2" s="23"/>
      <c r="C2" s="23"/>
      <c r="D2" s="23"/>
      <c r="E2" s="23"/>
    </row>
    <row r="3" spans="1:37" ht="15.75" x14ac:dyDescent="0.25">
      <c r="A3" s="22" t="s">
        <v>70</v>
      </c>
      <c r="B3" s="22"/>
      <c r="C3" s="22"/>
      <c r="D3" s="22"/>
      <c r="E3" s="22"/>
    </row>
    <row r="5" spans="1:37" x14ac:dyDescent="0.25">
      <c r="A5" s="7" t="s">
        <v>1</v>
      </c>
      <c r="B5" s="8" t="s">
        <v>2</v>
      </c>
      <c r="C5" s="8" t="s">
        <v>0</v>
      </c>
      <c r="D5" s="8" t="s">
        <v>3</v>
      </c>
      <c r="E5" s="9" t="s">
        <v>4</v>
      </c>
    </row>
    <row r="6" spans="1:37" s="6" customFormat="1" x14ac:dyDescent="0.25">
      <c r="A6" s="10" t="s">
        <v>5</v>
      </c>
      <c r="B6" s="11">
        <f>SUM(C6:D6)</f>
        <v>114981</v>
      </c>
      <c r="C6" s="11">
        <f>C7+C19+C31+C46+C58+C70</f>
        <v>104753</v>
      </c>
      <c r="D6" s="11">
        <f>D7+D19+D31+D46+D58+D70</f>
        <v>10228</v>
      </c>
      <c r="E6" s="12">
        <f>B6/$B$6*100</f>
        <v>100</v>
      </c>
    </row>
    <row r="7" spans="1:37" s="6" customFormat="1" x14ac:dyDescent="0.25">
      <c r="A7" s="10" t="s">
        <v>6</v>
      </c>
      <c r="B7" s="11">
        <f t="shared" ref="B7:B31" si="0">SUM(C7:D7)</f>
        <v>484</v>
      </c>
      <c r="C7" s="3">
        <f>SUM(C8:C18)</f>
        <v>312</v>
      </c>
      <c r="D7" s="3">
        <f>SUM(D8:D18)</f>
        <v>172</v>
      </c>
      <c r="E7" s="12">
        <f t="shared" ref="E7:E45" si="1">B7/$B$6*100</f>
        <v>0.42093911167932097</v>
      </c>
    </row>
    <row r="8" spans="1:37" x14ac:dyDescent="0.25">
      <c r="A8" s="13" t="s">
        <v>7</v>
      </c>
      <c r="B8" s="11">
        <f t="shared" si="0"/>
        <v>114</v>
      </c>
      <c r="C8" s="2">
        <v>72</v>
      </c>
      <c r="D8" s="2">
        <v>42</v>
      </c>
      <c r="E8" s="14">
        <f t="shared" si="1"/>
        <v>9.9146815560831783E-2</v>
      </c>
    </row>
    <row r="9" spans="1:37" x14ac:dyDescent="0.25">
      <c r="A9" s="13" t="s">
        <v>8</v>
      </c>
      <c r="B9" s="11">
        <f t="shared" si="0"/>
        <v>86</v>
      </c>
      <c r="C9" s="2">
        <v>48</v>
      </c>
      <c r="D9" s="2">
        <v>38</v>
      </c>
      <c r="E9" s="14">
        <f t="shared" si="1"/>
        <v>7.4794966124838019E-2</v>
      </c>
    </row>
    <row r="10" spans="1:37" ht="19.5" x14ac:dyDescent="0.25">
      <c r="A10" s="13" t="s">
        <v>9</v>
      </c>
      <c r="B10" s="11">
        <f t="shared" si="0"/>
        <v>71</v>
      </c>
      <c r="C10" s="2">
        <v>43</v>
      </c>
      <c r="D10" s="2">
        <v>28</v>
      </c>
      <c r="E10" s="14">
        <f t="shared" si="1"/>
        <v>6.174933249841278E-2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</row>
    <row r="11" spans="1:37" x14ac:dyDescent="0.25">
      <c r="A11" s="13" t="s">
        <v>10</v>
      </c>
      <c r="B11" s="11">
        <f t="shared" si="0"/>
        <v>61</v>
      </c>
      <c r="C11" s="2">
        <v>36</v>
      </c>
      <c r="D11" s="2">
        <v>25</v>
      </c>
      <c r="E11" s="14">
        <f t="shared" si="1"/>
        <v>5.3052243414129285E-2</v>
      </c>
    </row>
    <row r="12" spans="1:37" x14ac:dyDescent="0.25">
      <c r="A12" s="13" t="s">
        <v>11</v>
      </c>
      <c r="B12" s="11">
        <f t="shared" si="0"/>
        <v>30</v>
      </c>
      <c r="C12" s="2">
        <v>27</v>
      </c>
      <c r="D12" s="2">
        <v>3</v>
      </c>
      <c r="E12" s="14">
        <f t="shared" si="1"/>
        <v>2.6091267252850471E-2</v>
      </c>
    </row>
    <row r="13" spans="1:37" x14ac:dyDescent="0.25">
      <c r="A13" s="13" t="s">
        <v>12</v>
      </c>
      <c r="B13" s="11">
        <f t="shared" si="0"/>
        <v>26</v>
      </c>
      <c r="C13" s="2">
        <v>13</v>
      </c>
      <c r="D13" s="2">
        <v>13</v>
      </c>
      <c r="E13" s="14">
        <f t="shared" si="1"/>
        <v>2.2612431619137074E-2</v>
      </c>
    </row>
    <row r="14" spans="1:37" x14ac:dyDescent="0.25">
      <c r="A14" s="13" t="s">
        <v>13</v>
      </c>
      <c r="B14" s="11">
        <f t="shared" si="0"/>
        <v>20</v>
      </c>
      <c r="C14" s="2">
        <v>20</v>
      </c>
      <c r="D14" s="2">
        <v>0</v>
      </c>
      <c r="E14" s="14">
        <f t="shared" si="1"/>
        <v>1.739417816856698E-2</v>
      </c>
    </row>
    <row r="15" spans="1:37" x14ac:dyDescent="0.25">
      <c r="A15" s="13" t="s">
        <v>14</v>
      </c>
      <c r="B15" s="11">
        <f t="shared" si="0"/>
        <v>14</v>
      </c>
      <c r="C15" s="2">
        <v>9</v>
      </c>
      <c r="D15" s="2">
        <v>5</v>
      </c>
      <c r="E15" s="14">
        <f t="shared" si="1"/>
        <v>1.2175924717996885E-2</v>
      </c>
    </row>
    <row r="16" spans="1:37" x14ac:dyDescent="0.25">
      <c r="A16" s="13" t="s">
        <v>15</v>
      </c>
      <c r="B16" s="11">
        <f t="shared" si="0"/>
        <v>12</v>
      </c>
      <c r="C16" s="2">
        <v>10</v>
      </c>
      <c r="D16" s="2">
        <v>2</v>
      </c>
      <c r="E16" s="14">
        <f t="shared" si="1"/>
        <v>1.0436506901140188E-2</v>
      </c>
    </row>
    <row r="17" spans="1:14" x14ac:dyDescent="0.25">
      <c r="A17" s="13" t="s">
        <v>16</v>
      </c>
      <c r="B17" s="11">
        <f t="shared" si="0"/>
        <v>11</v>
      </c>
      <c r="C17" s="2">
        <v>7</v>
      </c>
      <c r="D17" s="2">
        <v>4</v>
      </c>
      <c r="E17" s="14">
        <f t="shared" si="1"/>
        <v>9.5667979927118382E-3</v>
      </c>
    </row>
    <row r="18" spans="1:14" x14ac:dyDescent="0.25">
      <c r="A18" s="13" t="s">
        <v>69</v>
      </c>
      <c r="B18" s="11">
        <f>SUM(C18:D18)</f>
        <v>39</v>
      </c>
      <c r="C18" s="2">
        <v>27</v>
      </c>
      <c r="D18" s="2">
        <v>12</v>
      </c>
      <c r="E18" s="14">
        <f t="shared" si="1"/>
        <v>3.3918647428705616E-2</v>
      </c>
    </row>
    <row r="19" spans="1:14" s="6" customFormat="1" x14ac:dyDescent="0.25">
      <c r="A19" s="10" t="s">
        <v>17</v>
      </c>
      <c r="B19" s="11">
        <f t="shared" si="0"/>
        <v>201</v>
      </c>
      <c r="C19" s="3">
        <f>SUM(C20:C30)</f>
        <v>142</v>
      </c>
      <c r="D19" s="3">
        <f>SUM(D20:D30)</f>
        <v>59</v>
      </c>
      <c r="E19" s="12">
        <f t="shared" si="1"/>
        <v>0.17481149059409815</v>
      </c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3" t="s">
        <v>18</v>
      </c>
      <c r="B20" s="11">
        <f t="shared" ref="B20:B30" si="2">SUM(C20:D20)</f>
        <v>65</v>
      </c>
      <c r="C20" s="2">
        <v>52</v>
      </c>
      <c r="D20" s="2">
        <v>13</v>
      </c>
      <c r="E20" s="14">
        <f t="shared" si="1"/>
        <v>5.6531079047842679E-2</v>
      </c>
      <c r="G20" s="6"/>
      <c r="H20" s="6"/>
      <c r="I20" s="6"/>
      <c r="J20" s="6"/>
      <c r="K20" s="6"/>
      <c r="L20" s="6"/>
      <c r="M20" s="6"/>
      <c r="N20" s="6"/>
    </row>
    <row r="21" spans="1:14" x14ac:dyDescent="0.25">
      <c r="A21" s="13" t="s">
        <v>19</v>
      </c>
      <c r="B21" s="11">
        <f t="shared" si="2"/>
        <v>60</v>
      </c>
      <c r="C21" s="2">
        <v>38</v>
      </c>
      <c r="D21" s="2">
        <v>22</v>
      </c>
      <c r="E21" s="14">
        <f t="shared" si="1"/>
        <v>5.2182534505700942E-2</v>
      </c>
    </row>
    <row r="22" spans="1:14" x14ac:dyDescent="0.25">
      <c r="A22" s="13" t="s">
        <v>20</v>
      </c>
      <c r="B22" s="11">
        <f t="shared" si="2"/>
        <v>15</v>
      </c>
      <c r="C22" s="2">
        <v>10</v>
      </c>
      <c r="D22" s="2">
        <v>5</v>
      </c>
      <c r="E22" s="14">
        <f t="shared" si="1"/>
        <v>1.3045633626425236E-2</v>
      </c>
    </row>
    <row r="23" spans="1:14" x14ac:dyDescent="0.25">
      <c r="A23" s="13" t="s">
        <v>21</v>
      </c>
      <c r="B23" s="11">
        <f t="shared" si="2"/>
        <v>10</v>
      </c>
      <c r="C23" s="2">
        <v>6</v>
      </c>
      <c r="D23" s="2">
        <v>4</v>
      </c>
      <c r="E23" s="14">
        <f t="shared" si="1"/>
        <v>8.6970890842834898E-3</v>
      </c>
      <c r="G23" s="6"/>
      <c r="H23" s="6"/>
      <c r="I23" s="6"/>
      <c r="J23" s="6"/>
      <c r="K23" s="6"/>
      <c r="L23" s="6"/>
      <c r="M23" s="6"/>
      <c r="N23" s="6"/>
    </row>
    <row r="24" spans="1:14" x14ac:dyDescent="0.25">
      <c r="A24" s="13" t="s">
        <v>22</v>
      </c>
      <c r="B24" s="11">
        <f t="shared" si="2"/>
        <v>9</v>
      </c>
      <c r="C24" s="2">
        <v>6</v>
      </c>
      <c r="D24" s="2">
        <v>3</v>
      </c>
      <c r="E24" s="14">
        <f t="shared" si="1"/>
        <v>7.8273801758551413E-3</v>
      </c>
    </row>
    <row r="25" spans="1:14" x14ac:dyDescent="0.25">
      <c r="A25" s="13" t="s">
        <v>23</v>
      </c>
      <c r="B25" s="11">
        <f t="shared" si="2"/>
        <v>7</v>
      </c>
      <c r="C25" s="2">
        <v>5</v>
      </c>
      <c r="D25" s="2">
        <v>2</v>
      </c>
      <c r="E25" s="14">
        <f t="shared" si="1"/>
        <v>6.0879623589984427E-3</v>
      </c>
    </row>
    <row r="26" spans="1:14" x14ac:dyDescent="0.25">
      <c r="A26" s="13" t="s">
        <v>24</v>
      </c>
      <c r="B26" s="11">
        <f t="shared" si="2"/>
        <v>6</v>
      </c>
      <c r="C26" s="2">
        <v>4</v>
      </c>
      <c r="D26" s="2">
        <v>2</v>
      </c>
      <c r="E26" s="14">
        <f t="shared" si="1"/>
        <v>5.2182534505700942E-3</v>
      </c>
    </row>
    <row r="27" spans="1:14" x14ac:dyDescent="0.25">
      <c r="A27" s="13" t="s">
        <v>25</v>
      </c>
      <c r="B27" s="11">
        <f t="shared" si="2"/>
        <v>5</v>
      </c>
      <c r="C27" s="2">
        <v>4</v>
      </c>
      <c r="D27" s="2">
        <v>1</v>
      </c>
      <c r="E27" s="14">
        <f t="shared" si="1"/>
        <v>4.3485445421417449E-3</v>
      </c>
    </row>
    <row r="28" spans="1:14" x14ac:dyDescent="0.25">
      <c r="A28" s="13" t="s">
        <v>26</v>
      </c>
      <c r="B28" s="11">
        <f t="shared" si="2"/>
        <v>4</v>
      </c>
      <c r="C28" s="2">
        <v>3</v>
      </c>
      <c r="D28" s="2">
        <v>1</v>
      </c>
      <c r="E28" s="14">
        <f t="shared" si="1"/>
        <v>3.478835633713396E-3</v>
      </c>
    </row>
    <row r="29" spans="1:14" x14ac:dyDescent="0.25">
      <c r="A29" s="13" t="s">
        <v>27</v>
      </c>
      <c r="B29" s="11">
        <f t="shared" si="2"/>
        <v>3</v>
      </c>
      <c r="C29" s="2">
        <v>1</v>
      </c>
      <c r="D29" s="2">
        <v>2</v>
      </c>
      <c r="E29" s="14">
        <f t="shared" si="1"/>
        <v>2.6091267252850471E-3</v>
      </c>
    </row>
    <row r="30" spans="1:14" x14ac:dyDescent="0.25">
      <c r="A30" s="13" t="s">
        <v>69</v>
      </c>
      <c r="B30" s="11">
        <f t="shared" si="2"/>
        <v>17</v>
      </c>
      <c r="C30" s="2">
        <v>13</v>
      </c>
      <c r="D30" s="2">
        <v>4</v>
      </c>
      <c r="E30" s="14">
        <f t="shared" si="1"/>
        <v>1.4785051443281932E-2</v>
      </c>
    </row>
    <row r="31" spans="1:14" s="6" customFormat="1" x14ac:dyDescent="0.25">
      <c r="A31" s="10" t="s">
        <v>28</v>
      </c>
      <c r="B31" s="11">
        <f t="shared" si="0"/>
        <v>111096</v>
      </c>
      <c r="C31" s="3">
        <f>SUM(C32:C45)</f>
        <v>101976</v>
      </c>
      <c r="D31" s="3">
        <f>SUM(D32:D45)</f>
        <v>9120</v>
      </c>
      <c r="E31" s="12">
        <f t="shared" si="1"/>
        <v>96.621180890755866</v>
      </c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3" t="s">
        <v>29</v>
      </c>
      <c r="B32" s="11">
        <f t="shared" ref="B32:B45" si="3">SUM(C32:D32)</f>
        <v>60692</v>
      </c>
      <c r="C32" s="2">
        <v>60469</v>
      </c>
      <c r="D32" s="2">
        <v>223</v>
      </c>
      <c r="E32" s="14">
        <f t="shared" si="1"/>
        <v>52.784373070333359</v>
      </c>
    </row>
    <row r="33" spans="1:14" x14ac:dyDescent="0.25">
      <c r="A33" s="13" t="s">
        <v>30</v>
      </c>
      <c r="B33" s="11">
        <f t="shared" si="3"/>
        <v>20385</v>
      </c>
      <c r="C33" s="2">
        <v>17532</v>
      </c>
      <c r="D33" s="2">
        <v>2853</v>
      </c>
      <c r="E33" s="14">
        <f t="shared" si="1"/>
        <v>17.729016098311895</v>
      </c>
    </row>
    <row r="34" spans="1:14" x14ac:dyDescent="0.25">
      <c r="A34" s="13" t="s">
        <v>31</v>
      </c>
      <c r="B34" s="11">
        <f t="shared" si="3"/>
        <v>13110</v>
      </c>
      <c r="C34" s="2">
        <v>12221</v>
      </c>
      <c r="D34" s="2">
        <v>889</v>
      </c>
      <c r="E34" s="14">
        <f t="shared" si="1"/>
        <v>11.401883789495654</v>
      </c>
    </row>
    <row r="35" spans="1:14" x14ac:dyDescent="0.25">
      <c r="A35" s="13" t="s">
        <v>32</v>
      </c>
      <c r="B35" s="11">
        <f t="shared" si="3"/>
        <v>4849</v>
      </c>
      <c r="C35" s="2">
        <v>4371</v>
      </c>
      <c r="D35" s="2">
        <v>478</v>
      </c>
      <c r="E35" s="14">
        <f t="shared" si="1"/>
        <v>4.217218496969064</v>
      </c>
    </row>
    <row r="36" spans="1:14" x14ac:dyDescent="0.25">
      <c r="A36" s="13" t="s">
        <v>33</v>
      </c>
      <c r="B36" s="11">
        <f t="shared" si="3"/>
        <v>4800</v>
      </c>
      <c r="C36" s="2">
        <v>3520</v>
      </c>
      <c r="D36" s="2">
        <v>1280</v>
      </c>
      <c r="E36" s="14">
        <f t="shared" si="1"/>
        <v>4.1746027604560751</v>
      </c>
    </row>
    <row r="37" spans="1:14" x14ac:dyDescent="0.25">
      <c r="A37" s="13" t="s">
        <v>34</v>
      </c>
      <c r="B37" s="11">
        <f t="shared" si="3"/>
        <v>2459</v>
      </c>
      <c r="C37" s="2">
        <v>947</v>
      </c>
      <c r="D37" s="2">
        <v>1512</v>
      </c>
      <c r="E37" s="14">
        <f t="shared" si="1"/>
        <v>2.1386142058253106</v>
      </c>
    </row>
    <row r="38" spans="1:14" x14ac:dyDescent="0.25">
      <c r="A38" s="13" t="s">
        <v>35</v>
      </c>
      <c r="B38" s="11">
        <f t="shared" si="3"/>
        <v>2336</v>
      </c>
      <c r="C38" s="2">
        <v>1503</v>
      </c>
      <c r="D38" s="2">
        <v>833</v>
      </c>
      <c r="E38" s="14">
        <f t="shared" si="1"/>
        <v>2.0316400100886232</v>
      </c>
    </row>
    <row r="39" spans="1:14" x14ac:dyDescent="0.25">
      <c r="A39" s="13" t="s">
        <v>36</v>
      </c>
      <c r="B39" s="11">
        <f t="shared" si="3"/>
        <v>724</v>
      </c>
      <c r="C39" s="2">
        <v>319</v>
      </c>
      <c r="D39" s="2">
        <v>405</v>
      </c>
      <c r="E39" s="14">
        <f t="shared" si="1"/>
        <v>0.62966924970212468</v>
      </c>
    </row>
    <row r="40" spans="1:14" x14ac:dyDescent="0.25">
      <c r="A40" s="13" t="s">
        <v>37</v>
      </c>
      <c r="B40" s="11">
        <f t="shared" si="3"/>
        <v>340</v>
      </c>
      <c r="C40" s="2">
        <v>241</v>
      </c>
      <c r="D40" s="2">
        <v>99</v>
      </c>
      <c r="E40" s="14">
        <f t="shared" si="1"/>
        <v>0.2957010288656387</v>
      </c>
    </row>
    <row r="41" spans="1:14" x14ac:dyDescent="0.25">
      <c r="A41" s="13" t="s">
        <v>38</v>
      </c>
      <c r="B41" s="11">
        <f t="shared" si="3"/>
        <v>285</v>
      </c>
      <c r="C41" s="2">
        <v>256</v>
      </c>
      <c r="D41" s="2">
        <v>29</v>
      </c>
      <c r="E41" s="14">
        <f t="shared" si="1"/>
        <v>0.24786703890207948</v>
      </c>
    </row>
    <row r="42" spans="1:14" x14ac:dyDescent="0.25">
      <c r="A42" s="13" t="s">
        <v>39</v>
      </c>
      <c r="B42" s="11">
        <f t="shared" si="3"/>
        <v>271</v>
      </c>
      <c r="C42" s="2">
        <v>262</v>
      </c>
      <c r="D42" s="2">
        <v>9</v>
      </c>
      <c r="E42" s="14">
        <f t="shared" si="1"/>
        <v>0.23569111418408256</v>
      </c>
    </row>
    <row r="43" spans="1:14" x14ac:dyDescent="0.25">
      <c r="A43" s="13" t="s">
        <v>40</v>
      </c>
      <c r="B43" s="11">
        <f t="shared" si="3"/>
        <v>205</v>
      </c>
      <c r="C43" s="2">
        <v>82</v>
      </c>
      <c r="D43" s="2">
        <v>123</v>
      </c>
      <c r="E43" s="14">
        <f t="shared" si="1"/>
        <v>0.17829032622781155</v>
      </c>
    </row>
    <row r="44" spans="1:14" x14ac:dyDescent="0.25">
      <c r="A44" s="13" t="s">
        <v>41</v>
      </c>
      <c r="B44" s="11">
        <f t="shared" si="3"/>
        <v>112</v>
      </c>
      <c r="C44" s="2">
        <v>24</v>
      </c>
      <c r="D44" s="2">
        <v>88</v>
      </c>
      <c r="E44" s="14">
        <f t="shared" si="1"/>
        <v>9.7407397743975083E-2</v>
      </c>
    </row>
    <row r="45" spans="1:14" x14ac:dyDescent="0.25">
      <c r="A45" s="13" t="s">
        <v>69</v>
      </c>
      <c r="B45" s="11">
        <f t="shared" si="3"/>
        <v>528</v>
      </c>
      <c r="C45" s="2">
        <v>229</v>
      </c>
      <c r="D45" s="2">
        <v>299</v>
      </c>
      <c r="E45" s="14">
        <f t="shared" si="1"/>
        <v>0.45920630365016829</v>
      </c>
    </row>
    <row r="46" spans="1:14" s="6" customFormat="1" x14ac:dyDescent="0.25">
      <c r="A46" s="10" t="s">
        <v>42</v>
      </c>
      <c r="B46" s="11">
        <f t="shared" ref="B46:B58" si="4">SUM(C46:D46)</f>
        <v>1912</v>
      </c>
      <c r="C46" s="3">
        <f>SUM(C47:C57)</f>
        <v>1146</v>
      </c>
      <c r="D46" s="3">
        <f>SUM(D47:D57)</f>
        <v>766</v>
      </c>
      <c r="E46" s="12">
        <f t="shared" ref="E46:E65" si="5">B46/$B$6*100</f>
        <v>1.6628834329150033</v>
      </c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3" t="s">
        <v>43</v>
      </c>
      <c r="B47" s="11">
        <f t="shared" si="4"/>
        <v>448</v>
      </c>
      <c r="C47" s="2">
        <v>286</v>
      </c>
      <c r="D47" s="2">
        <v>162</v>
      </c>
      <c r="E47" s="14">
        <f t="shared" si="5"/>
        <v>0.38962959097590033</v>
      </c>
    </row>
    <row r="48" spans="1:14" x14ac:dyDescent="0.25">
      <c r="A48" s="13" t="s">
        <v>44</v>
      </c>
      <c r="B48" s="11">
        <f t="shared" si="4"/>
        <v>257</v>
      </c>
      <c r="C48" s="2">
        <v>127</v>
      </c>
      <c r="D48" s="2">
        <v>130</v>
      </c>
      <c r="E48" s="14">
        <f t="shared" si="5"/>
        <v>0.2235151894660857</v>
      </c>
    </row>
    <row r="49" spans="1:14" x14ac:dyDescent="0.25">
      <c r="A49" s="13" t="s">
        <v>45</v>
      </c>
      <c r="B49" s="11">
        <f t="shared" si="4"/>
        <v>202</v>
      </c>
      <c r="C49" s="2">
        <v>121</v>
      </c>
      <c r="D49" s="2">
        <v>81</v>
      </c>
      <c r="E49" s="14">
        <f t="shared" si="5"/>
        <v>0.1756811995025265</v>
      </c>
    </row>
    <row r="50" spans="1:14" x14ac:dyDescent="0.25">
      <c r="A50" s="13" t="s">
        <v>46</v>
      </c>
      <c r="B50" s="11">
        <f t="shared" si="4"/>
        <v>186</v>
      </c>
      <c r="C50" s="2">
        <v>120</v>
      </c>
      <c r="D50" s="2">
        <v>66</v>
      </c>
      <c r="E50" s="14">
        <f t="shared" si="5"/>
        <v>0.16176585696767293</v>
      </c>
    </row>
    <row r="51" spans="1:14" x14ac:dyDescent="0.25">
      <c r="A51" s="13" t="s">
        <v>47</v>
      </c>
      <c r="B51" s="11">
        <f t="shared" si="4"/>
        <v>150</v>
      </c>
      <c r="C51" s="2">
        <v>57</v>
      </c>
      <c r="D51" s="2">
        <v>93</v>
      </c>
      <c r="E51" s="14">
        <f t="shared" si="5"/>
        <v>0.13045633626425235</v>
      </c>
    </row>
    <row r="52" spans="1:14" x14ac:dyDescent="0.25">
      <c r="A52" s="13" t="s">
        <v>48</v>
      </c>
      <c r="B52" s="11">
        <f t="shared" si="4"/>
        <v>101</v>
      </c>
      <c r="C52" s="2">
        <v>75</v>
      </c>
      <c r="D52" s="2">
        <v>26</v>
      </c>
      <c r="E52" s="14">
        <f t="shared" si="5"/>
        <v>8.7840599751263251E-2</v>
      </c>
      <c r="G52" s="6"/>
      <c r="H52" s="6"/>
      <c r="I52" s="6"/>
      <c r="J52" s="6"/>
      <c r="K52" s="6"/>
      <c r="L52" s="6"/>
      <c r="M52" s="6"/>
      <c r="N52" s="6"/>
    </row>
    <row r="53" spans="1:14" x14ac:dyDescent="0.25">
      <c r="A53" s="13" t="s">
        <v>49</v>
      </c>
      <c r="B53" s="11">
        <f t="shared" si="4"/>
        <v>70</v>
      </c>
      <c r="C53" s="2">
        <v>45</v>
      </c>
      <c r="D53" s="2">
        <v>25</v>
      </c>
      <c r="E53" s="14">
        <f t="shared" si="5"/>
        <v>6.0879623589984437E-2</v>
      </c>
    </row>
    <row r="54" spans="1:14" x14ac:dyDescent="0.25">
      <c r="A54" s="13" t="s">
        <v>50</v>
      </c>
      <c r="B54" s="11">
        <f t="shared" si="4"/>
        <v>49</v>
      </c>
      <c r="C54" s="2">
        <v>29</v>
      </c>
      <c r="D54" s="2">
        <v>20</v>
      </c>
      <c r="E54" s="14">
        <f t="shared" si="5"/>
        <v>4.2615736512989104E-2</v>
      </c>
    </row>
    <row r="55" spans="1:14" x14ac:dyDescent="0.25">
      <c r="A55" s="13" t="s">
        <v>51</v>
      </c>
      <c r="B55" s="11">
        <f t="shared" si="4"/>
        <v>45</v>
      </c>
      <c r="C55" s="2">
        <v>32</v>
      </c>
      <c r="D55" s="2">
        <v>13</v>
      </c>
      <c r="E55" s="14">
        <f t="shared" si="5"/>
        <v>3.913690087927571E-2</v>
      </c>
    </row>
    <row r="56" spans="1:14" x14ac:dyDescent="0.25">
      <c r="A56" s="13" t="s">
        <v>52</v>
      </c>
      <c r="B56" s="11">
        <f t="shared" si="4"/>
        <v>43</v>
      </c>
      <c r="C56" s="2">
        <v>24</v>
      </c>
      <c r="D56" s="2">
        <v>19</v>
      </c>
      <c r="E56" s="14">
        <f t="shared" si="5"/>
        <v>3.739748306241901E-2</v>
      </c>
    </row>
    <row r="57" spans="1:14" x14ac:dyDescent="0.25">
      <c r="A57" s="13" t="s">
        <v>69</v>
      </c>
      <c r="B57" s="11">
        <f t="shared" si="4"/>
        <v>361</v>
      </c>
      <c r="C57" s="2">
        <v>230</v>
      </c>
      <c r="D57" s="2">
        <v>131</v>
      </c>
      <c r="E57" s="14">
        <f t="shared" si="5"/>
        <v>0.31396491594263404</v>
      </c>
    </row>
    <row r="58" spans="1:14" s="6" customFormat="1" x14ac:dyDescent="0.25">
      <c r="A58" s="10" t="s">
        <v>53</v>
      </c>
      <c r="B58" s="11">
        <f t="shared" si="4"/>
        <v>1187</v>
      </c>
      <c r="C58" s="3">
        <f>SUM(C59:C69)</f>
        <v>1104</v>
      </c>
      <c r="D58" s="3">
        <f>SUM(D59:D69)</f>
        <v>83</v>
      </c>
      <c r="E58" s="12">
        <f t="shared" si="5"/>
        <v>1.0323444743044503</v>
      </c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3" t="s">
        <v>54</v>
      </c>
      <c r="B59" s="11">
        <f t="shared" ref="B59:B69" si="6">SUM(C59:D59)</f>
        <v>639</v>
      </c>
      <c r="C59" s="2">
        <v>577</v>
      </c>
      <c r="D59" s="2">
        <v>62</v>
      </c>
      <c r="E59" s="14">
        <f t="shared" si="5"/>
        <v>0.55574399248571504</v>
      </c>
    </row>
    <row r="60" spans="1:14" x14ac:dyDescent="0.25">
      <c r="A60" s="13" t="s">
        <v>55</v>
      </c>
      <c r="B60" s="11">
        <f t="shared" si="6"/>
        <v>419</v>
      </c>
      <c r="C60" s="2">
        <v>403</v>
      </c>
      <c r="D60" s="2">
        <v>16</v>
      </c>
      <c r="E60" s="14">
        <f t="shared" si="5"/>
        <v>0.36440803263147825</v>
      </c>
    </row>
    <row r="61" spans="1:14" x14ac:dyDescent="0.25">
      <c r="A61" s="13" t="s">
        <v>56</v>
      </c>
      <c r="B61" s="11">
        <f t="shared" si="6"/>
        <v>33</v>
      </c>
      <c r="C61" s="2">
        <v>32</v>
      </c>
      <c r="D61" s="2">
        <v>1</v>
      </c>
      <c r="E61" s="14">
        <f t="shared" si="5"/>
        <v>2.8700393978135518E-2</v>
      </c>
    </row>
    <row r="62" spans="1:14" x14ac:dyDescent="0.25">
      <c r="A62" s="13" t="s">
        <v>57</v>
      </c>
      <c r="B62" s="11">
        <f t="shared" si="6"/>
        <v>30</v>
      </c>
      <c r="C62" s="2">
        <v>30</v>
      </c>
      <c r="D62" s="2">
        <v>0</v>
      </c>
      <c r="E62" s="14">
        <f t="shared" si="5"/>
        <v>2.6091267252850471E-2</v>
      </c>
    </row>
    <row r="63" spans="1:14" x14ac:dyDescent="0.25">
      <c r="A63" s="13" t="s">
        <v>58</v>
      </c>
      <c r="B63" s="11">
        <f t="shared" si="6"/>
        <v>29</v>
      </c>
      <c r="C63" s="2">
        <v>27</v>
      </c>
      <c r="D63" s="2">
        <v>2</v>
      </c>
      <c r="E63" s="14">
        <f t="shared" si="5"/>
        <v>2.5221558344422124E-2</v>
      </c>
    </row>
    <row r="64" spans="1:14" x14ac:dyDescent="0.25">
      <c r="A64" s="13" t="s">
        <v>59</v>
      </c>
      <c r="B64" s="11">
        <f t="shared" si="6"/>
        <v>15</v>
      </c>
      <c r="C64" s="2">
        <v>14</v>
      </c>
      <c r="D64" s="2">
        <v>1</v>
      </c>
      <c r="E64" s="14">
        <f t="shared" si="5"/>
        <v>1.3045633626425236E-2</v>
      </c>
    </row>
    <row r="65" spans="1:22" x14ac:dyDescent="0.25">
      <c r="A65" s="13" t="s">
        <v>60</v>
      </c>
      <c r="B65" s="11">
        <f t="shared" si="6"/>
        <v>8</v>
      </c>
      <c r="C65" s="2">
        <v>8</v>
      </c>
      <c r="D65" s="2">
        <v>0</v>
      </c>
      <c r="E65" s="14">
        <f t="shared" si="5"/>
        <v>6.957671267426792E-3</v>
      </c>
    </row>
    <row r="66" spans="1:22" x14ac:dyDescent="0.25">
      <c r="A66" s="13" t="s">
        <v>61</v>
      </c>
      <c r="B66" s="11">
        <f t="shared" si="6"/>
        <v>5</v>
      </c>
      <c r="C66" s="2">
        <v>5</v>
      </c>
      <c r="D66" s="2">
        <v>0</v>
      </c>
      <c r="E66" s="14">
        <f t="shared" ref="E66:E74" si="7">B66/$B$6*100</f>
        <v>4.3485445421417449E-3</v>
      </c>
    </row>
    <row r="67" spans="1:22" x14ac:dyDescent="0.25">
      <c r="A67" s="13" t="s">
        <v>62</v>
      </c>
      <c r="B67" s="11">
        <f t="shared" si="6"/>
        <v>3</v>
      </c>
      <c r="C67" s="2">
        <v>3</v>
      </c>
      <c r="D67" s="2">
        <v>0</v>
      </c>
      <c r="E67" s="14">
        <f t="shared" si="7"/>
        <v>2.6091267252850471E-3</v>
      </c>
    </row>
    <row r="68" spans="1:22" x14ac:dyDescent="0.25">
      <c r="A68" s="13" t="s">
        <v>63</v>
      </c>
      <c r="B68" s="11">
        <f t="shared" si="6"/>
        <v>2</v>
      </c>
      <c r="C68" s="2">
        <v>2</v>
      </c>
      <c r="D68" s="2">
        <v>0</v>
      </c>
      <c r="E68" s="14">
        <f t="shared" si="7"/>
        <v>1.739417816856698E-3</v>
      </c>
    </row>
    <row r="69" spans="1:22" x14ac:dyDescent="0.25">
      <c r="A69" s="13" t="s">
        <v>69</v>
      </c>
      <c r="B69" s="11">
        <f t="shared" si="6"/>
        <v>4</v>
      </c>
      <c r="C69" s="2">
        <v>3</v>
      </c>
      <c r="D69" s="2">
        <v>1</v>
      </c>
      <c r="E69" s="14">
        <f t="shared" si="7"/>
        <v>3.478835633713396E-3</v>
      </c>
    </row>
    <row r="70" spans="1:22" s="6" customFormat="1" x14ac:dyDescent="0.25">
      <c r="A70" s="10" t="s">
        <v>64</v>
      </c>
      <c r="B70" s="11">
        <f t="shared" ref="B70" si="8">SUM(C70:D70)</f>
        <v>101</v>
      </c>
      <c r="C70" s="3">
        <f>SUM(C71:C74)</f>
        <v>73</v>
      </c>
      <c r="D70" s="3">
        <f>SUM(D71:D74)</f>
        <v>28</v>
      </c>
      <c r="E70" s="12">
        <f t="shared" si="7"/>
        <v>8.7840599751263251E-2</v>
      </c>
      <c r="G70" s="1"/>
      <c r="H70" s="1"/>
      <c r="I70" s="1"/>
      <c r="J70" s="1"/>
      <c r="K70" s="1"/>
      <c r="L70" s="1"/>
      <c r="M70" s="1"/>
      <c r="N70" s="1"/>
    </row>
    <row r="71" spans="1:22" x14ac:dyDescent="0.25">
      <c r="A71" s="13" t="s">
        <v>65</v>
      </c>
      <c r="B71" s="11">
        <f t="shared" ref="B71:B74" si="9">SUM(C71:D71)</f>
        <v>69</v>
      </c>
      <c r="C71" s="2">
        <v>47</v>
      </c>
      <c r="D71" s="2">
        <v>22</v>
      </c>
      <c r="E71" s="14">
        <f t="shared" si="7"/>
        <v>6.000991468155608E-2</v>
      </c>
    </row>
    <row r="72" spans="1:22" x14ac:dyDescent="0.25">
      <c r="A72" s="13" t="s">
        <v>66</v>
      </c>
      <c r="B72" s="11">
        <f t="shared" si="9"/>
        <v>16</v>
      </c>
      <c r="C72" s="2">
        <v>14</v>
      </c>
      <c r="D72" s="2">
        <v>2</v>
      </c>
      <c r="E72" s="14">
        <f t="shared" si="7"/>
        <v>1.3915342534853584E-2</v>
      </c>
    </row>
    <row r="73" spans="1:22" x14ac:dyDescent="0.25">
      <c r="A73" s="13" t="s">
        <v>67</v>
      </c>
      <c r="B73" s="11">
        <f t="shared" si="9"/>
        <v>10</v>
      </c>
      <c r="C73" s="2">
        <v>8</v>
      </c>
      <c r="D73" s="2">
        <v>2</v>
      </c>
      <c r="E73" s="14">
        <f t="shared" si="7"/>
        <v>8.6970890842834898E-3</v>
      </c>
    </row>
    <row r="74" spans="1:22" x14ac:dyDescent="0.25">
      <c r="A74" s="15" t="s">
        <v>69</v>
      </c>
      <c r="B74" s="16">
        <f t="shared" si="9"/>
        <v>6</v>
      </c>
      <c r="C74" s="17">
        <v>4</v>
      </c>
      <c r="D74" s="17">
        <v>2</v>
      </c>
      <c r="E74" s="18">
        <f t="shared" si="7"/>
        <v>5.2182534505700942E-3</v>
      </c>
    </row>
    <row r="75" spans="1:22" ht="17.25" x14ac:dyDescent="0.25">
      <c r="A75" s="19" t="s">
        <v>74</v>
      </c>
      <c r="E75" s="4" t="s">
        <v>73</v>
      </c>
    </row>
    <row r="76" spans="1:22" ht="17.25" x14ac:dyDescent="0.25">
      <c r="A76" s="19" t="s">
        <v>68</v>
      </c>
      <c r="E76" s="4" t="s">
        <v>72</v>
      </c>
    </row>
    <row r="78" spans="1:22" x14ac:dyDescent="0.25">
      <c r="Q78" s="5"/>
    </row>
    <row r="79" spans="1:22" x14ac:dyDescent="0.25">
      <c r="Q79" s="5"/>
    </row>
    <row r="80" spans="1:22" x14ac:dyDescent="0.25">
      <c r="Q80" s="5"/>
      <c r="T80" s="20"/>
      <c r="U80" s="20"/>
      <c r="V80" s="20"/>
    </row>
    <row r="81" spans="17:17" x14ac:dyDescent="0.25">
      <c r="Q81" s="5"/>
    </row>
    <row r="82" spans="17:17" x14ac:dyDescent="0.25">
      <c r="Q82" s="5"/>
    </row>
    <row r="83" spans="17:17" x14ac:dyDescent="0.25">
      <c r="Q83" s="5"/>
    </row>
    <row r="84" spans="17:17" x14ac:dyDescent="0.25">
      <c r="Q84" s="5"/>
    </row>
    <row r="85" spans="17:17" x14ac:dyDescent="0.25">
      <c r="Q85" s="5"/>
    </row>
    <row r="86" spans="17:17" x14ac:dyDescent="0.25">
      <c r="Q86" s="5"/>
    </row>
    <row r="87" spans="17:17" x14ac:dyDescent="0.25">
      <c r="Q87" s="5"/>
    </row>
    <row r="88" spans="17:17" x14ac:dyDescent="0.25">
      <c r="Q88" s="5"/>
    </row>
    <row r="101" spans="18:24" x14ac:dyDescent="0.25">
      <c r="S101" s="20" t="s">
        <v>5</v>
      </c>
      <c r="T101" s="20"/>
      <c r="U101" s="20"/>
    </row>
    <row r="102" spans="18:24" x14ac:dyDescent="0.25">
      <c r="R102" s="1" t="s">
        <v>29</v>
      </c>
      <c r="S102" s="5">
        <v>60692</v>
      </c>
      <c r="T102" s="5"/>
      <c r="U102" s="5"/>
    </row>
    <row r="103" spans="18:24" x14ac:dyDescent="0.25">
      <c r="R103" s="1" t="s">
        <v>30</v>
      </c>
      <c r="S103" s="5">
        <v>20385</v>
      </c>
      <c r="T103" s="5"/>
      <c r="U103" s="5"/>
    </row>
    <row r="104" spans="18:24" x14ac:dyDescent="0.25">
      <c r="R104" s="1" t="s">
        <v>31</v>
      </c>
      <c r="S104" s="5">
        <v>13110</v>
      </c>
      <c r="T104" s="5"/>
      <c r="U104" s="5"/>
    </row>
    <row r="105" spans="18:24" x14ac:dyDescent="0.25">
      <c r="R105" s="1" t="s">
        <v>32</v>
      </c>
      <c r="S105" s="5">
        <v>4849</v>
      </c>
      <c r="T105" s="5"/>
      <c r="U105" s="5"/>
    </row>
    <row r="106" spans="18:24" x14ac:dyDescent="0.25">
      <c r="R106" s="1" t="s">
        <v>33</v>
      </c>
      <c r="S106" s="5">
        <v>4800</v>
      </c>
      <c r="T106" s="5"/>
      <c r="U106" s="5"/>
    </row>
    <row r="107" spans="18:24" x14ac:dyDescent="0.25">
      <c r="R107" s="1" t="s">
        <v>34</v>
      </c>
      <c r="S107" s="5">
        <v>2459</v>
      </c>
      <c r="T107" s="5"/>
      <c r="U107" s="5"/>
    </row>
    <row r="108" spans="18:24" x14ac:dyDescent="0.25">
      <c r="R108" s="1" t="s">
        <v>35</v>
      </c>
      <c r="S108" s="5">
        <v>2336</v>
      </c>
      <c r="T108" s="5"/>
      <c r="U108" s="5"/>
    </row>
    <row r="109" spans="18:24" x14ac:dyDescent="0.25">
      <c r="R109" s="1" t="s">
        <v>36</v>
      </c>
      <c r="S109" s="5">
        <v>724</v>
      </c>
      <c r="T109" s="5"/>
      <c r="U109" s="5"/>
      <c r="X109" s="5"/>
    </row>
    <row r="110" spans="18:24" x14ac:dyDescent="0.25">
      <c r="R110" s="1" t="s">
        <v>69</v>
      </c>
      <c r="S110" s="5">
        <v>5626</v>
      </c>
      <c r="T110" s="5"/>
      <c r="U110" s="5"/>
      <c r="X110" s="5"/>
    </row>
    <row r="111" spans="18:24" x14ac:dyDescent="0.25">
      <c r="X111" s="5"/>
    </row>
  </sheetData>
  <mergeCells count="2">
    <mergeCell ref="A3:E3"/>
    <mergeCell ref="A2:E2"/>
  </mergeCells>
  <pageMargins left="0.7" right="0.7" top="0.75" bottom="0.75" header="0.3" footer="0.3"/>
  <pageSetup paperSize="9" scale="86" orientation="portrait" horizontalDpi="4294967295" verticalDpi="4294967295" r:id="rId1"/>
  <rowBreaks count="2" manualBreakCount="2">
    <brk id="53" max="5" man="1"/>
    <brk id="110" max="5" man="1"/>
  </rowBreaks>
  <ignoredErrors>
    <ignoredError sqref="B70 B31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5.10</vt:lpstr>
      <vt:lpstr>'5.10'!Print_Area</vt:lpstr>
      <vt:lpstr>'5.10'!Print_Titles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2019-08-04T07:08:29Z</cp:lastPrinted>
  <dcterms:created xsi:type="dcterms:W3CDTF">2019-06-03T04:17:39Z</dcterms:created>
  <dcterms:modified xsi:type="dcterms:W3CDTF">2019-08-04T07:08:51Z</dcterms:modified>
</cp:coreProperties>
</file>