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13" sheetId="14" r:id="rId1"/>
  </sheets>
  <definedNames>
    <definedName name="_xlnm.Print_Area" localSheetId="0">'5.13'!$A$1:$E$237</definedName>
    <definedName name="_xlnm.Print_Titles" localSheetId="0">'5.13'!$5:$5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4" l="1"/>
  <c r="C112" i="14" l="1"/>
  <c r="B112" i="14"/>
  <c r="B235" i="14"/>
  <c r="B234" i="14"/>
  <c r="B233" i="14"/>
  <c r="B232" i="14"/>
  <c r="B231" i="14"/>
  <c r="B230" i="14"/>
  <c r="B229" i="14"/>
  <c r="D228" i="14"/>
  <c r="C228" i="14"/>
  <c r="B227" i="14"/>
  <c r="B226" i="14"/>
  <c r="B225" i="14"/>
  <c r="B224" i="14"/>
  <c r="B223" i="14"/>
  <c r="B222" i="14"/>
  <c r="B221" i="14"/>
  <c r="B220" i="14"/>
  <c r="B219" i="14"/>
  <c r="B218" i="14"/>
  <c r="B217" i="14"/>
  <c r="D216" i="14"/>
  <c r="C216" i="14"/>
  <c r="B216" i="14"/>
  <c r="B215" i="14"/>
  <c r="B214" i="14"/>
  <c r="B213" i="14"/>
  <c r="B212" i="14"/>
  <c r="B211" i="14"/>
  <c r="B210" i="14"/>
  <c r="B209" i="14"/>
  <c r="B208" i="14"/>
  <c r="B207" i="14"/>
  <c r="B206" i="14"/>
  <c r="D205" i="14"/>
  <c r="C205" i="14"/>
  <c r="B205" i="14" s="1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D192" i="14"/>
  <c r="C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D177" i="14"/>
  <c r="C177" i="14"/>
  <c r="B176" i="14"/>
  <c r="B175" i="14"/>
  <c r="B174" i="14"/>
  <c r="B173" i="14"/>
  <c r="B172" i="14"/>
  <c r="B171" i="14"/>
  <c r="B170" i="14"/>
  <c r="D169" i="14"/>
  <c r="B169" i="14" s="1"/>
  <c r="C169" i="14"/>
  <c r="B168" i="14"/>
  <c r="B167" i="14"/>
  <c r="B166" i="14"/>
  <c r="B165" i="14"/>
  <c r="B164" i="14"/>
  <c r="B163" i="14"/>
  <c r="D162" i="14"/>
  <c r="C162" i="14"/>
  <c r="B161" i="14"/>
  <c r="B160" i="14"/>
  <c r="B159" i="14"/>
  <c r="B158" i="14"/>
  <c r="B157" i="14"/>
  <c r="B156" i="14"/>
  <c r="B155" i="14"/>
  <c r="B154" i="14"/>
  <c r="B153" i="14"/>
  <c r="D152" i="14"/>
  <c r="C152" i="14"/>
  <c r="B151" i="14"/>
  <c r="B150" i="14"/>
  <c r="B149" i="14"/>
  <c r="B148" i="14"/>
  <c r="B147" i="14"/>
  <c r="B146" i="14"/>
  <c r="D145" i="14"/>
  <c r="C145" i="14"/>
  <c r="B144" i="14"/>
  <c r="B143" i="14"/>
  <c r="B142" i="14"/>
  <c r="B141" i="14"/>
  <c r="B140" i="14"/>
  <c r="B139" i="14"/>
  <c r="B138" i="14"/>
  <c r="B137" i="14"/>
  <c r="B136" i="14"/>
  <c r="B135" i="14"/>
  <c r="B134" i="14"/>
  <c r="D133" i="14"/>
  <c r="C133" i="14"/>
  <c r="B132" i="14"/>
  <c r="B131" i="14"/>
  <c r="B130" i="14"/>
  <c r="B129" i="14"/>
  <c r="B128" i="14"/>
  <c r="B127" i="14"/>
  <c r="B126" i="14"/>
  <c r="B125" i="14"/>
  <c r="B124" i="14"/>
  <c r="D123" i="14"/>
  <c r="C123" i="14"/>
  <c r="B123" i="14" s="1"/>
  <c r="B122" i="14"/>
  <c r="B9" i="14"/>
  <c r="B121" i="14"/>
  <c r="B7" i="14"/>
  <c r="B120" i="14"/>
  <c r="B119" i="14"/>
  <c r="B118" i="14"/>
  <c r="B8" i="14"/>
  <c r="B117" i="14"/>
  <c r="B116" i="14"/>
  <c r="B115" i="14"/>
  <c r="B114" i="14"/>
  <c r="B113" i="14"/>
  <c r="D112" i="14"/>
  <c r="B111" i="14"/>
  <c r="B110" i="14"/>
  <c r="B109" i="14"/>
  <c r="B108" i="14"/>
  <c r="B107" i="14"/>
  <c r="D106" i="14"/>
  <c r="C106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D91" i="14"/>
  <c r="C91" i="14"/>
  <c r="B91" i="14" s="1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D74" i="14"/>
  <c r="B74" i="14" s="1"/>
  <c r="C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D59" i="14"/>
  <c r="C59" i="14"/>
  <c r="B59" i="14" s="1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D43" i="14"/>
  <c r="C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D27" i="14"/>
  <c r="C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D11" i="14"/>
  <c r="C11" i="14"/>
  <c r="B145" i="14" l="1"/>
  <c r="B152" i="14"/>
  <c r="B162" i="14"/>
  <c r="B177" i="14"/>
  <c r="B192" i="14"/>
  <c r="B228" i="14"/>
  <c r="B43" i="14"/>
  <c r="B133" i="14"/>
  <c r="D10" i="14"/>
  <c r="D6" i="14" s="1"/>
  <c r="C10" i="14"/>
  <c r="C6" i="14" s="1"/>
  <c r="B10" i="14" l="1"/>
</calcChain>
</file>

<file path=xl/sharedStrings.xml><?xml version="1.0" encoding="utf-8"?>
<sst xmlns="http://schemas.openxmlformats.org/spreadsheetml/2006/main" count="240" uniqueCount="206">
  <si>
    <t>Republic</t>
  </si>
  <si>
    <t>Male'</t>
  </si>
  <si>
    <t>Male</t>
  </si>
  <si>
    <t xml:space="preserve">Total </t>
  </si>
  <si>
    <t xml:space="preserve">Female </t>
  </si>
  <si>
    <t>Data provided by: National Centre for Information Technology</t>
  </si>
  <si>
    <t>Hulhumale'</t>
  </si>
  <si>
    <t>މަޢުލޫމާތު ފޯރުކޯށްދެއްވީ: ނޭޝަނަލް ސެންޓަރ ފޮރ އިންފޮމޭޝަން ޓެކްނޮލޮޖީ</t>
  </si>
  <si>
    <t>ނޯޓް: ނޭޝަނަލް ބިއުރޯ އޮފް ސްޓެޓިސްޓިކްސް (އެން.ބީ.އެސް) ގެ އަންދާޒާ</t>
  </si>
  <si>
    <t>Note: Estimates of  National Bureau of Statistics (NBS).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</si>
  <si>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</si>
  <si>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</si>
  <si>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</si>
  <si>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</si>
  <si>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</si>
  <si>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</si>
  <si>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</si>
  <si>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</si>
  <si>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</si>
  <si>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</si>
  <si>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Thurakunu</t>
  </si>
  <si>
    <t>Uligamu</t>
  </si>
  <si>
    <t>Utheemu</t>
  </si>
  <si>
    <t>Vashafaru</t>
  </si>
  <si>
    <t>Resort and Industrial</t>
  </si>
  <si>
    <t>Finey</t>
  </si>
  <si>
    <t>Hanimaadhoo</t>
  </si>
  <si>
    <t>Hirimaradhoo</t>
  </si>
  <si>
    <t>Kuburudhoo</t>
  </si>
  <si>
    <t>Kulhudhuffushi</t>
  </si>
  <si>
    <t>Kumundhoo</t>
  </si>
  <si>
    <t>Kuribi</t>
  </si>
  <si>
    <t>Makunudhoo</t>
  </si>
  <si>
    <t>Naivaadhoo</t>
  </si>
  <si>
    <t>Nellaidhoo</t>
  </si>
  <si>
    <t>Neykurendhoo</t>
  </si>
  <si>
    <t>Nolhivaramu</t>
  </si>
  <si>
    <t>Nolhivaranfaru</t>
  </si>
  <si>
    <t>Vaikaradhoo</t>
  </si>
  <si>
    <t>Bilehffahi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</si>
  <si>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</si>
  <si>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</si>
  <si>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</si>
  <si>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</si>
  <si>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</si>
  <si>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</si>
  <si>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</si>
  <si>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</si>
  <si>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Maaugoodhoo</t>
  </si>
  <si>
    <t>Maroshi</t>
  </si>
  <si>
    <t>Milandhoo</t>
  </si>
  <si>
    <t>Narudhoo</t>
  </si>
  <si>
    <t>Noomaraa</t>
  </si>
  <si>
    <t>Fodhdhoo</t>
  </si>
  <si>
    <t>Hebadhoo</t>
  </si>
  <si>
    <t>Holhudhoo</t>
  </si>
  <si>
    <t>Kedhikolhudhoo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</si>
  <si>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</si>
  <si>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</si>
  <si>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</si>
  <si>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</si>
  <si>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</si>
  <si>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</si>
  <si>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</si>
  <si>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</si>
  <si>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</si>
  <si>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</si>
  <si>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</si>
  <si>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</si>
  <si>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</si>
  <si>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</si>
  <si>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</si>
  <si>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</si>
  <si>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</si>
  <si>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</si>
  <si>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</si>
  <si>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</si>
  <si>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</si>
  <si>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</si>
  <si>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Ugoofaaru</t>
  </si>
  <si>
    <t>Vaadhoo</t>
  </si>
  <si>
    <t>Dharavandhoo</t>
  </si>
  <si>
    <t>Dhonfanu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</si>
  <si>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</si>
  <si>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</si>
  <si>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</si>
  <si>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</si>
  <si>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</si>
  <si>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</si>
  <si>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</si>
  <si>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</si>
  <si>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</si>
  <si>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</si>
  <si>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</si>
  <si>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</si>
  <si>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</si>
  <si>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</si>
  <si>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</si>
  <si>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</si>
  <si>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</si>
  <si>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</si>
  <si>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</si>
  <si>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</si>
  <si>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</si>
  <si>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</si>
  <si>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</si>
  <si>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</si>
  <si>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</si>
  <si>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</si>
  <si>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</si>
  <si>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</si>
  <si>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</si>
  <si>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</si>
  <si>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Dhagethi</t>
  </si>
  <si>
    <t>Dhigurah</t>
  </si>
  <si>
    <t>Fenfushi</t>
  </si>
  <si>
    <t>Hangnameedhoo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</si>
  <si>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</si>
  <si>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</si>
  <si>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</si>
  <si>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</si>
  <si>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</si>
  <si>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</si>
  <si>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</si>
  <si>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</si>
  <si>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</si>
  <si>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</si>
  <si>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</si>
  <si>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</si>
  <si>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</si>
  <si>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</si>
  <si>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Raimandhoo</t>
  </si>
  <si>
    <t>Veyvah</t>
  </si>
  <si>
    <t>Biledhdhoo</t>
  </si>
  <si>
    <t>Dharaboodhoo</t>
  </si>
  <si>
    <t>Feeali</t>
  </si>
  <si>
    <t>Nilandhoo</t>
  </si>
  <si>
    <t>Bandidhoo</t>
  </si>
  <si>
    <t>Hulhudheli</t>
  </si>
  <si>
    <t>Kudahuvadhoo</t>
  </si>
  <si>
    <t>Maaenboodhoo</t>
  </si>
  <si>
    <t>Ribudhoo</t>
  </si>
  <si>
    <t>Buruni</t>
  </si>
  <si>
    <t>Dhiyamigili</t>
  </si>
  <si>
    <t>Gaadhiffushi</t>
  </si>
  <si>
    <t>Hirilandhoo</t>
  </si>
  <si>
    <t>Kadoodhoo</t>
  </si>
  <si>
    <t>Kibidhoo</t>
  </si>
  <si>
    <t>Madifushi</t>
  </si>
  <si>
    <t>Thimarafushi</t>
  </si>
  <si>
    <t>Vandhoo</t>
  </si>
  <si>
    <t>Veymandoo</t>
  </si>
  <si>
    <t>Vilufushi</t>
  </si>
  <si>
    <t>Dhabidhoo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</si>
  <si>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</si>
  <si>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</si>
  <si>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</si>
  <si>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</si>
  <si>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</si>
  <si>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</si>
  <si>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</si>
  <si>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</si>
  <si>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</si>
  <si>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Mundhoo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</si>
  <si>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</si>
  <si>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</si>
  <si>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</si>
  <si>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</si>
  <si>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</si>
  <si>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</si>
  <si>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</si>
  <si>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</si>
  <si>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Fiyoari</t>
  </si>
  <si>
    <t>Gadhdhoo</t>
  </si>
  <si>
    <t>Hoadedhdhoo</t>
  </si>
  <si>
    <t>Nadallaa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</si>
  <si>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</si>
  <si>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</si>
  <si>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</si>
  <si>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</si>
  <si>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</si>
  <si>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</si>
  <si>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</si>
  <si>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 xml:space="preserve">ތާވަލު 5.13: ޖިންސުގެ ގޮތުން މާލެއާއި ރަށްރަށުގައި މަސައްކަތްކުރާ ބިދޭސީ މަސައްކަތްތެރިންގެ އަދަދު، 2018 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</si>
  <si>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</si>
  <si>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</si>
  <si>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</si>
  <si>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</si>
  <si>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</si>
  <si>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</si>
  <si>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</si>
  <si>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</si>
  <si>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</si>
  <si>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</si>
  <si>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</si>
  <si>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</si>
  <si>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 xml:space="preserve">North Nilandhe Atoll (F) 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</si>
  <si>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</si>
  <si>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</si>
  <si>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</si>
  <si>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</si>
  <si>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</si>
  <si>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</si>
  <si>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</si>
  <si>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Table 5.13: Expatriate employment by island and sex, 2018</t>
  </si>
  <si>
    <t>Vilimale'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</si>
</sst>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Faruma"/>
    </font>
    <font>
      <b/>
      <sz val="10"/>
      <name val="Faruma"/>
    </font>
    <font>
      <sz val="11"/>
      <name val="Calibri"/>
      <family val="2"/>
      <scheme val="minor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10" fillId="0" borderId="0"/>
    <xf numFmtId="0" fontId="3" fillId="0" borderId="0"/>
  </cellStyleXfs>
  <cellXfs count="19">
    <xf numFmtId="0" fontId="0" fillId="0" borderId="0" xfId="0"/>
    <xf numFmtId="0" fontId="0" fillId="2" borderId="0" xfId="0" applyFill="1"/>
    <xf numFmtId="3" fontId="7" fillId="2" borderId="0" xfId="3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9" fillId="2" borderId="0" xfId="0" applyFont="1" applyFill="1" applyBorder="1"/>
    <xf numFmtId="0" fontId="1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horizontal="left" indent="1"/>
    </xf>
    <xf numFmtId="37" fontId="2" fillId="2" borderId="0" xfId="0" applyNumberFormat="1" applyFont="1" applyFill="1"/>
    <xf numFmtId="37" fontId="0" fillId="2" borderId="0" xfId="1" applyNumberFormat="1" applyFont="1" applyFill="1" applyAlignment="1">
      <alignment vertical="center"/>
    </xf>
    <xf numFmtId="37" fontId="2" fillId="2" borderId="0" xfId="1" applyNumberFormat="1" applyFont="1" applyFill="1" applyAlignment="1">
      <alignment vertical="center"/>
    </xf>
    <xf numFmtId="37" fontId="0" fillId="2" borderId="1" xfId="1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164" fontId="8" fillId="2" borderId="0" xfId="2" applyNumberFormat="1" applyFont="1" applyFill="1" applyAlignment="1">
      <alignment horizontal="center" vertical="center"/>
    </xf>
    <xf numFmtId="0" fontId="0" fillId="2" borderId="0" xfId="0" applyFill="1" applyAlignment="1">
      <alignment horizontal="left" vertical="center" indent="1"/>
    </xf>
    <xf numFmtId="3" fontId="12" fillId="2" borderId="0" xfId="6" applyNumberFormat="1" applyFont="1" applyFill="1" applyBorder="1" applyAlignment="1" applyProtection="1">
      <alignment horizontal="right" vertical="center" indent="1"/>
    </xf>
  </cellXfs>
  <cellStyles count="7">
    <cellStyle name="Comma" xfId="1" builtinId="3"/>
    <cellStyle name="Normal" xfId="0" builtinId="0"/>
    <cellStyle name="Normal 2" xfId="4"/>
    <cellStyle name="Normal 4" xfId="5"/>
    <cellStyle name="Normal_II-15(Population) 2" xfId="6"/>
    <cellStyle name="Normal_II-16(Populaion)" xfId="3"/>
    <cellStyle name="Normal_Population - II 2" xfId="2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7"/>
  <sheetViews>
    <sheetView tabSelected="1" zoomScaleNormal="100" workbookViewId="0">
      <selection activeCell="J9" sqref="J9"/>
    </sheetView>
  </sheetViews>
  <sheetFormatPr defaultRowHeight="15" x14ac:dyDescent="0.25"/>
  <cols>
    <col min="1" max="1" width="28.5703125" style="1" customWidth="1"/>
    <col min="2" max="4" width="20.7109375" style="1" customWidth="1"/>
    <col min="5" max="5" width="3.7109375" style="1" customWidth="1"/>
    <col min="6" max="16384" width="9.140625" style="1"/>
  </cols>
  <sheetData>
    <row r="2" spans="1:10" ht="18.75" x14ac:dyDescent="0.25">
      <c r="A2" s="16" t="s">
        <v>183</v>
      </c>
      <c r="B2" s="16"/>
      <c r="C2" s="16"/>
      <c r="D2" s="16"/>
    </row>
    <row r="3" spans="1:10" ht="15.75" x14ac:dyDescent="0.25">
      <c r="A3" s="15" t="s">
        <v>204</v>
      </c>
      <c r="B3" s="15"/>
      <c r="C3" s="15"/>
      <c r="D3" s="15"/>
      <c r="E3" s="6"/>
      <c r="F3" s="6"/>
    </row>
    <row r="5" spans="1:10" x14ac:dyDescent="0.25">
      <c r="A5" s="8" t="s">
        <v>181</v>
      </c>
      <c r="B5" s="7" t="s">
        <v>3</v>
      </c>
      <c r="C5" s="7" t="s">
        <v>2</v>
      </c>
      <c r="D5" s="7" t="s">
        <v>4</v>
      </c>
    </row>
    <row r="6" spans="1:10" x14ac:dyDescent="0.25">
      <c r="A6" s="3" t="s">
        <v>0</v>
      </c>
      <c r="B6" s="11">
        <f>SUM(C6:D6)</f>
        <v>114981</v>
      </c>
      <c r="C6" s="11">
        <f>C7+C8+C9+C10</f>
        <v>104753</v>
      </c>
      <c r="D6" s="11">
        <f>D7+D8+D9+D10</f>
        <v>10228</v>
      </c>
    </row>
    <row r="7" spans="1:10" s="3" customFormat="1" x14ac:dyDescent="0.25">
      <c r="A7" s="3" t="s">
        <v>1</v>
      </c>
      <c r="B7" s="13">
        <f t="shared" ref="B7:B10" si="0">SUM(C7:D7)</f>
        <v>46619</v>
      </c>
      <c r="C7" s="13">
        <v>42214</v>
      </c>
      <c r="D7" s="13">
        <v>4405</v>
      </c>
    </row>
    <row r="8" spans="1:10" x14ac:dyDescent="0.25">
      <c r="A8" s="9" t="s">
        <v>6</v>
      </c>
      <c r="B8" s="12">
        <f t="shared" si="0"/>
        <v>5001</v>
      </c>
      <c r="C8" s="12">
        <v>4619</v>
      </c>
      <c r="D8" s="12">
        <v>382</v>
      </c>
    </row>
    <row r="9" spans="1:10" ht="21" x14ac:dyDescent="0.25">
      <c r="A9" s="17" t="s">
        <v>205</v>
      </c>
      <c r="B9" s="12">
        <f t="shared" si="0"/>
        <v>247</v>
      </c>
      <c r="C9" s="12">
        <v>228</v>
      </c>
      <c r="D9" s="12">
        <v>19</v>
      </c>
      <c r="J9" s="18"/>
    </row>
    <row r="10" spans="1:10" x14ac:dyDescent="0.25">
      <c r="A10" s="3" t="s">
        <v>182</v>
      </c>
      <c r="B10" s="13">
        <f t="shared" si="0"/>
        <v>63114</v>
      </c>
      <c r="C10" s="13">
        <f>C11+C27+C43+C59+C74+C91+C106+C112+C123+C133+C145+C152+C162+C169+C177+C192+C205+C216+C226+C228</f>
        <v>57692</v>
      </c>
      <c r="D10" s="13">
        <f>D11+D27+D43+D59+D74+D91+D106+D112+D123+D133+D145+D152+D162+D169+D177+D192+D205+D216+D226+D228</f>
        <v>5422</v>
      </c>
    </row>
    <row r="11" spans="1:10" x14ac:dyDescent="0.25">
      <c r="A11" s="3" t="s">
        <v>184</v>
      </c>
      <c r="B11" s="3"/>
      <c r="C11" s="13">
        <f>SUM(C12:C26)</f>
        <v>1507</v>
      </c>
      <c r="D11" s="13">
        <f>SUM(D12:D26)</f>
        <v>158</v>
      </c>
    </row>
    <row r="12" spans="1:10" x14ac:dyDescent="0.25">
      <c r="A12" s="9" t="s">
        <v>10</v>
      </c>
      <c r="B12" s="12">
        <f t="shared" ref="B12:B75" si="1">SUM(C12:D12)</f>
        <v>184</v>
      </c>
      <c r="C12" s="12">
        <v>182</v>
      </c>
      <c r="D12" s="12">
        <v>2</v>
      </c>
    </row>
    <row r="13" spans="1:10" x14ac:dyDescent="0.25">
      <c r="A13" s="9" t="s">
        <v>11</v>
      </c>
      <c r="B13" s="12">
        <f t="shared" si="1"/>
        <v>149</v>
      </c>
      <c r="C13" s="12">
        <v>122</v>
      </c>
      <c r="D13" s="12">
        <v>27</v>
      </c>
    </row>
    <row r="14" spans="1:10" x14ac:dyDescent="0.25">
      <c r="A14" s="9" t="s">
        <v>12</v>
      </c>
      <c r="B14" s="12">
        <f t="shared" si="1"/>
        <v>38</v>
      </c>
      <c r="C14" s="12">
        <v>37</v>
      </c>
      <c r="D14" s="12">
        <v>1</v>
      </c>
    </row>
    <row r="15" spans="1:10" x14ac:dyDescent="0.25">
      <c r="A15" s="9" t="s">
        <v>13</v>
      </c>
      <c r="B15" s="12">
        <f t="shared" si="1"/>
        <v>515</v>
      </c>
      <c r="C15" s="12">
        <v>503</v>
      </c>
      <c r="D15" s="12">
        <v>12</v>
      </c>
    </row>
    <row r="16" spans="1:10" x14ac:dyDescent="0.25">
      <c r="A16" s="9" t="s">
        <v>14</v>
      </c>
      <c r="B16" s="12">
        <f t="shared" si="1"/>
        <v>70</v>
      </c>
      <c r="C16" s="12">
        <v>60</v>
      </c>
      <c r="D16" s="12">
        <v>10</v>
      </c>
    </row>
    <row r="17" spans="1:4" x14ac:dyDescent="0.25">
      <c r="A17" s="9" t="s">
        <v>15</v>
      </c>
      <c r="B17" s="12">
        <f t="shared" si="1"/>
        <v>37</v>
      </c>
      <c r="C17" s="12">
        <v>32</v>
      </c>
      <c r="D17" s="12">
        <v>5</v>
      </c>
    </row>
    <row r="18" spans="1:4" x14ac:dyDescent="0.25">
      <c r="A18" s="9" t="s">
        <v>16</v>
      </c>
      <c r="B18" s="12">
        <f t="shared" si="1"/>
        <v>13</v>
      </c>
      <c r="C18" s="12">
        <v>11</v>
      </c>
      <c r="D18" s="12">
        <v>2</v>
      </c>
    </row>
    <row r="19" spans="1:4" x14ac:dyDescent="0.25">
      <c r="A19" s="9" t="s">
        <v>17</v>
      </c>
      <c r="B19" s="12">
        <f t="shared" si="1"/>
        <v>153</v>
      </c>
      <c r="C19" s="12">
        <v>150</v>
      </c>
      <c r="D19" s="12">
        <v>3</v>
      </c>
    </row>
    <row r="20" spans="1:4" x14ac:dyDescent="0.25">
      <c r="A20" s="9" t="s">
        <v>18</v>
      </c>
      <c r="B20" s="12">
        <f t="shared" si="1"/>
        <v>12</v>
      </c>
      <c r="C20" s="12">
        <v>11</v>
      </c>
      <c r="D20" s="12">
        <v>1</v>
      </c>
    </row>
    <row r="21" spans="1:4" x14ac:dyDescent="0.25">
      <c r="A21" s="9" t="s">
        <v>19</v>
      </c>
      <c r="B21" s="12">
        <f t="shared" si="1"/>
        <v>9</v>
      </c>
      <c r="C21" s="12">
        <v>9</v>
      </c>
      <c r="D21" s="12">
        <v>0</v>
      </c>
    </row>
    <row r="22" spans="1:4" x14ac:dyDescent="0.25">
      <c r="A22" s="9" t="s">
        <v>20</v>
      </c>
      <c r="B22" s="12">
        <f t="shared" si="1"/>
        <v>5</v>
      </c>
      <c r="C22" s="12">
        <v>4</v>
      </c>
      <c r="D22" s="12">
        <v>1</v>
      </c>
    </row>
    <row r="23" spans="1:4" x14ac:dyDescent="0.25">
      <c r="A23" s="9" t="s">
        <v>21</v>
      </c>
      <c r="B23" s="12">
        <f t="shared" si="1"/>
        <v>4</v>
      </c>
      <c r="C23" s="12">
        <v>2</v>
      </c>
      <c r="D23" s="12">
        <v>2</v>
      </c>
    </row>
    <row r="24" spans="1:4" x14ac:dyDescent="0.25">
      <c r="A24" s="9" t="s">
        <v>22</v>
      </c>
      <c r="B24" s="12">
        <f t="shared" si="1"/>
        <v>11</v>
      </c>
      <c r="C24" s="12">
        <v>9</v>
      </c>
      <c r="D24" s="12">
        <v>2</v>
      </c>
    </row>
    <row r="25" spans="1:4" x14ac:dyDescent="0.25">
      <c r="A25" s="9" t="s">
        <v>23</v>
      </c>
      <c r="B25" s="12">
        <f t="shared" si="1"/>
        <v>35</v>
      </c>
      <c r="C25" s="12">
        <v>31</v>
      </c>
      <c r="D25" s="12">
        <v>4</v>
      </c>
    </row>
    <row r="26" spans="1:4" x14ac:dyDescent="0.25">
      <c r="A26" s="9" t="s">
        <v>24</v>
      </c>
      <c r="B26" s="12">
        <f t="shared" si="1"/>
        <v>430</v>
      </c>
      <c r="C26" s="12">
        <v>344</v>
      </c>
      <c r="D26" s="12">
        <v>86</v>
      </c>
    </row>
    <row r="27" spans="1:4" s="3" customFormat="1" x14ac:dyDescent="0.25">
      <c r="A27" s="3" t="s">
        <v>185</v>
      </c>
      <c r="C27" s="13">
        <f>SUM(C28:C42)</f>
        <v>2007</v>
      </c>
      <c r="D27" s="13">
        <f>SUM(D28:D42)</f>
        <v>88</v>
      </c>
    </row>
    <row r="28" spans="1:4" x14ac:dyDescent="0.25">
      <c r="A28" s="9" t="s">
        <v>25</v>
      </c>
      <c r="B28" s="12">
        <f t="shared" si="1"/>
        <v>505</v>
      </c>
      <c r="C28" s="12">
        <v>504</v>
      </c>
      <c r="D28" s="12">
        <v>1</v>
      </c>
    </row>
    <row r="29" spans="1:4" x14ac:dyDescent="0.25">
      <c r="A29" s="9" t="s">
        <v>26</v>
      </c>
      <c r="B29" s="12">
        <f t="shared" si="1"/>
        <v>987</v>
      </c>
      <c r="C29" s="12">
        <v>975</v>
      </c>
      <c r="D29" s="12">
        <v>12</v>
      </c>
    </row>
    <row r="30" spans="1:4" x14ac:dyDescent="0.25">
      <c r="A30" s="9" t="s">
        <v>27</v>
      </c>
      <c r="B30" s="12">
        <f t="shared" si="1"/>
        <v>5</v>
      </c>
      <c r="C30" s="12">
        <v>5</v>
      </c>
      <c r="D30" s="12">
        <v>0</v>
      </c>
    </row>
    <row r="31" spans="1:4" x14ac:dyDescent="0.25">
      <c r="A31" s="9" t="s">
        <v>28</v>
      </c>
      <c r="B31" s="12">
        <f t="shared" si="1"/>
        <v>1</v>
      </c>
      <c r="C31" s="12">
        <v>0</v>
      </c>
      <c r="D31" s="12">
        <v>1</v>
      </c>
    </row>
    <row r="32" spans="1:4" x14ac:dyDescent="0.25">
      <c r="A32" s="9" t="s">
        <v>29</v>
      </c>
      <c r="B32" s="12">
        <f t="shared" si="1"/>
        <v>262</v>
      </c>
      <c r="C32" s="12">
        <v>231</v>
      </c>
      <c r="D32" s="12">
        <v>31</v>
      </c>
    </row>
    <row r="33" spans="1:8" x14ac:dyDescent="0.25">
      <c r="A33" s="9" t="s">
        <v>30</v>
      </c>
      <c r="B33" s="12">
        <f t="shared" si="1"/>
        <v>7</v>
      </c>
      <c r="C33" s="12">
        <v>7</v>
      </c>
      <c r="D33" s="12">
        <v>0</v>
      </c>
      <c r="H33" s="3"/>
    </row>
    <row r="34" spans="1:8" x14ac:dyDescent="0.25">
      <c r="A34" s="9" t="s">
        <v>31</v>
      </c>
      <c r="B34" s="12">
        <f t="shared" si="1"/>
        <v>4</v>
      </c>
      <c r="C34" s="12">
        <v>3</v>
      </c>
      <c r="D34" s="12">
        <v>1</v>
      </c>
      <c r="H34" s="3"/>
    </row>
    <row r="35" spans="1:8" x14ac:dyDescent="0.25">
      <c r="A35" s="9" t="s">
        <v>32</v>
      </c>
      <c r="B35" s="12">
        <f t="shared" si="1"/>
        <v>81</v>
      </c>
      <c r="C35" s="12">
        <v>76</v>
      </c>
      <c r="D35" s="12">
        <v>5</v>
      </c>
      <c r="H35" s="3"/>
    </row>
    <row r="36" spans="1:8" x14ac:dyDescent="0.25">
      <c r="A36" s="9" t="s">
        <v>33</v>
      </c>
      <c r="B36" s="12">
        <f t="shared" si="1"/>
        <v>8</v>
      </c>
      <c r="C36" s="12">
        <v>5</v>
      </c>
      <c r="D36" s="12">
        <v>3</v>
      </c>
      <c r="H36" s="3"/>
    </row>
    <row r="37" spans="1:8" x14ac:dyDescent="0.25">
      <c r="A37" s="9" t="s">
        <v>34</v>
      </c>
      <c r="B37" s="12">
        <f t="shared" si="1"/>
        <v>16</v>
      </c>
      <c r="C37" s="12">
        <v>10</v>
      </c>
      <c r="D37" s="12">
        <v>6</v>
      </c>
      <c r="H37" s="3"/>
    </row>
    <row r="38" spans="1:8" x14ac:dyDescent="0.25">
      <c r="A38" s="9" t="s">
        <v>35</v>
      </c>
      <c r="B38" s="12">
        <f t="shared" si="1"/>
        <v>11</v>
      </c>
      <c r="C38" s="12">
        <v>6</v>
      </c>
      <c r="D38" s="12">
        <v>5</v>
      </c>
      <c r="H38" s="3"/>
    </row>
    <row r="39" spans="1:8" x14ac:dyDescent="0.25">
      <c r="A39" s="9" t="s">
        <v>36</v>
      </c>
      <c r="B39" s="12">
        <f t="shared" si="1"/>
        <v>23</v>
      </c>
      <c r="C39" s="12">
        <v>21</v>
      </c>
      <c r="D39" s="12">
        <v>2</v>
      </c>
      <c r="H39" s="3"/>
    </row>
    <row r="40" spans="1:8" x14ac:dyDescent="0.25">
      <c r="A40" s="9" t="s">
        <v>37</v>
      </c>
      <c r="B40" s="12">
        <f t="shared" si="1"/>
        <v>7</v>
      </c>
      <c r="C40" s="12">
        <v>6</v>
      </c>
      <c r="D40" s="12">
        <v>1</v>
      </c>
      <c r="H40" s="3"/>
    </row>
    <row r="41" spans="1:8" x14ac:dyDescent="0.25">
      <c r="A41" s="9" t="s">
        <v>38</v>
      </c>
      <c r="B41" s="12">
        <f t="shared" si="1"/>
        <v>18</v>
      </c>
      <c r="C41" s="12">
        <v>9</v>
      </c>
      <c r="D41" s="12">
        <v>9</v>
      </c>
      <c r="H41" s="3"/>
    </row>
    <row r="42" spans="1:8" x14ac:dyDescent="0.25">
      <c r="A42" s="9" t="s">
        <v>24</v>
      </c>
      <c r="B42" s="12">
        <f t="shared" si="1"/>
        <v>160</v>
      </c>
      <c r="C42" s="12">
        <v>149</v>
      </c>
      <c r="D42" s="12">
        <v>11</v>
      </c>
      <c r="H42" s="3"/>
    </row>
    <row r="43" spans="1:8" s="3" customFormat="1" x14ac:dyDescent="0.25">
      <c r="A43" s="3" t="s">
        <v>186</v>
      </c>
      <c r="B43" s="13">
        <f t="shared" si="1"/>
        <v>1065</v>
      </c>
      <c r="C43" s="13">
        <f>SUM(C44:C58)</f>
        <v>982</v>
      </c>
      <c r="D43" s="13">
        <f>SUM(D44:D58)</f>
        <v>83</v>
      </c>
    </row>
    <row r="44" spans="1:8" x14ac:dyDescent="0.25">
      <c r="A44" s="9" t="s">
        <v>39</v>
      </c>
      <c r="B44" s="12">
        <f t="shared" si="1"/>
        <v>7</v>
      </c>
      <c r="C44" s="12">
        <v>4</v>
      </c>
      <c r="D44" s="12">
        <v>3</v>
      </c>
      <c r="H44" s="3"/>
    </row>
    <row r="45" spans="1:8" x14ac:dyDescent="0.25">
      <c r="A45" s="9" t="s">
        <v>40</v>
      </c>
      <c r="B45" s="12">
        <f t="shared" si="1"/>
        <v>29</v>
      </c>
      <c r="C45" s="12">
        <v>28</v>
      </c>
      <c r="D45" s="12">
        <v>1</v>
      </c>
      <c r="H45" s="3"/>
    </row>
    <row r="46" spans="1:8" x14ac:dyDescent="0.25">
      <c r="A46" s="9" t="s">
        <v>41</v>
      </c>
      <c r="B46" s="12">
        <f t="shared" si="1"/>
        <v>7</v>
      </c>
      <c r="C46" s="12">
        <v>7</v>
      </c>
      <c r="D46" s="12">
        <v>0</v>
      </c>
      <c r="H46" s="3"/>
    </row>
    <row r="47" spans="1:8" x14ac:dyDescent="0.25">
      <c r="A47" s="9" t="s">
        <v>42</v>
      </c>
      <c r="B47" s="12">
        <f t="shared" si="1"/>
        <v>13</v>
      </c>
      <c r="C47" s="12">
        <v>10</v>
      </c>
      <c r="D47" s="12">
        <v>3</v>
      </c>
      <c r="H47" s="3"/>
    </row>
    <row r="48" spans="1:8" x14ac:dyDescent="0.25">
      <c r="A48" s="9" t="s">
        <v>43</v>
      </c>
      <c r="B48" s="12">
        <f t="shared" si="1"/>
        <v>81</v>
      </c>
      <c r="C48" s="12">
        <v>64</v>
      </c>
      <c r="D48" s="12">
        <v>17</v>
      </c>
      <c r="H48" s="3"/>
    </row>
    <row r="49" spans="1:8" x14ac:dyDescent="0.25">
      <c r="A49" s="9" t="s">
        <v>44</v>
      </c>
      <c r="B49" s="12">
        <f t="shared" si="1"/>
        <v>9</v>
      </c>
      <c r="C49" s="12">
        <v>8</v>
      </c>
      <c r="D49" s="12">
        <v>1</v>
      </c>
      <c r="H49" s="3"/>
    </row>
    <row r="50" spans="1:8" x14ac:dyDescent="0.25">
      <c r="A50" s="9" t="s">
        <v>45</v>
      </c>
      <c r="B50" s="12">
        <f t="shared" si="1"/>
        <v>29</v>
      </c>
      <c r="C50" s="12">
        <v>27</v>
      </c>
      <c r="D50" s="12">
        <v>2</v>
      </c>
      <c r="H50" s="3"/>
    </row>
    <row r="51" spans="1:8" x14ac:dyDescent="0.25">
      <c r="A51" s="9" t="s">
        <v>46</v>
      </c>
      <c r="B51" s="12">
        <f t="shared" si="1"/>
        <v>25</v>
      </c>
      <c r="C51" s="12">
        <v>17</v>
      </c>
      <c r="D51" s="12">
        <v>8</v>
      </c>
    </row>
    <row r="52" spans="1:8" x14ac:dyDescent="0.25">
      <c r="A52" s="9" t="s">
        <v>47</v>
      </c>
      <c r="B52" s="12">
        <f t="shared" si="1"/>
        <v>10</v>
      </c>
      <c r="C52" s="12">
        <v>5</v>
      </c>
      <c r="D52" s="12">
        <v>5</v>
      </c>
    </row>
    <row r="53" spans="1:8" x14ac:dyDescent="0.25">
      <c r="A53" s="9" t="s">
        <v>48</v>
      </c>
      <c r="B53" s="12">
        <f t="shared" si="1"/>
        <v>11</v>
      </c>
      <c r="C53" s="12">
        <v>10</v>
      </c>
      <c r="D53" s="12">
        <v>1</v>
      </c>
    </row>
    <row r="54" spans="1:8" x14ac:dyDescent="0.25">
      <c r="A54" s="9" t="s">
        <v>49</v>
      </c>
      <c r="B54" s="12">
        <f t="shared" si="1"/>
        <v>9</v>
      </c>
      <c r="C54" s="12">
        <v>8</v>
      </c>
      <c r="D54" s="12">
        <v>1</v>
      </c>
    </row>
    <row r="55" spans="1:8" x14ac:dyDescent="0.25">
      <c r="A55" s="9" t="s">
        <v>50</v>
      </c>
      <c r="B55" s="12">
        <f t="shared" si="1"/>
        <v>439</v>
      </c>
      <c r="C55" s="12">
        <v>436</v>
      </c>
      <c r="D55" s="12">
        <v>3</v>
      </c>
    </row>
    <row r="56" spans="1:8" x14ac:dyDescent="0.25">
      <c r="A56" s="9" t="s">
        <v>51</v>
      </c>
      <c r="B56" s="12">
        <f t="shared" si="1"/>
        <v>5</v>
      </c>
      <c r="C56" s="12">
        <v>3</v>
      </c>
      <c r="D56" s="12">
        <v>2</v>
      </c>
    </row>
    <row r="57" spans="1:8" x14ac:dyDescent="0.25">
      <c r="A57" s="9" t="s">
        <v>52</v>
      </c>
      <c r="B57" s="12">
        <f t="shared" si="1"/>
        <v>7</v>
      </c>
      <c r="C57" s="12">
        <v>4</v>
      </c>
      <c r="D57" s="12">
        <v>3</v>
      </c>
    </row>
    <row r="58" spans="1:8" x14ac:dyDescent="0.25">
      <c r="A58" s="9" t="s">
        <v>24</v>
      </c>
      <c r="B58" s="12">
        <f t="shared" si="1"/>
        <v>384</v>
      </c>
      <c r="C58" s="12">
        <v>351</v>
      </c>
      <c r="D58" s="12">
        <v>33</v>
      </c>
    </row>
    <row r="59" spans="1:8" s="3" customFormat="1" x14ac:dyDescent="0.25">
      <c r="A59" s="3" t="s">
        <v>187</v>
      </c>
      <c r="B59" s="13">
        <f t="shared" si="1"/>
        <v>3533</v>
      </c>
      <c r="C59" s="13">
        <f>SUM(C60:C73)</f>
        <v>3205</v>
      </c>
      <c r="D59" s="13">
        <f>SUM(D60:D73)</f>
        <v>328</v>
      </c>
    </row>
    <row r="60" spans="1:8" x14ac:dyDescent="0.25">
      <c r="A60" s="9" t="s">
        <v>53</v>
      </c>
      <c r="B60" s="12">
        <f t="shared" si="1"/>
        <v>3</v>
      </c>
      <c r="C60" s="12">
        <v>1</v>
      </c>
      <c r="D60" s="12">
        <v>2</v>
      </c>
    </row>
    <row r="61" spans="1:8" x14ac:dyDescent="0.25">
      <c r="A61" s="9" t="s">
        <v>54</v>
      </c>
      <c r="B61" s="12">
        <f t="shared" si="1"/>
        <v>8</v>
      </c>
      <c r="C61" s="12">
        <v>5</v>
      </c>
      <c r="D61" s="12">
        <v>3</v>
      </c>
    </row>
    <row r="62" spans="1:8" x14ac:dyDescent="0.25">
      <c r="A62" s="9" t="s">
        <v>55</v>
      </c>
      <c r="B62" s="12">
        <f t="shared" si="1"/>
        <v>50</v>
      </c>
      <c r="C62" s="12">
        <v>48</v>
      </c>
      <c r="D62" s="12">
        <v>2</v>
      </c>
    </row>
    <row r="63" spans="1:8" x14ac:dyDescent="0.25">
      <c r="A63" s="9" t="s">
        <v>56</v>
      </c>
      <c r="B63" s="12">
        <f t="shared" si="1"/>
        <v>22</v>
      </c>
      <c r="C63" s="12">
        <v>19</v>
      </c>
      <c r="D63" s="12">
        <v>3</v>
      </c>
    </row>
    <row r="64" spans="1:8" x14ac:dyDescent="0.25">
      <c r="A64" s="9" t="s">
        <v>57</v>
      </c>
      <c r="B64" s="12">
        <f t="shared" si="1"/>
        <v>11</v>
      </c>
      <c r="C64" s="12">
        <v>7</v>
      </c>
      <c r="D64" s="12">
        <v>4</v>
      </c>
    </row>
    <row r="65" spans="1:4" x14ac:dyDescent="0.25">
      <c r="A65" s="9" t="s">
        <v>58</v>
      </c>
      <c r="B65" s="12">
        <f t="shared" si="1"/>
        <v>22</v>
      </c>
      <c r="C65" s="12">
        <v>16</v>
      </c>
      <c r="D65" s="12">
        <v>6</v>
      </c>
    </row>
    <row r="66" spans="1:4" x14ac:dyDescent="0.25">
      <c r="A66" s="9" t="s">
        <v>59</v>
      </c>
      <c r="B66" s="12">
        <f t="shared" si="1"/>
        <v>20</v>
      </c>
      <c r="C66" s="12">
        <v>19</v>
      </c>
      <c r="D66" s="12">
        <v>1</v>
      </c>
    </row>
    <row r="67" spans="1:4" x14ac:dyDescent="0.25">
      <c r="A67" s="9" t="s">
        <v>60</v>
      </c>
      <c r="B67" s="12">
        <f t="shared" si="1"/>
        <v>169</v>
      </c>
      <c r="C67" s="12">
        <v>167</v>
      </c>
      <c r="D67" s="12">
        <v>2</v>
      </c>
    </row>
    <row r="68" spans="1:4" x14ac:dyDescent="0.25">
      <c r="A68" s="9" t="s">
        <v>61</v>
      </c>
      <c r="B68" s="12">
        <f t="shared" si="1"/>
        <v>6</v>
      </c>
      <c r="C68" s="12">
        <v>5</v>
      </c>
      <c r="D68" s="12">
        <v>1</v>
      </c>
    </row>
    <row r="69" spans="1:4" x14ac:dyDescent="0.25">
      <c r="A69" s="9" t="s">
        <v>62</v>
      </c>
      <c r="B69" s="12">
        <f t="shared" si="1"/>
        <v>6</v>
      </c>
      <c r="C69" s="12">
        <v>5</v>
      </c>
      <c r="D69" s="12">
        <v>1</v>
      </c>
    </row>
    <row r="70" spans="1:4" x14ac:dyDescent="0.25">
      <c r="A70" s="9" t="s">
        <v>63</v>
      </c>
      <c r="B70" s="12">
        <f t="shared" si="1"/>
        <v>64</v>
      </c>
      <c r="C70" s="12">
        <v>48</v>
      </c>
      <c r="D70" s="12">
        <v>16</v>
      </c>
    </row>
    <row r="71" spans="1:4" x14ac:dyDescent="0.25">
      <c r="A71" s="9" t="s">
        <v>64</v>
      </c>
      <c r="B71" s="12">
        <f t="shared" si="1"/>
        <v>22</v>
      </c>
      <c r="C71" s="12">
        <v>20</v>
      </c>
      <c r="D71" s="12">
        <v>2</v>
      </c>
    </row>
    <row r="72" spans="1:4" x14ac:dyDescent="0.25">
      <c r="A72" s="9" t="s">
        <v>65</v>
      </c>
      <c r="B72" s="12">
        <f t="shared" si="1"/>
        <v>90</v>
      </c>
      <c r="C72" s="12">
        <v>69</v>
      </c>
      <c r="D72" s="12">
        <v>21</v>
      </c>
    </row>
    <row r="73" spans="1:4" x14ac:dyDescent="0.25">
      <c r="A73" s="9" t="s">
        <v>24</v>
      </c>
      <c r="B73" s="12">
        <f t="shared" si="1"/>
        <v>3040</v>
      </c>
      <c r="C73" s="12">
        <v>2776</v>
      </c>
      <c r="D73" s="12">
        <v>264</v>
      </c>
    </row>
    <row r="74" spans="1:4" s="3" customFormat="1" x14ac:dyDescent="0.25">
      <c r="A74" s="3" t="s">
        <v>188</v>
      </c>
      <c r="B74" s="13">
        <f t="shared" si="1"/>
        <v>7623</v>
      </c>
      <c r="C74" s="13">
        <f>SUM(C75:C90)</f>
        <v>7329</v>
      </c>
      <c r="D74" s="13">
        <f>SUM(D75:D90)</f>
        <v>294</v>
      </c>
    </row>
    <row r="75" spans="1:4" x14ac:dyDescent="0.25">
      <c r="A75" s="9" t="s">
        <v>66</v>
      </c>
      <c r="B75" s="12">
        <f t="shared" si="1"/>
        <v>212</v>
      </c>
      <c r="C75" s="12">
        <v>198</v>
      </c>
      <c r="D75" s="12">
        <v>14</v>
      </c>
    </row>
    <row r="76" spans="1:4" x14ac:dyDescent="0.25">
      <c r="A76" s="9" t="s">
        <v>67</v>
      </c>
      <c r="B76" s="12">
        <f t="shared" ref="B76:B136" si="2">SUM(C76:D76)</f>
        <v>8</v>
      </c>
      <c r="C76" s="12">
        <v>5</v>
      </c>
      <c r="D76" s="12">
        <v>3</v>
      </c>
    </row>
    <row r="77" spans="1:4" x14ac:dyDescent="0.25">
      <c r="A77" s="9" t="s">
        <v>68</v>
      </c>
      <c r="B77" s="12">
        <f t="shared" si="2"/>
        <v>23</v>
      </c>
      <c r="C77" s="12">
        <v>16</v>
      </c>
      <c r="D77" s="12">
        <v>7</v>
      </c>
    </row>
    <row r="78" spans="1:4" x14ac:dyDescent="0.25">
      <c r="A78" s="9" t="s">
        <v>69</v>
      </c>
      <c r="B78" s="12">
        <f t="shared" si="2"/>
        <v>6</v>
      </c>
      <c r="C78" s="12">
        <v>5</v>
      </c>
      <c r="D78" s="12">
        <v>1</v>
      </c>
    </row>
    <row r="79" spans="1:4" x14ac:dyDescent="0.25">
      <c r="A79" s="9" t="s">
        <v>70</v>
      </c>
      <c r="B79" s="12">
        <f t="shared" si="2"/>
        <v>16</v>
      </c>
      <c r="C79" s="12">
        <v>9</v>
      </c>
      <c r="D79" s="12">
        <v>7</v>
      </c>
    </row>
    <row r="80" spans="1:4" x14ac:dyDescent="0.25">
      <c r="A80" s="9" t="s">
        <v>71</v>
      </c>
      <c r="B80" s="12">
        <f t="shared" si="2"/>
        <v>31</v>
      </c>
      <c r="C80" s="12">
        <v>25</v>
      </c>
      <c r="D80" s="12">
        <v>6</v>
      </c>
    </row>
    <row r="81" spans="1:4" x14ac:dyDescent="0.25">
      <c r="A81" s="9" t="s">
        <v>72</v>
      </c>
      <c r="B81" s="12">
        <f t="shared" si="2"/>
        <v>60</v>
      </c>
      <c r="C81" s="12">
        <v>56</v>
      </c>
      <c r="D81" s="12">
        <v>4</v>
      </c>
    </row>
    <row r="82" spans="1:4" x14ac:dyDescent="0.25">
      <c r="A82" s="9" t="s">
        <v>73</v>
      </c>
      <c r="B82" s="12">
        <f t="shared" si="2"/>
        <v>13</v>
      </c>
      <c r="C82" s="12">
        <v>10</v>
      </c>
      <c r="D82" s="12">
        <v>3</v>
      </c>
    </row>
    <row r="83" spans="1:4" x14ac:dyDescent="0.25">
      <c r="A83" s="9" t="s">
        <v>74</v>
      </c>
      <c r="B83" s="12">
        <f t="shared" si="2"/>
        <v>42</v>
      </c>
      <c r="C83" s="12">
        <v>38</v>
      </c>
      <c r="D83" s="12">
        <v>4</v>
      </c>
    </row>
    <row r="84" spans="1:4" x14ac:dyDescent="0.25">
      <c r="A84" s="9" t="s">
        <v>75</v>
      </c>
      <c r="B84" s="12">
        <f t="shared" si="2"/>
        <v>14</v>
      </c>
      <c r="C84" s="12">
        <v>10</v>
      </c>
      <c r="D84" s="12">
        <v>4</v>
      </c>
    </row>
    <row r="85" spans="1:4" x14ac:dyDescent="0.25">
      <c r="A85" s="9" t="s">
        <v>76</v>
      </c>
      <c r="B85" s="12">
        <f t="shared" si="2"/>
        <v>349</v>
      </c>
      <c r="C85" s="12">
        <v>344</v>
      </c>
      <c r="D85" s="12">
        <v>5</v>
      </c>
    </row>
    <row r="86" spans="1:4" x14ac:dyDescent="0.25">
      <c r="A86" s="9" t="s">
        <v>77</v>
      </c>
      <c r="B86" s="12">
        <f t="shared" si="2"/>
        <v>10</v>
      </c>
      <c r="C86" s="12">
        <v>10</v>
      </c>
      <c r="D86" s="12">
        <v>0</v>
      </c>
    </row>
    <row r="87" spans="1:4" x14ac:dyDescent="0.25">
      <c r="A87" s="9" t="s">
        <v>78</v>
      </c>
      <c r="B87" s="12">
        <f t="shared" si="2"/>
        <v>34</v>
      </c>
      <c r="C87" s="12">
        <v>33</v>
      </c>
      <c r="D87" s="12">
        <v>1</v>
      </c>
    </row>
    <row r="88" spans="1:4" x14ac:dyDescent="0.25">
      <c r="A88" s="9" t="s">
        <v>79</v>
      </c>
      <c r="B88" s="12">
        <f t="shared" si="2"/>
        <v>1546</v>
      </c>
      <c r="C88" s="12">
        <v>1518</v>
      </c>
      <c r="D88" s="12">
        <v>28</v>
      </c>
    </row>
    <row r="89" spans="1:4" x14ac:dyDescent="0.25">
      <c r="A89" s="9" t="s">
        <v>80</v>
      </c>
      <c r="B89" s="12">
        <f t="shared" si="2"/>
        <v>19</v>
      </c>
      <c r="C89" s="12">
        <v>9</v>
      </c>
      <c r="D89" s="12">
        <v>10</v>
      </c>
    </row>
    <row r="90" spans="1:4" x14ac:dyDescent="0.25">
      <c r="A90" s="9" t="s">
        <v>24</v>
      </c>
      <c r="B90" s="12">
        <f t="shared" si="2"/>
        <v>5240</v>
      </c>
      <c r="C90" s="12">
        <v>5043</v>
      </c>
      <c r="D90" s="12">
        <v>197</v>
      </c>
    </row>
    <row r="91" spans="1:4" s="3" customFormat="1" x14ac:dyDescent="0.25">
      <c r="A91" s="3" t="s">
        <v>189</v>
      </c>
      <c r="B91" s="13">
        <f t="shared" si="2"/>
        <v>3994</v>
      </c>
      <c r="C91" s="13">
        <f>SUM(C92:C105)</f>
        <v>3402</v>
      </c>
      <c r="D91" s="13">
        <f>SUM(D92:D105)</f>
        <v>592</v>
      </c>
    </row>
    <row r="92" spans="1:4" x14ac:dyDescent="0.25">
      <c r="A92" s="9" t="s">
        <v>81</v>
      </c>
      <c r="B92" s="12">
        <f t="shared" si="2"/>
        <v>89</v>
      </c>
      <c r="C92" s="12">
        <v>76</v>
      </c>
      <c r="D92" s="12">
        <v>13</v>
      </c>
    </row>
    <row r="93" spans="1:4" x14ac:dyDescent="0.25">
      <c r="A93" s="9" t="s">
        <v>82</v>
      </c>
      <c r="B93" s="12">
        <f t="shared" si="2"/>
        <v>20</v>
      </c>
      <c r="C93" s="12">
        <v>17</v>
      </c>
      <c r="D93" s="12">
        <v>3</v>
      </c>
    </row>
    <row r="94" spans="1:4" x14ac:dyDescent="0.25">
      <c r="A94" s="9" t="s">
        <v>83</v>
      </c>
      <c r="B94" s="12">
        <f t="shared" si="2"/>
        <v>321</v>
      </c>
      <c r="C94" s="12">
        <v>302</v>
      </c>
      <c r="D94" s="12">
        <v>19</v>
      </c>
    </row>
    <row r="95" spans="1:4" x14ac:dyDescent="0.25">
      <c r="A95" s="9" t="s">
        <v>84</v>
      </c>
      <c r="B95" s="12">
        <f t="shared" si="2"/>
        <v>6</v>
      </c>
      <c r="C95" s="12">
        <v>4</v>
      </c>
      <c r="D95" s="12">
        <v>2</v>
      </c>
    </row>
    <row r="96" spans="1:4" x14ac:dyDescent="0.25">
      <c r="A96" s="9" t="s">
        <v>85</v>
      </c>
      <c r="B96" s="12">
        <f t="shared" si="2"/>
        <v>15</v>
      </c>
      <c r="C96" s="12">
        <v>12</v>
      </c>
      <c r="D96" s="12">
        <v>3</v>
      </c>
    </row>
    <row r="97" spans="1:4" x14ac:dyDescent="0.25">
      <c r="A97" s="9" t="s">
        <v>44</v>
      </c>
      <c r="B97" s="12">
        <f t="shared" si="2"/>
        <v>52</v>
      </c>
      <c r="C97" s="12">
        <v>51</v>
      </c>
      <c r="D97" s="12">
        <v>1</v>
      </c>
    </row>
    <row r="98" spans="1:4" x14ac:dyDescent="0.25">
      <c r="A98" s="9" t="s">
        <v>86</v>
      </c>
      <c r="B98" s="12">
        <f t="shared" si="2"/>
        <v>13</v>
      </c>
      <c r="C98" s="12">
        <v>12</v>
      </c>
      <c r="D98" s="12">
        <v>1</v>
      </c>
    </row>
    <row r="99" spans="1:4" x14ac:dyDescent="0.25">
      <c r="A99" s="9" t="s">
        <v>87</v>
      </c>
      <c r="B99" s="12">
        <f t="shared" si="2"/>
        <v>127</v>
      </c>
      <c r="C99" s="12">
        <v>124</v>
      </c>
      <c r="D99" s="12">
        <v>3</v>
      </c>
    </row>
    <row r="100" spans="1:4" x14ac:dyDescent="0.25">
      <c r="A100" s="9" t="s">
        <v>88</v>
      </c>
      <c r="B100" s="12">
        <f t="shared" si="2"/>
        <v>293</v>
      </c>
      <c r="C100" s="12">
        <v>286</v>
      </c>
      <c r="D100" s="12">
        <v>7</v>
      </c>
    </row>
    <row r="101" spans="1:4" x14ac:dyDescent="0.25">
      <c r="A101" s="9" t="s">
        <v>89</v>
      </c>
      <c r="B101" s="12">
        <f t="shared" si="2"/>
        <v>30</v>
      </c>
      <c r="C101" s="12">
        <v>26</v>
      </c>
      <c r="D101" s="12">
        <v>4</v>
      </c>
    </row>
    <row r="102" spans="1:4" x14ac:dyDescent="0.25">
      <c r="A102" s="9" t="s">
        <v>90</v>
      </c>
      <c r="B102" s="12">
        <f t="shared" si="2"/>
        <v>30</v>
      </c>
      <c r="C102" s="12">
        <v>28</v>
      </c>
      <c r="D102" s="12">
        <v>2</v>
      </c>
    </row>
    <row r="103" spans="1:4" x14ac:dyDescent="0.25">
      <c r="A103" s="9" t="s">
        <v>91</v>
      </c>
      <c r="B103" s="12">
        <f t="shared" si="2"/>
        <v>25</v>
      </c>
      <c r="C103" s="12">
        <v>22</v>
      </c>
      <c r="D103" s="12">
        <v>3</v>
      </c>
    </row>
    <row r="104" spans="1:4" x14ac:dyDescent="0.25">
      <c r="A104" s="9" t="s">
        <v>92</v>
      </c>
      <c r="B104" s="12">
        <f t="shared" si="2"/>
        <v>125</v>
      </c>
      <c r="C104" s="12">
        <v>116</v>
      </c>
      <c r="D104" s="12">
        <v>9</v>
      </c>
    </row>
    <row r="105" spans="1:4" x14ac:dyDescent="0.25">
      <c r="A105" s="9" t="s">
        <v>24</v>
      </c>
      <c r="B105" s="12">
        <f t="shared" si="2"/>
        <v>2848</v>
      </c>
      <c r="C105" s="12">
        <v>2326</v>
      </c>
      <c r="D105" s="12">
        <v>522</v>
      </c>
    </row>
    <row r="106" spans="1:4" s="3" customFormat="1" x14ac:dyDescent="0.25">
      <c r="A106" s="3" t="s">
        <v>190</v>
      </c>
      <c r="B106" s="13">
        <f t="shared" si="2"/>
        <v>3928</v>
      </c>
      <c r="C106" s="13">
        <f>SUM(C107:C111)</f>
        <v>3344</v>
      </c>
      <c r="D106" s="13">
        <f>SUM(D107:D111)</f>
        <v>584</v>
      </c>
    </row>
    <row r="107" spans="1:4" x14ac:dyDescent="0.25">
      <c r="A107" s="9" t="s">
        <v>93</v>
      </c>
      <c r="B107" s="12">
        <f t="shared" si="2"/>
        <v>72</v>
      </c>
      <c r="C107" s="12">
        <v>64</v>
      </c>
      <c r="D107" s="12">
        <v>8</v>
      </c>
    </row>
    <row r="108" spans="1:4" x14ac:dyDescent="0.25">
      <c r="A108" s="9" t="s">
        <v>94</v>
      </c>
      <c r="B108" s="12">
        <f t="shared" si="2"/>
        <v>67</v>
      </c>
      <c r="C108" s="12">
        <v>59</v>
      </c>
      <c r="D108" s="12">
        <v>8</v>
      </c>
    </row>
    <row r="109" spans="1:4" x14ac:dyDescent="0.25">
      <c r="A109" s="9" t="s">
        <v>95</v>
      </c>
      <c r="B109" s="12">
        <f t="shared" si="2"/>
        <v>236</v>
      </c>
      <c r="C109" s="12">
        <v>217</v>
      </c>
      <c r="D109" s="12">
        <v>19</v>
      </c>
    </row>
    <row r="110" spans="1:4" x14ac:dyDescent="0.25">
      <c r="A110" s="9" t="s">
        <v>96</v>
      </c>
      <c r="B110" s="12">
        <f t="shared" si="2"/>
        <v>8</v>
      </c>
      <c r="C110" s="12">
        <v>5</v>
      </c>
      <c r="D110" s="12">
        <v>3</v>
      </c>
    </row>
    <row r="111" spans="1:4" x14ac:dyDescent="0.25">
      <c r="A111" s="9" t="s">
        <v>24</v>
      </c>
      <c r="B111" s="12">
        <f t="shared" si="2"/>
        <v>3545</v>
      </c>
      <c r="C111" s="12">
        <v>2999</v>
      </c>
      <c r="D111" s="12">
        <v>546</v>
      </c>
    </row>
    <row r="112" spans="1:4" s="3" customFormat="1" x14ac:dyDescent="0.25">
      <c r="A112" s="3" t="s">
        <v>191</v>
      </c>
      <c r="B112" s="13">
        <f>SUM(C112:D112)</f>
        <v>19398</v>
      </c>
      <c r="C112" s="13">
        <f>SUM(C113:C122)</f>
        <v>18004</v>
      </c>
      <c r="D112" s="13">
        <f>SUM(D113:D122)</f>
        <v>1394</v>
      </c>
    </row>
    <row r="113" spans="1:4" x14ac:dyDescent="0.25">
      <c r="A113" s="9" t="s">
        <v>97</v>
      </c>
      <c r="B113" s="12">
        <f t="shared" si="2"/>
        <v>44</v>
      </c>
      <c r="C113" s="12">
        <v>37</v>
      </c>
      <c r="D113" s="12">
        <v>7</v>
      </c>
    </row>
    <row r="114" spans="1:4" x14ac:dyDescent="0.25">
      <c r="A114" s="9" t="s">
        <v>98</v>
      </c>
      <c r="B114" s="12">
        <f t="shared" si="2"/>
        <v>39</v>
      </c>
      <c r="C114" s="12">
        <v>38</v>
      </c>
      <c r="D114" s="12">
        <v>1</v>
      </c>
    </row>
    <row r="115" spans="1:4" x14ac:dyDescent="0.25">
      <c r="A115" s="9" t="s">
        <v>99</v>
      </c>
      <c r="B115" s="12">
        <f t="shared" si="2"/>
        <v>35</v>
      </c>
      <c r="C115" s="12">
        <v>32</v>
      </c>
      <c r="D115" s="12">
        <v>3</v>
      </c>
    </row>
    <row r="116" spans="1:4" x14ac:dyDescent="0.25">
      <c r="A116" s="9" t="s">
        <v>100</v>
      </c>
      <c r="B116" s="12">
        <f t="shared" si="2"/>
        <v>93</v>
      </c>
      <c r="C116" s="12">
        <v>78</v>
      </c>
      <c r="D116" s="12">
        <v>15</v>
      </c>
    </row>
    <row r="117" spans="1:4" x14ac:dyDescent="0.25">
      <c r="A117" s="9" t="s">
        <v>101</v>
      </c>
      <c r="B117" s="12">
        <f t="shared" si="2"/>
        <v>477</v>
      </c>
      <c r="C117" s="12">
        <v>465</v>
      </c>
      <c r="D117" s="12">
        <v>12</v>
      </c>
    </row>
    <row r="118" spans="1:4" x14ac:dyDescent="0.25">
      <c r="A118" s="9" t="s">
        <v>102</v>
      </c>
      <c r="B118" s="12">
        <f t="shared" si="2"/>
        <v>277</v>
      </c>
      <c r="C118" s="12">
        <v>260</v>
      </c>
      <c r="D118" s="12">
        <v>17</v>
      </c>
    </row>
    <row r="119" spans="1:4" x14ac:dyDescent="0.25">
      <c r="A119" s="9" t="s">
        <v>103</v>
      </c>
      <c r="B119" s="12">
        <f t="shared" si="2"/>
        <v>843</v>
      </c>
      <c r="C119" s="12">
        <v>837</v>
      </c>
      <c r="D119" s="12">
        <v>6</v>
      </c>
    </row>
    <row r="120" spans="1:4" x14ac:dyDescent="0.25">
      <c r="A120" s="9" t="s">
        <v>104</v>
      </c>
      <c r="B120" s="12">
        <f t="shared" si="2"/>
        <v>235</v>
      </c>
      <c r="C120" s="12">
        <v>210</v>
      </c>
      <c r="D120" s="12">
        <v>25</v>
      </c>
    </row>
    <row r="121" spans="1:4" x14ac:dyDescent="0.25">
      <c r="A121" s="9" t="s">
        <v>105</v>
      </c>
      <c r="B121" s="12">
        <f t="shared" si="2"/>
        <v>537</v>
      </c>
      <c r="C121" s="12">
        <v>515</v>
      </c>
      <c r="D121" s="12">
        <v>22</v>
      </c>
    </row>
    <row r="122" spans="1:4" x14ac:dyDescent="0.25">
      <c r="A122" s="9" t="s">
        <v>24</v>
      </c>
      <c r="B122" s="12">
        <f t="shared" si="2"/>
        <v>16818</v>
      </c>
      <c r="C122" s="12">
        <v>15532</v>
      </c>
      <c r="D122" s="12">
        <v>1286</v>
      </c>
    </row>
    <row r="123" spans="1:4" s="3" customFormat="1" x14ac:dyDescent="0.25">
      <c r="A123" s="3" t="s">
        <v>192</v>
      </c>
      <c r="B123" s="13">
        <f t="shared" si="2"/>
        <v>2134</v>
      </c>
      <c r="C123" s="13">
        <f>SUM(C124:C132)</f>
        <v>1801</v>
      </c>
      <c r="D123" s="13">
        <f>SUM(D124:D132)</f>
        <v>333</v>
      </c>
    </row>
    <row r="124" spans="1:4" x14ac:dyDescent="0.25">
      <c r="A124" s="9" t="s">
        <v>106</v>
      </c>
      <c r="B124" s="12">
        <f t="shared" si="2"/>
        <v>24</v>
      </c>
      <c r="C124" s="12">
        <v>21</v>
      </c>
      <c r="D124" s="12">
        <v>3</v>
      </c>
    </row>
    <row r="125" spans="1:4" x14ac:dyDescent="0.25">
      <c r="A125" s="9" t="s">
        <v>107</v>
      </c>
      <c r="B125" s="12">
        <f t="shared" si="2"/>
        <v>16</v>
      </c>
      <c r="C125" s="12">
        <v>14</v>
      </c>
      <c r="D125" s="12">
        <v>2</v>
      </c>
    </row>
    <row r="126" spans="1:4" x14ac:dyDescent="0.25">
      <c r="A126" s="9" t="s">
        <v>108</v>
      </c>
      <c r="B126" s="12">
        <f t="shared" si="2"/>
        <v>49</v>
      </c>
      <c r="C126" s="12">
        <v>47</v>
      </c>
      <c r="D126" s="12">
        <v>2</v>
      </c>
    </row>
    <row r="127" spans="1:4" x14ac:dyDescent="0.25">
      <c r="A127" s="9" t="s">
        <v>91</v>
      </c>
      <c r="B127" s="12">
        <f t="shared" si="2"/>
        <v>21</v>
      </c>
      <c r="C127" s="12">
        <v>18</v>
      </c>
      <c r="D127" s="12">
        <v>3</v>
      </c>
    </row>
    <row r="128" spans="1:4" x14ac:dyDescent="0.25">
      <c r="A128" s="9" t="s">
        <v>109</v>
      </c>
      <c r="B128" s="12">
        <f t="shared" si="2"/>
        <v>21</v>
      </c>
      <c r="C128" s="12">
        <v>20</v>
      </c>
      <c r="D128" s="12">
        <v>1</v>
      </c>
    </row>
    <row r="129" spans="1:4" x14ac:dyDescent="0.25">
      <c r="A129" s="9" t="s">
        <v>110</v>
      </c>
      <c r="B129" s="12">
        <f t="shared" si="2"/>
        <v>41</v>
      </c>
      <c r="C129" s="12">
        <v>37</v>
      </c>
      <c r="D129" s="12">
        <v>4</v>
      </c>
    </row>
    <row r="130" spans="1:4" x14ac:dyDescent="0.25">
      <c r="A130" s="9" t="s">
        <v>111</v>
      </c>
      <c r="B130" s="12">
        <f t="shared" si="2"/>
        <v>132</v>
      </c>
      <c r="C130" s="12">
        <v>122</v>
      </c>
      <c r="D130" s="12">
        <v>10</v>
      </c>
    </row>
    <row r="131" spans="1:4" x14ac:dyDescent="0.25">
      <c r="A131" s="9" t="s">
        <v>112</v>
      </c>
      <c r="B131" s="12">
        <f t="shared" si="2"/>
        <v>63</v>
      </c>
      <c r="C131" s="12">
        <v>49</v>
      </c>
      <c r="D131" s="12">
        <v>14</v>
      </c>
    </row>
    <row r="132" spans="1:4" x14ac:dyDescent="0.25">
      <c r="A132" s="9" t="s">
        <v>24</v>
      </c>
      <c r="B132" s="12">
        <f t="shared" si="2"/>
        <v>1767</v>
      </c>
      <c r="C132" s="12">
        <v>1473</v>
      </c>
      <c r="D132" s="12">
        <v>294</v>
      </c>
    </row>
    <row r="133" spans="1:4" s="3" customFormat="1" x14ac:dyDescent="0.25">
      <c r="A133" s="3" t="s">
        <v>193</v>
      </c>
      <c r="B133" s="13">
        <f t="shared" si="2"/>
        <v>3312</v>
      </c>
      <c r="C133" s="13">
        <f>SUM(C134:C144)</f>
        <v>2965</v>
      </c>
      <c r="D133" s="13">
        <f>SUM(D134:D144)</f>
        <v>347</v>
      </c>
    </row>
    <row r="134" spans="1:4" x14ac:dyDescent="0.25">
      <c r="A134" s="9" t="s">
        <v>113</v>
      </c>
      <c r="B134" s="12">
        <f t="shared" si="2"/>
        <v>64</v>
      </c>
      <c r="C134" s="12">
        <v>60</v>
      </c>
      <c r="D134" s="12">
        <v>4</v>
      </c>
    </row>
    <row r="135" spans="1:4" x14ac:dyDescent="0.25">
      <c r="A135" s="9" t="s">
        <v>11</v>
      </c>
      <c r="B135" s="12">
        <f t="shared" si="2"/>
        <v>19</v>
      </c>
      <c r="C135" s="12">
        <v>18</v>
      </c>
      <c r="D135" s="12">
        <v>1</v>
      </c>
    </row>
    <row r="136" spans="1:4" x14ac:dyDescent="0.25">
      <c r="A136" s="9" t="s">
        <v>114</v>
      </c>
      <c r="B136" s="12">
        <f t="shared" si="2"/>
        <v>54</v>
      </c>
      <c r="C136" s="12">
        <v>47</v>
      </c>
      <c r="D136" s="12">
        <v>7</v>
      </c>
    </row>
    <row r="137" spans="1:4" x14ac:dyDescent="0.25">
      <c r="A137" s="9" t="s">
        <v>115</v>
      </c>
      <c r="B137" s="12">
        <f t="shared" ref="B137:B200" si="3">SUM(C137:D137)</f>
        <v>69</v>
      </c>
      <c r="C137" s="12">
        <v>65</v>
      </c>
      <c r="D137" s="12">
        <v>4</v>
      </c>
    </row>
    <row r="138" spans="1:4" x14ac:dyDescent="0.25">
      <c r="A138" s="9" t="s">
        <v>116</v>
      </c>
      <c r="B138" s="12">
        <f t="shared" si="3"/>
        <v>52</v>
      </c>
      <c r="C138" s="12">
        <v>49</v>
      </c>
      <c r="D138" s="12">
        <v>3</v>
      </c>
    </row>
    <row r="139" spans="1:4" x14ac:dyDescent="0.25">
      <c r="A139" s="9" t="s">
        <v>28</v>
      </c>
      <c r="B139" s="12">
        <f t="shared" si="3"/>
        <v>3</v>
      </c>
      <c r="C139" s="12">
        <v>3</v>
      </c>
      <c r="D139" s="12">
        <v>0</v>
      </c>
    </row>
    <row r="140" spans="1:4" x14ac:dyDescent="0.25">
      <c r="A140" s="9" t="s">
        <v>117</v>
      </c>
      <c r="B140" s="12">
        <f t="shared" si="3"/>
        <v>105</v>
      </c>
      <c r="C140" s="12">
        <v>93</v>
      </c>
      <c r="D140" s="12">
        <v>12</v>
      </c>
    </row>
    <row r="141" spans="1:4" x14ac:dyDescent="0.25">
      <c r="A141" s="9" t="s">
        <v>118</v>
      </c>
      <c r="B141" s="12">
        <f t="shared" si="3"/>
        <v>65</v>
      </c>
      <c r="C141" s="12">
        <v>62</v>
      </c>
      <c r="D141" s="12">
        <v>3</v>
      </c>
    </row>
    <row r="142" spans="1:4" x14ac:dyDescent="0.25">
      <c r="A142" s="9" t="s">
        <v>119</v>
      </c>
      <c r="B142" s="12">
        <f t="shared" si="3"/>
        <v>118</v>
      </c>
      <c r="C142" s="12">
        <v>114</v>
      </c>
      <c r="D142" s="12">
        <v>4</v>
      </c>
    </row>
    <row r="143" spans="1:4" x14ac:dyDescent="0.25">
      <c r="A143" s="9" t="s">
        <v>120</v>
      </c>
      <c r="B143" s="12">
        <f t="shared" si="3"/>
        <v>27</v>
      </c>
      <c r="C143" s="12">
        <v>26</v>
      </c>
      <c r="D143" s="12">
        <v>1</v>
      </c>
    </row>
    <row r="144" spans="1:4" x14ac:dyDescent="0.25">
      <c r="A144" s="9" t="s">
        <v>24</v>
      </c>
      <c r="B144" s="12">
        <f t="shared" si="3"/>
        <v>2736</v>
      </c>
      <c r="C144" s="12">
        <v>2428</v>
      </c>
      <c r="D144" s="12">
        <v>308</v>
      </c>
    </row>
    <row r="145" spans="1:4" s="3" customFormat="1" x14ac:dyDescent="0.25">
      <c r="A145" s="3" t="s">
        <v>194</v>
      </c>
      <c r="B145" s="13">
        <f t="shared" si="3"/>
        <v>810</v>
      </c>
      <c r="C145" s="13">
        <f>SUM(C146:C151)</f>
        <v>720</v>
      </c>
      <c r="D145" s="13">
        <f>SUM(D146:D151)</f>
        <v>90</v>
      </c>
    </row>
    <row r="146" spans="1:4" x14ac:dyDescent="0.25">
      <c r="A146" s="9" t="s">
        <v>121</v>
      </c>
      <c r="B146" s="12">
        <f t="shared" si="3"/>
        <v>23</v>
      </c>
      <c r="C146" s="12">
        <v>14</v>
      </c>
      <c r="D146" s="12">
        <v>9</v>
      </c>
    </row>
    <row r="147" spans="1:4" x14ac:dyDescent="0.25">
      <c r="A147" s="9" t="s">
        <v>122</v>
      </c>
      <c r="B147" s="12">
        <f t="shared" si="3"/>
        <v>35</v>
      </c>
      <c r="C147" s="12">
        <v>28</v>
      </c>
      <c r="D147" s="12">
        <v>7</v>
      </c>
    </row>
    <row r="148" spans="1:4" x14ac:dyDescent="0.25">
      <c r="A148" s="9" t="s">
        <v>123</v>
      </c>
      <c r="B148" s="12">
        <f t="shared" si="3"/>
        <v>264</v>
      </c>
      <c r="C148" s="12">
        <v>260</v>
      </c>
      <c r="D148" s="12">
        <v>4</v>
      </c>
    </row>
    <row r="149" spans="1:4" x14ac:dyDescent="0.25">
      <c r="A149" s="9" t="s">
        <v>124</v>
      </c>
      <c r="B149" s="12">
        <f t="shared" si="3"/>
        <v>1</v>
      </c>
      <c r="C149" s="12">
        <v>0</v>
      </c>
      <c r="D149" s="12">
        <v>1</v>
      </c>
    </row>
    <row r="150" spans="1:4" x14ac:dyDescent="0.25">
      <c r="A150" s="9" t="s">
        <v>125</v>
      </c>
      <c r="B150" s="12">
        <f t="shared" si="3"/>
        <v>108</v>
      </c>
      <c r="C150" s="12">
        <v>95</v>
      </c>
      <c r="D150" s="12">
        <v>13</v>
      </c>
    </row>
    <row r="151" spans="1:4" x14ac:dyDescent="0.25">
      <c r="A151" s="9" t="s">
        <v>24</v>
      </c>
      <c r="B151" s="12">
        <f t="shared" si="3"/>
        <v>379</v>
      </c>
      <c r="C151" s="12">
        <v>323</v>
      </c>
      <c r="D151" s="12">
        <v>56</v>
      </c>
    </row>
    <row r="152" spans="1:4" s="3" customFormat="1" x14ac:dyDescent="0.25">
      <c r="A152" s="3" t="s">
        <v>195</v>
      </c>
      <c r="B152" s="13">
        <f t="shared" si="3"/>
        <v>205</v>
      </c>
      <c r="C152" s="13">
        <f>SUM(C153:C161)</f>
        <v>179</v>
      </c>
      <c r="D152" s="13">
        <f>SUM(D153:D161)</f>
        <v>26</v>
      </c>
    </row>
    <row r="153" spans="1:4" x14ac:dyDescent="0.25">
      <c r="A153" s="9" t="s">
        <v>126</v>
      </c>
      <c r="B153" s="12">
        <f t="shared" si="3"/>
        <v>18</v>
      </c>
      <c r="C153" s="12">
        <v>17</v>
      </c>
      <c r="D153" s="12">
        <v>1</v>
      </c>
    </row>
    <row r="154" spans="1:4" x14ac:dyDescent="0.25">
      <c r="A154" s="9" t="s">
        <v>127</v>
      </c>
      <c r="B154" s="12">
        <f t="shared" si="3"/>
        <v>33</v>
      </c>
      <c r="C154" s="12">
        <v>33</v>
      </c>
      <c r="D154" s="12">
        <v>0</v>
      </c>
    </row>
    <row r="155" spans="1:4" x14ac:dyDescent="0.25">
      <c r="A155" s="9" t="s">
        <v>75</v>
      </c>
      <c r="B155" s="12">
        <f t="shared" si="3"/>
        <v>12</v>
      </c>
      <c r="C155" s="12">
        <v>11</v>
      </c>
      <c r="D155" s="12">
        <v>1</v>
      </c>
    </row>
    <row r="156" spans="1:4" x14ac:dyDescent="0.25">
      <c r="A156" s="9" t="s">
        <v>128</v>
      </c>
      <c r="B156" s="12">
        <f t="shared" si="3"/>
        <v>21</v>
      </c>
      <c r="C156" s="12">
        <v>18</v>
      </c>
      <c r="D156" s="12">
        <v>3</v>
      </c>
    </row>
    <row r="157" spans="1:4" x14ac:dyDescent="0.25">
      <c r="A157" s="9" t="s">
        <v>129</v>
      </c>
      <c r="B157" s="12">
        <f t="shared" si="3"/>
        <v>47</v>
      </c>
      <c r="C157" s="12">
        <v>38</v>
      </c>
      <c r="D157" s="12">
        <v>9</v>
      </c>
    </row>
    <row r="158" spans="1:4" x14ac:dyDescent="0.25">
      <c r="A158" s="9" t="s">
        <v>130</v>
      </c>
      <c r="B158" s="12">
        <f t="shared" si="3"/>
        <v>2</v>
      </c>
      <c r="C158" s="12">
        <v>0</v>
      </c>
      <c r="D158" s="12">
        <v>2</v>
      </c>
    </row>
    <row r="159" spans="1:4" x14ac:dyDescent="0.25">
      <c r="A159" s="9" t="s">
        <v>131</v>
      </c>
      <c r="B159" s="12">
        <f t="shared" si="3"/>
        <v>3</v>
      </c>
      <c r="C159" s="12">
        <v>1</v>
      </c>
      <c r="D159" s="12">
        <v>2</v>
      </c>
    </row>
    <row r="160" spans="1:4" x14ac:dyDescent="0.25">
      <c r="A160" s="9" t="s">
        <v>132</v>
      </c>
      <c r="B160" s="12">
        <f t="shared" si="3"/>
        <v>18</v>
      </c>
      <c r="C160" s="12">
        <v>15</v>
      </c>
      <c r="D160" s="12">
        <v>3</v>
      </c>
    </row>
    <row r="161" spans="1:4" x14ac:dyDescent="0.25">
      <c r="A161" s="9" t="s">
        <v>24</v>
      </c>
      <c r="B161" s="12">
        <f t="shared" si="3"/>
        <v>51</v>
      </c>
      <c r="C161" s="12">
        <v>46</v>
      </c>
      <c r="D161" s="12">
        <v>5</v>
      </c>
    </row>
    <row r="162" spans="1:4" s="3" customFormat="1" x14ac:dyDescent="0.25">
      <c r="A162" s="3" t="s">
        <v>196</v>
      </c>
      <c r="B162" s="13">
        <f t="shared" si="3"/>
        <v>104</v>
      </c>
      <c r="C162" s="13">
        <f>SUM(C163:C168)</f>
        <v>90</v>
      </c>
      <c r="D162" s="13">
        <f>SUM(D163:D168)</f>
        <v>14</v>
      </c>
    </row>
    <row r="163" spans="1:4" x14ac:dyDescent="0.25">
      <c r="A163" s="9" t="s">
        <v>133</v>
      </c>
      <c r="B163" s="12">
        <f t="shared" si="3"/>
        <v>17</v>
      </c>
      <c r="C163" s="12">
        <v>15</v>
      </c>
      <c r="D163" s="12">
        <v>2</v>
      </c>
    </row>
    <row r="164" spans="1:4" x14ac:dyDescent="0.25">
      <c r="A164" s="9" t="s">
        <v>134</v>
      </c>
      <c r="B164" s="12">
        <f t="shared" si="3"/>
        <v>3</v>
      </c>
      <c r="C164" s="12">
        <v>3</v>
      </c>
      <c r="D164" s="12">
        <v>0</v>
      </c>
    </row>
    <row r="165" spans="1:4" x14ac:dyDescent="0.25">
      <c r="A165" s="9" t="s">
        <v>135</v>
      </c>
      <c r="B165" s="12">
        <f t="shared" si="3"/>
        <v>23</v>
      </c>
      <c r="C165" s="12">
        <v>19</v>
      </c>
      <c r="D165" s="12">
        <v>4</v>
      </c>
    </row>
    <row r="166" spans="1:4" x14ac:dyDescent="0.25">
      <c r="A166" s="9" t="s">
        <v>62</v>
      </c>
      <c r="B166" s="12">
        <f t="shared" si="3"/>
        <v>20</v>
      </c>
      <c r="C166" s="12">
        <v>19</v>
      </c>
      <c r="D166" s="12">
        <v>1</v>
      </c>
    </row>
    <row r="167" spans="1:4" x14ac:dyDescent="0.25">
      <c r="A167" s="9" t="s">
        <v>136</v>
      </c>
      <c r="B167" s="12">
        <f t="shared" si="3"/>
        <v>35</v>
      </c>
      <c r="C167" s="12">
        <v>28</v>
      </c>
      <c r="D167" s="12">
        <v>7</v>
      </c>
    </row>
    <row r="168" spans="1:4" x14ac:dyDescent="0.25">
      <c r="A168" s="9" t="s">
        <v>24</v>
      </c>
      <c r="B168" s="12">
        <f t="shared" si="3"/>
        <v>6</v>
      </c>
      <c r="C168" s="12">
        <v>6</v>
      </c>
      <c r="D168" s="12">
        <v>0</v>
      </c>
    </row>
    <row r="169" spans="1:4" s="3" customFormat="1" x14ac:dyDescent="0.25">
      <c r="A169" s="3" t="s">
        <v>197</v>
      </c>
      <c r="B169" s="13">
        <f t="shared" si="3"/>
        <v>1987</v>
      </c>
      <c r="C169" s="13">
        <f>SUM(C170:C176)</f>
        <v>1748</v>
      </c>
      <c r="D169" s="13">
        <f>SUM(D170:D176)</f>
        <v>239</v>
      </c>
    </row>
    <row r="170" spans="1:4" x14ac:dyDescent="0.25">
      <c r="A170" s="9" t="s">
        <v>137</v>
      </c>
      <c r="B170" s="12">
        <f t="shared" si="3"/>
        <v>16</v>
      </c>
      <c r="C170" s="12">
        <v>15</v>
      </c>
      <c r="D170" s="12">
        <v>1</v>
      </c>
    </row>
    <row r="171" spans="1:4" x14ac:dyDescent="0.25">
      <c r="A171" s="9" t="s">
        <v>138</v>
      </c>
      <c r="B171" s="12">
        <f t="shared" si="3"/>
        <v>8</v>
      </c>
      <c r="C171" s="12">
        <v>8</v>
      </c>
      <c r="D171" s="12">
        <v>0</v>
      </c>
    </row>
    <row r="172" spans="1:4" x14ac:dyDescent="0.25">
      <c r="A172" s="9" t="s">
        <v>139</v>
      </c>
      <c r="B172" s="12">
        <f t="shared" si="3"/>
        <v>177</v>
      </c>
      <c r="C172" s="12">
        <v>166</v>
      </c>
      <c r="D172" s="12">
        <v>11</v>
      </c>
    </row>
    <row r="173" spans="1:4" x14ac:dyDescent="0.25">
      <c r="A173" s="9" t="s">
        <v>140</v>
      </c>
      <c r="B173" s="12">
        <f t="shared" si="3"/>
        <v>10</v>
      </c>
      <c r="C173" s="12">
        <v>9</v>
      </c>
      <c r="D173" s="12">
        <v>1</v>
      </c>
    </row>
    <row r="174" spans="1:4" x14ac:dyDescent="0.25">
      <c r="A174" s="9" t="s">
        <v>76</v>
      </c>
      <c r="B174" s="12">
        <f t="shared" si="3"/>
        <v>42</v>
      </c>
      <c r="C174" s="12">
        <v>39</v>
      </c>
      <c r="D174" s="12">
        <v>3</v>
      </c>
    </row>
    <row r="175" spans="1:4" x14ac:dyDescent="0.25">
      <c r="A175" s="9" t="s">
        <v>141</v>
      </c>
      <c r="B175" s="12">
        <f t="shared" si="3"/>
        <v>8</v>
      </c>
      <c r="C175" s="12">
        <v>5</v>
      </c>
      <c r="D175" s="12">
        <v>3</v>
      </c>
    </row>
    <row r="176" spans="1:4" x14ac:dyDescent="0.25">
      <c r="A176" s="9" t="s">
        <v>24</v>
      </c>
      <c r="B176" s="12">
        <f t="shared" si="3"/>
        <v>1726</v>
      </c>
      <c r="C176" s="12">
        <v>1506</v>
      </c>
      <c r="D176" s="12">
        <v>220</v>
      </c>
    </row>
    <row r="177" spans="1:4" s="3" customFormat="1" x14ac:dyDescent="0.25">
      <c r="A177" s="3" t="s">
        <v>198</v>
      </c>
      <c r="B177" s="13">
        <f t="shared" si="3"/>
        <v>970</v>
      </c>
      <c r="C177" s="13">
        <f>SUM(C178:C191)</f>
        <v>896</v>
      </c>
      <c r="D177" s="13">
        <f>SUM(D178:D191)</f>
        <v>74</v>
      </c>
    </row>
    <row r="178" spans="1:4" x14ac:dyDescent="0.25">
      <c r="A178" s="9" t="s">
        <v>142</v>
      </c>
      <c r="B178" s="12">
        <f t="shared" si="3"/>
        <v>19</v>
      </c>
      <c r="C178" s="12">
        <v>18</v>
      </c>
      <c r="D178" s="12">
        <v>1</v>
      </c>
    </row>
    <row r="179" spans="1:4" x14ac:dyDescent="0.25">
      <c r="A179" s="9" t="s">
        <v>143</v>
      </c>
      <c r="B179" s="12">
        <f t="shared" si="3"/>
        <v>28</v>
      </c>
      <c r="C179" s="12">
        <v>26</v>
      </c>
      <c r="D179" s="12">
        <v>2</v>
      </c>
    </row>
    <row r="180" spans="1:4" x14ac:dyDescent="0.25">
      <c r="A180" s="9" t="s">
        <v>144</v>
      </c>
      <c r="B180" s="12">
        <f t="shared" si="3"/>
        <v>14</v>
      </c>
      <c r="C180" s="12">
        <v>11</v>
      </c>
      <c r="D180" s="12">
        <v>3</v>
      </c>
    </row>
    <row r="181" spans="1:4" x14ac:dyDescent="0.25">
      <c r="A181" s="9" t="s">
        <v>100</v>
      </c>
      <c r="B181" s="12">
        <f t="shared" si="3"/>
        <v>64</v>
      </c>
      <c r="C181" s="12">
        <v>61</v>
      </c>
      <c r="D181" s="12">
        <v>3</v>
      </c>
    </row>
    <row r="182" spans="1:4" x14ac:dyDescent="0.25">
      <c r="A182" s="9" t="s">
        <v>145</v>
      </c>
      <c r="B182" s="12">
        <f t="shared" si="3"/>
        <v>67</v>
      </c>
      <c r="C182" s="12">
        <v>65</v>
      </c>
      <c r="D182" s="12">
        <v>2</v>
      </c>
    </row>
    <row r="183" spans="1:4" x14ac:dyDescent="0.25">
      <c r="A183" s="9" t="s">
        <v>146</v>
      </c>
      <c r="B183" s="12">
        <f t="shared" si="3"/>
        <v>18</v>
      </c>
      <c r="C183" s="12">
        <v>16</v>
      </c>
      <c r="D183" s="12">
        <v>2</v>
      </c>
    </row>
    <row r="184" spans="1:4" x14ac:dyDescent="0.25">
      <c r="A184" s="9" t="s">
        <v>147</v>
      </c>
      <c r="B184" s="12">
        <f t="shared" si="3"/>
        <v>8</v>
      </c>
      <c r="C184" s="12">
        <v>7</v>
      </c>
      <c r="D184" s="12">
        <v>1</v>
      </c>
    </row>
    <row r="185" spans="1:4" x14ac:dyDescent="0.25">
      <c r="A185" s="9" t="s">
        <v>148</v>
      </c>
      <c r="B185" s="12">
        <f t="shared" si="3"/>
        <v>53</v>
      </c>
      <c r="C185" s="12">
        <v>51</v>
      </c>
      <c r="D185" s="12">
        <v>2</v>
      </c>
    </row>
    <row r="186" spans="1:4" x14ac:dyDescent="0.25">
      <c r="A186" s="9" t="s">
        <v>120</v>
      </c>
      <c r="B186" s="12">
        <f t="shared" si="3"/>
        <v>436</v>
      </c>
      <c r="C186" s="12">
        <v>435</v>
      </c>
      <c r="D186" s="12">
        <v>1</v>
      </c>
    </row>
    <row r="187" spans="1:4" x14ac:dyDescent="0.25">
      <c r="A187" s="9" t="s">
        <v>149</v>
      </c>
      <c r="B187" s="12">
        <f t="shared" si="3"/>
        <v>29</v>
      </c>
      <c r="C187" s="12">
        <v>22</v>
      </c>
      <c r="D187" s="12">
        <v>7</v>
      </c>
    </row>
    <row r="188" spans="1:4" x14ac:dyDescent="0.25">
      <c r="A188" s="9" t="s">
        <v>150</v>
      </c>
      <c r="B188" s="12">
        <f t="shared" si="3"/>
        <v>5</v>
      </c>
      <c r="C188" s="12">
        <v>4</v>
      </c>
      <c r="D188" s="12">
        <v>1</v>
      </c>
    </row>
    <row r="189" spans="1:4" x14ac:dyDescent="0.25">
      <c r="A189" s="9" t="s">
        <v>151</v>
      </c>
      <c r="B189" s="12">
        <f t="shared" si="3"/>
        <v>56</v>
      </c>
      <c r="C189" s="12">
        <v>40</v>
      </c>
      <c r="D189" s="12">
        <v>16</v>
      </c>
    </row>
    <row r="190" spans="1:4" x14ac:dyDescent="0.25">
      <c r="A190" s="9" t="s">
        <v>152</v>
      </c>
      <c r="B190" s="12">
        <f t="shared" si="3"/>
        <v>27</v>
      </c>
      <c r="C190" s="12">
        <v>22</v>
      </c>
      <c r="D190" s="12">
        <v>5</v>
      </c>
    </row>
    <row r="191" spans="1:4" x14ac:dyDescent="0.25">
      <c r="A191" s="9" t="s">
        <v>24</v>
      </c>
      <c r="B191" s="12">
        <f t="shared" si="3"/>
        <v>146</v>
      </c>
      <c r="C191" s="12">
        <v>118</v>
      </c>
      <c r="D191" s="12">
        <v>28</v>
      </c>
    </row>
    <row r="192" spans="1:4" s="3" customFormat="1" x14ac:dyDescent="0.25">
      <c r="A192" s="3" t="s">
        <v>199</v>
      </c>
      <c r="B192" s="13">
        <f t="shared" si="3"/>
        <v>1412</v>
      </c>
      <c r="C192" s="13">
        <f>SUM(C193:C204)</f>
        <v>1168</v>
      </c>
      <c r="D192" s="13">
        <f>SUM(D193:D204)</f>
        <v>244</v>
      </c>
    </row>
    <row r="193" spans="1:4" x14ac:dyDescent="0.25">
      <c r="A193" s="9" t="s">
        <v>153</v>
      </c>
      <c r="B193" s="12">
        <f t="shared" si="3"/>
        <v>4</v>
      </c>
      <c r="C193" s="12">
        <v>4</v>
      </c>
      <c r="D193" s="12">
        <v>0</v>
      </c>
    </row>
    <row r="194" spans="1:4" x14ac:dyDescent="0.25">
      <c r="A194" s="9" t="s">
        <v>154</v>
      </c>
      <c r="B194" s="12">
        <f t="shared" si="3"/>
        <v>126</v>
      </c>
      <c r="C194" s="12">
        <v>118</v>
      </c>
      <c r="D194" s="12">
        <v>8</v>
      </c>
    </row>
    <row r="195" spans="1:4" x14ac:dyDescent="0.25">
      <c r="A195" s="9" t="s">
        <v>155</v>
      </c>
      <c r="B195" s="12">
        <f t="shared" si="3"/>
        <v>7</v>
      </c>
      <c r="C195" s="12">
        <v>1</v>
      </c>
      <c r="D195" s="12">
        <v>6</v>
      </c>
    </row>
    <row r="196" spans="1:4" x14ac:dyDescent="0.25">
      <c r="A196" s="9" t="s">
        <v>156</v>
      </c>
      <c r="B196" s="12">
        <f t="shared" si="3"/>
        <v>272</v>
      </c>
      <c r="C196" s="12">
        <v>241</v>
      </c>
      <c r="D196" s="12">
        <v>31</v>
      </c>
    </row>
    <row r="197" spans="1:4" x14ac:dyDescent="0.25">
      <c r="A197" s="9" t="s">
        <v>157</v>
      </c>
      <c r="B197" s="12">
        <f t="shared" si="3"/>
        <v>8</v>
      </c>
      <c r="C197" s="12">
        <v>6</v>
      </c>
      <c r="D197" s="12">
        <v>2</v>
      </c>
    </row>
    <row r="198" spans="1:4" x14ac:dyDescent="0.25">
      <c r="A198" s="9" t="s">
        <v>158</v>
      </c>
      <c r="B198" s="12">
        <f t="shared" si="3"/>
        <v>51</v>
      </c>
      <c r="C198" s="12">
        <v>47</v>
      </c>
      <c r="D198" s="12">
        <v>4</v>
      </c>
    </row>
    <row r="199" spans="1:4" x14ac:dyDescent="0.25">
      <c r="A199" s="9" t="s">
        <v>159</v>
      </c>
      <c r="B199" s="12">
        <f t="shared" si="3"/>
        <v>9</v>
      </c>
      <c r="C199" s="12">
        <v>8</v>
      </c>
      <c r="D199" s="12">
        <v>1</v>
      </c>
    </row>
    <row r="200" spans="1:4" x14ac:dyDescent="0.25">
      <c r="A200" s="9" t="s">
        <v>160</v>
      </c>
      <c r="B200" s="12">
        <f t="shared" si="3"/>
        <v>14</v>
      </c>
      <c r="C200" s="12">
        <v>13</v>
      </c>
      <c r="D200" s="12">
        <v>1</v>
      </c>
    </row>
    <row r="201" spans="1:4" x14ac:dyDescent="0.25">
      <c r="A201" s="9" t="s">
        <v>161</v>
      </c>
      <c r="B201" s="12">
        <f t="shared" ref="B201:B235" si="4">SUM(C201:D201)</f>
        <v>18</v>
      </c>
      <c r="C201" s="12">
        <v>17</v>
      </c>
      <c r="D201" s="12">
        <v>1</v>
      </c>
    </row>
    <row r="202" spans="1:4" x14ac:dyDescent="0.25">
      <c r="A202" s="9" t="s">
        <v>162</v>
      </c>
      <c r="B202" s="12">
        <f t="shared" si="4"/>
        <v>66</v>
      </c>
      <c r="C202" s="12">
        <v>61</v>
      </c>
      <c r="D202" s="12">
        <v>5</v>
      </c>
    </row>
    <row r="203" spans="1:4" x14ac:dyDescent="0.25">
      <c r="A203" s="9" t="s">
        <v>163</v>
      </c>
      <c r="B203" s="12">
        <f t="shared" si="4"/>
        <v>3</v>
      </c>
      <c r="C203" s="12">
        <v>3</v>
      </c>
      <c r="D203" s="12">
        <v>0</v>
      </c>
    </row>
    <row r="204" spans="1:4" x14ac:dyDescent="0.25">
      <c r="A204" s="9" t="s">
        <v>24</v>
      </c>
      <c r="B204" s="12">
        <f t="shared" si="4"/>
        <v>834</v>
      </c>
      <c r="C204" s="12">
        <v>649</v>
      </c>
      <c r="D204" s="12">
        <v>185</v>
      </c>
    </row>
    <row r="205" spans="1:4" s="3" customFormat="1" x14ac:dyDescent="0.25">
      <c r="A205" s="3" t="s">
        <v>200</v>
      </c>
      <c r="B205" s="13">
        <f t="shared" si="4"/>
        <v>2824</v>
      </c>
      <c r="C205" s="13">
        <f>SUM(C206:C215)</f>
        <v>2671</v>
      </c>
      <c r="D205" s="13">
        <f>SUM(D206:D215)</f>
        <v>153</v>
      </c>
    </row>
    <row r="206" spans="1:4" x14ac:dyDescent="0.25">
      <c r="A206" s="9" t="s">
        <v>164</v>
      </c>
      <c r="B206" s="12">
        <f t="shared" si="4"/>
        <v>17</v>
      </c>
      <c r="C206" s="12">
        <v>15</v>
      </c>
      <c r="D206" s="12">
        <v>2</v>
      </c>
    </row>
    <row r="207" spans="1:4" x14ac:dyDescent="0.25">
      <c r="A207" s="9" t="s">
        <v>165</v>
      </c>
      <c r="B207" s="12">
        <f t="shared" si="4"/>
        <v>20</v>
      </c>
      <c r="C207" s="12">
        <v>19</v>
      </c>
      <c r="D207" s="12">
        <v>1</v>
      </c>
    </row>
    <row r="208" spans="1:4" x14ac:dyDescent="0.25">
      <c r="A208" s="9" t="s">
        <v>166</v>
      </c>
      <c r="B208" s="12">
        <f t="shared" si="4"/>
        <v>30</v>
      </c>
      <c r="C208" s="12">
        <v>25</v>
      </c>
      <c r="D208" s="12">
        <v>5</v>
      </c>
    </row>
    <row r="209" spans="1:4" x14ac:dyDescent="0.25">
      <c r="A209" s="9" t="s">
        <v>167</v>
      </c>
      <c r="B209" s="12">
        <f t="shared" si="4"/>
        <v>8</v>
      </c>
      <c r="C209" s="12">
        <v>6</v>
      </c>
      <c r="D209" s="12">
        <v>2</v>
      </c>
    </row>
    <row r="210" spans="1:4" x14ac:dyDescent="0.25">
      <c r="A210" s="9" t="s">
        <v>168</v>
      </c>
      <c r="B210" s="12">
        <f t="shared" si="4"/>
        <v>43</v>
      </c>
      <c r="C210" s="12">
        <v>41</v>
      </c>
      <c r="D210" s="12">
        <v>2</v>
      </c>
    </row>
    <row r="211" spans="1:4" x14ac:dyDescent="0.25">
      <c r="A211" s="9" t="s">
        <v>169</v>
      </c>
      <c r="B211" s="12">
        <f t="shared" si="4"/>
        <v>2</v>
      </c>
      <c r="C211" s="12">
        <v>1</v>
      </c>
      <c r="D211" s="12">
        <v>1</v>
      </c>
    </row>
    <row r="212" spans="1:4" x14ac:dyDescent="0.25">
      <c r="A212" s="9" t="s">
        <v>161</v>
      </c>
      <c r="B212" s="12">
        <f t="shared" si="4"/>
        <v>48</v>
      </c>
      <c r="C212" s="12">
        <v>44</v>
      </c>
      <c r="D212" s="12">
        <v>4</v>
      </c>
    </row>
    <row r="213" spans="1:4" x14ac:dyDescent="0.25">
      <c r="A213" s="9" t="s">
        <v>136</v>
      </c>
      <c r="B213" s="12">
        <f t="shared" si="4"/>
        <v>39</v>
      </c>
      <c r="C213" s="12">
        <v>33</v>
      </c>
      <c r="D213" s="12">
        <v>6</v>
      </c>
    </row>
    <row r="214" spans="1:4" x14ac:dyDescent="0.25">
      <c r="A214" s="9" t="s">
        <v>170</v>
      </c>
      <c r="B214" s="12">
        <f t="shared" si="4"/>
        <v>150</v>
      </c>
      <c r="C214" s="12">
        <v>126</v>
      </c>
      <c r="D214" s="12">
        <v>24</v>
      </c>
    </row>
    <row r="215" spans="1:4" x14ac:dyDescent="0.25">
      <c r="A215" s="9" t="s">
        <v>24</v>
      </c>
      <c r="B215" s="12">
        <f t="shared" si="4"/>
        <v>2467</v>
      </c>
      <c r="C215" s="12">
        <v>2361</v>
      </c>
      <c r="D215" s="12">
        <v>106</v>
      </c>
    </row>
    <row r="216" spans="1:4" s="3" customFormat="1" x14ac:dyDescent="0.25">
      <c r="A216" s="3" t="s">
        <v>201</v>
      </c>
      <c r="B216" s="13">
        <f t="shared" si="4"/>
        <v>1171</v>
      </c>
      <c r="C216" s="13">
        <f>SUM(C217:C225)</f>
        <v>998</v>
      </c>
      <c r="D216" s="13">
        <f>SUM(D217:D225)</f>
        <v>173</v>
      </c>
    </row>
    <row r="217" spans="1:4" x14ac:dyDescent="0.25">
      <c r="A217" s="9" t="s">
        <v>171</v>
      </c>
      <c r="B217" s="12">
        <f t="shared" si="4"/>
        <v>32</v>
      </c>
      <c r="C217" s="12">
        <v>31</v>
      </c>
      <c r="D217" s="12">
        <v>1</v>
      </c>
    </row>
    <row r="218" spans="1:4" x14ac:dyDescent="0.25">
      <c r="A218" s="9" t="s">
        <v>172</v>
      </c>
      <c r="B218" s="12">
        <f t="shared" si="4"/>
        <v>31</v>
      </c>
      <c r="C218" s="12">
        <v>27</v>
      </c>
      <c r="D218" s="12">
        <v>4</v>
      </c>
    </row>
    <row r="219" spans="1:4" x14ac:dyDescent="0.25">
      <c r="A219" s="9" t="s">
        <v>173</v>
      </c>
      <c r="B219" s="12">
        <f t="shared" si="4"/>
        <v>81</v>
      </c>
      <c r="C219" s="12">
        <v>75</v>
      </c>
      <c r="D219" s="12">
        <v>6</v>
      </c>
    </row>
    <row r="220" spans="1:4" x14ac:dyDescent="0.25">
      <c r="A220" s="9" t="s">
        <v>174</v>
      </c>
      <c r="B220" s="12">
        <f t="shared" si="4"/>
        <v>16</v>
      </c>
      <c r="C220" s="12">
        <v>14</v>
      </c>
      <c r="D220" s="12">
        <v>2</v>
      </c>
    </row>
    <row r="221" spans="1:4" x14ac:dyDescent="0.25">
      <c r="A221" s="9" t="s">
        <v>175</v>
      </c>
      <c r="B221" s="12">
        <f t="shared" si="4"/>
        <v>12</v>
      </c>
      <c r="C221" s="12">
        <v>7</v>
      </c>
      <c r="D221" s="12">
        <v>5</v>
      </c>
    </row>
    <row r="222" spans="1:4" x14ac:dyDescent="0.25">
      <c r="A222" s="9" t="s">
        <v>176</v>
      </c>
      <c r="B222" s="12">
        <f t="shared" si="4"/>
        <v>32</v>
      </c>
      <c r="C222" s="12">
        <v>24</v>
      </c>
      <c r="D222" s="12">
        <v>8</v>
      </c>
    </row>
    <row r="223" spans="1:4" x14ac:dyDescent="0.25">
      <c r="A223" s="9" t="s">
        <v>125</v>
      </c>
      <c r="B223" s="12">
        <f t="shared" si="4"/>
        <v>376</v>
      </c>
      <c r="C223" s="12">
        <v>329</v>
      </c>
      <c r="D223" s="12">
        <v>47</v>
      </c>
    </row>
    <row r="224" spans="1:4" x14ac:dyDescent="0.25">
      <c r="A224" s="9" t="s">
        <v>80</v>
      </c>
      <c r="B224" s="12">
        <f t="shared" si="4"/>
        <v>43</v>
      </c>
      <c r="C224" s="12">
        <v>39</v>
      </c>
      <c r="D224" s="12">
        <v>4</v>
      </c>
    </row>
    <row r="225" spans="1:5" x14ac:dyDescent="0.25">
      <c r="A225" s="9" t="s">
        <v>24</v>
      </c>
      <c r="B225" s="12">
        <f t="shared" si="4"/>
        <v>548</v>
      </c>
      <c r="C225" s="12">
        <v>452</v>
      </c>
      <c r="D225" s="12">
        <v>96</v>
      </c>
    </row>
    <row r="226" spans="1:5" s="3" customFormat="1" x14ac:dyDescent="0.25">
      <c r="A226" s="3" t="s">
        <v>202</v>
      </c>
      <c r="B226" s="13">
        <f t="shared" si="4"/>
        <v>425</v>
      </c>
      <c r="C226" s="13">
        <v>388</v>
      </c>
      <c r="D226" s="13">
        <v>37</v>
      </c>
    </row>
    <row r="227" spans="1:5" x14ac:dyDescent="0.25">
      <c r="A227" s="9" t="s">
        <v>177</v>
      </c>
      <c r="B227" s="12">
        <f t="shared" si="4"/>
        <v>425</v>
      </c>
      <c r="C227" s="12">
        <v>388</v>
      </c>
      <c r="D227" s="12">
        <v>37</v>
      </c>
    </row>
    <row r="228" spans="1:5" s="3" customFormat="1" x14ac:dyDescent="0.25">
      <c r="A228" s="3" t="s">
        <v>203</v>
      </c>
      <c r="B228" s="13">
        <f t="shared" si="4"/>
        <v>4459</v>
      </c>
      <c r="C228" s="13">
        <f>SUM(C229:C235)</f>
        <v>4288</v>
      </c>
      <c r="D228" s="13">
        <f>SUM(D229:D235)</f>
        <v>171</v>
      </c>
    </row>
    <row r="229" spans="1:5" x14ac:dyDescent="0.25">
      <c r="A229" s="9" t="s">
        <v>41</v>
      </c>
      <c r="B229" s="12">
        <f t="shared" si="4"/>
        <v>362</v>
      </c>
      <c r="C229" s="12">
        <v>344</v>
      </c>
      <c r="D229" s="12">
        <v>18</v>
      </c>
    </row>
    <row r="230" spans="1:5" x14ac:dyDescent="0.25">
      <c r="A230" s="9" t="s">
        <v>157</v>
      </c>
      <c r="B230" s="12">
        <f t="shared" si="4"/>
        <v>2972</v>
      </c>
      <c r="C230" s="12">
        <v>2919</v>
      </c>
      <c r="D230" s="12">
        <v>53</v>
      </c>
    </row>
    <row r="231" spans="1:5" x14ac:dyDescent="0.25">
      <c r="A231" s="9" t="s">
        <v>178</v>
      </c>
      <c r="B231" s="12">
        <f t="shared" si="4"/>
        <v>89</v>
      </c>
      <c r="C231" s="12">
        <v>78</v>
      </c>
      <c r="D231" s="12">
        <v>11</v>
      </c>
    </row>
    <row r="232" spans="1:5" x14ac:dyDescent="0.25">
      <c r="A232" s="9" t="s">
        <v>179</v>
      </c>
      <c r="B232" s="12">
        <f t="shared" si="4"/>
        <v>164</v>
      </c>
      <c r="C232" s="12">
        <v>151</v>
      </c>
      <c r="D232" s="12">
        <v>13</v>
      </c>
    </row>
    <row r="233" spans="1:5" x14ac:dyDescent="0.25">
      <c r="A233" s="9" t="s">
        <v>180</v>
      </c>
      <c r="B233" s="12">
        <f t="shared" si="4"/>
        <v>90</v>
      </c>
      <c r="C233" s="12">
        <v>86</v>
      </c>
      <c r="D233" s="12">
        <v>4</v>
      </c>
    </row>
    <row r="234" spans="1:5" x14ac:dyDescent="0.25">
      <c r="A234" s="9" t="s">
        <v>76</v>
      </c>
      <c r="B234" s="12">
        <f t="shared" si="4"/>
        <v>167</v>
      </c>
      <c r="C234" s="12">
        <v>162</v>
      </c>
      <c r="D234" s="12">
        <v>5</v>
      </c>
    </row>
    <row r="235" spans="1:5" x14ac:dyDescent="0.25">
      <c r="A235" s="10" t="s">
        <v>24</v>
      </c>
      <c r="B235" s="14">
        <f t="shared" si="4"/>
        <v>615</v>
      </c>
      <c r="C235" s="14">
        <v>548</v>
      </c>
      <c r="D235" s="14">
        <v>67</v>
      </c>
    </row>
    <row r="236" spans="1:5" ht="17.25" x14ac:dyDescent="0.25">
      <c r="A236" s="5" t="s">
        <v>9</v>
      </c>
      <c r="D236" s="2" t="s">
        <v>8</v>
      </c>
    </row>
    <row r="237" spans="1:5" ht="17.25" x14ac:dyDescent="0.25">
      <c r="A237" s="5" t="s">
        <v>5</v>
      </c>
      <c r="B237" s="4"/>
      <c r="C237" s="4"/>
      <c r="D237" s="2" t="s">
        <v>7</v>
      </c>
      <c r="E237" s="4"/>
    </row>
  </sheetData>
  <mergeCells count="2">
    <mergeCell ref="A3:D3"/>
    <mergeCell ref="A2:D2"/>
  </mergeCells>
  <pageMargins left="0.7" right="0.7" top="0.75" bottom="0.75" header="0.3" footer="0.3"/>
  <pageSetup paperSize="9" scale="88" orientation="portrait" horizontalDpi="4294967295" verticalDpi="4294967295" r:id="rId1"/>
  <rowBreaks count="3" manualBreakCount="3">
    <brk id="105" max="4" man="1"/>
    <brk id="161" max="4" man="1"/>
    <brk id="21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5.13</vt:lpstr>
      <vt:lpstr>'5.13'!Print_Area</vt:lpstr>
      <vt:lpstr>'5.13'!Print_Titles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2019-08-05T05:19:18Z</cp:lastPrinted>
  <dcterms:created xsi:type="dcterms:W3CDTF">2019-06-03T04:17:39Z</dcterms:created>
  <dcterms:modified xsi:type="dcterms:W3CDTF">2019-08-05T05:19:25Z</dcterms:modified>
</cp:coreProperties>
</file>