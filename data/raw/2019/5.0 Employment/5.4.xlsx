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4" sheetId="4" r:id="rId1"/>
  </sheets>
  <externalReferences>
    <externalReference r:id="rId2"/>
  </externalReferences>
  <definedNames>
    <definedName name="_xlnm.Print_Area" localSheetId="0">'5.4'!$A$1:$N$31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4" l="1"/>
  <c r="J10" i="4"/>
  <c r="K9" i="4"/>
  <c r="F11" i="4" l="1"/>
  <c r="D11" i="4"/>
  <c r="C11" i="4"/>
  <c r="F10" i="4"/>
  <c r="D10" i="4"/>
  <c r="C10" i="4"/>
  <c r="L9" i="4"/>
  <c r="J9" i="4"/>
  <c r="H9" i="4"/>
  <c r="G9" i="4"/>
  <c r="B10" i="4" l="1"/>
  <c r="D9" i="4"/>
  <c r="B11" i="4"/>
  <c r="F9" i="4"/>
  <c r="B9" i="4" s="1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<sst xmlns="http://schemas.openxmlformats.org/spreadsheetml/2006/main" count="36" uniqueCount="24">
  <si>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</si>
  <si>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</si>
  <si>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</si>
  <si>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</si>
  <si>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</si>
  <si>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</si>
  <si>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</si>
  <si>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</si>
  <si>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</si>
  <si>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</si>
  <si>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</si>
  <si>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</si>
  <si>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</si>
  <si>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</si>
  <si>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</si>
  <si>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ތާވަލު 5.4: ސިވިލް ސަރވަންޓުން އަދާކުރާ ވަޒީފާގެ ބާވަތް އަދި ޖިންސް، 2018</t>
  </si>
  <si>
    <t>Table: 5.4 Civil Servents Classified by job type and Sex, 2018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</si>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</sst>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13" fillId="0" borderId="0"/>
  </cellStyleXfs>
  <cellXfs count="56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/>
    <xf numFmtId="3" fontId="9" fillId="2" borderId="0" xfId="2" applyNumberFormat="1" applyFont="1" applyFill="1" applyBorder="1" applyAlignment="1" applyProtection="1">
      <alignment horizontal="right" vertical="center"/>
    </xf>
    <xf numFmtId="0" fontId="10" fillId="2" borderId="1" xfId="2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readingOrder="2"/>
    </xf>
    <xf numFmtId="0" fontId="6" fillId="2" borderId="2" xfId="0" applyFont="1" applyFill="1" applyBorder="1" applyAlignment="1">
      <alignment horizontal="center" vertical="center"/>
    </xf>
    <xf numFmtId="3" fontId="0" fillId="2" borderId="0" xfId="0" applyNumberFormat="1" applyFill="1"/>
    <xf numFmtId="0" fontId="1" fillId="2" borderId="0" xfId="0" applyFont="1" applyFill="1"/>
    <xf numFmtId="0" fontId="2" fillId="2" borderId="0" xfId="0" applyFont="1" applyFill="1"/>
    <xf numFmtId="0" fontId="8" fillId="2" borderId="5" xfId="1" applyFont="1" applyFill="1" applyBorder="1"/>
    <xf numFmtId="0" fontId="2" fillId="2" borderId="0" xfId="0" applyFont="1" applyFill="1" applyBorder="1" applyAlignment="1">
      <alignment horizontal="center"/>
    </xf>
    <xf numFmtId="0" fontId="10" fillId="2" borderId="7" xfId="2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readingOrder="2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/>
    <xf numFmtId="3" fontId="0" fillId="2" borderId="0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12" fillId="2" borderId="0" xfId="0" applyFont="1" applyFill="1" applyBorder="1" applyAlignment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2" fillId="2" borderId="2" xfId="0" applyFont="1" applyFill="1" applyBorder="1" applyAlignment="1"/>
    <xf numFmtId="3" fontId="0" fillId="2" borderId="0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0" fillId="2" borderId="8" xfId="2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</cellXfs>
  <cellStyles count="5">
    <cellStyle name="Normal" xfId="0" builtinId="0"/>
    <cellStyle name="Normal 2" xfId="3"/>
    <cellStyle name="Normal 4" xfId="4"/>
    <cellStyle name="Normal_II-16(Populaion)" xfId="2"/>
    <cellStyle name="Normal_po" xfId="1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2613610798650168"/>
          <c:w val="0.39958495981203485"/>
          <c:h val="0.83960411198600171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F197-414E-ABD3-11FC321CE1E5}"/>
              </c:ext>
            </c:extLst>
          </c:dPt>
          <c:dLbls>
            <c:dLbl>
              <c:idx val="1"/>
              <c:layout>
                <c:manualLayout>
                  <c:x val="7.7431539187912984E-2"/>
                  <c:y val="-6.3492063492063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197-414E-ABD3-11FC321CE1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'5.4'!$A$10:$A$11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'5.4'!$B$10:$B$11</c:f>
              <c:numCache>
                <c:formatCode>#,##0</c:formatCode>
                <c:ptCount val="2"/>
                <c:pt idx="0">
                  <c:v>22383</c:v>
                </c:pt>
                <c:pt idx="1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7-414E-ABD3-11FC321C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1228725</xdr:colOff>
      <xdr:row>13</xdr:row>
      <xdr:rowOff>66675</xdr:rowOff>
    </xdr:from>
    <xdr:to>
      <xdr:col>12</xdr:col>
      <xdr:colOff>914400</xdr:colOff>
      <xdr:row>30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3" name="TextBox 2"/>
        <xdr:cNvSpPr txBox="1"/>
      </xdr:nvSpPr>
      <xdr:spPr>
        <a:xfrm>
          <a:off x="2324100" y="30480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2018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7"/>
  <sheetViews>
    <sheetView tabSelected="1" zoomScaleNormal="100" workbookViewId="0">
      <selection activeCell="Q34" sqref="Q34"/>
    </sheetView>
  </sheetViews>
  <sheetFormatPr defaultRowHeight="15" x14ac:dyDescent="0.25"/>
  <cols>
    <col min="1" max="1" width="20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30.85546875" style="1" customWidth="1"/>
    <col min="14" max="14" width="1.7109375" style="1" customWidth="1"/>
    <col min="15" max="16384" width="9.140625" style="1"/>
  </cols>
  <sheetData>
    <row r="2" spans="1:27" ht="21" x14ac:dyDescent="0.55000000000000004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27" s="6" customFormat="1" ht="15" customHeight="1" x14ac:dyDescent="0.25">
      <c r="A3" s="48" t="s">
        <v>16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27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27" ht="21" customHeight="1" x14ac:dyDescent="0.25">
      <c r="A5" s="54" t="s">
        <v>17</v>
      </c>
      <c r="B5" s="44" t="s">
        <v>10</v>
      </c>
      <c r="C5" s="44"/>
      <c r="D5" s="44"/>
      <c r="E5" s="16"/>
      <c r="F5" s="44" t="s">
        <v>11</v>
      </c>
      <c r="G5" s="44"/>
      <c r="H5" s="49"/>
      <c r="I5" s="8"/>
      <c r="J5" s="44" t="s">
        <v>12</v>
      </c>
      <c r="K5" s="44"/>
      <c r="L5" s="44"/>
      <c r="M5" s="51" t="s">
        <v>18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4.25" customHeight="1" x14ac:dyDescent="0.25">
      <c r="A6" s="54"/>
      <c r="B6" s="45" t="s">
        <v>0</v>
      </c>
      <c r="C6" s="45"/>
      <c r="D6" s="45"/>
      <c r="E6" s="17"/>
      <c r="F6" s="46" t="s">
        <v>1</v>
      </c>
      <c r="G6" s="46"/>
      <c r="H6" s="50"/>
      <c r="I6" s="18"/>
      <c r="J6" s="46" t="s">
        <v>13</v>
      </c>
      <c r="K6" s="46"/>
      <c r="L6" s="46"/>
      <c r="M6" s="52"/>
    </row>
    <row r="7" spans="1:27" x14ac:dyDescent="0.25">
      <c r="A7" s="54"/>
      <c r="B7" s="3" t="s">
        <v>14</v>
      </c>
      <c r="C7" s="3" t="s">
        <v>5</v>
      </c>
      <c r="D7" s="3" t="s">
        <v>6</v>
      </c>
      <c r="E7" s="19"/>
      <c r="F7" s="3" t="s">
        <v>14</v>
      </c>
      <c r="G7" s="3" t="s">
        <v>5</v>
      </c>
      <c r="H7" s="20" t="s">
        <v>6</v>
      </c>
      <c r="I7" s="4"/>
      <c r="J7" s="3" t="s">
        <v>14</v>
      </c>
      <c r="K7" s="3" t="s">
        <v>5</v>
      </c>
      <c r="L7" s="3" t="s">
        <v>6</v>
      </c>
      <c r="M7" s="52"/>
    </row>
    <row r="8" spans="1:27" ht="18.75" x14ac:dyDescent="0.5">
      <c r="A8" s="55"/>
      <c r="B8" s="9" t="s">
        <v>2</v>
      </c>
      <c r="C8" s="9" t="s">
        <v>3</v>
      </c>
      <c r="D8" s="9" t="s">
        <v>4</v>
      </c>
      <c r="E8" s="21"/>
      <c r="F8" s="9" t="s">
        <v>2</v>
      </c>
      <c r="G8" s="9" t="s">
        <v>3</v>
      </c>
      <c r="H8" s="22" t="s">
        <v>4</v>
      </c>
      <c r="I8" s="10"/>
      <c r="J8" s="9" t="s">
        <v>2</v>
      </c>
      <c r="K8" s="9" t="s">
        <v>3</v>
      </c>
      <c r="L8" s="9" t="s">
        <v>4</v>
      </c>
      <c r="M8" s="53"/>
    </row>
    <row r="9" spans="1:27" s="13" customFormat="1" ht="21" x14ac:dyDescent="0.55000000000000004">
      <c r="A9" s="5" t="s">
        <v>7</v>
      </c>
      <c r="B9" s="23">
        <f>F9+J9</f>
        <v>23647</v>
      </c>
      <c r="C9" s="23">
        <f t="shared" ref="C9:D11" si="0">G9+K9</f>
        <v>9122</v>
      </c>
      <c r="D9" s="23">
        <f t="shared" si="0"/>
        <v>14525</v>
      </c>
      <c r="E9" s="24"/>
      <c r="F9" s="25">
        <f>G9+H9</f>
        <v>8833</v>
      </c>
      <c r="G9" s="23">
        <f>SUM(G10:G11)</f>
        <v>3791</v>
      </c>
      <c r="H9" s="26">
        <f>SUM(H10:H11)</f>
        <v>5042</v>
      </c>
      <c r="I9" s="27"/>
      <c r="J9" s="25">
        <f>K9+L9</f>
        <v>14814</v>
      </c>
      <c r="K9" s="23">
        <f>SUM(K10:K11)</f>
        <v>5331</v>
      </c>
      <c r="L9" s="23">
        <f>SUM(L10:L11)</f>
        <v>9483</v>
      </c>
      <c r="M9" s="28" t="s">
        <v>19</v>
      </c>
    </row>
    <row r="10" spans="1:27" ht="21" x14ac:dyDescent="0.55000000000000004">
      <c r="A10" s="2" t="s">
        <v>20</v>
      </c>
      <c r="B10" s="23">
        <f t="shared" ref="B10:B11" si="1">F10+J10</f>
        <v>22383</v>
      </c>
      <c r="C10" s="29">
        <f t="shared" si="0"/>
        <v>8481</v>
      </c>
      <c r="D10" s="29">
        <f t="shared" si="0"/>
        <v>13902</v>
      </c>
      <c r="E10" s="30"/>
      <c r="F10" s="25">
        <f t="shared" ref="F10:F11" si="2">G10+H10</f>
        <v>8393</v>
      </c>
      <c r="G10" s="40">
        <v>3558</v>
      </c>
      <c r="H10" s="41">
        <v>4835</v>
      </c>
      <c r="I10" s="31"/>
      <c r="J10" s="25">
        <f>K10+L10</f>
        <v>13990</v>
      </c>
      <c r="K10" s="40">
        <v>4923</v>
      </c>
      <c r="L10" s="40">
        <v>9067</v>
      </c>
      <c r="M10" s="32" t="s">
        <v>21</v>
      </c>
      <c r="P10" s="11"/>
    </row>
    <row r="11" spans="1:27" ht="21" x14ac:dyDescent="0.55000000000000004">
      <c r="A11" s="33" t="s">
        <v>22</v>
      </c>
      <c r="B11" s="34">
        <f t="shared" si="1"/>
        <v>1264</v>
      </c>
      <c r="C11" s="35">
        <f t="shared" si="0"/>
        <v>641</v>
      </c>
      <c r="D11" s="35">
        <f t="shared" si="0"/>
        <v>623</v>
      </c>
      <c r="E11" s="36"/>
      <c r="F11" s="37">
        <f t="shared" si="2"/>
        <v>440</v>
      </c>
      <c r="G11" s="38">
        <v>233</v>
      </c>
      <c r="H11" s="42">
        <v>207</v>
      </c>
      <c r="I11" s="38"/>
      <c r="J11" s="37">
        <f>K11+L11</f>
        <v>824</v>
      </c>
      <c r="K11" s="43">
        <v>408</v>
      </c>
      <c r="L11" s="43">
        <v>416</v>
      </c>
      <c r="M11" s="39" t="s">
        <v>23</v>
      </c>
    </row>
    <row r="12" spans="1:27" ht="17.25" x14ac:dyDescent="0.25">
      <c r="A12" s="14" t="s">
        <v>8</v>
      </c>
      <c r="M12" s="7" t="s">
        <v>9</v>
      </c>
    </row>
    <row r="13" spans="1:27" x14ac:dyDescent="0.25">
      <c r="B13" s="11"/>
      <c r="C13" s="11"/>
      <c r="D13" s="11"/>
    </row>
    <row r="14" spans="1:27" x14ac:dyDescent="0.25">
      <c r="B14" s="11"/>
      <c r="C14" s="11"/>
      <c r="D14" s="11"/>
    </row>
    <row r="15" spans="1:27" x14ac:dyDescent="0.25">
      <c r="B15" s="11"/>
      <c r="C15" s="11"/>
      <c r="D15" s="11"/>
    </row>
    <row r="16" spans="1:27" x14ac:dyDescent="0.25">
      <c r="B16" s="11"/>
      <c r="C16" s="11"/>
      <c r="D16" s="11"/>
    </row>
    <row r="17" spans="2:4" x14ac:dyDescent="0.25">
      <c r="B17" s="11"/>
      <c r="C17" s="11"/>
      <c r="D17" s="11"/>
    </row>
  </sheetData>
  <mergeCells count="10">
    <mergeCell ref="B6:D6"/>
    <mergeCell ref="F6:H6"/>
    <mergeCell ref="J6:L6"/>
    <mergeCell ref="M5:M8"/>
    <mergeCell ref="A5:A8"/>
    <mergeCell ref="A2:M2"/>
    <mergeCell ref="A3:M3"/>
    <mergeCell ref="B5:D5"/>
    <mergeCell ref="F5:H5"/>
    <mergeCell ref="J5:L5"/>
  </mergeCells>
  <pageMargins left="0.7" right="0.7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5.4</vt:lpstr>
      <vt:lpstr>'5.4'!Print_Area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2019-08-04T03:17:04Z</cp:lastPrinted>
  <dcterms:created xsi:type="dcterms:W3CDTF">2019-06-03T04:17:39Z</dcterms:created>
  <dcterms:modified xsi:type="dcterms:W3CDTF">2019-08-04T03:17:16Z</dcterms:modified>
</cp:coreProperties>
</file>