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5.EMPLOYMENT\"/>
    </mc:Choice>
  </mc:AlternateContent>
  <bookViews>
    <workbookView xWindow="0" yWindow="0" windowWidth="28800" windowHeight="12330" tabRatio="692"/>
  </bookViews>
  <sheets>
    <sheet name="5.3" sheetId="3" r:id="rId1"/>
  </sheets>
  <externalReferences>
    <externalReference r:id="rId2"/>
  </externalReferences>
  <definedNames>
    <definedName name="_xlnm.Print_Area" localSheetId="0">'5.3'!$A$1:$F$64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9" i="3" l="1"/>
  <c r="B6" i="3" l="1"/>
  <c r="D6" i="3"/>
  <c r="C6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9" i="3"/>
  <c r="D8" i="3"/>
  <c r="C8" i="3"/>
  <c r="B8" i="3" s="1"/>
  <c r="B7" i="3"/>
  <c r="AC45" i="3" l="1"/>
  <c r="AD64" i="3"/>
  <c r="AC64" i="3"/>
  <c r="AD63" i="3"/>
  <c r="AC63" i="3"/>
  <c r="AD62" i="3"/>
  <c r="AC62" i="3"/>
  <c r="AD61" i="3"/>
  <c r="AC61" i="3"/>
  <c r="AD60" i="3"/>
  <c r="AC60" i="3"/>
  <c r="AD59" i="3"/>
  <c r="AC59" i="3"/>
  <c r="AD58" i="3"/>
  <c r="AC58" i="3"/>
  <c r="AD57" i="3"/>
  <c r="AC57" i="3"/>
  <c r="AD56" i="3"/>
  <c r="AC56" i="3"/>
  <c r="AD55" i="3"/>
  <c r="AC55" i="3"/>
  <c r="AD54" i="3"/>
  <c r="AC54" i="3"/>
  <c r="AD53" i="3"/>
  <c r="AC53" i="3"/>
  <c r="AD52" i="3"/>
  <c r="AC52" i="3"/>
  <c r="AD51" i="3"/>
  <c r="AC51" i="3"/>
  <c r="AD50" i="3"/>
  <c r="AC50" i="3"/>
  <c r="AD49" i="3"/>
  <c r="AC49" i="3"/>
  <c r="AD48" i="3"/>
  <c r="AC48" i="3"/>
  <c r="AD47" i="3"/>
  <c r="AC47" i="3"/>
  <c r="AD46" i="3"/>
  <c r="AC46" i="3"/>
  <c r="AD45" i="3"/>
  <c r="AC28" i="3"/>
  <c r="AC27" i="3"/>
  <c r="AC26" i="3"/>
  <c r="AC25" i="3"/>
  <c r="AC24" i="3"/>
  <c r="AC23" i="3"/>
  <c r="AC22" i="3"/>
  <c r="AC21" i="3"/>
  <c r="AC20" i="3"/>
  <c r="AC19" i="3"/>
  <c r="AC18" i="3"/>
  <c r="AC17" i="3"/>
  <c r="AC16" i="3"/>
  <c r="AC15" i="3"/>
  <c r="AC14" i="3"/>
  <c r="AC13" i="3"/>
  <c r="AC12" i="3"/>
  <c r="AC11" i="3"/>
  <c r="AC10" i="3"/>
</calcChain>
</file>

<file path=xl/sharedStrings.xml><?xml version="1.0" encoding="utf-8"?>
<sst xmlns="http://schemas.openxmlformats.org/spreadsheetml/2006/main" count="100" uniqueCount="78">
  <si>
    <t>ދެޖިންސް</t>
  </si>
  <si>
    <t>ފިރިހެން</t>
  </si>
  <si>
    <t>އަންހެން</t>
  </si>
  <si>
    <t>Male</t>
  </si>
  <si>
    <t>Female</t>
  </si>
  <si>
    <t>Source: Civil Service Commision</t>
  </si>
  <si>
    <t>މަޢުލޫމާތު ދެއްވި ފަރާތް: ސިވިލް ސަރވިސް ކޮމިޝަން</t>
  </si>
  <si>
    <t>މާލެ</t>
  </si>
  <si>
    <t>އަތޮޅުތައް</t>
  </si>
  <si>
    <t>Both sexes</t>
  </si>
  <si>
    <t>ތާވަލް 5.3: މާލެ އާއި އަތޮޅުތަކުގައި މަސައްކަތްކުރާ ސިވިލް ސަރވަންޓުންގެ އަދަދު އަދި ޖިންސް، 2018</t>
  </si>
  <si>
    <t>Table 5.3: CIVIL SERVANTS BY ATOLL AND SEX, 2018</t>
  </si>
  <si>
    <t>Locality</t>
  </si>
  <si>
    <t>ތަން</t>
  </si>
  <si>
    <t>REPUBLIC</t>
  </si>
  <si>
    <t>މުޅި ރާއްޖެ</t>
  </si>
  <si>
    <t>MALE'</t>
  </si>
  <si>
    <t>All ATOLLS</t>
  </si>
  <si>
    <t xml:space="preserve"> North Thiladhunmathi (HA)</t>
  </si>
  <si>
    <t xml:space="preserve">       (ah)  iruburutua Itwmcnudwlit</t>
  </si>
  <si>
    <t>HA</t>
  </si>
  <si>
    <t xml:space="preserve"> South Thiladhunmathi (HDh)</t>
  </si>
  <si>
    <t>(dh) irubunuked Itwmcnudwlit</t>
  </si>
  <si>
    <t>HDh</t>
  </si>
  <si>
    <t xml:space="preserve"> North Miladhunmadulu (Sh)</t>
  </si>
  <si>
    <t>(S) iruburutua uluDwmcnudwlim</t>
  </si>
  <si>
    <t>Sh</t>
  </si>
  <si>
    <t xml:space="preserve"> South Miladhunmadulu (N)</t>
  </si>
  <si>
    <t>(n) irubunuked uluDwmcnudwlim</t>
  </si>
  <si>
    <t>N</t>
  </si>
  <si>
    <t xml:space="preserve"> North Maalhosmadulu (R)</t>
  </si>
  <si>
    <t>(r) iruburutuauluDwmcsoLWm</t>
  </si>
  <si>
    <t>R</t>
  </si>
  <si>
    <t xml:space="preserve"> South Maalhosmadulu (B)</t>
  </si>
  <si>
    <t>(b) irubunukeduluDwcsoLWm</t>
  </si>
  <si>
    <t>B</t>
  </si>
  <si>
    <t xml:space="preserve"> Faadhippolhu (Lh)</t>
  </si>
  <si>
    <t>(L) uLopcaidWf</t>
  </si>
  <si>
    <t>Lh</t>
  </si>
  <si>
    <t xml:space="preserve"> Male' Atoll (K)</t>
  </si>
  <si>
    <t>(k) uLotwa elWm</t>
  </si>
  <si>
    <t>K</t>
  </si>
  <si>
    <t xml:space="preserve"> North Ari Atoll (AA)</t>
  </si>
  <si>
    <t>(aa) iruburutuauLotwairwa</t>
  </si>
  <si>
    <t>AA</t>
  </si>
  <si>
    <t xml:space="preserve"> South Ari Atoll (ADh)</t>
  </si>
  <si>
    <t>(da) iruburutuauLotwairwa</t>
  </si>
  <si>
    <t>ADh</t>
  </si>
  <si>
    <t xml:space="preserve"> Felidhu Atoll (V)</t>
  </si>
  <si>
    <t>(v) uLotwa udilef</t>
  </si>
  <si>
    <t>V</t>
  </si>
  <si>
    <t xml:space="preserve"> Mulakatholhu (M)</t>
  </si>
  <si>
    <t>(m) uLotwkwlum</t>
  </si>
  <si>
    <t>M</t>
  </si>
  <si>
    <t xml:space="preserve"> North Nilandhe Atoll (F)</t>
  </si>
  <si>
    <t>(f) iruburutua uLotwaedcnwlin</t>
  </si>
  <si>
    <t>F</t>
  </si>
  <si>
    <t xml:space="preserve"> South Nilandhe Atoll (D)</t>
  </si>
  <si>
    <t>(d) irubunuked uLotwaedcnwlin</t>
  </si>
  <si>
    <t>Dh</t>
  </si>
  <si>
    <t xml:space="preserve"> Kolhumadulu (Th)</t>
  </si>
  <si>
    <t>(t) uluDwmuLok</t>
  </si>
  <si>
    <t>Th</t>
  </si>
  <si>
    <t xml:space="preserve"> Hadhdhunmathi (L)</t>
  </si>
  <si>
    <t>(l) itwmcnudcawh</t>
  </si>
  <si>
    <t>L</t>
  </si>
  <si>
    <t xml:space="preserve"> North Huvadhu Atoll (GA)</t>
  </si>
  <si>
    <t>(ag) iruburutua uLotwaudwvuh</t>
  </si>
  <si>
    <t>GA</t>
  </si>
  <si>
    <t xml:space="preserve"> South Huvadhu Atoll (GDh)</t>
  </si>
  <si>
    <t xml:space="preserve"> (dg) irubunuked uLotwaudwvuh</t>
  </si>
  <si>
    <t>GDh</t>
  </si>
  <si>
    <t xml:space="preserve"> Fuvahmulah (Gn)</t>
  </si>
  <si>
    <t>(N)cawlumcawvuf</t>
  </si>
  <si>
    <t>Gn</t>
  </si>
  <si>
    <t xml:space="preserve"> Addu Atoll (S)</t>
  </si>
  <si>
    <t>(s) uLotwauDcawa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</si>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</sst>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_Reethi"/>
    </font>
    <font>
      <sz val="10"/>
      <name val="Courier"/>
      <family val="3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Faruma"/>
    </font>
    <font>
      <b/>
      <sz val="10"/>
      <name val="Calibri"/>
      <family val="2"/>
      <scheme val="minor"/>
    </font>
    <font>
      <b/>
      <sz val="10"/>
      <name val="Faruma"/>
    </font>
    <font>
      <sz val="10"/>
      <name val="Calibri"/>
      <family val="2"/>
    </font>
    <font>
      <sz val="11"/>
      <name val="Calibri"/>
      <family val="2"/>
      <scheme val="minor"/>
    </font>
    <font>
      <b/>
      <sz val="11"/>
      <name val="Faruma"/>
    </font>
    <font>
      <b/>
      <sz val="11"/>
      <name val="Calibri"/>
      <family val="2"/>
    </font>
    <font>
      <sz val="11"/>
      <name val="Calibri"/>
      <family val="2"/>
    </font>
    <font>
      <sz val="10"/>
      <name val="A_Randhoo"/>
    </font>
    <font>
      <sz val="10"/>
      <name val="MS Sans Serif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AF1DD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</cellStyleXfs>
  <cellXfs count="39">
    <xf numFmtId="0" fontId="0" fillId="0" borderId="0" xfId="0"/>
    <xf numFmtId="0" fontId="3" fillId="2" borderId="0" xfId="2" applyFont="1" applyFill="1" applyBorder="1" applyAlignment="1"/>
    <xf numFmtId="3" fontId="8" fillId="2" borderId="0" xfId="4" applyNumberFormat="1" applyFont="1" applyFill="1" applyBorder="1" applyAlignment="1" applyProtection="1">
      <alignment horizontal="right" vertical="center"/>
    </xf>
    <xf numFmtId="0" fontId="6" fillId="2" borderId="5" xfId="6" applyFont="1" applyFill="1" applyBorder="1" applyAlignment="1" applyProtection="1">
      <alignment horizontal="left" vertical="center" indent="2"/>
    </xf>
    <xf numFmtId="0" fontId="6" fillId="2" borderId="0" xfId="6" applyFont="1" applyFill="1" applyBorder="1" applyAlignment="1" applyProtection="1">
      <alignment horizontal="left" vertical="center" indent="2"/>
    </xf>
    <xf numFmtId="0" fontId="7" fillId="2" borderId="3" xfId="3" applyFont="1" applyFill="1" applyBorder="1"/>
    <xf numFmtId="3" fontId="5" fillId="2" borderId="0" xfId="0" applyNumberFormat="1" applyFont="1" applyFill="1" applyBorder="1" applyAlignment="1">
      <alignment horizontal="right" vertical="center"/>
    </xf>
    <xf numFmtId="0" fontId="12" fillId="2" borderId="0" xfId="0" applyFont="1" applyFill="1"/>
    <xf numFmtId="0" fontId="10" fillId="2" borderId="4" xfId="0" applyFont="1" applyFill="1" applyBorder="1" applyAlignment="1">
      <alignment horizontal="right" vertical="center" readingOrder="2"/>
    </xf>
    <xf numFmtId="0" fontId="9" fillId="2" borderId="2" xfId="0" applyFont="1" applyFill="1" applyBorder="1" applyAlignment="1">
      <alignment horizontal="right" vertical="center"/>
    </xf>
    <xf numFmtId="0" fontId="14" fillId="3" borderId="0" xfId="0" applyFont="1" applyFill="1" applyBorder="1" applyAlignment="1">
      <alignment horizontal="left" vertical="center"/>
    </xf>
    <xf numFmtId="3" fontId="5" fillId="2" borderId="1" xfId="0" applyNumberFormat="1" applyFont="1" applyFill="1" applyBorder="1" applyAlignment="1">
      <alignment horizontal="right" vertical="center"/>
    </xf>
    <xf numFmtId="3" fontId="10" fillId="2" borderId="0" xfId="5" applyNumberFormat="1" applyFont="1" applyFill="1" applyBorder="1" applyAlignment="1" applyProtection="1">
      <alignment horizontal="right" vertical="center"/>
    </xf>
    <xf numFmtId="3" fontId="5" fillId="2" borderId="0" xfId="1" applyNumberFormat="1" applyFont="1" applyFill="1" applyBorder="1" applyAlignment="1">
      <alignment vertical="center"/>
    </xf>
    <xf numFmtId="0" fontId="5" fillId="2" borderId="0" xfId="0" applyFont="1" applyFill="1"/>
    <xf numFmtId="3" fontId="15" fillId="4" borderId="0" xfId="0" applyNumberFormat="1" applyFont="1" applyFill="1" applyBorder="1"/>
    <xf numFmtId="3" fontId="15" fillId="2" borderId="0" xfId="0" applyNumberFormat="1" applyFont="1" applyFill="1" applyBorder="1"/>
    <xf numFmtId="3" fontId="16" fillId="2" borderId="0" xfId="5" applyNumberFormat="1" applyFont="1" applyFill="1" applyBorder="1" applyAlignment="1" applyProtection="1">
      <alignment horizontal="right" vertical="center" indent="2"/>
    </xf>
    <xf numFmtId="3" fontId="12" fillId="2" borderId="0" xfId="1" applyNumberFormat="1" applyFont="1" applyFill="1"/>
    <xf numFmtId="3" fontId="9" fillId="2" borderId="0" xfId="0" applyNumberFormat="1" applyFont="1" applyFill="1" applyBorder="1" applyAlignment="1">
      <alignment horizontal="right" vertical="center"/>
    </xf>
    <xf numFmtId="3" fontId="12" fillId="2" borderId="0" xfId="0" applyNumberFormat="1" applyFont="1" applyFill="1"/>
    <xf numFmtId="0" fontId="12" fillId="2" borderId="0" xfId="0" applyFont="1" applyFill="1" applyBorder="1"/>
    <xf numFmtId="0" fontId="5" fillId="2" borderId="0" xfId="0" applyFont="1" applyFill="1" applyBorder="1" applyAlignment="1"/>
    <xf numFmtId="0" fontId="5" fillId="2" borderId="0" xfId="0" applyFont="1" applyFill="1" applyBorder="1" applyAlignment="1">
      <alignment vertical="center"/>
    </xf>
    <xf numFmtId="0" fontId="10" fillId="2" borderId="0" xfId="0" applyFont="1" applyFill="1" applyBorder="1" applyAlignment="1">
      <alignment horizontal="right" vertical="center" readingOrder="2"/>
    </xf>
    <xf numFmtId="0" fontId="13" fillId="2" borderId="0" xfId="0" applyFont="1" applyFill="1" applyBorder="1" applyAlignment="1">
      <alignment vertical="center"/>
    </xf>
    <xf numFmtId="3" fontId="12" fillId="2" borderId="0" xfId="1" applyNumberFormat="1" applyFont="1" applyFill="1" applyBorder="1"/>
    <xf numFmtId="3" fontId="15" fillId="4" borderId="2" xfId="0" applyNumberFormat="1" applyFont="1" applyFill="1" applyBorder="1"/>
    <xf numFmtId="3" fontId="15" fillId="2" borderId="2" xfId="0" applyNumberFormat="1" applyFont="1" applyFill="1" applyBorder="1"/>
    <xf numFmtId="0" fontId="11" fillId="3" borderId="0" xfId="0" applyFont="1" applyFill="1" applyBorder="1" applyAlignment="1">
      <alignment horizontal="left" vertical="center" indent="1"/>
    </xf>
    <xf numFmtId="0" fontId="11" fillId="3" borderId="2" xfId="0" applyFont="1" applyFill="1" applyBorder="1" applyAlignment="1">
      <alignment horizontal="left" vertical="center" indent="1"/>
    </xf>
    <xf numFmtId="3" fontId="16" fillId="2" borderId="2" xfId="5" applyNumberFormat="1" applyFont="1" applyFill="1" applyBorder="1" applyAlignment="1" applyProtection="1">
      <alignment horizontal="right" vertical="center" indent="2"/>
    </xf>
    <xf numFmtId="3" fontId="5" fillId="2" borderId="2" xfId="1" applyNumberFormat="1" applyFont="1" applyFill="1" applyBorder="1" applyAlignment="1">
      <alignment vertical="center"/>
    </xf>
    <xf numFmtId="0" fontId="3" fillId="2" borderId="0" xfId="2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1" xfId="0" applyFont="1" applyFill="1" applyBorder="1" applyAlignment="1">
      <alignment horizontal="left" vertical="center" indent="2"/>
    </xf>
    <xf numFmtId="0" fontId="5" fillId="2" borderId="2" xfId="0" applyFont="1" applyFill="1" applyBorder="1" applyAlignment="1">
      <alignment horizontal="left" vertical="center" indent="2"/>
    </xf>
    <xf numFmtId="0" fontId="13" fillId="2" borderId="1" xfId="0" applyFont="1" applyFill="1" applyBorder="1" applyAlignment="1">
      <alignment horizontal="right" vertical="center"/>
    </xf>
    <xf numFmtId="0" fontId="13" fillId="2" borderId="2" xfId="0" applyFont="1" applyFill="1" applyBorder="1" applyAlignment="1">
      <alignment horizontal="right" vertical="center"/>
    </xf>
  </cellXfs>
  <cellStyles count="9">
    <cellStyle name="Comma" xfId="1" builtinId="3"/>
    <cellStyle name="Normal" xfId="0" builtinId="0"/>
    <cellStyle name="Normal 2" xfId="7"/>
    <cellStyle name="Normal 4" xfId="8"/>
    <cellStyle name="Normal_5 Employment_done" xfId="2"/>
    <cellStyle name="Normal_II-15(Population) 2" xfId="5"/>
    <cellStyle name="Normal_II-16(Populaion)" xfId="4"/>
    <cellStyle name="Normal_immunization" xfId="6"/>
    <cellStyle name="Normal_po" xfId="3"/>
  </cellStyles>
  <dxfs count="1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AEB"/>
      <color rgb="FFFFFD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537673624391435"/>
          <c:y val="0.1486227763196267"/>
          <c:w val="0.85059538350561081"/>
          <c:h val="0.7010028433945757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4">
                <a:lumMod val="50000"/>
              </a:schemeClr>
            </a:solidFill>
          </c:spPr>
          <c:invertIfNegative val="0"/>
          <c:cat>
            <c:strRef>
              <c:f>'5.3'!$AB$9:$AB$28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'5.3'!$AC$9:$AC$28</c:f>
              <c:numCache>
                <c:formatCode>#,##0</c:formatCode>
                <c:ptCount val="20"/>
                <c:pt idx="0">
                  <c:v>917</c:v>
                </c:pt>
                <c:pt idx="1">
                  <c:v>1285</c:v>
                </c:pt>
                <c:pt idx="2">
                  <c:v>907</c:v>
                </c:pt>
                <c:pt idx="3">
                  <c:v>784</c:v>
                </c:pt>
                <c:pt idx="4">
                  <c:v>1183</c:v>
                </c:pt>
                <c:pt idx="5">
                  <c:v>772</c:v>
                </c:pt>
                <c:pt idx="6">
                  <c:v>456</c:v>
                </c:pt>
                <c:pt idx="7">
                  <c:v>1095</c:v>
                </c:pt>
                <c:pt idx="8">
                  <c:v>474</c:v>
                </c:pt>
                <c:pt idx="9">
                  <c:v>585</c:v>
                </c:pt>
                <c:pt idx="10">
                  <c:v>187</c:v>
                </c:pt>
                <c:pt idx="11">
                  <c:v>465</c:v>
                </c:pt>
                <c:pt idx="12">
                  <c:v>452</c:v>
                </c:pt>
                <c:pt idx="13">
                  <c:v>492</c:v>
                </c:pt>
                <c:pt idx="14">
                  <c:v>863</c:v>
                </c:pt>
                <c:pt idx="15">
                  <c:v>874</c:v>
                </c:pt>
                <c:pt idx="16">
                  <c:v>633</c:v>
                </c:pt>
                <c:pt idx="17">
                  <c:v>794</c:v>
                </c:pt>
                <c:pt idx="18">
                  <c:v>554</c:v>
                </c:pt>
                <c:pt idx="19">
                  <c:v>1042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39-442D-82F1-B8E08261E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8"/>
        <c:axId val="214547448"/>
        <c:axId val="214547840"/>
      </c:barChart>
      <c:catAx>
        <c:axId val="214547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14547840"/>
        <c:crosses val="autoZero"/>
        <c:auto val="1"/>
        <c:lblAlgn val="ctr"/>
        <c:lblOffset val="100"/>
        <c:noMultiLvlLbl val="0"/>
      </c:catAx>
      <c:valAx>
        <c:axId val="214547840"/>
        <c:scaling>
          <c:orientation val="minMax"/>
          <c:max val="1400"/>
        </c:scaling>
        <c:delete val="0"/>
        <c:axPos val="l"/>
        <c:majorGridlines>
          <c:spPr>
            <a:ln w="3175">
              <a:noFill/>
            </a:ln>
          </c:spPr>
        </c:majorGridlines>
        <c:numFmt formatCode="#,##0" sourceLinked="1"/>
        <c:majorTickMark val="none"/>
        <c:minorTickMark val="none"/>
        <c:tickLblPos val="nextTo"/>
        <c:crossAx val="214547448"/>
        <c:crosses val="autoZero"/>
        <c:crossBetween val="between"/>
      </c:valAx>
      <c:spPr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25599718537385"/>
          <c:y val="0.1355881578632458"/>
          <c:w val="0.8628426402646806"/>
          <c:h val="0.7329727401096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'[1]5.3'!$Q$45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strRef>
              <c:f>'[1]5.3'!$P$46:$P$65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'[1]5.3'!$Q$46:$Q$65</c:f>
              <c:numCache>
                <c:formatCode>General</c:formatCode>
                <c:ptCount val="20"/>
                <c:pt idx="0">
                  <c:v>352</c:v>
                </c:pt>
                <c:pt idx="1">
                  <c:v>456</c:v>
                </c:pt>
                <c:pt idx="2">
                  <c:v>431</c:v>
                </c:pt>
                <c:pt idx="3">
                  <c:v>317</c:v>
                </c:pt>
                <c:pt idx="4">
                  <c:v>486</c:v>
                </c:pt>
                <c:pt idx="5">
                  <c:v>268</c:v>
                </c:pt>
                <c:pt idx="6">
                  <c:v>158</c:v>
                </c:pt>
                <c:pt idx="7">
                  <c:v>354</c:v>
                </c:pt>
                <c:pt idx="8">
                  <c:v>182</c:v>
                </c:pt>
                <c:pt idx="9">
                  <c:v>168</c:v>
                </c:pt>
                <c:pt idx="10">
                  <c:v>69</c:v>
                </c:pt>
                <c:pt idx="11">
                  <c:v>195</c:v>
                </c:pt>
                <c:pt idx="12">
                  <c:v>176</c:v>
                </c:pt>
                <c:pt idx="13">
                  <c:v>167</c:v>
                </c:pt>
                <c:pt idx="14">
                  <c:v>356</c:v>
                </c:pt>
                <c:pt idx="15">
                  <c:v>329</c:v>
                </c:pt>
                <c:pt idx="16">
                  <c:v>180</c:v>
                </c:pt>
                <c:pt idx="17">
                  <c:v>271</c:v>
                </c:pt>
                <c:pt idx="18">
                  <c:v>182</c:v>
                </c:pt>
                <c:pt idx="19">
                  <c:v>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DA-4964-9A58-1239D5D1FF27}"/>
            </c:ext>
          </c:extLst>
        </c:ser>
        <c:ser>
          <c:idx val="1"/>
          <c:order val="1"/>
          <c:tx>
            <c:strRef>
              <c:f>'[1]5.3'!$R$45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'[1]5.3'!$P$46:$P$65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'[1]5.3'!$R$46:$R$65</c:f>
              <c:numCache>
                <c:formatCode>General</c:formatCode>
                <c:ptCount val="20"/>
                <c:pt idx="0">
                  <c:v>565</c:v>
                </c:pt>
                <c:pt idx="1">
                  <c:v>829</c:v>
                </c:pt>
                <c:pt idx="2">
                  <c:v>476</c:v>
                </c:pt>
                <c:pt idx="3">
                  <c:v>467</c:v>
                </c:pt>
                <c:pt idx="4">
                  <c:v>697</c:v>
                </c:pt>
                <c:pt idx="5">
                  <c:v>504</c:v>
                </c:pt>
                <c:pt idx="6">
                  <c:v>298</c:v>
                </c:pt>
                <c:pt idx="7">
                  <c:v>741</c:v>
                </c:pt>
                <c:pt idx="8">
                  <c:v>292</c:v>
                </c:pt>
                <c:pt idx="9">
                  <c:v>417</c:v>
                </c:pt>
                <c:pt idx="10">
                  <c:v>118</c:v>
                </c:pt>
                <c:pt idx="11">
                  <c:v>270</c:v>
                </c:pt>
                <c:pt idx="12">
                  <c:v>276</c:v>
                </c:pt>
                <c:pt idx="13">
                  <c:v>325</c:v>
                </c:pt>
                <c:pt idx="14">
                  <c:v>507</c:v>
                </c:pt>
                <c:pt idx="15">
                  <c:v>545</c:v>
                </c:pt>
                <c:pt idx="16">
                  <c:v>453</c:v>
                </c:pt>
                <c:pt idx="17">
                  <c:v>523</c:v>
                </c:pt>
                <c:pt idx="18">
                  <c:v>372</c:v>
                </c:pt>
                <c:pt idx="19">
                  <c:v>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DA-4964-9A58-1239D5D1F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214548624"/>
        <c:axId val="304143440"/>
      </c:barChart>
      <c:catAx>
        <c:axId val="2145486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04143440"/>
        <c:crosses val="autoZero"/>
        <c:auto val="1"/>
        <c:lblAlgn val="ctr"/>
        <c:lblOffset val="100"/>
        <c:noMultiLvlLbl val="0"/>
      </c:catAx>
      <c:valAx>
        <c:axId val="304143440"/>
        <c:scaling>
          <c:orientation val="minMax"/>
          <c:max val="900"/>
        </c:scaling>
        <c:delete val="0"/>
        <c:axPos val="l"/>
        <c:majorGridlines>
          <c:spPr>
            <a:ln w="3175">
              <a:noFill/>
            </a:ln>
          </c:spPr>
        </c:majorGridlines>
        <c:numFmt formatCode="General" sourceLinked="1"/>
        <c:majorTickMark val="out"/>
        <c:minorTickMark val="none"/>
        <c:tickLblPos val="nextTo"/>
        <c:crossAx val="214548624"/>
        <c:crosses val="autoZero"/>
        <c:crossBetween val="between"/>
      </c:valAx>
      <c:spPr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4926999664224829"/>
          <c:y val="0.19726012971782783"/>
          <c:w val="0.2127527010665517"/>
          <c:h val="7.9471420239136795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29</xdr:row>
      <xdr:rowOff>167640</xdr:rowOff>
    </xdr:from>
    <xdr:to>
      <xdr:col>4</xdr:col>
      <xdr:colOff>1935480</xdr:colOff>
      <xdr:row>44</xdr:row>
      <xdr:rowOff>167640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1066800</xdr:colOff>
      <xdr:row>30</xdr:row>
      <xdr:rowOff>28574</xdr:rowOff>
    </xdr:from>
    <xdr:to>
      <xdr:col>4</xdr:col>
      <xdr:colOff>1438275</xdr:colOff>
      <xdr:row>31</xdr:row>
      <xdr:rowOff>76199</xdr:rowOff>
    </xdr:to>
    <xdr:sp macro="" textlink="">
      <xdr:nvSpPr>
        <xdr:cNvPr id="3" name="TextBox 2"/>
        <xdr:cNvSpPr txBox="1"/>
      </xdr:nvSpPr>
      <xdr:spPr>
        <a:xfrm>
          <a:off x="1066800" y="6381749"/>
          <a:ext cx="4619625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 b="1">
              <a:latin typeface="Consolas" pitchFamily="49" charset="0"/>
              <a:cs typeface="Consolas" pitchFamily="49" charset="0"/>
            </a:rPr>
            <a:t>   Figure 5.4:</a:t>
          </a:r>
          <a:r>
            <a:rPr lang="en-US" sz="1100" b="1" baseline="0">
              <a:latin typeface="Consolas" pitchFamily="49" charset="0"/>
              <a:cs typeface="Consolas" pitchFamily="49" charset="0"/>
            </a:rPr>
            <a:t> </a:t>
          </a:r>
          <a:r>
            <a:rPr lang="en-US" sz="1100" b="1">
              <a:latin typeface="Consolas" pitchFamily="49" charset="0"/>
              <a:cs typeface="Consolas" pitchFamily="49" charset="0"/>
            </a:rPr>
            <a:t>Number</a:t>
          </a:r>
          <a:r>
            <a:rPr lang="en-US" sz="1100" b="1" baseline="0">
              <a:latin typeface="Consolas" pitchFamily="49" charset="0"/>
              <a:cs typeface="Consolas" pitchFamily="49" charset="0"/>
            </a:rPr>
            <a:t> of civil servants by Atoll, 201</a:t>
          </a:r>
          <a:r>
            <a:rPr lang="dv-MV" sz="1100" b="1" baseline="0">
              <a:latin typeface="Consolas" pitchFamily="49" charset="0"/>
              <a:cs typeface="Consolas" pitchFamily="49" charset="0"/>
            </a:rPr>
            <a:t>8</a:t>
          </a:r>
          <a:endParaRPr lang="en-US" sz="1100" b="1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0</xdr:col>
      <xdr:colOff>98425</xdr:colOff>
      <xdr:row>46</xdr:row>
      <xdr:rowOff>180974</xdr:rowOff>
    </xdr:from>
    <xdr:to>
      <xdr:col>4</xdr:col>
      <xdr:colOff>1904365</xdr:colOff>
      <xdr:row>63</xdr:row>
      <xdr:rowOff>76199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948054</xdr:colOff>
      <xdr:row>47</xdr:row>
      <xdr:rowOff>95885</xdr:rowOff>
    </xdr:from>
    <xdr:to>
      <xdr:col>4</xdr:col>
      <xdr:colOff>1479549</xdr:colOff>
      <xdr:row>48</xdr:row>
      <xdr:rowOff>139700</xdr:rowOff>
    </xdr:to>
    <xdr:sp macro="" textlink="">
      <xdr:nvSpPr>
        <xdr:cNvPr id="5" name="TextBox 4"/>
        <xdr:cNvSpPr txBox="1"/>
      </xdr:nvSpPr>
      <xdr:spPr>
        <a:xfrm>
          <a:off x="948054" y="9620885"/>
          <a:ext cx="4770120" cy="2343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Figure 5.5: Number</a:t>
          </a:r>
          <a:r>
            <a:rPr lang="en-US" sz="1100" b="1" baseline="0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 of civil servants by atoll and sex, 201</a:t>
          </a:r>
          <a:r>
            <a:rPr lang="dv-MV" sz="1100" b="1" baseline="0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8</a:t>
          </a:r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0</xdr:col>
      <xdr:colOff>138114</xdr:colOff>
      <xdr:row>33</xdr:row>
      <xdr:rowOff>76200</xdr:rowOff>
    </xdr:from>
    <xdr:to>
      <xdr:col>0</xdr:col>
      <xdr:colOff>409578</xdr:colOff>
      <xdr:row>41</xdr:row>
      <xdr:rowOff>185738</xdr:rowOff>
    </xdr:to>
    <xdr:sp macro="" textlink="">
      <xdr:nvSpPr>
        <xdr:cNvPr id="6" name="TextBox 5"/>
        <xdr:cNvSpPr txBox="1"/>
      </xdr:nvSpPr>
      <xdr:spPr>
        <a:xfrm rot="16200000">
          <a:off x="-542923" y="7681912"/>
          <a:ext cx="1633538" cy="27146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Number of civil servants</a:t>
          </a:r>
        </a:p>
      </xdr:txBody>
    </xdr:sp>
    <xdr:clientData/>
  </xdr:twoCellAnchor>
  <xdr:twoCellAnchor>
    <xdr:from>
      <xdr:col>0</xdr:col>
      <xdr:colOff>123826</xdr:colOff>
      <xdr:row>49</xdr:row>
      <xdr:rowOff>161924</xdr:rowOff>
    </xdr:from>
    <xdr:to>
      <xdr:col>0</xdr:col>
      <xdr:colOff>428626</xdr:colOff>
      <xdr:row>59</xdr:row>
      <xdr:rowOff>9524</xdr:rowOff>
    </xdr:to>
    <xdr:sp macro="" textlink="">
      <xdr:nvSpPr>
        <xdr:cNvPr id="7" name="TextBox 6"/>
        <xdr:cNvSpPr txBox="1"/>
      </xdr:nvSpPr>
      <xdr:spPr>
        <a:xfrm rot="16200000">
          <a:off x="-600074" y="10858499"/>
          <a:ext cx="1752600" cy="304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Number of civil servants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5.%20EMPLOYM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.1"/>
      <sheetName val="5.2"/>
      <sheetName val="5.3"/>
      <sheetName val="5.4"/>
      <sheetName val="5.5"/>
      <sheetName val="5.6"/>
      <sheetName val="5.7"/>
      <sheetName val="5.8"/>
    </sheetNames>
    <sheetDataSet>
      <sheetData sheetId="0"/>
      <sheetData sheetId="1"/>
      <sheetData sheetId="2">
        <row r="45">
          <cell r="Q45" t="str">
            <v>Male</v>
          </cell>
          <cell r="R45" t="str">
            <v>Female</v>
          </cell>
        </row>
        <row r="46">
          <cell r="P46" t="str">
            <v>HA</v>
          </cell>
          <cell r="Q46">
            <v>352</v>
          </cell>
          <cell r="R46">
            <v>565</v>
          </cell>
        </row>
        <row r="47">
          <cell r="P47" t="str">
            <v>HDh</v>
          </cell>
          <cell r="Q47">
            <v>456</v>
          </cell>
          <cell r="R47">
            <v>829</v>
          </cell>
        </row>
        <row r="48">
          <cell r="P48" t="str">
            <v>Sh</v>
          </cell>
          <cell r="Q48">
            <v>431</v>
          </cell>
          <cell r="R48">
            <v>476</v>
          </cell>
        </row>
        <row r="49">
          <cell r="P49" t="str">
            <v>N</v>
          </cell>
          <cell r="Q49">
            <v>317</v>
          </cell>
          <cell r="R49">
            <v>467</v>
          </cell>
        </row>
        <row r="50">
          <cell r="P50" t="str">
            <v>R</v>
          </cell>
          <cell r="Q50">
            <v>486</v>
          </cell>
          <cell r="R50">
            <v>697</v>
          </cell>
        </row>
        <row r="51">
          <cell r="P51" t="str">
            <v>B</v>
          </cell>
          <cell r="Q51">
            <v>268</v>
          </cell>
          <cell r="R51">
            <v>504</v>
          </cell>
        </row>
        <row r="52">
          <cell r="P52" t="str">
            <v>Lh</v>
          </cell>
          <cell r="Q52">
            <v>158</v>
          </cell>
          <cell r="R52">
            <v>298</v>
          </cell>
        </row>
        <row r="53">
          <cell r="P53" t="str">
            <v>K</v>
          </cell>
          <cell r="Q53">
            <v>354</v>
          </cell>
          <cell r="R53">
            <v>741</v>
          </cell>
        </row>
        <row r="54">
          <cell r="P54" t="str">
            <v>AA</v>
          </cell>
          <cell r="Q54">
            <v>182</v>
          </cell>
          <cell r="R54">
            <v>292</v>
          </cell>
        </row>
        <row r="55">
          <cell r="P55" t="str">
            <v>ADh</v>
          </cell>
          <cell r="Q55">
            <v>168</v>
          </cell>
          <cell r="R55">
            <v>417</v>
          </cell>
        </row>
        <row r="56">
          <cell r="P56" t="str">
            <v>V</v>
          </cell>
          <cell r="Q56">
            <v>69</v>
          </cell>
          <cell r="R56">
            <v>118</v>
          </cell>
        </row>
        <row r="57">
          <cell r="P57" t="str">
            <v>M</v>
          </cell>
          <cell r="Q57">
            <v>195</v>
          </cell>
          <cell r="R57">
            <v>270</v>
          </cell>
        </row>
        <row r="58">
          <cell r="P58" t="str">
            <v>F</v>
          </cell>
          <cell r="Q58">
            <v>176</v>
          </cell>
          <cell r="R58">
            <v>276</v>
          </cell>
        </row>
        <row r="59">
          <cell r="P59" t="str">
            <v>Dh</v>
          </cell>
          <cell r="Q59">
            <v>167</v>
          </cell>
          <cell r="R59">
            <v>325</v>
          </cell>
        </row>
        <row r="60">
          <cell r="P60" t="str">
            <v>Th</v>
          </cell>
          <cell r="Q60">
            <v>356</v>
          </cell>
          <cell r="R60">
            <v>507</v>
          </cell>
        </row>
        <row r="61">
          <cell r="P61" t="str">
            <v>L</v>
          </cell>
          <cell r="Q61">
            <v>329</v>
          </cell>
          <cell r="R61">
            <v>545</v>
          </cell>
        </row>
        <row r="62">
          <cell r="P62" t="str">
            <v>GA</v>
          </cell>
          <cell r="Q62">
            <v>180</v>
          </cell>
          <cell r="R62">
            <v>453</v>
          </cell>
        </row>
        <row r="63">
          <cell r="P63" t="str">
            <v>GDh</v>
          </cell>
          <cell r="Q63">
            <v>271</v>
          </cell>
          <cell r="R63">
            <v>523</v>
          </cell>
        </row>
        <row r="64">
          <cell r="P64" t="str">
            <v>Gn</v>
          </cell>
          <cell r="Q64">
            <v>182</v>
          </cell>
          <cell r="R64">
            <v>372</v>
          </cell>
        </row>
        <row r="65">
          <cell r="P65" t="str">
            <v>S</v>
          </cell>
          <cell r="Q65">
            <v>234</v>
          </cell>
          <cell r="R65">
            <v>808</v>
          </cell>
        </row>
      </sheetData>
      <sheetData sheetId="3"/>
      <sheetData sheetId="4"/>
      <sheetData sheetId="5"/>
      <sheetData sheetId="6">
        <row r="7">
          <cell r="C7" t="str">
            <v>Male</v>
          </cell>
        </row>
      </sheetData>
      <sheetData sheetId="7">
        <row r="37">
          <cell r="X37" t="str">
            <v>Schools</v>
          </cell>
          <cell r="Y37" t="str">
            <v>Hospitals</v>
          </cell>
          <cell r="Z37" t="str">
            <v>City / Atoll Councils</v>
          </cell>
          <cell r="AA37" t="str">
            <v>Island Councils</v>
          </cell>
          <cell r="AB37" t="str">
            <v>Government Ministries</v>
          </cell>
          <cell r="AC37" t="str">
            <v>other offices</v>
          </cell>
        </row>
        <row r="38">
          <cell r="V38" t="str">
            <v>MALE'</v>
          </cell>
          <cell r="X38">
            <v>1602</v>
          </cell>
          <cell r="Y38">
            <v>1775</v>
          </cell>
          <cell r="Z38">
            <v>314</v>
          </cell>
          <cell r="AA38">
            <v>0</v>
          </cell>
          <cell r="AB38">
            <v>2977</v>
          </cell>
          <cell r="AC38">
            <v>2166</v>
          </cell>
        </row>
        <row r="39">
          <cell r="V39" t="str">
            <v xml:space="preserve"> ATOLL</v>
          </cell>
          <cell r="X39">
            <v>6679</v>
          </cell>
          <cell r="Y39">
            <v>5472</v>
          </cell>
          <cell r="Z39">
            <v>924</v>
          </cell>
          <cell r="AA39">
            <v>1602</v>
          </cell>
          <cell r="AB39">
            <v>0</v>
          </cell>
          <cell r="AC39">
            <v>136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5"/>
  <sheetViews>
    <sheetView tabSelected="1" zoomScaleNormal="100" workbookViewId="0">
      <selection activeCell="M47" sqref="M47"/>
    </sheetView>
  </sheetViews>
  <sheetFormatPr defaultRowHeight="15" x14ac:dyDescent="0.25"/>
  <cols>
    <col min="1" max="1" width="32.85546875" style="7" customWidth="1"/>
    <col min="2" max="4" width="10.28515625" style="7" customWidth="1"/>
    <col min="5" max="5" width="30.42578125" style="7" customWidth="1"/>
    <col min="6" max="6" width="2" style="7" customWidth="1"/>
    <col min="7" max="16384" width="9.140625" style="7"/>
  </cols>
  <sheetData>
    <row r="1" spans="1:29" ht="21" x14ac:dyDescent="0.55000000000000004">
      <c r="A1" s="33" t="s">
        <v>10</v>
      </c>
      <c r="B1" s="33"/>
      <c r="C1" s="33"/>
      <c r="D1" s="33"/>
      <c r="E1" s="3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9" x14ac:dyDescent="0.25">
      <c r="A2" s="34" t="s">
        <v>11</v>
      </c>
      <c r="B2" s="34"/>
      <c r="C2" s="34"/>
      <c r="D2" s="34"/>
      <c r="E2" s="34"/>
    </row>
    <row r="3" spans="1:29" ht="11.45" customHeight="1" x14ac:dyDescent="0.25"/>
    <row r="4" spans="1:29" ht="18.75" customHeight="1" x14ac:dyDescent="0.25">
      <c r="A4" s="35" t="s">
        <v>12</v>
      </c>
      <c r="B4" s="8" t="s">
        <v>0</v>
      </c>
      <c r="C4" s="8" t="s">
        <v>1</v>
      </c>
      <c r="D4" s="8" t="s">
        <v>2</v>
      </c>
      <c r="E4" s="37" t="s">
        <v>13</v>
      </c>
    </row>
    <row r="5" spans="1:29" ht="15" customHeight="1" x14ac:dyDescent="0.25">
      <c r="A5" s="36"/>
      <c r="B5" s="9" t="s">
        <v>9</v>
      </c>
      <c r="C5" s="9" t="s">
        <v>3</v>
      </c>
      <c r="D5" s="9" t="s">
        <v>4</v>
      </c>
      <c r="E5" s="38"/>
    </row>
    <row r="6" spans="1:29" ht="18.75" x14ac:dyDescent="0.25">
      <c r="A6" s="10" t="s">
        <v>14</v>
      </c>
      <c r="B6" s="11">
        <f>SUM(C6:D6)</f>
        <v>23647</v>
      </c>
      <c r="C6" s="11">
        <f>C8+C7</f>
        <v>9122</v>
      </c>
      <c r="D6" s="11">
        <f>D8+D7</f>
        <v>14525</v>
      </c>
      <c r="E6" s="12" t="s">
        <v>15</v>
      </c>
    </row>
    <row r="7" spans="1:29" s="14" customFormat="1" ht="18.75" x14ac:dyDescent="0.25">
      <c r="A7" s="10" t="s">
        <v>16</v>
      </c>
      <c r="B7" s="6">
        <f t="shared" ref="B7:B8" si="0">SUM(C7:D7)</f>
        <v>8833</v>
      </c>
      <c r="C7" s="13">
        <v>3791</v>
      </c>
      <c r="D7" s="13">
        <v>5042</v>
      </c>
      <c r="E7" s="12" t="s">
        <v>7</v>
      </c>
    </row>
    <row r="8" spans="1:29" s="14" customFormat="1" ht="18.75" x14ac:dyDescent="0.25">
      <c r="A8" s="10" t="s">
        <v>17</v>
      </c>
      <c r="B8" s="6">
        <f t="shared" si="0"/>
        <v>14814</v>
      </c>
      <c r="C8" s="13">
        <f>SUM(C9:C28)</f>
        <v>5331</v>
      </c>
      <c r="D8" s="13">
        <f>SUM(D9:D28)</f>
        <v>9483</v>
      </c>
      <c r="E8" s="12" t="s">
        <v>8</v>
      </c>
      <c r="AB8" s="7"/>
      <c r="AC8" s="7"/>
    </row>
    <row r="9" spans="1:29" ht="15.75" x14ac:dyDescent="0.25">
      <c r="A9" s="29" t="s">
        <v>18</v>
      </c>
      <c r="B9" s="13">
        <f>SUM(C9:D9)</f>
        <v>917</v>
      </c>
      <c r="C9" s="15">
        <v>352</v>
      </c>
      <c r="D9" s="16">
        <v>565</v>
      </c>
      <c r="E9" s="17" t="s">
        <v>19</v>
      </c>
      <c r="AB9" s="3" t="s">
        <v>20</v>
      </c>
      <c r="AC9" s="18">
        <f>B9</f>
        <v>917</v>
      </c>
    </row>
    <row r="10" spans="1:29" ht="15.75" x14ac:dyDescent="0.25">
      <c r="A10" s="29" t="s">
        <v>21</v>
      </c>
      <c r="B10" s="13">
        <f t="shared" ref="B10:B28" si="1">SUM(C10:D10)</f>
        <v>1285</v>
      </c>
      <c r="C10" s="15">
        <v>456</v>
      </c>
      <c r="D10" s="16">
        <v>829</v>
      </c>
      <c r="E10" s="17" t="s">
        <v>22</v>
      </c>
      <c r="AB10" s="3" t="s">
        <v>23</v>
      </c>
      <c r="AC10" s="18">
        <f t="shared" ref="AC10:AC28" si="2">B10</f>
        <v>1285</v>
      </c>
    </row>
    <row r="11" spans="1:29" ht="15.75" x14ac:dyDescent="0.25">
      <c r="A11" s="29" t="s">
        <v>24</v>
      </c>
      <c r="B11" s="13">
        <f t="shared" si="1"/>
        <v>907</v>
      </c>
      <c r="C11" s="15">
        <v>431</v>
      </c>
      <c r="D11" s="16">
        <v>476</v>
      </c>
      <c r="E11" s="17" t="s">
        <v>25</v>
      </c>
      <c r="AB11" s="3" t="s">
        <v>26</v>
      </c>
      <c r="AC11" s="18">
        <f t="shared" si="2"/>
        <v>907</v>
      </c>
    </row>
    <row r="12" spans="1:29" ht="15.75" x14ac:dyDescent="0.25">
      <c r="A12" s="29" t="s">
        <v>27</v>
      </c>
      <c r="B12" s="13">
        <f t="shared" si="1"/>
        <v>784</v>
      </c>
      <c r="C12" s="15">
        <v>317</v>
      </c>
      <c r="D12" s="16">
        <v>467</v>
      </c>
      <c r="E12" s="17" t="s">
        <v>28</v>
      </c>
      <c r="AB12" s="3" t="s">
        <v>29</v>
      </c>
      <c r="AC12" s="18">
        <f t="shared" si="2"/>
        <v>784</v>
      </c>
    </row>
    <row r="13" spans="1:29" ht="15.75" x14ac:dyDescent="0.25">
      <c r="A13" s="29" t="s">
        <v>30</v>
      </c>
      <c r="B13" s="13">
        <f t="shared" si="1"/>
        <v>1183</v>
      </c>
      <c r="C13" s="15">
        <v>486</v>
      </c>
      <c r="D13" s="16">
        <v>697</v>
      </c>
      <c r="E13" s="17" t="s">
        <v>31</v>
      </c>
      <c r="AB13" s="3" t="s">
        <v>32</v>
      </c>
      <c r="AC13" s="18">
        <f t="shared" si="2"/>
        <v>1183</v>
      </c>
    </row>
    <row r="14" spans="1:29" ht="15.75" x14ac:dyDescent="0.25">
      <c r="A14" s="29" t="s">
        <v>33</v>
      </c>
      <c r="B14" s="13">
        <f t="shared" si="1"/>
        <v>772</v>
      </c>
      <c r="C14" s="15">
        <v>268</v>
      </c>
      <c r="D14" s="16">
        <v>504</v>
      </c>
      <c r="E14" s="17" t="s">
        <v>34</v>
      </c>
      <c r="V14" s="20"/>
      <c r="W14" s="20"/>
      <c r="X14" s="20"/>
      <c r="AB14" s="3" t="s">
        <v>35</v>
      </c>
      <c r="AC14" s="18">
        <f t="shared" si="2"/>
        <v>772</v>
      </c>
    </row>
    <row r="15" spans="1:29" ht="15.75" x14ac:dyDescent="0.25">
      <c r="A15" s="29" t="s">
        <v>36</v>
      </c>
      <c r="B15" s="13">
        <f t="shared" si="1"/>
        <v>456</v>
      </c>
      <c r="C15" s="15">
        <v>158</v>
      </c>
      <c r="D15" s="16">
        <v>298</v>
      </c>
      <c r="E15" s="17" t="s">
        <v>37</v>
      </c>
      <c r="V15" s="20"/>
      <c r="W15" s="20"/>
      <c r="X15" s="20"/>
      <c r="AB15" s="3" t="s">
        <v>38</v>
      </c>
      <c r="AC15" s="18">
        <f t="shared" si="2"/>
        <v>456</v>
      </c>
    </row>
    <row r="16" spans="1:29" ht="15.75" x14ac:dyDescent="0.25">
      <c r="A16" s="29" t="s">
        <v>39</v>
      </c>
      <c r="B16" s="13">
        <f t="shared" si="1"/>
        <v>1095</v>
      </c>
      <c r="C16" s="15">
        <v>354</v>
      </c>
      <c r="D16" s="16">
        <v>741</v>
      </c>
      <c r="E16" s="17" t="s">
        <v>40</v>
      </c>
      <c r="V16" s="20"/>
      <c r="W16" s="20"/>
      <c r="X16" s="20"/>
      <c r="AB16" s="3" t="s">
        <v>41</v>
      </c>
      <c r="AC16" s="18">
        <f t="shared" si="2"/>
        <v>1095</v>
      </c>
    </row>
    <row r="17" spans="1:30" ht="15.75" x14ac:dyDescent="0.25">
      <c r="A17" s="29" t="s">
        <v>42</v>
      </c>
      <c r="B17" s="13">
        <f t="shared" si="1"/>
        <v>474</v>
      </c>
      <c r="C17" s="15">
        <v>182</v>
      </c>
      <c r="D17" s="16">
        <v>292</v>
      </c>
      <c r="E17" s="17" t="s">
        <v>43</v>
      </c>
      <c r="V17" s="20"/>
      <c r="W17" s="20"/>
      <c r="X17" s="20"/>
      <c r="AB17" s="3" t="s">
        <v>44</v>
      </c>
      <c r="AC17" s="18">
        <f t="shared" si="2"/>
        <v>474</v>
      </c>
    </row>
    <row r="18" spans="1:30" ht="15.75" x14ac:dyDescent="0.25">
      <c r="A18" s="29" t="s">
        <v>45</v>
      </c>
      <c r="B18" s="13">
        <f t="shared" si="1"/>
        <v>585</v>
      </c>
      <c r="C18" s="15">
        <v>168</v>
      </c>
      <c r="D18" s="16">
        <v>417</v>
      </c>
      <c r="E18" s="17" t="s">
        <v>46</v>
      </c>
      <c r="V18" s="20"/>
      <c r="W18" s="20"/>
      <c r="X18" s="20"/>
      <c r="AB18" s="3" t="s">
        <v>47</v>
      </c>
      <c r="AC18" s="18">
        <f t="shared" si="2"/>
        <v>585</v>
      </c>
    </row>
    <row r="19" spans="1:30" ht="15.75" x14ac:dyDescent="0.25">
      <c r="A19" s="29" t="s">
        <v>48</v>
      </c>
      <c r="B19" s="13">
        <f t="shared" si="1"/>
        <v>187</v>
      </c>
      <c r="C19" s="15">
        <v>69</v>
      </c>
      <c r="D19" s="16">
        <v>118</v>
      </c>
      <c r="E19" s="17" t="s">
        <v>49</v>
      </c>
      <c r="V19" s="20"/>
      <c r="W19" s="20"/>
      <c r="X19" s="20"/>
      <c r="AB19" s="3" t="s">
        <v>50</v>
      </c>
      <c r="AC19" s="18">
        <f t="shared" si="2"/>
        <v>187</v>
      </c>
    </row>
    <row r="20" spans="1:30" ht="15.75" x14ac:dyDescent="0.25">
      <c r="A20" s="29" t="s">
        <v>51</v>
      </c>
      <c r="B20" s="13">
        <f t="shared" si="1"/>
        <v>465</v>
      </c>
      <c r="C20" s="15">
        <v>195</v>
      </c>
      <c r="D20" s="16">
        <v>270</v>
      </c>
      <c r="E20" s="17" t="s">
        <v>52</v>
      </c>
      <c r="V20" s="20"/>
      <c r="W20" s="20"/>
      <c r="X20" s="20"/>
      <c r="AB20" s="3" t="s">
        <v>53</v>
      </c>
      <c r="AC20" s="18">
        <f t="shared" si="2"/>
        <v>465</v>
      </c>
    </row>
    <row r="21" spans="1:30" ht="15.75" x14ac:dyDescent="0.25">
      <c r="A21" s="29" t="s">
        <v>54</v>
      </c>
      <c r="B21" s="13">
        <f t="shared" si="1"/>
        <v>452</v>
      </c>
      <c r="C21" s="15">
        <v>176</v>
      </c>
      <c r="D21" s="16">
        <v>276</v>
      </c>
      <c r="E21" s="17" t="s">
        <v>55</v>
      </c>
      <c r="V21" s="20"/>
      <c r="W21" s="20"/>
      <c r="X21" s="20"/>
      <c r="AB21" s="3" t="s">
        <v>56</v>
      </c>
      <c r="AC21" s="18">
        <f t="shared" si="2"/>
        <v>452</v>
      </c>
      <c r="AD21" s="19"/>
    </row>
    <row r="22" spans="1:30" ht="15.75" x14ac:dyDescent="0.25">
      <c r="A22" s="29" t="s">
        <v>57</v>
      </c>
      <c r="B22" s="13">
        <f t="shared" si="1"/>
        <v>492</v>
      </c>
      <c r="C22" s="15">
        <v>167</v>
      </c>
      <c r="D22" s="16">
        <v>325</v>
      </c>
      <c r="E22" s="17" t="s">
        <v>58</v>
      </c>
      <c r="V22" s="20"/>
      <c r="W22" s="20"/>
      <c r="X22" s="20"/>
      <c r="AB22" s="3" t="s">
        <v>59</v>
      </c>
      <c r="AC22" s="18">
        <f t="shared" si="2"/>
        <v>492</v>
      </c>
      <c r="AD22" s="13"/>
    </row>
    <row r="23" spans="1:30" ht="15.75" x14ac:dyDescent="0.25">
      <c r="A23" s="29" t="s">
        <v>60</v>
      </c>
      <c r="B23" s="13">
        <f t="shared" si="1"/>
        <v>863</v>
      </c>
      <c r="C23" s="15">
        <v>356</v>
      </c>
      <c r="D23" s="16">
        <v>507</v>
      </c>
      <c r="E23" s="17" t="s">
        <v>61</v>
      </c>
      <c r="V23" s="20"/>
      <c r="W23" s="20"/>
      <c r="X23" s="20"/>
      <c r="AB23" s="3" t="s">
        <v>62</v>
      </c>
      <c r="AC23" s="18">
        <f t="shared" si="2"/>
        <v>863</v>
      </c>
      <c r="AD23" s="13"/>
    </row>
    <row r="24" spans="1:30" ht="15.75" x14ac:dyDescent="0.25">
      <c r="A24" s="29" t="s">
        <v>63</v>
      </c>
      <c r="B24" s="13">
        <f t="shared" si="1"/>
        <v>874</v>
      </c>
      <c r="C24" s="15">
        <v>329</v>
      </c>
      <c r="D24" s="16">
        <v>545</v>
      </c>
      <c r="E24" s="17" t="s">
        <v>64</v>
      </c>
      <c r="V24" s="20"/>
      <c r="W24" s="20"/>
      <c r="X24" s="20"/>
      <c r="AB24" s="3" t="s">
        <v>65</v>
      </c>
      <c r="AC24" s="18">
        <f t="shared" si="2"/>
        <v>874</v>
      </c>
      <c r="AD24" s="19"/>
    </row>
    <row r="25" spans="1:30" ht="15.75" x14ac:dyDescent="0.25">
      <c r="A25" s="29" t="s">
        <v>66</v>
      </c>
      <c r="B25" s="13">
        <f t="shared" si="1"/>
        <v>633</v>
      </c>
      <c r="C25" s="15">
        <v>180</v>
      </c>
      <c r="D25" s="16">
        <v>453</v>
      </c>
      <c r="E25" s="17" t="s">
        <v>67</v>
      </c>
      <c r="V25" s="20"/>
      <c r="W25" s="20"/>
      <c r="X25" s="20"/>
      <c r="AB25" s="3" t="s">
        <v>68</v>
      </c>
      <c r="AC25" s="18">
        <f t="shared" si="2"/>
        <v>633</v>
      </c>
      <c r="AD25" s="13"/>
    </row>
    <row r="26" spans="1:30" ht="15.75" x14ac:dyDescent="0.25">
      <c r="A26" s="29" t="s">
        <v>69</v>
      </c>
      <c r="B26" s="13">
        <f t="shared" si="1"/>
        <v>794</v>
      </c>
      <c r="C26" s="15">
        <v>271</v>
      </c>
      <c r="D26" s="16">
        <v>523</v>
      </c>
      <c r="E26" s="17" t="s">
        <v>70</v>
      </c>
      <c r="V26" s="20"/>
      <c r="W26" s="20"/>
      <c r="X26" s="20"/>
      <c r="AB26" s="3" t="s">
        <v>71</v>
      </c>
      <c r="AC26" s="18">
        <f t="shared" si="2"/>
        <v>794</v>
      </c>
      <c r="AD26" s="13"/>
    </row>
    <row r="27" spans="1:30" ht="15.75" x14ac:dyDescent="0.25">
      <c r="A27" s="29" t="s">
        <v>72</v>
      </c>
      <c r="B27" s="13">
        <f t="shared" si="1"/>
        <v>554</v>
      </c>
      <c r="C27" s="15">
        <v>182</v>
      </c>
      <c r="D27" s="16">
        <v>372</v>
      </c>
      <c r="E27" s="17" t="s">
        <v>73</v>
      </c>
      <c r="V27" s="20"/>
      <c r="W27" s="20"/>
      <c r="X27" s="20"/>
      <c r="AB27" s="3" t="s">
        <v>74</v>
      </c>
      <c r="AC27" s="18">
        <f t="shared" si="2"/>
        <v>554</v>
      </c>
      <c r="AD27" s="19"/>
    </row>
    <row r="28" spans="1:30" s="21" customFormat="1" ht="15.75" x14ac:dyDescent="0.25">
      <c r="A28" s="30" t="s">
        <v>75</v>
      </c>
      <c r="B28" s="32">
        <f t="shared" si="1"/>
        <v>1042</v>
      </c>
      <c r="C28" s="27">
        <v>234</v>
      </c>
      <c r="D28" s="28">
        <v>808</v>
      </c>
      <c r="E28" s="31" t="s">
        <v>76</v>
      </c>
      <c r="V28" s="20"/>
      <c r="W28" s="20"/>
      <c r="X28" s="20"/>
      <c r="AB28" s="4" t="s">
        <v>77</v>
      </c>
      <c r="AC28" s="26">
        <f t="shared" si="2"/>
        <v>1042</v>
      </c>
      <c r="AD28" s="19"/>
    </row>
    <row r="29" spans="1:30" ht="17.25" x14ac:dyDescent="0.25">
      <c r="A29" s="5" t="s">
        <v>5</v>
      </c>
      <c r="B29" s="20"/>
      <c r="C29" s="20"/>
      <c r="E29" s="2" t="s">
        <v>6</v>
      </c>
      <c r="V29" s="20"/>
      <c r="W29" s="20"/>
      <c r="X29" s="20"/>
      <c r="AD29" s="19"/>
    </row>
    <row r="30" spans="1:30" x14ac:dyDescent="0.25">
      <c r="V30" s="20"/>
      <c r="W30" s="20"/>
      <c r="X30" s="20"/>
      <c r="AD30" s="13"/>
    </row>
    <row r="31" spans="1:30" x14ac:dyDescent="0.25">
      <c r="V31" s="20"/>
      <c r="W31" s="20"/>
      <c r="X31" s="20"/>
      <c r="AD31" s="13"/>
    </row>
    <row r="32" spans="1:30" x14ac:dyDescent="0.25">
      <c r="V32" s="20"/>
      <c r="W32" s="20"/>
      <c r="X32" s="20"/>
      <c r="AD32" s="19"/>
    </row>
    <row r="33" spans="22:30" x14ac:dyDescent="0.25">
      <c r="V33" s="20"/>
      <c r="W33" s="20"/>
      <c r="X33" s="20"/>
      <c r="AD33" s="13"/>
    </row>
    <row r="34" spans="22:30" x14ac:dyDescent="0.25">
      <c r="V34" s="20"/>
      <c r="W34" s="20"/>
      <c r="X34" s="20"/>
      <c r="AD34" s="13"/>
    </row>
    <row r="35" spans="22:30" x14ac:dyDescent="0.25">
      <c r="V35" s="20"/>
      <c r="W35" s="20"/>
      <c r="X35" s="20"/>
      <c r="AD35" s="19"/>
    </row>
    <row r="36" spans="22:30" x14ac:dyDescent="0.25">
      <c r="V36" s="20"/>
      <c r="W36" s="20"/>
      <c r="X36" s="20"/>
      <c r="AD36" s="13"/>
    </row>
    <row r="37" spans="22:30" x14ac:dyDescent="0.25">
      <c r="AD37" s="13"/>
    </row>
    <row r="38" spans="22:30" x14ac:dyDescent="0.25">
      <c r="AD38" s="19"/>
    </row>
    <row r="39" spans="22:30" x14ac:dyDescent="0.25">
      <c r="AD39" s="13"/>
    </row>
    <row r="44" spans="22:30" x14ac:dyDescent="0.25">
      <c r="AC44" s="9" t="s">
        <v>3</v>
      </c>
      <c r="AD44" s="9" t="s">
        <v>4</v>
      </c>
    </row>
    <row r="45" spans="22:30" x14ac:dyDescent="0.25">
      <c r="AB45" s="3" t="s">
        <v>20</v>
      </c>
      <c r="AC45" s="18">
        <f>C9</f>
        <v>352</v>
      </c>
      <c r="AD45" s="18">
        <f t="shared" ref="AC45:AD60" si="3">D9</f>
        <v>565</v>
      </c>
    </row>
    <row r="46" spans="22:30" x14ac:dyDescent="0.25">
      <c r="AB46" s="3" t="s">
        <v>23</v>
      </c>
      <c r="AC46" s="18">
        <f t="shared" si="3"/>
        <v>456</v>
      </c>
      <c r="AD46" s="18">
        <f t="shared" si="3"/>
        <v>829</v>
      </c>
    </row>
    <row r="47" spans="22:30" x14ac:dyDescent="0.25">
      <c r="AB47" s="3" t="s">
        <v>26</v>
      </c>
      <c r="AC47" s="18">
        <f t="shared" si="3"/>
        <v>431</v>
      </c>
      <c r="AD47" s="18">
        <f t="shared" si="3"/>
        <v>476</v>
      </c>
    </row>
    <row r="48" spans="22:30" x14ac:dyDescent="0.25">
      <c r="AB48" s="3" t="s">
        <v>29</v>
      </c>
      <c r="AC48" s="18">
        <f t="shared" si="3"/>
        <v>317</v>
      </c>
      <c r="AD48" s="18">
        <f t="shared" si="3"/>
        <v>467</v>
      </c>
    </row>
    <row r="49" spans="1:30" x14ac:dyDescent="0.25">
      <c r="AB49" s="3" t="s">
        <v>32</v>
      </c>
      <c r="AC49" s="18">
        <f t="shared" si="3"/>
        <v>486</v>
      </c>
      <c r="AD49" s="18">
        <f t="shared" si="3"/>
        <v>697</v>
      </c>
    </row>
    <row r="50" spans="1:30" x14ac:dyDescent="0.25">
      <c r="AB50" s="3" t="s">
        <v>35</v>
      </c>
      <c r="AC50" s="18">
        <f t="shared" si="3"/>
        <v>268</v>
      </c>
      <c r="AD50" s="18">
        <f t="shared" si="3"/>
        <v>504</v>
      </c>
    </row>
    <row r="51" spans="1:30" x14ac:dyDescent="0.25">
      <c r="A51" s="20"/>
      <c r="B51" s="20"/>
      <c r="AB51" s="3" t="s">
        <v>38</v>
      </c>
      <c r="AC51" s="18">
        <f t="shared" si="3"/>
        <v>158</v>
      </c>
      <c r="AD51" s="18">
        <f t="shared" si="3"/>
        <v>298</v>
      </c>
    </row>
    <row r="52" spans="1:30" x14ac:dyDescent="0.25">
      <c r="AB52" s="3" t="s">
        <v>41</v>
      </c>
      <c r="AC52" s="18">
        <f t="shared" si="3"/>
        <v>354</v>
      </c>
      <c r="AD52" s="18">
        <f t="shared" si="3"/>
        <v>741</v>
      </c>
    </row>
    <row r="53" spans="1:30" x14ac:dyDescent="0.25">
      <c r="AB53" s="3" t="s">
        <v>44</v>
      </c>
      <c r="AC53" s="18">
        <f t="shared" si="3"/>
        <v>182</v>
      </c>
      <c r="AD53" s="18">
        <f t="shared" si="3"/>
        <v>292</v>
      </c>
    </row>
    <row r="54" spans="1:30" x14ac:dyDescent="0.25">
      <c r="AB54" s="3" t="s">
        <v>47</v>
      </c>
      <c r="AC54" s="18">
        <f t="shared" si="3"/>
        <v>168</v>
      </c>
      <c r="AD54" s="18">
        <f t="shared" si="3"/>
        <v>417</v>
      </c>
    </row>
    <row r="55" spans="1:30" x14ac:dyDescent="0.25">
      <c r="A55" s="20"/>
      <c r="B55" s="20"/>
      <c r="AB55" s="3" t="s">
        <v>50</v>
      </c>
      <c r="AC55" s="18">
        <f t="shared" si="3"/>
        <v>69</v>
      </c>
      <c r="AD55" s="18">
        <f t="shared" si="3"/>
        <v>118</v>
      </c>
    </row>
    <row r="56" spans="1:30" x14ac:dyDescent="0.25">
      <c r="AB56" s="3" t="s">
        <v>53</v>
      </c>
      <c r="AC56" s="18">
        <f t="shared" si="3"/>
        <v>195</v>
      </c>
      <c r="AD56" s="18">
        <f t="shared" si="3"/>
        <v>270</v>
      </c>
    </row>
    <row r="57" spans="1:30" x14ac:dyDescent="0.25">
      <c r="AB57" s="3" t="s">
        <v>56</v>
      </c>
      <c r="AC57" s="18">
        <f t="shared" si="3"/>
        <v>176</v>
      </c>
      <c r="AD57" s="18">
        <f t="shared" si="3"/>
        <v>276</v>
      </c>
    </row>
    <row r="58" spans="1:30" x14ac:dyDescent="0.25">
      <c r="AB58" s="3" t="s">
        <v>59</v>
      </c>
      <c r="AC58" s="18">
        <f t="shared" si="3"/>
        <v>167</v>
      </c>
      <c r="AD58" s="18">
        <f t="shared" si="3"/>
        <v>325</v>
      </c>
    </row>
    <row r="59" spans="1:30" x14ac:dyDescent="0.25">
      <c r="AB59" s="3" t="s">
        <v>62</v>
      </c>
      <c r="AC59" s="18">
        <f t="shared" si="3"/>
        <v>356</v>
      </c>
      <c r="AD59" s="18">
        <f t="shared" si="3"/>
        <v>507</v>
      </c>
    </row>
    <row r="60" spans="1:30" x14ac:dyDescent="0.25">
      <c r="AB60" s="3" t="s">
        <v>65</v>
      </c>
      <c r="AC60" s="18">
        <f t="shared" si="3"/>
        <v>329</v>
      </c>
      <c r="AD60" s="18">
        <f t="shared" si="3"/>
        <v>545</v>
      </c>
    </row>
    <row r="61" spans="1:30" x14ac:dyDescent="0.25">
      <c r="AB61" s="3" t="s">
        <v>68</v>
      </c>
      <c r="AC61" s="18">
        <f t="shared" ref="AC61:AD64" si="4">C25</f>
        <v>180</v>
      </c>
      <c r="AD61" s="18">
        <f t="shared" si="4"/>
        <v>453</v>
      </c>
    </row>
    <row r="62" spans="1:30" x14ac:dyDescent="0.25">
      <c r="AB62" s="3" t="s">
        <v>71</v>
      </c>
      <c r="AC62" s="18">
        <f t="shared" si="4"/>
        <v>271</v>
      </c>
      <c r="AD62" s="18">
        <f t="shared" si="4"/>
        <v>523</v>
      </c>
    </row>
    <row r="63" spans="1:30" x14ac:dyDescent="0.25">
      <c r="AB63" s="3" t="s">
        <v>74</v>
      </c>
      <c r="AC63" s="18">
        <f t="shared" si="4"/>
        <v>182</v>
      </c>
      <c r="AD63" s="18">
        <f t="shared" si="4"/>
        <v>372</v>
      </c>
    </row>
    <row r="64" spans="1:30" x14ac:dyDescent="0.25">
      <c r="AB64" s="3" t="s">
        <v>77</v>
      </c>
      <c r="AC64" s="18">
        <f t="shared" si="4"/>
        <v>234</v>
      </c>
      <c r="AD64" s="18">
        <f t="shared" si="4"/>
        <v>808</v>
      </c>
    </row>
    <row r="68" spans="1:6" x14ac:dyDescent="0.25">
      <c r="A68" s="21"/>
      <c r="B68" s="21"/>
      <c r="C68" s="21"/>
      <c r="D68" s="21"/>
      <c r="E68" s="21"/>
      <c r="F68" s="21"/>
    </row>
    <row r="69" spans="1:6" ht="21" x14ac:dyDescent="0.55000000000000004">
      <c r="A69" s="1"/>
      <c r="B69" s="1"/>
      <c r="C69" s="1"/>
      <c r="D69" s="1"/>
      <c r="E69" s="1"/>
      <c r="F69" s="21"/>
    </row>
    <row r="70" spans="1:6" x14ac:dyDescent="0.25">
      <c r="A70" s="22"/>
      <c r="B70" s="22"/>
      <c r="C70" s="22"/>
      <c r="D70" s="22"/>
      <c r="E70" s="22"/>
      <c r="F70" s="21"/>
    </row>
    <row r="71" spans="1:6" x14ac:dyDescent="0.25">
      <c r="A71" s="21"/>
      <c r="B71" s="21"/>
      <c r="C71" s="21"/>
      <c r="D71" s="21"/>
      <c r="E71" s="21"/>
      <c r="F71" s="21"/>
    </row>
    <row r="72" spans="1:6" ht="18.75" customHeight="1" x14ac:dyDescent="0.25">
      <c r="A72" s="23"/>
      <c r="B72" s="24"/>
      <c r="C72" s="24"/>
      <c r="D72" s="24"/>
      <c r="E72" s="25"/>
      <c r="F72" s="21"/>
    </row>
    <row r="73" spans="1:6" x14ac:dyDescent="0.25">
      <c r="A73" s="21"/>
      <c r="B73" s="21"/>
      <c r="C73" s="21"/>
      <c r="D73" s="21"/>
      <c r="E73" s="21"/>
      <c r="F73" s="21"/>
    </row>
    <row r="74" spans="1:6" x14ac:dyDescent="0.25">
      <c r="A74" s="21"/>
      <c r="B74" s="21"/>
      <c r="C74" s="21"/>
      <c r="D74" s="21"/>
      <c r="E74" s="21"/>
      <c r="F74" s="21"/>
    </row>
    <row r="75" spans="1:6" x14ac:dyDescent="0.25">
      <c r="A75" s="21"/>
      <c r="B75" s="21"/>
      <c r="C75" s="21"/>
      <c r="D75" s="21"/>
      <c r="E75" s="21"/>
      <c r="F75" s="21"/>
    </row>
  </sheetData>
  <mergeCells count="4">
    <mergeCell ref="A1:E1"/>
    <mergeCell ref="A2:E2"/>
    <mergeCell ref="A4:A5"/>
    <mergeCell ref="E4:E5"/>
  </mergeCells>
  <conditionalFormatting sqref="B32">
    <cfRule type="duplicateValues" dxfId="12" priority="11"/>
  </conditionalFormatting>
  <conditionalFormatting sqref="B34">
    <cfRule type="duplicateValues" dxfId="11" priority="10"/>
  </conditionalFormatting>
  <conditionalFormatting sqref="B41">
    <cfRule type="duplicateValues" dxfId="10" priority="9"/>
  </conditionalFormatting>
  <conditionalFormatting sqref="B43">
    <cfRule type="duplicateValues" dxfId="9" priority="8"/>
  </conditionalFormatting>
  <conditionalFormatting sqref="B45:B48">
    <cfRule type="duplicateValues" dxfId="8" priority="7"/>
  </conditionalFormatting>
  <conditionalFormatting sqref="B50">
    <cfRule type="duplicateValues" dxfId="7" priority="6"/>
  </conditionalFormatting>
  <conditionalFormatting sqref="B67">
    <cfRule type="duplicateValues" dxfId="6" priority="5"/>
  </conditionalFormatting>
  <conditionalFormatting sqref="B69">
    <cfRule type="duplicateValues" dxfId="5" priority="4"/>
  </conditionalFormatting>
  <conditionalFormatting sqref="B73:B1048576 B1 C8:D8 B4:B68 C6:D6">
    <cfRule type="duplicateValues" dxfId="4" priority="16"/>
  </conditionalFormatting>
  <conditionalFormatting sqref="B33 B35:B40 B42 B44 B49 B51:B66 B1 B68 B73:B1048576 C8:D8 B4:B31 C6:D6">
    <cfRule type="duplicateValues" dxfId="3" priority="22"/>
  </conditionalFormatting>
  <conditionalFormatting sqref="B69 B72">
    <cfRule type="duplicateValues" dxfId="2" priority="35"/>
  </conditionalFormatting>
  <conditionalFormatting sqref="AC9:AC28">
    <cfRule type="duplicateValues" dxfId="1" priority="36"/>
  </conditionalFormatting>
  <conditionalFormatting sqref="AD21:AD39">
    <cfRule type="duplicateValues" dxfId="0" priority="37"/>
  </conditionalFormatting>
  <pageMargins left="0.7" right="0.7" top="0.75" bottom="0.75" header="0.3" footer="0.3"/>
  <pageSetup scale="94" orientation="portrait" r:id="rId1"/>
  <rowBreaks count="1" manualBreakCount="1">
    <brk id="46" max="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5.3</vt:lpstr>
      <vt:lpstr>'5.3'!Print_Area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2019-06-27T03:35:31Z</cp:lastPrinted>
  <dcterms:created xsi:type="dcterms:W3CDTF">2019-06-03T04:17:39Z</dcterms:created>
  <dcterms:modified xsi:type="dcterms:W3CDTF">2019-08-04T03:16:00Z</dcterms:modified>
</cp:coreProperties>
</file>