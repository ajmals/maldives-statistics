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5.EMPLOYMENT\"/>
    </mc:Choice>
  </mc:AlternateContent>
  <bookViews>
    <workbookView xWindow="0" yWindow="0" windowWidth="28800" windowHeight="12330" tabRatio="692"/>
  </bookViews>
  <sheets>
    <sheet name="5.2" sheetId="2" r:id="rId1"/>
  </sheets>
  <externalReferences>
    <externalReference r:id="rId2"/>
  </externalReferences>
  <definedNames>
    <definedName name="_xlnm.Print_Area" localSheetId="0">'5.2'!$A$1:$N$56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" i="2" l="1"/>
  <c r="L10" i="2"/>
  <c r="I10" i="2"/>
  <c r="H10" i="2"/>
  <c r="K11" i="2"/>
  <c r="K12" i="2"/>
  <c r="C12" i="2" s="1"/>
  <c r="K13" i="2"/>
  <c r="K14" i="2"/>
  <c r="K15" i="2"/>
  <c r="K16" i="2"/>
  <c r="K17" i="2"/>
  <c r="K18" i="2"/>
  <c r="K19" i="2"/>
  <c r="C19" i="2" s="1"/>
  <c r="K20" i="2"/>
  <c r="C20" i="2" s="1"/>
  <c r="K21" i="2"/>
  <c r="G11" i="2"/>
  <c r="G12" i="2"/>
  <c r="G13" i="2"/>
  <c r="G14" i="2"/>
  <c r="G15" i="2"/>
  <c r="C15" i="2" s="1"/>
  <c r="G16" i="2"/>
  <c r="C16" i="2" s="1"/>
  <c r="G17" i="2"/>
  <c r="G18" i="2"/>
  <c r="G19" i="2"/>
  <c r="G20" i="2"/>
  <c r="G21" i="2"/>
  <c r="C11" i="2"/>
  <c r="D11" i="2"/>
  <c r="E11" i="2"/>
  <c r="D12" i="2"/>
  <c r="E12" i="2"/>
  <c r="C13" i="2"/>
  <c r="D13" i="2"/>
  <c r="E13" i="2"/>
  <c r="C14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C21" i="2"/>
  <c r="D21" i="2"/>
  <c r="E21" i="2"/>
  <c r="K10" i="2" l="1"/>
  <c r="E10" i="2"/>
  <c r="D10" i="2"/>
  <c r="G10" i="2"/>
  <c r="C18" i="2"/>
  <c r="C17" i="2"/>
  <c r="C10" i="2" l="1"/>
  <c r="BG28" i="2" l="1"/>
  <c r="BF28" i="2"/>
  <c r="BE28" i="2"/>
  <c r="BD28" i="2"/>
  <c r="BC28" i="2"/>
  <c r="BB28" i="2"/>
  <c r="BA28" i="2"/>
  <c r="AZ28" i="2"/>
  <c r="AY28" i="2"/>
</calcChain>
</file>

<file path=xl/sharedStrings.xml><?xml version="1.0" encoding="utf-8"?>
<sst xmlns="http://schemas.openxmlformats.org/spreadsheetml/2006/main" count="68" uniqueCount="30">
  <si>
    <t>Republic</t>
  </si>
  <si>
    <t>Male'</t>
  </si>
  <si>
    <t>ދެޖިންސް</t>
  </si>
  <si>
    <t>ފިރިހެން</t>
  </si>
  <si>
    <t>އަންހެން</t>
  </si>
  <si>
    <t>Male</t>
  </si>
  <si>
    <t>Female</t>
  </si>
  <si>
    <t>Source: Civil Service Commision</t>
  </si>
  <si>
    <t>މަޢުލޫމާތު ދެއްވި ފަރާތް: ސިވިލް ސަރވިސް ކޮމިޝަން</t>
  </si>
  <si>
    <t>ތާވަލް 5.2: ސިވިލް ސަރވަންޓުން ބެހިފައިވާ ގޮތް، ޖިންސް އަދި އުމުރުފުރާއިން، 2018</t>
  </si>
  <si>
    <t>Table 5.2 :  CIVIL SERVANTS CLASSIFIED BY AGE AND SEX, 2018</t>
  </si>
  <si>
    <t>އުމުރުފުރާ</t>
  </si>
  <si>
    <t xml:space="preserve"> މުޅިރާއްޖެ</t>
  </si>
  <si>
    <t>މާލެ</t>
  </si>
  <si>
    <t>އަތޮޅުތައް</t>
  </si>
  <si>
    <t>Atolls</t>
  </si>
  <si>
    <t>Age groups</t>
  </si>
  <si>
    <t>Both sexes</t>
  </si>
  <si>
    <t xml:space="preserve">     Total</t>
  </si>
  <si>
    <t xml:space="preserve">     15-19</t>
  </si>
  <si>
    <t xml:space="preserve">     20-24</t>
  </si>
  <si>
    <t xml:space="preserve">     25-29</t>
  </si>
  <si>
    <t xml:space="preserve">     30-34</t>
  </si>
  <si>
    <t xml:space="preserve">     35-39</t>
  </si>
  <si>
    <t xml:space="preserve">     40-44</t>
  </si>
  <si>
    <t xml:space="preserve">     45-49</t>
  </si>
  <si>
    <t xml:space="preserve">     50-54</t>
  </si>
  <si>
    <t xml:space="preserve">     55-59</t>
  </si>
  <si>
    <t xml:space="preserve">     60-64</t>
  </si>
  <si>
    <t xml:space="preserve">     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</si>
</sst>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-* #,##0\ _ރ_._-;_-* #,##0\ _ރ_.\-;_-* &quot;-&quot;??\ _ރ_._-;_-@_-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eethi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b/>
      <sz val="10"/>
      <name val="Faruma"/>
    </font>
    <font>
      <b/>
      <sz val="11"/>
      <color theme="1"/>
      <name val="Faruma"/>
    </font>
    <font>
      <i/>
      <sz val="10"/>
      <name val="Calibri"/>
      <family val="2"/>
      <scheme val="minor"/>
    </font>
    <font>
      <sz val="10"/>
      <color rgb="FF000000"/>
      <name val="Calibri"/>
      <family val="2"/>
    </font>
    <font>
      <sz val="10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AF1DD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17" fillId="0" borderId="0"/>
  </cellStyleXfs>
  <cellXfs count="53">
    <xf numFmtId="0" fontId="0" fillId="0" borderId="0" xfId="0"/>
    <xf numFmtId="0" fontId="0" fillId="2" borderId="0" xfId="0" applyFill="1"/>
    <xf numFmtId="0" fontId="9" fillId="2" borderId="0" xfId="0" applyFont="1" applyFill="1"/>
    <xf numFmtId="0" fontId="7" fillId="2" borderId="0" xfId="0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center"/>
    </xf>
    <xf numFmtId="3" fontId="7" fillId="2" borderId="0" xfId="1" applyNumberFormat="1" applyFont="1" applyFill="1" applyBorder="1" applyAlignment="1">
      <alignment horizontal="right" vertical="center"/>
    </xf>
    <xf numFmtId="3" fontId="9" fillId="2" borderId="0" xfId="1" applyNumberFormat="1" applyFont="1" applyFill="1" applyBorder="1" applyAlignment="1">
      <alignment horizontal="right" vertical="center"/>
    </xf>
    <xf numFmtId="0" fontId="0" fillId="2" borderId="0" xfId="0" applyFill="1" applyBorder="1"/>
    <xf numFmtId="0" fontId="10" fillId="2" borderId="4" xfId="4" applyFont="1" applyFill="1" applyBorder="1" applyAlignment="1">
      <alignment vertical="center"/>
    </xf>
    <xf numFmtId="3" fontId="11" fillId="2" borderId="0" xfId="5" applyNumberFormat="1" applyFont="1" applyFill="1" applyBorder="1" applyAlignment="1" applyProtection="1">
      <alignment horizontal="right" vertical="center"/>
    </xf>
    <xf numFmtId="164" fontId="12" fillId="2" borderId="0" xfId="3" applyNumberFormat="1" applyFont="1" applyFill="1" applyBorder="1" applyAlignment="1" applyProtection="1">
      <alignment horizontal="center" vertical="center"/>
    </xf>
    <xf numFmtId="164" fontId="12" fillId="2" borderId="1" xfId="3" applyNumberFormat="1" applyFont="1" applyFill="1" applyBorder="1" applyAlignment="1" applyProtection="1">
      <alignment horizontal="center" vertical="center"/>
    </xf>
    <xf numFmtId="0" fontId="13" fillId="2" borderId="1" xfId="5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4" fillId="2" borderId="0" xfId="0" applyFont="1" applyFill="1" applyBorder="1" applyAlignment="1">
      <alignment horizontal="center" readingOrder="2"/>
    </xf>
    <xf numFmtId="0" fontId="2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0" fontId="7" fillId="2" borderId="0" xfId="0" applyFont="1" applyFill="1" applyBorder="1"/>
    <xf numFmtId="3" fontId="7" fillId="2" borderId="0" xfId="0" applyNumberFormat="1" applyFont="1" applyFill="1" applyBorder="1" applyAlignment="1">
      <alignment horizontal="right" vertical="center"/>
    </xf>
    <xf numFmtId="1" fontId="0" fillId="2" borderId="0" xfId="0" applyNumberFormat="1" applyFill="1"/>
    <xf numFmtId="0" fontId="9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/>
    </xf>
    <xf numFmtId="3" fontId="9" fillId="2" borderId="0" xfId="0" applyNumberFormat="1" applyFont="1" applyFill="1" applyBorder="1" applyAlignment="1">
      <alignment horizontal="right" vertical="center"/>
    </xf>
    <xf numFmtId="3" fontId="9" fillId="2" borderId="0" xfId="0" applyNumberFormat="1" applyFont="1" applyFill="1" applyBorder="1" applyAlignment="1" applyProtection="1">
      <alignment horizontal="right" vertical="center"/>
      <protection locked="0"/>
    </xf>
    <xf numFmtId="0" fontId="9" fillId="2" borderId="3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/>
    </xf>
    <xf numFmtId="3" fontId="7" fillId="2" borderId="3" xfId="0" applyNumberFormat="1" applyFont="1" applyFill="1" applyBorder="1" applyAlignment="1">
      <alignment horizontal="right" vertical="center"/>
    </xf>
    <xf numFmtId="3" fontId="9" fillId="2" borderId="3" xfId="0" applyNumberFormat="1" applyFont="1" applyFill="1" applyBorder="1" applyAlignment="1">
      <alignment horizontal="right" vertical="center"/>
    </xf>
    <xf numFmtId="3" fontId="9" fillId="2" borderId="3" xfId="0" applyNumberFormat="1" applyFont="1" applyFill="1" applyBorder="1" applyAlignment="1" applyProtection="1">
      <alignment horizontal="right" vertical="center"/>
      <protection locked="0"/>
    </xf>
    <xf numFmtId="0" fontId="15" fillId="2" borderId="0" xfId="4" applyFont="1" applyFill="1" applyBorder="1"/>
    <xf numFmtId="3" fontId="9" fillId="2" borderId="0" xfId="0" applyNumberFormat="1" applyFont="1" applyFill="1"/>
    <xf numFmtId="0" fontId="7" fillId="2" borderId="1" xfId="0" applyFont="1" applyFill="1" applyBorder="1"/>
    <xf numFmtId="166" fontId="0" fillId="2" borderId="0" xfId="1" applyNumberFormat="1" applyFont="1" applyFill="1"/>
    <xf numFmtId="3" fontId="0" fillId="2" borderId="0" xfId="0" applyNumberFormat="1" applyFill="1"/>
    <xf numFmtId="3" fontId="9" fillId="2" borderId="0" xfId="0" applyNumberFormat="1" applyFont="1" applyFill="1" applyBorder="1" applyProtection="1">
      <protection locked="0"/>
    </xf>
    <xf numFmtId="3" fontId="9" fillId="2" borderId="3" xfId="0" applyNumberFormat="1" applyFont="1" applyFill="1" applyBorder="1" applyProtection="1">
      <protection locked="0"/>
    </xf>
    <xf numFmtId="0" fontId="8" fillId="2" borderId="3" xfId="0" applyFont="1" applyFill="1" applyBorder="1" applyAlignment="1">
      <alignment horizontal="right" vertical="center" readingOrder="2"/>
    </xf>
    <xf numFmtId="3" fontId="16" fillId="3" borderId="0" xfId="0" applyNumberFormat="1" applyFont="1" applyFill="1" applyBorder="1" applyAlignment="1">
      <alignment horizontal="right" vertical="center"/>
    </xf>
    <xf numFmtId="3" fontId="16" fillId="3" borderId="3" xfId="0" applyNumberFormat="1" applyFont="1" applyFill="1" applyBorder="1" applyAlignment="1">
      <alignment horizontal="right" vertical="center"/>
    </xf>
    <xf numFmtId="164" fontId="12" fillId="2" borderId="0" xfId="3" applyNumberFormat="1" applyFont="1" applyFill="1" applyBorder="1" applyAlignment="1" applyProtection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64" fontId="6" fillId="2" borderId="0" xfId="3" applyNumberFormat="1" applyFont="1" applyFill="1" applyBorder="1" applyAlignment="1" applyProtection="1">
      <alignment horizontal="center" vertical="center"/>
    </xf>
    <xf numFmtId="165" fontId="7" fillId="2" borderId="2" xfId="1" applyNumberFormat="1" applyFont="1" applyFill="1" applyBorder="1" applyAlignment="1">
      <alignment horizontal="center" vertical="center"/>
    </xf>
    <xf numFmtId="0" fontId="4" fillId="2" borderId="0" xfId="2" applyFont="1" applyFill="1" applyBorder="1" applyAlignment="1">
      <alignment horizontal="center" vertical="center"/>
    </xf>
    <xf numFmtId="164" fontId="12" fillId="2" borderId="0" xfId="3" applyNumberFormat="1" applyFont="1" applyFill="1" applyBorder="1" applyAlignment="1" applyProtection="1">
      <alignment horizontal="center" vertical="center"/>
    </xf>
    <xf numFmtId="164" fontId="13" fillId="2" borderId="1" xfId="3" applyNumberFormat="1" applyFont="1" applyFill="1" applyBorder="1" applyAlignment="1" applyProtection="1">
      <alignment horizontal="center" vertical="center"/>
    </xf>
    <xf numFmtId="164" fontId="13" fillId="2" borderId="0" xfId="3" applyNumberFormat="1" applyFont="1" applyFill="1" applyBorder="1" applyAlignment="1" applyProtection="1">
      <alignment horizontal="center" vertical="center"/>
    </xf>
    <xf numFmtId="0" fontId="13" fillId="2" borderId="1" xfId="5" applyFont="1" applyFill="1" applyBorder="1" applyAlignment="1">
      <alignment horizontal="center" vertical="top"/>
    </xf>
    <xf numFmtId="0" fontId="7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/>
    </xf>
  </cellXfs>
  <cellStyles count="8">
    <cellStyle name="Comma" xfId="1" builtinId="3"/>
    <cellStyle name="Normal" xfId="0" builtinId="0"/>
    <cellStyle name="Normal 2" xfId="6"/>
    <cellStyle name="Normal 4" xfId="7"/>
    <cellStyle name="Normal_5 Employment_done" xfId="2"/>
    <cellStyle name="Normal_II-16(Populaion)" xfId="5"/>
    <cellStyle name="Normal_po" xfId="4"/>
    <cellStyle name="Normal_Population - II 2" xfId="3"/>
  </cellStyles>
  <dxfs count="0"/>
  <tableStyles count="0" defaultTableStyle="TableStyleMedium2" defaultPivotStyle="PivotStyleLight16"/>
  <colors>
    <mruColors>
      <color rgb="FFFFFAEB"/>
      <color rgb="FFFFF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GB"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Figure</a:t>
            </a:r>
            <a:r>
              <a:rPr lang="en-US" sz="1050" baseline="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 5.2: </a:t>
            </a:r>
            <a:r>
              <a:rPr lang="en-US" sz="1050" baseline="0">
                <a:latin typeface="Consolas" pitchFamily="49" charset="0"/>
                <a:cs typeface="Consolas" pitchFamily="49" charset="0"/>
              </a:rPr>
              <a:t>Number of civil servants by locaity &amp; sex, 2017 - 2018</a:t>
            </a:r>
            <a:endParaRPr lang="en-US" sz="105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4992412746585734"/>
          <c:y val="2.41149988701743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304155265872494"/>
          <c:y val="0.14420086562027432"/>
          <c:w val="0.86275252937781122"/>
          <c:h val="0.60520018900741224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'5.2'!$AX$27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multiLvlStrRef>
              <c:f>'5.2'!$AY$20:$BG$21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Republic</c:v>
                  </c:pt>
                  <c:pt idx="3">
                    <c:v>Male'</c:v>
                  </c:pt>
                  <c:pt idx="6">
                    <c:v>Atolls</c:v>
                  </c:pt>
                </c:lvl>
              </c:multiLvlStrCache>
            </c:multiLvlStrRef>
          </c:cat>
          <c:val>
            <c:numRef>
              <c:f>'5.2'!$AY$27:$BG$27</c:f>
              <c:numCache>
                <c:formatCode>General</c:formatCode>
                <c:ptCount val="9"/>
                <c:pt idx="0">
                  <c:v>22082</c:v>
                </c:pt>
                <c:pt idx="1">
                  <c:v>8907</c:v>
                </c:pt>
                <c:pt idx="2">
                  <c:v>13175</c:v>
                </c:pt>
                <c:pt idx="3">
                  <c:v>8977</c:v>
                </c:pt>
                <c:pt idx="4">
                  <c:v>4008</c:v>
                </c:pt>
                <c:pt idx="5">
                  <c:v>4969</c:v>
                </c:pt>
                <c:pt idx="6">
                  <c:v>13105</c:v>
                </c:pt>
                <c:pt idx="7">
                  <c:v>4899</c:v>
                </c:pt>
                <c:pt idx="8">
                  <c:v>8206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7-4E3E-BD02-64200FB07299}"/>
            </c:ext>
          </c:extLst>
        </c:ser>
        <c:ser>
          <c:idx val="3"/>
          <c:order val="1"/>
          <c:tx>
            <c:strRef>
              <c:f>'5.2'!$AX$28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multiLvlStrRef>
              <c:f>'5.2'!$AY$20:$BG$21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Republic</c:v>
                  </c:pt>
                  <c:pt idx="3">
                    <c:v>Male'</c:v>
                  </c:pt>
                  <c:pt idx="6">
                    <c:v>Atolls</c:v>
                  </c:pt>
                </c:lvl>
              </c:multiLvlStrCache>
            </c:multiLvlStrRef>
          </c:cat>
          <c:val>
            <c:numRef>
              <c:f>'5.2'!$AY$28:$BG$28</c:f>
              <c:numCache>
                <c:formatCode>#,##0</c:formatCode>
                <c:ptCount val="9"/>
                <c:pt idx="0">
                  <c:v>23647</c:v>
                </c:pt>
                <c:pt idx="1">
                  <c:v>9122</c:v>
                </c:pt>
                <c:pt idx="2">
                  <c:v>14525</c:v>
                </c:pt>
                <c:pt idx="3">
                  <c:v>8833</c:v>
                </c:pt>
                <c:pt idx="4">
                  <c:v>3791</c:v>
                </c:pt>
                <c:pt idx="5">
                  <c:v>5042</c:v>
                </c:pt>
                <c:pt idx="6">
                  <c:v>14814</c:v>
                </c:pt>
                <c:pt idx="7">
                  <c:v>5331</c:v>
                </c:pt>
                <c:pt idx="8">
                  <c:v>9483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47-4E3E-BD02-64200FB07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214545096"/>
        <c:axId val="214545488"/>
      </c:barChart>
      <c:catAx>
        <c:axId val="2145450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en-GB" b="0"/>
            </a:pPr>
            <a:endParaRPr lang="en-US"/>
          </a:p>
        </c:txPr>
        <c:crossAx val="214545488"/>
        <c:crosses val="autoZero"/>
        <c:auto val="1"/>
        <c:lblAlgn val="ctr"/>
        <c:lblOffset val="100"/>
        <c:noMultiLvlLbl val="0"/>
      </c:catAx>
      <c:valAx>
        <c:axId val="214545488"/>
        <c:scaling>
          <c:orientation val="minMax"/>
          <c:max val="250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8.0712939928152226E-3"/>
              <c:y val="0.31101203728844368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n-GB" sz="900"/>
            </a:pPr>
            <a:endParaRPr lang="en-US"/>
          </a:p>
        </c:txPr>
        <c:crossAx val="214545096"/>
        <c:crosses val="autoZero"/>
        <c:crossBetween val="between"/>
      </c:valAx>
      <c:spPr>
        <a:solidFill>
          <a:srgbClr val="FFFDF7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1938982054661063"/>
          <c:y val="0.17662964314891103"/>
          <c:w val="0.1360940580454757"/>
          <c:h val="0.11586476768174751"/>
        </c:manualLayout>
      </c:layout>
      <c:overlay val="0"/>
      <c:txPr>
        <a:bodyPr/>
        <a:lstStyle/>
        <a:p>
          <a:pPr>
            <a:defRPr lang="en-GB" sz="1000" b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15805930481005"/>
          <c:y val="0.1558727102370504"/>
          <c:w val="0.87558990658188318"/>
          <c:h val="0.693288927454825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'5.2'!$D$7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'5.2'!$A$11:$A$21</c:f>
              <c:strCache>
                <c:ptCount val="11"/>
                <c:pt idx="0">
                  <c:v>     15-19</c:v>
                </c:pt>
                <c:pt idx="1">
                  <c:v>     20-24</c:v>
                </c:pt>
                <c:pt idx="2">
                  <c:v>     25-29</c:v>
                </c:pt>
                <c:pt idx="3">
                  <c:v>     30-34</c:v>
                </c:pt>
                <c:pt idx="4">
                  <c:v>     35-39</c:v>
                </c:pt>
                <c:pt idx="5">
                  <c:v>     40-44</c:v>
                </c:pt>
                <c:pt idx="6">
                  <c:v>     45-49</c:v>
                </c:pt>
                <c:pt idx="7">
                  <c:v>     50-54</c:v>
                </c:pt>
                <c:pt idx="8">
                  <c:v>     55-59</c:v>
                </c:pt>
                <c:pt idx="9">
                  <c:v>     60-64</c:v>
                </c:pt>
                <c:pt idx="10">
                  <c:v>     65+</c:v>
                </c:pt>
              </c:strCache>
            </c:strRef>
          </c:cat>
          <c:val>
            <c:numRef>
              <c:f>'5.2'!$D$11:$D$21</c:f>
              <c:numCache>
                <c:formatCode>#,##0</c:formatCode>
                <c:ptCount val="11"/>
                <c:pt idx="0">
                  <c:v>33</c:v>
                </c:pt>
                <c:pt idx="1">
                  <c:v>425</c:v>
                </c:pt>
                <c:pt idx="2">
                  <c:v>1137</c:v>
                </c:pt>
                <c:pt idx="3">
                  <c:v>1675</c:v>
                </c:pt>
                <c:pt idx="4">
                  <c:v>1444</c:v>
                </c:pt>
                <c:pt idx="5">
                  <c:v>1137</c:v>
                </c:pt>
                <c:pt idx="6">
                  <c:v>1075</c:v>
                </c:pt>
                <c:pt idx="7">
                  <c:v>939</c:v>
                </c:pt>
                <c:pt idx="8">
                  <c:v>744</c:v>
                </c:pt>
                <c:pt idx="9">
                  <c:v>509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F-461E-9AB1-DC66E6E19A18}"/>
            </c:ext>
          </c:extLst>
        </c:ser>
        <c:ser>
          <c:idx val="1"/>
          <c:order val="1"/>
          <c:tx>
            <c:strRef>
              <c:f>'5.2'!$E$7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'5.2'!$A$11:$A$21</c:f>
              <c:strCache>
                <c:ptCount val="11"/>
                <c:pt idx="0">
                  <c:v>     15-19</c:v>
                </c:pt>
                <c:pt idx="1">
                  <c:v>     20-24</c:v>
                </c:pt>
                <c:pt idx="2">
                  <c:v>     25-29</c:v>
                </c:pt>
                <c:pt idx="3">
                  <c:v>     30-34</c:v>
                </c:pt>
                <c:pt idx="4">
                  <c:v>     35-39</c:v>
                </c:pt>
                <c:pt idx="5">
                  <c:v>     40-44</c:v>
                </c:pt>
                <c:pt idx="6">
                  <c:v>     45-49</c:v>
                </c:pt>
                <c:pt idx="7">
                  <c:v>     50-54</c:v>
                </c:pt>
                <c:pt idx="8">
                  <c:v>     55-59</c:v>
                </c:pt>
                <c:pt idx="9">
                  <c:v>     60-64</c:v>
                </c:pt>
                <c:pt idx="10">
                  <c:v>     65+</c:v>
                </c:pt>
              </c:strCache>
            </c:strRef>
          </c:cat>
          <c:val>
            <c:numRef>
              <c:f>'5.2'!$E$11:$E$21</c:f>
              <c:numCache>
                <c:formatCode>#,##0</c:formatCode>
                <c:ptCount val="11"/>
                <c:pt idx="0">
                  <c:v>57</c:v>
                </c:pt>
                <c:pt idx="1">
                  <c:v>1148</c:v>
                </c:pt>
                <c:pt idx="2">
                  <c:v>3026</c:v>
                </c:pt>
                <c:pt idx="3">
                  <c:v>3289</c:v>
                </c:pt>
                <c:pt idx="4">
                  <c:v>2277</c:v>
                </c:pt>
                <c:pt idx="5">
                  <c:v>1701</c:v>
                </c:pt>
                <c:pt idx="6">
                  <c:v>1331</c:v>
                </c:pt>
                <c:pt idx="7">
                  <c:v>958</c:v>
                </c:pt>
                <c:pt idx="8">
                  <c:v>479</c:v>
                </c:pt>
                <c:pt idx="9">
                  <c:v>257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6F-461E-9AB1-DC66E6E19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214546272"/>
        <c:axId val="214546664"/>
      </c:barChart>
      <c:catAx>
        <c:axId val="2145462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4546664"/>
        <c:crosses val="autoZero"/>
        <c:auto val="1"/>
        <c:lblAlgn val="ctr"/>
        <c:lblOffset val="100"/>
        <c:noMultiLvlLbl val="0"/>
      </c:catAx>
      <c:valAx>
        <c:axId val="214546664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40000"/>
                  <a:lumOff val="60000"/>
                </a:schemeClr>
              </a:solidFill>
            </a:ln>
          </c:spPr>
        </c:majorGridlines>
        <c:numFmt formatCode="#,##0" sourceLinked="1"/>
        <c:majorTickMark val="none"/>
        <c:minorTickMark val="none"/>
        <c:tickLblPos val="nextTo"/>
        <c:crossAx val="214546272"/>
        <c:crosses val="autoZero"/>
        <c:crossBetween val="between"/>
      </c:valAx>
      <c:spPr>
        <a:solidFill>
          <a:srgbClr val="FFFDF7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7563943519470628"/>
          <c:y val="0.27267772673484786"/>
          <c:w val="0.25469989155547174"/>
          <c:h val="6.5582531350247872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23</xdr:row>
      <xdr:rowOff>114299</xdr:rowOff>
    </xdr:from>
    <xdr:to>
      <xdr:col>12</xdr:col>
      <xdr:colOff>523875</xdr:colOff>
      <xdr:row>39</xdr:row>
      <xdr:rowOff>43960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168449</xdr:colOff>
      <xdr:row>39</xdr:row>
      <xdr:rowOff>91466</xdr:rowOff>
    </xdr:from>
    <xdr:to>
      <xdr:col>12</xdr:col>
      <xdr:colOff>549449</xdr:colOff>
      <xdr:row>54</xdr:row>
      <xdr:rowOff>148616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187762</xdr:colOff>
      <xdr:row>44</xdr:row>
      <xdr:rowOff>185715</xdr:rowOff>
    </xdr:from>
    <xdr:to>
      <xdr:col>0</xdr:col>
      <xdr:colOff>395983</xdr:colOff>
      <xdr:row>48</xdr:row>
      <xdr:rowOff>114549</xdr:rowOff>
    </xdr:to>
    <xdr:sp macro="" textlink="">
      <xdr:nvSpPr>
        <xdr:cNvPr id="6" name="TextBox 5"/>
        <xdr:cNvSpPr txBox="1"/>
      </xdr:nvSpPr>
      <xdr:spPr>
        <a:xfrm rot="16200000">
          <a:off x="-53544" y="8647096"/>
          <a:ext cx="690834" cy="2082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Number</a:t>
          </a:r>
        </a:p>
      </xdr:txBody>
    </xdr:sp>
    <xdr:clientData/>
  </xdr:twoCellAnchor>
  <xdr:twoCellAnchor>
    <xdr:from>
      <xdr:col>6</xdr:col>
      <xdr:colOff>191826</xdr:colOff>
      <xdr:row>53</xdr:row>
      <xdr:rowOff>96027</xdr:rowOff>
    </xdr:from>
    <xdr:to>
      <xdr:col>7</xdr:col>
      <xdr:colOff>401444</xdr:colOff>
      <xdr:row>54</xdr:row>
      <xdr:rowOff>122122</xdr:rowOff>
    </xdr:to>
    <xdr:sp macro="" textlink="">
      <xdr:nvSpPr>
        <xdr:cNvPr id="7" name="TextBox 6"/>
        <xdr:cNvSpPr txBox="1"/>
      </xdr:nvSpPr>
      <xdr:spPr>
        <a:xfrm>
          <a:off x="2944551" y="10030602"/>
          <a:ext cx="819218" cy="2165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Age Group</a:t>
          </a:r>
        </a:p>
      </xdr:txBody>
    </xdr:sp>
    <xdr:clientData/>
  </xdr:twoCellAnchor>
  <xdr:twoCellAnchor>
    <xdr:from>
      <xdr:col>2</xdr:col>
      <xdr:colOff>294311</xdr:colOff>
      <xdr:row>39</xdr:row>
      <xdr:rowOff>160536</xdr:rowOff>
    </xdr:from>
    <xdr:to>
      <xdr:col>12</xdr:col>
      <xdr:colOff>133777</xdr:colOff>
      <xdr:row>41</xdr:row>
      <xdr:rowOff>1</xdr:rowOff>
    </xdr:to>
    <xdr:sp macro="" textlink="">
      <xdr:nvSpPr>
        <xdr:cNvPr id="8" name="TextBox 7"/>
        <xdr:cNvSpPr txBox="1"/>
      </xdr:nvSpPr>
      <xdr:spPr>
        <a:xfrm>
          <a:off x="1103936" y="7428111"/>
          <a:ext cx="4944866" cy="220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5.3: Number of civil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servants by sex and age group, 2018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5.%20EMPLOY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5.4"/>
      <sheetName val="5.5"/>
      <sheetName val="5.6"/>
      <sheetName val="5.7"/>
      <sheetName val="5.8"/>
    </sheetNames>
    <sheetDataSet>
      <sheetData sheetId="0"/>
      <sheetData sheetId="1"/>
      <sheetData sheetId="2">
        <row r="45">
          <cell r="Q45" t="str">
            <v>Male</v>
          </cell>
          <cell r="R45" t="str">
            <v>Female</v>
          </cell>
        </row>
        <row r="46">
          <cell r="P46" t="str">
            <v>HA</v>
          </cell>
          <cell r="Q46">
            <v>352</v>
          </cell>
          <cell r="R46">
            <v>565</v>
          </cell>
        </row>
        <row r="47">
          <cell r="P47" t="str">
            <v>HDh</v>
          </cell>
          <cell r="Q47">
            <v>456</v>
          </cell>
          <cell r="R47">
            <v>829</v>
          </cell>
        </row>
        <row r="48">
          <cell r="P48" t="str">
            <v>Sh</v>
          </cell>
          <cell r="Q48">
            <v>431</v>
          </cell>
          <cell r="R48">
            <v>476</v>
          </cell>
        </row>
        <row r="49">
          <cell r="P49" t="str">
            <v>N</v>
          </cell>
          <cell r="Q49">
            <v>317</v>
          </cell>
          <cell r="R49">
            <v>467</v>
          </cell>
        </row>
        <row r="50">
          <cell r="P50" t="str">
            <v>R</v>
          </cell>
          <cell r="Q50">
            <v>486</v>
          </cell>
          <cell r="R50">
            <v>697</v>
          </cell>
        </row>
        <row r="51">
          <cell r="P51" t="str">
            <v>B</v>
          </cell>
          <cell r="Q51">
            <v>268</v>
          </cell>
          <cell r="R51">
            <v>504</v>
          </cell>
        </row>
        <row r="52">
          <cell r="P52" t="str">
            <v>Lh</v>
          </cell>
          <cell r="Q52">
            <v>158</v>
          </cell>
          <cell r="R52">
            <v>298</v>
          </cell>
        </row>
        <row r="53">
          <cell r="P53" t="str">
            <v>K</v>
          </cell>
          <cell r="Q53">
            <v>354</v>
          </cell>
          <cell r="R53">
            <v>741</v>
          </cell>
        </row>
        <row r="54">
          <cell r="P54" t="str">
            <v>AA</v>
          </cell>
          <cell r="Q54">
            <v>182</v>
          </cell>
          <cell r="R54">
            <v>292</v>
          </cell>
        </row>
        <row r="55">
          <cell r="P55" t="str">
            <v>ADh</v>
          </cell>
          <cell r="Q55">
            <v>168</v>
          </cell>
          <cell r="R55">
            <v>417</v>
          </cell>
        </row>
        <row r="56">
          <cell r="P56" t="str">
            <v>V</v>
          </cell>
          <cell r="Q56">
            <v>69</v>
          </cell>
          <cell r="R56">
            <v>118</v>
          </cell>
        </row>
        <row r="57">
          <cell r="P57" t="str">
            <v>M</v>
          </cell>
          <cell r="Q57">
            <v>195</v>
          </cell>
          <cell r="R57">
            <v>270</v>
          </cell>
        </row>
        <row r="58">
          <cell r="P58" t="str">
            <v>F</v>
          </cell>
          <cell r="Q58">
            <v>176</v>
          </cell>
          <cell r="R58">
            <v>276</v>
          </cell>
        </row>
        <row r="59">
          <cell r="P59" t="str">
            <v>Dh</v>
          </cell>
          <cell r="Q59">
            <v>167</v>
          </cell>
          <cell r="R59">
            <v>325</v>
          </cell>
        </row>
        <row r="60">
          <cell r="P60" t="str">
            <v>Th</v>
          </cell>
          <cell r="Q60">
            <v>356</v>
          </cell>
          <cell r="R60">
            <v>507</v>
          </cell>
        </row>
        <row r="61">
          <cell r="P61" t="str">
            <v>L</v>
          </cell>
          <cell r="Q61">
            <v>329</v>
          </cell>
          <cell r="R61">
            <v>545</v>
          </cell>
        </row>
        <row r="62">
          <cell r="P62" t="str">
            <v>GA</v>
          </cell>
          <cell r="Q62">
            <v>180</v>
          </cell>
          <cell r="R62">
            <v>453</v>
          </cell>
        </row>
        <row r="63">
          <cell r="P63" t="str">
            <v>GDh</v>
          </cell>
          <cell r="Q63">
            <v>271</v>
          </cell>
          <cell r="R63">
            <v>523</v>
          </cell>
        </row>
        <row r="64">
          <cell r="P64" t="str">
            <v>Gn</v>
          </cell>
          <cell r="Q64">
            <v>182</v>
          </cell>
          <cell r="R64">
            <v>372</v>
          </cell>
        </row>
        <row r="65">
          <cell r="P65" t="str">
            <v>S</v>
          </cell>
          <cell r="Q65">
            <v>234</v>
          </cell>
          <cell r="R65">
            <v>808</v>
          </cell>
        </row>
      </sheetData>
      <sheetData sheetId="3"/>
      <sheetData sheetId="4"/>
      <sheetData sheetId="5"/>
      <sheetData sheetId="6">
        <row r="7">
          <cell r="C7" t="str">
            <v>Male</v>
          </cell>
        </row>
      </sheetData>
      <sheetData sheetId="7">
        <row r="37">
          <cell r="X37" t="str">
            <v>Schools</v>
          </cell>
          <cell r="Y37" t="str">
            <v>Hospitals</v>
          </cell>
          <cell r="Z37" t="str">
            <v>City / Atoll Councils</v>
          </cell>
          <cell r="AA37" t="str">
            <v>Island Councils</v>
          </cell>
          <cell r="AB37" t="str">
            <v>Government Ministries</v>
          </cell>
          <cell r="AC37" t="str">
            <v>other offices</v>
          </cell>
        </row>
        <row r="38">
          <cell r="V38" t="str">
            <v>MALE'</v>
          </cell>
          <cell r="X38">
            <v>1602</v>
          </cell>
          <cell r="Y38">
            <v>1775</v>
          </cell>
          <cell r="Z38">
            <v>314</v>
          </cell>
          <cell r="AA38">
            <v>0</v>
          </cell>
          <cell r="AB38">
            <v>2977</v>
          </cell>
          <cell r="AC38">
            <v>2166</v>
          </cell>
        </row>
        <row r="39">
          <cell r="V39" t="str">
            <v xml:space="preserve"> ATOLL</v>
          </cell>
          <cell r="X39">
            <v>6679</v>
          </cell>
          <cell r="Y39">
            <v>5472</v>
          </cell>
          <cell r="Z39">
            <v>924</v>
          </cell>
          <cell r="AA39">
            <v>1602</v>
          </cell>
          <cell r="AB39">
            <v>0</v>
          </cell>
          <cell r="AC39">
            <v>136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H65"/>
  <sheetViews>
    <sheetView tabSelected="1" zoomScaleNormal="100" workbookViewId="0">
      <selection activeCell="AE12" sqref="AE12"/>
    </sheetView>
  </sheetViews>
  <sheetFormatPr defaultRowHeight="15" x14ac:dyDescent="0.25"/>
  <cols>
    <col min="1" max="1" width="10.28515625" style="1" customWidth="1"/>
    <col min="2" max="2" width="1.85546875" style="1" customWidth="1"/>
    <col min="3" max="5" width="9.140625" style="1"/>
    <col min="6" max="6" width="1.7109375" style="1" customWidth="1"/>
    <col min="7" max="9" width="9.140625" style="1"/>
    <col min="10" max="10" width="1.7109375" style="1" customWidth="1"/>
    <col min="11" max="13" width="9.140625" style="1"/>
    <col min="14" max="14" width="1.5703125" style="1" customWidth="1"/>
    <col min="15" max="44" width="7.28515625" style="1" customWidth="1"/>
    <col min="45" max="16384" width="9.140625" style="1"/>
  </cols>
  <sheetData>
    <row r="2" spans="1:51" ht="21" x14ac:dyDescent="0.25">
      <c r="A2" s="46" t="s">
        <v>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51" x14ac:dyDescent="0.25">
      <c r="A3" s="44" t="s">
        <v>10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51" ht="1.1499999999999999" customHeigh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11"/>
      <c r="P4" s="11"/>
      <c r="Q4" s="11"/>
      <c r="R4" s="11"/>
      <c r="S4" s="1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</row>
    <row r="5" spans="1:51" ht="13.5" customHeight="1" x14ac:dyDescent="0.25">
      <c r="A5" s="48" t="s">
        <v>11</v>
      </c>
      <c r="B5" s="12"/>
      <c r="C5" s="50" t="s">
        <v>12</v>
      </c>
      <c r="D5" s="50"/>
      <c r="E5" s="50"/>
      <c r="F5" s="13"/>
      <c r="G5" s="50" t="s">
        <v>13</v>
      </c>
      <c r="H5" s="50"/>
      <c r="I5" s="50"/>
      <c r="J5" s="13"/>
      <c r="K5" s="50" t="s">
        <v>14</v>
      </c>
      <c r="L5" s="50"/>
      <c r="M5" s="50"/>
    </row>
    <row r="6" spans="1:51" ht="12" customHeight="1" x14ac:dyDescent="0.25">
      <c r="A6" s="49"/>
      <c r="B6" s="14"/>
      <c r="C6" s="51" t="s">
        <v>0</v>
      </c>
      <c r="D6" s="51"/>
      <c r="E6" s="51"/>
      <c r="F6" s="14"/>
      <c r="G6" s="52" t="s">
        <v>1</v>
      </c>
      <c r="H6" s="52"/>
      <c r="I6" s="52"/>
      <c r="J6" s="14"/>
      <c r="K6" s="52" t="s">
        <v>15</v>
      </c>
      <c r="L6" s="52"/>
      <c r="M6" s="52"/>
    </row>
    <row r="7" spans="1:51" x14ac:dyDescent="0.25">
      <c r="A7" s="42" t="s">
        <v>16</v>
      </c>
      <c r="B7" s="14"/>
      <c r="C7" s="3" t="s">
        <v>17</v>
      </c>
      <c r="D7" s="3" t="s">
        <v>5</v>
      </c>
      <c r="E7" s="3" t="s">
        <v>6</v>
      </c>
      <c r="F7" s="5"/>
      <c r="G7" s="3" t="s">
        <v>17</v>
      </c>
      <c r="H7" s="3" t="s">
        <v>5</v>
      </c>
      <c r="I7" s="3" t="s">
        <v>6</v>
      </c>
      <c r="J7" s="5"/>
      <c r="K7" s="3" t="s">
        <v>17</v>
      </c>
      <c r="L7" s="3" t="s">
        <v>5</v>
      </c>
      <c r="M7" s="3" t="s">
        <v>6</v>
      </c>
    </row>
    <row r="8" spans="1:51" ht="18.75" x14ac:dyDescent="0.25">
      <c r="A8" s="43"/>
      <c r="B8" s="15"/>
      <c r="C8" s="38" t="s">
        <v>2</v>
      </c>
      <c r="D8" s="38" t="s">
        <v>3</v>
      </c>
      <c r="E8" s="38" t="s">
        <v>4</v>
      </c>
      <c r="F8" s="4"/>
      <c r="G8" s="38" t="s">
        <v>2</v>
      </c>
      <c r="H8" s="38" t="s">
        <v>3</v>
      </c>
      <c r="I8" s="38" t="s">
        <v>4</v>
      </c>
      <c r="J8" s="4"/>
      <c r="K8" s="38" t="s">
        <v>2</v>
      </c>
      <c r="L8" s="38" t="s">
        <v>3</v>
      </c>
      <c r="M8" s="38" t="s">
        <v>4</v>
      </c>
    </row>
    <row r="9" spans="1:51" s="8" customFormat="1" ht="9.6" customHeight="1" x14ac:dyDescent="0.55000000000000004">
      <c r="A9" s="5"/>
      <c r="B9" s="14"/>
      <c r="C9" s="16"/>
      <c r="D9" s="16"/>
      <c r="E9" s="16"/>
      <c r="F9" s="17"/>
      <c r="G9" s="16"/>
      <c r="H9" s="16"/>
      <c r="I9" s="16"/>
      <c r="J9" s="17"/>
      <c r="K9" s="16"/>
      <c r="L9" s="16"/>
      <c r="M9" s="16"/>
    </row>
    <row r="10" spans="1:51" x14ac:dyDescent="0.25">
      <c r="A10" s="18" t="s">
        <v>18</v>
      </c>
      <c r="B10" s="19"/>
      <c r="C10" s="20">
        <f>G10+K10</f>
        <v>23647</v>
      </c>
      <c r="D10" s="20">
        <f t="shared" ref="D10:E10" si="0">H10+L10</f>
        <v>9122</v>
      </c>
      <c r="E10" s="20">
        <f t="shared" si="0"/>
        <v>14525</v>
      </c>
      <c r="F10" s="20"/>
      <c r="G10" s="20">
        <f>SUM(H10:I10)</f>
        <v>8833</v>
      </c>
      <c r="H10" s="20">
        <f>SUM(H11:H21)</f>
        <v>3791</v>
      </c>
      <c r="I10" s="20">
        <f>SUM(I11:I21)</f>
        <v>5042</v>
      </c>
      <c r="J10" s="20"/>
      <c r="K10" s="20">
        <f>SUM(L10:M10)</f>
        <v>14814</v>
      </c>
      <c r="L10" s="20">
        <f>SUM(L11:L21)</f>
        <v>5331</v>
      </c>
      <c r="M10" s="20">
        <f>SUM(M11:M21)</f>
        <v>9483</v>
      </c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</row>
    <row r="11" spans="1:51" x14ac:dyDescent="0.25">
      <c r="A11" s="22" t="s">
        <v>19</v>
      </c>
      <c r="B11" s="23"/>
      <c r="C11" s="20">
        <f t="shared" ref="C11:C21" si="1">G11+K11</f>
        <v>90</v>
      </c>
      <c r="D11" s="24">
        <f t="shared" ref="D11:D21" si="2">H11+L11</f>
        <v>33</v>
      </c>
      <c r="E11" s="24">
        <f t="shared" ref="E11:E21" si="3">I11+M11</f>
        <v>57</v>
      </c>
      <c r="F11" s="25"/>
      <c r="G11" s="20">
        <f t="shared" ref="G11:G21" si="4">SUM(H11:I11)</f>
        <v>47</v>
      </c>
      <c r="H11" s="24">
        <v>19</v>
      </c>
      <c r="I11" s="24">
        <v>28</v>
      </c>
      <c r="J11" s="25"/>
      <c r="K11" s="20">
        <f t="shared" ref="K11:K21" si="5">SUM(L11:M11)</f>
        <v>43</v>
      </c>
      <c r="L11" s="39">
        <v>14</v>
      </c>
      <c r="M11" s="39">
        <v>29</v>
      </c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</row>
    <row r="12" spans="1:51" x14ac:dyDescent="0.25">
      <c r="A12" s="22" t="s">
        <v>20</v>
      </c>
      <c r="B12" s="23"/>
      <c r="C12" s="20">
        <f t="shared" si="1"/>
        <v>1573</v>
      </c>
      <c r="D12" s="24">
        <f t="shared" si="2"/>
        <v>425</v>
      </c>
      <c r="E12" s="24">
        <f t="shared" si="3"/>
        <v>1148</v>
      </c>
      <c r="F12" s="25"/>
      <c r="G12" s="20">
        <f t="shared" si="4"/>
        <v>641</v>
      </c>
      <c r="H12" s="24">
        <v>210</v>
      </c>
      <c r="I12" s="24">
        <v>431</v>
      </c>
      <c r="J12" s="25"/>
      <c r="K12" s="20">
        <f t="shared" si="5"/>
        <v>932</v>
      </c>
      <c r="L12" s="39">
        <v>215</v>
      </c>
      <c r="M12" s="39">
        <v>717</v>
      </c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</row>
    <row r="13" spans="1:51" x14ac:dyDescent="0.25">
      <c r="A13" s="22" t="s">
        <v>21</v>
      </c>
      <c r="B13" s="23"/>
      <c r="C13" s="20">
        <f t="shared" si="1"/>
        <v>4163</v>
      </c>
      <c r="D13" s="24">
        <f t="shared" si="2"/>
        <v>1137</v>
      </c>
      <c r="E13" s="24">
        <f t="shared" si="3"/>
        <v>3026</v>
      </c>
      <c r="F13" s="25"/>
      <c r="G13" s="20">
        <f t="shared" si="4"/>
        <v>1345</v>
      </c>
      <c r="H13" s="24">
        <v>430</v>
      </c>
      <c r="I13" s="24">
        <v>915</v>
      </c>
      <c r="J13" s="25"/>
      <c r="K13" s="20">
        <f t="shared" si="5"/>
        <v>2818</v>
      </c>
      <c r="L13" s="39">
        <v>707</v>
      </c>
      <c r="M13" s="39">
        <v>2111</v>
      </c>
      <c r="N13" s="21"/>
      <c r="O13" s="21"/>
      <c r="P13" s="21"/>
      <c r="Q13" s="21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6"/>
      <c r="AU13" s="7"/>
      <c r="AV13" s="7"/>
      <c r="AW13" s="7"/>
      <c r="AX13" s="6"/>
      <c r="AY13" s="7"/>
    </row>
    <row r="14" spans="1:51" x14ac:dyDescent="0.25">
      <c r="A14" s="22" t="s">
        <v>22</v>
      </c>
      <c r="B14" s="23"/>
      <c r="C14" s="20">
        <f t="shared" si="1"/>
        <v>4964</v>
      </c>
      <c r="D14" s="24">
        <f t="shared" si="2"/>
        <v>1675</v>
      </c>
      <c r="E14" s="24">
        <f t="shared" si="3"/>
        <v>3289</v>
      </c>
      <c r="F14" s="25"/>
      <c r="G14" s="20">
        <f t="shared" si="4"/>
        <v>1601</v>
      </c>
      <c r="H14" s="24">
        <v>594</v>
      </c>
      <c r="I14" s="24">
        <v>1007</v>
      </c>
      <c r="J14" s="25"/>
      <c r="K14" s="20">
        <f t="shared" si="5"/>
        <v>3363</v>
      </c>
      <c r="L14" s="39">
        <v>1081</v>
      </c>
      <c r="M14" s="39">
        <v>2282</v>
      </c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</row>
    <row r="15" spans="1:51" x14ac:dyDescent="0.25">
      <c r="A15" s="22" t="s">
        <v>23</v>
      </c>
      <c r="B15" s="23"/>
      <c r="C15" s="20">
        <f t="shared" si="1"/>
        <v>3721</v>
      </c>
      <c r="D15" s="24">
        <f t="shared" si="2"/>
        <v>1444</v>
      </c>
      <c r="E15" s="24">
        <f t="shared" si="3"/>
        <v>2277</v>
      </c>
      <c r="F15" s="25"/>
      <c r="G15" s="20">
        <f t="shared" si="4"/>
        <v>1333</v>
      </c>
      <c r="H15" s="24">
        <v>568</v>
      </c>
      <c r="I15" s="24">
        <v>765</v>
      </c>
      <c r="J15" s="25"/>
      <c r="K15" s="20">
        <f t="shared" si="5"/>
        <v>2388</v>
      </c>
      <c r="L15" s="39">
        <v>876</v>
      </c>
      <c r="M15" s="39">
        <v>1512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</row>
    <row r="16" spans="1:51" x14ac:dyDescent="0.25">
      <c r="A16" s="22" t="s">
        <v>24</v>
      </c>
      <c r="B16" s="23"/>
      <c r="C16" s="20">
        <f t="shared" si="1"/>
        <v>2838</v>
      </c>
      <c r="D16" s="24">
        <f t="shared" si="2"/>
        <v>1137</v>
      </c>
      <c r="E16" s="24">
        <f t="shared" si="3"/>
        <v>1701</v>
      </c>
      <c r="F16" s="25"/>
      <c r="G16" s="20">
        <f t="shared" si="4"/>
        <v>1086</v>
      </c>
      <c r="H16" s="24">
        <v>445</v>
      </c>
      <c r="I16" s="24">
        <v>641</v>
      </c>
      <c r="J16" s="25"/>
      <c r="K16" s="20">
        <f t="shared" si="5"/>
        <v>1752</v>
      </c>
      <c r="L16" s="39">
        <v>692</v>
      </c>
      <c r="M16" s="39">
        <v>1060</v>
      </c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</row>
    <row r="17" spans="1:60" x14ac:dyDescent="0.25">
      <c r="A17" s="22" t="s">
        <v>25</v>
      </c>
      <c r="B17" s="23"/>
      <c r="C17" s="20">
        <f t="shared" si="1"/>
        <v>2406</v>
      </c>
      <c r="D17" s="24">
        <f t="shared" si="2"/>
        <v>1075</v>
      </c>
      <c r="E17" s="24">
        <f t="shared" si="3"/>
        <v>1331</v>
      </c>
      <c r="F17" s="25"/>
      <c r="G17" s="20">
        <f t="shared" si="4"/>
        <v>998</v>
      </c>
      <c r="H17" s="24">
        <v>473</v>
      </c>
      <c r="I17" s="24">
        <v>525</v>
      </c>
      <c r="J17" s="25"/>
      <c r="K17" s="20">
        <f t="shared" si="5"/>
        <v>1408</v>
      </c>
      <c r="L17" s="39">
        <v>602</v>
      </c>
      <c r="M17" s="39">
        <v>806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</row>
    <row r="18" spans="1:60" x14ac:dyDescent="0.25">
      <c r="A18" s="22" t="s">
        <v>26</v>
      </c>
      <c r="B18" s="23"/>
      <c r="C18" s="20">
        <f t="shared" si="1"/>
        <v>1897</v>
      </c>
      <c r="D18" s="24">
        <f t="shared" si="2"/>
        <v>939</v>
      </c>
      <c r="E18" s="24">
        <f t="shared" si="3"/>
        <v>958</v>
      </c>
      <c r="F18" s="25"/>
      <c r="G18" s="20">
        <f t="shared" si="4"/>
        <v>782</v>
      </c>
      <c r="H18" s="24">
        <v>414</v>
      </c>
      <c r="I18" s="24">
        <v>368</v>
      </c>
      <c r="J18" s="25"/>
      <c r="K18" s="20">
        <f t="shared" si="5"/>
        <v>1115</v>
      </c>
      <c r="L18" s="39">
        <v>525</v>
      </c>
      <c r="M18" s="39">
        <v>590</v>
      </c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</row>
    <row r="19" spans="1:60" x14ac:dyDescent="0.25">
      <c r="A19" s="22" t="s">
        <v>27</v>
      </c>
      <c r="B19" s="23"/>
      <c r="C19" s="20">
        <f t="shared" si="1"/>
        <v>1223</v>
      </c>
      <c r="D19" s="24">
        <f t="shared" si="2"/>
        <v>744</v>
      </c>
      <c r="E19" s="24">
        <f t="shared" si="3"/>
        <v>479</v>
      </c>
      <c r="F19" s="25"/>
      <c r="G19" s="20">
        <f t="shared" si="4"/>
        <v>605</v>
      </c>
      <c r="H19" s="24">
        <v>376</v>
      </c>
      <c r="I19" s="24">
        <v>229</v>
      </c>
      <c r="J19" s="25"/>
      <c r="K19" s="20">
        <f t="shared" si="5"/>
        <v>618</v>
      </c>
      <c r="L19" s="39">
        <v>368</v>
      </c>
      <c r="M19" s="39">
        <v>250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</row>
    <row r="20" spans="1:60" x14ac:dyDescent="0.25">
      <c r="A20" s="22" t="s">
        <v>28</v>
      </c>
      <c r="B20" s="23"/>
      <c r="C20" s="20">
        <f t="shared" si="1"/>
        <v>766</v>
      </c>
      <c r="D20" s="24">
        <f t="shared" si="2"/>
        <v>509</v>
      </c>
      <c r="E20" s="24">
        <f t="shared" si="3"/>
        <v>257</v>
      </c>
      <c r="F20" s="25"/>
      <c r="G20" s="20">
        <f t="shared" si="4"/>
        <v>391</v>
      </c>
      <c r="H20" s="24">
        <v>260</v>
      </c>
      <c r="I20" s="24">
        <v>131</v>
      </c>
      <c r="J20" s="25"/>
      <c r="K20" s="20">
        <f t="shared" si="5"/>
        <v>375</v>
      </c>
      <c r="L20" s="39">
        <v>249</v>
      </c>
      <c r="M20" s="39">
        <v>126</v>
      </c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Y20" s="45" t="s">
        <v>0</v>
      </c>
      <c r="AZ20" s="45"/>
      <c r="BA20" s="45"/>
      <c r="BB20" s="45" t="s">
        <v>1</v>
      </c>
      <c r="BC20" s="45"/>
      <c r="BD20" s="45"/>
      <c r="BE20" s="45" t="s">
        <v>15</v>
      </c>
      <c r="BF20" s="45"/>
      <c r="BG20" s="45"/>
    </row>
    <row r="21" spans="1:60" x14ac:dyDescent="0.25">
      <c r="A21" s="26" t="s">
        <v>29</v>
      </c>
      <c r="B21" s="27"/>
      <c r="C21" s="28">
        <f t="shared" si="1"/>
        <v>6</v>
      </c>
      <c r="D21" s="29">
        <f t="shared" si="2"/>
        <v>4</v>
      </c>
      <c r="E21" s="29">
        <f t="shared" si="3"/>
        <v>2</v>
      </c>
      <c r="F21" s="30"/>
      <c r="G21" s="28">
        <f t="shared" si="4"/>
        <v>4</v>
      </c>
      <c r="H21" s="29">
        <v>2</v>
      </c>
      <c r="I21" s="29">
        <v>2</v>
      </c>
      <c r="J21" s="30"/>
      <c r="K21" s="28">
        <f t="shared" si="5"/>
        <v>2</v>
      </c>
      <c r="L21" s="40">
        <v>2</v>
      </c>
      <c r="M21" s="40">
        <v>0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X21" s="14"/>
      <c r="AY21" s="3" t="s">
        <v>17</v>
      </c>
      <c r="AZ21" s="3" t="s">
        <v>5</v>
      </c>
      <c r="BA21" s="3" t="s">
        <v>6</v>
      </c>
      <c r="BB21" s="3" t="s">
        <v>17</v>
      </c>
      <c r="BC21" s="3" t="s">
        <v>5</v>
      </c>
      <c r="BD21" s="3" t="s">
        <v>6</v>
      </c>
      <c r="BE21" s="3" t="s">
        <v>17</v>
      </c>
      <c r="BF21" s="3" t="s">
        <v>5</v>
      </c>
      <c r="BG21" s="3" t="s">
        <v>6</v>
      </c>
    </row>
    <row r="22" spans="1:60" s="2" customFormat="1" ht="17.25" x14ac:dyDescent="0.25">
      <c r="A22" s="9" t="s">
        <v>7</v>
      </c>
      <c r="B22" s="31"/>
      <c r="C22" s="32"/>
      <c r="D22" s="32"/>
      <c r="E22" s="32"/>
      <c r="F22" s="32"/>
      <c r="G22" s="32"/>
      <c r="H22" s="32"/>
      <c r="I22" s="32"/>
      <c r="M22" s="10" t="s">
        <v>8</v>
      </c>
      <c r="AX22" s="1">
        <v>2012</v>
      </c>
      <c r="AY22" s="34">
        <v>17657</v>
      </c>
      <c r="AZ22" s="34">
        <v>8603</v>
      </c>
      <c r="BA22" s="34">
        <v>9054</v>
      </c>
      <c r="BB22" s="34">
        <v>7540</v>
      </c>
      <c r="BC22" s="34">
        <v>3549</v>
      </c>
      <c r="BD22" s="34">
        <v>3991</v>
      </c>
      <c r="BE22" s="34">
        <v>10117</v>
      </c>
      <c r="BF22" s="34">
        <v>5054</v>
      </c>
      <c r="BG22" s="34">
        <v>5063</v>
      </c>
      <c r="BH22" s="1"/>
    </row>
    <row r="23" spans="1:60" x14ac:dyDescent="0.25">
      <c r="AX23" s="1">
        <v>2013</v>
      </c>
      <c r="AY23" s="1">
        <v>24207</v>
      </c>
      <c r="AZ23" s="1">
        <v>11219</v>
      </c>
      <c r="BA23" s="1">
        <v>12988</v>
      </c>
      <c r="BB23" s="1">
        <v>8522</v>
      </c>
      <c r="BC23" s="1">
        <v>3837</v>
      </c>
      <c r="BD23" s="1">
        <v>4685</v>
      </c>
      <c r="BE23" s="1">
        <v>15685</v>
      </c>
      <c r="BF23" s="1">
        <v>7382</v>
      </c>
      <c r="BG23" s="1">
        <v>8303</v>
      </c>
    </row>
    <row r="24" spans="1:60" x14ac:dyDescent="0.25">
      <c r="AX24" s="33">
        <v>2014</v>
      </c>
      <c r="AY24" s="35">
        <v>24883</v>
      </c>
      <c r="AZ24" s="35">
        <v>11547</v>
      </c>
      <c r="BA24" s="35">
        <v>13336</v>
      </c>
      <c r="BB24" s="35">
        <v>8749</v>
      </c>
      <c r="BC24" s="35">
        <v>3839</v>
      </c>
      <c r="BD24" s="35">
        <v>4910</v>
      </c>
      <c r="BE24" s="35">
        <v>16134</v>
      </c>
      <c r="BF24" s="35">
        <v>7708</v>
      </c>
      <c r="BG24" s="35">
        <v>8426</v>
      </c>
    </row>
    <row r="25" spans="1:60" x14ac:dyDescent="0.25">
      <c r="AX25" s="1">
        <v>2015</v>
      </c>
      <c r="AY25" s="35">
        <v>24696</v>
      </c>
      <c r="AZ25" s="35">
        <v>11191</v>
      </c>
      <c r="BA25" s="35">
        <v>13505</v>
      </c>
      <c r="BB25" s="35">
        <v>8549</v>
      </c>
      <c r="BC25" s="35">
        <v>3692</v>
      </c>
      <c r="BD25" s="35">
        <v>4857</v>
      </c>
      <c r="BE25" s="35">
        <v>16147</v>
      </c>
      <c r="BF25" s="35">
        <v>7499</v>
      </c>
      <c r="BG25" s="35">
        <v>8648</v>
      </c>
    </row>
    <row r="26" spans="1:60" x14ac:dyDescent="0.25">
      <c r="AX26" s="1">
        <v>2016</v>
      </c>
      <c r="AY26" s="1">
        <v>24501</v>
      </c>
      <c r="AZ26" s="1">
        <v>10881</v>
      </c>
      <c r="BA26" s="1">
        <v>13620</v>
      </c>
      <c r="BB26" s="1">
        <v>9500</v>
      </c>
      <c r="BC26" s="1">
        <v>4500</v>
      </c>
      <c r="BD26" s="1">
        <v>5000</v>
      </c>
      <c r="BE26" s="1">
        <v>15001</v>
      </c>
      <c r="BF26" s="1">
        <v>6381</v>
      </c>
      <c r="BG26" s="1">
        <v>8620</v>
      </c>
    </row>
    <row r="27" spans="1:60" x14ac:dyDescent="0.25">
      <c r="C27" s="14" t="s">
        <v>16</v>
      </c>
      <c r="D27" s="1" t="s">
        <v>5</v>
      </c>
      <c r="E27" s="1" t="s">
        <v>6</v>
      </c>
      <c r="AX27" s="1">
        <v>2017</v>
      </c>
      <c r="AY27" s="1">
        <v>22082</v>
      </c>
      <c r="AZ27" s="1">
        <v>8907</v>
      </c>
      <c r="BA27" s="1">
        <v>13175</v>
      </c>
      <c r="BB27" s="1">
        <v>8977</v>
      </c>
      <c r="BC27" s="1">
        <v>4008</v>
      </c>
      <c r="BD27" s="1">
        <v>4969</v>
      </c>
      <c r="BE27" s="1">
        <v>13105</v>
      </c>
      <c r="BF27" s="1">
        <v>4899</v>
      </c>
      <c r="BG27" s="1">
        <v>8206</v>
      </c>
    </row>
    <row r="28" spans="1:60" x14ac:dyDescent="0.25">
      <c r="C28" s="23" t="s">
        <v>19</v>
      </c>
      <c r="D28" s="36">
        <v>8</v>
      </c>
      <c r="E28" s="36">
        <v>12</v>
      </c>
      <c r="AX28" s="1">
        <v>2018</v>
      </c>
      <c r="AY28" s="35">
        <f>C10</f>
        <v>23647</v>
      </c>
      <c r="AZ28" s="35">
        <f>D10</f>
        <v>9122</v>
      </c>
      <c r="BA28" s="35">
        <f>E10</f>
        <v>14525</v>
      </c>
      <c r="BB28" s="35">
        <f>G10</f>
        <v>8833</v>
      </c>
      <c r="BC28" s="35">
        <f>H10</f>
        <v>3791</v>
      </c>
      <c r="BD28" s="35">
        <f>I10</f>
        <v>5042</v>
      </c>
      <c r="BE28" s="35">
        <f>K10</f>
        <v>14814</v>
      </c>
      <c r="BF28" s="35">
        <f>L10</f>
        <v>5331</v>
      </c>
      <c r="BG28" s="35">
        <f>M10</f>
        <v>9483</v>
      </c>
    </row>
    <row r="29" spans="1:60" x14ac:dyDescent="0.25">
      <c r="C29" s="23" t="s">
        <v>20</v>
      </c>
      <c r="D29" s="36">
        <v>554</v>
      </c>
      <c r="E29" s="36">
        <v>736</v>
      </c>
    </row>
    <row r="30" spans="1:60" x14ac:dyDescent="0.25">
      <c r="C30" s="23" t="s">
        <v>21</v>
      </c>
      <c r="D30" s="36">
        <v>1534</v>
      </c>
      <c r="E30" s="36">
        <v>2232</v>
      </c>
    </row>
    <row r="31" spans="1:60" x14ac:dyDescent="0.25">
      <c r="C31" s="23" t="s">
        <v>22</v>
      </c>
      <c r="D31" s="36">
        <v>1451</v>
      </c>
      <c r="E31" s="36">
        <v>1873</v>
      </c>
    </row>
    <row r="32" spans="1:60" x14ac:dyDescent="0.25">
      <c r="C32" s="23" t="s">
        <v>23</v>
      </c>
      <c r="D32" s="36">
        <v>1208</v>
      </c>
      <c r="E32" s="36">
        <v>1440</v>
      </c>
    </row>
    <row r="33" spans="3:5" x14ac:dyDescent="0.25">
      <c r="C33" s="23" t="s">
        <v>24</v>
      </c>
      <c r="D33" s="36">
        <v>1108</v>
      </c>
      <c r="E33" s="36">
        <v>1123</v>
      </c>
    </row>
    <row r="34" spans="3:5" x14ac:dyDescent="0.25">
      <c r="C34" s="23" t="s">
        <v>25</v>
      </c>
      <c r="D34" s="36">
        <v>954</v>
      </c>
      <c r="E34" s="36">
        <v>776</v>
      </c>
    </row>
    <row r="35" spans="3:5" x14ac:dyDescent="0.25">
      <c r="C35" s="23" t="s">
        <v>26</v>
      </c>
      <c r="D35" s="36">
        <v>781</v>
      </c>
      <c r="E35" s="36">
        <v>448</v>
      </c>
    </row>
    <row r="36" spans="3:5" x14ac:dyDescent="0.25">
      <c r="C36" s="23" t="s">
        <v>27</v>
      </c>
      <c r="D36" s="36">
        <v>611</v>
      </c>
      <c r="E36" s="36">
        <v>282</v>
      </c>
    </row>
    <row r="37" spans="3:5" x14ac:dyDescent="0.25">
      <c r="C37" s="23" t="s">
        <v>28</v>
      </c>
      <c r="D37" s="36">
        <v>327</v>
      </c>
      <c r="E37" s="36">
        <v>114</v>
      </c>
    </row>
    <row r="38" spans="3:5" x14ac:dyDescent="0.25">
      <c r="C38" s="27" t="s">
        <v>29</v>
      </c>
      <c r="D38" s="37">
        <v>67</v>
      </c>
      <c r="E38" s="37">
        <v>18</v>
      </c>
    </row>
    <row r="49" spans="15:50" x14ac:dyDescent="0.25"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</row>
    <row r="50" spans="15:50" x14ac:dyDescent="0.25"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</row>
    <row r="51" spans="15:50" x14ac:dyDescent="0.25"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</row>
    <row r="52" spans="15:50" x14ac:dyDescent="0.25"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</row>
    <row r="53" spans="15:50" x14ac:dyDescent="0.25"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</row>
    <row r="54" spans="15:50" x14ac:dyDescent="0.25"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</row>
    <row r="55" spans="15:50" x14ac:dyDescent="0.25"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</row>
    <row r="56" spans="15:50" x14ac:dyDescent="0.25"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</row>
    <row r="57" spans="15:50" x14ac:dyDescent="0.25"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</row>
    <row r="58" spans="15:50" x14ac:dyDescent="0.25"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</row>
    <row r="59" spans="15:50" x14ac:dyDescent="0.25"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</row>
    <row r="60" spans="15:50" x14ac:dyDescent="0.25"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</row>
    <row r="61" spans="15:50" x14ac:dyDescent="0.25"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</row>
    <row r="62" spans="15:50" x14ac:dyDescent="0.25"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</row>
    <row r="63" spans="15:50" x14ac:dyDescent="0.25"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</row>
    <row r="64" spans="15:50" x14ac:dyDescent="0.25"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</row>
    <row r="65" spans="15:50" x14ac:dyDescent="0.25"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</row>
  </sheetData>
  <mergeCells count="14">
    <mergeCell ref="A7:A8"/>
    <mergeCell ref="AY20:BA20"/>
    <mergeCell ref="BB20:BD20"/>
    <mergeCell ref="BE20:BG20"/>
    <mergeCell ref="A2:M2"/>
    <mergeCell ref="A3:M3"/>
    <mergeCell ref="A4:N4"/>
    <mergeCell ref="A5:A6"/>
    <mergeCell ref="C5:E5"/>
    <mergeCell ref="G5:I5"/>
    <mergeCell ref="K5:M5"/>
    <mergeCell ref="C6:E6"/>
    <mergeCell ref="G6:I6"/>
    <mergeCell ref="K6:M6"/>
  </mergeCells>
  <pageMargins left="0.7" right="0.7" top="0.75" bottom="0.75" header="0.3" footer="0.3"/>
  <pageSetup paperSize="9" scale="88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5.2</vt:lpstr>
      <vt:lpstr>'5.2'!Print_Area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2019-08-04T03:14:27Z</cp:lastPrinted>
  <dcterms:created xsi:type="dcterms:W3CDTF">2019-06-03T04:17:39Z</dcterms:created>
  <dcterms:modified xsi:type="dcterms:W3CDTF">2019-08-04T03:14:43Z</dcterms:modified>
</cp:coreProperties>
</file>