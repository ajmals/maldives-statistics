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5.EMPLOYMENT\"/>
    </mc:Choice>
  </mc:AlternateContent>
  <bookViews>
    <workbookView xWindow="0" yWindow="0" windowWidth="28800" windowHeight="12330" tabRatio="692"/>
  </bookViews>
  <sheets>
    <sheet name="5.11" sheetId="12" r:id="rId1"/>
  </sheets>
  <externalReferences>
    <externalReference r:id="rId2"/>
  </externalReferences>
  <definedNames>
    <definedName name="_xlnm.Print_Area" localSheetId="0">'5.11'!$A$1:$G$44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2" l="1"/>
  <c r="C5" i="12"/>
  <c r="B5" i="12" s="1"/>
  <c r="E22" i="12" l="1"/>
  <c r="E14" i="12"/>
  <c r="E6" i="12"/>
  <c r="E21" i="12"/>
  <c r="E13" i="12"/>
  <c r="E5" i="12"/>
  <c r="E20" i="12"/>
  <c r="E12" i="12"/>
  <c r="E19" i="12"/>
  <c r="E11" i="12"/>
  <c r="E18" i="12"/>
  <c r="E10" i="12"/>
  <c r="E8" i="12"/>
  <c r="E17" i="12"/>
  <c r="E9" i="12"/>
  <c r="E16" i="12"/>
  <c r="E15" i="12"/>
  <c r="E7" i="12"/>
</calcChain>
</file>

<file path=xl/sharedStrings.xml><?xml version="1.0" encoding="utf-8"?>
<sst xmlns="http://schemas.openxmlformats.org/spreadsheetml/2006/main" count="68" uniqueCount="49">
  <si>
    <t>Male</t>
  </si>
  <si>
    <t>ޖުމްލަ</t>
  </si>
  <si>
    <t xml:space="preserve">Total </t>
  </si>
  <si>
    <t xml:space="preserve">Female </t>
  </si>
  <si>
    <t>% share</t>
  </si>
  <si>
    <t>Grand Total</t>
  </si>
  <si>
    <t>Data provided by: National Centre for Information Technology</t>
  </si>
  <si>
    <t>Others</t>
  </si>
  <si>
    <t xml:space="preserve"> Industry</t>
  </si>
  <si>
    <t>Agriculture</t>
  </si>
  <si>
    <t>Construction</t>
  </si>
  <si>
    <t>Education</t>
  </si>
  <si>
    <t>Electricity, gas &amp; water supply</t>
  </si>
  <si>
    <t>Financial intermediation</t>
  </si>
  <si>
    <t>Fishery</t>
  </si>
  <si>
    <t>Health &amp; Social Work</t>
  </si>
  <si>
    <t>Hotels &amp; Restaurants</t>
  </si>
  <si>
    <t>Manufacturing</t>
  </si>
  <si>
    <t>Other Community, Social and Personal Services</t>
  </si>
  <si>
    <t>Professional, scientific and technical activities</t>
  </si>
  <si>
    <t>Real Estate, Renting &amp; Business Activities</t>
  </si>
  <si>
    <t>Recycling</t>
  </si>
  <si>
    <t>Security and investigation activities</t>
  </si>
  <si>
    <t>Tourism</t>
  </si>
  <si>
    <t>Transport, Storage &amp; Communication</t>
  </si>
  <si>
    <t>Whole sale &amp; retail trade; repair of motor vehicles, motor cycles &amp; personal  household goods</t>
  </si>
  <si>
    <t>Table 5.11: Expatriate Employment by Industry and Sex, 2018</t>
  </si>
  <si>
    <t>cnwkirevuDnwd</t>
  </si>
  <si>
    <t>cnwkirevcswm</t>
  </si>
  <si>
    <t>cnudcaefuaitekwt</t>
  </si>
  <si>
    <t>cnef idwa csEgiaWTcnwrwk</t>
  </si>
  <si>
    <t>cnurukctWrWmiA</t>
  </si>
  <si>
    <t>WriaWd ImIluAwt</t>
  </si>
  <si>
    <t>cTcnerOTcser idwa WToh</t>
  </si>
  <si>
    <t>cnwkirevurutwf</t>
  </si>
  <si>
    <t>utWlwsWvum idwa cnuTcaeheleb cSokWkcawrWdum ,iaWrutwfurutwd</t>
  </si>
  <si>
    <t>ސިއްޚި އަދި އިޖްތިމާޢީ</t>
  </si>
  <si>
    <t>irWfwyiv egutWrWmia iaWrodegitOg</t>
  </si>
  <si>
    <t>ޕްރޮފެޝަނަލް، ސައިންޓިފިކް އަދި ޓެކްނިކަލް ޚިދުމަތްތައް</t>
  </si>
  <si>
    <t>ދާއިރާ</t>
  </si>
  <si>
    <t>ރީސައިކަލްކުރުން</t>
  </si>
  <si>
    <t xml:space="preserve">ގަނޑުކޮށް އަދި ވަކިން މުދާޒިއްކުން؛ އިންޖީނުލީ އެއްގަމު އުޅަދުފަހަރާއި ގޭގައި ހިފާގެންގުޅޭ ސާމާނު މަރާމާތުގެ ޚިދްމަތް  </t>
  </si>
  <si>
    <r>
      <t xml:space="preserve">ctwmcdiK ItWz idwa IaWmitcjia </t>
    </r>
    <r>
      <rPr>
        <sz val="9"/>
        <rFont val="Faruma"/>
      </rPr>
      <t>އެހެނިހެން</t>
    </r>
    <r>
      <rPr>
        <sz val="10"/>
        <rFont val="A_Randhoo"/>
      </rPr>
      <t xml:space="preserve"> </t>
    </r>
  </si>
  <si>
    <t>މަޢުލޫމާތު ފޯރުކޯށްދެއްވީ: ނޭޝަނަލް ސެންޓަރ ފޮރ އިންފޮމޭޝަން ޓެކްނޮލޮޖީ</t>
  </si>
  <si>
    <t xml:space="preserve">ސެކިއުރިޓީ އަދި އިންވެސްޓިގޭޝަން </t>
  </si>
  <si>
    <t>ތާވަލު 5.11: ރާއްޖޭގައި ބިދޭސީ މަސައްކަތްތެރިން މަސައްކަތްކުރާ ދާއިރާއާއި ޖިންސު، 2018</t>
  </si>
  <si>
    <t>ނޯޓް: ނޭޝަނަލް ބިއުރޯ އޮފް ސްޓެޓިސްޓިކްސް (އެން.ބީ.އެސް) ގެ އަންދާޒާ</t>
  </si>
  <si>
    <t>Note: Estimates of  National Bureau of Statistics (NBS).</t>
  </si>
  <si>
    <t>ފައިނޭންޝަލް ޚިދުމަތްތައް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</si>
</sst>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8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Calibri"/>
      <family val="2"/>
      <scheme val="minor"/>
    </font>
    <font>
      <sz val="9"/>
      <name val="Faruma"/>
    </font>
    <font>
      <b/>
      <sz val="11"/>
      <color theme="1"/>
      <name val="Faruma"/>
    </font>
    <font>
      <b/>
      <sz val="11"/>
      <name val="Faruma"/>
    </font>
    <font>
      <sz val="10"/>
      <name val="A_Randhoo"/>
    </font>
    <font>
      <sz val="10"/>
      <name val="MS Sans Serif"/>
      <family val="2"/>
    </font>
    <font>
      <i/>
      <sz val="9"/>
      <color theme="1"/>
      <name val="Calibri"/>
      <family val="2"/>
      <scheme val="minor"/>
    </font>
    <font>
      <b/>
      <sz val="12"/>
      <name val="Faruma"/>
    </font>
    <font>
      <sz val="9"/>
      <name val="Calibri"/>
      <family val="2"/>
    </font>
    <font>
      <sz val="10"/>
      <name val="Faruma"/>
    </font>
    <font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10" fillId="0" borderId="0"/>
    <xf numFmtId="0" fontId="4" fillId="0" borderId="0"/>
    <xf numFmtId="164" fontId="4" fillId="0" borderId="0"/>
  </cellStyleXfs>
  <cellXfs count="36">
    <xf numFmtId="0" fontId="0" fillId="0" borderId="0" xfId="0"/>
    <xf numFmtId="0" fontId="0" fillId="2" borderId="0" xfId="0" applyFill="1"/>
    <xf numFmtId="3" fontId="6" fillId="2" borderId="0" xfId="3" applyNumberFormat="1" applyFont="1" applyFill="1" applyBorder="1" applyAlignment="1" applyProtection="1">
      <alignment horizontal="right" vertical="center"/>
    </xf>
    <xf numFmtId="3" fontId="0" fillId="2" borderId="0" xfId="0" applyNumberFormat="1" applyFill="1"/>
    <xf numFmtId="0" fontId="2" fillId="2" borderId="0" xfId="0" applyFont="1" applyFill="1"/>
    <xf numFmtId="0" fontId="0" fillId="2" borderId="0" xfId="0" applyFill="1" applyAlignment="1">
      <alignment vertical="center"/>
    </xf>
    <xf numFmtId="3" fontId="0" fillId="2" borderId="0" xfId="0" applyNumberFormat="1" applyFill="1" applyBorder="1"/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/>
    </xf>
    <xf numFmtId="3" fontId="2" fillId="2" borderId="0" xfId="0" applyNumberFormat="1" applyFont="1" applyFill="1" applyBorder="1" applyAlignment="1">
      <alignment vertical="center"/>
    </xf>
    <xf numFmtId="168" fontId="2" fillId="2" borderId="0" xfId="1" applyNumberFormat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168" fontId="1" fillId="2" borderId="0" xfId="1" applyNumberFormat="1" applyFont="1" applyFill="1" applyBorder="1" applyAlignment="1">
      <alignment vertical="center"/>
    </xf>
    <xf numFmtId="168" fontId="1" fillId="2" borderId="1" xfId="1" applyNumberFormat="1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 wrapText="1" indent="1"/>
    </xf>
    <xf numFmtId="164" fontId="12" fillId="2" borderId="0" xfId="2" applyNumberFormat="1" applyFont="1" applyFill="1" applyAlignment="1">
      <alignment vertical="center"/>
    </xf>
    <xf numFmtId="164" fontId="13" fillId="2" borderId="0" xfId="2" applyNumberFormat="1" applyFont="1" applyFill="1" applyBorder="1" applyAlignment="1" applyProtection="1">
      <alignment horizontal="left" vertical="center" wrapText="1"/>
    </xf>
    <xf numFmtId="164" fontId="9" fillId="2" borderId="0" xfId="2" applyNumberFormat="1" applyFont="1" applyFill="1" applyBorder="1" applyAlignment="1" applyProtection="1">
      <alignment horizontal="right" vertical="justify"/>
    </xf>
    <xf numFmtId="0" fontId="0" fillId="2" borderId="0" xfId="0" applyFill="1" applyAlignment="1"/>
    <xf numFmtId="0" fontId="7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168" fontId="7" fillId="2" borderId="0" xfId="1" applyNumberFormat="1" applyFont="1" applyFill="1" applyBorder="1" applyAlignment="1"/>
    <xf numFmtId="164" fontId="9" fillId="2" borderId="0" xfId="2" applyNumberFormat="1" applyFont="1" applyFill="1" applyBorder="1" applyAlignment="1" applyProtection="1">
      <alignment horizontal="right" vertical="center" indent="3"/>
    </xf>
    <xf numFmtId="164" fontId="6" fillId="2" borderId="0" xfId="6" applyNumberFormat="1" applyFont="1" applyFill="1" applyBorder="1" applyAlignment="1" applyProtection="1">
      <alignment horizontal="right" vertical="center" indent="3"/>
    </xf>
    <xf numFmtId="164" fontId="14" fillId="2" borderId="0" xfId="7" applyFont="1" applyFill="1" applyBorder="1" applyAlignment="1">
      <alignment horizontal="right" vertical="center" indent="3"/>
    </xf>
    <xf numFmtId="164" fontId="9" fillId="2" borderId="0" xfId="7" applyFont="1" applyFill="1" applyBorder="1" applyAlignment="1">
      <alignment horizontal="right" vertical="center" indent="3"/>
    </xf>
    <xf numFmtId="0" fontId="15" fillId="2" borderId="1" xfId="0" applyFont="1" applyFill="1" applyBorder="1" applyAlignment="1">
      <alignment horizontal="right" vertical="center" wrapText="1" indent="3"/>
    </xf>
    <xf numFmtId="3" fontId="0" fillId="2" borderId="0" xfId="0" applyNumberFormat="1" applyFill="1" applyAlignment="1">
      <alignment vertical="center"/>
    </xf>
    <xf numFmtId="3" fontId="0" fillId="2" borderId="1" xfId="0" applyNumberFormat="1" applyFill="1" applyBorder="1" applyAlignment="1">
      <alignment vertical="center"/>
    </xf>
    <xf numFmtId="168" fontId="15" fillId="2" borderId="0" xfId="1" applyNumberFormat="1" applyFont="1" applyFill="1" applyBorder="1" applyAlignment="1">
      <alignment horizontal="right" vertical="center" indent="3"/>
    </xf>
    <xf numFmtId="164" fontId="14" fillId="2" borderId="0" xfId="2" applyNumberFormat="1" applyFont="1" applyFill="1" applyBorder="1" applyAlignment="1" applyProtection="1">
      <alignment horizontal="right" vertical="center" indent="3"/>
    </xf>
    <xf numFmtId="0" fontId="5" fillId="2" borderId="0" xfId="0" applyFont="1" applyFill="1" applyBorder="1" applyAlignment="1">
      <alignment horizontal="center" vertical="center"/>
    </xf>
    <xf numFmtId="164" fontId="8" fillId="2" borderId="0" xfId="2" applyNumberFormat="1" applyFont="1" applyFill="1" applyAlignment="1">
      <alignment horizontal="center" vertical="center"/>
    </xf>
  </cellXfs>
  <cellStyles count="8">
    <cellStyle name="Normal" xfId="0" builtinId="0"/>
    <cellStyle name="Normal 2" xfId="4"/>
    <cellStyle name="Normal 4" xfId="5"/>
    <cellStyle name="Normal_II-16(Populaion)" xfId="3"/>
    <cellStyle name="Normal_Population - II 2" xfId="2"/>
    <cellStyle name="Normal_Population - II 4" xfId="6"/>
    <cellStyle name="Normal_XII-1 (Commerce)" xfId="7"/>
    <cellStyle name="Percent" xfId="1" builtinId="5"/>
  </cellStyles>
  <dxfs count="0"/>
  <tableStyles count="0" defaultTableStyle="TableStyleMedium2" defaultPivotStyle="PivotStyleLight16"/>
  <colors>
    <mruColors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5.14: Expatriate emplyment by industry and sex, 2018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19084083704545429"/>
          <c:y val="2.783587708372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251458766689148E-2"/>
          <c:y val="0.10769067227765632"/>
          <c:w val="0.90279329679688725"/>
          <c:h val="0.41159837594027288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'5.11'!$O$37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'5.11'!$M$38:$M$52</c:f>
              <c:strCache>
                <c:ptCount val="15"/>
                <c:pt idx="0">
                  <c:v>Construction</c:v>
                </c:pt>
                <c:pt idx="1">
                  <c:v>Tourism</c:v>
                </c:pt>
                <c:pt idx="2">
                  <c:v>Other Community, Social and Personal Services</c:v>
                </c:pt>
                <c:pt idx="3">
                  <c:v>Whole sale &amp; retail trade; repair of motor vehicles, motor cycles &amp; personal  household goods</c:v>
                </c:pt>
                <c:pt idx="4">
                  <c:v>Manufacturing</c:v>
                </c:pt>
                <c:pt idx="5">
                  <c:v>Hotels &amp; Restaurants</c:v>
                </c:pt>
                <c:pt idx="6">
                  <c:v>Health &amp; Social Work</c:v>
                </c:pt>
                <c:pt idx="7">
                  <c:v>Transport, Storage &amp; Communication</c:v>
                </c:pt>
                <c:pt idx="8">
                  <c:v>Education</c:v>
                </c:pt>
                <c:pt idx="9">
                  <c:v>Real Estate, Renting &amp; Business Activities</c:v>
                </c:pt>
                <c:pt idx="10">
                  <c:v>Agriculture</c:v>
                </c:pt>
                <c:pt idx="11">
                  <c:v>Electricity, gas &amp; water supply</c:v>
                </c:pt>
                <c:pt idx="12">
                  <c:v>Fishery</c:v>
                </c:pt>
                <c:pt idx="13">
                  <c:v>Financial intermediation</c:v>
                </c:pt>
                <c:pt idx="14">
                  <c:v>Others</c:v>
                </c:pt>
              </c:strCache>
            </c:strRef>
          </c:cat>
          <c:val>
            <c:numRef>
              <c:f>'5.11'!$O$38:$O$52</c:f>
              <c:numCache>
                <c:formatCode>General</c:formatCode>
                <c:ptCount val="15"/>
                <c:pt idx="0">
                  <c:v>42932</c:v>
                </c:pt>
                <c:pt idx="1">
                  <c:v>20713</c:v>
                </c:pt>
                <c:pt idx="2">
                  <c:v>9786</c:v>
                </c:pt>
                <c:pt idx="3">
                  <c:v>9193</c:v>
                </c:pt>
                <c:pt idx="4">
                  <c:v>6692</c:v>
                </c:pt>
                <c:pt idx="5">
                  <c:v>5730</c:v>
                </c:pt>
                <c:pt idx="6">
                  <c:v>2032</c:v>
                </c:pt>
                <c:pt idx="7">
                  <c:v>2491</c:v>
                </c:pt>
                <c:pt idx="8">
                  <c:v>1794</c:v>
                </c:pt>
                <c:pt idx="9">
                  <c:v>1089</c:v>
                </c:pt>
                <c:pt idx="10">
                  <c:v>794</c:v>
                </c:pt>
                <c:pt idx="11">
                  <c:v>662</c:v>
                </c:pt>
                <c:pt idx="12">
                  <c:v>563</c:v>
                </c:pt>
                <c:pt idx="13">
                  <c:v>232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1D-4DC2-B143-227792AEE4B2}"/>
            </c:ext>
          </c:extLst>
        </c:ser>
        <c:ser>
          <c:idx val="0"/>
          <c:order val="1"/>
          <c:tx>
            <c:strRef>
              <c:f>'5.11'!$P$37</c:f>
              <c:strCache>
                <c:ptCount val="1"/>
                <c:pt idx="0">
                  <c:v>Female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'5.11'!$M$38:$M$52</c:f>
              <c:strCache>
                <c:ptCount val="15"/>
                <c:pt idx="0">
                  <c:v>Construction</c:v>
                </c:pt>
                <c:pt idx="1">
                  <c:v>Tourism</c:v>
                </c:pt>
                <c:pt idx="2">
                  <c:v>Other Community, Social and Personal Services</c:v>
                </c:pt>
                <c:pt idx="3">
                  <c:v>Whole sale &amp; retail trade; repair of motor vehicles, motor cycles &amp; personal  household goods</c:v>
                </c:pt>
                <c:pt idx="4">
                  <c:v>Manufacturing</c:v>
                </c:pt>
                <c:pt idx="5">
                  <c:v>Hotels &amp; Restaurants</c:v>
                </c:pt>
                <c:pt idx="6">
                  <c:v>Health &amp; Social Work</c:v>
                </c:pt>
                <c:pt idx="7">
                  <c:v>Transport, Storage &amp; Communication</c:v>
                </c:pt>
                <c:pt idx="8">
                  <c:v>Education</c:v>
                </c:pt>
                <c:pt idx="9">
                  <c:v>Real Estate, Renting &amp; Business Activities</c:v>
                </c:pt>
                <c:pt idx="10">
                  <c:v>Agriculture</c:v>
                </c:pt>
                <c:pt idx="11">
                  <c:v>Electricity, gas &amp; water supply</c:v>
                </c:pt>
                <c:pt idx="12">
                  <c:v>Fishery</c:v>
                </c:pt>
                <c:pt idx="13">
                  <c:v>Financial intermediation</c:v>
                </c:pt>
                <c:pt idx="14">
                  <c:v>Others</c:v>
                </c:pt>
              </c:strCache>
            </c:strRef>
          </c:cat>
          <c:val>
            <c:numRef>
              <c:f>'5.11'!$P$38:$P$52</c:f>
              <c:numCache>
                <c:formatCode>General</c:formatCode>
                <c:ptCount val="15"/>
                <c:pt idx="0">
                  <c:v>332</c:v>
                </c:pt>
                <c:pt idx="1">
                  <c:v>3707</c:v>
                </c:pt>
                <c:pt idx="2">
                  <c:v>2476</c:v>
                </c:pt>
                <c:pt idx="3">
                  <c:v>331</c:v>
                </c:pt>
                <c:pt idx="4">
                  <c:v>489</c:v>
                </c:pt>
                <c:pt idx="5">
                  <c:v>370</c:v>
                </c:pt>
                <c:pt idx="6">
                  <c:v>1454</c:v>
                </c:pt>
                <c:pt idx="7">
                  <c:v>203</c:v>
                </c:pt>
                <c:pt idx="8">
                  <c:v>758</c:v>
                </c:pt>
                <c:pt idx="9">
                  <c:v>35</c:v>
                </c:pt>
                <c:pt idx="10">
                  <c:v>28</c:v>
                </c:pt>
                <c:pt idx="11">
                  <c:v>4</c:v>
                </c:pt>
                <c:pt idx="12">
                  <c:v>16</c:v>
                </c:pt>
                <c:pt idx="13">
                  <c:v>20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1D-4DC2-B143-227792AEE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56308224"/>
        <c:axId val="856311136"/>
      </c:barChart>
      <c:catAx>
        <c:axId val="85630822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311136"/>
        <c:crosses val="autoZero"/>
        <c:auto val="1"/>
        <c:lblAlgn val="ctr"/>
        <c:lblOffset val="100"/>
        <c:noMultiLvlLbl val="0"/>
      </c:catAx>
      <c:valAx>
        <c:axId val="856311136"/>
        <c:scaling>
          <c:orientation val="minMax"/>
        </c:scaling>
        <c:delete val="0"/>
        <c:axPos val="r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cross"/>
        <c:minorTickMark val="cross"/>
        <c:tickLblPos val="high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308224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3754758924714199"/>
          <c:y val="0.91936966959712108"/>
          <c:w val="0.14373883547052901"/>
          <c:h val="6.03221380169301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24</xdr:row>
      <xdr:rowOff>161925</xdr:rowOff>
    </xdr:from>
    <xdr:to>
      <xdr:col>5</xdr:col>
      <xdr:colOff>2295525</xdr:colOff>
      <xdr:row>43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13</xdr:row>
      <xdr:rowOff>0</xdr:rowOff>
    </xdr:from>
    <xdr:to>
      <xdr:col>8</xdr:col>
      <xdr:colOff>0</xdr:colOff>
      <xdr:row>13</xdr:row>
      <xdr:rowOff>0</xdr:rowOff>
    </xdr:to>
    <xdr:sp macro="" textlink="">
      <xdr:nvSpPr>
        <xdr:cNvPr id="10" name="Text 4"/>
        <xdr:cNvSpPr txBox="1">
          <a:spLocks noChangeArrowheads="1"/>
        </xdr:cNvSpPr>
      </xdr:nvSpPr>
      <xdr:spPr bwMode="auto">
        <a:xfrm>
          <a:off x="9525" y="3800475"/>
          <a:ext cx="25527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Win Ahamedey PRB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7</xdr:col>
      <xdr:colOff>9525</xdr:colOff>
      <xdr:row>13</xdr:row>
      <xdr:rowOff>0</xdr:rowOff>
    </xdr:from>
    <xdr:to>
      <xdr:col>8</xdr:col>
      <xdr:colOff>0</xdr:colOff>
      <xdr:row>13</xdr:row>
      <xdr:rowOff>0</xdr:rowOff>
    </xdr:to>
    <xdr:sp macro="" textlink="">
      <xdr:nvSpPr>
        <xdr:cNvPr id="11" name="Text 5"/>
        <xdr:cNvSpPr txBox="1">
          <a:spLocks noChangeArrowheads="1"/>
        </xdr:cNvSpPr>
      </xdr:nvSpPr>
      <xdr:spPr bwMode="auto">
        <a:xfrm>
          <a:off x="9525" y="3800475"/>
          <a:ext cx="25527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Win Ahamedey PRB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7</xdr:col>
      <xdr:colOff>9525</xdr:colOff>
      <xdr:row>13</xdr:row>
      <xdr:rowOff>0</xdr:rowOff>
    </xdr:from>
    <xdr:to>
      <xdr:col>8</xdr:col>
      <xdr:colOff>0</xdr:colOff>
      <xdr:row>13</xdr:row>
      <xdr:rowOff>0</xdr:rowOff>
    </xdr:to>
    <xdr:sp macro="" textlink="">
      <xdr:nvSpPr>
        <xdr:cNvPr id="12" name="Text 7"/>
        <xdr:cNvSpPr txBox="1">
          <a:spLocks noChangeArrowheads="1"/>
        </xdr:cNvSpPr>
      </xdr:nvSpPr>
      <xdr:spPr bwMode="auto">
        <a:xfrm>
          <a:off x="9525" y="3800475"/>
          <a:ext cx="25527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Win Ahamedey PRB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7</xdr:col>
      <xdr:colOff>9525</xdr:colOff>
      <xdr:row>13</xdr:row>
      <xdr:rowOff>0</xdr:rowOff>
    </xdr:from>
    <xdr:to>
      <xdr:col>8</xdr:col>
      <xdr:colOff>0</xdr:colOff>
      <xdr:row>13</xdr:row>
      <xdr:rowOff>0</xdr:rowOff>
    </xdr:to>
    <xdr:sp macro="" textlink="">
      <xdr:nvSpPr>
        <xdr:cNvPr id="13" name="Text 4"/>
        <xdr:cNvSpPr txBox="1">
          <a:spLocks noChangeArrowheads="1"/>
        </xdr:cNvSpPr>
      </xdr:nvSpPr>
      <xdr:spPr bwMode="auto">
        <a:xfrm>
          <a:off x="9525" y="3800475"/>
          <a:ext cx="25527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Win Ahamedey PRB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7</xdr:col>
      <xdr:colOff>9525</xdr:colOff>
      <xdr:row>13</xdr:row>
      <xdr:rowOff>0</xdr:rowOff>
    </xdr:from>
    <xdr:to>
      <xdr:col>8</xdr:col>
      <xdr:colOff>0</xdr:colOff>
      <xdr:row>13</xdr:row>
      <xdr:rowOff>0</xdr:rowOff>
    </xdr:to>
    <xdr:sp macro="" textlink="">
      <xdr:nvSpPr>
        <xdr:cNvPr id="14" name="Text 5"/>
        <xdr:cNvSpPr txBox="1">
          <a:spLocks noChangeArrowheads="1"/>
        </xdr:cNvSpPr>
      </xdr:nvSpPr>
      <xdr:spPr bwMode="auto">
        <a:xfrm>
          <a:off x="9525" y="3800475"/>
          <a:ext cx="25527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Win Ahamedey PRB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5.%20EMPLO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</sheetNames>
    <sheetDataSet>
      <sheetData sheetId="0"/>
      <sheetData sheetId="1"/>
      <sheetData sheetId="2">
        <row r="45">
          <cell r="Q45" t="str">
            <v>Male</v>
          </cell>
          <cell r="R45" t="str">
            <v>Female</v>
          </cell>
        </row>
        <row r="46">
          <cell r="P46" t="str">
            <v>HA</v>
          </cell>
          <cell r="Q46">
            <v>352</v>
          </cell>
          <cell r="R46">
            <v>565</v>
          </cell>
        </row>
        <row r="47">
          <cell r="P47" t="str">
            <v>HDh</v>
          </cell>
          <cell r="Q47">
            <v>456</v>
          </cell>
          <cell r="R47">
            <v>829</v>
          </cell>
        </row>
        <row r="48">
          <cell r="P48" t="str">
            <v>Sh</v>
          </cell>
          <cell r="Q48">
            <v>431</v>
          </cell>
          <cell r="R48">
            <v>476</v>
          </cell>
        </row>
        <row r="49">
          <cell r="P49" t="str">
            <v>N</v>
          </cell>
          <cell r="Q49">
            <v>317</v>
          </cell>
          <cell r="R49">
            <v>467</v>
          </cell>
        </row>
        <row r="50">
          <cell r="P50" t="str">
            <v>R</v>
          </cell>
          <cell r="Q50">
            <v>486</v>
          </cell>
          <cell r="R50">
            <v>697</v>
          </cell>
        </row>
        <row r="51">
          <cell r="P51" t="str">
            <v>B</v>
          </cell>
          <cell r="Q51">
            <v>268</v>
          </cell>
          <cell r="R51">
            <v>504</v>
          </cell>
        </row>
        <row r="52">
          <cell r="P52" t="str">
            <v>Lh</v>
          </cell>
          <cell r="Q52">
            <v>158</v>
          </cell>
          <cell r="R52">
            <v>298</v>
          </cell>
        </row>
        <row r="53">
          <cell r="P53" t="str">
            <v>K</v>
          </cell>
          <cell r="Q53">
            <v>354</v>
          </cell>
          <cell r="R53">
            <v>741</v>
          </cell>
        </row>
        <row r="54">
          <cell r="P54" t="str">
            <v>AA</v>
          </cell>
          <cell r="Q54">
            <v>182</v>
          </cell>
          <cell r="R54">
            <v>292</v>
          </cell>
        </row>
        <row r="55">
          <cell r="P55" t="str">
            <v>ADh</v>
          </cell>
          <cell r="Q55">
            <v>168</v>
          </cell>
          <cell r="R55">
            <v>417</v>
          </cell>
        </row>
        <row r="56">
          <cell r="P56" t="str">
            <v>V</v>
          </cell>
          <cell r="Q56">
            <v>69</v>
          </cell>
          <cell r="R56">
            <v>118</v>
          </cell>
        </row>
        <row r="57">
          <cell r="P57" t="str">
            <v>M</v>
          </cell>
          <cell r="Q57">
            <v>195</v>
          </cell>
          <cell r="R57">
            <v>270</v>
          </cell>
        </row>
        <row r="58">
          <cell r="P58" t="str">
            <v>F</v>
          </cell>
          <cell r="Q58">
            <v>176</v>
          </cell>
          <cell r="R58">
            <v>276</v>
          </cell>
        </row>
        <row r="59">
          <cell r="P59" t="str">
            <v>Dh</v>
          </cell>
          <cell r="Q59">
            <v>167</v>
          </cell>
          <cell r="R59">
            <v>325</v>
          </cell>
        </row>
        <row r="60">
          <cell r="P60" t="str">
            <v>Th</v>
          </cell>
          <cell r="Q60">
            <v>356</v>
          </cell>
          <cell r="R60">
            <v>507</v>
          </cell>
        </row>
        <row r="61">
          <cell r="P61" t="str">
            <v>L</v>
          </cell>
          <cell r="Q61">
            <v>329</v>
          </cell>
          <cell r="R61">
            <v>545</v>
          </cell>
        </row>
        <row r="62">
          <cell r="P62" t="str">
            <v>GA</v>
          </cell>
          <cell r="Q62">
            <v>180</v>
          </cell>
          <cell r="R62">
            <v>453</v>
          </cell>
        </row>
        <row r="63">
          <cell r="P63" t="str">
            <v>GDh</v>
          </cell>
          <cell r="Q63">
            <v>271</v>
          </cell>
          <cell r="R63">
            <v>523</v>
          </cell>
        </row>
        <row r="64">
          <cell r="P64" t="str">
            <v>Gn</v>
          </cell>
          <cell r="Q64">
            <v>182</v>
          </cell>
          <cell r="R64">
            <v>372</v>
          </cell>
        </row>
        <row r="65">
          <cell r="P65" t="str">
            <v>S</v>
          </cell>
          <cell r="Q65">
            <v>234</v>
          </cell>
          <cell r="R65">
            <v>808</v>
          </cell>
        </row>
      </sheetData>
      <sheetData sheetId="3"/>
      <sheetData sheetId="4"/>
      <sheetData sheetId="5"/>
      <sheetData sheetId="6">
        <row r="7">
          <cell r="C7" t="str">
            <v>Male</v>
          </cell>
        </row>
      </sheetData>
      <sheetData sheetId="7">
        <row r="37">
          <cell r="X37" t="str">
            <v>Schools</v>
          </cell>
          <cell r="Y37" t="str">
            <v>Hospitals</v>
          </cell>
          <cell r="Z37" t="str">
            <v>City / Atoll Councils</v>
          </cell>
          <cell r="AA37" t="str">
            <v>Island Councils</v>
          </cell>
          <cell r="AB37" t="str">
            <v>Government Ministries</v>
          </cell>
          <cell r="AC37" t="str">
            <v>other offices</v>
          </cell>
        </row>
        <row r="38">
          <cell r="V38" t="str">
            <v>MALE'</v>
          </cell>
          <cell r="X38">
            <v>1602</v>
          </cell>
          <cell r="Y38">
            <v>1775</v>
          </cell>
          <cell r="Z38">
            <v>314</v>
          </cell>
          <cell r="AA38">
            <v>0</v>
          </cell>
          <cell r="AB38">
            <v>2977</v>
          </cell>
          <cell r="AC38">
            <v>2166</v>
          </cell>
        </row>
        <row r="39">
          <cell r="V39" t="str">
            <v xml:space="preserve"> ATOLL</v>
          </cell>
          <cell r="X39">
            <v>6679</v>
          </cell>
          <cell r="Y39">
            <v>5472</v>
          </cell>
          <cell r="Z39">
            <v>924</v>
          </cell>
          <cell r="AA39">
            <v>1602</v>
          </cell>
          <cell r="AB39">
            <v>0</v>
          </cell>
          <cell r="AC39">
            <v>136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zoomScaleNormal="100" workbookViewId="0">
      <selection activeCell="F18" sqref="F18"/>
    </sheetView>
  </sheetViews>
  <sheetFormatPr defaultRowHeight="15" x14ac:dyDescent="0.25"/>
  <cols>
    <col min="1" max="1" width="51.28515625" style="1" customWidth="1"/>
    <col min="2" max="5" width="11.42578125" style="1" customWidth="1"/>
    <col min="6" max="6" width="43.42578125" style="21" customWidth="1"/>
    <col min="7" max="7" width="2.42578125" style="1" customWidth="1"/>
    <col min="8" max="8" width="29.42578125" style="1" customWidth="1"/>
    <col min="9" max="9" width="75.140625" style="1" customWidth="1"/>
    <col min="10" max="16384" width="9.140625" style="1"/>
  </cols>
  <sheetData>
    <row r="1" spans="1:17" ht="21.75" x14ac:dyDescent="0.25">
      <c r="A1" s="35" t="s">
        <v>45</v>
      </c>
      <c r="B1" s="35"/>
      <c r="C1" s="35"/>
      <c r="D1" s="35"/>
      <c r="E1" s="35"/>
      <c r="F1" s="35"/>
      <c r="G1" s="18"/>
      <c r="H1" s="18"/>
      <c r="I1" s="18"/>
    </row>
    <row r="2" spans="1:17" ht="15.75" x14ac:dyDescent="0.25">
      <c r="A2" s="34" t="s">
        <v>26</v>
      </c>
      <c r="B2" s="34"/>
      <c r="C2" s="34"/>
      <c r="D2" s="34"/>
      <c r="E2" s="34"/>
      <c r="F2" s="34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1:17" s="5" customFormat="1" ht="25.5" customHeight="1" x14ac:dyDescent="0.25">
      <c r="A4" s="23" t="s">
        <v>8</v>
      </c>
      <c r="B4" s="7" t="s">
        <v>2</v>
      </c>
      <c r="C4" s="7" t="s">
        <v>0</v>
      </c>
      <c r="D4" s="7" t="s">
        <v>3</v>
      </c>
      <c r="E4" s="8" t="s">
        <v>4</v>
      </c>
      <c r="F4" s="22" t="s">
        <v>39</v>
      </c>
    </row>
    <row r="5" spans="1:17" s="4" customFormat="1" ht="24" customHeight="1" x14ac:dyDescent="0.55000000000000004">
      <c r="A5" s="11" t="s">
        <v>5</v>
      </c>
      <c r="B5" s="12">
        <f>SUM(C5:D5)</f>
        <v>114981</v>
      </c>
      <c r="C5" s="12">
        <f>SUM(C6:C22)</f>
        <v>104753</v>
      </c>
      <c r="D5" s="12">
        <f>SUM(D6:D22)</f>
        <v>10228</v>
      </c>
      <c r="E5" s="13">
        <f>B5/$B$5</f>
        <v>1</v>
      </c>
      <c r="F5" s="24" t="s">
        <v>1</v>
      </c>
      <c r="G5" s="1"/>
      <c r="H5" s="19"/>
    </row>
    <row r="6" spans="1:17" ht="21" customHeight="1" x14ac:dyDescent="0.25">
      <c r="A6" s="14" t="s">
        <v>9</v>
      </c>
      <c r="B6" s="30">
        <v>822</v>
      </c>
      <c r="C6" s="30">
        <v>794</v>
      </c>
      <c r="D6" s="30">
        <v>28</v>
      </c>
      <c r="E6" s="15">
        <f t="shared" ref="E6:E21" si="0">B6/$B$5</f>
        <v>7.1490072272810288E-3</v>
      </c>
      <c r="F6" s="25" t="s">
        <v>27</v>
      </c>
      <c r="H6" s="19"/>
    </row>
    <row r="7" spans="1:17" ht="21" customHeight="1" x14ac:dyDescent="0.25">
      <c r="A7" s="14" t="s">
        <v>10</v>
      </c>
      <c r="B7" s="30">
        <v>43264</v>
      </c>
      <c r="C7" s="30">
        <v>42932</v>
      </c>
      <c r="D7" s="30">
        <v>332</v>
      </c>
      <c r="E7" s="15">
        <f t="shared" si="0"/>
        <v>0.37627086214244093</v>
      </c>
      <c r="F7" s="25" t="s">
        <v>31</v>
      </c>
      <c r="H7" s="19"/>
    </row>
    <row r="8" spans="1:17" ht="21" customHeight="1" x14ac:dyDescent="0.25">
      <c r="A8" s="14" t="s">
        <v>11</v>
      </c>
      <c r="B8" s="30">
        <v>2552</v>
      </c>
      <c r="C8" s="30">
        <v>1794</v>
      </c>
      <c r="D8" s="30">
        <v>758</v>
      </c>
      <c r="E8" s="15">
        <f t="shared" si="0"/>
        <v>2.2194971343091466E-2</v>
      </c>
      <c r="F8" s="25" t="s">
        <v>32</v>
      </c>
      <c r="H8" s="19"/>
    </row>
    <row r="9" spans="1:17" ht="21" customHeight="1" x14ac:dyDescent="0.25">
      <c r="A9" s="14" t="s">
        <v>12</v>
      </c>
      <c r="B9" s="30">
        <v>666</v>
      </c>
      <c r="C9" s="30">
        <v>662</v>
      </c>
      <c r="D9" s="30">
        <v>4</v>
      </c>
      <c r="E9" s="15">
        <f t="shared" si="0"/>
        <v>5.7922613301328047E-3</v>
      </c>
      <c r="F9" s="25" t="s">
        <v>30</v>
      </c>
      <c r="H9" s="19"/>
    </row>
    <row r="10" spans="1:17" ht="21" customHeight="1" x14ac:dyDescent="0.25">
      <c r="A10" s="14" t="s">
        <v>13</v>
      </c>
      <c r="B10" s="30">
        <v>252</v>
      </c>
      <c r="C10" s="30">
        <v>232</v>
      </c>
      <c r="D10" s="30">
        <v>20</v>
      </c>
      <c r="E10" s="15">
        <f t="shared" si="0"/>
        <v>2.1916664492394396E-3</v>
      </c>
      <c r="F10" s="33" t="s">
        <v>48</v>
      </c>
      <c r="H10" s="19"/>
    </row>
    <row r="11" spans="1:17" ht="21" customHeight="1" x14ac:dyDescent="0.25">
      <c r="A11" s="14" t="s">
        <v>14</v>
      </c>
      <c r="B11" s="30">
        <v>579</v>
      </c>
      <c r="C11" s="30">
        <v>563</v>
      </c>
      <c r="D11" s="30">
        <v>16</v>
      </c>
      <c r="E11" s="15">
        <f t="shared" si="0"/>
        <v>5.0356145798001409E-3</v>
      </c>
      <c r="F11" s="25" t="s">
        <v>28</v>
      </c>
      <c r="H11" s="19"/>
    </row>
    <row r="12" spans="1:17" ht="21" customHeight="1" x14ac:dyDescent="0.25">
      <c r="A12" s="14" t="s">
        <v>15</v>
      </c>
      <c r="B12" s="30">
        <v>3486</v>
      </c>
      <c r="C12" s="30">
        <v>2032</v>
      </c>
      <c r="D12" s="30">
        <v>1454</v>
      </c>
      <c r="E12" s="15">
        <f t="shared" si="0"/>
        <v>3.0318052547812249E-2</v>
      </c>
      <c r="F12" s="26" t="s">
        <v>36</v>
      </c>
      <c r="H12" s="19"/>
    </row>
    <row r="13" spans="1:17" ht="21" customHeight="1" x14ac:dyDescent="0.25">
      <c r="A13" s="14" t="s">
        <v>16</v>
      </c>
      <c r="B13" s="30">
        <v>6100</v>
      </c>
      <c r="C13" s="30">
        <v>5730</v>
      </c>
      <c r="D13" s="30">
        <v>370</v>
      </c>
      <c r="E13" s="15">
        <f t="shared" si="0"/>
        <v>5.3052243414129292E-2</v>
      </c>
      <c r="F13" s="25" t="s">
        <v>33</v>
      </c>
      <c r="H13" s="19"/>
    </row>
    <row r="14" spans="1:17" ht="21" customHeight="1" x14ac:dyDescent="0.25">
      <c r="A14" s="14" t="s">
        <v>17</v>
      </c>
      <c r="B14" s="30">
        <v>7181</v>
      </c>
      <c r="C14" s="30">
        <v>6692</v>
      </c>
      <c r="D14" s="30">
        <v>489</v>
      </c>
      <c r="E14" s="15">
        <f t="shared" si="0"/>
        <v>6.2453796714239743E-2</v>
      </c>
      <c r="F14" s="25" t="s">
        <v>29</v>
      </c>
      <c r="H14" s="19"/>
    </row>
    <row r="15" spans="1:17" ht="21" customHeight="1" x14ac:dyDescent="0.25">
      <c r="A15" s="14" t="s">
        <v>18</v>
      </c>
      <c r="B15" s="30">
        <v>12262</v>
      </c>
      <c r="C15" s="30">
        <v>9786</v>
      </c>
      <c r="D15" s="30">
        <v>2476</v>
      </c>
      <c r="E15" s="15">
        <f t="shared" si="0"/>
        <v>0.10664370635148415</v>
      </c>
      <c r="F15" s="25" t="s">
        <v>42</v>
      </c>
      <c r="H15" s="19"/>
      <c r="I15" s="20"/>
    </row>
    <row r="16" spans="1:17" ht="21" customHeight="1" x14ac:dyDescent="0.25">
      <c r="A16" s="14" t="s">
        <v>19</v>
      </c>
      <c r="B16" s="30">
        <v>22</v>
      </c>
      <c r="C16" s="30">
        <v>17</v>
      </c>
      <c r="D16" s="30">
        <v>5</v>
      </c>
      <c r="E16" s="15">
        <f t="shared" si="0"/>
        <v>1.9133595985423678E-4</v>
      </c>
      <c r="F16" s="27" t="s">
        <v>38</v>
      </c>
      <c r="H16" s="19"/>
    </row>
    <row r="17" spans="1:8" ht="21" customHeight="1" x14ac:dyDescent="0.25">
      <c r="A17" s="14" t="s">
        <v>20</v>
      </c>
      <c r="B17" s="30">
        <v>1124</v>
      </c>
      <c r="C17" s="30">
        <v>1089</v>
      </c>
      <c r="D17" s="30">
        <v>35</v>
      </c>
      <c r="E17" s="15">
        <f t="shared" si="0"/>
        <v>9.7755281307346439E-3</v>
      </c>
      <c r="F17" s="28" t="s">
        <v>37</v>
      </c>
      <c r="H17" s="6"/>
    </row>
    <row r="18" spans="1:8" ht="21" customHeight="1" x14ac:dyDescent="0.25">
      <c r="A18" s="14" t="s">
        <v>21</v>
      </c>
      <c r="B18" s="30">
        <v>30</v>
      </c>
      <c r="C18" s="30">
        <v>30</v>
      </c>
      <c r="D18" s="30">
        <v>0</v>
      </c>
      <c r="E18" s="15">
        <f t="shared" si="0"/>
        <v>2.609126725285047E-4</v>
      </c>
      <c r="F18" s="32" t="s">
        <v>40</v>
      </c>
      <c r="H18" s="6"/>
    </row>
    <row r="19" spans="1:8" ht="21" customHeight="1" x14ac:dyDescent="0.25">
      <c r="A19" s="14" t="s">
        <v>22</v>
      </c>
      <c r="B19" s="30">
        <v>3</v>
      </c>
      <c r="C19" s="30">
        <v>3</v>
      </c>
      <c r="D19" s="30">
        <v>0</v>
      </c>
      <c r="E19" s="15">
        <f t="shared" si="0"/>
        <v>2.609126725285047E-5</v>
      </c>
      <c r="F19" s="32" t="s">
        <v>44</v>
      </c>
      <c r="H19" s="3"/>
    </row>
    <row r="20" spans="1:8" ht="21" customHeight="1" x14ac:dyDescent="0.25">
      <c r="A20" s="14" t="s">
        <v>23</v>
      </c>
      <c r="B20" s="30">
        <v>24420</v>
      </c>
      <c r="C20" s="30">
        <v>20713</v>
      </c>
      <c r="D20" s="30">
        <v>3707</v>
      </c>
      <c r="E20" s="15">
        <f t="shared" si="0"/>
        <v>0.21238291543820284</v>
      </c>
      <c r="F20" s="25" t="s">
        <v>34</v>
      </c>
      <c r="H20" s="3"/>
    </row>
    <row r="21" spans="1:8" ht="21" customHeight="1" x14ac:dyDescent="0.25">
      <c r="A21" s="14" t="s">
        <v>24</v>
      </c>
      <c r="B21" s="30">
        <v>2694</v>
      </c>
      <c r="C21" s="30">
        <v>2491</v>
      </c>
      <c r="D21" s="30">
        <v>203</v>
      </c>
      <c r="E21" s="15">
        <f t="shared" si="0"/>
        <v>2.3429957993059723E-2</v>
      </c>
      <c r="F21" s="25" t="s">
        <v>35</v>
      </c>
      <c r="H21" s="3"/>
    </row>
    <row r="22" spans="1:8" ht="39" customHeight="1" x14ac:dyDescent="0.25">
      <c r="A22" s="17" t="s">
        <v>25</v>
      </c>
      <c r="B22" s="31">
        <v>9524</v>
      </c>
      <c r="C22" s="31">
        <v>9193</v>
      </c>
      <c r="D22" s="31">
        <v>331</v>
      </c>
      <c r="E22" s="16">
        <f>B22/$B$5</f>
        <v>8.2831076438715956E-2</v>
      </c>
      <c r="F22" s="29" t="s">
        <v>41</v>
      </c>
      <c r="H22" s="3"/>
    </row>
    <row r="23" spans="1:8" ht="17.25" x14ac:dyDescent="0.25">
      <c r="A23" s="9" t="s">
        <v>47</v>
      </c>
      <c r="F23" s="2" t="s">
        <v>46</v>
      </c>
      <c r="H23" s="3"/>
    </row>
    <row r="24" spans="1:8" ht="17.25" x14ac:dyDescent="0.25">
      <c r="A24" s="9" t="s">
        <v>6</v>
      </c>
      <c r="F24" s="2" t="s">
        <v>43</v>
      </c>
      <c r="H24" s="3"/>
    </row>
    <row r="37" spans="13:16" x14ac:dyDescent="0.25">
      <c r="O37" s="7" t="s">
        <v>0</v>
      </c>
      <c r="P37" s="7" t="s">
        <v>3</v>
      </c>
    </row>
    <row r="38" spans="13:16" x14ac:dyDescent="0.25">
      <c r="M38" s="1" t="s">
        <v>10</v>
      </c>
      <c r="N38" s="1">
        <v>43264</v>
      </c>
      <c r="O38" s="1">
        <v>42932</v>
      </c>
      <c r="P38" s="1">
        <v>332</v>
      </c>
    </row>
    <row r="39" spans="13:16" x14ac:dyDescent="0.25">
      <c r="M39" s="1" t="s">
        <v>23</v>
      </c>
      <c r="N39" s="1">
        <v>24420</v>
      </c>
      <c r="O39" s="1">
        <v>20713</v>
      </c>
      <c r="P39" s="1">
        <v>3707</v>
      </c>
    </row>
    <row r="40" spans="13:16" x14ac:dyDescent="0.25">
      <c r="M40" s="1" t="s">
        <v>18</v>
      </c>
      <c r="N40" s="1">
        <v>12262</v>
      </c>
      <c r="O40" s="1">
        <v>9786</v>
      </c>
      <c r="P40" s="1">
        <v>2476</v>
      </c>
    </row>
    <row r="41" spans="13:16" x14ac:dyDescent="0.25">
      <c r="M41" s="1" t="s">
        <v>25</v>
      </c>
      <c r="N41" s="1">
        <v>9524</v>
      </c>
      <c r="O41" s="1">
        <v>9193</v>
      </c>
      <c r="P41" s="1">
        <v>331</v>
      </c>
    </row>
    <row r="42" spans="13:16" x14ac:dyDescent="0.25">
      <c r="M42" s="1" t="s">
        <v>17</v>
      </c>
      <c r="N42" s="1">
        <v>7181</v>
      </c>
      <c r="O42" s="1">
        <v>6692</v>
      </c>
      <c r="P42" s="1">
        <v>489</v>
      </c>
    </row>
    <row r="43" spans="13:16" x14ac:dyDescent="0.25">
      <c r="M43" s="1" t="s">
        <v>16</v>
      </c>
      <c r="N43" s="1">
        <v>6100</v>
      </c>
      <c r="O43" s="1">
        <v>5730</v>
      </c>
      <c r="P43" s="1">
        <v>370</v>
      </c>
    </row>
    <row r="44" spans="13:16" x14ac:dyDescent="0.25">
      <c r="M44" s="1" t="s">
        <v>15</v>
      </c>
      <c r="N44" s="1">
        <v>3486</v>
      </c>
      <c r="O44" s="1">
        <v>2032</v>
      </c>
      <c r="P44" s="1">
        <v>1454</v>
      </c>
    </row>
    <row r="45" spans="13:16" x14ac:dyDescent="0.25">
      <c r="M45" s="1" t="s">
        <v>24</v>
      </c>
      <c r="N45" s="1">
        <v>2694</v>
      </c>
      <c r="O45" s="1">
        <v>2491</v>
      </c>
      <c r="P45" s="1">
        <v>203</v>
      </c>
    </row>
    <row r="46" spans="13:16" x14ac:dyDescent="0.25">
      <c r="M46" s="1" t="s">
        <v>11</v>
      </c>
      <c r="N46" s="1">
        <v>2552</v>
      </c>
      <c r="O46" s="1">
        <v>1794</v>
      </c>
      <c r="P46" s="1">
        <v>758</v>
      </c>
    </row>
    <row r="47" spans="13:16" x14ac:dyDescent="0.25">
      <c r="M47" s="1" t="s">
        <v>20</v>
      </c>
      <c r="N47" s="1">
        <v>1124</v>
      </c>
      <c r="O47" s="1">
        <v>1089</v>
      </c>
      <c r="P47" s="1">
        <v>35</v>
      </c>
    </row>
    <row r="48" spans="13:16" x14ac:dyDescent="0.25">
      <c r="M48" s="1" t="s">
        <v>9</v>
      </c>
      <c r="N48" s="1">
        <v>822</v>
      </c>
      <c r="O48" s="1">
        <v>794</v>
      </c>
      <c r="P48" s="1">
        <v>28</v>
      </c>
    </row>
    <row r="49" spans="13:16" x14ac:dyDescent="0.25">
      <c r="M49" s="1" t="s">
        <v>12</v>
      </c>
      <c r="N49" s="1">
        <v>666</v>
      </c>
      <c r="O49" s="1">
        <v>662</v>
      </c>
      <c r="P49" s="1">
        <v>4</v>
      </c>
    </row>
    <row r="50" spans="13:16" x14ac:dyDescent="0.25">
      <c r="M50" s="1" t="s">
        <v>14</v>
      </c>
      <c r="N50" s="1">
        <v>579</v>
      </c>
      <c r="O50" s="1">
        <v>563</v>
      </c>
      <c r="P50" s="1">
        <v>16</v>
      </c>
    </row>
    <row r="51" spans="13:16" x14ac:dyDescent="0.25">
      <c r="M51" s="1" t="s">
        <v>13</v>
      </c>
      <c r="N51" s="1">
        <v>252</v>
      </c>
      <c r="O51" s="1">
        <v>232</v>
      </c>
      <c r="P51" s="1">
        <v>20</v>
      </c>
    </row>
    <row r="52" spans="13:16" x14ac:dyDescent="0.25">
      <c r="M52" s="1" t="s">
        <v>7</v>
      </c>
      <c r="N52" s="1">
        <v>55</v>
      </c>
      <c r="O52" s="1">
        <v>50</v>
      </c>
      <c r="P52" s="1">
        <v>5</v>
      </c>
    </row>
    <row r="54" spans="13:16" x14ac:dyDescent="0.25">
      <c r="M54" s="1" t="s">
        <v>21</v>
      </c>
      <c r="N54" s="1">
        <v>30</v>
      </c>
      <c r="O54" s="1">
        <v>30</v>
      </c>
      <c r="P54" s="1">
        <v>0</v>
      </c>
    </row>
    <row r="55" spans="13:16" x14ac:dyDescent="0.25">
      <c r="M55" s="1" t="s">
        <v>19</v>
      </c>
      <c r="N55" s="1">
        <v>22</v>
      </c>
      <c r="O55" s="1">
        <v>17</v>
      </c>
      <c r="P55" s="1">
        <v>5</v>
      </c>
    </row>
    <row r="56" spans="13:16" x14ac:dyDescent="0.25">
      <c r="M56" s="1" t="s">
        <v>22</v>
      </c>
      <c r="N56" s="1">
        <v>3</v>
      </c>
      <c r="O56" s="1">
        <v>3</v>
      </c>
      <c r="P56" s="1">
        <v>0</v>
      </c>
    </row>
  </sheetData>
  <sortState ref="M38:P54">
    <sortCondition descending="1" ref="N38:N54"/>
  </sortState>
  <mergeCells count="2">
    <mergeCell ref="A2:F2"/>
    <mergeCell ref="A1:F1"/>
  </mergeCells>
  <pageMargins left="0.7" right="0.7" top="0.75" bottom="0.75" header="0.3" footer="0.3"/>
  <pageSetup paperSize="9" scale="58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5.11</vt:lpstr>
      <vt:lpstr>'5.11'!Print_Area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2019-06-27T03:35:31Z</cp:lastPrinted>
  <dcterms:created xsi:type="dcterms:W3CDTF">2019-06-03T04:17:39Z</dcterms:created>
  <dcterms:modified xsi:type="dcterms:W3CDTF">2019-08-05T05:16:49Z</dcterms:modified>
</cp:coreProperties>
</file>