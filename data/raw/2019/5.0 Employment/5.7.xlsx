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5.EMPLOYMENT\"/>
    </mc:Choice>
  </mc:AlternateContent>
  <bookViews>
    <workbookView xWindow="0" yWindow="0" windowWidth="28800" windowHeight="12330" tabRatio="692"/>
  </bookViews>
  <sheets>
    <sheet name="5.7" sheetId="7" r:id="rId1"/>
  </sheets>
  <externalReferences>
    <externalReference r:id="rId2"/>
  </externalReferences>
  <definedNames>
    <definedName name="_xlnm.Print_Area" localSheetId="0">'5.7'!$A$1:$M$61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7" l="1"/>
  <c r="L8" i="7" l="1"/>
  <c r="K8" i="7"/>
  <c r="H8" i="7"/>
  <c r="F8" i="7"/>
  <c r="J9" i="7"/>
  <c r="J10" i="7"/>
  <c r="B10" i="7" s="1"/>
  <c r="J11" i="7"/>
  <c r="B11" i="7" s="1"/>
  <c r="J12" i="7"/>
  <c r="J13" i="7"/>
  <c r="J14" i="7"/>
  <c r="J15" i="7"/>
  <c r="J16" i="7"/>
  <c r="J17" i="7"/>
  <c r="J18" i="7"/>
  <c r="B18" i="7" s="1"/>
  <c r="J19" i="7"/>
  <c r="J20" i="7"/>
  <c r="B20" i="7" s="1"/>
  <c r="J21" i="7"/>
  <c r="J22" i="7"/>
  <c r="J23" i="7"/>
  <c r="J24" i="7"/>
  <c r="J25" i="7"/>
  <c r="J26" i="7"/>
  <c r="B26" i="7" s="1"/>
  <c r="J27" i="7"/>
  <c r="B27" i="7" s="1"/>
  <c r="J28" i="7"/>
  <c r="B28" i="7" s="1"/>
  <c r="J29" i="7"/>
  <c r="J30" i="7"/>
  <c r="J31" i="7"/>
  <c r="J32" i="7"/>
  <c r="J33" i="7"/>
  <c r="J34" i="7"/>
  <c r="B34" i="7" s="1"/>
  <c r="J35" i="7"/>
  <c r="J36" i="7"/>
  <c r="B36" i="7" s="1"/>
  <c r="J37" i="7"/>
  <c r="J38" i="7"/>
  <c r="J39" i="7"/>
  <c r="J40" i="7"/>
  <c r="J41" i="7"/>
  <c r="J42" i="7"/>
  <c r="B42" i="7" s="1"/>
  <c r="F9" i="7"/>
  <c r="F10" i="7"/>
  <c r="F11" i="7"/>
  <c r="F12" i="7"/>
  <c r="F13" i="7"/>
  <c r="F14" i="7"/>
  <c r="B14" i="7" s="1"/>
  <c r="F15" i="7"/>
  <c r="B15" i="7" s="1"/>
  <c r="F16" i="7"/>
  <c r="F17" i="7"/>
  <c r="F18" i="7"/>
  <c r="F19" i="7"/>
  <c r="F20" i="7"/>
  <c r="F21" i="7"/>
  <c r="B21" i="7" s="1"/>
  <c r="F22" i="7"/>
  <c r="B22" i="7" s="1"/>
  <c r="F23" i="7"/>
  <c r="F24" i="7"/>
  <c r="F25" i="7"/>
  <c r="F26" i="7"/>
  <c r="F27" i="7"/>
  <c r="F28" i="7"/>
  <c r="F29" i="7"/>
  <c r="F30" i="7"/>
  <c r="B30" i="7" s="1"/>
  <c r="F31" i="7"/>
  <c r="F32" i="7"/>
  <c r="F33" i="7"/>
  <c r="F34" i="7"/>
  <c r="F35" i="7"/>
  <c r="F36" i="7"/>
  <c r="F37" i="7"/>
  <c r="F38" i="7"/>
  <c r="B38" i="7" s="1"/>
  <c r="F39" i="7"/>
  <c r="F40" i="7"/>
  <c r="F41" i="7"/>
  <c r="F42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B19" i="7"/>
  <c r="C19" i="7"/>
  <c r="D19" i="7"/>
  <c r="C20" i="7"/>
  <c r="D20" i="7"/>
  <c r="C21" i="7"/>
  <c r="D21" i="7"/>
  <c r="C22" i="7"/>
  <c r="D22" i="7"/>
  <c r="B23" i="7"/>
  <c r="C23" i="7"/>
  <c r="D23" i="7"/>
  <c r="C24" i="7"/>
  <c r="D24" i="7"/>
  <c r="C25" i="7"/>
  <c r="D25" i="7"/>
  <c r="C26" i="7"/>
  <c r="D26" i="7"/>
  <c r="C27" i="7"/>
  <c r="D27" i="7"/>
  <c r="C28" i="7"/>
  <c r="D28" i="7"/>
  <c r="B29" i="7"/>
  <c r="C29" i="7"/>
  <c r="D29" i="7"/>
  <c r="C30" i="7"/>
  <c r="D30" i="7"/>
  <c r="C31" i="7"/>
  <c r="D31" i="7"/>
  <c r="C32" i="7"/>
  <c r="D32" i="7"/>
  <c r="C33" i="7"/>
  <c r="D33" i="7"/>
  <c r="C34" i="7"/>
  <c r="D34" i="7"/>
  <c r="B35" i="7"/>
  <c r="C35" i="7"/>
  <c r="D35" i="7"/>
  <c r="C36" i="7"/>
  <c r="D36" i="7"/>
  <c r="C37" i="7"/>
  <c r="D37" i="7"/>
  <c r="C38" i="7"/>
  <c r="D38" i="7"/>
  <c r="B39" i="7"/>
  <c r="C39" i="7"/>
  <c r="D39" i="7"/>
  <c r="C40" i="7"/>
  <c r="D40" i="7"/>
  <c r="C41" i="7"/>
  <c r="D41" i="7"/>
  <c r="C42" i="7"/>
  <c r="D42" i="7"/>
  <c r="B12" i="7" l="1"/>
  <c r="B31" i="7"/>
  <c r="B37" i="7"/>
  <c r="B13" i="7"/>
  <c r="J8" i="7"/>
  <c r="B8" i="7" s="1"/>
  <c r="D8" i="7"/>
  <c r="C8" i="7"/>
  <c r="B41" i="7"/>
  <c r="B33" i="7"/>
  <c r="B25" i="7"/>
  <c r="B17" i="7"/>
  <c r="B9" i="7"/>
  <c r="B40" i="7"/>
  <c r="B32" i="7"/>
  <c r="B24" i="7"/>
  <c r="B16" i="7"/>
  <c r="AK50" i="7" l="1"/>
  <c r="AK49" i="7"/>
  <c r="AK47" i="7" l="1"/>
  <c r="AJ49" i="7" s="1"/>
  <c r="AJ50" i="7" l="1"/>
</calcChain>
</file>

<file path=xl/sharedStrings.xml><?xml version="1.0" encoding="utf-8"?>
<sst xmlns="http://schemas.openxmlformats.org/spreadsheetml/2006/main" count="63" uniqueCount="49">
  <si>
    <t>ދެޖިންސް</t>
  </si>
  <si>
    <t>ފިރިހެން</t>
  </si>
  <si>
    <t>އަންހެން</t>
  </si>
  <si>
    <t>Both Sexes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</si>
  <si>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</si>
  <si>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</si>
  <si>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</si>
  <si>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</si>
  <si>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</si>
  <si>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>ACCOUNTING AND BUDGET</t>
  </si>
  <si>
    <t>ADMINISTRATIVE</t>
  </si>
  <si>
    <t>ATTORNEYS</t>
  </si>
  <si>
    <t>AVIATION</t>
  </si>
  <si>
    <t>AVIATION COMMAND OFFICERS</t>
  </si>
  <si>
    <t>BIOLOGICAL SCIENCE SERVICE</t>
  </si>
  <si>
    <t>CLEANING AND MAINTENANCE</t>
  </si>
  <si>
    <t>CLERICAL SUPPORT WORKERS</t>
  </si>
  <si>
    <t>CLIMATOLOGY</t>
  </si>
  <si>
    <t>DENTISTS</t>
  </si>
  <si>
    <t>DOCTORS</t>
  </si>
  <si>
    <t>EDUCATION SERVICES</t>
  </si>
  <si>
    <t>ENGINEERING AND ARCHITECTURE</t>
  </si>
  <si>
    <t>IMMIGRATION OFFICERS</t>
  </si>
  <si>
    <t>INFORMATION TECHNOLOGY</t>
  </si>
  <si>
    <t>LABORATORY SUPPORT SERVICE</t>
  </si>
  <si>
    <t>LAWYERS</t>
  </si>
  <si>
    <t>LECTURERS</t>
  </si>
  <si>
    <t>METEOROLOGICAL ENGINEERS</t>
  </si>
  <si>
    <t>METEOROLOGY</t>
  </si>
  <si>
    <t>MUDHIM AND IMAAM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</si>
  <si>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</si>
  <si>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</si>
  <si>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</si>
  <si>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</si>
  <si>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</si>
  <si>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</si>
  <si>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SEISMOLOGY</t>
  </si>
  <si>
    <t>SOCIAL AND RELIGIOUS SERVICES</t>
  </si>
  <si>
    <t>TEACHERS</t>
  </si>
  <si>
    <t>TRANSPORT SERVICES</t>
  </si>
  <si>
    <t>TECHNICAL - GENERAL</t>
  </si>
  <si>
    <t>UNSPECIFIED</t>
  </si>
  <si>
    <t>ތާވަލު 7: އަދާކުރާ ވަޒީފާގެ ގޮތުން ދިވެހިންނާއި އަދި ބިދޭސީ ސިވިލް ސަރވަންޓުން ބެހިފައިވާ ގޮތް އަދި ޖިންސް، 2018</t>
  </si>
  <si>
    <t>Table 5.7: CIVIL SERVANTS CLASSIFIED BY OCCUPATION, NATIONALITY AND SEX, 2018</t>
  </si>
  <si>
    <t>Occupation</t>
  </si>
  <si>
    <t>Locals</t>
  </si>
  <si>
    <t>Foreigners</t>
  </si>
  <si>
    <t xml:space="preserve">Local </t>
  </si>
  <si>
    <t>VAAIZ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</si>
</sst>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5" formatCode="_-* #,##0\ _ރ_._-;_-* #,##0\ _ރ_.\-;_-* &quot;-&quot;??\ _ރ_._-;_-@_-"/>
    <numFmt numFmtId="167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1"/>
      <color theme="1"/>
      <name val="Faruma"/>
    </font>
    <font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AF1DD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2" fillId="0" borderId="0"/>
  </cellStyleXfs>
  <cellXfs count="31">
    <xf numFmtId="0" fontId="0" fillId="0" borderId="0" xfId="0"/>
    <xf numFmtId="0" fontId="0" fillId="2" borderId="0" xfId="0" applyFill="1"/>
    <xf numFmtId="0" fontId="7" fillId="2" borderId="0" xfId="0" applyFont="1" applyFill="1" applyBorder="1" applyAlignment="1">
      <alignment horizontal="right" vertical="center" readingOrder="2"/>
    </xf>
    <xf numFmtId="165" fontId="6" fillId="2" borderId="2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0" fillId="2" borderId="0" xfId="0" applyFill="1" applyBorder="1"/>
    <xf numFmtId="3" fontId="8" fillId="2" borderId="2" xfId="1" applyNumberFormat="1" applyFont="1" applyFill="1" applyBorder="1" applyAlignment="1">
      <alignment horizontal="right" vertical="center"/>
    </xf>
    <xf numFmtId="3" fontId="6" fillId="2" borderId="2" xfId="1" applyNumberFormat="1" applyFont="1" applyFill="1" applyBorder="1" applyAlignment="1">
      <alignment horizontal="right" vertical="center"/>
    </xf>
    <xf numFmtId="3" fontId="10" fillId="2" borderId="0" xfId="3" applyNumberFormat="1" applyFont="1" applyFill="1" applyBorder="1" applyAlignment="1" applyProtection="1">
      <alignment horizontal="right" vertical="center"/>
    </xf>
    <xf numFmtId="3" fontId="0" fillId="2" borderId="0" xfId="0" applyNumberFormat="1" applyFill="1"/>
    <xf numFmtId="0" fontId="2" fillId="2" borderId="0" xfId="0" applyFont="1" applyFill="1"/>
    <xf numFmtId="0" fontId="3" fillId="2" borderId="0" xfId="0" applyFont="1" applyFill="1"/>
    <xf numFmtId="0" fontId="9" fillId="2" borderId="3" xfId="2" applyFont="1" applyFill="1" applyBorder="1"/>
    <xf numFmtId="0" fontId="0" fillId="2" borderId="2" xfId="0" applyFill="1" applyBorder="1"/>
    <xf numFmtId="167" fontId="0" fillId="2" borderId="0" xfId="0" applyNumberFormat="1" applyFill="1"/>
    <xf numFmtId="165" fontId="6" fillId="2" borderId="1" xfId="1" applyNumberFormat="1" applyFont="1" applyFill="1" applyBorder="1" applyAlignment="1">
      <alignment horizontal="center" vertical="center"/>
    </xf>
    <xf numFmtId="3" fontId="0" fillId="2" borderId="0" xfId="0" applyNumberFormat="1" applyFill="1" applyBorder="1"/>
    <xf numFmtId="3" fontId="0" fillId="2" borderId="2" xfId="0" applyNumberFormat="1" applyFill="1" applyBorder="1"/>
    <xf numFmtId="0" fontId="1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Border="1" applyAlignment="1">
      <alignment horizontal="left" vertical="center"/>
    </xf>
    <xf numFmtId="3" fontId="0" fillId="3" borderId="0" xfId="0" applyNumberFormat="1" applyFont="1" applyFill="1" applyBorder="1" applyAlignment="1">
      <alignment horizontal="right"/>
    </xf>
    <xf numFmtId="3" fontId="0" fillId="3" borderId="2" xfId="0" applyNumberFormat="1" applyFont="1" applyFill="1" applyBorder="1" applyAlignment="1">
      <alignment horizontal="right"/>
    </xf>
    <xf numFmtId="3" fontId="6" fillId="2" borderId="1" xfId="1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5" fontId="6" fillId="2" borderId="4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</cellXfs>
  <cellStyles count="6">
    <cellStyle name="Comma" xfId="1" builtinId="3"/>
    <cellStyle name="Normal" xfId="0" builtinId="0"/>
    <cellStyle name="Normal 2" xfId="4"/>
    <cellStyle name="Normal 4" xfId="5"/>
    <cellStyle name="Normal_II-16(Populaion)" xfId="3"/>
    <cellStyle name="Normal_po" xfId="2"/>
  </cellStyles>
  <dxfs count="0"/>
  <tableStyles count="0" defaultTableStyle="TableStyleMedium2" defaultPivotStyle="PivotStyleLight16"/>
  <colors>
    <mruColors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75"/>
      <c:rotY val="21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0349369000107862"/>
          <c:y val="0.19922828762220413"/>
          <c:w val="0.45804702537182851"/>
          <c:h val="0.76341170895304755"/>
        </c:manualLayout>
      </c:layout>
      <c:pie3D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explosion val="10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4EA7-43F5-9DF4-7543FC78B8B0}"/>
              </c:ext>
            </c:extLst>
          </c:dPt>
          <c:dPt>
            <c:idx val="1"/>
            <c:bubble3D val="0"/>
            <c:explosion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4EA7-43F5-9DF4-7543FC78B8B0}"/>
              </c:ext>
            </c:extLst>
          </c:dPt>
          <c:dLbls>
            <c:dLbl>
              <c:idx val="0"/>
              <c:layout>
                <c:manualLayout>
                  <c:x val="-0.11201293884175532"/>
                  <c:y val="-5.8552410089461111E-2"/>
                </c:manualLayout>
              </c:layout>
              <c:spPr>
                <a:solidFill>
                  <a:schemeClr val="accent4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8301842345601299E-2"/>
                      <c:h val="0.169888301785833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EA7-43F5-9DF4-7543FC78B8B0}"/>
                </c:ext>
              </c:extLst>
            </c:dLbl>
            <c:dLbl>
              <c:idx val="1"/>
              <c:layout>
                <c:manualLayout>
                  <c:x val="0.12798472644291056"/>
                  <c:y val="-5.54005157823516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EA7-43F5-9DF4-7543FC78B8B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'5.7'!$C$7:$D$7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'5.7'!$C$8:$D$8</c:f>
              <c:numCache>
                <c:formatCode>#,##0</c:formatCode>
                <c:ptCount val="2"/>
                <c:pt idx="0">
                  <c:v>9122</c:v>
                </c:pt>
                <c:pt idx="1">
                  <c:v>14525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A7-43F5-9DF4-7543FC78B8B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spPr>
    <a:solidFill>
      <a:srgbClr val="FFFDF7"/>
    </a:solidFill>
  </c:spPr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1076325</xdr:colOff>
      <xdr:row>44</xdr:row>
      <xdr:rowOff>74294</xdr:rowOff>
    </xdr:from>
    <xdr:to>
      <xdr:col>9</xdr:col>
      <xdr:colOff>533400</xdr:colOff>
      <xdr:row>60</xdr:row>
      <xdr:rowOff>9524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0.02397</cdr:x>
      <cdr:y>0.02358</cdr:y>
    </cdr:from>
    <cdr:to>
      <cdr:x>0.9647</cdr:x>
      <cdr:y>0.17476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350" y="72141"/>
          <a:ext cx="5232890" cy="462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latin typeface="Consolas" pitchFamily="49" charset="0"/>
              <a:cs typeface="Consolas" pitchFamily="49" charset="0"/>
            </a:rPr>
            <a:t>Figure 5.9: Percentage of 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civil </a:t>
          </a:r>
          <a:r>
            <a:rPr lang="en-US" sz="1100" b="1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servants by sex, 2018</a:t>
          </a:r>
          <a:endParaRPr lang="en-US" sz="1100" b="1">
            <a:solidFill>
              <a:schemeClr val="tx1"/>
            </a:solidFill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5.%20EMPLOY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</sheetNames>
    <sheetDataSet>
      <sheetData sheetId="0"/>
      <sheetData sheetId="1"/>
      <sheetData sheetId="2">
        <row r="45">
          <cell r="Q45" t="str">
            <v>Male</v>
          </cell>
          <cell r="R45" t="str">
            <v>Female</v>
          </cell>
        </row>
        <row r="46">
          <cell r="P46" t="str">
            <v>HA</v>
          </cell>
          <cell r="Q46">
            <v>352</v>
          </cell>
          <cell r="R46">
            <v>565</v>
          </cell>
        </row>
        <row r="47">
          <cell r="P47" t="str">
            <v>HDh</v>
          </cell>
          <cell r="Q47">
            <v>456</v>
          </cell>
          <cell r="R47">
            <v>829</v>
          </cell>
        </row>
        <row r="48">
          <cell r="P48" t="str">
            <v>Sh</v>
          </cell>
          <cell r="Q48">
            <v>431</v>
          </cell>
          <cell r="R48">
            <v>476</v>
          </cell>
        </row>
        <row r="49">
          <cell r="P49" t="str">
            <v>N</v>
          </cell>
          <cell r="Q49">
            <v>317</v>
          </cell>
          <cell r="R49">
            <v>467</v>
          </cell>
        </row>
        <row r="50">
          <cell r="P50" t="str">
            <v>R</v>
          </cell>
          <cell r="Q50">
            <v>486</v>
          </cell>
          <cell r="R50">
            <v>697</v>
          </cell>
        </row>
        <row r="51">
          <cell r="P51" t="str">
            <v>B</v>
          </cell>
          <cell r="Q51">
            <v>268</v>
          </cell>
          <cell r="R51">
            <v>504</v>
          </cell>
        </row>
        <row r="52">
          <cell r="P52" t="str">
            <v>Lh</v>
          </cell>
          <cell r="Q52">
            <v>158</v>
          </cell>
          <cell r="R52">
            <v>298</v>
          </cell>
        </row>
        <row r="53">
          <cell r="P53" t="str">
            <v>K</v>
          </cell>
          <cell r="Q53">
            <v>354</v>
          </cell>
          <cell r="R53">
            <v>741</v>
          </cell>
        </row>
        <row r="54">
          <cell r="P54" t="str">
            <v>AA</v>
          </cell>
          <cell r="Q54">
            <v>182</v>
          </cell>
          <cell r="R54">
            <v>292</v>
          </cell>
        </row>
        <row r="55">
          <cell r="P55" t="str">
            <v>ADh</v>
          </cell>
          <cell r="Q55">
            <v>168</v>
          </cell>
          <cell r="R55">
            <v>417</v>
          </cell>
        </row>
        <row r="56">
          <cell r="P56" t="str">
            <v>V</v>
          </cell>
          <cell r="Q56">
            <v>69</v>
          </cell>
          <cell r="R56">
            <v>118</v>
          </cell>
        </row>
        <row r="57">
          <cell r="P57" t="str">
            <v>M</v>
          </cell>
          <cell r="Q57">
            <v>195</v>
          </cell>
          <cell r="R57">
            <v>270</v>
          </cell>
        </row>
        <row r="58">
          <cell r="P58" t="str">
            <v>F</v>
          </cell>
          <cell r="Q58">
            <v>176</v>
          </cell>
          <cell r="R58">
            <v>276</v>
          </cell>
        </row>
        <row r="59">
          <cell r="P59" t="str">
            <v>Dh</v>
          </cell>
          <cell r="Q59">
            <v>167</v>
          </cell>
          <cell r="R59">
            <v>325</v>
          </cell>
        </row>
        <row r="60">
          <cell r="P60" t="str">
            <v>Th</v>
          </cell>
          <cell r="Q60">
            <v>356</v>
          </cell>
          <cell r="R60">
            <v>507</v>
          </cell>
        </row>
        <row r="61">
          <cell r="P61" t="str">
            <v>L</v>
          </cell>
          <cell r="Q61">
            <v>329</v>
          </cell>
          <cell r="R61">
            <v>545</v>
          </cell>
        </row>
        <row r="62">
          <cell r="P62" t="str">
            <v>GA</v>
          </cell>
          <cell r="Q62">
            <v>180</v>
          </cell>
          <cell r="R62">
            <v>453</v>
          </cell>
        </row>
        <row r="63">
          <cell r="P63" t="str">
            <v>GDh</v>
          </cell>
          <cell r="Q63">
            <v>271</v>
          </cell>
          <cell r="R63">
            <v>523</v>
          </cell>
        </row>
        <row r="64">
          <cell r="P64" t="str">
            <v>Gn</v>
          </cell>
          <cell r="Q64">
            <v>182</v>
          </cell>
          <cell r="R64">
            <v>372</v>
          </cell>
        </row>
        <row r="65">
          <cell r="P65" t="str">
            <v>S</v>
          </cell>
          <cell r="Q65">
            <v>234</v>
          </cell>
          <cell r="R65">
            <v>808</v>
          </cell>
        </row>
      </sheetData>
      <sheetData sheetId="3"/>
      <sheetData sheetId="4"/>
      <sheetData sheetId="5"/>
      <sheetData sheetId="6">
        <row r="7">
          <cell r="C7" t="str">
            <v>Male</v>
          </cell>
        </row>
      </sheetData>
      <sheetData sheetId="7">
        <row r="37">
          <cell r="X37" t="str">
            <v>Schools</v>
          </cell>
          <cell r="Y37" t="str">
            <v>Hospitals</v>
          </cell>
          <cell r="Z37" t="str">
            <v>City / Atoll Councils</v>
          </cell>
          <cell r="AA37" t="str">
            <v>Island Councils</v>
          </cell>
          <cell r="AB37" t="str">
            <v>Government Ministries</v>
          </cell>
          <cell r="AC37" t="str">
            <v>other offices</v>
          </cell>
        </row>
        <row r="38">
          <cell r="V38" t="str">
            <v>MALE'</v>
          </cell>
          <cell r="X38">
            <v>1602</v>
          </cell>
          <cell r="Y38">
            <v>1775</v>
          </cell>
          <cell r="Z38">
            <v>314</v>
          </cell>
          <cell r="AA38">
            <v>0</v>
          </cell>
          <cell r="AB38">
            <v>2977</v>
          </cell>
          <cell r="AC38">
            <v>2166</v>
          </cell>
        </row>
        <row r="39">
          <cell r="V39" t="str">
            <v xml:space="preserve"> ATOLL</v>
          </cell>
          <cell r="X39">
            <v>6679</v>
          </cell>
          <cell r="Y39">
            <v>5472</v>
          </cell>
          <cell r="Z39">
            <v>924</v>
          </cell>
          <cell r="AA39">
            <v>1602</v>
          </cell>
          <cell r="AB39">
            <v>0</v>
          </cell>
          <cell r="AC39">
            <v>136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61"/>
  <sheetViews>
    <sheetView tabSelected="1" topLeftCell="A19" zoomScaleNormal="100" workbookViewId="0">
      <selection activeCell="O48" sqref="O48"/>
    </sheetView>
  </sheetViews>
  <sheetFormatPr defaultRowHeight="15" x14ac:dyDescent="0.25"/>
  <cols>
    <col min="1" max="1" width="48" style="1" bestFit="1" customWidth="1"/>
    <col min="2" max="2" width="10.28515625" style="1" customWidth="1"/>
    <col min="3" max="4" width="9.140625" style="1"/>
    <col min="5" max="5" width="2" style="1" customWidth="1"/>
    <col min="6" max="8" width="9.140625" style="1"/>
    <col min="9" max="9" width="1.7109375" style="1" customWidth="1"/>
    <col min="10" max="12" width="9.140625" style="1"/>
    <col min="13" max="13" width="2.7109375" style="1" customWidth="1"/>
    <col min="14" max="16384" width="9.140625" style="1"/>
  </cols>
  <sheetData>
    <row r="2" spans="1:31" ht="21" x14ac:dyDescent="0.55000000000000004">
      <c r="A2" s="25" t="s">
        <v>42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31" x14ac:dyDescent="0.25">
      <c r="A3" s="26" t="s">
        <v>43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5" spans="1:31" x14ac:dyDescent="0.25">
      <c r="A5" s="28" t="s">
        <v>44</v>
      </c>
      <c r="B5" s="27" t="s">
        <v>6</v>
      </c>
      <c r="C5" s="27"/>
      <c r="D5" s="27"/>
      <c r="E5" s="16"/>
      <c r="F5" s="27" t="s">
        <v>45</v>
      </c>
      <c r="G5" s="27"/>
      <c r="H5" s="27"/>
      <c r="I5" s="16"/>
      <c r="J5" s="27" t="s">
        <v>46</v>
      </c>
      <c r="K5" s="27"/>
      <c r="L5" s="27"/>
    </row>
    <row r="6" spans="1:31" ht="18.75" x14ac:dyDescent="0.25">
      <c r="A6" s="29"/>
      <c r="B6" s="2" t="s">
        <v>0</v>
      </c>
      <c r="C6" s="2" t="s">
        <v>1</v>
      </c>
      <c r="D6" s="2" t="s">
        <v>2</v>
      </c>
      <c r="E6" s="2"/>
      <c r="F6" s="2" t="s">
        <v>0</v>
      </c>
      <c r="G6" s="2" t="s">
        <v>1</v>
      </c>
      <c r="H6" s="2" t="s">
        <v>2</v>
      </c>
      <c r="I6" s="2"/>
      <c r="J6" s="2" t="s">
        <v>0</v>
      </c>
      <c r="K6" s="2" t="s">
        <v>1</v>
      </c>
      <c r="L6" s="2" t="s">
        <v>2</v>
      </c>
    </row>
    <row r="7" spans="1:31" x14ac:dyDescent="0.25">
      <c r="A7" s="30"/>
      <c r="B7" s="3" t="s">
        <v>3</v>
      </c>
      <c r="C7" s="3" t="s">
        <v>4</v>
      </c>
      <c r="D7" s="3" t="s">
        <v>5</v>
      </c>
      <c r="E7" s="3"/>
      <c r="F7" s="3" t="s">
        <v>3</v>
      </c>
      <c r="G7" s="3" t="s">
        <v>4</v>
      </c>
      <c r="H7" s="3" t="s">
        <v>5</v>
      </c>
      <c r="I7" s="3"/>
      <c r="J7" s="3" t="s">
        <v>3</v>
      </c>
      <c r="K7" s="3" t="s">
        <v>4</v>
      </c>
      <c r="L7" s="3" t="s">
        <v>5</v>
      </c>
    </row>
    <row r="8" spans="1:31" ht="16.149999999999999" customHeight="1" x14ac:dyDescent="0.25">
      <c r="A8" s="21" t="s">
        <v>6</v>
      </c>
      <c r="B8" s="4">
        <f>F8+J8</f>
        <v>23647</v>
      </c>
      <c r="C8" s="4">
        <f>G8+K8</f>
        <v>9122</v>
      </c>
      <c r="D8" s="4">
        <f t="shared" ref="D8" si="0">H8+L8</f>
        <v>14525</v>
      </c>
      <c r="E8" s="4"/>
      <c r="F8" s="4">
        <f>G8+H8</f>
        <v>18509</v>
      </c>
      <c r="G8" s="4">
        <f>SUM(G9:G42)</f>
        <v>8512</v>
      </c>
      <c r="H8" s="4">
        <f>SUM(H9:H42)</f>
        <v>9997</v>
      </c>
      <c r="I8" s="24"/>
      <c r="J8" s="4">
        <f>K8+L8</f>
        <v>5138</v>
      </c>
      <c r="K8" s="4">
        <f>SUM(K9:K42)</f>
        <v>610</v>
      </c>
      <c r="L8" s="4">
        <f>SUM(L9:L42)</f>
        <v>4528</v>
      </c>
    </row>
    <row r="9" spans="1:31" ht="16.149999999999999" customHeight="1" x14ac:dyDescent="0.25">
      <c r="A9" s="1" t="s">
        <v>9</v>
      </c>
      <c r="B9" s="4">
        <f>F9+J9</f>
        <v>630</v>
      </c>
      <c r="C9" s="5">
        <f>G9+K9</f>
        <v>236</v>
      </c>
      <c r="D9" s="5">
        <f t="shared" ref="D9:D42" si="1">H9+L9</f>
        <v>394</v>
      </c>
      <c r="E9" s="4"/>
      <c r="F9" s="4">
        <f t="shared" ref="F9:F42" si="2">G9+H9</f>
        <v>630</v>
      </c>
      <c r="G9" s="22">
        <v>236</v>
      </c>
      <c r="H9" s="22">
        <v>394</v>
      </c>
      <c r="I9" s="17"/>
      <c r="J9" s="4">
        <f t="shared" ref="J9:J42" si="3">K9+L9</f>
        <v>0</v>
      </c>
      <c r="K9" s="22">
        <v>0</v>
      </c>
      <c r="L9" s="22">
        <v>0</v>
      </c>
    </row>
    <row r="10" spans="1:31" ht="16.149999999999999" customHeight="1" x14ac:dyDescent="0.25">
      <c r="A10" s="1" t="s">
        <v>10</v>
      </c>
      <c r="B10" s="4">
        <f t="shared" ref="B10:B42" si="4">F10+J10</f>
        <v>4565</v>
      </c>
      <c r="C10" s="5">
        <f t="shared" ref="C10:C42" si="5">G10+K10</f>
        <v>1751</v>
      </c>
      <c r="D10" s="5">
        <f t="shared" si="1"/>
        <v>2814</v>
      </c>
      <c r="E10" s="4"/>
      <c r="F10" s="4">
        <f t="shared" si="2"/>
        <v>4565</v>
      </c>
      <c r="G10" s="22">
        <v>1751</v>
      </c>
      <c r="H10" s="22">
        <v>2814</v>
      </c>
      <c r="I10" s="17"/>
      <c r="J10" s="4">
        <f t="shared" si="3"/>
        <v>0</v>
      </c>
      <c r="K10" s="22">
        <v>0</v>
      </c>
      <c r="L10" s="22">
        <v>0</v>
      </c>
    </row>
    <row r="11" spans="1:31" ht="16.149999999999999" customHeight="1" x14ac:dyDescent="0.25">
      <c r="A11" s="1" t="s">
        <v>11</v>
      </c>
      <c r="B11" s="4">
        <f t="shared" si="4"/>
        <v>31</v>
      </c>
      <c r="C11" s="5">
        <f t="shared" si="5"/>
        <v>11</v>
      </c>
      <c r="D11" s="5">
        <f t="shared" si="1"/>
        <v>20</v>
      </c>
      <c r="E11" s="4"/>
      <c r="F11" s="4">
        <f t="shared" si="2"/>
        <v>31</v>
      </c>
      <c r="G11" s="22">
        <v>11</v>
      </c>
      <c r="H11" s="22">
        <v>20</v>
      </c>
      <c r="I11" s="17"/>
      <c r="J11" s="4">
        <f t="shared" si="3"/>
        <v>0</v>
      </c>
      <c r="K11" s="22">
        <v>0</v>
      </c>
      <c r="L11" s="22">
        <v>0</v>
      </c>
    </row>
    <row r="12" spans="1:31" ht="16.149999999999999" customHeight="1" x14ac:dyDescent="0.25">
      <c r="A12" s="1" t="s">
        <v>12</v>
      </c>
      <c r="B12" s="4">
        <f t="shared" si="4"/>
        <v>28</v>
      </c>
      <c r="C12" s="5">
        <f t="shared" si="5"/>
        <v>26</v>
      </c>
      <c r="D12" s="5">
        <f t="shared" si="1"/>
        <v>2</v>
      </c>
      <c r="E12" s="4"/>
      <c r="F12" s="4">
        <f t="shared" si="2"/>
        <v>28</v>
      </c>
      <c r="G12" s="22">
        <v>26</v>
      </c>
      <c r="H12" s="22">
        <v>2</v>
      </c>
      <c r="I12" s="17"/>
      <c r="J12" s="4">
        <f t="shared" si="3"/>
        <v>0</v>
      </c>
      <c r="K12" s="22">
        <v>0</v>
      </c>
      <c r="L12" s="22">
        <v>0</v>
      </c>
    </row>
    <row r="13" spans="1:31" ht="16.149999999999999" customHeight="1" x14ac:dyDescent="0.25">
      <c r="A13" s="1" t="s">
        <v>13</v>
      </c>
      <c r="B13" s="4">
        <f t="shared" si="4"/>
        <v>485</v>
      </c>
      <c r="C13" s="5">
        <f t="shared" si="5"/>
        <v>381</v>
      </c>
      <c r="D13" s="5">
        <f t="shared" si="1"/>
        <v>104</v>
      </c>
      <c r="E13" s="4"/>
      <c r="F13" s="4">
        <f t="shared" si="2"/>
        <v>485</v>
      </c>
      <c r="G13" s="22">
        <v>381</v>
      </c>
      <c r="H13" s="22">
        <v>104</v>
      </c>
      <c r="I13" s="17"/>
      <c r="J13" s="4">
        <f t="shared" si="3"/>
        <v>0</v>
      </c>
      <c r="K13" s="22">
        <v>0</v>
      </c>
      <c r="L13" s="22">
        <v>0</v>
      </c>
      <c r="AE13" s="10"/>
    </row>
    <row r="14" spans="1:31" ht="16.149999999999999" customHeight="1" x14ac:dyDescent="0.25">
      <c r="A14" s="1" t="s">
        <v>14</v>
      </c>
      <c r="B14" s="4">
        <f t="shared" si="4"/>
        <v>18</v>
      </c>
      <c r="C14" s="5">
        <f t="shared" si="5"/>
        <v>4</v>
      </c>
      <c r="D14" s="5">
        <f t="shared" si="1"/>
        <v>14</v>
      </c>
      <c r="E14" s="4"/>
      <c r="F14" s="4">
        <f t="shared" si="2"/>
        <v>18</v>
      </c>
      <c r="G14" s="22">
        <v>4</v>
      </c>
      <c r="H14" s="22">
        <v>14</v>
      </c>
      <c r="I14" s="17"/>
      <c r="J14" s="4">
        <f t="shared" si="3"/>
        <v>0</v>
      </c>
      <c r="K14" s="22">
        <v>0</v>
      </c>
      <c r="L14" s="22">
        <v>0</v>
      </c>
      <c r="AE14" s="10"/>
    </row>
    <row r="15" spans="1:31" ht="16.149999999999999" customHeight="1" x14ac:dyDescent="0.25">
      <c r="A15" s="1" t="s">
        <v>15</v>
      </c>
      <c r="B15" s="4">
        <f t="shared" si="4"/>
        <v>4555</v>
      </c>
      <c r="C15" s="5">
        <f t="shared" si="5"/>
        <v>1919</v>
      </c>
      <c r="D15" s="5">
        <f t="shared" si="1"/>
        <v>2636</v>
      </c>
      <c r="E15" s="4"/>
      <c r="F15" s="4">
        <f t="shared" si="2"/>
        <v>4478</v>
      </c>
      <c r="G15" s="22">
        <v>1843</v>
      </c>
      <c r="H15" s="22">
        <v>2635</v>
      </c>
      <c r="I15" s="17"/>
      <c r="J15" s="4">
        <f t="shared" si="3"/>
        <v>77</v>
      </c>
      <c r="K15" s="22">
        <v>76</v>
      </c>
      <c r="L15" s="22">
        <v>1</v>
      </c>
      <c r="AE15" s="10"/>
    </row>
    <row r="16" spans="1:31" ht="16.149999999999999" customHeight="1" x14ac:dyDescent="0.25">
      <c r="A16" s="1" t="s">
        <v>16</v>
      </c>
      <c r="B16" s="4">
        <f t="shared" si="4"/>
        <v>303</v>
      </c>
      <c r="C16" s="5">
        <f t="shared" si="5"/>
        <v>145</v>
      </c>
      <c r="D16" s="5">
        <f t="shared" si="1"/>
        <v>158</v>
      </c>
      <c r="E16" s="4"/>
      <c r="F16" s="4">
        <f t="shared" si="2"/>
        <v>303</v>
      </c>
      <c r="G16" s="22">
        <v>145</v>
      </c>
      <c r="H16" s="22">
        <v>158</v>
      </c>
      <c r="I16" s="17"/>
      <c r="J16" s="4">
        <f t="shared" si="3"/>
        <v>0</v>
      </c>
      <c r="K16" s="22">
        <v>0</v>
      </c>
      <c r="L16" s="22">
        <v>0</v>
      </c>
      <c r="AE16" s="10"/>
    </row>
    <row r="17" spans="1:12" ht="16.149999999999999" customHeight="1" x14ac:dyDescent="0.25">
      <c r="A17" s="1" t="s">
        <v>17</v>
      </c>
      <c r="B17" s="4">
        <f t="shared" si="4"/>
        <v>1</v>
      </c>
      <c r="C17" s="5">
        <f t="shared" si="5"/>
        <v>1</v>
      </c>
      <c r="D17" s="5">
        <f t="shared" si="1"/>
        <v>0</v>
      </c>
      <c r="E17" s="4"/>
      <c r="F17" s="4">
        <f t="shared" si="2"/>
        <v>1</v>
      </c>
      <c r="G17" s="22">
        <v>1</v>
      </c>
      <c r="H17" s="22">
        <v>0</v>
      </c>
      <c r="I17" s="17"/>
      <c r="J17" s="4">
        <f t="shared" si="3"/>
        <v>0</v>
      </c>
      <c r="K17" s="22">
        <v>0</v>
      </c>
      <c r="L17" s="22">
        <v>0</v>
      </c>
    </row>
    <row r="18" spans="1:12" ht="16.149999999999999" customHeight="1" x14ac:dyDescent="0.25">
      <c r="A18" s="1" t="s">
        <v>18</v>
      </c>
      <c r="B18" s="4">
        <f t="shared" si="4"/>
        <v>14</v>
      </c>
      <c r="C18" s="5">
        <f t="shared" si="5"/>
        <v>6</v>
      </c>
      <c r="D18" s="5">
        <f t="shared" si="1"/>
        <v>8</v>
      </c>
      <c r="E18" s="4"/>
      <c r="F18" s="4">
        <f t="shared" si="2"/>
        <v>8</v>
      </c>
      <c r="G18" s="22">
        <v>2</v>
      </c>
      <c r="H18" s="22">
        <v>6</v>
      </c>
      <c r="I18" s="17"/>
      <c r="J18" s="4">
        <f t="shared" si="3"/>
        <v>6</v>
      </c>
      <c r="K18" s="22">
        <v>4</v>
      </c>
      <c r="L18" s="22">
        <v>2</v>
      </c>
    </row>
    <row r="19" spans="1:12" ht="16.149999999999999" customHeight="1" x14ac:dyDescent="0.25">
      <c r="A19" s="1" t="s">
        <v>19</v>
      </c>
      <c r="B19" s="4">
        <f t="shared" si="4"/>
        <v>558</v>
      </c>
      <c r="C19" s="5">
        <f t="shared" si="5"/>
        <v>379</v>
      </c>
      <c r="D19" s="5">
        <f t="shared" si="1"/>
        <v>179</v>
      </c>
      <c r="E19" s="4"/>
      <c r="F19" s="4">
        <f t="shared" si="2"/>
        <v>191</v>
      </c>
      <c r="G19" s="22">
        <v>81</v>
      </c>
      <c r="H19" s="22">
        <v>110</v>
      </c>
      <c r="I19" s="17"/>
      <c r="J19" s="4">
        <f t="shared" si="3"/>
        <v>367</v>
      </c>
      <c r="K19" s="22">
        <v>298</v>
      </c>
      <c r="L19" s="22">
        <v>69</v>
      </c>
    </row>
    <row r="20" spans="1:12" ht="16.149999999999999" customHeight="1" x14ac:dyDescent="0.25">
      <c r="A20" s="1" t="s">
        <v>20</v>
      </c>
      <c r="B20" s="4">
        <f t="shared" si="4"/>
        <v>344</v>
      </c>
      <c r="C20" s="5">
        <f t="shared" si="5"/>
        <v>209</v>
      </c>
      <c r="D20" s="5">
        <f t="shared" si="1"/>
        <v>135</v>
      </c>
      <c r="E20" s="4"/>
      <c r="F20" s="4">
        <f t="shared" si="2"/>
        <v>344</v>
      </c>
      <c r="G20" s="22">
        <v>209</v>
      </c>
      <c r="H20" s="22">
        <v>135</v>
      </c>
      <c r="I20" s="17"/>
      <c r="J20" s="4">
        <f t="shared" si="3"/>
        <v>0</v>
      </c>
      <c r="K20" s="22">
        <v>0</v>
      </c>
      <c r="L20" s="22">
        <v>0</v>
      </c>
    </row>
    <row r="21" spans="1:12" ht="16.149999999999999" customHeight="1" x14ac:dyDescent="0.25">
      <c r="A21" s="1" t="s">
        <v>21</v>
      </c>
      <c r="B21" s="4">
        <f t="shared" si="4"/>
        <v>53</v>
      </c>
      <c r="C21" s="5">
        <f t="shared" si="5"/>
        <v>39</v>
      </c>
      <c r="D21" s="5">
        <f t="shared" si="1"/>
        <v>14</v>
      </c>
      <c r="E21" s="4"/>
      <c r="F21" s="4">
        <f t="shared" si="2"/>
        <v>53</v>
      </c>
      <c r="G21" s="22">
        <v>39</v>
      </c>
      <c r="H21" s="22">
        <v>14</v>
      </c>
      <c r="I21" s="17"/>
      <c r="J21" s="4">
        <f t="shared" si="3"/>
        <v>0</v>
      </c>
      <c r="K21" s="22">
        <v>0</v>
      </c>
      <c r="L21" s="22">
        <v>0</v>
      </c>
    </row>
    <row r="22" spans="1:12" ht="16.149999999999999" customHeight="1" x14ac:dyDescent="0.25">
      <c r="A22" s="1" t="s">
        <v>22</v>
      </c>
      <c r="B22" s="4">
        <f t="shared" si="4"/>
        <v>272</v>
      </c>
      <c r="C22" s="5">
        <f t="shared" si="5"/>
        <v>166</v>
      </c>
      <c r="D22" s="5">
        <f t="shared" si="1"/>
        <v>106</v>
      </c>
      <c r="E22" s="4"/>
      <c r="F22" s="4">
        <f t="shared" si="2"/>
        <v>272</v>
      </c>
      <c r="G22" s="22">
        <v>166</v>
      </c>
      <c r="H22" s="22">
        <v>106</v>
      </c>
      <c r="I22" s="17"/>
      <c r="J22" s="4">
        <f t="shared" si="3"/>
        <v>0</v>
      </c>
      <c r="K22" s="22">
        <v>0</v>
      </c>
      <c r="L22" s="22">
        <v>0</v>
      </c>
    </row>
    <row r="23" spans="1:12" ht="16.149999999999999" customHeight="1" x14ac:dyDescent="0.25">
      <c r="A23" s="1" t="s">
        <v>23</v>
      </c>
      <c r="B23" s="4">
        <f t="shared" si="4"/>
        <v>240</v>
      </c>
      <c r="C23" s="5">
        <f t="shared" si="5"/>
        <v>182</v>
      </c>
      <c r="D23" s="5">
        <f t="shared" si="1"/>
        <v>58</v>
      </c>
      <c r="E23" s="4"/>
      <c r="F23" s="4">
        <f t="shared" si="2"/>
        <v>240</v>
      </c>
      <c r="G23" s="22">
        <v>182</v>
      </c>
      <c r="H23" s="22">
        <v>58</v>
      </c>
      <c r="I23" s="17"/>
      <c r="J23" s="4">
        <f t="shared" si="3"/>
        <v>0</v>
      </c>
      <c r="K23" s="22">
        <v>0</v>
      </c>
      <c r="L23" s="22">
        <v>0</v>
      </c>
    </row>
    <row r="24" spans="1:12" ht="16.149999999999999" customHeight="1" x14ac:dyDescent="0.25">
      <c r="A24" s="1" t="s">
        <v>24</v>
      </c>
      <c r="B24" s="4">
        <f t="shared" si="4"/>
        <v>324</v>
      </c>
      <c r="C24" s="5">
        <f t="shared" si="5"/>
        <v>86</v>
      </c>
      <c r="D24" s="5">
        <f t="shared" si="1"/>
        <v>238</v>
      </c>
      <c r="E24" s="4"/>
      <c r="F24" s="4">
        <f t="shared" si="2"/>
        <v>258</v>
      </c>
      <c r="G24" s="22">
        <v>41</v>
      </c>
      <c r="H24" s="22">
        <v>217</v>
      </c>
      <c r="I24" s="17"/>
      <c r="J24" s="4">
        <f t="shared" si="3"/>
        <v>66</v>
      </c>
      <c r="K24" s="22">
        <v>45</v>
      </c>
      <c r="L24" s="22">
        <v>21</v>
      </c>
    </row>
    <row r="25" spans="1:12" ht="16.149999999999999" customHeight="1" x14ac:dyDescent="0.25">
      <c r="A25" s="1" t="s">
        <v>25</v>
      </c>
      <c r="B25" s="4">
        <f t="shared" si="4"/>
        <v>35</v>
      </c>
      <c r="C25" s="5">
        <f t="shared" si="5"/>
        <v>14</v>
      </c>
      <c r="D25" s="5">
        <f t="shared" si="1"/>
        <v>21</v>
      </c>
      <c r="E25" s="4"/>
      <c r="F25" s="4">
        <f t="shared" si="2"/>
        <v>35</v>
      </c>
      <c r="G25" s="22">
        <v>14</v>
      </c>
      <c r="H25" s="22">
        <v>21</v>
      </c>
      <c r="I25" s="17"/>
      <c r="J25" s="4">
        <f t="shared" si="3"/>
        <v>0</v>
      </c>
      <c r="K25" s="22">
        <v>0</v>
      </c>
      <c r="L25" s="22">
        <v>0</v>
      </c>
    </row>
    <row r="26" spans="1:12" ht="16.149999999999999" customHeight="1" x14ac:dyDescent="0.25">
      <c r="A26" s="1" t="s">
        <v>26</v>
      </c>
      <c r="B26" s="4">
        <f t="shared" si="4"/>
        <v>22</v>
      </c>
      <c r="C26" s="5">
        <f t="shared" si="5"/>
        <v>20</v>
      </c>
      <c r="D26" s="5">
        <f t="shared" si="1"/>
        <v>2</v>
      </c>
      <c r="E26" s="4"/>
      <c r="F26" s="4">
        <f t="shared" si="2"/>
        <v>22</v>
      </c>
      <c r="G26" s="22">
        <v>20</v>
      </c>
      <c r="H26" s="22">
        <v>2</v>
      </c>
      <c r="I26" s="17"/>
      <c r="J26" s="4">
        <f t="shared" si="3"/>
        <v>0</v>
      </c>
      <c r="K26" s="22">
        <v>0</v>
      </c>
      <c r="L26" s="22">
        <v>0</v>
      </c>
    </row>
    <row r="27" spans="1:12" ht="16.149999999999999" customHeight="1" x14ac:dyDescent="0.25">
      <c r="A27" s="1" t="s">
        <v>27</v>
      </c>
      <c r="B27" s="4">
        <f t="shared" si="4"/>
        <v>7</v>
      </c>
      <c r="C27" s="5">
        <f t="shared" si="5"/>
        <v>7</v>
      </c>
      <c r="D27" s="5">
        <f t="shared" si="1"/>
        <v>0</v>
      </c>
      <c r="E27" s="4"/>
      <c r="F27" s="4">
        <f t="shared" si="2"/>
        <v>7</v>
      </c>
      <c r="G27" s="22">
        <v>7</v>
      </c>
      <c r="H27" s="22">
        <v>0</v>
      </c>
      <c r="I27" s="17"/>
      <c r="J27" s="4">
        <f t="shared" si="3"/>
        <v>0</v>
      </c>
      <c r="K27" s="22">
        <v>0</v>
      </c>
      <c r="L27" s="22">
        <v>0</v>
      </c>
    </row>
    <row r="28" spans="1:12" ht="16.149999999999999" customHeight="1" x14ac:dyDescent="0.25">
      <c r="A28" s="1" t="s">
        <v>28</v>
      </c>
      <c r="B28" s="4">
        <f t="shared" si="4"/>
        <v>74</v>
      </c>
      <c r="C28" s="5">
        <f t="shared" si="5"/>
        <v>53</v>
      </c>
      <c r="D28" s="5">
        <f t="shared" si="1"/>
        <v>21</v>
      </c>
      <c r="E28" s="4"/>
      <c r="F28" s="4">
        <f t="shared" si="2"/>
        <v>74</v>
      </c>
      <c r="G28" s="22">
        <v>53</v>
      </c>
      <c r="H28" s="22">
        <v>21</v>
      </c>
      <c r="I28" s="17"/>
      <c r="J28" s="4">
        <f t="shared" si="3"/>
        <v>0</v>
      </c>
      <c r="K28" s="22">
        <v>0</v>
      </c>
      <c r="L28" s="22">
        <v>0</v>
      </c>
    </row>
    <row r="29" spans="1:12" ht="16.149999999999999" customHeight="1" x14ac:dyDescent="0.25">
      <c r="A29" s="1" t="s">
        <v>29</v>
      </c>
      <c r="B29" s="4">
        <f t="shared" si="4"/>
        <v>553</v>
      </c>
      <c r="C29" s="5">
        <f t="shared" si="5"/>
        <v>474</v>
      </c>
      <c r="D29" s="5">
        <f t="shared" si="1"/>
        <v>79</v>
      </c>
      <c r="E29" s="4"/>
      <c r="F29" s="4">
        <f t="shared" si="2"/>
        <v>553</v>
      </c>
      <c r="G29" s="22">
        <v>474</v>
      </c>
      <c r="H29" s="22">
        <v>79</v>
      </c>
      <c r="I29" s="17"/>
      <c r="J29" s="4">
        <f t="shared" si="3"/>
        <v>0</v>
      </c>
      <c r="K29" s="22">
        <v>0</v>
      </c>
      <c r="L29" s="22">
        <v>0</v>
      </c>
    </row>
    <row r="30" spans="1:12" ht="16.149999999999999" customHeight="1" x14ac:dyDescent="0.25">
      <c r="A30" s="1" t="s">
        <v>30</v>
      </c>
      <c r="B30" s="4">
        <f t="shared" si="4"/>
        <v>55</v>
      </c>
      <c r="C30" s="5">
        <f t="shared" si="5"/>
        <v>35</v>
      </c>
      <c r="D30" s="5">
        <f t="shared" si="1"/>
        <v>20</v>
      </c>
      <c r="E30" s="4"/>
      <c r="F30" s="4">
        <f t="shared" si="2"/>
        <v>55</v>
      </c>
      <c r="G30" s="22">
        <v>35</v>
      </c>
      <c r="H30" s="22">
        <v>20</v>
      </c>
      <c r="I30" s="17"/>
      <c r="J30" s="4">
        <f t="shared" si="3"/>
        <v>0</v>
      </c>
      <c r="K30" s="22">
        <v>0</v>
      </c>
      <c r="L30" s="22">
        <v>0</v>
      </c>
    </row>
    <row r="31" spans="1:12" ht="16.149999999999999" customHeight="1" x14ac:dyDescent="0.25">
      <c r="A31" s="1" t="s">
        <v>31</v>
      </c>
      <c r="B31" s="4">
        <f t="shared" si="4"/>
        <v>2061</v>
      </c>
      <c r="C31" s="5">
        <f t="shared" si="5"/>
        <v>130</v>
      </c>
      <c r="D31" s="5">
        <f t="shared" si="1"/>
        <v>1931</v>
      </c>
      <c r="E31" s="4"/>
      <c r="F31" s="4">
        <f t="shared" si="2"/>
        <v>627</v>
      </c>
      <c r="G31" s="22">
        <v>10</v>
      </c>
      <c r="H31" s="22">
        <v>617</v>
      </c>
      <c r="I31" s="17"/>
      <c r="J31" s="4">
        <f t="shared" si="3"/>
        <v>1434</v>
      </c>
      <c r="K31" s="22">
        <v>120</v>
      </c>
      <c r="L31" s="22">
        <v>1314</v>
      </c>
    </row>
    <row r="32" spans="1:12" ht="16.149999999999999" customHeight="1" x14ac:dyDescent="0.25">
      <c r="A32" s="1" t="s">
        <v>32</v>
      </c>
      <c r="B32" s="4">
        <f t="shared" si="4"/>
        <v>567</v>
      </c>
      <c r="C32" s="5">
        <f t="shared" si="5"/>
        <v>163</v>
      </c>
      <c r="D32" s="5">
        <f t="shared" si="1"/>
        <v>404</v>
      </c>
      <c r="E32" s="4"/>
      <c r="F32" s="4">
        <f t="shared" si="2"/>
        <v>517</v>
      </c>
      <c r="G32" s="22">
        <v>124</v>
      </c>
      <c r="H32" s="22">
        <v>393</v>
      </c>
      <c r="I32" s="17"/>
      <c r="J32" s="4">
        <f t="shared" si="3"/>
        <v>50</v>
      </c>
      <c r="K32" s="22">
        <v>39</v>
      </c>
      <c r="L32" s="22">
        <v>11</v>
      </c>
    </row>
    <row r="33" spans="1:37" ht="16.149999999999999" customHeight="1" x14ac:dyDescent="0.25">
      <c r="A33" s="1" t="s">
        <v>33</v>
      </c>
      <c r="B33" s="4">
        <f t="shared" si="4"/>
        <v>16</v>
      </c>
      <c r="C33" s="5">
        <f t="shared" si="5"/>
        <v>13</v>
      </c>
      <c r="D33" s="5">
        <f t="shared" si="1"/>
        <v>3</v>
      </c>
      <c r="E33" s="4"/>
      <c r="F33" s="4">
        <f t="shared" si="2"/>
        <v>16</v>
      </c>
      <c r="G33" s="22">
        <v>13</v>
      </c>
      <c r="H33" s="22">
        <v>3</v>
      </c>
      <c r="I33" s="17"/>
      <c r="J33" s="4">
        <f t="shared" si="3"/>
        <v>0</v>
      </c>
      <c r="K33" s="22">
        <v>0</v>
      </c>
      <c r="L33" s="22">
        <v>0</v>
      </c>
    </row>
    <row r="34" spans="1:37" ht="16.149999999999999" customHeight="1" x14ac:dyDescent="0.25">
      <c r="A34" s="1" t="s">
        <v>34</v>
      </c>
      <c r="B34" s="4">
        <f t="shared" si="4"/>
        <v>418</v>
      </c>
      <c r="C34" s="5">
        <f t="shared" si="5"/>
        <v>391</v>
      </c>
      <c r="D34" s="5">
        <f t="shared" si="1"/>
        <v>27</v>
      </c>
      <c r="E34" s="4"/>
      <c r="F34" s="4">
        <f t="shared" si="2"/>
        <v>418</v>
      </c>
      <c r="G34" s="22">
        <v>391</v>
      </c>
      <c r="H34" s="22">
        <v>27</v>
      </c>
      <c r="I34" s="17"/>
      <c r="J34" s="4">
        <f t="shared" si="3"/>
        <v>0</v>
      </c>
      <c r="K34" s="22">
        <v>0</v>
      </c>
      <c r="L34" s="22">
        <v>0</v>
      </c>
    </row>
    <row r="35" spans="1:37" ht="16.149999999999999" customHeight="1" x14ac:dyDescent="0.25">
      <c r="A35" s="1" t="s">
        <v>35</v>
      </c>
      <c r="B35" s="4">
        <f t="shared" si="4"/>
        <v>532</v>
      </c>
      <c r="C35" s="5">
        <f t="shared" si="5"/>
        <v>167</v>
      </c>
      <c r="D35" s="5">
        <f t="shared" si="1"/>
        <v>365</v>
      </c>
      <c r="E35" s="4"/>
      <c r="F35" s="4">
        <f t="shared" si="2"/>
        <v>531</v>
      </c>
      <c r="G35" s="22">
        <v>167</v>
      </c>
      <c r="H35" s="22">
        <v>364</v>
      </c>
      <c r="I35" s="17"/>
      <c r="J35" s="4">
        <f t="shared" si="3"/>
        <v>1</v>
      </c>
      <c r="K35" s="22">
        <v>0</v>
      </c>
      <c r="L35" s="22">
        <v>1</v>
      </c>
    </row>
    <row r="36" spans="1:37" ht="16.149999999999999" customHeight="1" x14ac:dyDescent="0.25">
      <c r="A36" s="1" t="s">
        <v>36</v>
      </c>
      <c r="B36" s="4">
        <f t="shared" si="4"/>
        <v>1</v>
      </c>
      <c r="C36" s="5">
        <f t="shared" si="5"/>
        <v>1</v>
      </c>
      <c r="D36" s="5">
        <f t="shared" si="1"/>
        <v>0</v>
      </c>
      <c r="E36" s="4"/>
      <c r="F36" s="4">
        <f t="shared" si="2"/>
        <v>1</v>
      </c>
      <c r="G36" s="22">
        <v>1</v>
      </c>
      <c r="H36" s="22">
        <v>0</v>
      </c>
      <c r="I36" s="17"/>
      <c r="J36" s="4">
        <f t="shared" si="3"/>
        <v>0</v>
      </c>
      <c r="K36" s="22">
        <v>0</v>
      </c>
      <c r="L36" s="22">
        <v>0</v>
      </c>
    </row>
    <row r="37" spans="1:37" ht="16.149999999999999" customHeight="1" x14ac:dyDescent="0.25">
      <c r="A37" s="1" t="s">
        <v>37</v>
      </c>
      <c r="B37" s="4">
        <f t="shared" si="4"/>
        <v>371</v>
      </c>
      <c r="C37" s="5">
        <f t="shared" si="5"/>
        <v>81</v>
      </c>
      <c r="D37" s="5">
        <f t="shared" si="1"/>
        <v>290</v>
      </c>
      <c r="E37" s="4"/>
      <c r="F37" s="4">
        <f t="shared" si="2"/>
        <v>371</v>
      </c>
      <c r="G37" s="22">
        <v>81</v>
      </c>
      <c r="H37" s="22">
        <v>290</v>
      </c>
      <c r="I37" s="17"/>
      <c r="J37" s="4">
        <f t="shared" si="3"/>
        <v>0</v>
      </c>
      <c r="K37" s="22">
        <v>0</v>
      </c>
      <c r="L37" s="22">
        <v>0</v>
      </c>
    </row>
    <row r="38" spans="1:37" s="6" customFormat="1" ht="16.149999999999999" customHeight="1" x14ac:dyDescent="0.25">
      <c r="A38" s="1" t="s">
        <v>38</v>
      </c>
      <c r="B38" s="4">
        <f t="shared" si="4"/>
        <v>5427</v>
      </c>
      <c r="C38" s="5">
        <f t="shared" si="5"/>
        <v>1246</v>
      </c>
      <c r="D38" s="5">
        <f t="shared" si="1"/>
        <v>4181</v>
      </c>
      <c r="E38" s="4"/>
      <c r="F38" s="4">
        <f t="shared" si="2"/>
        <v>2297</v>
      </c>
      <c r="G38" s="22">
        <v>1224</v>
      </c>
      <c r="H38" s="22">
        <v>1073</v>
      </c>
      <c r="I38" s="17"/>
      <c r="J38" s="4">
        <f t="shared" si="3"/>
        <v>3130</v>
      </c>
      <c r="K38" s="22">
        <v>22</v>
      </c>
      <c r="L38" s="22">
        <v>3108</v>
      </c>
      <c r="M38" s="1"/>
      <c r="N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1" t="s">
        <v>39</v>
      </c>
      <c r="B39" s="4">
        <f t="shared" si="4"/>
        <v>533</v>
      </c>
      <c r="C39" s="5">
        <f t="shared" si="5"/>
        <v>532</v>
      </c>
      <c r="D39" s="5">
        <f t="shared" si="1"/>
        <v>1</v>
      </c>
      <c r="E39" s="4"/>
      <c r="F39" s="4">
        <f t="shared" si="2"/>
        <v>526</v>
      </c>
      <c r="G39" s="22">
        <v>526</v>
      </c>
      <c r="H39" s="22">
        <v>0</v>
      </c>
      <c r="I39" s="17"/>
      <c r="J39" s="4">
        <f t="shared" si="3"/>
        <v>7</v>
      </c>
      <c r="K39" s="22">
        <v>6</v>
      </c>
      <c r="L39" s="22">
        <v>1</v>
      </c>
    </row>
    <row r="40" spans="1:37" x14ac:dyDescent="0.25">
      <c r="A40" s="1" t="s">
        <v>48</v>
      </c>
      <c r="B40" s="4">
        <f t="shared" si="4"/>
        <v>3</v>
      </c>
      <c r="C40" s="5">
        <f t="shared" si="5"/>
        <v>3</v>
      </c>
      <c r="D40" s="5">
        <f t="shared" si="1"/>
        <v>0</v>
      </c>
      <c r="E40" s="4"/>
      <c r="F40" s="4">
        <f t="shared" si="2"/>
        <v>3</v>
      </c>
      <c r="G40" s="22">
        <v>3</v>
      </c>
      <c r="H40" s="22">
        <v>0</v>
      </c>
      <c r="I40" s="17"/>
      <c r="J40" s="4">
        <f t="shared" si="3"/>
        <v>0</v>
      </c>
      <c r="K40" s="22">
        <v>0</v>
      </c>
      <c r="L40" s="22">
        <v>0</v>
      </c>
    </row>
    <row r="41" spans="1:37" x14ac:dyDescent="0.25">
      <c r="A41" s="6" t="s">
        <v>40</v>
      </c>
      <c r="B41" s="4">
        <f t="shared" si="4"/>
        <v>550</v>
      </c>
      <c r="C41" s="5">
        <f t="shared" si="5"/>
        <v>250</v>
      </c>
      <c r="D41" s="5">
        <f t="shared" si="1"/>
        <v>300</v>
      </c>
      <c r="E41" s="4"/>
      <c r="F41" s="4">
        <f t="shared" si="2"/>
        <v>550</v>
      </c>
      <c r="G41" s="22">
        <v>250</v>
      </c>
      <c r="H41" s="22">
        <v>300</v>
      </c>
      <c r="I41" s="17"/>
      <c r="J41" s="4">
        <f t="shared" si="3"/>
        <v>0</v>
      </c>
      <c r="K41" s="22">
        <v>0</v>
      </c>
      <c r="L41" s="22">
        <v>0</v>
      </c>
    </row>
    <row r="42" spans="1:37" x14ac:dyDescent="0.25">
      <c r="A42" s="14" t="s">
        <v>41</v>
      </c>
      <c r="B42" s="8">
        <f t="shared" si="4"/>
        <v>1</v>
      </c>
      <c r="C42" s="7">
        <f t="shared" si="5"/>
        <v>1</v>
      </c>
      <c r="D42" s="7">
        <f t="shared" si="1"/>
        <v>0</v>
      </c>
      <c r="E42" s="8"/>
      <c r="F42" s="8">
        <f t="shared" si="2"/>
        <v>1</v>
      </c>
      <c r="G42" s="23">
        <v>1</v>
      </c>
      <c r="H42" s="23">
        <v>0</v>
      </c>
      <c r="I42" s="18"/>
      <c r="J42" s="8">
        <f t="shared" si="3"/>
        <v>0</v>
      </c>
      <c r="K42" s="23">
        <v>0</v>
      </c>
      <c r="L42" s="23">
        <v>0</v>
      </c>
    </row>
    <row r="43" spans="1:37" ht="17.25" x14ac:dyDescent="0.25">
      <c r="A43" s="13" t="s">
        <v>7</v>
      </c>
      <c r="B43" s="12"/>
      <c r="F43" s="12"/>
      <c r="J43" s="12"/>
      <c r="L43" s="9" t="s">
        <v>8</v>
      </c>
    </row>
    <row r="45" spans="1:37" x14ac:dyDescent="0.25">
      <c r="AJ45" s="15"/>
      <c r="AK45" s="10"/>
    </row>
    <row r="46" spans="1:37" x14ac:dyDescent="0.25">
      <c r="AJ46" s="15"/>
      <c r="AK46" s="10"/>
    </row>
    <row r="47" spans="1:37" x14ac:dyDescent="0.25">
      <c r="AK47" s="10">
        <f>SUM(AK49:AK50)</f>
        <v>23647</v>
      </c>
    </row>
    <row r="49" spans="1:37" x14ac:dyDescent="0.25">
      <c r="AH49" s="1" t="s">
        <v>47</v>
      </c>
      <c r="AJ49" s="15">
        <f>AK49/AK47*100</f>
        <v>78.272085253943416</v>
      </c>
      <c r="AK49" s="10">
        <f>F8</f>
        <v>18509</v>
      </c>
    </row>
    <row r="50" spans="1:37" x14ac:dyDescent="0.25">
      <c r="AH50" s="1" t="s">
        <v>46</v>
      </c>
      <c r="AJ50" s="15">
        <f>AK50/AK47*100</f>
        <v>21.72791474605658</v>
      </c>
      <c r="AK50" s="10">
        <f>J8</f>
        <v>5138</v>
      </c>
    </row>
    <row r="60" spans="1:37" ht="21" x14ac:dyDescent="0.55000000000000004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</row>
    <row r="61" spans="1:37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</sheetData>
  <mergeCells count="6">
    <mergeCell ref="A2:L2"/>
    <mergeCell ref="A3:L3"/>
    <mergeCell ref="A5:A7"/>
    <mergeCell ref="B5:D5"/>
    <mergeCell ref="F5:H5"/>
    <mergeCell ref="J5:L5"/>
  </mergeCells>
  <pageMargins left="0.7" right="0.7" top="0.75" bottom="0.75" header="0.3" footer="0.3"/>
  <pageSetup paperSize="9" scale="63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5.7</vt:lpstr>
      <vt:lpstr>'5.7'!Print_Area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2019-08-04T03:19:58Z</cp:lastPrinted>
  <dcterms:created xsi:type="dcterms:W3CDTF">2019-06-03T04:17:39Z</dcterms:created>
  <dcterms:modified xsi:type="dcterms:W3CDTF">2019-08-04T03:20:05Z</dcterms:modified>
</cp:coreProperties>
</file>