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12" sheetId="13" r:id="rId1"/>
  </sheets>
  <externalReferences>
    <externalReference r:id="rId2"/>
  </externalReferences>
  <definedNames>
    <definedName name="_xlnm.Print_Area" localSheetId="0">'5.12'!$A$1:$G$65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3" l="1"/>
  <c r="B11" i="13"/>
  <c r="B12" i="13"/>
  <c r="B13" i="13"/>
  <c r="B14" i="13"/>
  <c r="B15" i="13"/>
  <c r="B16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9" i="13" l="1"/>
  <c r="D9" i="13"/>
  <c r="D5" i="13" s="1"/>
  <c r="C9" i="13"/>
  <c r="C5" i="13"/>
  <c r="B5" i="13" s="1"/>
  <c r="E22" i="13" s="1"/>
  <c r="E13" i="13" l="1"/>
  <c r="E14" i="13"/>
  <c r="E15" i="13"/>
  <c r="E10" i="13"/>
  <c r="E8" i="13"/>
  <c r="E7" i="13"/>
  <c r="E27" i="13"/>
  <c r="E23" i="13"/>
  <c r="E19" i="13"/>
  <c r="E6" i="13"/>
  <c r="E5" i="13"/>
  <c r="E25" i="13"/>
  <c r="E21" i="13"/>
  <c r="E17" i="13"/>
  <c r="E29" i="13"/>
  <c r="E16" i="13"/>
  <c r="E18" i="13"/>
  <c r="E9" i="13"/>
  <c r="E20" i="13"/>
  <c r="E28" i="13"/>
  <c r="E24" i="13"/>
  <c r="E26" i="13"/>
  <c r="E12" i="13"/>
  <c r="E11" i="13"/>
</calcChain>
</file>

<file path=xl/sharedStrings.xml><?xml version="1.0" encoding="utf-8"?>
<sst xmlns="http://schemas.openxmlformats.org/spreadsheetml/2006/main" count="81" uniqueCount="81">
  <si>
    <t>Republic</t>
  </si>
  <si>
    <t>Male'</t>
  </si>
  <si>
    <t>Male</t>
  </si>
  <si>
    <t>މާލެ</t>
  </si>
  <si>
    <t>އަތޮޅުތައް</t>
  </si>
  <si>
    <t>Atolls</t>
  </si>
  <si>
    <t>Locality</t>
  </si>
  <si>
    <t>މުޅި ރާއްޖެ</t>
  </si>
  <si>
    <t xml:space="preserve">       (ah)  iruburutua Itwmcnudwlit</t>
  </si>
  <si>
    <t>HA</t>
  </si>
  <si>
    <t>(dh) irubunuked Itwmcnudwlit</t>
  </si>
  <si>
    <t>HDh</t>
  </si>
  <si>
    <t>(S) iruburutua uluDwmcnudwlim</t>
  </si>
  <si>
    <t>Sh</t>
  </si>
  <si>
    <t>(n) irubunuked uluDwmcnudwlim</t>
  </si>
  <si>
    <t>N</t>
  </si>
  <si>
    <t>(r) iruburutuauluDwmcsoLWm</t>
  </si>
  <si>
    <t>R</t>
  </si>
  <si>
    <t>(b) irubunukeduluDwcsoLWm</t>
  </si>
  <si>
    <t>B</t>
  </si>
  <si>
    <t>(L) uLopcaidWf</t>
  </si>
  <si>
    <t>Lh</t>
  </si>
  <si>
    <t>(k) uLotwa elWm</t>
  </si>
  <si>
    <t>K</t>
  </si>
  <si>
    <t>(aa) iruburutuauLotwairwa</t>
  </si>
  <si>
    <t>AA</t>
  </si>
  <si>
    <t>(da) iruburutuauLotwairwa</t>
  </si>
  <si>
    <t>ADh</t>
  </si>
  <si>
    <t>(v) uLotwa udilef</t>
  </si>
  <si>
    <t>V</t>
  </si>
  <si>
    <t>(m) uLotwkwlum</t>
  </si>
  <si>
    <t>M</t>
  </si>
  <si>
    <t>(f) iruburutua uLotwaedcnwlin</t>
  </si>
  <si>
    <t>F</t>
  </si>
  <si>
    <t>(d) irubunuked uLotwaedcnwlin</t>
  </si>
  <si>
    <t>(t) uluDwmuLok</t>
  </si>
  <si>
    <t>(l) itwmcnudcawh</t>
  </si>
  <si>
    <t>L</t>
  </si>
  <si>
    <t>(ag) iruburutua uLotwaudwvuh</t>
  </si>
  <si>
    <t>GA</t>
  </si>
  <si>
    <t xml:space="preserve"> (dg) irubunuked uLotwaudwvuh</t>
  </si>
  <si>
    <t>GDh</t>
  </si>
  <si>
    <t>(N)cawlumcawvuf</t>
  </si>
  <si>
    <t>Gn</t>
  </si>
  <si>
    <t>(s) uLotwauDcawa</t>
  </si>
  <si>
    <t>S</t>
  </si>
  <si>
    <t xml:space="preserve">Total </t>
  </si>
  <si>
    <t xml:space="preserve">Female </t>
  </si>
  <si>
    <t>% share</t>
  </si>
  <si>
    <t>Data provided by: National Centre for Information Technology</t>
  </si>
  <si>
    <t>DH</t>
  </si>
  <si>
    <t>TH</t>
  </si>
  <si>
    <t>Hulhumale'</t>
  </si>
  <si>
    <t>Table 5.12: Expatriate employment by locality, 2018</t>
  </si>
  <si>
    <t xml:space="preserve">ތާވަލު 5.12: މާލެއާއި އަތޮޅުތަކުގައި މަސައްކަތްކުރާ ބިދޭސީ މަސައްކަތްތެރިންގެ އަދަދު އަދި ޖިންސް،  2018 </t>
  </si>
  <si>
    <t>ހުޅުމާލެ</t>
  </si>
  <si>
    <t>މަޢުލޫމާތު ފޯރުކޯށްދެއްވީ: ނޭޝަނަލް ސެންޓަރ ފޮރ އިންފޮމޭޝަން ޓެކްނޮލޮޖީ</t>
  </si>
  <si>
    <t>ނޯޓް: ނޭޝަނަލް ބިއުރޯ އޮފް ސްޓެޓިސްޓިކްސް (އެން.ބީ.އެސް) ގެ އަންދާޒާ</t>
  </si>
  <si>
    <t>Note: Estimates of  National Bureau of Statistics (NBS).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</si>
  <si>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</si>
  <si>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</si>
  <si>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</si>
  <si>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</si>
  <si>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</si>
  <si>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</si>
  <si>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</si>
  <si>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</si>
  <si>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</si>
  <si>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</si>
  <si>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</si>
  <si>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</si>
  <si>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 xml:space="preserve">North Nilandhe Atoll (F) 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</si>
  <si>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</si>
  <si>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</si>
  <si>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</si>
  <si>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</si>
  <si>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</si>
  <si>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</si>
  <si>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</si>
  <si>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Vilimale'</t>
  </si>
  <si>
    <t>ވިލިމާލެ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</si>
</sst>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sz val="10"/>
      <name val="A_Randhoo"/>
    </font>
    <font>
      <sz val="10"/>
      <name val="MS Sans Serif"/>
      <family val="2"/>
    </font>
    <font>
      <i/>
      <sz val="9"/>
      <color theme="1"/>
      <name val="Calibri"/>
      <family val="2"/>
      <scheme val="minor"/>
    </font>
    <font>
      <b/>
      <sz val="12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1" fillId="0" borderId="0"/>
  </cellStyleXfs>
  <cellXfs count="33">
    <xf numFmtId="0" fontId="0" fillId="0" borderId="0" xfId="0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8" fillId="2" borderId="0" xfId="0" applyFont="1" applyFill="1"/>
    <xf numFmtId="0" fontId="8" fillId="2" borderId="0" xfId="0" applyFont="1" applyFill="1" applyBorder="1"/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/>
    </xf>
    <xf numFmtId="0" fontId="0" fillId="2" borderId="0" xfId="0" applyFill="1" applyAlignment="1">
      <alignment horizontal="left" vertical="center" indent="1"/>
    </xf>
    <xf numFmtId="0" fontId="4" fillId="2" borderId="2" xfId="0" applyFont="1" applyFill="1" applyBorder="1" applyAlignment="1">
      <alignment horizontal="right" vertical="center"/>
    </xf>
    <xf numFmtId="0" fontId="4" fillId="2" borderId="0" xfId="0" applyFont="1" applyFill="1" applyBorder="1"/>
    <xf numFmtId="0" fontId="4" fillId="2" borderId="2" xfId="0" applyFont="1" applyFill="1" applyBorder="1"/>
    <xf numFmtId="3" fontId="4" fillId="2" borderId="0" xfId="0" applyNumberFormat="1" applyFont="1" applyFill="1" applyBorder="1" applyAlignment="1">
      <alignment vertical="center"/>
    </xf>
    <xf numFmtId="167" fontId="4" fillId="2" borderId="0" xfId="0" applyNumberFormat="1" applyFont="1" applyFill="1" applyBorder="1" applyAlignment="1">
      <alignment vertical="center"/>
    </xf>
    <xf numFmtId="3" fontId="9" fillId="2" borderId="0" xfId="3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>
      <alignment horizontal="left" vertical="center"/>
    </xf>
    <xf numFmtId="3" fontId="8" fillId="2" borderId="0" xfId="0" applyNumberFormat="1" applyFont="1" applyFill="1" applyBorder="1" applyAlignment="1">
      <alignment vertical="center"/>
    </xf>
    <xf numFmtId="167" fontId="8" fillId="2" borderId="0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0" fontId="0" fillId="2" borderId="0" xfId="0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3" fontId="10" fillId="2" borderId="0" xfId="3" applyNumberFormat="1" applyFont="1" applyFill="1" applyBorder="1" applyAlignment="1" applyProtection="1">
      <alignment horizontal="right" vertical="center" indent="1"/>
    </xf>
    <xf numFmtId="3" fontId="10" fillId="2" borderId="1" xfId="3" applyNumberFormat="1" applyFont="1" applyFill="1" applyBorder="1" applyAlignment="1" applyProtection="1">
      <alignment horizontal="right" vertical="center" indent="1"/>
    </xf>
    <xf numFmtId="3" fontId="14" fillId="2" borderId="0" xfId="3" applyNumberFormat="1" applyFont="1" applyFill="1" applyBorder="1" applyAlignment="1" applyProtection="1">
      <alignment horizontal="right" vertical="center" indent="1"/>
    </xf>
    <xf numFmtId="49" fontId="7" fillId="2" borderId="0" xfId="0" applyNumberFormat="1" applyFont="1" applyFill="1" applyBorder="1" applyAlignment="1">
      <alignment vertical="center"/>
    </xf>
    <xf numFmtId="49" fontId="7" fillId="2" borderId="0" xfId="0" applyNumberFormat="1" applyFont="1" applyFill="1" applyBorder="1" applyAlignment="1">
      <alignment horizontal="left" vertical="center" indent="1"/>
    </xf>
    <xf numFmtId="49" fontId="7" fillId="2" borderId="1" xfId="0" applyNumberFormat="1" applyFont="1" applyFill="1" applyBorder="1" applyAlignment="1">
      <alignment horizontal="left" vertical="center" indent="1"/>
    </xf>
    <xf numFmtId="164" fontId="13" fillId="2" borderId="0" xfId="1" applyNumberFormat="1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</cellXfs>
  <cellStyles count="6">
    <cellStyle name="Normal" xfId="0" builtinId="0"/>
    <cellStyle name="Normal 2" xfId="4"/>
    <cellStyle name="Normal 4" xfId="5"/>
    <cellStyle name="Normal_II-15(Population) 2" xfId="3"/>
    <cellStyle name="Normal_II-16(Populaion)" xfId="2"/>
    <cellStyle name="Normal_Population - II 2" xfId="1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5.15: Expatriate emplyment by Atolls, 2018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3577948407608148"/>
          <c:y val="2.6589100004326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88674003468865"/>
          <c:y val="0.12912097476066145"/>
          <c:w val="0.86772144709981425"/>
          <c:h val="0.728715731207442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'5.12'!$R$8:$R$27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'5.12'!$B$10:$B$29</c:f>
              <c:numCache>
                <c:formatCode>#,##0</c:formatCode>
                <c:ptCount val="20"/>
                <c:pt idx="0">
                  <c:v>1665</c:v>
                </c:pt>
                <c:pt idx="1">
                  <c:v>2095</c:v>
                </c:pt>
                <c:pt idx="2">
                  <c:v>1065</c:v>
                </c:pt>
                <c:pt idx="3">
                  <c:v>3533</c:v>
                </c:pt>
                <c:pt idx="4">
                  <c:v>7623</c:v>
                </c:pt>
                <c:pt idx="5">
                  <c:v>3994</c:v>
                </c:pt>
                <c:pt idx="6">
                  <c:v>3928</c:v>
                </c:pt>
                <c:pt idx="7">
                  <c:v>19398</c:v>
                </c:pt>
                <c:pt idx="8">
                  <c:v>2134</c:v>
                </c:pt>
                <c:pt idx="9">
                  <c:v>3312</c:v>
                </c:pt>
                <c:pt idx="10">
                  <c:v>810</c:v>
                </c:pt>
                <c:pt idx="11">
                  <c:v>205</c:v>
                </c:pt>
                <c:pt idx="12">
                  <c:v>104</c:v>
                </c:pt>
                <c:pt idx="13">
                  <c:v>1987</c:v>
                </c:pt>
                <c:pt idx="14">
                  <c:v>970</c:v>
                </c:pt>
                <c:pt idx="15">
                  <c:v>1412</c:v>
                </c:pt>
                <c:pt idx="16">
                  <c:v>2824</c:v>
                </c:pt>
                <c:pt idx="17">
                  <c:v>1171</c:v>
                </c:pt>
                <c:pt idx="18">
                  <c:v>425</c:v>
                </c:pt>
                <c:pt idx="19">
                  <c:v>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A-4D3B-813C-9B9C23C78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454171648"/>
        <c:axId val="454174560"/>
      </c:barChart>
      <c:catAx>
        <c:axId val="45417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74560"/>
        <c:crosses val="autoZero"/>
        <c:auto val="1"/>
        <c:lblAlgn val="ctr"/>
        <c:lblOffset val="100"/>
        <c:noMultiLvlLbl val="0"/>
      </c:catAx>
      <c:valAx>
        <c:axId val="454174560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7164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1145633075776"/>
          <c:y val="0.14109502363988499"/>
          <c:w val="0.83773022085034587"/>
          <c:h val="0.782179756078614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6350">
              <a:solidFill>
                <a:schemeClr val="accent4">
                  <a:lumMod val="20000"/>
                  <a:lumOff val="80000"/>
                </a:schemeClr>
              </a:solidFill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 w="63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FE-4BA9-8364-CFF9EDF2B996}"/>
              </c:ext>
            </c:extLst>
          </c:dPt>
          <c:dPt>
            <c:idx val="1"/>
            <c:invertIfNegative val="0"/>
            <c:bubble3D val="0"/>
            <c:explosion val="6"/>
            <c:spPr>
              <a:solidFill>
                <a:schemeClr val="accent4">
                  <a:lumMod val="75000"/>
                </a:schemeClr>
              </a:solidFill>
              <a:ln w="63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FE-4BA9-8364-CFF9EDF2B996}"/>
              </c:ext>
            </c:extLst>
          </c:dPt>
          <c:dPt>
            <c:idx val="2"/>
            <c:invertIfNegative val="0"/>
            <c:bubble3D val="0"/>
            <c:explosion val="8"/>
            <c:spPr>
              <a:solidFill>
                <a:srgbClr val="FFC000"/>
              </a:solidFill>
              <a:ln w="63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9FE-4BA9-8364-CFF9EDF2B99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63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9FE-4BA9-8364-CFF9EDF2B996}"/>
              </c:ext>
            </c:extLst>
          </c:dPt>
          <c:dPt>
            <c:idx val="4"/>
            <c:invertIfNegative val="0"/>
            <c:bubble3D val="0"/>
            <c:explosion val="5"/>
            <c:spPr>
              <a:solidFill>
                <a:schemeClr val="accent4">
                  <a:lumMod val="60000"/>
                  <a:lumOff val="40000"/>
                </a:schemeClr>
              </a:solidFill>
              <a:ln w="0">
                <a:solidFill>
                  <a:schemeClr val="accent4">
                    <a:lumMod val="20000"/>
                    <a:lumOff val="80000"/>
                  </a:schemeClr>
                </a:solidFill>
                <a:miter lim="800000"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9FE-4BA9-8364-CFF9EDF2B996}"/>
              </c:ext>
            </c:extLst>
          </c:dPt>
          <c:dLbls>
            <c:dLbl>
              <c:idx val="0"/>
              <c:layout>
                <c:manualLayout>
                  <c:x val="1.8902814328625799E-3"/>
                  <c:y val="9.0615022099524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9FE-4BA9-8364-CFF9EDF2B996}"/>
                </c:ext>
              </c:extLst>
            </c:dLbl>
            <c:dLbl>
              <c:idx val="1"/>
              <c:layout>
                <c:manualLayout>
                  <c:x val="-1.8024903670199413E-3"/>
                  <c:y val="8.77812900651399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69533695193808"/>
                      <c:h val="5.18962260909496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9FE-4BA9-8364-CFF9EDF2B996}"/>
                </c:ext>
              </c:extLst>
            </c:dLbl>
            <c:dLbl>
              <c:idx val="2"/>
              <c:layout>
                <c:manualLayout>
                  <c:x val="2.4696363839166388E-3"/>
                  <c:y val="-7.19546997408115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9FE-4BA9-8364-CFF9EDF2B996}"/>
                </c:ext>
              </c:extLst>
            </c:dLbl>
            <c:dLbl>
              <c:idx val="4"/>
              <c:layout>
                <c:manualLayout>
                  <c:x val="2.3492800466955381E-3"/>
                  <c:y val="9.6114175233261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E9FE-4BA9-8364-CFF9EDF2B9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'5.12'!$A$5:$A$9</c:f>
              <c:strCache>
                <c:ptCount val="5"/>
                <c:pt idx="0">
                  <c:v>Republic</c:v>
                </c:pt>
                <c:pt idx="1">
                  <c:v>Male'</c:v>
                </c:pt>
                <c:pt idx="2">
                  <c:v>Hulhumale'</c:v>
                </c:pt>
                <c:pt idx="3">
                  <c:v>Vilimale'</c:v>
                </c:pt>
                <c:pt idx="4">
                  <c:v>Atolls</c:v>
                </c:pt>
              </c:strCache>
            </c:strRef>
          </c:cat>
          <c:val>
            <c:numRef>
              <c:f>'5.12'!$B$5:$B$9</c:f>
              <c:numCache>
                <c:formatCode>#,##0</c:formatCode>
                <c:ptCount val="5"/>
                <c:pt idx="0">
                  <c:v>114981</c:v>
                </c:pt>
                <c:pt idx="1">
                  <c:v>46619</c:v>
                </c:pt>
                <c:pt idx="2">
                  <c:v>5001</c:v>
                </c:pt>
                <c:pt idx="3">
                  <c:v>247</c:v>
                </c:pt>
                <c:pt idx="4">
                  <c:v>63114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FE-4BA9-8364-CFF9EDF2B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60623744"/>
        <c:axId val="760624992"/>
      </c:barChart>
      <c:catAx>
        <c:axId val="76062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24992"/>
        <c:crosses val="autoZero"/>
        <c:auto val="1"/>
        <c:lblAlgn val="ctr"/>
        <c:lblOffset val="100"/>
        <c:noMultiLvlLbl val="0"/>
      </c:catAx>
      <c:valAx>
        <c:axId val="760624992"/>
        <c:scaling>
          <c:orientation val="minMax"/>
          <c:max val="120000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2374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32</xdr:row>
      <xdr:rowOff>19446</xdr:rowOff>
    </xdr:from>
    <xdr:to>
      <xdr:col>5</xdr:col>
      <xdr:colOff>1289842</xdr:colOff>
      <xdr:row>47</xdr:row>
      <xdr:rowOff>57547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145255</xdr:colOff>
      <xdr:row>48</xdr:row>
      <xdr:rowOff>142874</xdr:rowOff>
    </xdr:from>
    <xdr:to>
      <xdr:col>5</xdr:col>
      <xdr:colOff>1240233</xdr:colOff>
      <xdr:row>64</xdr:row>
      <xdr:rowOff>138906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367110</xdr:colOff>
      <xdr:row>49</xdr:row>
      <xdr:rowOff>29765</xdr:rowOff>
    </xdr:from>
    <xdr:to>
      <xdr:col>4</xdr:col>
      <xdr:colOff>436562</xdr:colOff>
      <xdr:row>50</xdr:row>
      <xdr:rowOff>109140</xdr:rowOff>
    </xdr:to>
    <xdr:sp macro="" textlink="">
      <xdr:nvSpPr>
        <xdr:cNvPr id="4" name="TextBox 3"/>
        <xdr:cNvSpPr txBox="1"/>
      </xdr:nvSpPr>
      <xdr:spPr>
        <a:xfrm>
          <a:off x="1428751" y="9078515"/>
          <a:ext cx="3254374" cy="2678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5.16: Expatriate emplyment by locality, 2018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8"/>
  <sheetViews>
    <sheetView tabSelected="1" topLeftCell="A2" zoomScale="96" zoomScaleNormal="96" workbookViewId="0">
      <selection activeCell="A8" sqref="A8"/>
    </sheetView>
  </sheetViews>
  <sheetFormatPr defaultColWidth="15.85546875" defaultRowHeight="15" x14ac:dyDescent="0.25"/>
  <cols>
    <col min="1" max="1" width="27.140625" style="3" customWidth="1"/>
    <col min="2" max="5" width="17.28515625" style="3" customWidth="1"/>
    <col min="6" max="6" width="26.7109375" style="3" customWidth="1"/>
    <col min="7" max="7" width="2" style="3" customWidth="1"/>
    <col min="8" max="16384" width="15.85546875" style="3"/>
  </cols>
  <sheetData>
    <row r="1" spans="1:18" s="4" customFormat="1" ht="21.75" x14ac:dyDescent="0.25">
      <c r="A1" s="31" t="s">
        <v>54</v>
      </c>
      <c r="B1" s="31"/>
      <c r="C1" s="31"/>
      <c r="D1" s="31"/>
      <c r="E1" s="31"/>
      <c r="F1" s="31"/>
    </row>
    <row r="2" spans="1:18" s="4" customFormat="1" ht="15.75" x14ac:dyDescent="0.25">
      <c r="A2" s="32" t="s">
        <v>53</v>
      </c>
      <c r="B2" s="32"/>
      <c r="C2" s="32"/>
      <c r="D2" s="32"/>
      <c r="E2" s="32"/>
      <c r="F2" s="32"/>
    </row>
    <row r="3" spans="1:18" s="4" customFormat="1" x14ac:dyDescent="0.25"/>
    <row r="4" spans="1:18" s="4" customFormat="1" ht="17.25" customHeight="1" x14ac:dyDescent="0.25">
      <c r="A4" s="12" t="s">
        <v>6</v>
      </c>
      <c r="B4" s="10" t="s">
        <v>46</v>
      </c>
      <c r="C4" s="10" t="s">
        <v>2</v>
      </c>
      <c r="D4" s="10" t="s">
        <v>47</v>
      </c>
      <c r="E4" s="8" t="s">
        <v>48</v>
      </c>
      <c r="F4" s="10"/>
    </row>
    <row r="5" spans="1:18" s="5" customFormat="1" ht="16.5" customHeight="1" x14ac:dyDescent="0.25">
      <c r="A5" s="5" t="s">
        <v>0</v>
      </c>
      <c r="B5" s="13">
        <f>SUM(C5:D5)</f>
        <v>114981</v>
      </c>
      <c r="C5" s="13">
        <f>SUM(C6:C9)</f>
        <v>104753</v>
      </c>
      <c r="D5" s="13">
        <f>SUM(D6:D9)</f>
        <v>10228</v>
      </c>
      <c r="E5" s="14">
        <f>B5/$B$5*100</f>
        <v>100</v>
      </c>
      <c r="F5" s="15" t="s">
        <v>7</v>
      </c>
    </row>
    <row r="6" spans="1:18" s="5" customFormat="1" ht="16.5" customHeight="1" x14ac:dyDescent="0.25">
      <c r="A6" s="6" t="s">
        <v>1</v>
      </c>
      <c r="B6" s="13">
        <v>46619</v>
      </c>
      <c r="C6" s="13">
        <v>42214</v>
      </c>
      <c r="D6" s="13">
        <v>4405</v>
      </c>
      <c r="E6" s="14">
        <f>B6/$B$5*100</f>
        <v>40.544959602021201</v>
      </c>
      <c r="F6" s="15" t="s">
        <v>3</v>
      </c>
    </row>
    <row r="7" spans="1:18" s="5" customFormat="1" ht="16.5" customHeight="1" x14ac:dyDescent="0.25">
      <c r="A7" s="9" t="s">
        <v>52</v>
      </c>
      <c r="B7" s="17">
        <v>5001</v>
      </c>
      <c r="C7" s="17">
        <v>4619</v>
      </c>
      <c r="D7" s="17">
        <v>382</v>
      </c>
      <c r="E7" s="18">
        <f t="shared" ref="E7:E29" si="0">B7/$B$5*100</f>
        <v>4.3494142510501739</v>
      </c>
      <c r="F7" s="27" t="s">
        <v>55</v>
      </c>
      <c r="O7" s="28"/>
    </row>
    <row r="8" spans="1:18" s="5" customFormat="1" ht="16.5" customHeight="1" x14ac:dyDescent="0.25">
      <c r="A8" s="9" t="s">
        <v>79</v>
      </c>
      <c r="B8" s="17">
        <v>247</v>
      </c>
      <c r="C8" s="17">
        <v>228</v>
      </c>
      <c r="D8" s="17">
        <v>19</v>
      </c>
      <c r="E8" s="18">
        <f t="shared" si="0"/>
        <v>0.21481810038180221</v>
      </c>
      <c r="F8" s="27" t="s">
        <v>80</v>
      </c>
      <c r="O8" s="28"/>
      <c r="R8" s="9" t="s">
        <v>9</v>
      </c>
    </row>
    <row r="9" spans="1:18" s="5" customFormat="1" ht="16.5" customHeight="1" x14ac:dyDescent="0.25">
      <c r="A9" s="16" t="s">
        <v>5</v>
      </c>
      <c r="B9" s="13">
        <f>SUM(B10:B29)</f>
        <v>63114</v>
      </c>
      <c r="C9" s="13">
        <f t="shared" ref="C9:D9" si="1">SUM(C10:C29)</f>
        <v>57692</v>
      </c>
      <c r="D9" s="13">
        <f t="shared" si="1"/>
        <v>5422</v>
      </c>
      <c r="E9" s="14">
        <f>B9/$B$5*100</f>
        <v>54.890808046546823</v>
      </c>
      <c r="F9" s="15" t="s">
        <v>4</v>
      </c>
      <c r="O9" s="28"/>
      <c r="R9" s="23" t="s">
        <v>11</v>
      </c>
    </row>
    <row r="10" spans="1:18" s="19" customFormat="1" ht="16.5" customHeight="1" x14ac:dyDescent="0.25">
      <c r="A10" s="29" t="s">
        <v>59</v>
      </c>
      <c r="B10" s="17">
        <f t="shared" ref="B10:B16" si="2">SUM(C10:D10)</f>
        <v>1665</v>
      </c>
      <c r="C10" s="17">
        <v>1507</v>
      </c>
      <c r="D10" s="17">
        <v>158</v>
      </c>
      <c r="E10" s="18">
        <f t="shared" si="0"/>
        <v>1.4480653325332011</v>
      </c>
      <c r="F10" s="25" t="s">
        <v>8</v>
      </c>
      <c r="O10" s="28"/>
      <c r="R10" s="23" t="s">
        <v>13</v>
      </c>
    </row>
    <row r="11" spans="1:18" s="19" customFormat="1" ht="16.5" customHeight="1" x14ac:dyDescent="0.25">
      <c r="A11" s="29" t="s">
        <v>60</v>
      </c>
      <c r="B11" s="17">
        <f t="shared" si="2"/>
        <v>2095</v>
      </c>
      <c r="C11" s="17">
        <v>2007</v>
      </c>
      <c r="D11" s="17">
        <v>88</v>
      </c>
      <c r="E11" s="18">
        <f t="shared" si="0"/>
        <v>1.8220401631573913</v>
      </c>
      <c r="F11" s="25" t="s">
        <v>10</v>
      </c>
      <c r="O11" s="28"/>
      <c r="R11" s="23" t="s">
        <v>15</v>
      </c>
    </row>
    <row r="12" spans="1:18" s="20" customFormat="1" ht="16.5" customHeight="1" x14ac:dyDescent="0.25">
      <c r="A12" s="29" t="s">
        <v>61</v>
      </c>
      <c r="B12" s="17">
        <f t="shared" si="2"/>
        <v>1065</v>
      </c>
      <c r="C12" s="17">
        <v>982</v>
      </c>
      <c r="D12" s="17">
        <v>83</v>
      </c>
      <c r="E12" s="18">
        <f t="shared" si="0"/>
        <v>0.92623998747619163</v>
      </c>
      <c r="F12" s="25" t="s">
        <v>12</v>
      </c>
      <c r="O12" s="28"/>
      <c r="R12" s="23" t="s">
        <v>17</v>
      </c>
    </row>
    <row r="13" spans="1:18" s="19" customFormat="1" ht="16.5" customHeight="1" x14ac:dyDescent="0.25">
      <c r="A13" s="29" t="s">
        <v>62</v>
      </c>
      <c r="B13" s="17">
        <f t="shared" si="2"/>
        <v>3533</v>
      </c>
      <c r="C13" s="17">
        <v>3205</v>
      </c>
      <c r="D13" s="17">
        <v>328</v>
      </c>
      <c r="E13" s="18">
        <f t="shared" si="0"/>
        <v>3.0726815734773574</v>
      </c>
      <c r="F13" s="25" t="s">
        <v>14</v>
      </c>
      <c r="O13" s="28"/>
      <c r="R13" s="23" t="s">
        <v>19</v>
      </c>
    </row>
    <row r="14" spans="1:18" s="19" customFormat="1" ht="16.5" customHeight="1" x14ac:dyDescent="0.25">
      <c r="A14" s="29" t="s">
        <v>63</v>
      </c>
      <c r="B14" s="17">
        <f t="shared" si="2"/>
        <v>7623</v>
      </c>
      <c r="C14" s="17">
        <v>7329</v>
      </c>
      <c r="D14" s="17">
        <v>294</v>
      </c>
      <c r="E14" s="18">
        <f t="shared" si="0"/>
        <v>6.6297910089493053</v>
      </c>
      <c r="F14" s="25" t="s">
        <v>16</v>
      </c>
      <c r="O14" s="28"/>
      <c r="R14" s="23" t="s">
        <v>21</v>
      </c>
    </row>
    <row r="15" spans="1:18" s="19" customFormat="1" ht="16.5" customHeight="1" x14ac:dyDescent="0.25">
      <c r="A15" s="29" t="s">
        <v>64</v>
      </c>
      <c r="B15" s="17">
        <f t="shared" si="2"/>
        <v>3994</v>
      </c>
      <c r="C15" s="17">
        <v>3402</v>
      </c>
      <c r="D15" s="17">
        <v>592</v>
      </c>
      <c r="E15" s="18">
        <f t="shared" si="0"/>
        <v>3.4736173802628256</v>
      </c>
      <c r="F15" s="25" t="s">
        <v>18</v>
      </c>
      <c r="O15" s="28"/>
      <c r="R15" s="23" t="s">
        <v>23</v>
      </c>
    </row>
    <row r="16" spans="1:18" s="19" customFormat="1" ht="16.5" customHeight="1" x14ac:dyDescent="0.25">
      <c r="A16" s="29" t="s">
        <v>65</v>
      </c>
      <c r="B16" s="17">
        <f t="shared" si="2"/>
        <v>3928</v>
      </c>
      <c r="C16" s="17">
        <v>3344</v>
      </c>
      <c r="D16" s="17">
        <v>584</v>
      </c>
      <c r="E16" s="18">
        <f t="shared" si="0"/>
        <v>3.4162165923065548</v>
      </c>
      <c r="F16" s="25" t="s">
        <v>20</v>
      </c>
      <c r="O16" s="28"/>
      <c r="R16" s="23" t="s">
        <v>25</v>
      </c>
    </row>
    <row r="17" spans="1:18" s="19" customFormat="1" ht="16.5" customHeight="1" x14ac:dyDescent="0.25">
      <c r="A17" s="29" t="s">
        <v>66</v>
      </c>
      <c r="B17" s="17">
        <v>19398</v>
      </c>
      <c r="C17" s="17">
        <v>18004</v>
      </c>
      <c r="D17" s="17">
        <v>1394</v>
      </c>
      <c r="E17" s="18">
        <f t="shared" si="0"/>
        <v>16.870613405693113</v>
      </c>
      <c r="F17" s="25" t="s">
        <v>22</v>
      </c>
      <c r="O17" s="28"/>
      <c r="R17" s="23" t="s">
        <v>27</v>
      </c>
    </row>
    <row r="18" spans="1:18" s="19" customFormat="1" ht="16.5" customHeight="1" x14ac:dyDescent="0.25">
      <c r="A18" s="29" t="s">
        <v>67</v>
      </c>
      <c r="B18" s="17">
        <f t="shared" ref="B18:B25" si="3">SUM(C18:D18)</f>
        <v>2134</v>
      </c>
      <c r="C18" s="17">
        <v>1801</v>
      </c>
      <c r="D18" s="17">
        <v>333</v>
      </c>
      <c r="E18" s="18">
        <f t="shared" si="0"/>
        <v>1.8559588105860967</v>
      </c>
      <c r="F18" s="25" t="s">
        <v>24</v>
      </c>
      <c r="O18" s="28"/>
      <c r="R18" s="23" t="s">
        <v>29</v>
      </c>
    </row>
    <row r="19" spans="1:18" s="19" customFormat="1" ht="16.5" customHeight="1" x14ac:dyDescent="0.25">
      <c r="A19" s="29" t="s">
        <v>68</v>
      </c>
      <c r="B19" s="17">
        <f t="shared" si="3"/>
        <v>3312</v>
      </c>
      <c r="C19" s="17">
        <v>2965</v>
      </c>
      <c r="D19" s="17">
        <v>347</v>
      </c>
      <c r="E19" s="18">
        <f t="shared" si="0"/>
        <v>2.8804759047146922</v>
      </c>
      <c r="F19" s="25" t="s">
        <v>26</v>
      </c>
      <c r="O19" s="28"/>
      <c r="R19" s="23" t="s">
        <v>31</v>
      </c>
    </row>
    <row r="20" spans="1:18" s="19" customFormat="1" ht="16.5" customHeight="1" x14ac:dyDescent="0.25">
      <c r="A20" s="29" t="s">
        <v>69</v>
      </c>
      <c r="B20" s="17">
        <f t="shared" si="3"/>
        <v>810</v>
      </c>
      <c r="C20" s="17">
        <v>720</v>
      </c>
      <c r="D20" s="17">
        <v>90</v>
      </c>
      <c r="E20" s="18">
        <f t="shared" si="0"/>
        <v>0.70446421582696273</v>
      </c>
      <c r="F20" s="25" t="s">
        <v>28</v>
      </c>
      <c r="O20" s="28"/>
      <c r="R20" s="23" t="s">
        <v>33</v>
      </c>
    </row>
    <row r="21" spans="1:18" s="19" customFormat="1" ht="16.5" customHeight="1" x14ac:dyDescent="0.25">
      <c r="A21" s="29" t="s">
        <v>70</v>
      </c>
      <c r="B21" s="17">
        <f t="shared" si="3"/>
        <v>205</v>
      </c>
      <c r="C21" s="17">
        <v>179</v>
      </c>
      <c r="D21" s="17">
        <v>26</v>
      </c>
      <c r="E21" s="18">
        <f t="shared" si="0"/>
        <v>0.17829032622781155</v>
      </c>
      <c r="F21" s="25" t="s">
        <v>30</v>
      </c>
      <c r="O21" s="28"/>
      <c r="R21" s="23" t="s">
        <v>50</v>
      </c>
    </row>
    <row r="22" spans="1:18" s="19" customFormat="1" ht="16.5" customHeight="1" x14ac:dyDescent="0.25">
      <c r="A22" s="29" t="s">
        <v>71</v>
      </c>
      <c r="B22" s="17">
        <f t="shared" si="3"/>
        <v>104</v>
      </c>
      <c r="C22" s="17">
        <v>90</v>
      </c>
      <c r="D22" s="17">
        <v>14</v>
      </c>
      <c r="E22" s="18">
        <f t="shared" si="0"/>
        <v>9.0449726476548295E-2</v>
      </c>
      <c r="F22" s="25" t="s">
        <v>32</v>
      </c>
      <c r="O22" s="28"/>
      <c r="R22" s="23" t="s">
        <v>51</v>
      </c>
    </row>
    <row r="23" spans="1:18" s="19" customFormat="1" ht="16.5" customHeight="1" x14ac:dyDescent="0.25">
      <c r="A23" s="29" t="s">
        <v>72</v>
      </c>
      <c r="B23" s="17">
        <f t="shared" si="3"/>
        <v>1987</v>
      </c>
      <c r="C23" s="17">
        <v>1748</v>
      </c>
      <c r="D23" s="17">
        <v>239</v>
      </c>
      <c r="E23" s="18">
        <f t="shared" si="0"/>
        <v>1.7281116010471296</v>
      </c>
      <c r="F23" s="25" t="s">
        <v>34</v>
      </c>
      <c r="O23" s="28"/>
      <c r="R23" s="23" t="s">
        <v>37</v>
      </c>
    </row>
    <row r="24" spans="1:18" s="19" customFormat="1" ht="16.5" customHeight="1" x14ac:dyDescent="0.25">
      <c r="A24" s="29" t="s">
        <v>73</v>
      </c>
      <c r="B24" s="17">
        <f t="shared" si="3"/>
        <v>970</v>
      </c>
      <c r="C24" s="17">
        <v>896</v>
      </c>
      <c r="D24" s="17">
        <v>74</v>
      </c>
      <c r="E24" s="18">
        <f t="shared" si="0"/>
        <v>0.84361764117549864</v>
      </c>
      <c r="F24" s="25" t="s">
        <v>35</v>
      </c>
      <c r="O24" s="28"/>
      <c r="R24" s="23" t="s">
        <v>39</v>
      </c>
    </row>
    <row r="25" spans="1:18" s="5" customFormat="1" ht="16.5" customHeight="1" x14ac:dyDescent="0.25">
      <c r="A25" s="29" t="s">
        <v>74</v>
      </c>
      <c r="B25" s="17">
        <f t="shared" si="3"/>
        <v>1412</v>
      </c>
      <c r="C25" s="17">
        <v>1168</v>
      </c>
      <c r="D25" s="17">
        <v>244</v>
      </c>
      <c r="E25" s="18">
        <f t="shared" si="0"/>
        <v>1.2280289787008287</v>
      </c>
      <c r="F25" s="25" t="s">
        <v>36</v>
      </c>
      <c r="O25" s="28"/>
      <c r="R25" s="23" t="s">
        <v>41</v>
      </c>
    </row>
    <row r="26" spans="1:18" s="19" customFormat="1" ht="16.5" customHeight="1" x14ac:dyDescent="0.25">
      <c r="A26" s="29" t="s">
        <v>75</v>
      </c>
      <c r="B26" s="17">
        <f t="shared" ref="B26:B29" si="4">SUM(C26:D26)</f>
        <v>2824</v>
      </c>
      <c r="C26" s="17">
        <v>2671</v>
      </c>
      <c r="D26" s="17">
        <v>153</v>
      </c>
      <c r="E26" s="18">
        <f t="shared" si="0"/>
        <v>2.4560579574016574</v>
      </c>
      <c r="F26" s="25" t="s">
        <v>38</v>
      </c>
      <c r="O26" s="28"/>
      <c r="R26" s="23" t="s">
        <v>43</v>
      </c>
    </row>
    <row r="27" spans="1:18" s="19" customFormat="1" ht="16.5" customHeight="1" x14ac:dyDescent="0.25">
      <c r="A27" s="29" t="s">
        <v>76</v>
      </c>
      <c r="B27" s="17">
        <f t="shared" si="4"/>
        <v>1171</v>
      </c>
      <c r="C27" s="17">
        <v>998</v>
      </c>
      <c r="D27" s="17">
        <v>173</v>
      </c>
      <c r="E27" s="18">
        <f t="shared" si="0"/>
        <v>1.0184291317695966</v>
      </c>
      <c r="F27" s="25" t="s">
        <v>40</v>
      </c>
      <c r="O27" s="28"/>
      <c r="R27" s="24" t="s">
        <v>45</v>
      </c>
    </row>
    <row r="28" spans="1:18" s="19" customFormat="1" ht="16.5" customHeight="1" x14ac:dyDescent="0.25">
      <c r="A28" s="29" t="s">
        <v>77</v>
      </c>
      <c r="B28" s="17">
        <f t="shared" si="4"/>
        <v>425</v>
      </c>
      <c r="C28" s="17">
        <v>388</v>
      </c>
      <c r="D28" s="17">
        <v>37</v>
      </c>
      <c r="E28" s="18">
        <f t="shared" si="0"/>
        <v>0.36962628608204834</v>
      </c>
      <c r="F28" s="25" t="s">
        <v>42</v>
      </c>
      <c r="O28" s="28"/>
    </row>
    <row r="29" spans="1:18" s="19" customFormat="1" ht="16.5" customHeight="1" x14ac:dyDescent="0.25">
      <c r="A29" s="30" t="s">
        <v>78</v>
      </c>
      <c r="B29" s="21">
        <f t="shared" si="4"/>
        <v>4459</v>
      </c>
      <c r="C29" s="21">
        <v>4288</v>
      </c>
      <c r="D29" s="21">
        <v>171</v>
      </c>
      <c r="E29" s="22">
        <f t="shared" si="0"/>
        <v>3.8780320226820084</v>
      </c>
      <c r="F29" s="26" t="s">
        <v>44</v>
      </c>
      <c r="O29" s="28"/>
    </row>
    <row r="30" spans="1:18" s="4" customFormat="1" ht="17.25" x14ac:dyDescent="0.25">
      <c r="A30" s="7" t="s">
        <v>58</v>
      </c>
      <c r="B30" s="1"/>
      <c r="C30" s="1"/>
      <c r="D30" s="1"/>
      <c r="E30" s="1"/>
      <c r="F30" s="2" t="s">
        <v>57</v>
      </c>
      <c r="O30" s="28"/>
    </row>
    <row r="31" spans="1:18" s="4" customFormat="1" ht="17.25" x14ac:dyDescent="0.25">
      <c r="A31" s="7" t="s">
        <v>49</v>
      </c>
      <c r="F31" s="2" t="s">
        <v>56</v>
      </c>
    </row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11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11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11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11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11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11" customFormat="1" x14ac:dyDescent="0.25"/>
    <row r="138" s="4" customFormat="1" x14ac:dyDescent="0.25"/>
    <row r="139" s="11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11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11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11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11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11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11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11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11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11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11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11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</sheetData>
  <mergeCells count="2">
    <mergeCell ref="A1:F1"/>
    <mergeCell ref="A2:F2"/>
  </mergeCells>
  <pageMargins left="0.7" right="0.7" top="0.75" bottom="0.75" header="0.3" footer="0.3"/>
  <pageSetup paperSize="9" scale="7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5.12</vt:lpstr>
      <vt:lpstr>'5.12'!Print_Area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2019-08-05T05:18:00Z</cp:lastPrinted>
  <dcterms:created xsi:type="dcterms:W3CDTF">2019-06-03T04:17:39Z</dcterms:created>
  <dcterms:modified xsi:type="dcterms:W3CDTF">2019-08-05T05:20:46Z</dcterms:modified>
</cp:coreProperties>
</file>