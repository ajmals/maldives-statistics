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7. EDUCATION\"/>
    </mc:Choice>
  </mc:AlternateContent>
  <bookViews>
    <workbookView xWindow="0" yWindow="0" windowWidth="28800" windowHeight="12330"/>
  </bookViews>
  <sheets>
    <sheet name="7.7" sheetId="7" r:id="rId1"/>
  </sheets>
  <externalReferences>
    <externalReference r:id="rId2"/>
  </externalReferences>
  <definedNames>
    <definedName name="_xlnm.Print_Area" localSheetId="0">'7.7'!$A$1:$Q$48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9" i="7" l="1"/>
  <c r="N18" i="7"/>
  <c r="N14" i="7"/>
  <c r="N22" i="7"/>
  <c r="N21" i="7"/>
  <c r="N20" i="7"/>
  <c r="N17" i="7"/>
  <c r="N16" i="7"/>
  <c r="N15" i="7"/>
  <c r="N9" i="7"/>
  <c r="J22" i="7"/>
  <c r="J21" i="7"/>
  <c r="J20" i="7"/>
  <c r="J19" i="7"/>
  <c r="J15" i="7"/>
  <c r="J16" i="7"/>
  <c r="J17" i="7"/>
  <c r="J14" i="7"/>
  <c r="C22" i="7"/>
  <c r="C21" i="7"/>
  <c r="C20" i="7"/>
  <c r="C19" i="7"/>
  <c r="C15" i="7"/>
  <c r="C16" i="7"/>
  <c r="C17" i="7"/>
  <c r="C14" i="7"/>
  <c r="D18" i="7"/>
  <c r="D13" i="7"/>
  <c r="H22" i="7" l="1"/>
  <c r="G22" i="7"/>
  <c r="H21" i="7"/>
  <c r="G21" i="7"/>
  <c r="H20" i="7"/>
  <c r="G20" i="7"/>
  <c r="H19" i="7"/>
  <c r="G19" i="7"/>
  <c r="L18" i="7"/>
  <c r="K18" i="7"/>
  <c r="E18" i="7"/>
  <c r="C18" i="7" s="1"/>
  <c r="B18" i="7"/>
  <c r="H18" i="7" s="1"/>
  <c r="H17" i="7"/>
  <c r="G17" i="7"/>
  <c r="H16" i="7"/>
  <c r="G16" i="7"/>
  <c r="H15" i="7"/>
  <c r="G15" i="7"/>
  <c r="H14" i="7"/>
  <c r="G14" i="7"/>
  <c r="L13" i="7"/>
  <c r="K13" i="7"/>
  <c r="E13" i="7"/>
  <c r="C13" i="7" s="1"/>
  <c r="B13" i="7"/>
  <c r="B8" i="7" s="1"/>
  <c r="L12" i="7"/>
  <c r="K12" i="7"/>
  <c r="E12" i="7"/>
  <c r="D12" i="7"/>
  <c r="B12" i="7"/>
  <c r="L11" i="7"/>
  <c r="K11" i="7"/>
  <c r="E11" i="7"/>
  <c r="C11" i="7" s="1"/>
  <c r="G11" i="7" s="1"/>
  <c r="D11" i="7"/>
  <c r="H11" i="7" s="1"/>
  <c r="B11" i="7"/>
  <c r="L10" i="7"/>
  <c r="K10" i="7"/>
  <c r="E10" i="7"/>
  <c r="D10" i="7"/>
  <c r="B10" i="7"/>
  <c r="L9" i="7"/>
  <c r="K9" i="7"/>
  <c r="E9" i="7"/>
  <c r="D9" i="7"/>
  <c r="B9" i="7"/>
  <c r="J13" i="7" l="1"/>
  <c r="N13" i="7" s="1"/>
  <c r="J12" i="7"/>
  <c r="N12" i="7" s="1"/>
  <c r="J11" i="7"/>
  <c r="N11" i="7" s="1"/>
  <c r="J10" i="7"/>
  <c r="L8" i="7"/>
  <c r="J18" i="7"/>
  <c r="J9" i="7"/>
  <c r="C12" i="7"/>
  <c r="G12" i="7" s="1"/>
  <c r="E8" i="7"/>
  <c r="C10" i="7"/>
  <c r="C9" i="7"/>
  <c r="H9" i="7"/>
  <c r="H10" i="7"/>
  <c r="D8" i="7"/>
  <c r="N10" i="7"/>
  <c r="G9" i="7"/>
  <c r="G13" i="7"/>
  <c r="H13" i="7"/>
  <c r="K8" i="7"/>
  <c r="G10" i="7"/>
  <c r="G18" i="7"/>
  <c r="H12" i="7"/>
  <c r="J8" i="7" l="1"/>
  <c r="N8" i="7" s="1"/>
  <c r="C8" i="7"/>
  <c r="G8" i="7" s="1"/>
  <c r="H8" i="7"/>
</calcChain>
</file>

<file path=xl/sharedStrings.xml><?xml version="1.0" encoding="utf-8"?>
<sst xmlns="http://schemas.openxmlformats.org/spreadsheetml/2006/main" count="70" uniqueCount="48">
  <si>
    <t>wlcmuj</t>
  </si>
  <si>
    <t>Total</t>
  </si>
  <si>
    <t>Republic</t>
  </si>
  <si>
    <t>ejcaWriLum</t>
  </si>
  <si>
    <t>Male'</t>
  </si>
  <si>
    <t>elWm</t>
  </si>
  <si>
    <t>Atolls</t>
  </si>
  <si>
    <t>cawtuLotwa</t>
  </si>
  <si>
    <t>Source: Ministry of Education</t>
  </si>
  <si>
    <t>cnwxEkuaiDea cfoa IrcTcsinim :ctWrwf ivcaed utWmUluAwm</t>
  </si>
  <si>
    <t>Level</t>
  </si>
  <si>
    <t>cniawtcawscnia</t>
  </si>
  <si>
    <t>Pre - Primary</t>
  </si>
  <si>
    <t>Primary ( 1 - 7)</t>
  </si>
  <si>
    <t>Lower Secondary ( 8 - 10)</t>
  </si>
  <si>
    <t>Higher Secondary ( 11 - 12)</t>
  </si>
  <si>
    <t>clUkcsIrcp</t>
  </si>
  <si>
    <t xml:space="preserve">  cnidukWvwyik cnutwbcsin egcnusircawdum</t>
  </si>
  <si>
    <t>Teachers</t>
  </si>
  <si>
    <t>iawfivedcnIrcmwt</t>
  </si>
  <si>
    <t>Trained</t>
  </si>
  <si>
    <t xml:space="preserve">No. of teachers </t>
  </si>
  <si>
    <t>udwdwa egcnusircawdum EdWvwyik</t>
  </si>
  <si>
    <t>cnIsEdib</t>
  </si>
  <si>
    <t xml:space="preserve"> cnIrcmwt</t>
  </si>
  <si>
    <t>Student Teacher Ratio</t>
  </si>
  <si>
    <t>cnusircawdum</t>
  </si>
  <si>
    <t>udwdwa egcnidukWvwyik</t>
  </si>
  <si>
    <t>Wviawfibil</t>
  </si>
  <si>
    <t>Wvuniawfibil</t>
  </si>
  <si>
    <t>cnihevid</t>
  </si>
  <si>
    <t>% of</t>
  </si>
  <si>
    <t xml:space="preserve">cnwt </t>
  </si>
  <si>
    <r>
      <t>No. of students</t>
    </r>
    <r>
      <rPr>
        <b/>
        <vertAlign val="superscript"/>
        <sz val="10"/>
        <rFont val="Calibri"/>
        <family val="2"/>
        <scheme val="minor"/>
      </rPr>
      <t>1_/</t>
    </r>
  </si>
  <si>
    <t>Untrained</t>
  </si>
  <si>
    <t>Local</t>
  </si>
  <si>
    <t>Expatriate</t>
  </si>
  <si>
    <t>expatriate</t>
  </si>
  <si>
    <t xml:space="preserve">           (7 - 1 ) umIluAwt WSwf                      </t>
  </si>
  <si>
    <t xml:space="preserve">        (10 - 8 g) umIluAwt IvwnWX                  </t>
  </si>
  <si>
    <t xml:space="preserve">    (12 - 11 )  umIluAwt IvwnWXItwm                  </t>
  </si>
  <si>
    <t xml:space="preserve">     (12 - 11 )  umIluAwt IvwnWXItwm                  </t>
  </si>
  <si>
    <t>Note :  1. Teachers does not include supervisors, assistant headmasters, headmasters, assistant principals and principals who may teach in addition to their administrative duties.</t>
  </si>
  <si>
    <t xml:space="preserve">            2. Teacherswho teach different levels have been enumerated in the level the teacher takes most periods.</t>
  </si>
  <si>
    <t xml:space="preserve">            3. Trained : Have MAB ( Maldives Accreditation Board ) accredited advanced certificate or higher teaching qualification.</t>
  </si>
  <si>
    <r>
      <t xml:space="preserve">            4. </t>
    </r>
    <r>
      <rPr>
        <i/>
        <vertAlign val="superscript"/>
        <sz val="9"/>
        <rFont val="Calibri"/>
        <family val="2"/>
        <scheme val="minor"/>
      </rPr>
      <t>1_/:</t>
    </r>
    <r>
      <rPr>
        <i/>
        <sz val="9"/>
        <rFont val="Calibri"/>
        <family val="2"/>
        <scheme val="minor"/>
      </rPr>
      <t xml:space="preserve"> Total number of students in this table does not include children with special needs</t>
    </r>
  </si>
  <si>
    <t>Table 7.7 : STUDENTS AND TEACHERS SERVING AT DIFFERENT LEVELS IN MALE' AND ATOLLS, 2018</t>
  </si>
  <si>
    <t>2018 ,udwdwa egcnusircawdum EdWvwyik ,iaWncnidukWvwyik iawgukwtitcnwfikea egukwtuLotwa iaWaelWm :7.7 clwvWt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</si>
</sst>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#,##0;[Red]#,##0"/>
    <numFmt numFmtId="167" formatCode="_(* #,##0_);_(* \(#,##0\);_(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_Waheed"/>
    </font>
    <font>
      <sz val="10"/>
      <name val="Courier"/>
      <family val="3"/>
    </font>
    <font>
      <b/>
      <sz val="9"/>
      <name val="Arial"/>
      <family val="2"/>
    </font>
    <font>
      <b/>
      <sz val="10"/>
      <name val="A_Randhoo"/>
    </font>
    <font>
      <sz val="10"/>
      <name val="Calibri"/>
      <family val="2"/>
      <scheme val="minor"/>
    </font>
    <font>
      <sz val="9"/>
      <name val="Arial"/>
      <family val="2"/>
    </font>
    <font>
      <b/>
      <sz val="9"/>
      <name val="Calibri"/>
      <family val="2"/>
      <scheme val="minor"/>
    </font>
    <font>
      <b/>
      <sz val="9"/>
      <name val="A_Waheed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A_Randhoo"/>
    </font>
    <font>
      <b/>
      <sz val="9"/>
      <name val="A_Randhoo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A_Waheed"/>
    </font>
    <font>
      <b/>
      <sz val="10"/>
      <color rgb="FFFF0000"/>
      <name val="Arial"/>
      <family val="2"/>
    </font>
    <font>
      <sz val="10"/>
      <name val="A_Utheem"/>
    </font>
    <font>
      <sz val="10"/>
      <name val="A_Waheed"/>
    </font>
    <font>
      <b/>
      <vertAlign val="superscript"/>
      <sz val="10"/>
      <name val="Calibri"/>
      <family val="2"/>
      <scheme val="minor"/>
    </font>
    <font>
      <b/>
      <sz val="10"/>
      <name val="A_Utheem"/>
    </font>
    <font>
      <sz val="9"/>
      <name val="A_Utheem"/>
    </font>
    <font>
      <i/>
      <vertAlign val="superscript"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7" fillId="0" borderId="0"/>
    <xf numFmtId="9" fontId="1" fillId="0" borderId="0" applyFont="0" applyFill="0" applyBorder="0" applyAlignment="0" applyProtection="0"/>
    <xf numFmtId="167" fontId="7" fillId="0" borderId="0"/>
    <xf numFmtId="0" fontId="2" fillId="0" borderId="0"/>
    <xf numFmtId="0" fontId="2" fillId="0" borderId="0"/>
  </cellStyleXfs>
  <cellXfs count="81">
    <xf numFmtId="0" fontId="0" fillId="0" borderId="0" xfId="0"/>
    <xf numFmtId="164" fontId="9" fillId="2" borderId="0" xfId="0" applyNumberFormat="1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 applyProtection="1">
      <alignment horizontal="right" vertical="center"/>
    </xf>
    <xf numFmtId="164" fontId="5" fillId="2" borderId="1" xfId="0" applyNumberFormat="1" applyFont="1" applyFill="1" applyBorder="1" applyAlignment="1" applyProtection="1">
      <alignment horizontal="right" vertical="center" wrapText="1"/>
    </xf>
    <xf numFmtId="164" fontId="15" fillId="2" borderId="0" xfId="0" applyNumberFormat="1" applyFont="1" applyFill="1" applyAlignment="1" applyProtection="1">
      <alignment horizontal="left" vertical="center"/>
    </xf>
    <xf numFmtId="164" fontId="5" fillId="2" borderId="0" xfId="0" applyNumberFormat="1" applyFont="1" applyFill="1" applyBorder="1" applyAlignment="1" applyProtection="1">
      <alignment horizontal="right" vertical="center" wrapText="1"/>
    </xf>
    <xf numFmtId="164" fontId="0" fillId="2" borderId="0" xfId="0" applyNumberFormat="1" applyFill="1"/>
    <xf numFmtId="164" fontId="17" fillId="2" borderId="0" xfId="0" applyNumberFormat="1" applyFont="1" applyFill="1" applyBorder="1" applyAlignment="1">
      <alignment horizontal="right" vertical="center"/>
    </xf>
    <xf numFmtId="164" fontId="14" fillId="2" borderId="0" xfId="0" applyNumberFormat="1" applyFont="1" applyFill="1" applyAlignment="1">
      <alignment horizontal="left"/>
    </xf>
    <xf numFmtId="164" fontId="14" fillId="2" borderId="1" xfId="0" applyNumberFormat="1" applyFont="1" applyFill="1" applyBorder="1" applyAlignment="1">
      <alignment horizontal="left"/>
    </xf>
    <xf numFmtId="164" fontId="0" fillId="2" borderId="0" xfId="0" applyNumberFormat="1" applyFill="1" applyBorder="1"/>
    <xf numFmtId="164" fontId="6" fillId="2" borderId="0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Border="1" applyAlignment="1" applyProtection="1">
      <alignment horizontal="right" vertical="center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0" xfId="0" applyNumberFormat="1" applyFont="1" applyFill="1" applyBorder="1" applyAlignment="1">
      <alignment horizontal="left" vertical="center"/>
    </xf>
    <xf numFmtId="164" fontId="2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164" fontId="9" fillId="2" borderId="0" xfId="0" applyNumberFormat="1" applyFont="1" applyFill="1" applyBorder="1" applyAlignment="1">
      <alignment horizontal="center" vertical="center"/>
    </xf>
    <xf numFmtId="164" fontId="6" fillId="2" borderId="0" xfId="0" applyNumberFormat="1" applyFont="1" applyFill="1" applyBorder="1" applyAlignment="1">
      <alignment horizontal="center" vertical="center"/>
    </xf>
    <xf numFmtId="164" fontId="23" fillId="2" borderId="0" xfId="0" applyNumberFormat="1" applyFont="1" applyFill="1" applyAlignment="1">
      <alignment horizontal="center" vertical="center"/>
    </xf>
    <xf numFmtId="164" fontId="24" fillId="2" borderId="0" xfId="0" applyNumberFormat="1" applyFont="1" applyFill="1" applyAlignment="1">
      <alignment horizontal="center" vertical="center"/>
    </xf>
    <xf numFmtId="164" fontId="6" fillId="2" borderId="2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4" fontId="13" fillId="2" borderId="0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0" xfId="0" applyNumberFormat="1" applyFont="1" applyFill="1" applyBorder="1" applyAlignment="1">
      <alignment horizontal="right" vertical="center"/>
    </xf>
    <xf numFmtId="164" fontId="23" fillId="2" borderId="0" xfId="0" applyNumberFormat="1" applyFont="1" applyFill="1" applyBorder="1" applyAlignment="1">
      <alignment horizontal="center" vertical="center"/>
    </xf>
    <xf numFmtId="0" fontId="6" fillId="2" borderId="2" xfId="0" applyNumberFormat="1" applyFont="1" applyFill="1" applyBorder="1" applyAlignment="1" applyProtection="1">
      <alignment horizontal="right" vertical="center"/>
    </xf>
    <xf numFmtId="164" fontId="2" fillId="2" borderId="1" xfId="0" applyNumberFormat="1" applyFont="1" applyFill="1" applyBorder="1" applyAlignment="1">
      <alignment horizontal="left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2" fillId="2" borderId="0" xfId="0" applyNumberFormat="1" applyFont="1" applyFill="1" applyAlignment="1">
      <alignment horizontal="left" vertical="center"/>
    </xf>
    <xf numFmtId="165" fontId="5" fillId="2" borderId="0" xfId="0" applyNumberFormat="1" applyFont="1" applyFill="1" applyAlignment="1">
      <alignment horizontal="right" vertical="center"/>
    </xf>
    <xf numFmtId="165" fontId="19" fillId="2" borderId="0" xfId="0" applyNumberFormat="1" applyFont="1" applyFill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165" fontId="12" fillId="2" borderId="0" xfId="0" applyNumberFormat="1" applyFont="1" applyFill="1" applyAlignment="1">
      <alignment horizontal="right" vertical="center"/>
    </xf>
    <xf numFmtId="164" fontId="6" fillId="2" borderId="0" xfId="0" applyNumberFormat="1" applyFont="1" applyFill="1" applyAlignment="1">
      <alignment horizontal="right" vertical="center"/>
    </xf>
    <xf numFmtId="164" fontId="26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4" fontId="14" fillId="2" borderId="0" xfId="0" applyNumberFormat="1" applyFont="1" applyFill="1" applyAlignment="1">
      <alignment horizontal="left" vertical="center"/>
    </xf>
    <xf numFmtId="165" fontId="10" fillId="2" borderId="0" xfId="0" applyNumberFormat="1" applyFont="1" applyFill="1" applyAlignment="1">
      <alignment horizontal="right" vertical="center"/>
    </xf>
    <xf numFmtId="165" fontId="20" fillId="2" borderId="0" xfId="0" applyNumberFormat="1" applyFont="1" applyFill="1" applyAlignment="1">
      <alignment horizontal="right" vertical="center"/>
    </xf>
    <xf numFmtId="165" fontId="14" fillId="2" borderId="0" xfId="0" applyNumberFormat="1" applyFont="1" applyFill="1" applyAlignment="1">
      <alignment horizontal="right" vertical="center"/>
    </xf>
    <xf numFmtId="164" fontId="24" fillId="2" borderId="0" xfId="0" applyNumberFormat="1" applyFont="1" applyFill="1" applyAlignment="1">
      <alignment horizontal="left" vertical="center" indent="12"/>
    </xf>
    <xf numFmtId="9" fontId="23" fillId="2" borderId="0" xfId="2" applyFont="1" applyFill="1" applyAlignment="1">
      <alignment horizontal="center" vertical="center"/>
    </xf>
    <xf numFmtId="9" fontId="23" fillId="2" borderId="0" xfId="2" applyFont="1" applyFill="1" applyBorder="1" applyAlignment="1">
      <alignment horizontal="center" vertical="center"/>
    </xf>
    <xf numFmtId="164" fontId="21" fillId="2" borderId="0" xfId="0" applyNumberFormat="1" applyFont="1" applyFill="1" applyBorder="1" applyAlignment="1">
      <alignment horizontal="left" vertical="center"/>
    </xf>
    <xf numFmtId="165" fontId="10" fillId="2" borderId="0" xfId="0" applyNumberFormat="1" applyFont="1" applyFill="1" applyBorder="1" applyAlignment="1">
      <alignment horizontal="right" vertical="center"/>
    </xf>
    <xf numFmtId="165" fontId="10" fillId="2" borderId="0" xfId="0" applyNumberFormat="1" applyFont="1" applyFill="1" applyBorder="1"/>
    <xf numFmtId="164" fontId="21" fillId="2" borderId="0" xfId="0" applyNumberFormat="1" applyFont="1" applyFill="1" applyBorder="1" applyAlignment="1">
      <alignment horizontal="left"/>
    </xf>
    <xf numFmtId="165" fontId="14" fillId="2" borderId="0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Border="1" applyAlignment="1">
      <alignment horizontal="center" vertical="center"/>
    </xf>
    <xf numFmtId="3" fontId="20" fillId="2" borderId="0" xfId="0" applyNumberFormat="1" applyFont="1" applyFill="1" applyBorder="1"/>
    <xf numFmtId="3" fontId="10" fillId="2" borderId="0" xfId="0" applyNumberFormat="1" applyFont="1" applyFill="1" applyBorder="1" applyAlignment="1">
      <alignment horizontal="right"/>
    </xf>
    <xf numFmtId="164" fontId="14" fillId="2" borderId="0" xfId="0" applyNumberFormat="1" applyFont="1" applyFill="1" applyBorder="1" applyAlignment="1">
      <alignment horizontal="left"/>
    </xf>
    <xf numFmtId="3" fontId="10" fillId="2" borderId="0" xfId="0" applyNumberFormat="1" applyFont="1" applyFill="1" applyBorder="1"/>
    <xf numFmtId="164" fontId="4" fillId="2" borderId="0" xfId="0" applyNumberFormat="1" applyFont="1" applyFill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20" fillId="2" borderId="1" xfId="0" applyNumberFormat="1" applyFont="1" applyFill="1" applyBorder="1" applyAlignment="1">
      <alignment horizontal="right" vertical="center"/>
    </xf>
    <xf numFmtId="3" fontId="20" fillId="2" borderId="1" xfId="0" applyNumberFormat="1" applyFont="1" applyFill="1" applyBorder="1"/>
    <xf numFmtId="3" fontId="10" fillId="2" borderId="1" xfId="0" applyNumberFormat="1" applyFont="1" applyFill="1" applyBorder="1"/>
    <xf numFmtId="165" fontId="14" fillId="2" borderId="1" xfId="0" applyNumberFormat="1" applyFont="1" applyFill="1" applyBorder="1" applyAlignment="1">
      <alignment horizontal="right" vertical="center"/>
    </xf>
    <xf numFmtId="164" fontId="21" fillId="2" borderId="1" xfId="0" applyNumberFormat="1" applyFont="1" applyFill="1" applyBorder="1" applyAlignment="1">
      <alignment horizontal="left"/>
    </xf>
    <xf numFmtId="164" fontId="11" fillId="2" borderId="0" xfId="0" applyNumberFormat="1" applyFont="1" applyFill="1" applyBorder="1" applyAlignment="1">
      <alignment horizontal="left" vertical="center"/>
    </xf>
    <xf numFmtId="165" fontId="2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center"/>
    </xf>
    <xf numFmtId="3" fontId="18" fillId="2" borderId="0" xfId="0" applyNumberFormat="1" applyFont="1" applyFill="1" applyBorder="1" applyAlignment="1" applyProtection="1">
      <alignment horizontal="right" vertical="center"/>
    </xf>
    <xf numFmtId="165" fontId="12" fillId="2" borderId="0" xfId="0" applyNumberFormat="1" applyFont="1" applyFill="1" applyBorder="1" applyAlignment="1">
      <alignment horizontal="right" vertical="center"/>
    </xf>
    <xf numFmtId="164" fontId="27" fillId="2" borderId="0" xfId="0" applyNumberFormat="1" applyFont="1" applyFill="1" applyAlignment="1">
      <alignment horizontal="right" vertical="center"/>
    </xf>
    <xf numFmtId="164" fontId="11" fillId="2" borderId="0" xfId="0" applyNumberFormat="1" applyFont="1" applyFill="1" applyAlignment="1">
      <alignment horizontal="left" vertical="center"/>
    </xf>
    <xf numFmtId="164" fontId="15" fillId="2" borderId="0" xfId="0" applyNumberFormat="1" applyFont="1" applyFill="1" applyAlignment="1">
      <alignment horizontal="left" vertical="center"/>
    </xf>
    <xf numFmtId="165" fontId="20" fillId="2" borderId="0" xfId="0" applyNumberFormat="1" applyFont="1" applyFill="1" applyBorder="1" applyAlignment="1">
      <alignment horizontal="right" vertical="center"/>
    </xf>
    <xf numFmtId="164" fontId="16" fillId="2" borderId="0" xfId="0" applyNumberFormat="1" applyFont="1" applyFill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Alignment="1">
      <alignment horizontal="left"/>
    </xf>
    <xf numFmtId="164" fontId="3" fillId="2" borderId="0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</cellXfs>
  <cellStyles count="6">
    <cellStyle name="Normal" xfId="0" builtinId="0"/>
    <cellStyle name="Normal 10" xfId="5"/>
    <cellStyle name="Normal 2 2 2" xfId="1"/>
    <cellStyle name="Normal 37" xfId="4"/>
    <cellStyle name="Normal 8" xfId="3"/>
    <cellStyle name="Percent" xfId="2" builtinId="5"/>
  </cellStyles>
  <dxfs count="0"/>
  <tableStyles count="0" defaultTableStyle="TableStyleMedium2" defaultPivotStyle="PivotStyleLight16"/>
  <colors>
    <mruColors>
      <color rgb="FFFFE59B"/>
      <color rgb="FFFFF1C9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447785280092613E-2"/>
          <c:y val="0.16464355278535256"/>
          <c:w val="0.87504954621018494"/>
          <c:h val="0.729874926439506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'7.7'!$K$7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'7.7'!$A$9:$A$12</c:f>
              <c:strCache>
                <c:ptCount val="4"/>
                <c:pt idx="0">
                  <c:v>Pre - Primary</c:v>
                </c:pt>
                <c:pt idx="1">
                  <c:v>Primary ( 1 - 7)</c:v>
                </c:pt>
                <c:pt idx="2">
                  <c:v>Lower Secondary ( 8 - 10)</c:v>
                </c:pt>
                <c:pt idx="3">
                  <c:v>Higher Secondary ( 11 - 12)</c:v>
                </c:pt>
              </c:strCache>
            </c:strRef>
          </c:cat>
          <c:val>
            <c:numRef>
              <c:f>'7.7'!$K$9:$K$12</c:f>
              <c:numCache>
                <c:formatCode>#,##0;[Red]#,##0</c:formatCode>
                <c:ptCount val="4"/>
                <c:pt idx="0">
                  <c:v>1309</c:v>
                </c:pt>
                <c:pt idx="1">
                  <c:v>3863</c:v>
                </c:pt>
                <c:pt idx="2">
                  <c:v>1755</c:v>
                </c:pt>
                <c:pt idx="3">
                  <c:v>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7-4913-9D06-55E38DEF7A41}"/>
            </c:ext>
          </c:extLst>
        </c:ser>
        <c:ser>
          <c:idx val="1"/>
          <c:order val="1"/>
          <c:tx>
            <c:strRef>
              <c:f>'7.7'!$L$7</c:f>
              <c:strCache>
                <c:ptCount val="1"/>
                <c:pt idx="0">
                  <c:v>Expatriate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'7.7'!$A$9:$A$12</c:f>
              <c:strCache>
                <c:ptCount val="4"/>
                <c:pt idx="0">
                  <c:v>Pre - Primary</c:v>
                </c:pt>
                <c:pt idx="1">
                  <c:v>Primary ( 1 - 7)</c:v>
                </c:pt>
                <c:pt idx="2">
                  <c:v>Lower Secondary ( 8 - 10)</c:v>
                </c:pt>
                <c:pt idx="3">
                  <c:v>Higher Secondary ( 11 - 12)</c:v>
                </c:pt>
              </c:strCache>
            </c:strRef>
          </c:cat>
          <c:val>
            <c:numRef>
              <c:f>'7.7'!$L$9:$L$12</c:f>
              <c:numCache>
                <c:formatCode>#,##0;[Red]#,##0</c:formatCode>
                <c:ptCount val="4"/>
                <c:pt idx="0">
                  <c:v>28</c:v>
                </c:pt>
                <c:pt idx="1">
                  <c:v>680</c:v>
                </c:pt>
                <c:pt idx="2">
                  <c:v>1298</c:v>
                </c:pt>
                <c:pt idx="3">
                  <c:v>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17-4913-9D06-55E38DEF7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446016"/>
        <c:axId val="143447552"/>
      </c:barChart>
      <c:catAx>
        <c:axId val="14344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 sz="900"/>
            </a:pPr>
            <a:endParaRPr lang="en-US"/>
          </a:p>
        </c:txPr>
        <c:crossAx val="1434475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344755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;[Red]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344601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0825041925561176"/>
          <c:y val="0.26385929431657124"/>
          <c:w val="0.2485980547643373"/>
          <c:h val="5.9646080779782666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01" r="0.7500000000000101" t="1" header="0.5" footer="0.5"/>
    <c:pageSetup orientation="landscape" horizontalDpi="300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283346478967445E-2"/>
          <c:y val="0.19470193081803464"/>
          <c:w val="0.89246215172198518"/>
          <c:h val="0.699498964308980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'7.7'!$D$7</c:f>
              <c:strCache>
                <c:ptCount val="1"/>
                <c:pt idx="0">
                  <c:v>Trained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'7.7'!$A$9:$A$12</c:f>
              <c:strCache>
                <c:ptCount val="4"/>
                <c:pt idx="0">
                  <c:v>Pre - Primary</c:v>
                </c:pt>
                <c:pt idx="1">
                  <c:v>Primary ( 1 - 7)</c:v>
                </c:pt>
                <c:pt idx="2">
                  <c:v>Lower Secondary ( 8 - 10)</c:v>
                </c:pt>
                <c:pt idx="3">
                  <c:v>Higher Secondary ( 11 - 12)</c:v>
                </c:pt>
              </c:strCache>
            </c:strRef>
          </c:cat>
          <c:val>
            <c:numRef>
              <c:f>'7.7'!$D$9:$D$12</c:f>
              <c:numCache>
                <c:formatCode>#,##0;[Red]#,##0</c:formatCode>
                <c:ptCount val="4"/>
                <c:pt idx="0">
                  <c:v>1188</c:v>
                </c:pt>
                <c:pt idx="1">
                  <c:v>4219</c:v>
                </c:pt>
                <c:pt idx="2">
                  <c:v>2930</c:v>
                </c:pt>
                <c:pt idx="3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0F-4699-A937-912113CE31BC}"/>
            </c:ext>
          </c:extLst>
        </c:ser>
        <c:ser>
          <c:idx val="1"/>
          <c:order val="1"/>
          <c:tx>
            <c:strRef>
              <c:f>'7.7'!$E$7</c:f>
              <c:strCache>
                <c:ptCount val="1"/>
                <c:pt idx="0">
                  <c:v>Untrained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'7.7'!$A$9:$A$12</c:f>
              <c:strCache>
                <c:ptCount val="4"/>
                <c:pt idx="0">
                  <c:v>Pre - Primary</c:v>
                </c:pt>
                <c:pt idx="1">
                  <c:v>Primary ( 1 - 7)</c:v>
                </c:pt>
                <c:pt idx="2">
                  <c:v>Lower Secondary ( 8 - 10)</c:v>
                </c:pt>
                <c:pt idx="3">
                  <c:v>Higher Secondary ( 11 - 12)</c:v>
                </c:pt>
              </c:strCache>
            </c:strRef>
          </c:cat>
          <c:val>
            <c:numRef>
              <c:f>'7.7'!$E$9:$E$12</c:f>
              <c:numCache>
                <c:formatCode>#,##0;[Red]#,##0</c:formatCode>
                <c:ptCount val="4"/>
                <c:pt idx="0">
                  <c:v>151</c:v>
                </c:pt>
                <c:pt idx="1">
                  <c:v>363</c:v>
                </c:pt>
                <c:pt idx="2">
                  <c:v>54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0F-4699-A937-912113CE3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494144"/>
        <c:axId val="143500032"/>
      </c:barChart>
      <c:catAx>
        <c:axId val="14349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 sz="900"/>
            </a:pPr>
            <a:endParaRPr lang="en-US"/>
          </a:p>
        </c:txPr>
        <c:crossAx val="1435000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350003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;[Red]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3494144"/>
        <c:crosses val="autoZero"/>
        <c:crossBetween val="between"/>
      </c:valAx>
      <c:spPr>
        <a:ln w="6350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9931142454603333"/>
          <c:y val="0.3001979384932239"/>
          <c:w val="0.24790186621553451"/>
          <c:h val="6.827214016096855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0988" r="0.75000000000000988" t="1" header="0.5" footer="0.5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211903</xdr:colOff>
      <xdr:row>29</xdr:row>
      <xdr:rowOff>115803</xdr:rowOff>
    </xdr:from>
    <xdr:to>
      <xdr:col>6</xdr:col>
      <xdr:colOff>695325</xdr:colOff>
      <xdr:row>47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771862</xdr:colOff>
      <xdr:row>29</xdr:row>
      <xdr:rowOff>110239</xdr:rowOff>
    </xdr:from>
    <xdr:to>
      <xdr:col>14</xdr:col>
      <xdr:colOff>1754894</xdr:colOff>
      <xdr:row>47</xdr:row>
      <xdr:rowOff>90157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0.00978</cdr:x>
      <cdr:y>0.07194</cdr:y>
    </cdr:from>
    <cdr:to>
      <cdr:x>0.12855</cdr:x>
      <cdr:y>0.14185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6682" y="216978"/>
          <a:ext cx="688630" cy="2108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800"/>
            <a:t>In numbers</a:t>
          </a:r>
        </a:p>
      </cdr:txBody>
    </cdr:sp>
  </cdr:relSizeAnchor>
  <cdr:relSizeAnchor xmlns:cdr="http://schemas.openxmlformats.org/drawingml/2006/chartDrawing">
    <cdr:from>
      <cdr:x>0.15984</cdr:x>
      <cdr:y>0.36946</cdr:y>
    </cdr:from>
    <cdr:to>
      <cdr:x>1</cdr:x>
      <cdr:y>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302571" y="979572"/>
          <a:ext cx="3905250" cy="1619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0.15479</cdr:x>
      <cdr:y>0.0464</cdr:y>
    </cdr:from>
    <cdr:to>
      <cdr:x>0.95807</cdr:x>
      <cdr:y>0.12844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897537" y="141372"/>
          <a:ext cx="4657709" cy="2499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7.6: Number of Local and Expatriate Teachers, 2018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0.01121</cdr:x>
      <cdr:y>0.09261</cdr:y>
    </cdr:from>
    <cdr:to>
      <cdr:x>0.13563</cdr:x>
      <cdr:y>0.14209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2154" y="313043"/>
          <a:ext cx="689984" cy="1672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700"/>
            <a:t>In numbers</a:t>
          </a:r>
        </a:p>
      </cdr:txBody>
    </cdr:sp>
  </cdr:relSizeAnchor>
  <cdr:relSizeAnchor xmlns:cdr="http://schemas.openxmlformats.org/drawingml/2006/chartDrawing">
    <cdr:from>
      <cdr:x>0.11344</cdr:x>
      <cdr:y>0.0322</cdr:y>
    </cdr:from>
    <cdr:to>
      <cdr:x>0.97382</cdr:x>
      <cdr:y>0.10348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29082" y="108837"/>
          <a:ext cx="4771256" cy="2409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7.7: Number of Trained and Untrained Teachers, 2018</a:t>
          </a:r>
          <a:r>
            <a:rPr lang="en-US" sz="1100" b="1" i="0" baseline="0">
              <a:effectLst/>
              <a:latin typeface="+mn-lt"/>
              <a:ea typeface="+mn-ea"/>
              <a:cs typeface="+mn-cs"/>
            </a:rPr>
            <a:t> 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7.%20EDU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"/>
      <sheetName val="7.2"/>
      <sheetName val="7.3"/>
      <sheetName val="7.4"/>
      <sheetName val="7.5 &amp; 7.6"/>
      <sheetName val="7.7"/>
      <sheetName val="7.8"/>
      <sheetName val="7.9"/>
      <sheetName val="7.10"/>
      <sheetName val="7.11"/>
      <sheetName val="7.12"/>
      <sheetName val="7.13"/>
      <sheetName val="7.14"/>
      <sheetName val="7.15"/>
      <sheetName val="7.16 &amp; 7.17"/>
      <sheetName val="7.18"/>
      <sheetName val="7.19 &amp; 7.20"/>
      <sheetName val="7.21"/>
      <sheetName val="7.22"/>
      <sheetName val="7.23"/>
      <sheetName val="7.24"/>
      <sheetName val="7.25"/>
    </sheetNames>
    <sheetDataSet>
      <sheetData sheetId="0">
        <row r="51">
          <cell r="AJ51" t="str">
            <v xml:space="preserve"> Male</v>
          </cell>
          <cell r="AK51" t="str">
            <v xml:space="preserve"> Female</v>
          </cell>
        </row>
        <row r="52">
          <cell r="AI52" t="str">
            <v>Male'</v>
          </cell>
          <cell r="AJ52">
            <v>15939</v>
          </cell>
          <cell r="AK52">
            <v>15548</v>
          </cell>
        </row>
        <row r="53">
          <cell r="AI53" t="str">
            <v xml:space="preserve"> HA</v>
          </cell>
          <cell r="AJ53">
            <v>2007</v>
          </cell>
          <cell r="AK53">
            <v>1776</v>
          </cell>
        </row>
        <row r="54">
          <cell r="AI54" t="str">
            <v xml:space="preserve"> HDh</v>
          </cell>
          <cell r="AJ54">
            <v>2913</v>
          </cell>
          <cell r="AK54">
            <v>2733</v>
          </cell>
        </row>
        <row r="55">
          <cell r="AI55" t="str">
            <v xml:space="preserve"> Sh</v>
          </cell>
          <cell r="AJ55">
            <v>1922</v>
          </cell>
          <cell r="AK55">
            <v>1776</v>
          </cell>
        </row>
        <row r="56">
          <cell r="AI56" t="str">
            <v xml:space="preserve"> N</v>
          </cell>
          <cell r="AJ56">
            <v>1531</v>
          </cell>
          <cell r="AK56">
            <v>1446</v>
          </cell>
        </row>
        <row r="57">
          <cell r="AI57" t="str">
            <v xml:space="preserve"> R</v>
          </cell>
          <cell r="AJ57">
            <v>2443</v>
          </cell>
          <cell r="AK57">
            <v>2247</v>
          </cell>
        </row>
        <row r="58">
          <cell r="AI58" t="str">
            <v>B</v>
          </cell>
          <cell r="AJ58">
            <v>1324</v>
          </cell>
          <cell r="AK58">
            <v>1245</v>
          </cell>
        </row>
        <row r="59">
          <cell r="AI59" t="str">
            <v>Lh</v>
          </cell>
          <cell r="AJ59">
            <v>1019</v>
          </cell>
          <cell r="AK59">
            <v>1018</v>
          </cell>
        </row>
        <row r="60">
          <cell r="AI60" t="str">
            <v>K</v>
          </cell>
          <cell r="AJ60">
            <v>1474</v>
          </cell>
          <cell r="AK60">
            <v>1310</v>
          </cell>
        </row>
        <row r="61">
          <cell r="AI61" t="str">
            <v>AA</v>
          </cell>
          <cell r="AJ61">
            <v>915</v>
          </cell>
          <cell r="AK61">
            <v>856</v>
          </cell>
        </row>
        <row r="62">
          <cell r="AI62" t="str">
            <v>ADh</v>
          </cell>
          <cell r="AJ62">
            <v>1151</v>
          </cell>
          <cell r="AK62">
            <v>1073</v>
          </cell>
        </row>
        <row r="63">
          <cell r="AI63" t="str">
            <v>V</v>
          </cell>
          <cell r="AJ63">
            <v>186</v>
          </cell>
          <cell r="AK63">
            <v>156</v>
          </cell>
        </row>
        <row r="64">
          <cell r="AI64" t="str">
            <v>M</v>
          </cell>
          <cell r="AJ64">
            <v>635</v>
          </cell>
          <cell r="AK64">
            <v>594</v>
          </cell>
        </row>
        <row r="65">
          <cell r="AI65" t="str">
            <v>F</v>
          </cell>
          <cell r="AJ65">
            <v>718</v>
          </cell>
          <cell r="AK65">
            <v>704</v>
          </cell>
        </row>
        <row r="66">
          <cell r="AI66" t="str">
            <v>Dh</v>
          </cell>
          <cell r="AJ66">
            <v>865</v>
          </cell>
          <cell r="AK66">
            <v>862</v>
          </cell>
        </row>
        <row r="67">
          <cell r="AI67" t="str">
            <v>Th</v>
          </cell>
          <cell r="AJ67">
            <v>1342</v>
          </cell>
          <cell r="AK67">
            <v>1239</v>
          </cell>
        </row>
        <row r="68">
          <cell r="AI68" t="str">
            <v xml:space="preserve"> L</v>
          </cell>
          <cell r="AJ68">
            <v>1874</v>
          </cell>
          <cell r="AK68">
            <v>1723</v>
          </cell>
        </row>
        <row r="69">
          <cell r="AI69" t="str">
            <v>GA</v>
          </cell>
          <cell r="AJ69">
            <v>1071</v>
          </cell>
          <cell r="AK69">
            <v>1067</v>
          </cell>
        </row>
        <row r="70">
          <cell r="AI70" t="str">
            <v>GDh</v>
          </cell>
          <cell r="AJ70">
            <v>1651</v>
          </cell>
          <cell r="AK70">
            <v>1450</v>
          </cell>
        </row>
        <row r="71">
          <cell r="AI71" t="str">
            <v>Gn</v>
          </cell>
          <cell r="AJ71">
            <v>1244</v>
          </cell>
          <cell r="AK71">
            <v>1216</v>
          </cell>
        </row>
        <row r="72">
          <cell r="AI72" t="str">
            <v>S</v>
          </cell>
          <cell r="AJ72">
            <v>2769</v>
          </cell>
          <cell r="AK72">
            <v>2744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AL6" t="str">
            <v>Republic</v>
          </cell>
          <cell r="AM6" t="str">
            <v>Male'</v>
          </cell>
          <cell r="AN6" t="str">
            <v>Atolls</v>
          </cell>
        </row>
        <row r="7">
          <cell r="AK7" t="str">
            <v>Nurs.</v>
          </cell>
          <cell r="AL7">
            <v>5801</v>
          </cell>
          <cell r="AM7">
            <v>2627</v>
          </cell>
          <cell r="AN7">
            <v>3174</v>
          </cell>
        </row>
        <row r="8">
          <cell r="AK8" t="str">
            <v>LKG</v>
          </cell>
          <cell r="AL8">
            <v>7517</v>
          </cell>
          <cell r="AM8">
            <v>2709</v>
          </cell>
          <cell r="AN8">
            <v>4808</v>
          </cell>
        </row>
        <row r="9">
          <cell r="AK9" t="str">
            <v>UKG</v>
          </cell>
          <cell r="AL9">
            <v>7682</v>
          </cell>
          <cell r="AM9">
            <v>2636</v>
          </cell>
          <cell r="AN9">
            <v>5046</v>
          </cell>
        </row>
        <row r="10">
          <cell r="AK10" t="str">
            <v>Gr. 1</v>
          </cell>
          <cell r="AL10">
            <v>7325</v>
          </cell>
          <cell r="AM10">
            <v>2499</v>
          </cell>
          <cell r="AN10">
            <v>4826</v>
          </cell>
        </row>
        <row r="11">
          <cell r="AK11" t="str">
            <v>Gr. 2</v>
          </cell>
          <cell r="AL11">
            <v>7354</v>
          </cell>
          <cell r="AM11">
            <v>2499</v>
          </cell>
          <cell r="AN11">
            <v>4855</v>
          </cell>
        </row>
        <row r="12">
          <cell r="AK12" t="str">
            <v>Gr. 3</v>
          </cell>
          <cell r="AL12">
            <v>7137</v>
          </cell>
          <cell r="AM12">
            <v>2462</v>
          </cell>
          <cell r="AN12">
            <v>4675</v>
          </cell>
        </row>
        <row r="13">
          <cell r="AK13" t="str">
            <v>Gr. 4</v>
          </cell>
          <cell r="AL13">
            <v>6686</v>
          </cell>
          <cell r="AM13">
            <v>2287</v>
          </cell>
          <cell r="AN13">
            <v>4399</v>
          </cell>
        </row>
        <row r="14">
          <cell r="AK14" t="str">
            <v>Gr. 5</v>
          </cell>
          <cell r="AL14">
            <v>5955</v>
          </cell>
          <cell r="AM14">
            <v>2031</v>
          </cell>
          <cell r="AN14">
            <v>3924</v>
          </cell>
        </row>
        <row r="15">
          <cell r="AK15" t="str">
            <v>Gr. 6</v>
          </cell>
          <cell r="AL15">
            <v>5520</v>
          </cell>
          <cell r="AM15">
            <v>1862</v>
          </cell>
          <cell r="AN15">
            <v>3658</v>
          </cell>
        </row>
        <row r="16">
          <cell r="AK16" t="str">
            <v>Gr. 7</v>
          </cell>
          <cell r="AL16">
            <v>5349</v>
          </cell>
          <cell r="AM16">
            <v>1793</v>
          </cell>
          <cell r="AN16">
            <v>3556</v>
          </cell>
        </row>
        <row r="17">
          <cell r="AK17" t="str">
            <v>Gr. 8</v>
          </cell>
          <cell r="AL17">
            <v>5533</v>
          </cell>
          <cell r="AM17">
            <v>1788</v>
          </cell>
          <cell r="AN17">
            <v>3745</v>
          </cell>
        </row>
        <row r="18">
          <cell r="AK18" t="str">
            <v>Gr. 9</v>
          </cell>
          <cell r="AL18">
            <v>5585</v>
          </cell>
          <cell r="AM18">
            <v>1792</v>
          </cell>
          <cell r="AN18">
            <v>3793</v>
          </cell>
        </row>
        <row r="19">
          <cell r="AK19" t="str">
            <v>Gr. 10</v>
          </cell>
          <cell r="AL19">
            <v>5660</v>
          </cell>
          <cell r="AM19">
            <v>1755</v>
          </cell>
          <cell r="AN19">
            <v>3905</v>
          </cell>
        </row>
        <row r="20">
          <cell r="AK20" t="str">
            <v>Gr. 11</v>
          </cell>
          <cell r="AL20">
            <v>2063</v>
          </cell>
          <cell r="AM20">
            <v>1248</v>
          </cell>
          <cell r="AN20">
            <v>815</v>
          </cell>
        </row>
        <row r="21">
          <cell r="AK21" t="str">
            <v>Gr. 12</v>
          </cell>
          <cell r="AL21">
            <v>2128</v>
          </cell>
          <cell r="AM21">
            <v>1207</v>
          </cell>
          <cell r="AN21">
            <v>921</v>
          </cell>
        </row>
        <row r="64">
          <cell r="AL64" t="str">
            <v>Republic</v>
          </cell>
          <cell r="AM64" t="str">
            <v>Male'</v>
          </cell>
          <cell r="AN64" t="str">
            <v>Atolls</v>
          </cell>
        </row>
        <row r="65">
          <cell r="AJ65" t="str">
            <v>Higher Secondary</v>
          </cell>
          <cell r="AK65"/>
          <cell r="AL65">
            <v>3977</v>
          </cell>
          <cell r="AM65">
            <v>2445</v>
          </cell>
          <cell r="AN65">
            <v>1532</v>
          </cell>
        </row>
        <row r="66">
          <cell r="AJ66" t="str">
            <v>Secondary</v>
          </cell>
          <cell r="AK66"/>
          <cell r="AL66">
            <v>16289</v>
          </cell>
          <cell r="AM66">
            <v>5499</v>
          </cell>
          <cell r="AN66">
            <v>10790</v>
          </cell>
        </row>
        <row r="67">
          <cell r="AJ67" t="str">
            <v>Primary</v>
          </cell>
          <cell r="AK67"/>
          <cell r="AL67">
            <v>47236</v>
          </cell>
          <cell r="AM67">
            <v>16218</v>
          </cell>
          <cell r="AN67">
            <v>31018</v>
          </cell>
        </row>
        <row r="68">
          <cell r="AJ68" t="str">
            <v>Pre-Primary</v>
          </cell>
          <cell r="AK68"/>
          <cell r="AL68">
            <v>20411</v>
          </cell>
          <cell r="AM68">
            <v>7896</v>
          </cell>
          <cell r="AN68">
            <v>12515</v>
          </cell>
        </row>
      </sheetData>
      <sheetData sheetId="11">
        <row r="4">
          <cell r="F4" t="str">
            <v>Nurs.</v>
          </cell>
          <cell r="G4"/>
          <cell r="H4" t="str">
            <v>LKG</v>
          </cell>
          <cell r="I4"/>
          <cell r="J4" t="str">
            <v>UKG</v>
          </cell>
          <cell r="K4"/>
          <cell r="L4" t="str">
            <v>Gr. 1</v>
          </cell>
          <cell r="M4"/>
          <cell r="N4" t="str">
            <v>Gr. 2</v>
          </cell>
          <cell r="O4"/>
          <cell r="P4" t="str">
            <v>Gr. 3</v>
          </cell>
          <cell r="Q4"/>
          <cell r="R4" t="str">
            <v>Gr. 4</v>
          </cell>
          <cell r="S4"/>
          <cell r="T4" t="str">
            <v>Gr. 5</v>
          </cell>
          <cell r="U4"/>
          <cell r="V4" t="str">
            <v>Gr. 6</v>
          </cell>
          <cell r="W4"/>
          <cell r="X4" t="str">
            <v>Gr. 7</v>
          </cell>
          <cell r="Y4"/>
          <cell r="Z4" t="str">
            <v>Gr. 8</v>
          </cell>
          <cell r="AA4"/>
          <cell r="AB4" t="str">
            <v>Gr. 9</v>
          </cell>
          <cell r="AC4"/>
          <cell r="AD4" t="str">
            <v>Gr. 10</v>
          </cell>
          <cell r="AE4"/>
          <cell r="AF4" t="str">
            <v>Gr. 11</v>
          </cell>
          <cell r="AG4"/>
          <cell r="AH4" t="str">
            <v>Gr. 12</v>
          </cell>
          <cell r="AI4"/>
        </row>
        <row r="5">
          <cell r="F5" t="str">
            <v>M</v>
          </cell>
          <cell r="G5" t="str">
            <v>F</v>
          </cell>
          <cell r="H5" t="str">
            <v>M</v>
          </cell>
          <cell r="I5" t="str">
            <v>F</v>
          </cell>
          <cell r="J5" t="str">
            <v>M</v>
          </cell>
          <cell r="K5" t="str">
            <v>F</v>
          </cell>
          <cell r="L5" t="str">
            <v>M</v>
          </cell>
          <cell r="M5" t="str">
            <v>F</v>
          </cell>
          <cell r="N5" t="str">
            <v>M</v>
          </cell>
          <cell r="O5" t="str">
            <v>F</v>
          </cell>
          <cell r="P5" t="str">
            <v>M</v>
          </cell>
          <cell r="Q5" t="str">
            <v>F</v>
          </cell>
          <cell r="R5" t="str">
            <v>M</v>
          </cell>
          <cell r="S5" t="str">
            <v>F</v>
          </cell>
          <cell r="T5" t="str">
            <v>M</v>
          </cell>
          <cell r="U5" t="str">
            <v>F</v>
          </cell>
          <cell r="V5" t="str">
            <v>M</v>
          </cell>
          <cell r="W5" t="str">
            <v>F</v>
          </cell>
          <cell r="X5" t="str">
            <v>M</v>
          </cell>
          <cell r="Y5" t="str">
            <v>F</v>
          </cell>
          <cell r="Z5" t="str">
            <v>M</v>
          </cell>
          <cell r="AA5" t="str">
            <v>F</v>
          </cell>
          <cell r="AB5" t="str">
            <v>M</v>
          </cell>
          <cell r="AC5" t="str">
            <v>F</v>
          </cell>
          <cell r="AD5" t="str">
            <v>M</v>
          </cell>
          <cell r="AE5" t="str">
            <v>F</v>
          </cell>
          <cell r="AF5" t="str">
            <v>M</v>
          </cell>
          <cell r="AG5" t="str">
            <v>F</v>
          </cell>
          <cell r="AH5" t="str">
            <v>M</v>
          </cell>
          <cell r="AI5" t="str">
            <v>F</v>
          </cell>
        </row>
        <row r="6">
          <cell r="F6">
            <v>2759</v>
          </cell>
          <cell r="G6">
            <v>2673</v>
          </cell>
          <cell r="H6">
            <v>3829</v>
          </cell>
          <cell r="I6">
            <v>3549</v>
          </cell>
          <cell r="J6">
            <v>3994</v>
          </cell>
          <cell r="K6">
            <v>3607</v>
          </cell>
          <cell r="L6">
            <v>3991</v>
          </cell>
          <cell r="M6">
            <v>3550</v>
          </cell>
          <cell r="N6">
            <v>3717</v>
          </cell>
          <cell r="O6">
            <v>3471</v>
          </cell>
          <cell r="P6">
            <v>3712</v>
          </cell>
          <cell r="Q6">
            <v>3641</v>
          </cell>
          <cell r="R6">
            <v>3571</v>
          </cell>
          <cell r="S6">
            <v>3484</v>
          </cell>
          <cell r="T6">
            <v>3466</v>
          </cell>
          <cell r="U6">
            <v>3169</v>
          </cell>
          <cell r="V6">
            <v>3014</v>
          </cell>
          <cell r="W6">
            <v>2925</v>
          </cell>
          <cell r="X6">
            <v>2773</v>
          </cell>
          <cell r="Y6">
            <v>2752</v>
          </cell>
          <cell r="Z6">
            <v>2773</v>
          </cell>
          <cell r="AA6">
            <v>2603</v>
          </cell>
          <cell r="AB6">
            <v>2887</v>
          </cell>
          <cell r="AC6">
            <v>2601</v>
          </cell>
          <cell r="AD6">
            <v>2852</v>
          </cell>
          <cell r="AE6">
            <v>2573</v>
          </cell>
          <cell r="AF6">
            <v>880</v>
          </cell>
          <cell r="AG6">
            <v>1130</v>
          </cell>
          <cell r="AH6">
            <v>889</v>
          </cell>
          <cell r="AI6">
            <v>1078</v>
          </cell>
        </row>
        <row r="7">
          <cell r="B7" t="str">
            <v>Male'</v>
          </cell>
          <cell r="AL7">
            <v>36.469374567797672</v>
          </cell>
        </row>
        <row r="8">
          <cell r="B8" t="str">
            <v>Atolls</v>
          </cell>
          <cell r="AL8">
            <v>63.530625432202335</v>
          </cell>
        </row>
        <row r="9">
          <cell r="AL9">
            <v>4.3044518257360194</v>
          </cell>
        </row>
        <row r="10">
          <cell r="AL10">
            <v>6.4572445613358882</v>
          </cell>
        </row>
        <row r="11">
          <cell r="AL11">
            <v>4.1525433335978512</v>
          </cell>
        </row>
        <row r="12">
          <cell r="AL12">
            <v>3.4734897008309624</v>
          </cell>
        </row>
        <row r="13">
          <cell r="AL13">
            <v>5.3258663885456459</v>
          </cell>
        </row>
        <row r="14">
          <cell r="AL14">
            <v>2.9894230878235142</v>
          </cell>
          <cell r="BF14" t="str">
            <v>Nurs.</v>
          </cell>
          <cell r="BG14" t="str">
            <v>LKG</v>
          </cell>
          <cell r="BH14" t="str">
            <v>UKG</v>
          </cell>
          <cell r="BI14" t="str">
            <v>Gr. 1</v>
          </cell>
          <cell r="BJ14" t="str">
            <v>Gr. 2</v>
          </cell>
          <cell r="BK14" t="str">
            <v>Gr. 3</v>
          </cell>
          <cell r="BL14" t="str">
            <v>Gr. 4</v>
          </cell>
          <cell r="BM14" t="str">
            <v>Gr. 5</v>
          </cell>
          <cell r="BN14" t="str">
            <v>Gr. 6</v>
          </cell>
          <cell r="BO14" t="str">
            <v>Gr. 7</v>
          </cell>
          <cell r="BP14" t="str">
            <v>Gr. 8</v>
          </cell>
          <cell r="BQ14" t="str">
            <v>Gr. 9</v>
          </cell>
          <cell r="BR14" t="str">
            <v>Gr. 10</v>
          </cell>
          <cell r="BS14" t="str">
            <v>Gr. 11</v>
          </cell>
          <cell r="BT14" t="str">
            <v>Gr. 12</v>
          </cell>
        </row>
        <row r="15">
          <cell r="AL15">
            <v>2.3545816281416152</v>
          </cell>
          <cell r="BE15" t="str">
            <v>TOTAL</v>
          </cell>
          <cell r="BF15">
            <v>103.21735877291434</v>
          </cell>
          <cell r="BG15">
            <v>107.8895463510848</v>
          </cell>
          <cell r="BH15">
            <v>110.72913778763515</v>
          </cell>
          <cell r="BI15">
            <v>112.42253521126761</v>
          </cell>
          <cell r="BJ15">
            <v>107.08729472774417</v>
          </cell>
          <cell r="BK15">
            <v>101.95001373249109</v>
          </cell>
          <cell r="BL15">
            <v>102.4971297359357</v>
          </cell>
          <cell r="BM15">
            <v>109.37204165351847</v>
          </cell>
          <cell r="BN15">
            <v>103.04273504273505</v>
          </cell>
          <cell r="BO15">
            <v>100.76308139534885</v>
          </cell>
          <cell r="BP15">
            <v>106.53092585478294</v>
          </cell>
          <cell r="BQ15">
            <v>110.99577085736256</v>
          </cell>
          <cell r="BR15">
            <v>110.8433734939759</v>
          </cell>
          <cell r="BS15">
            <v>77.876106194690266</v>
          </cell>
          <cell r="BT15">
            <v>82.467532467532465</v>
          </cell>
        </row>
        <row r="16">
          <cell r="AL16">
            <v>3.2059493713935905</v>
          </cell>
        </row>
        <row r="17">
          <cell r="AL17">
            <v>2.041695480155536</v>
          </cell>
        </row>
        <row r="18">
          <cell r="AL18">
            <v>2.523494802235549</v>
          </cell>
          <cell r="BF18" t="str">
            <v>Nurs.</v>
          </cell>
          <cell r="BG18" t="str">
            <v>LKG</v>
          </cell>
          <cell r="BH18" t="str">
            <v>UKG</v>
          </cell>
          <cell r="BI18" t="str">
            <v>Gr. 1</v>
          </cell>
          <cell r="BJ18" t="str">
            <v>Gr. 2</v>
          </cell>
          <cell r="BK18" t="str">
            <v>Gr. 3</v>
          </cell>
          <cell r="BL18" t="str">
            <v>Gr. 4</v>
          </cell>
          <cell r="BM18" t="str">
            <v>Gr. 5</v>
          </cell>
          <cell r="BN18" t="str">
            <v>Gr. 6</v>
          </cell>
          <cell r="BO18" t="str">
            <v>Gr. 7</v>
          </cell>
          <cell r="BP18" t="str">
            <v>Gr. 8</v>
          </cell>
          <cell r="BQ18" t="str">
            <v>Gr. 9</v>
          </cell>
          <cell r="BR18" t="str">
            <v>Gr. 10</v>
          </cell>
          <cell r="BS18" t="str">
            <v>Gr. 11</v>
          </cell>
          <cell r="BT18" t="str">
            <v>Gr. 12</v>
          </cell>
        </row>
        <row r="19">
          <cell r="AL19">
            <v>0.32082166623210256</v>
          </cell>
          <cell r="BE19" t="str">
            <v>Male'</v>
          </cell>
          <cell r="BF19">
            <v>105.49273021001615</v>
          </cell>
          <cell r="BG19">
            <v>103.41685649202734</v>
          </cell>
          <cell r="BH19">
            <v>107.8538102643857</v>
          </cell>
          <cell r="BI19">
            <v>114.46384039900251</v>
          </cell>
          <cell r="BJ19">
            <v>108.43989769820972</v>
          </cell>
          <cell r="BK19">
            <v>97.383029341792223</v>
          </cell>
          <cell r="BL19">
            <v>102.64900662251655</v>
          </cell>
          <cell r="BM19">
            <v>105.70652173913044</v>
          </cell>
          <cell r="BN19">
            <v>98.360655737704917</v>
          </cell>
          <cell r="BO19">
            <v>107.98274002157497</v>
          </cell>
          <cell r="BP19">
            <v>104.37100213219617</v>
          </cell>
          <cell r="BQ19">
            <v>103.64238410596028</v>
          </cell>
          <cell r="BR19">
            <v>102.92056074766356</v>
          </cell>
          <cell r="BS19">
            <v>79.362670713201823</v>
          </cell>
          <cell r="BT19">
            <v>90.210843373493972</v>
          </cell>
        </row>
        <row r="20">
          <cell r="AL20">
            <v>1.393250274909025</v>
          </cell>
          <cell r="BE20" t="str">
            <v>Atolls</v>
          </cell>
          <cell r="BF20">
            <v>101.25435540069687</v>
          </cell>
          <cell r="BG20">
            <v>110.52867383512546</v>
          </cell>
          <cell r="BH20">
            <v>112.32227488151658</v>
          </cell>
          <cell r="BI20">
            <v>111.37622496804431</v>
          </cell>
          <cell r="BJ20">
            <v>106.39686684073106</v>
          </cell>
          <cell r="BK20">
            <v>104.36974789915968</v>
          </cell>
          <cell r="BL20">
            <v>102.41652021089631</v>
          </cell>
          <cell r="BM20">
            <v>111.33171912832928</v>
          </cell>
          <cell r="BN20">
            <v>105.61440677966101</v>
          </cell>
          <cell r="BO20">
            <v>97.095890410958901</v>
          </cell>
          <cell r="BP20">
            <v>107.74774774774775</v>
          </cell>
          <cell r="BQ20">
            <v>114.92625368731564</v>
          </cell>
          <cell r="BR20">
            <v>114.79324403028539</v>
          </cell>
          <cell r="BS20">
            <v>75.796178343949052</v>
          </cell>
          <cell r="BT20">
            <v>70.048309178743963</v>
          </cell>
        </row>
        <row r="21">
          <cell r="AL21">
            <v>1.6369840496083254</v>
          </cell>
        </row>
        <row r="22">
          <cell r="AL22">
            <v>1.8421738785412249</v>
          </cell>
        </row>
        <row r="23">
          <cell r="AL23">
            <v>2.9270725873190417</v>
          </cell>
        </row>
        <row r="24">
          <cell r="AL24">
            <v>3.9303488227091856</v>
          </cell>
          <cell r="CB24" t="str">
            <v>HA</v>
          </cell>
        </row>
        <row r="25">
          <cell r="AL25">
            <v>2.4838172110054302</v>
          </cell>
          <cell r="CB25" t="str">
            <v>HDh</v>
          </cell>
        </row>
        <row r="26">
          <cell r="AL26">
            <v>3.4984299010327513</v>
          </cell>
          <cell r="CB26" t="str">
            <v>Sh</v>
          </cell>
        </row>
        <row r="27">
          <cell r="AL27">
            <v>2.7933024226003562</v>
          </cell>
          <cell r="CB27" t="str">
            <v>N</v>
          </cell>
        </row>
        <row r="28">
          <cell r="AL28">
            <v>5.8756844384487197</v>
          </cell>
          <cell r="CB28" t="str">
            <v>R</v>
          </cell>
        </row>
        <row r="29">
          <cell r="CB29" t="str">
            <v>B</v>
          </cell>
        </row>
        <row r="30">
          <cell r="CB30" t="str">
            <v>Lh</v>
          </cell>
        </row>
        <row r="31">
          <cell r="CB31" t="str">
            <v>K</v>
          </cell>
        </row>
        <row r="32">
          <cell r="CB32" t="str">
            <v>AA</v>
          </cell>
        </row>
        <row r="33">
          <cell r="CB33" t="str">
            <v>ADh</v>
          </cell>
        </row>
        <row r="34">
          <cell r="CB34" t="str">
            <v>V</v>
          </cell>
        </row>
        <row r="35">
          <cell r="CB35" t="str">
            <v>M</v>
          </cell>
        </row>
        <row r="36">
          <cell r="CB36" t="str">
            <v>F</v>
          </cell>
        </row>
        <row r="37">
          <cell r="CB37" t="str">
            <v>Dh</v>
          </cell>
        </row>
        <row r="38">
          <cell r="CB38" t="str">
            <v>Th</v>
          </cell>
        </row>
        <row r="39">
          <cell r="CB39" t="str">
            <v>L</v>
          </cell>
        </row>
        <row r="40">
          <cell r="CB40" t="str">
            <v>GA</v>
          </cell>
        </row>
        <row r="41">
          <cell r="CB41" t="str">
            <v>GDh</v>
          </cell>
        </row>
        <row r="42">
          <cell r="CB42" t="str">
            <v>Gn</v>
          </cell>
        </row>
        <row r="43">
          <cell r="CB43" t="str">
            <v>S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6"/>
  <sheetViews>
    <sheetView tabSelected="1" zoomScaleNormal="100" workbookViewId="0">
      <selection activeCell="W24" sqref="W24"/>
    </sheetView>
  </sheetViews>
  <sheetFormatPr defaultColWidth="9.140625" defaultRowHeight="12.75" x14ac:dyDescent="0.25"/>
  <cols>
    <col min="1" max="1" width="22.28515625" style="18" customWidth="1"/>
    <col min="2" max="2" width="17.140625" style="16" customWidth="1"/>
    <col min="3" max="3" width="11.5703125" style="16" customWidth="1"/>
    <col min="4" max="5" width="13.28515625" style="16" customWidth="1"/>
    <col min="6" max="6" width="2.140625" style="16" customWidth="1"/>
    <col min="7" max="7" width="11.7109375" style="16" customWidth="1"/>
    <col min="8" max="8" width="17.5703125" style="16" customWidth="1"/>
    <col min="9" max="9" width="1.7109375" style="16" customWidth="1"/>
    <col min="10" max="10" width="8.42578125" style="16" customWidth="1"/>
    <col min="11" max="11" width="9.42578125" style="16" customWidth="1"/>
    <col min="12" max="12" width="11" style="16" bestFit="1" customWidth="1"/>
    <col min="13" max="13" width="2" style="16" customWidth="1"/>
    <col min="14" max="14" width="9.5703125" style="16" customWidth="1"/>
    <col min="15" max="15" width="23.28515625" style="16" customWidth="1"/>
    <col min="16" max="16" width="1.140625" style="16" customWidth="1"/>
    <col min="17" max="17" width="3" style="16" customWidth="1"/>
    <col min="18" max="21" width="9.85546875" style="16" customWidth="1"/>
    <col min="22" max="23" width="11.140625" style="16" customWidth="1"/>
    <col min="24" max="16384" width="9.140625" style="16"/>
  </cols>
  <sheetData>
    <row r="1" spans="1:23" ht="19.5" x14ac:dyDescent="0.25">
      <c r="A1" s="75" t="s">
        <v>47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15">
        <v>2017</v>
      </c>
      <c r="Q1" s="15"/>
      <c r="R1" s="15"/>
      <c r="S1" s="15"/>
      <c r="T1" s="15"/>
      <c r="U1" s="15"/>
      <c r="V1" s="15"/>
      <c r="W1" s="15"/>
    </row>
    <row r="2" spans="1:23" ht="15" x14ac:dyDescent="0.25">
      <c r="A2" s="78" t="s">
        <v>46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</row>
    <row r="3" spans="1:23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23" ht="15.75" x14ac:dyDescent="0.25">
      <c r="C4" s="17" t="s">
        <v>21</v>
      </c>
      <c r="D4" s="79" t="s">
        <v>22</v>
      </c>
      <c r="E4" s="79"/>
      <c r="F4" s="19"/>
      <c r="G4" s="76" t="s">
        <v>17</v>
      </c>
      <c r="H4" s="76"/>
      <c r="I4" s="19"/>
      <c r="K4" s="19"/>
      <c r="L4" s="20"/>
      <c r="M4" s="20"/>
      <c r="N4" s="11" t="s">
        <v>23</v>
      </c>
      <c r="O4" s="7"/>
      <c r="P4" s="21"/>
      <c r="Q4" s="21"/>
      <c r="R4" s="21"/>
      <c r="S4" s="21"/>
      <c r="T4" s="21"/>
      <c r="U4" s="21"/>
      <c r="V4" s="21"/>
      <c r="W4" s="21"/>
    </row>
    <row r="5" spans="1:23" ht="15.75" x14ac:dyDescent="0.25">
      <c r="C5" s="22"/>
      <c r="D5" s="23" t="s">
        <v>24</v>
      </c>
      <c r="E5" s="23" t="s">
        <v>24</v>
      </c>
      <c r="F5" s="19"/>
      <c r="G5" s="80" t="s">
        <v>25</v>
      </c>
      <c r="H5" s="80"/>
      <c r="I5" s="24"/>
      <c r="J5" s="25" t="s">
        <v>18</v>
      </c>
      <c r="K5" s="26"/>
      <c r="L5" s="20" t="s">
        <v>26</v>
      </c>
      <c r="M5" s="27"/>
      <c r="N5" s="28" t="s">
        <v>11</v>
      </c>
      <c r="O5" s="29"/>
      <c r="P5" s="21"/>
      <c r="Q5" s="21"/>
      <c r="R5" s="21"/>
      <c r="S5" s="21"/>
      <c r="T5" s="21"/>
      <c r="U5" s="21"/>
      <c r="V5" s="21"/>
      <c r="W5" s="21"/>
    </row>
    <row r="6" spans="1:23" ht="15.75" x14ac:dyDescent="0.25">
      <c r="A6" s="14" t="s">
        <v>10</v>
      </c>
      <c r="B6" s="11" t="s">
        <v>27</v>
      </c>
      <c r="C6" s="11" t="s">
        <v>0</v>
      </c>
      <c r="D6" s="11" t="s">
        <v>28</v>
      </c>
      <c r="E6" s="11" t="s">
        <v>29</v>
      </c>
      <c r="F6" s="30"/>
      <c r="G6" s="12" t="s">
        <v>0</v>
      </c>
      <c r="H6" s="11" t="s">
        <v>19</v>
      </c>
      <c r="I6" s="19"/>
      <c r="J6" s="12" t="s">
        <v>0</v>
      </c>
      <c r="K6" s="31" t="s">
        <v>30</v>
      </c>
      <c r="L6" s="23" t="s">
        <v>23</v>
      </c>
      <c r="M6" s="1"/>
      <c r="N6" s="5" t="s">
        <v>31</v>
      </c>
      <c r="O6" s="11" t="s">
        <v>32</v>
      </c>
      <c r="P6" s="21"/>
      <c r="Q6" s="21"/>
      <c r="R6" s="21"/>
      <c r="S6" s="21"/>
      <c r="T6" s="21"/>
      <c r="U6" s="21"/>
      <c r="V6" s="21"/>
      <c r="W6" s="21"/>
    </row>
    <row r="7" spans="1:23" ht="15" x14ac:dyDescent="0.25">
      <c r="A7" s="32"/>
      <c r="B7" s="13" t="s">
        <v>33</v>
      </c>
      <c r="C7" s="13" t="s">
        <v>1</v>
      </c>
      <c r="D7" s="13" t="s">
        <v>20</v>
      </c>
      <c r="E7" s="13" t="s">
        <v>34</v>
      </c>
      <c r="F7" s="17"/>
      <c r="G7" s="2" t="s">
        <v>1</v>
      </c>
      <c r="H7" s="2" t="s">
        <v>20</v>
      </c>
      <c r="I7" s="2"/>
      <c r="J7" s="3" t="s">
        <v>1</v>
      </c>
      <c r="K7" s="13" t="s">
        <v>35</v>
      </c>
      <c r="L7" s="13" t="s">
        <v>36</v>
      </c>
      <c r="M7" s="13"/>
      <c r="N7" s="13" t="s">
        <v>37</v>
      </c>
      <c r="O7" s="33"/>
      <c r="P7" s="21"/>
      <c r="Q7" s="21"/>
      <c r="R7" s="21"/>
      <c r="S7" s="21"/>
      <c r="T7" s="21"/>
      <c r="U7" s="21"/>
      <c r="V7" s="21"/>
      <c r="W7" s="21"/>
    </row>
    <row r="8" spans="1:23" s="41" customFormat="1" ht="15" x14ac:dyDescent="0.25">
      <c r="A8" s="34" t="s">
        <v>2</v>
      </c>
      <c r="B8" s="35">
        <f>SUM(B13+B18)</f>
        <v>87913</v>
      </c>
      <c r="C8" s="36">
        <f>SUM(D8+E8)</f>
        <v>9586</v>
      </c>
      <c r="D8" s="35">
        <f>SUM(D9:D12)</f>
        <v>9011</v>
      </c>
      <c r="E8" s="35">
        <f>SUM(E9:E12)</f>
        <v>575</v>
      </c>
      <c r="F8" s="37"/>
      <c r="G8" s="35">
        <f>B8/C8</f>
        <v>9.1709785103275614</v>
      </c>
      <c r="H8" s="35">
        <f t="shared" ref="H8:H22" si="0">B8/D8</f>
        <v>9.7561868826989233</v>
      </c>
      <c r="I8" s="35"/>
      <c r="J8" s="36">
        <f>SUM(K8:L8)</f>
        <v>9586</v>
      </c>
      <c r="K8" s="35">
        <f>SUM(K9:K12)</f>
        <v>7284</v>
      </c>
      <c r="L8" s="35">
        <f>SUM(L9:L12)</f>
        <v>2302</v>
      </c>
      <c r="M8" s="38"/>
      <c r="N8" s="35">
        <f>L8/J8*100</f>
        <v>24.014187356561653</v>
      </c>
      <c r="O8" s="39" t="s">
        <v>3</v>
      </c>
      <c r="P8" s="40"/>
      <c r="Q8" s="40"/>
      <c r="R8" s="40"/>
      <c r="S8" s="40"/>
      <c r="T8" s="40"/>
      <c r="U8" s="40"/>
      <c r="V8" s="40"/>
      <c r="W8" s="40"/>
    </row>
    <row r="9" spans="1:23" ht="15" x14ac:dyDescent="0.25">
      <c r="A9" s="42" t="s">
        <v>12</v>
      </c>
      <c r="B9" s="43">
        <f>B14+B19</f>
        <v>20411</v>
      </c>
      <c r="C9" s="44">
        <f>SUM(D9+E9)</f>
        <v>1339</v>
      </c>
      <c r="D9" s="43">
        <f t="shared" ref="D9:E12" si="1">SUM(D14+D19)</f>
        <v>1188</v>
      </c>
      <c r="E9" s="43">
        <f t="shared" si="1"/>
        <v>151</v>
      </c>
      <c r="F9" s="43"/>
      <c r="G9" s="43">
        <f>B9/C9</f>
        <v>15.243465272591486</v>
      </c>
      <c r="H9" s="43">
        <f t="shared" si="0"/>
        <v>17.180976430976433</v>
      </c>
      <c r="I9" s="43"/>
      <c r="J9" s="44">
        <f t="shared" ref="J9:J18" si="2">SUM(K9:L9)</f>
        <v>1337</v>
      </c>
      <c r="K9" s="43">
        <f t="shared" ref="K9:L12" si="3">SUM(K14+K19)</f>
        <v>1309</v>
      </c>
      <c r="L9" s="43">
        <f t="shared" si="3"/>
        <v>28</v>
      </c>
      <c r="M9" s="45"/>
      <c r="N9" s="43">
        <f>L9/J9*100</f>
        <v>2.0942408376963351</v>
      </c>
      <c r="O9" s="46" t="s">
        <v>16</v>
      </c>
      <c r="P9" s="47"/>
      <c r="Q9" s="48"/>
      <c r="R9" s="48"/>
      <c r="S9" s="48"/>
      <c r="T9" s="47"/>
      <c r="U9" s="47"/>
      <c r="V9" s="47"/>
      <c r="W9" s="47"/>
    </row>
    <row r="10" spans="1:23" ht="15" x14ac:dyDescent="0.2">
      <c r="A10" s="8" t="s">
        <v>13</v>
      </c>
      <c r="B10" s="43">
        <f t="shared" ref="B10:B12" si="4">B15+B20</f>
        <v>47236</v>
      </c>
      <c r="C10" s="44">
        <f>SUM(D10+E10)</f>
        <v>4582</v>
      </c>
      <c r="D10" s="43">
        <f t="shared" si="1"/>
        <v>4219</v>
      </c>
      <c r="E10" s="43">
        <f t="shared" si="1"/>
        <v>363</v>
      </c>
      <c r="F10" s="43"/>
      <c r="G10" s="43">
        <f>B10/C10</f>
        <v>10.309035355739852</v>
      </c>
      <c r="H10" s="43">
        <f t="shared" si="0"/>
        <v>11.196018013747333</v>
      </c>
      <c r="I10" s="43"/>
      <c r="J10" s="44">
        <f t="shared" si="2"/>
        <v>4543</v>
      </c>
      <c r="K10" s="43">
        <f t="shared" si="3"/>
        <v>3863</v>
      </c>
      <c r="L10" s="43">
        <f t="shared" si="3"/>
        <v>680</v>
      </c>
      <c r="M10" s="45"/>
      <c r="N10" s="43">
        <f t="shared" ref="N10:N22" si="5">L10/J10*100</f>
        <v>14.968082764692934</v>
      </c>
      <c r="O10" s="49" t="s">
        <v>38</v>
      </c>
      <c r="P10" s="47"/>
      <c r="Q10" s="48"/>
      <c r="R10" s="48"/>
      <c r="S10" s="48"/>
      <c r="T10" s="47"/>
      <c r="U10" s="47"/>
      <c r="V10" s="47"/>
      <c r="W10" s="47"/>
    </row>
    <row r="11" spans="1:23" ht="15" x14ac:dyDescent="0.2">
      <c r="A11" s="8" t="s">
        <v>14</v>
      </c>
      <c r="B11" s="43">
        <f t="shared" si="4"/>
        <v>16289</v>
      </c>
      <c r="C11" s="44">
        <f t="shared" ref="C11:C12" si="6">SUM(D11+E11)</f>
        <v>2984</v>
      </c>
      <c r="D11" s="43">
        <f t="shared" si="1"/>
        <v>2930</v>
      </c>
      <c r="E11" s="43">
        <f t="shared" si="1"/>
        <v>54</v>
      </c>
      <c r="F11" s="43"/>
      <c r="G11" s="43">
        <f>B11/C11</f>
        <v>5.4587801608579092</v>
      </c>
      <c r="H11" s="43">
        <f t="shared" si="0"/>
        <v>5.5593856655290104</v>
      </c>
      <c r="I11" s="43"/>
      <c r="J11" s="44">
        <f t="shared" si="2"/>
        <v>3053</v>
      </c>
      <c r="K11" s="43">
        <f t="shared" si="3"/>
        <v>1755</v>
      </c>
      <c r="L11" s="43">
        <f t="shared" si="3"/>
        <v>1298</v>
      </c>
      <c r="M11" s="45"/>
      <c r="N11" s="43">
        <f t="shared" si="5"/>
        <v>42.515558467081561</v>
      </c>
      <c r="O11" s="49" t="s">
        <v>39</v>
      </c>
      <c r="P11" s="47"/>
      <c r="Q11" s="48"/>
      <c r="R11" s="48"/>
      <c r="S11" s="48"/>
      <c r="T11" s="47"/>
      <c r="U11" s="47"/>
      <c r="V11" s="47"/>
      <c r="W11" s="47"/>
    </row>
    <row r="12" spans="1:23" ht="15" x14ac:dyDescent="0.2">
      <c r="A12" s="8" t="s">
        <v>15</v>
      </c>
      <c r="B12" s="43">
        <f t="shared" si="4"/>
        <v>3977</v>
      </c>
      <c r="C12" s="44">
        <f t="shared" si="6"/>
        <v>681</v>
      </c>
      <c r="D12" s="43">
        <f t="shared" si="1"/>
        <v>674</v>
      </c>
      <c r="E12" s="43">
        <f t="shared" si="1"/>
        <v>7</v>
      </c>
      <c r="F12" s="43"/>
      <c r="G12" s="43">
        <f t="shared" ref="G12:G22" si="7">B12/C12</f>
        <v>5.8399412628487521</v>
      </c>
      <c r="H12" s="43">
        <f t="shared" si="0"/>
        <v>5.9005934718100894</v>
      </c>
      <c r="I12" s="43"/>
      <c r="J12" s="44">
        <f t="shared" si="2"/>
        <v>653</v>
      </c>
      <c r="K12" s="43">
        <f t="shared" si="3"/>
        <v>357</v>
      </c>
      <c r="L12" s="43">
        <f t="shared" si="3"/>
        <v>296</v>
      </c>
      <c r="M12" s="45"/>
      <c r="N12" s="43">
        <f t="shared" si="5"/>
        <v>45.329249617151604</v>
      </c>
      <c r="O12" s="49" t="s">
        <v>40</v>
      </c>
      <c r="P12" s="47"/>
      <c r="Q12" s="48"/>
      <c r="R12" s="48"/>
      <c r="S12" s="48"/>
      <c r="T12" s="47"/>
      <c r="U12" s="47"/>
      <c r="V12" s="47"/>
      <c r="W12" s="47"/>
    </row>
    <row r="13" spans="1:23" s="41" customFormat="1" ht="15" x14ac:dyDescent="0.25">
      <c r="A13" s="34" t="s">
        <v>4</v>
      </c>
      <c r="B13" s="35">
        <f>SUM(B14:B17)</f>
        <v>32058</v>
      </c>
      <c r="C13" s="36">
        <f>SUM(D13+E13)</f>
        <v>2692</v>
      </c>
      <c r="D13" s="37">
        <f>SUM(D14:D17)</f>
        <v>2651</v>
      </c>
      <c r="E13" s="37">
        <f>SUM(E14:E17)</f>
        <v>41</v>
      </c>
      <c r="F13" s="35"/>
      <c r="G13" s="35">
        <f t="shared" si="7"/>
        <v>11.908618127786033</v>
      </c>
      <c r="H13" s="35">
        <f t="shared" si="0"/>
        <v>12.092795171633346</v>
      </c>
      <c r="I13" s="35"/>
      <c r="J13" s="36">
        <f t="shared" si="2"/>
        <v>2692</v>
      </c>
      <c r="K13" s="36">
        <f>SUM(K14:K17)</f>
        <v>2127</v>
      </c>
      <c r="L13" s="36">
        <f>SUM(L14:L17)</f>
        <v>565</v>
      </c>
      <c r="M13" s="38"/>
      <c r="N13" s="35">
        <f t="shared" si="5"/>
        <v>20.988112927191679</v>
      </c>
      <c r="O13" s="11" t="s">
        <v>5</v>
      </c>
      <c r="P13" s="47"/>
      <c r="Q13" s="48"/>
      <c r="R13" s="48"/>
      <c r="S13" s="48"/>
      <c r="T13" s="21"/>
      <c r="U13" s="21"/>
      <c r="V13" s="21"/>
      <c r="W13" s="21"/>
    </row>
    <row r="14" spans="1:23" ht="15" x14ac:dyDescent="0.2">
      <c r="A14" s="42" t="s">
        <v>12</v>
      </c>
      <c r="B14" s="43">
        <v>7896</v>
      </c>
      <c r="C14" s="44">
        <f>SUM(D14:E14)</f>
        <v>595</v>
      </c>
      <c r="D14" s="50">
        <v>595</v>
      </c>
      <c r="E14" s="51">
        <v>0</v>
      </c>
      <c r="F14" s="43"/>
      <c r="G14" s="43">
        <f t="shared" si="7"/>
        <v>13.270588235294118</v>
      </c>
      <c r="H14" s="43">
        <f t="shared" si="0"/>
        <v>13.270588235294118</v>
      </c>
      <c r="I14" s="43"/>
      <c r="J14" s="44">
        <f>SUM(K14:L14)</f>
        <v>593</v>
      </c>
      <c r="K14" s="44">
        <v>568</v>
      </c>
      <c r="L14" s="44">
        <v>25</v>
      </c>
      <c r="M14" s="45"/>
      <c r="N14" s="43">
        <f>L14/J14*100</f>
        <v>4.2158516020236094</v>
      </c>
      <c r="O14" s="46" t="s">
        <v>16</v>
      </c>
      <c r="P14" s="47"/>
      <c r="Q14" s="48"/>
      <c r="R14" s="48"/>
      <c r="S14" s="48"/>
      <c r="T14" s="21"/>
      <c r="U14" s="21"/>
      <c r="V14" s="21"/>
      <c r="W14" s="21"/>
    </row>
    <row r="15" spans="1:23" ht="15" x14ac:dyDescent="0.35">
      <c r="A15" s="8" t="s">
        <v>13</v>
      </c>
      <c r="B15" s="43">
        <v>16218</v>
      </c>
      <c r="C15" s="44">
        <f t="shared" ref="C15:C17" si="8">SUM(D15:E15)</f>
        <v>1224</v>
      </c>
      <c r="D15" s="50">
        <v>1185</v>
      </c>
      <c r="E15" s="51">
        <v>39</v>
      </c>
      <c r="F15" s="43"/>
      <c r="G15" s="43">
        <f t="shared" si="7"/>
        <v>13.25</v>
      </c>
      <c r="H15" s="43">
        <f t="shared" si="0"/>
        <v>13.686075949367089</v>
      </c>
      <c r="I15" s="43"/>
      <c r="J15" s="44">
        <f t="shared" ref="J15:J17" si="9">SUM(K15:L15)</f>
        <v>1274</v>
      </c>
      <c r="K15" s="44">
        <v>1009</v>
      </c>
      <c r="L15" s="44">
        <v>265</v>
      </c>
      <c r="M15" s="45"/>
      <c r="N15" s="43">
        <f t="shared" si="5"/>
        <v>20.800627943485086</v>
      </c>
      <c r="O15" s="52" t="s">
        <v>38</v>
      </c>
      <c r="P15" s="47"/>
      <c r="Q15" s="48"/>
      <c r="R15" s="48"/>
      <c r="S15" s="48"/>
      <c r="T15" s="21"/>
      <c r="U15" s="21"/>
      <c r="V15" s="21"/>
      <c r="W15" s="21"/>
    </row>
    <row r="16" spans="1:23" ht="15" x14ac:dyDescent="0.35">
      <c r="A16" s="8" t="s">
        <v>14</v>
      </c>
      <c r="B16" s="43">
        <v>5499</v>
      </c>
      <c r="C16" s="44">
        <f t="shared" si="8"/>
        <v>676</v>
      </c>
      <c r="D16" s="50">
        <v>675</v>
      </c>
      <c r="E16" s="51">
        <v>1</v>
      </c>
      <c r="F16" s="43"/>
      <c r="G16" s="43">
        <f t="shared" si="7"/>
        <v>8.134615384615385</v>
      </c>
      <c r="H16" s="43">
        <f t="shared" si="0"/>
        <v>8.1466666666666665</v>
      </c>
      <c r="I16" s="43"/>
      <c r="J16" s="44">
        <f t="shared" si="9"/>
        <v>636</v>
      </c>
      <c r="K16" s="44">
        <v>436</v>
      </c>
      <c r="L16" s="44">
        <v>200</v>
      </c>
      <c r="M16" s="45"/>
      <c r="N16" s="43">
        <f t="shared" si="5"/>
        <v>31.446540880503143</v>
      </c>
      <c r="O16" s="52" t="s">
        <v>39</v>
      </c>
      <c r="P16" s="47"/>
      <c r="Q16" s="48"/>
      <c r="R16" s="48"/>
      <c r="S16" s="48"/>
      <c r="T16" s="21"/>
      <c r="U16" s="21"/>
      <c r="V16" s="21"/>
      <c r="W16" s="21"/>
    </row>
    <row r="17" spans="1:31" s="54" customFormat="1" ht="15.2" customHeight="1" x14ac:dyDescent="0.35">
      <c r="A17" s="8" t="s">
        <v>15</v>
      </c>
      <c r="B17" s="43">
        <v>2445</v>
      </c>
      <c r="C17" s="44">
        <f t="shared" si="8"/>
        <v>197</v>
      </c>
      <c r="D17" s="43">
        <v>196</v>
      </c>
      <c r="E17" s="43">
        <v>1</v>
      </c>
      <c r="F17" s="50"/>
      <c r="G17" s="43">
        <f t="shared" si="7"/>
        <v>12.411167512690355</v>
      </c>
      <c r="H17" s="43">
        <f t="shared" si="0"/>
        <v>12.474489795918368</v>
      </c>
      <c r="I17" s="43"/>
      <c r="J17" s="44">
        <f t="shared" si="9"/>
        <v>189</v>
      </c>
      <c r="K17" s="44">
        <v>114</v>
      </c>
      <c r="L17" s="44">
        <v>75</v>
      </c>
      <c r="M17" s="53"/>
      <c r="N17" s="43">
        <f t="shared" si="5"/>
        <v>39.682539682539684</v>
      </c>
      <c r="O17" s="52" t="s">
        <v>40</v>
      </c>
      <c r="P17" s="21"/>
      <c r="Q17" s="30"/>
      <c r="R17" s="30"/>
      <c r="S17" s="30"/>
      <c r="T17" s="21"/>
      <c r="U17" s="21"/>
      <c r="V17" s="21"/>
      <c r="W17" s="21"/>
    </row>
    <row r="18" spans="1:31" s="41" customFormat="1" ht="14.25" customHeight="1" x14ac:dyDescent="0.25">
      <c r="A18" s="34" t="s">
        <v>6</v>
      </c>
      <c r="B18" s="35">
        <f>SUM(B19:B22)</f>
        <v>55855</v>
      </c>
      <c r="C18" s="36">
        <f t="shared" ref="C18" si="10">SUM(D18+E18)</f>
        <v>6894</v>
      </c>
      <c r="D18" s="37">
        <f>SUM(D19:D22)</f>
        <v>6360</v>
      </c>
      <c r="E18" s="37">
        <f>SUM(E19:E22)</f>
        <v>534</v>
      </c>
      <c r="F18" s="35"/>
      <c r="G18" s="35">
        <f t="shared" si="7"/>
        <v>8.1019727299100666</v>
      </c>
      <c r="H18" s="35">
        <f t="shared" si="0"/>
        <v>8.7822327044025155</v>
      </c>
      <c r="I18" s="35"/>
      <c r="J18" s="36">
        <f t="shared" si="2"/>
        <v>6894</v>
      </c>
      <c r="K18" s="35">
        <f>SUM(K19:K22)</f>
        <v>5157</v>
      </c>
      <c r="L18" s="35">
        <f>SUM(L19:L22)</f>
        <v>1737</v>
      </c>
      <c r="M18" s="38"/>
      <c r="N18" s="35">
        <f>L18/J18*100</f>
        <v>25.195822454308093</v>
      </c>
      <c r="O18" s="29" t="s">
        <v>7</v>
      </c>
      <c r="P18" s="21"/>
      <c r="Q18" s="30"/>
      <c r="R18" s="30"/>
      <c r="S18" s="30"/>
      <c r="T18" s="21"/>
      <c r="U18" s="21"/>
      <c r="V18" s="21"/>
      <c r="W18" s="21"/>
    </row>
    <row r="19" spans="1:31" ht="13.7" customHeight="1" x14ac:dyDescent="0.2">
      <c r="A19" s="42" t="s">
        <v>12</v>
      </c>
      <c r="B19" s="43">
        <v>12515</v>
      </c>
      <c r="C19" s="74">
        <f>SUM(D19:E19)</f>
        <v>744</v>
      </c>
      <c r="D19" s="50">
        <v>593</v>
      </c>
      <c r="E19" s="50">
        <v>151</v>
      </c>
      <c r="F19" s="43"/>
      <c r="G19" s="43">
        <f t="shared" si="7"/>
        <v>16.821236559139784</v>
      </c>
      <c r="H19" s="43">
        <f t="shared" si="0"/>
        <v>21.104553119730184</v>
      </c>
      <c r="I19" s="43"/>
      <c r="J19" s="44">
        <f>SUM(K19:L19)</f>
        <v>744</v>
      </c>
      <c r="K19" s="55">
        <v>741</v>
      </c>
      <c r="L19" s="56">
        <v>3</v>
      </c>
      <c r="M19" s="45"/>
      <c r="N19" s="43">
        <f>L19/J19*100</f>
        <v>0.40322580645161288</v>
      </c>
      <c r="O19" s="46" t="s">
        <v>16</v>
      </c>
      <c r="P19" s="21"/>
      <c r="Q19" s="21"/>
      <c r="R19" s="21"/>
      <c r="S19" s="21"/>
      <c r="T19" s="21"/>
      <c r="U19" s="21"/>
      <c r="V19" s="21"/>
      <c r="W19" s="21"/>
    </row>
    <row r="20" spans="1:31" ht="15" x14ac:dyDescent="0.35">
      <c r="A20" s="57" t="s">
        <v>13</v>
      </c>
      <c r="B20" s="43">
        <v>31018</v>
      </c>
      <c r="C20" s="74">
        <f t="shared" ref="C20:C22" si="11">SUM(D20:E20)</f>
        <v>3358</v>
      </c>
      <c r="D20" s="50">
        <v>3034</v>
      </c>
      <c r="E20" s="50">
        <v>324</v>
      </c>
      <c r="F20" s="50"/>
      <c r="G20" s="43">
        <f t="shared" si="7"/>
        <v>9.2370458606313282</v>
      </c>
      <c r="H20" s="43">
        <f t="shared" si="0"/>
        <v>10.223467369808834</v>
      </c>
      <c r="I20" s="50"/>
      <c r="J20" s="44">
        <f t="shared" ref="J20:J22" si="12">SUM(K20:L20)</f>
        <v>3269</v>
      </c>
      <c r="K20" s="55">
        <v>2854</v>
      </c>
      <c r="L20" s="58">
        <v>415</v>
      </c>
      <c r="M20" s="53"/>
      <c r="N20" s="43">
        <f t="shared" si="5"/>
        <v>12.695013765677576</v>
      </c>
      <c r="O20" s="52" t="s">
        <v>38</v>
      </c>
      <c r="P20" s="21"/>
      <c r="Q20" s="21"/>
      <c r="R20" s="21"/>
      <c r="S20" s="21"/>
      <c r="T20" s="21"/>
      <c r="U20" s="21"/>
      <c r="V20" s="21"/>
      <c r="W20" s="21"/>
    </row>
    <row r="21" spans="1:31" ht="16.5" x14ac:dyDescent="0.35">
      <c r="A21" s="57" t="s">
        <v>14</v>
      </c>
      <c r="B21" s="43">
        <v>10790</v>
      </c>
      <c r="C21" s="74">
        <f t="shared" si="11"/>
        <v>2308</v>
      </c>
      <c r="D21" s="50">
        <v>2255</v>
      </c>
      <c r="E21" s="50">
        <v>53</v>
      </c>
      <c r="F21" s="50"/>
      <c r="G21" s="43">
        <f t="shared" si="7"/>
        <v>4.6750433275563257</v>
      </c>
      <c r="H21" s="43">
        <f t="shared" si="0"/>
        <v>4.7849223946784925</v>
      </c>
      <c r="I21" s="50"/>
      <c r="J21" s="44">
        <f t="shared" si="12"/>
        <v>2417</v>
      </c>
      <c r="K21" s="55">
        <v>1319</v>
      </c>
      <c r="L21" s="58">
        <v>1098</v>
      </c>
      <c r="M21" s="53"/>
      <c r="N21" s="43">
        <f t="shared" si="5"/>
        <v>45.428216797683078</v>
      </c>
      <c r="O21" s="52" t="s">
        <v>39</v>
      </c>
      <c r="P21" s="21"/>
      <c r="Q21" s="21"/>
      <c r="R21" s="21"/>
      <c r="S21" s="21"/>
      <c r="T21" s="21"/>
      <c r="U21" s="21"/>
      <c r="V21" s="21"/>
      <c r="W21" s="21"/>
      <c r="X21" s="6"/>
      <c r="Y21" s="59"/>
      <c r="Z21" s="59"/>
      <c r="AA21" s="6"/>
      <c r="AB21" s="6"/>
      <c r="AC21" s="24"/>
      <c r="AD21" s="24"/>
      <c r="AE21" s="6"/>
    </row>
    <row r="22" spans="1:31" s="54" customFormat="1" ht="16.5" x14ac:dyDescent="0.35">
      <c r="A22" s="9" t="s">
        <v>15</v>
      </c>
      <c r="B22" s="60">
        <v>1532</v>
      </c>
      <c r="C22" s="61">
        <f t="shared" si="11"/>
        <v>484</v>
      </c>
      <c r="D22" s="60">
        <v>478</v>
      </c>
      <c r="E22" s="60">
        <v>6</v>
      </c>
      <c r="F22" s="60"/>
      <c r="G22" s="60">
        <f t="shared" si="7"/>
        <v>3.165289256198347</v>
      </c>
      <c r="H22" s="60">
        <f t="shared" si="0"/>
        <v>3.2050209205020921</v>
      </c>
      <c r="I22" s="60"/>
      <c r="J22" s="61">
        <f t="shared" si="12"/>
        <v>464</v>
      </c>
      <c r="K22" s="62">
        <v>243</v>
      </c>
      <c r="L22" s="63">
        <v>221</v>
      </c>
      <c r="M22" s="64"/>
      <c r="N22" s="60">
        <f t="shared" si="5"/>
        <v>47.629310344827587</v>
      </c>
      <c r="O22" s="65" t="s">
        <v>41</v>
      </c>
      <c r="P22" s="21"/>
      <c r="Q22" s="21"/>
      <c r="R22" s="21"/>
      <c r="S22" s="21"/>
      <c r="T22" s="21"/>
      <c r="U22" s="21"/>
      <c r="V22" s="21"/>
      <c r="W22" s="21"/>
      <c r="X22" s="66"/>
      <c r="Y22" s="67"/>
      <c r="Z22" s="67"/>
      <c r="AA22" s="10"/>
      <c r="AB22" s="66"/>
      <c r="AC22" s="67"/>
      <c r="AD22" s="67"/>
      <c r="AE22" s="10"/>
    </row>
    <row r="23" spans="1:31" ht="15" x14ac:dyDescent="0.25">
      <c r="A23" s="4" t="s">
        <v>8</v>
      </c>
      <c r="D23" s="68"/>
      <c r="E23" s="69"/>
      <c r="G23" s="70"/>
      <c r="O23" s="71" t="s">
        <v>9</v>
      </c>
      <c r="P23" s="21"/>
      <c r="Q23" s="21"/>
      <c r="R23" s="21"/>
      <c r="S23" s="21"/>
      <c r="T23" s="21"/>
      <c r="U23" s="21"/>
      <c r="V23" s="21"/>
      <c r="W23" s="21"/>
      <c r="X23" s="72"/>
      <c r="Y23" s="67"/>
      <c r="Z23" s="43"/>
      <c r="AA23" s="43"/>
      <c r="AB23" s="72"/>
      <c r="AC23" s="67"/>
      <c r="AD23" s="67"/>
      <c r="AE23" s="6"/>
    </row>
    <row r="24" spans="1:31" ht="15" x14ac:dyDescent="0.25">
      <c r="A24" s="73" t="s">
        <v>42</v>
      </c>
      <c r="E24" s="69"/>
      <c r="G24" s="70"/>
      <c r="Z24" s="43"/>
      <c r="AA24" s="43"/>
      <c r="AE24" s="6"/>
    </row>
    <row r="25" spans="1:31" ht="15" x14ac:dyDescent="0.25">
      <c r="A25" s="73" t="s">
        <v>43</v>
      </c>
      <c r="E25" s="69"/>
      <c r="G25" s="70"/>
      <c r="Z25" s="43"/>
      <c r="AA25" s="43"/>
      <c r="AE25" s="6"/>
    </row>
    <row r="26" spans="1:31" ht="15" x14ac:dyDescent="0.25">
      <c r="A26" s="73" t="s">
        <v>44</v>
      </c>
      <c r="F26" s="68"/>
      <c r="G26" s="68"/>
      <c r="H26" s="68"/>
      <c r="I26" s="68"/>
      <c r="J26" s="68"/>
      <c r="K26" s="68"/>
      <c r="L26" s="68"/>
      <c r="M26" s="68"/>
      <c r="N26" s="68"/>
      <c r="X26" s="6"/>
      <c r="Y26" s="6"/>
      <c r="Z26" s="43"/>
      <c r="AA26" s="43"/>
      <c r="AB26" s="6"/>
      <c r="AC26" s="6"/>
      <c r="AD26" s="6"/>
      <c r="AE26" s="6"/>
    </row>
    <row r="27" spans="1:31" ht="15" x14ac:dyDescent="0.25">
      <c r="A27" s="73" t="s">
        <v>45</v>
      </c>
      <c r="X27" s="6"/>
      <c r="Y27" s="6"/>
      <c r="Z27" s="43"/>
      <c r="AA27" s="43"/>
      <c r="AB27" s="6"/>
      <c r="AC27" s="6"/>
      <c r="AD27" s="6"/>
      <c r="AE27" s="6"/>
    </row>
    <row r="28" spans="1:31" ht="15" x14ac:dyDescent="0.25">
      <c r="A28" s="73"/>
      <c r="D28" s="77"/>
      <c r="E28" s="77"/>
      <c r="F28" s="77"/>
      <c r="G28" s="77"/>
      <c r="H28" s="77"/>
      <c r="X28" s="6"/>
      <c r="Y28" s="6"/>
      <c r="Z28" s="6"/>
      <c r="AA28" s="6"/>
      <c r="AB28" s="6"/>
      <c r="AC28" s="6"/>
      <c r="AD28" s="6"/>
      <c r="AE28" s="6"/>
    </row>
    <row r="29" spans="1:31" ht="15" hidden="1" x14ac:dyDescent="0.25">
      <c r="A29" s="73"/>
      <c r="D29" s="77"/>
      <c r="E29" s="77"/>
      <c r="F29" s="77"/>
      <c r="G29" s="77"/>
      <c r="H29" s="77"/>
      <c r="X29" s="6"/>
      <c r="Y29" s="6"/>
      <c r="Z29" s="6"/>
      <c r="AA29" s="6"/>
      <c r="AB29" s="6"/>
      <c r="AC29" s="6"/>
      <c r="AD29" s="6"/>
      <c r="AE29" s="6"/>
    </row>
    <row r="30" spans="1:31" ht="15" x14ac:dyDescent="0.25">
      <c r="X30" s="6"/>
      <c r="Y30" s="6"/>
      <c r="Z30" s="6"/>
      <c r="AA30" s="6"/>
      <c r="AB30" s="6"/>
      <c r="AC30" s="6"/>
      <c r="AD30" s="6"/>
      <c r="AE30" s="6"/>
    </row>
    <row r="31" spans="1:31" ht="15" x14ac:dyDescent="0.25">
      <c r="X31" s="6"/>
      <c r="Y31" s="6"/>
      <c r="Z31" s="6"/>
      <c r="AA31" s="6"/>
      <c r="AB31" s="6"/>
      <c r="AC31" s="6"/>
      <c r="AD31" s="6"/>
      <c r="AE31" s="6"/>
    </row>
    <row r="32" spans="1:31" ht="15" x14ac:dyDescent="0.25">
      <c r="X32" s="6"/>
      <c r="Y32" s="6"/>
      <c r="Z32" s="6"/>
      <c r="AA32" s="6"/>
      <c r="AB32" s="6"/>
      <c r="AC32" s="6"/>
      <c r="AD32" s="6"/>
      <c r="AE32" s="6"/>
    </row>
    <row r="33" spans="24:31" ht="15" x14ac:dyDescent="0.25">
      <c r="X33" s="6"/>
      <c r="Y33" s="6"/>
      <c r="Z33" s="6"/>
      <c r="AA33" s="6"/>
      <c r="AB33" s="6"/>
      <c r="AC33" s="6"/>
      <c r="AD33" s="6"/>
      <c r="AE33" s="6"/>
    </row>
    <row r="34" spans="24:31" ht="15" x14ac:dyDescent="0.25">
      <c r="X34" s="6"/>
      <c r="Y34" s="6"/>
      <c r="Z34" s="6"/>
      <c r="AA34" s="6"/>
      <c r="AB34" s="6"/>
      <c r="AC34" s="6"/>
      <c r="AD34" s="6"/>
      <c r="AE34" s="6"/>
    </row>
    <row r="35" spans="24:31" ht="15" x14ac:dyDescent="0.25">
      <c r="X35" s="6"/>
      <c r="Y35" s="6"/>
      <c r="Z35" s="6"/>
      <c r="AA35" s="6"/>
      <c r="AB35" s="6"/>
      <c r="AC35" s="6"/>
      <c r="AD35" s="6"/>
      <c r="AE35" s="6"/>
    </row>
    <row r="36" spans="24:31" ht="15" x14ac:dyDescent="0.25">
      <c r="X36" s="6"/>
      <c r="Y36" s="6"/>
      <c r="Z36" s="6"/>
      <c r="AA36" s="6"/>
      <c r="AB36" s="6"/>
      <c r="AC36" s="6"/>
      <c r="AD36" s="6"/>
      <c r="AE36" s="6"/>
    </row>
    <row r="37" spans="24:31" ht="15" x14ac:dyDescent="0.25">
      <c r="X37" s="6"/>
      <c r="Y37" s="6"/>
      <c r="Z37" s="6"/>
      <c r="AA37" s="6"/>
      <c r="AB37" s="6"/>
      <c r="AC37" s="6"/>
      <c r="AD37" s="6"/>
      <c r="AE37" s="6"/>
    </row>
    <row r="38" spans="24:31" ht="15" x14ac:dyDescent="0.25">
      <c r="X38" s="6"/>
      <c r="Y38" s="6"/>
      <c r="Z38" s="6"/>
      <c r="AA38" s="6"/>
      <c r="AB38" s="6"/>
      <c r="AC38" s="6"/>
      <c r="AD38" s="6"/>
      <c r="AE38" s="6"/>
    </row>
    <row r="39" spans="24:31" ht="15" x14ac:dyDescent="0.25">
      <c r="X39" s="6"/>
      <c r="Y39" s="6"/>
      <c r="Z39" s="6"/>
      <c r="AA39" s="6"/>
      <c r="AB39" s="6"/>
      <c r="AC39" s="6"/>
      <c r="AD39" s="6"/>
      <c r="AE39" s="6"/>
    </row>
    <row r="40" spans="24:31" ht="15" x14ac:dyDescent="0.25">
      <c r="X40" s="6"/>
      <c r="Y40" s="6"/>
      <c r="Z40" s="6"/>
      <c r="AA40" s="6"/>
      <c r="AB40" s="6"/>
      <c r="AC40" s="6"/>
      <c r="AD40" s="6"/>
      <c r="AE40" s="6"/>
    </row>
    <row r="41" spans="24:31" ht="15" x14ac:dyDescent="0.25">
      <c r="X41" s="6"/>
      <c r="Y41" s="6"/>
      <c r="Z41" s="6"/>
      <c r="AA41" s="6"/>
      <c r="AB41" s="6"/>
      <c r="AC41" s="6"/>
      <c r="AD41" s="6"/>
      <c r="AE41" s="6"/>
    </row>
    <row r="42" spans="24:31" ht="15" x14ac:dyDescent="0.25">
      <c r="X42" s="6"/>
      <c r="Y42" s="6"/>
      <c r="Z42" s="6"/>
      <c r="AA42" s="6"/>
      <c r="AB42" s="6"/>
      <c r="AC42" s="6"/>
      <c r="AD42" s="6"/>
      <c r="AE42" s="6"/>
    </row>
    <row r="43" spans="24:31" ht="15" x14ac:dyDescent="0.25">
      <c r="X43" s="6"/>
      <c r="Y43" s="6"/>
      <c r="Z43" s="6"/>
      <c r="AA43" s="6"/>
      <c r="AB43" s="6"/>
      <c r="AC43" s="6"/>
      <c r="AD43" s="6"/>
      <c r="AE43" s="6"/>
    </row>
    <row r="44" spans="24:31" ht="15" x14ac:dyDescent="0.25">
      <c r="X44" s="6"/>
      <c r="Y44" s="6"/>
      <c r="Z44" s="6"/>
      <c r="AA44" s="6"/>
      <c r="AB44" s="6"/>
      <c r="AC44" s="6"/>
      <c r="AD44" s="6"/>
      <c r="AE44" s="6"/>
    </row>
    <row r="45" spans="24:31" ht="15" x14ac:dyDescent="0.25">
      <c r="X45" s="6"/>
      <c r="Y45" s="6"/>
      <c r="Z45" s="6"/>
      <c r="AA45" s="6"/>
      <c r="AB45" s="6"/>
      <c r="AC45" s="6"/>
      <c r="AD45" s="6"/>
      <c r="AE45" s="6"/>
    </row>
    <row r="46" spans="24:31" ht="15" x14ac:dyDescent="0.25">
      <c r="X46" s="6"/>
      <c r="Y46" s="6"/>
      <c r="Z46" s="6"/>
      <c r="AA46" s="6"/>
      <c r="AB46" s="6"/>
      <c r="AC46" s="6"/>
      <c r="AD46" s="6"/>
      <c r="AE46" s="6"/>
    </row>
  </sheetData>
  <mergeCells count="7">
    <mergeCell ref="D29:H29"/>
    <mergeCell ref="A1:O1"/>
    <mergeCell ref="A2:O2"/>
    <mergeCell ref="D4:E4"/>
    <mergeCell ref="G4:H4"/>
    <mergeCell ref="G5:H5"/>
    <mergeCell ref="D28:H28"/>
  </mergeCells>
  <pageMargins left="0.7" right="0.7" top="0.75" bottom="0.75" header="0.3" footer="0.3"/>
  <pageSetup paperSize="9" scale="47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7.7</vt:lpstr>
      <vt:lpstr>'7.7'!Print_Area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2019-05-23T06:55:59Z</cp:lastPrinted>
  <dcterms:created xsi:type="dcterms:W3CDTF">2019-02-28T08:20:57Z</dcterms:created>
  <dcterms:modified xsi:type="dcterms:W3CDTF">2019-05-23T06:56:05Z</dcterms:modified>
</cp:coreProperties>
</file>