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 tabRatio="834"/>
  </bookViews>
  <sheets>
    <sheet name="7.21" sheetId="17" r:id="rId1"/>
  </sheets>
  <externalReferences>
    <externalReference r:id="rId2"/>
  </externalReferences>
  <definedNames>
    <definedName name="_xlnm.Print_Area" localSheetId="0">'7.21'!$A$1:$O$50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" i="17" l="1"/>
  <c r="H24" i="17"/>
  <c r="D24" i="17"/>
  <c r="L23" i="17"/>
  <c r="H23" i="17"/>
  <c r="D23" i="17"/>
  <c r="L22" i="17"/>
  <c r="H22" i="17"/>
  <c r="D22" i="17"/>
  <c r="L21" i="17"/>
  <c r="H21" i="17"/>
  <c r="L20" i="17"/>
  <c r="H20" i="17"/>
  <c r="D20" i="17"/>
  <c r="L19" i="17"/>
  <c r="H19" i="17"/>
  <c r="D19" i="17"/>
  <c r="L18" i="17"/>
  <c r="H18" i="17"/>
  <c r="D18" i="17"/>
  <c r="L17" i="17"/>
  <c r="H17" i="17"/>
  <c r="D17" i="17"/>
  <c r="L16" i="17"/>
  <c r="H16" i="17"/>
  <c r="D16" i="17"/>
  <c r="L15" i="17"/>
  <c r="H15" i="17"/>
  <c r="D15" i="17"/>
  <c r="L14" i="17"/>
  <c r="H14" i="17"/>
  <c r="D14" i="17"/>
  <c r="N13" i="17"/>
  <c r="M13" i="17"/>
  <c r="J13" i="17"/>
  <c r="I13" i="17"/>
  <c r="F13" i="17"/>
  <c r="E13" i="17"/>
  <c r="L12" i="17"/>
  <c r="H12" i="17"/>
  <c r="D12" i="17"/>
  <c r="L11" i="17"/>
  <c r="H11" i="17"/>
  <c r="D11" i="17"/>
  <c r="L10" i="17"/>
  <c r="H10" i="17"/>
  <c r="D10" i="17"/>
  <c r="D7" i="17" s="1"/>
  <c r="L9" i="17"/>
  <c r="H9" i="17"/>
  <c r="D9" i="17"/>
  <c r="L8" i="17"/>
  <c r="H8" i="17"/>
  <c r="D8" i="17"/>
  <c r="N7" i="17"/>
  <c r="N6" i="17" s="1"/>
  <c r="M7" i="17"/>
  <c r="J7" i="17"/>
  <c r="J6" i="17" s="1"/>
  <c r="I7" i="17"/>
  <c r="F7" i="17"/>
  <c r="F6" i="17" s="1"/>
  <c r="E7" i="17"/>
  <c r="E6" i="17" l="1"/>
  <c r="I6" i="17"/>
  <c r="L13" i="17"/>
  <c r="D13" i="17"/>
  <c r="D6" i="17" s="1"/>
  <c r="H13" i="17"/>
  <c r="L7" i="17"/>
  <c r="H7" i="17"/>
  <c r="H6" i="17" s="1"/>
  <c r="M6" i="17"/>
  <c r="L6" i="17" s="1"/>
</calcChain>
</file>

<file path=xl/sharedStrings.xml><?xml version="1.0" encoding="utf-8"?>
<sst xmlns="http://schemas.openxmlformats.org/spreadsheetml/2006/main" count="64" uniqueCount="48">
  <si>
    <t>Total</t>
  </si>
  <si>
    <t>cnehcnwa</t>
  </si>
  <si>
    <t>cnehirif</t>
  </si>
  <si>
    <t>Both Sexes</t>
  </si>
  <si>
    <t>Male</t>
  </si>
  <si>
    <t>Female</t>
  </si>
  <si>
    <t>cscnijed</t>
  </si>
  <si>
    <t>Type of Training</t>
  </si>
  <si>
    <t>ctwvWb egunIrcmwt</t>
  </si>
  <si>
    <t>މުޅިޖުމްލަ</t>
  </si>
  <si>
    <t>Maldives Polytechnic</t>
  </si>
  <si>
    <t>މޯލްޑިވްސް ޕޮލިޓެކްނިކް</t>
  </si>
  <si>
    <t xml:space="preserve">   Advanced Diploma (2 1/2 Years)</t>
  </si>
  <si>
    <r>
      <t xml:space="preserve">( urwhwa  2 1/2) </t>
    </r>
    <r>
      <rPr>
        <sz val="10"/>
        <rFont val="Faruma"/>
      </rPr>
      <t>އެޑްވާންސްޑް ޑިޕްލޮމާ ކޯސް</t>
    </r>
  </si>
  <si>
    <t xml:space="preserve">   Diploma (2 Years)</t>
  </si>
  <si>
    <r>
      <t xml:space="preserve">( urwhwa 2 ) </t>
    </r>
    <r>
      <rPr>
        <sz val="10"/>
        <rFont val="Faruma"/>
      </rPr>
      <t xml:space="preserve">ޑިޕްލޮމާ ކޯސް </t>
    </r>
    <r>
      <rPr>
        <sz val="10"/>
        <rFont val="A_Waheed"/>
      </rPr>
      <t xml:space="preserve">  </t>
    </r>
  </si>
  <si>
    <t xml:space="preserve">   Diploma (1 1/2 Years) </t>
  </si>
  <si>
    <r>
      <t xml:space="preserve">( urwhwa 1 1/2 ) </t>
    </r>
    <r>
      <rPr>
        <sz val="10"/>
        <rFont val="Faruma"/>
      </rPr>
      <t>ޑިޕްލޮމާ ކޯސް</t>
    </r>
    <r>
      <rPr>
        <sz val="10"/>
        <rFont val="A_Waheed"/>
      </rPr>
      <t xml:space="preserve">  </t>
    </r>
  </si>
  <si>
    <t xml:space="preserve">   Advance Certificate  (1 1/2 Years)</t>
  </si>
  <si>
    <r>
      <t xml:space="preserve">(urwhwa 1 1/2  ) </t>
    </r>
    <r>
      <rPr>
        <sz val="10"/>
        <rFont val="Faruma"/>
      </rPr>
      <t>އެޑްވާންސްޑް ސެޓްފިކެޓް ކޯސް</t>
    </r>
    <r>
      <rPr>
        <sz val="10"/>
        <rFont val="A_Waheed"/>
      </rPr>
      <t xml:space="preserve">  </t>
    </r>
  </si>
  <si>
    <t xml:space="preserve">   Certificate III Course (15 weeks)</t>
  </si>
  <si>
    <r>
      <t xml:space="preserve">(Wtcfwh 15 ) </t>
    </r>
    <r>
      <rPr>
        <sz val="10"/>
        <rFont val="Faruma"/>
      </rPr>
      <t>ސެޓްފިކެޓް ޓްރީ ކޯސް</t>
    </r>
    <r>
      <rPr>
        <sz val="10"/>
        <rFont val="A_Waheed"/>
      </rPr>
      <t xml:space="preserve"> </t>
    </r>
  </si>
  <si>
    <t xml:space="preserve">Regional Youth Vocational Training Centres ( RYVTC )  </t>
  </si>
  <si>
    <r>
      <t xml:space="preserve">(Is.IT.Iv.iawv.crWa ) </t>
    </r>
    <r>
      <rPr>
        <b/>
        <sz val="10"/>
        <rFont val="Faruma"/>
      </rPr>
      <t>ރީޖަނަލް ޔޫތު ވޮކޭޝަނަލް ޓްރޭނިންގ ސެންޓަރުތައް</t>
    </r>
  </si>
  <si>
    <t xml:space="preserve">   Advance Certificate Course (1 1/2 years)</t>
  </si>
  <si>
    <r>
      <t xml:space="preserve">(urwhwa 1 1/2  ) </t>
    </r>
    <r>
      <rPr>
        <sz val="10"/>
        <rFont val="Faruma"/>
      </rPr>
      <t>އެޑްވާންސްޑް ސެޓްފިކެޓް ކޯސް</t>
    </r>
    <r>
      <rPr>
        <sz val="10"/>
        <rFont val="A_Waheed"/>
      </rPr>
      <t xml:space="preserve"> </t>
    </r>
  </si>
  <si>
    <t xml:space="preserve">   Certificate 1 Course (1 Month)</t>
  </si>
  <si>
    <r>
      <t xml:space="preserve">(Wtcfwh 1 ) </t>
    </r>
    <r>
      <rPr>
        <sz val="10"/>
        <rFont val="Faruma"/>
      </rPr>
      <t>ސެޓްފިކެޓް ވަން ކޯސް</t>
    </r>
    <r>
      <rPr>
        <sz val="10"/>
        <rFont val="A_Waheed"/>
      </rPr>
      <t xml:space="preserve"> </t>
    </r>
  </si>
  <si>
    <t>Short Courses</t>
  </si>
  <si>
    <t>ކުރުކޯސްތައް</t>
  </si>
  <si>
    <t>Mobile Courses</t>
  </si>
  <si>
    <t>މޮބައިލް ކޯސްތައް</t>
  </si>
  <si>
    <t>IHDP Project Courses</t>
  </si>
  <si>
    <t>އައި.އެޗް.ޑީ.ޕީ ޕްރޮޖެކްޓް ކޯސްތައް</t>
  </si>
  <si>
    <t>Online</t>
  </si>
  <si>
    <t>އޮންލައިން ކޯސްތައް</t>
  </si>
  <si>
    <t xml:space="preserve">Out Reach Centre </t>
  </si>
  <si>
    <t>އައުޓްރީޗް ސެންޓަރ</t>
  </si>
  <si>
    <t>Hunaru Project Courses</t>
  </si>
  <si>
    <t>ހުނަރު ޕްރޮޖެކްޓް ކޯސްތައް</t>
  </si>
  <si>
    <t>School Polytechnic Program Courses</t>
  </si>
  <si>
    <t>ސްކޫލް ޕޮލިޓެކްނިކް ޕްރޮގްރާމް ކޯސްތައް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</si>
  <si>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</si>
  <si>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އައި.އެޗް.ޑީ.ޕީ: އިންޓަރގްރޭޓެޑް ހިއުމަން ޑިވެލޮޕްމަންޓް ޕްރޮޖެކްޓް</t>
  </si>
  <si>
    <t>Source: Maldives Polytechnic</t>
  </si>
  <si>
    <t>މައުލޫމާތު ދެއްވި ފަރާތް މޯލްޑިވްސް ޕޮލިޓެކްނިކް</t>
  </si>
  <si>
    <t xml:space="preserve"> 2018 - 2016 ,udwdwA egcnidukWvwyik cniaWriaWd egumIluAwt Incnwf cnutogeguscnij  : 7.21 ulwvWt</t>
  </si>
  <si>
    <t>Table 7.21: STUDENT ENROLMENT IN TECHNICAL EDUCATION BY SEX, 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</si>
</sst>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Waheed"/>
    </font>
    <font>
      <sz val="10"/>
      <name val="Courier"/>
      <family val="3"/>
    </font>
    <font>
      <b/>
      <sz val="10"/>
      <name val="A_Randhoo"/>
    </font>
    <font>
      <sz val="10"/>
      <name val="Calibri"/>
      <family val="2"/>
      <scheme val="minor"/>
    </font>
    <font>
      <b/>
      <sz val="12"/>
      <name val="A_Randhoo"/>
    </font>
    <font>
      <b/>
      <sz val="10"/>
      <name val="Courier"/>
      <family val="3"/>
    </font>
    <font>
      <i/>
      <sz val="10"/>
      <name val="Calibri"/>
      <family val="2"/>
      <scheme val="minor"/>
    </font>
    <font>
      <sz val="10"/>
      <name val="A_Waheed"/>
    </font>
    <font>
      <b/>
      <sz val="10"/>
      <name val="Faruma"/>
    </font>
    <font>
      <sz val="10"/>
      <name val="Faruma"/>
    </font>
    <font>
      <b/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7" fillId="0" borderId="0"/>
    <xf numFmtId="167" fontId="7" fillId="0" borderId="0"/>
    <xf numFmtId="0" fontId="2" fillId="0" borderId="0"/>
    <xf numFmtId="0" fontId="2" fillId="0" borderId="0"/>
    <xf numFmtId="164" fontId="7" fillId="0" borderId="0"/>
    <xf numFmtId="165" fontId="7" fillId="0" borderId="0"/>
    <xf numFmtId="164" fontId="7" fillId="0" borderId="0"/>
    <xf numFmtId="165" fontId="7" fillId="0" borderId="0"/>
  </cellStyleXfs>
  <cellXfs count="51">
    <xf numFmtId="0" fontId="0" fillId="0" borderId="0" xfId="0"/>
    <xf numFmtId="164" fontId="7" fillId="2" borderId="0" xfId="7" applyNumberFormat="1" applyFill="1"/>
    <xf numFmtId="164" fontId="4" fillId="2" borderId="2" xfId="6" applyNumberFormat="1" applyFont="1" applyFill="1" applyBorder="1" applyAlignment="1">
      <alignment horizontal="center"/>
    </xf>
    <xf numFmtId="164" fontId="4" fillId="2" borderId="2" xfId="6" applyNumberFormat="1" applyFont="1" applyFill="1" applyBorder="1" applyAlignment="1"/>
    <xf numFmtId="164" fontId="7" fillId="2" borderId="0" xfId="7" applyNumberFormat="1" applyFont="1" applyFill="1"/>
    <xf numFmtId="164" fontId="8" fillId="2" borderId="1" xfId="6" applyNumberFormat="1" applyFont="1" applyFill="1" applyBorder="1" applyAlignment="1">
      <alignment horizontal="right" vertical="center"/>
    </xf>
    <xf numFmtId="164" fontId="4" fillId="2" borderId="0" xfId="6" applyNumberFormat="1" applyFont="1" applyFill="1" applyBorder="1" applyAlignment="1">
      <alignment horizontal="right" vertical="center"/>
    </xf>
    <xf numFmtId="164" fontId="7" fillId="2" borderId="0" xfId="7" applyNumberFormat="1" applyFont="1" applyFill="1" applyAlignment="1">
      <alignment horizontal="center" vertical="center"/>
    </xf>
    <xf numFmtId="164" fontId="4" fillId="2" borderId="1" xfId="6" applyNumberFormat="1" applyFont="1" applyFill="1" applyBorder="1" applyAlignment="1">
      <alignment horizontal="right" vertical="center" wrapText="1"/>
    </xf>
    <xf numFmtId="164" fontId="5" fillId="2" borderId="1" xfId="6" applyNumberFormat="1" applyFont="1" applyFill="1" applyBorder="1" applyAlignment="1">
      <alignment horizontal="right" vertical="center" wrapText="1"/>
    </xf>
    <xf numFmtId="164" fontId="4" fillId="2" borderId="1" xfId="6" applyNumberFormat="1" applyFont="1" applyFill="1" applyBorder="1" applyAlignment="1">
      <alignment horizontal="center" vertical="center" wrapText="1"/>
    </xf>
    <xf numFmtId="164" fontId="5" fillId="2" borderId="0" xfId="6" applyNumberFormat="1" applyFont="1" applyFill="1" applyAlignment="1">
      <alignment horizontal="left" vertical="center"/>
    </xf>
    <xf numFmtId="164" fontId="5" fillId="2" borderId="0" xfId="6" applyNumberFormat="1" applyFont="1" applyFill="1" applyBorder="1" applyAlignment="1">
      <alignment horizontal="right" vertical="center"/>
    </xf>
    <xf numFmtId="38" fontId="5" fillId="2" borderId="0" xfId="1" applyNumberFormat="1" applyFont="1" applyFill="1" applyBorder="1" applyAlignment="1">
      <alignment horizontal="right" vertical="center"/>
    </xf>
    <xf numFmtId="38" fontId="4" fillId="2" borderId="0" xfId="1" applyNumberFormat="1" applyFont="1" applyFill="1" applyBorder="1" applyAlignment="1">
      <alignment vertical="center"/>
    </xf>
    <xf numFmtId="164" fontId="14" fillId="2" borderId="0" xfId="6" applyNumberFormat="1" applyFont="1" applyFill="1" applyAlignment="1">
      <alignment horizontal="right" vertical="center"/>
    </xf>
    <xf numFmtId="164" fontId="9" fillId="2" borderId="0" xfId="6" applyNumberFormat="1" applyFont="1" applyFill="1" applyAlignment="1">
      <alignment horizontal="left" vertical="center"/>
    </xf>
    <xf numFmtId="164" fontId="9" fillId="2" borderId="0" xfId="6" quotePrefix="1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4" fontId="13" fillId="2" borderId="0" xfId="6" applyNumberFormat="1" applyFont="1" applyFill="1" applyAlignment="1">
      <alignment horizontal="right" vertical="center"/>
    </xf>
    <xf numFmtId="164" fontId="6" fillId="2" borderId="0" xfId="6" applyNumberFormat="1" applyFont="1" applyFill="1" applyAlignment="1">
      <alignment horizontal="right" vertical="center"/>
    </xf>
    <xf numFmtId="164" fontId="11" fillId="2" borderId="0" xfId="7" applyNumberFormat="1" applyFont="1" applyFill="1"/>
    <xf numFmtId="164" fontId="9" fillId="2" borderId="0" xfId="6" applyNumberFormat="1" applyFont="1" applyFill="1" applyBorder="1" applyAlignment="1">
      <alignment horizontal="right" vertical="center"/>
    </xf>
    <xf numFmtId="164" fontId="5" fillId="2" borderId="0" xfId="6" applyNumberFormat="1" applyFont="1" applyFill="1" applyBorder="1" applyAlignment="1">
      <alignment horizontal="left" vertical="center"/>
    </xf>
    <xf numFmtId="164" fontId="14" fillId="2" borderId="0" xfId="6" applyNumberFormat="1" applyFont="1" applyFill="1" applyBorder="1" applyAlignment="1">
      <alignment horizontal="right" vertical="center"/>
    </xf>
    <xf numFmtId="164" fontId="5" fillId="2" borderId="1" xfId="6" applyNumberFormat="1" applyFont="1" applyFill="1" applyBorder="1" applyAlignment="1">
      <alignment horizontal="left" vertical="center"/>
    </xf>
    <xf numFmtId="164" fontId="5" fillId="2" borderId="1" xfId="6" applyNumberFormat="1" applyFont="1" applyFill="1" applyBorder="1" applyAlignment="1">
      <alignment horizontal="right" vertical="center"/>
    </xf>
    <xf numFmtId="38" fontId="5" fillId="2" borderId="1" xfId="1" applyNumberFormat="1" applyFont="1" applyFill="1" applyBorder="1" applyAlignment="1">
      <alignment horizontal="right" vertical="center"/>
    </xf>
    <xf numFmtId="38" fontId="4" fillId="2" borderId="1" xfId="1" applyNumberFormat="1" applyFont="1" applyFill="1" applyBorder="1" applyAlignment="1">
      <alignment vertical="center"/>
    </xf>
    <xf numFmtId="164" fontId="14" fillId="2" borderId="1" xfId="6" applyNumberFormat="1" applyFont="1" applyFill="1" applyBorder="1" applyAlignment="1">
      <alignment horizontal="right" vertical="center"/>
    </xf>
    <xf numFmtId="164" fontId="16" fillId="2" borderId="0" xfId="6" applyNumberFormat="1" applyFont="1" applyFill="1" applyBorder="1" applyAlignment="1">
      <alignment horizontal="left" vertical="center"/>
    </xf>
    <xf numFmtId="164" fontId="15" fillId="2" borderId="0" xfId="6" applyNumberFormat="1" applyFont="1" applyFill="1" applyBorder="1" applyAlignment="1">
      <alignment horizontal="right" vertical="center"/>
    </xf>
    <xf numFmtId="164" fontId="12" fillId="2" borderId="0" xfId="6" applyNumberFormat="1" applyFont="1" applyFill="1"/>
    <xf numFmtId="164" fontId="2" fillId="2" borderId="0" xfId="6" applyNumberFormat="1" applyFont="1" applyFill="1"/>
    <xf numFmtId="164" fontId="2" fillId="2" borderId="0" xfId="6" applyNumberFormat="1" applyFont="1" applyFill="1" applyAlignment="1">
      <alignment horizontal="right"/>
    </xf>
    <xf numFmtId="164" fontId="2" fillId="2" borderId="0" xfId="6" applyNumberFormat="1" applyFont="1" applyFill="1" applyAlignment="1"/>
    <xf numFmtId="164" fontId="15" fillId="2" borderId="0" xfId="6" applyNumberFormat="1" applyFont="1" applyFill="1" applyAlignment="1">
      <alignment horizontal="right"/>
    </xf>
    <xf numFmtId="164" fontId="7" fillId="2" borderId="0" xfId="6" applyNumberFormat="1" applyFont="1" applyFill="1"/>
    <xf numFmtId="164" fontId="7" fillId="2" borderId="0" xfId="6" applyNumberFormat="1" applyFont="1" applyFill="1" applyAlignment="1">
      <alignment horizontal="right"/>
    </xf>
    <xf numFmtId="164" fontId="7" fillId="2" borderId="0" xfId="6" applyNumberFormat="1" applyFont="1" applyFill="1" applyAlignment="1"/>
    <xf numFmtId="164" fontId="7" fillId="2" borderId="0" xfId="7" applyNumberFormat="1" applyFill="1" applyAlignment="1">
      <alignment horizontal="right"/>
    </xf>
    <xf numFmtId="164" fontId="7" fillId="2" borderId="0" xfId="7" applyNumberFormat="1" applyFill="1" applyAlignment="1"/>
    <xf numFmtId="164" fontId="5" fillId="2" borderId="3" xfId="6" applyNumberFormat="1" applyFont="1" applyFill="1" applyBorder="1" applyAlignment="1">
      <alignment horizontal="center"/>
    </xf>
    <xf numFmtId="164" fontId="6" fillId="2" borderId="2" xfId="6" applyNumberFormat="1" applyFont="1" applyFill="1" applyBorder="1" applyAlignment="1">
      <alignment horizontal="right" vertical="center"/>
    </xf>
    <xf numFmtId="164" fontId="6" fillId="2" borderId="0" xfId="6" applyNumberFormat="1" applyFont="1" applyFill="1" applyBorder="1" applyAlignment="1">
      <alignment horizontal="right" vertical="center"/>
    </xf>
    <xf numFmtId="164" fontId="6" fillId="2" borderId="1" xfId="6" applyNumberFormat="1" applyFont="1" applyFill="1" applyBorder="1" applyAlignment="1">
      <alignment horizontal="right" vertical="center"/>
    </xf>
    <xf numFmtId="164" fontId="10" fillId="2" borderId="0" xfId="6" applyNumberFormat="1" applyFont="1" applyFill="1" applyAlignment="1">
      <alignment horizontal="center" vertical="center"/>
    </xf>
    <xf numFmtId="164" fontId="3" fillId="2" borderId="1" xfId="6" applyNumberFormat="1" applyFont="1" applyFill="1" applyBorder="1" applyAlignment="1">
      <alignment horizontal="center" vertical="top"/>
    </xf>
    <xf numFmtId="164" fontId="5" fillId="2" borderId="2" xfId="6" applyNumberFormat="1" applyFont="1" applyFill="1" applyBorder="1" applyAlignment="1">
      <alignment horizontal="left" vertical="center"/>
    </xf>
    <xf numFmtId="164" fontId="5" fillId="2" borderId="0" xfId="6" applyNumberFormat="1" applyFont="1" applyFill="1" applyBorder="1" applyAlignment="1">
      <alignment horizontal="left" vertical="center"/>
    </xf>
    <xf numFmtId="164" fontId="5" fillId="2" borderId="1" xfId="6" applyNumberFormat="1" applyFont="1" applyFill="1" applyBorder="1" applyAlignment="1">
      <alignment horizontal="left" vertical="center"/>
    </xf>
  </cellXfs>
  <cellStyles count="10">
    <cellStyle name="Comma" xfId="1" builtinId="3"/>
    <cellStyle name="Normal" xfId="0" builtinId="0"/>
    <cellStyle name="Normal 10" xfId="5"/>
    <cellStyle name="Normal 2 2 2" xfId="2"/>
    <cellStyle name="Normal 37" xfId="4"/>
    <cellStyle name="Normal 6" xfId="9"/>
    <cellStyle name="Normal 6 4" xfId="8"/>
    <cellStyle name="Normal 7" xfId="7"/>
    <cellStyle name="Normal 7 4" xfId="6"/>
    <cellStyle name="Normal 8" xfId="3"/>
  </cellStyles>
  <dxfs count="0"/>
  <tableStyles count="0" defaultTableStyle="TableStyleMedium2" defaultPivotStyle="PivotStyleLight16"/>
  <colors>
    <mruColors>
      <color rgb="FFFFFFEB"/>
      <color rgb="FFFFF1C9"/>
      <color rgb="FFFFE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630358705161854"/>
          <c:y val="0.12675927449367336"/>
          <c:w val="0.364922947623673"/>
          <c:h val="0.83006354056489207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75000"/>
              </a:schemeClr>
            </a:solidFill>
          </c:spPr>
          <c:explosion val="6"/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A626-4FF0-91D9-664EA9E515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'7.21'!$M$5:$N$5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'7.21'!$M$6:$N$6</c:f>
              <c:numCache>
                <c:formatCode>#,##0_);[Red]\(#,##0\)</c:formatCode>
                <c:ptCount val="2"/>
                <c:pt idx="0">
                  <c:v>484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26-4FF0-91D9-664EA9E515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26</xdr:row>
      <xdr:rowOff>9524</xdr:rowOff>
    </xdr:from>
    <xdr:to>
      <xdr:col>14</xdr:col>
      <xdr:colOff>1847850</xdr:colOff>
      <xdr:row>46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0.03255</cdr:x>
      <cdr:y>0.03582</cdr:y>
    </cdr:from>
    <cdr:to>
      <cdr:x>0.9976</cdr:x>
      <cdr:y>0.13134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38125" y="114302"/>
          <a:ext cx="7059531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Consolas" pitchFamily="49" charset="0"/>
              <a:cs typeface="Consolas" pitchFamily="49" charset="0"/>
            </a:rPr>
            <a:t>Figure 7.20: Percentage share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</a:t>
          </a:r>
          <a:r>
            <a:rPr lang="en-US" sz="1100" b="1">
              <a:latin typeface="Consolas" pitchFamily="49" charset="0"/>
              <a:cs typeface="Consolas" pitchFamily="49" charset="0"/>
            </a:rPr>
            <a:t>Student enrolment in technical Education by sex, 2018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362"/>
  <sheetViews>
    <sheetView tabSelected="1" zoomScaleNormal="100" workbookViewId="0">
      <selection activeCell="AA21" sqref="AA21"/>
    </sheetView>
  </sheetViews>
  <sheetFormatPr defaultRowHeight="12" x14ac:dyDescent="0.15"/>
  <cols>
    <col min="1" max="1" width="43.140625" style="1" customWidth="1"/>
    <col min="2" max="2" width="0.140625" style="1" customWidth="1"/>
    <col min="3" max="3" width="2" style="41" customWidth="1"/>
    <col min="4" max="4" width="11" style="1" customWidth="1"/>
    <col min="5" max="5" width="7.7109375" style="1" customWidth="1"/>
    <col min="6" max="6" width="8.140625" style="40" customWidth="1"/>
    <col min="7" max="7" width="2" style="41" customWidth="1"/>
    <col min="8" max="8" width="11" style="1" customWidth="1"/>
    <col min="9" max="9" width="7.7109375" style="1" customWidth="1"/>
    <col min="10" max="10" width="8.140625" style="40" customWidth="1"/>
    <col min="11" max="11" width="2" style="41" customWidth="1"/>
    <col min="12" max="12" width="11" style="1" customWidth="1"/>
    <col min="13" max="13" width="7.7109375" style="1" customWidth="1"/>
    <col min="14" max="14" width="8.140625" style="40" customWidth="1"/>
    <col min="15" max="15" width="54.5703125" style="1" customWidth="1"/>
    <col min="16" max="16" width="49.7109375" style="1" customWidth="1"/>
    <col min="17" max="254" width="9.140625" style="1"/>
    <col min="255" max="255" width="43.28515625" style="1" customWidth="1"/>
    <col min="256" max="256" width="5.85546875" style="1" customWidth="1"/>
    <col min="257" max="257" width="6.28515625" style="1" customWidth="1"/>
    <col min="258" max="258" width="7.7109375" style="1" customWidth="1"/>
    <col min="259" max="259" width="8.140625" style="1" customWidth="1"/>
    <col min="260" max="260" width="2.5703125" style="1" customWidth="1"/>
    <col min="261" max="261" width="6.5703125" style="1" customWidth="1"/>
    <col min="262" max="262" width="48.85546875" style="1" customWidth="1"/>
    <col min="263" max="263" width="49.7109375" style="1" customWidth="1"/>
    <col min="264" max="510" width="9.140625" style="1"/>
    <col min="511" max="511" width="43.28515625" style="1" customWidth="1"/>
    <col min="512" max="512" width="5.85546875" style="1" customWidth="1"/>
    <col min="513" max="513" width="6.28515625" style="1" customWidth="1"/>
    <col min="514" max="514" width="7.7109375" style="1" customWidth="1"/>
    <col min="515" max="515" width="8.140625" style="1" customWidth="1"/>
    <col min="516" max="516" width="2.5703125" style="1" customWidth="1"/>
    <col min="517" max="517" width="6.5703125" style="1" customWidth="1"/>
    <col min="518" max="518" width="48.85546875" style="1" customWidth="1"/>
    <col min="519" max="519" width="49.7109375" style="1" customWidth="1"/>
    <col min="520" max="766" width="9.140625" style="1"/>
    <col min="767" max="767" width="43.28515625" style="1" customWidth="1"/>
    <col min="768" max="768" width="5.85546875" style="1" customWidth="1"/>
    <col min="769" max="769" width="6.28515625" style="1" customWidth="1"/>
    <col min="770" max="770" width="7.7109375" style="1" customWidth="1"/>
    <col min="771" max="771" width="8.140625" style="1" customWidth="1"/>
    <col min="772" max="772" width="2.5703125" style="1" customWidth="1"/>
    <col min="773" max="773" width="6.5703125" style="1" customWidth="1"/>
    <col min="774" max="774" width="48.85546875" style="1" customWidth="1"/>
    <col min="775" max="775" width="49.7109375" style="1" customWidth="1"/>
    <col min="776" max="1022" width="9.140625" style="1"/>
    <col min="1023" max="1023" width="43.28515625" style="1" customWidth="1"/>
    <col min="1024" max="1024" width="5.85546875" style="1" customWidth="1"/>
    <col min="1025" max="1025" width="6.28515625" style="1" customWidth="1"/>
    <col min="1026" max="1026" width="7.7109375" style="1" customWidth="1"/>
    <col min="1027" max="1027" width="8.140625" style="1" customWidth="1"/>
    <col min="1028" max="1028" width="2.5703125" style="1" customWidth="1"/>
    <col min="1029" max="1029" width="6.5703125" style="1" customWidth="1"/>
    <col min="1030" max="1030" width="48.85546875" style="1" customWidth="1"/>
    <col min="1031" max="1031" width="49.7109375" style="1" customWidth="1"/>
    <col min="1032" max="1278" width="9.140625" style="1"/>
    <col min="1279" max="1279" width="43.28515625" style="1" customWidth="1"/>
    <col min="1280" max="1280" width="5.85546875" style="1" customWidth="1"/>
    <col min="1281" max="1281" width="6.28515625" style="1" customWidth="1"/>
    <col min="1282" max="1282" width="7.7109375" style="1" customWidth="1"/>
    <col min="1283" max="1283" width="8.140625" style="1" customWidth="1"/>
    <col min="1284" max="1284" width="2.5703125" style="1" customWidth="1"/>
    <col min="1285" max="1285" width="6.5703125" style="1" customWidth="1"/>
    <col min="1286" max="1286" width="48.85546875" style="1" customWidth="1"/>
    <col min="1287" max="1287" width="49.7109375" style="1" customWidth="1"/>
    <col min="1288" max="1534" width="9.140625" style="1"/>
    <col min="1535" max="1535" width="43.28515625" style="1" customWidth="1"/>
    <col min="1536" max="1536" width="5.85546875" style="1" customWidth="1"/>
    <col min="1537" max="1537" width="6.28515625" style="1" customWidth="1"/>
    <col min="1538" max="1538" width="7.7109375" style="1" customWidth="1"/>
    <col min="1539" max="1539" width="8.140625" style="1" customWidth="1"/>
    <col min="1540" max="1540" width="2.5703125" style="1" customWidth="1"/>
    <col min="1541" max="1541" width="6.5703125" style="1" customWidth="1"/>
    <col min="1542" max="1542" width="48.85546875" style="1" customWidth="1"/>
    <col min="1543" max="1543" width="49.7109375" style="1" customWidth="1"/>
    <col min="1544" max="1790" width="9.140625" style="1"/>
    <col min="1791" max="1791" width="43.28515625" style="1" customWidth="1"/>
    <col min="1792" max="1792" width="5.85546875" style="1" customWidth="1"/>
    <col min="1793" max="1793" width="6.28515625" style="1" customWidth="1"/>
    <col min="1794" max="1794" width="7.7109375" style="1" customWidth="1"/>
    <col min="1795" max="1795" width="8.140625" style="1" customWidth="1"/>
    <col min="1796" max="1796" width="2.5703125" style="1" customWidth="1"/>
    <col min="1797" max="1797" width="6.5703125" style="1" customWidth="1"/>
    <col min="1798" max="1798" width="48.85546875" style="1" customWidth="1"/>
    <col min="1799" max="1799" width="49.7109375" style="1" customWidth="1"/>
    <col min="1800" max="2046" width="9.140625" style="1"/>
    <col min="2047" max="2047" width="43.28515625" style="1" customWidth="1"/>
    <col min="2048" max="2048" width="5.85546875" style="1" customWidth="1"/>
    <col min="2049" max="2049" width="6.28515625" style="1" customWidth="1"/>
    <col min="2050" max="2050" width="7.7109375" style="1" customWidth="1"/>
    <col min="2051" max="2051" width="8.140625" style="1" customWidth="1"/>
    <col min="2052" max="2052" width="2.5703125" style="1" customWidth="1"/>
    <col min="2053" max="2053" width="6.5703125" style="1" customWidth="1"/>
    <col min="2054" max="2054" width="48.85546875" style="1" customWidth="1"/>
    <col min="2055" max="2055" width="49.7109375" style="1" customWidth="1"/>
    <col min="2056" max="2302" width="9.140625" style="1"/>
    <col min="2303" max="2303" width="43.28515625" style="1" customWidth="1"/>
    <col min="2304" max="2304" width="5.85546875" style="1" customWidth="1"/>
    <col min="2305" max="2305" width="6.28515625" style="1" customWidth="1"/>
    <col min="2306" max="2306" width="7.7109375" style="1" customWidth="1"/>
    <col min="2307" max="2307" width="8.140625" style="1" customWidth="1"/>
    <col min="2308" max="2308" width="2.5703125" style="1" customWidth="1"/>
    <col min="2309" max="2309" width="6.5703125" style="1" customWidth="1"/>
    <col min="2310" max="2310" width="48.85546875" style="1" customWidth="1"/>
    <col min="2311" max="2311" width="49.7109375" style="1" customWidth="1"/>
    <col min="2312" max="2558" width="9.140625" style="1"/>
    <col min="2559" max="2559" width="43.28515625" style="1" customWidth="1"/>
    <col min="2560" max="2560" width="5.85546875" style="1" customWidth="1"/>
    <col min="2561" max="2561" width="6.28515625" style="1" customWidth="1"/>
    <col min="2562" max="2562" width="7.7109375" style="1" customWidth="1"/>
    <col min="2563" max="2563" width="8.140625" style="1" customWidth="1"/>
    <col min="2564" max="2564" width="2.5703125" style="1" customWidth="1"/>
    <col min="2565" max="2565" width="6.5703125" style="1" customWidth="1"/>
    <col min="2566" max="2566" width="48.85546875" style="1" customWidth="1"/>
    <col min="2567" max="2567" width="49.7109375" style="1" customWidth="1"/>
    <col min="2568" max="2814" width="9.140625" style="1"/>
    <col min="2815" max="2815" width="43.28515625" style="1" customWidth="1"/>
    <col min="2816" max="2816" width="5.85546875" style="1" customWidth="1"/>
    <col min="2817" max="2817" width="6.28515625" style="1" customWidth="1"/>
    <col min="2818" max="2818" width="7.7109375" style="1" customWidth="1"/>
    <col min="2819" max="2819" width="8.140625" style="1" customWidth="1"/>
    <col min="2820" max="2820" width="2.5703125" style="1" customWidth="1"/>
    <col min="2821" max="2821" width="6.5703125" style="1" customWidth="1"/>
    <col min="2822" max="2822" width="48.85546875" style="1" customWidth="1"/>
    <col min="2823" max="2823" width="49.7109375" style="1" customWidth="1"/>
    <col min="2824" max="3070" width="9.140625" style="1"/>
    <col min="3071" max="3071" width="43.28515625" style="1" customWidth="1"/>
    <col min="3072" max="3072" width="5.85546875" style="1" customWidth="1"/>
    <col min="3073" max="3073" width="6.28515625" style="1" customWidth="1"/>
    <col min="3074" max="3074" width="7.7109375" style="1" customWidth="1"/>
    <col min="3075" max="3075" width="8.140625" style="1" customWidth="1"/>
    <col min="3076" max="3076" width="2.5703125" style="1" customWidth="1"/>
    <col min="3077" max="3077" width="6.5703125" style="1" customWidth="1"/>
    <col min="3078" max="3078" width="48.85546875" style="1" customWidth="1"/>
    <col min="3079" max="3079" width="49.7109375" style="1" customWidth="1"/>
    <col min="3080" max="3326" width="9.140625" style="1"/>
    <col min="3327" max="3327" width="43.28515625" style="1" customWidth="1"/>
    <col min="3328" max="3328" width="5.85546875" style="1" customWidth="1"/>
    <col min="3329" max="3329" width="6.28515625" style="1" customWidth="1"/>
    <col min="3330" max="3330" width="7.7109375" style="1" customWidth="1"/>
    <col min="3331" max="3331" width="8.140625" style="1" customWidth="1"/>
    <col min="3332" max="3332" width="2.5703125" style="1" customWidth="1"/>
    <col min="3333" max="3333" width="6.5703125" style="1" customWidth="1"/>
    <col min="3334" max="3334" width="48.85546875" style="1" customWidth="1"/>
    <col min="3335" max="3335" width="49.7109375" style="1" customWidth="1"/>
    <col min="3336" max="3582" width="9.140625" style="1"/>
    <col min="3583" max="3583" width="43.28515625" style="1" customWidth="1"/>
    <col min="3584" max="3584" width="5.85546875" style="1" customWidth="1"/>
    <col min="3585" max="3585" width="6.28515625" style="1" customWidth="1"/>
    <col min="3586" max="3586" width="7.7109375" style="1" customWidth="1"/>
    <col min="3587" max="3587" width="8.140625" style="1" customWidth="1"/>
    <col min="3588" max="3588" width="2.5703125" style="1" customWidth="1"/>
    <col min="3589" max="3589" width="6.5703125" style="1" customWidth="1"/>
    <col min="3590" max="3590" width="48.85546875" style="1" customWidth="1"/>
    <col min="3591" max="3591" width="49.7109375" style="1" customWidth="1"/>
    <col min="3592" max="3838" width="9.140625" style="1"/>
    <col min="3839" max="3839" width="43.28515625" style="1" customWidth="1"/>
    <col min="3840" max="3840" width="5.85546875" style="1" customWidth="1"/>
    <col min="3841" max="3841" width="6.28515625" style="1" customWidth="1"/>
    <col min="3842" max="3842" width="7.7109375" style="1" customWidth="1"/>
    <col min="3843" max="3843" width="8.140625" style="1" customWidth="1"/>
    <col min="3844" max="3844" width="2.5703125" style="1" customWidth="1"/>
    <col min="3845" max="3845" width="6.5703125" style="1" customWidth="1"/>
    <col min="3846" max="3846" width="48.85546875" style="1" customWidth="1"/>
    <col min="3847" max="3847" width="49.7109375" style="1" customWidth="1"/>
    <col min="3848" max="4094" width="9.140625" style="1"/>
    <col min="4095" max="4095" width="43.28515625" style="1" customWidth="1"/>
    <col min="4096" max="4096" width="5.85546875" style="1" customWidth="1"/>
    <col min="4097" max="4097" width="6.28515625" style="1" customWidth="1"/>
    <col min="4098" max="4098" width="7.7109375" style="1" customWidth="1"/>
    <col min="4099" max="4099" width="8.140625" style="1" customWidth="1"/>
    <col min="4100" max="4100" width="2.5703125" style="1" customWidth="1"/>
    <col min="4101" max="4101" width="6.5703125" style="1" customWidth="1"/>
    <col min="4102" max="4102" width="48.85546875" style="1" customWidth="1"/>
    <col min="4103" max="4103" width="49.7109375" style="1" customWidth="1"/>
    <col min="4104" max="4350" width="9.140625" style="1"/>
    <col min="4351" max="4351" width="43.28515625" style="1" customWidth="1"/>
    <col min="4352" max="4352" width="5.85546875" style="1" customWidth="1"/>
    <col min="4353" max="4353" width="6.28515625" style="1" customWidth="1"/>
    <col min="4354" max="4354" width="7.7109375" style="1" customWidth="1"/>
    <col min="4355" max="4355" width="8.140625" style="1" customWidth="1"/>
    <col min="4356" max="4356" width="2.5703125" style="1" customWidth="1"/>
    <col min="4357" max="4357" width="6.5703125" style="1" customWidth="1"/>
    <col min="4358" max="4358" width="48.85546875" style="1" customWidth="1"/>
    <col min="4359" max="4359" width="49.7109375" style="1" customWidth="1"/>
    <col min="4360" max="4606" width="9.140625" style="1"/>
    <col min="4607" max="4607" width="43.28515625" style="1" customWidth="1"/>
    <col min="4608" max="4608" width="5.85546875" style="1" customWidth="1"/>
    <col min="4609" max="4609" width="6.28515625" style="1" customWidth="1"/>
    <col min="4610" max="4610" width="7.7109375" style="1" customWidth="1"/>
    <col min="4611" max="4611" width="8.140625" style="1" customWidth="1"/>
    <col min="4612" max="4612" width="2.5703125" style="1" customWidth="1"/>
    <col min="4613" max="4613" width="6.5703125" style="1" customWidth="1"/>
    <col min="4614" max="4614" width="48.85546875" style="1" customWidth="1"/>
    <col min="4615" max="4615" width="49.7109375" style="1" customWidth="1"/>
    <col min="4616" max="4862" width="9.140625" style="1"/>
    <col min="4863" max="4863" width="43.28515625" style="1" customWidth="1"/>
    <col min="4864" max="4864" width="5.85546875" style="1" customWidth="1"/>
    <col min="4865" max="4865" width="6.28515625" style="1" customWidth="1"/>
    <col min="4866" max="4866" width="7.7109375" style="1" customWidth="1"/>
    <col min="4867" max="4867" width="8.140625" style="1" customWidth="1"/>
    <col min="4868" max="4868" width="2.5703125" style="1" customWidth="1"/>
    <col min="4869" max="4869" width="6.5703125" style="1" customWidth="1"/>
    <col min="4870" max="4870" width="48.85546875" style="1" customWidth="1"/>
    <col min="4871" max="4871" width="49.7109375" style="1" customWidth="1"/>
    <col min="4872" max="5118" width="9.140625" style="1"/>
    <col min="5119" max="5119" width="43.28515625" style="1" customWidth="1"/>
    <col min="5120" max="5120" width="5.85546875" style="1" customWidth="1"/>
    <col min="5121" max="5121" width="6.28515625" style="1" customWidth="1"/>
    <col min="5122" max="5122" width="7.7109375" style="1" customWidth="1"/>
    <col min="5123" max="5123" width="8.140625" style="1" customWidth="1"/>
    <col min="5124" max="5124" width="2.5703125" style="1" customWidth="1"/>
    <col min="5125" max="5125" width="6.5703125" style="1" customWidth="1"/>
    <col min="5126" max="5126" width="48.85546875" style="1" customWidth="1"/>
    <col min="5127" max="5127" width="49.7109375" style="1" customWidth="1"/>
    <col min="5128" max="5374" width="9.140625" style="1"/>
    <col min="5375" max="5375" width="43.28515625" style="1" customWidth="1"/>
    <col min="5376" max="5376" width="5.85546875" style="1" customWidth="1"/>
    <col min="5377" max="5377" width="6.28515625" style="1" customWidth="1"/>
    <col min="5378" max="5378" width="7.7109375" style="1" customWidth="1"/>
    <col min="5379" max="5379" width="8.140625" style="1" customWidth="1"/>
    <col min="5380" max="5380" width="2.5703125" style="1" customWidth="1"/>
    <col min="5381" max="5381" width="6.5703125" style="1" customWidth="1"/>
    <col min="5382" max="5382" width="48.85546875" style="1" customWidth="1"/>
    <col min="5383" max="5383" width="49.7109375" style="1" customWidth="1"/>
    <col min="5384" max="5630" width="9.140625" style="1"/>
    <col min="5631" max="5631" width="43.28515625" style="1" customWidth="1"/>
    <col min="5632" max="5632" width="5.85546875" style="1" customWidth="1"/>
    <col min="5633" max="5633" width="6.28515625" style="1" customWidth="1"/>
    <col min="5634" max="5634" width="7.7109375" style="1" customWidth="1"/>
    <col min="5635" max="5635" width="8.140625" style="1" customWidth="1"/>
    <col min="5636" max="5636" width="2.5703125" style="1" customWidth="1"/>
    <col min="5637" max="5637" width="6.5703125" style="1" customWidth="1"/>
    <col min="5638" max="5638" width="48.85546875" style="1" customWidth="1"/>
    <col min="5639" max="5639" width="49.7109375" style="1" customWidth="1"/>
    <col min="5640" max="5886" width="9.140625" style="1"/>
    <col min="5887" max="5887" width="43.28515625" style="1" customWidth="1"/>
    <col min="5888" max="5888" width="5.85546875" style="1" customWidth="1"/>
    <col min="5889" max="5889" width="6.28515625" style="1" customWidth="1"/>
    <col min="5890" max="5890" width="7.7109375" style="1" customWidth="1"/>
    <col min="5891" max="5891" width="8.140625" style="1" customWidth="1"/>
    <col min="5892" max="5892" width="2.5703125" style="1" customWidth="1"/>
    <col min="5893" max="5893" width="6.5703125" style="1" customWidth="1"/>
    <col min="5894" max="5894" width="48.85546875" style="1" customWidth="1"/>
    <col min="5895" max="5895" width="49.7109375" style="1" customWidth="1"/>
    <col min="5896" max="6142" width="9.140625" style="1"/>
    <col min="6143" max="6143" width="43.28515625" style="1" customWidth="1"/>
    <col min="6144" max="6144" width="5.85546875" style="1" customWidth="1"/>
    <col min="6145" max="6145" width="6.28515625" style="1" customWidth="1"/>
    <col min="6146" max="6146" width="7.7109375" style="1" customWidth="1"/>
    <col min="6147" max="6147" width="8.140625" style="1" customWidth="1"/>
    <col min="6148" max="6148" width="2.5703125" style="1" customWidth="1"/>
    <col min="6149" max="6149" width="6.5703125" style="1" customWidth="1"/>
    <col min="6150" max="6150" width="48.85546875" style="1" customWidth="1"/>
    <col min="6151" max="6151" width="49.7109375" style="1" customWidth="1"/>
    <col min="6152" max="6398" width="9.140625" style="1"/>
    <col min="6399" max="6399" width="43.28515625" style="1" customWidth="1"/>
    <col min="6400" max="6400" width="5.85546875" style="1" customWidth="1"/>
    <col min="6401" max="6401" width="6.28515625" style="1" customWidth="1"/>
    <col min="6402" max="6402" width="7.7109375" style="1" customWidth="1"/>
    <col min="6403" max="6403" width="8.140625" style="1" customWidth="1"/>
    <col min="6404" max="6404" width="2.5703125" style="1" customWidth="1"/>
    <col min="6405" max="6405" width="6.5703125" style="1" customWidth="1"/>
    <col min="6406" max="6406" width="48.85546875" style="1" customWidth="1"/>
    <col min="6407" max="6407" width="49.7109375" style="1" customWidth="1"/>
    <col min="6408" max="6654" width="9.140625" style="1"/>
    <col min="6655" max="6655" width="43.28515625" style="1" customWidth="1"/>
    <col min="6656" max="6656" width="5.85546875" style="1" customWidth="1"/>
    <col min="6657" max="6657" width="6.28515625" style="1" customWidth="1"/>
    <col min="6658" max="6658" width="7.7109375" style="1" customWidth="1"/>
    <col min="6659" max="6659" width="8.140625" style="1" customWidth="1"/>
    <col min="6660" max="6660" width="2.5703125" style="1" customWidth="1"/>
    <col min="6661" max="6661" width="6.5703125" style="1" customWidth="1"/>
    <col min="6662" max="6662" width="48.85546875" style="1" customWidth="1"/>
    <col min="6663" max="6663" width="49.7109375" style="1" customWidth="1"/>
    <col min="6664" max="6910" width="9.140625" style="1"/>
    <col min="6911" max="6911" width="43.28515625" style="1" customWidth="1"/>
    <col min="6912" max="6912" width="5.85546875" style="1" customWidth="1"/>
    <col min="6913" max="6913" width="6.28515625" style="1" customWidth="1"/>
    <col min="6914" max="6914" width="7.7109375" style="1" customWidth="1"/>
    <col min="6915" max="6915" width="8.140625" style="1" customWidth="1"/>
    <col min="6916" max="6916" width="2.5703125" style="1" customWidth="1"/>
    <col min="6917" max="6917" width="6.5703125" style="1" customWidth="1"/>
    <col min="6918" max="6918" width="48.85546875" style="1" customWidth="1"/>
    <col min="6919" max="6919" width="49.7109375" style="1" customWidth="1"/>
    <col min="6920" max="7166" width="9.140625" style="1"/>
    <col min="7167" max="7167" width="43.28515625" style="1" customWidth="1"/>
    <col min="7168" max="7168" width="5.85546875" style="1" customWidth="1"/>
    <col min="7169" max="7169" width="6.28515625" style="1" customWidth="1"/>
    <col min="7170" max="7170" width="7.7109375" style="1" customWidth="1"/>
    <col min="7171" max="7171" width="8.140625" style="1" customWidth="1"/>
    <col min="7172" max="7172" width="2.5703125" style="1" customWidth="1"/>
    <col min="7173" max="7173" width="6.5703125" style="1" customWidth="1"/>
    <col min="7174" max="7174" width="48.85546875" style="1" customWidth="1"/>
    <col min="7175" max="7175" width="49.7109375" style="1" customWidth="1"/>
    <col min="7176" max="7422" width="9.140625" style="1"/>
    <col min="7423" max="7423" width="43.28515625" style="1" customWidth="1"/>
    <col min="7424" max="7424" width="5.85546875" style="1" customWidth="1"/>
    <col min="7425" max="7425" width="6.28515625" style="1" customWidth="1"/>
    <col min="7426" max="7426" width="7.7109375" style="1" customWidth="1"/>
    <col min="7427" max="7427" width="8.140625" style="1" customWidth="1"/>
    <col min="7428" max="7428" width="2.5703125" style="1" customWidth="1"/>
    <col min="7429" max="7429" width="6.5703125" style="1" customWidth="1"/>
    <col min="7430" max="7430" width="48.85546875" style="1" customWidth="1"/>
    <col min="7431" max="7431" width="49.7109375" style="1" customWidth="1"/>
    <col min="7432" max="7678" width="9.140625" style="1"/>
    <col min="7679" max="7679" width="43.28515625" style="1" customWidth="1"/>
    <col min="7680" max="7680" width="5.85546875" style="1" customWidth="1"/>
    <col min="7681" max="7681" width="6.28515625" style="1" customWidth="1"/>
    <col min="7682" max="7682" width="7.7109375" style="1" customWidth="1"/>
    <col min="7683" max="7683" width="8.140625" style="1" customWidth="1"/>
    <col min="7684" max="7684" width="2.5703125" style="1" customWidth="1"/>
    <col min="7685" max="7685" width="6.5703125" style="1" customWidth="1"/>
    <col min="7686" max="7686" width="48.85546875" style="1" customWidth="1"/>
    <col min="7687" max="7687" width="49.7109375" style="1" customWidth="1"/>
    <col min="7688" max="7934" width="9.140625" style="1"/>
    <col min="7935" max="7935" width="43.28515625" style="1" customWidth="1"/>
    <col min="7936" max="7936" width="5.85546875" style="1" customWidth="1"/>
    <col min="7937" max="7937" width="6.28515625" style="1" customWidth="1"/>
    <col min="7938" max="7938" width="7.7109375" style="1" customWidth="1"/>
    <col min="7939" max="7939" width="8.140625" style="1" customWidth="1"/>
    <col min="7940" max="7940" width="2.5703125" style="1" customWidth="1"/>
    <col min="7941" max="7941" width="6.5703125" style="1" customWidth="1"/>
    <col min="7942" max="7942" width="48.85546875" style="1" customWidth="1"/>
    <col min="7943" max="7943" width="49.7109375" style="1" customWidth="1"/>
    <col min="7944" max="8190" width="9.140625" style="1"/>
    <col min="8191" max="8191" width="43.28515625" style="1" customWidth="1"/>
    <col min="8192" max="8192" width="5.85546875" style="1" customWidth="1"/>
    <col min="8193" max="8193" width="6.28515625" style="1" customWidth="1"/>
    <col min="8194" max="8194" width="7.7109375" style="1" customWidth="1"/>
    <col min="8195" max="8195" width="8.140625" style="1" customWidth="1"/>
    <col min="8196" max="8196" width="2.5703125" style="1" customWidth="1"/>
    <col min="8197" max="8197" width="6.5703125" style="1" customWidth="1"/>
    <col min="8198" max="8198" width="48.85546875" style="1" customWidth="1"/>
    <col min="8199" max="8199" width="49.7109375" style="1" customWidth="1"/>
    <col min="8200" max="8446" width="9.140625" style="1"/>
    <col min="8447" max="8447" width="43.28515625" style="1" customWidth="1"/>
    <col min="8448" max="8448" width="5.85546875" style="1" customWidth="1"/>
    <col min="8449" max="8449" width="6.28515625" style="1" customWidth="1"/>
    <col min="8450" max="8450" width="7.7109375" style="1" customWidth="1"/>
    <col min="8451" max="8451" width="8.140625" style="1" customWidth="1"/>
    <col min="8452" max="8452" width="2.5703125" style="1" customWidth="1"/>
    <col min="8453" max="8453" width="6.5703125" style="1" customWidth="1"/>
    <col min="8454" max="8454" width="48.85546875" style="1" customWidth="1"/>
    <col min="8455" max="8455" width="49.7109375" style="1" customWidth="1"/>
    <col min="8456" max="8702" width="9.140625" style="1"/>
    <col min="8703" max="8703" width="43.28515625" style="1" customWidth="1"/>
    <col min="8704" max="8704" width="5.85546875" style="1" customWidth="1"/>
    <col min="8705" max="8705" width="6.28515625" style="1" customWidth="1"/>
    <col min="8706" max="8706" width="7.7109375" style="1" customWidth="1"/>
    <col min="8707" max="8707" width="8.140625" style="1" customWidth="1"/>
    <col min="8708" max="8708" width="2.5703125" style="1" customWidth="1"/>
    <col min="8709" max="8709" width="6.5703125" style="1" customWidth="1"/>
    <col min="8710" max="8710" width="48.85546875" style="1" customWidth="1"/>
    <col min="8711" max="8711" width="49.7109375" style="1" customWidth="1"/>
    <col min="8712" max="8958" width="9.140625" style="1"/>
    <col min="8959" max="8959" width="43.28515625" style="1" customWidth="1"/>
    <col min="8960" max="8960" width="5.85546875" style="1" customWidth="1"/>
    <col min="8961" max="8961" width="6.28515625" style="1" customWidth="1"/>
    <col min="8962" max="8962" width="7.7109375" style="1" customWidth="1"/>
    <col min="8963" max="8963" width="8.140625" style="1" customWidth="1"/>
    <col min="8964" max="8964" width="2.5703125" style="1" customWidth="1"/>
    <col min="8965" max="8965" width="6.5703125" style="1" customWidth="1"/>
    <col min="8966" max="8966" width="48.85546875" style="1" customWidth="1"/>
    <col min="8967" max="8967" width="49.7109375" style="1" customWidth="1"/>
    <col min="8968" max="9214" width="9.140625" style="1"/>
    <col min="9215" max="9215" width="43.28515625" style="1" customWidth="1"/>
    <col min="9216" max="9216" width="5.85546875" style="1" customWidth="1"/>
    <col min="9217" max="9217" width="6.28515625" style="1" customWidth="1"/>
    <col min="9218" max="9218" width="7.7109375" style="1" customWidth="1"/>
    <col min="9219" max="9219" width="8.140625" style="1" customWidth="1"/>
    <col min="9220" max="9220" width="2.5703125" style="1" customWidth="1"/>
    <col min="9221" max="9221" width="6.5703125" style="1" customWidth="1"/>
    <col min="9222" max="9222" width="48.85546875" style="1" customWidth="1"/>
    <col min="9223" max="9223" width="49.7109375" style="1" customWidth="1"/>
    <col min="9224" max="9470" width="9.140625" style="1"/>
    <col min="9471" max="9471" width="43.28515625" style="1" customWidth="1"/>
    <col min="9472" max="9472" width="5.85546875" style="1" customWidth="1"/>
    <col min="9473" max="9473" width="6.28515625" style="1" customWidth="1"/>
    <col min="9474" max="9474" width="7.7109375" style="1" customWidth="1"/>
    <col min="9475" max="9475" width="8.140625" style="1" customWidth="1"/>
    <col min="9476" max="9476" width="2.5703125" style="1" customWidth="1"/>
    <col min="9477" max="9477" width="6.5703125" style="1" customWidth="1"/>
    <col min="9478" max="9478" width="48.85546875" style="1" customWidth="1"/>
    <col min="9479" max="9479" width="49.7109375" style="1" customWidth="1"/>
    <col min="9480" max="9726" width="9.140625" style="1"/>
    <col min="9727" max="9727" width="43.28515625" style="1" customWidth="1"/>
    <col min="9728" max="9728" width="5.85546875" style="1" customWidth="1"/>
    <col min="9729" max="9729" width="6.28515625" style="1" customWidth="1"/>
    <col min="9730" max="9730" width="7.7109375" style="1" customWidth="1"/>
    <col min="9731" max="9731" width="8.140625" style="1" customWidth="1"/>
    <col min="9732" max="9732" width="2.5703125" style="1" customWidth="1"/>
    <col min="9733" max="9733" width="6.5703125" style="1" customWidth="1"/>
    <col min="9734" max="9734" width="48.85546875" style="1" customWidth="1"/>
    <col min="9735" max="9735" width="49.7109375" style="1" customWidth="1"/>
    <col min="9736" max="9982" width="9.140625" style="1"/>
    <col min="9983" max="9983" width="43.28515625" style="1" customWidth="1"/>
    <col min="9984" max="9984" width="5.85546875" style="1" customWidth="1"/>
    <col min="9985" max="9985" width="6.28515625" style="1" customWidth="1"/>
    <col min="9986" max="9986" width="7.7109375" style="1" customWidth="1"/>
    <col min="9987" max="9987" width="8.140625" style="1" customWidth="1"/>
    <col min="9988" max="9988" width="2.5703125" style="1" customWidth="1"/>
    <col min="9989" max="9989" width="6.5703125" style="1" customWidth="1"/>
    <col min="9990" max="9990" width="48.85546875" style="1" customWidth="1"/>
    <col min="9991" max="9991" width="49.7109375" style="1" customWidth="1"/>
    <col min="9992" max="10238" width="9.140625" style="1"/>
    <col min="10239" max="10239" width="43.28515625" style="1" customWidth="1"/>
    <col min="10240" max="10240" width="5.85546875" style="1" customWidth="1"/>
    <col min="10241" max="10241" width="6.28515625" style="1" customWidth="1"/>
    <col min="10242" max="10242" width="7.7109375" style="1" customWidth="1"/>
    <col min="10243" max="10243" width="8.140625" style="1" customWidth="1"/>
    <col min="10244" max="10244" width="2.5703125" style="1" customWidth="1"/>
    <col min="10245" max="10245" width="6.5703125" style="1" customWidth="1"/>
    <col min="10246" max="10246" width="48.85546875" style="1" customWidth="1"/>
    <col min="10247" max="10247" width="49.7109375" style="1" customWidth="1"/>
    <col min="10248" max="10494" width="9.140625" style="1"/>
    <col min="10495" max="10495" width="43.28515625" style="1" customWidth="1"/>
    <col min="10496" max="10496" width="5.85546875" style="1" customWidth="1"/>
    <col min="10497" max="10497" width="6.28515625" style="1" customWidth="1"/>
    <col min="10498" max="10498" width="7.7109375" style="1" customWidth="1"/>
    <col min="10499" max="10499" width="8.140625" style="1" customWidth="1"/>
    <col min="10500" max="10500" width="2.5703125" style="1" customWidth="1"/>
    <col min="10501" max="10501" width="6.5703125" style="1" customWidth="1"/>
    <col min="10502" max="10502" width="48.85546875" style="1" customWidth="1"/>
    <col min="10503" max="10503" width="49.7109375" style="1" customWidth="1"/>
    <col min="10504" max="10750" width="9.140625" style="1"/>
    <col min="10751" max="10751" width="43.28515625" style="1" customWidth="1"/>
    <col min="10752" max="10752" width="5.85546875" style="1" customWidth="1"/>
    <col min="10753" max="10753" width="6.28515625" style="1" customWidth="1"/>
    <col min="10754" max="10754" width="7.7109375" style="1" customWidth="1"/>
    <col min="10755" max="10755" width="8.140625" style="1" customWidth="1"/>
    <col min="10756" max="10756" width="2.5703125" style="1" customWidth="1"/>
    <col min="10757" max="10757" width="6.5703125" style="1" customWidth="1"/>
    <col min="10758" max="10758" width="48.85546875" style="1" customWidth="1"/>
    <col min="10759" max="10759" width="49.7109375" style="1" customWidth="1"/>
    <col min="10760" max="11006" width="9.140625" style="1"/>
    <col min="11007" max="11007" width="43.28515625" style="1" customWidth="1"/>
    <col min="11008" max="11008" width="5.85546875" style="1" customWidth="1"/>
    <col min="11009" max="11009" width="6.28515625" style="1" customWidth="1"/>
    <col min="11010" max="11010" width="7.7109375" style="1" customWidth="1"/>
    <col min="11011" max="11011" width="8.140625" style="1" customWidth="1"/>
    <col min="11012" max="11012" width="2.5703125" style="1" customWidth="1"/>
    <col min="11013" max="11013" width="6.5703125" style="1" customWidth="1"/>
    <col min="11014" max="11014" width="48.85546875" style="1" customWidth="1"/>
    <col min="11015" max="11015" width="49.7109375" style="1" customWidth="1"/>
    <col min="11016" max="11262" width="9.140625" style="1"/>
    <col min="11263" max="11263" width="43.28515625" style="1" customWidth="1"/>
    <col min="11264" max="11264" width="5.85546875" style="1" customWidth="1"/>
    <col min="11265" max="11265" width="6.28515625" style="1" customWidth="1"/>
    <col min="11266" max="11266" width="7.7109375" style="1" customWidth="1"/>
    <col min="11267" max="11267" width="8.140625" style="1" customWidth="1"/>
    <col min="11268" max="11268" width="2.5703125" style="1" customWidth="1"/>
    <col min="11269" max="11269" width="6.5703125" style="1" customWidth="1"/>
    <col min="11270" max="11270" width="48.85546875" style="1" customWidth="1"/>
    <col min="11271" max="11271" width="49.7109375" style="1" customWidth="1"/>
    <col min="11272" max="11518" width="9.140625" style="1"/>
    <col min="11519" max="11519" width="43.28515625" style="1" customWidth="1"/>
    <col min="11520" max="11520" width="5.85546875" style="1" customWidth="1"/>
    <col min="11521" max="11521" width="6.28515625" style="1" customWidth="1"/>
    <col min="11522" max="11522" width="7.7109375" style="1" customWidth="1"/>
    <col min="11523" max="11523" width="8.140625" style="1" customWidth="1"/>
    <col min="11524" max="11524" width="2.5703125" style="1" customWidth="1"/>
    <col min="11525" max="11525" width="6.5703125" style="1" customWidth="1"/>
    <col min="11526" max="11526" width="48.85546875" style="1" customWidth="1"/>
    <col min="11527" max="11527" width="49.7109375" style="1" customWidth="1"/>
    <col min="11528" max="11774" width="9.140625" style="1"/>
    <col min="11775" max="11775" width="43.28515625" style="1" customWidth="1"/>
    <col min="11776" max="11776" width="5.85546875" style="1" customWidth="1"/>
    <col min="11777" max="11777" width="6.28515625" style="1" customWidth="1"/>
    <col min="11778" max="11778" width="7.7109375" style="1" customWidth="1"/>
    <col min="11779" max="11779" width="8.140625" style="1" customWidth="1"/>
    <col min="11780" max="11780" width="2.5703125" style="1" customWidth="1"/>
    <col min="11781" max="11781" width="6.5703125" style="1" customWidth="1"/>
    <col min="11782" max="11782" width="48.85546875" style="1" customWidth="1"/>
    <col min="11783" max="11783" width="49.7109375" style="1" customWidth="1"/>
    <col min="11784" max="12030" width="9.140625" style="1"/>
    <col min="12031" max="12031" width="43.28515625" style="1" customWidth="1"/>
    <col min="12032" max="12032" width="5.85546875" style="1" customWidth="1"/>
    <col min="12033" max="12033" width="6.28515625" style="1" customWidth="1"/>
    <col min="12034" max="12034" width="7.7109375" style="1" customWidth="1"/>
    <col min="12035" max="12035" width="8.140625" style="1" customWidth="1"/>
    <col min="12036" max="12036" width="2.5703125" style="1" customWidth="1"/>
    <col min="12037" max="12037" width="6.5703125" style="1" customWidth="1"/>
    <col min="12038" max="12038" width="48.85546875" style="1" customWidth="1"/>
    <col min="12039" max="12039" width="49.7109375" style="1" customWidth="1"/>
    <col min="12040" max="12286" width="9.140625" style="1"/>
    <col min="12287" max="12287" width="43.28515625" style="1" customWidth="1"/>
    <col min="12288" max="12288" width="5.85546875" style="1" customWidth="1"/>
    <col min="12289" max="12289" width="6.28515625" style="1" customWidth="1"/>
    <col min="12290" max="12290" width="7.7109375" style="1" customWidth="1"/>
    <col min="12291" max="12291" width="8.140625" style="1" customWidth="1"/>
    <col min="12292" max="12292" width="2.5703125" style="1" customWidth="1"/>
    <col min="12293" max="12293" width="6.5703125" style="1" customWidth="1"/>
    <col min="12294" max="12294" width="48.85546875" style="1" customWidth="1"/>
    <col min="12295" max="12295" width="49.7109375" style="1" customWidth="1"/>
    <col min="12296" max="12542" width="9.140625" style="1"/>
    <col min="12543" max="12543" width="43.28515625" style="1" customWidth="1"/>
    <col min="12544" max="12544" width="5.85546875" style="1" customWidth="1"/>
    <col min="12545" max="12545" width="6.28515625" style="1" customWidth="1"/>
    <col min="12546" max="12546" width="7.7109375" style="1" customWidth="1"/>
    <col min="12547" max="12547" width="8.140625" style="1" customWidth="1"/>
    <col min="12548" max="12548" width="2.5703125" style="1" customWidth="1"/>
    <col min="12549" max="12549" width="6.5703125" style="1" customWidth="1"/>
    <col min="12550" max="12550" width="48.85546875" style="1" customWidth="1"/>
    <col min="12551" max="12551" width="49.7109375" style="1" customWidth="1"/>
    <col min="12552" max="12798" width="9.140625" style="1"/>
    <col min="12799" max="12799" width="43.28515625" style="1" customWidth="1"/>
    <col min="12800" max="12800" width="5.85546875" style="1" customWidth="1"/>
    <col min="12801" max="12801" width="6.28515625" style="1" customWidth="1"/>
    <col min="12802" max="12802" width="7.7109375" style="1" customWidth="1"/>
    <col min="12803" max="12803" width="8.140625" style="1" customWidth="1"/>
    <col min="12804" max="12804" width="2.5703125" style="1" customWidth="1"/>
    <col min="12805" max="12805" width="6.5703125" style="1" customWidth="1"/>
    <col min="12806" max="12806" width="48.85546875" style="1" customWidth="1"/>
    <col min="12807" max="12807" width="49.7109375" style="1" customWidth="1"/>
    <col min="12808" max="13054" width="9.140625" style="1"/>
    <col min="13055" max="13055" width="43.28515625" style="1" customWidth="1"/>
    <col min="13056" max="13056" width="5.85546875" style="1" customWidth="1"/>
    <col min="13057" max="13057" width="6.28515625" style="1" customWidth="1"/>
    <col min="13058" max="13058" width="7.7109375" style="1" customWidth="1"/>
    <col min="13059" max="13059" width="8.140625" style="1" customWidth="1"/>
    <col min="13060" max="13060" width="2.5703125" style="1" customWidth="1"/>
    <col min="13061" max="13061" width="6.5703125" style="1" customWidth="1"/>
    <col min="13062" max="13062" width="48.85546875" style="1" customWidth="1"/>
    <col min="13063" max="13063" width="49.7109375" style="1" customWidth="1"/>
    <col min="13064" max="13310" width="9.140625" style="1"/>
    <col min="13311" max="13311" width="43.28515625" style="1" customWidth="1"/>
    <col min="13312" max="13312" width="5.85546875" style="1" customWidth="1"/>
    <col min="13313" max="13313" width="6.28515625" style="1" customWidth="1"/>
    <col min="13314" max="13314" width="7.7109375" style="1" customWidth="1"/>
    <col min="13315" max="13315" width="8.140625" style="1" customWidth="1"/>
    <col min="13316" max="13316" width="2.5703125" style="1" customWidth="1"/>
    <col min="13317" max="13317" width="6.5703125" style="1" customWidth="1"/>
    <col min="13318" max="13318" width="48.85546875" style="1" customWidth="1"/>
    <col min="13319" max="13319" width="49.7109375" style="1" customWidth="1"/>
    <col min="13320" max="13566" width="9.140625" style="1"/>
    <col min="13567" max="13567" width="43.28515625" style="1" customWidth="1"/>
    <col min="13568" max="13568" width="5.85546875" style="1" customWidth="1"/>
    <col min="13569" max="13569" width="6.28515625" style="1" customWidth="1"/>
    <col min="13570" max="13570" width="7.7109375" style="1" customWidth="1"/>
    <col min="13571" max="13571" width="8.140625" style="1" customWidth="1"/>
    <col min="13572" max="13572" width="2.5703125" style="1" customWidth="1"/>
    <col min="13573" max="13573" width="6.5703125" style="1" customWidth="1"/>
    <col min="13574" max="13574" width="48.85546875" style="1" customWidth="1"/>
    <col min="13575" max="13575" width="49.7109375" style="1" customWidth="1"/>
    <col min="13576" max="13822" width="9.140625" style="1"/>
    <col min="13823" max="13823" width="43.28515625" style="1" customWidth="1"/>
    <col min="13824" max="13824" width="5.85546875" style="1" customWidth="1"/>
    <col min="13825" max="13825" width="6.28515625" style="1" customWidth="1"/>
    <col min="13826" max="13826" width="7.7109375" style="1" customWidth="1"/>
    <col min="13827" max="13827" width="8.140625" style="1" customWidth="1"/>
    <col min="13828" max="13828" width="2.5703125" style="1" customWidth="1"/>
    <col min="13829" max="13829" width="6.5703125" style="1" customWidth="1"/>
    <col min="13830" max="13830" width="48.85546875" style="1" customWidth="1"/>
    <col min="13831" max="13831" width="49.7109375" style="1" customWidth="1"/>
    <col min="13832" max="14078" width="9.140625" style="1"/>
    <col min="14079" max="14079" width="43.28515625" style="1" customWidth="1"/>
    <col min="14080" max="14080" width="5.85546875" style="1" customWidth="1"/>
    <col min="14081" max="14081" width="6.28515625" style="1" customWidth="1"/>
    <col min="14082" max="14082" width="7.7109375" style="1" customWidth="1"/>
    <col min="14083" max="14083" width="8.140625" style="1" customWidth="1"/>
    <col min="14084" max="14084" width="2.5703125" style="1" customWidth="1"/>
    <col min="14085" max="14085" width="6.5703125" style="1" customWidth="1"/>
    <col min="14086" max="14086" width="48.85546875" style="1" customWidth="1"/>
    <col min="14087" max="14087" width="49.7109375" style="1" customWidth="1"/>
    <col min="14088" max="14334" width="9.140625" style="1"/>
    <col min="14335" max="14335" width="43.28515625" style="1" customWidth="1"/>
    <col min="14336" max="14336" width="5.85546875" style="1" customWidth="1"/>
    <col min="14337" max="14337" width="6.28515625" style="1" customWidth="1"/>
    <col min="14338" max="14338" width="7.7109375" style="1" customWidth="1"/>
    <col min="14339" max="14339" width="8.140625" style="1" customWidth="1"/>
    <col min="14340" max="14340" width="2.5703125" style="1" customWidth="1"/>
    <col min="14341" max="14341" width="6.5703125" style="1" customWidth="1"/>
    <col min="14342" max="14342" width="48.85546875" style="1" customWidth="1"/>
    <col min="14343" max="14343" width="49.7109375" style="1" customWidth="1"/>
    <col min="14344" max="14590" width="9.140625" style="1"/>
    <col min="14591" max="14591" width="43.28515625" style="1" customWidth="1"/>
    <col min="14592" max="14592" width="5.85546875" style="1" customWidth="1"/>
    <col min="14593" max="14593" width="6.28515625" style="1" customWidth="1"/>
    <col min="14594" max="14594" width="7.7109375" style="1" customWidth="1"/>
    <col min="14595" max="14595" width="8.140625" style="1" customWidth="1"/>
    <col min="14596" max="14596" width="2.5703125" style="1" customWidth="1"/>
    <col min="14597" max="14597" width="6.5703125" style="1" customWidth="1"/>
    <col min="14598" max="14598" width="48.85546875" style="1" customWidth="1"/>
    <col min="14599" max="14599" width="49.7109375" style="1" customWidth="1"/>
    <col min="14600" max="14846" width="9.140625" style="1"/>
    <col min="14847" max="14847" width="43.28515625" style="1" customWidth="1"/>
    <col min="14848" max="14848" width="5.85546875" style="1" customWidth="1"/>
    <col min="14849" max="14849" width="6.28515625" style="1" customWidth="1"/>
    <col min="14850" max="14850" width="7.7109375" style="1" customWidth="1"/>
    <col min="14851" max="14851" width="8.140625" style="1" customWidth="1"/>
    <col min="14852" max="14852" width="2.5703125" style="1" customWidth="1"/>
    <col min="14853" max="14853" width="6.5703125" style="1" customWidth="1"/>
    <col min="14854" max="14854" width="48.85546875" style="1" customWidth="1"/>
    <col min="14855" max="14855" width="49.7109375" style="1" customWidth="1"/>
    <col min="14856" max="15102" width="9.140625" style="1"/>
    <col min="15103" max="15103" width="43.28515625" style="1" customWidth="1"/>
    <col min="15104" max="15104" width="5.85546875" style="1" customWidth="1"/>
    <col min="15105" max="15105" width="6.28515625" style="1" customWidth="1"/>
    <col min="15106" max="15106" width="7.7109375" style="1" customWidth="1"/>
    <col min="15107" max="15107" width="8.140625" style="1" customWidth="1"/>
    <col min="15108" max="15108" width="2.5703125" style="1" customWidth="1"/>
    <col min="15109" max="15109" width="6.5703125" style="1" customWidth="1"/>
    <col min="15110" max="15110" width="48.85546875" style="1" customWidth="1"/>
    <col min="15111" max="15111" width="49.7109375" style="1" customWidth="1"/>
    <col min="15112" max="15358" width="9.140625" style="1"/>
    <col min="15359" max="15359" width="43.28515625" style="1" customWidth="1"/>
    <col min="15360" max="15360" width="5.85546875" style="1" customWidth="1"/>
    <col min="15361" max="15361" width="6.28515625" style="1" customWidth="1"/>
    <col min="15362" max="15362" width="7.7109375" style="1" customWidth="1"/>
    <col min="15363" max="15363" width="8.140625" style="1" customWidth="1"/>
    <col min="15364" max="15364" width="2.5703125" style="1" customWidth="1"/>
    <col min="15365" max="15365" width="6.5703125" style="1" customWidth="1"/>
    <col min="15366" max="15366" width="48.85546875" style="1" customWidth="1"/>
    <col min="15367" max="15367" width="49.7109375" style="1" customWidth="1"/>
    <col min="15368" max="15614" width="9.140625" style="1"/>
    <col min="15615" max="15615" width="43.28515625" style="1" customWidth="1"/>
    <col min="15616" max="15616" width="5.85546875" style="1" customWidth="1"/>
    <col min="15617" max="15617" width="6.28515625" style="1" customWidth="1"/>
    <col min="15618" max="15618" width="7.7109375" style="1" customWidth="1"/>
    <col min="15619" max="15619" width="8.140625" style="1" customWidth="1"/>
    <col min="15620" max="15620" width="2.5703125" style="1" customWidth="1"/>
    <col min="15621" max="15621" width="6.5703125" style="1" customWidth="1"/>
    <col min="15622" max="15622" width="48.85546875" style="1" customWidth="1"/>
    <col min="15623" max="15623" width="49.7109375" style="1" customWidth="1"/>
    <col min="15624" max="15870" width="9.140625" style="1"/>
    <col min="15871" max="15871" width="43.28515625" style="1" customWidth="1"/>
    <col min="15872" max="15872" width="5.85546875" style="1" customWidth="1"/>
    <col min="15873" max="15873" width="6.28515625" style="1" customWidth="1"/>
    <col min="15874" max="15874" width="7.7109375" style="1" customWidth="1"/>
    <col min="15875" max="15875" width="8.140625" style="1" customWidth="1"/>
    <col min="15876" max="15876" width="2.5703125" style="1" customWidth="1"/>
    <col min="15877" max="15877" width="6.5703125" style="1" customWidth="1"/>
    <col min="15878" max="15878" width="48.85546875" style="1" customWidth="1"/>
    <col min="15879" max="15879" width="49.7109375" style="1" customWidth="1"/>
    <col min="15880" max="16126" width="9.140625" style="1"/>
    <col min="16127" max="16127" width="43.28515625" style="1" customWidth="1"/>
    <col min="16128" max="16128" width="5.85546875" style="1" customWidth="1"/>
    <col min="16129" max="16129" width="6.28515625" style="1" customWidth="1"/>
    <col min="16130" max="16130" width="7.7109375" style="1" customWidth="1"/>
    <col min="16131" max="16131" width="8.140625" style="1" customWidth="1"/>
    <col min="16132" max="16132" width="2.5703125" style="1" customWidth="1"/>
    <col min="16133" max="16133" width="6.5703125" style="1" customWidth="1"/>
    <col min="16134" max="16134" width="48.85546875" style="1" customWidth="1"/>
    <col min="16135" max="16135" width="49.7109375" style="1" customWidth="1"/>
    <col min="16136" max="16384" width="9.140625" style="1"/>
  </cols>
  <sheetData>
    <row r="1" spans="1:15" ht="19.5" x14ac:dyDescent="0.15">
      <c r="A1" s="46" t="s">
        <v>46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5" x14ac:dyDescent="0.15">
      <c r="A2" s="47" t="s">
        <v>47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s="4" customFormat="1" ht="12.75" customHeight="1" x14ac:dyDescent="0.2">
      <c r="A3" s="48" t="s">
        <v>7</v>
      </c>
      <c r="B3" s="2"/>
      <c r="C3" s="3"/>
      <c r="D3" s="42">
        <v>2016</v>
      </c>
      <c r="E3" s="42"/>
      <c r="F3" s="42"/>
      <c r="G3" s="3"/>
      <c r="H3" s="42">
        <v>2017</v>
      </c>
      <c r="I3" s="42"/>
      <c r="J3" s="42"/>
      <c r="K3" s="3"/>
      <c r="L3" s="42">
        <v>2018</v>
      </c>
      <c r="M3" s="42"/>
      <c r="N3" s="42"/>
      <c r="O3" s="43" t="s">
        <v>8</v>
      </c>
    </row>
    <row r="4" spans="1:15" s="7" customFormat="1" ht="15.75" x14ac:dyDescent="0.25">
      <c r="A4" s="49"/>
      <c r="B4" s="5"/>
      <c r="C4" s="6"/>
      <c r="D4" s="5" t="s">
        <v>6</v>
      </c>
      <c r="E4" s="5" t="s">
        <v>2</v>
      </c>
      <c r="F4" s="5" t="s">
        <v>1</v>
      </c>
      <c r="G4" s="6"/>
      <c r="H4" s="5" t="s">
        <v>6</v>
      </c>
      <c r="I4" s="5" t="s">
        <v>2</v>
      </c>
      <c r="J4" s="5" t="s">
        <v>1</v>
      </c>
      <c r="K4" s="6"/>
      <c r="L4" s="5" t="s">
        <v>6</v>
      </c>
      <c r="M4" s="5" t="s">
        <v>2</v>
      </c>
      <c r="N4" s="5" t="s">
        <v>1</v>
      </c>
      <c r="O4" s="44"/>
    </row>
    <row r="5" spans="1:15" s="4" customFormat="1" ht="12.75" customHeight="1" x14ac:dyDescent="0.15">
      <c r="A5" s="50"/>
      <c r="B5" s="8"/>
      <c r="C5" s="10"/>
      <c r="D5" s="9" t="s">
        <v>3</v>
      </c>
      <c r="E5" s="9" t="s">
        <v>4</v>
      </c>
      <c r="F5" s="9" t="s">
        <v>5</v>
      </c>
      <c r="G5" s="10"/>
      <c r="H5" s="9" t="s">
        <v>3</v>
      </c>
      <c r="I5" s="9" t="s">
        <v>4</v>
      </c>
      <c r="J5" s="9" t="s">
        <v>5</v>
      </c>
      <c r="K5" s="10"/>
      <c r="L5" s="9" t="s">
        <v>3</v>
      </c>
      <c r="M5" s="9" t="s">
        <v>4</v>
      </c>
      <c r="N5" s="9" t="s">
        <v>5</v>
      </c>
      <c r="O5" s="45"/>
    </row>
    <row r="6" spans="1:15" s="4" customFormat="1" ht="18.75" x14ac:dyDescent="0.15">
      <c r="A6" s="11" t="s">
        <v>0</v>
      </c>
      <c r="B6" s="12"/>
      <c r="C6" s="14"/>
      <c r="D6" s="13">
        <f>D7+D13+D19+D24+D22</f>
        <v>821</v>
      </c>
      <c r="E6" s="13">
        <f>E7+E13+E19+E24+E22</f>
        <v>761</v>
      </c>
      <c r="F6" s="13">
        <f>F7+F13+F18+F19+F20+F23+F24</f>
        <v>60</v>
      </c>
      <c r="G6" s="14"/>
      <c r="H6" s="13">
        <f>H7+H13+H19+H18+H20+H21+H22+H23+H24</f>
        <v>958</v>
      </c>
      <c r="I6" s="13">
        <f>I7+I13+I18+I19+I20+I21+I22+I23+I24</f>
        <v>897</v>
      </c>
      <c r="J6" s="13">
        <f>J7+J13+J18+J19+J20+J22+J23+J24</f>
        <v>61</v>
      </c>
      <c r="K6" s="14"/>
      <c r="L6" s="13">
        <f t="shared" ref="L6:L12" si="0">M6+N6</f>
        <v>560</v>
      </c>
      <c r="M6" s="13">
        <f>M7+M13+M18+M19+M20+M21+M22+M23+M24</f>
        <v>484</v>
      </c>
      <c r="N6" s="13">
        <f>N7+N13+N21</f>
        <v>76</v>
      </c>
      <c r="O6" s="15" t="s">
        <v>9</v>
      </c>
    </row>
    <row r="7" spans="1:15" s="4" customFormat="1" ht="18.75" x14ac:dyDescent="0.15">
      <c r="A7" s="11" t="s">
        <v>10</v>
      </c>
      <c r="B7" s="12"/>
      <c r="C7" s="14"/>
      <c r="D7" s="13">
        <f>D8+D9+D10+D11+D12</f>
        <v>495</v>
      </c>
      <c r="E7" s="13">
        <f>E8+E9+E10+E11+E12</f>
        <v>435</v>
      </c>
      <c r="F7" s="13">
        <f>F8+F9+F10+F11+F12</f>
        <v>60</v>
      </c>
      <c r="G7" s="14"/>
      <c r="H7" s="13">
        <f>H8+H9+H10+H11+H12</f>
        <v>467</v>
      </c>
      <c r="I7" s="13">
        <f>I8+I9+I10+I11+I12</f>
        <v>418</v>
      </c>
      <c r="J7" s="13">
        <f>J8+J9+J10+J11+J12</f>
        <v>49</v>
      </c>
      <c r="K7" s="14"/>
      <c r="L7" s="13">
        <f t="shared" si="0"/>
        <v>370</v>
      </c>
      <c r="M7" s="13">
        <f>M8+M9+M10+M11+M12</f>
        <v>346</v>
      </c>
      <c r="N7" s="13">
        <f>N8+N9+N10+N11+N12</f>
        <v>24</v>
      </c>
      <c r="O7" s="15" t="s">
        <v>11</v>
      </c>
    </row>
    <row r="8" spans="1:15" s="4" customFormat="1" ht="18.75" x14ac:dyDescent="0.15">
      <c r="A8" s="16" t="s">
        <v>12</v>
      </c>
      <c r="B8" s="17"/>
      <c r="C8" s="14"/>
      <c r="D8" s="18">
        <f>E8+F8</f>
        <v>0</v>
      </c>
      <c r="E8" s="18">
        <v>0</v>
      </c>
      <c r="F8" s="18">
        <v>0</v>
      </c>
      <c r="G8" s="14"/>
      <c r="H8" s="18">
        <f>I8+J8</f>
        <v>0</v>
      </c>
      <c r="I8" s="18">
        <v>0</v>
      </c>
      <c r="J8" s="18">
        <v>0</v>
      </c>
      <c r="K8" s="14"/>
      <c r="L8" s="18">
        <f t="shared" si="0"/>
        <v>0</v>
      </c>
      <c r="M8" s="18">
        <v>0</v>
      </c>
      <c r="N8" s="18">
        <v>0</v>
      </c>
      <c r="O8" s="19" t="s">
        <v>13</v>
      </c>
    </row>
    <row r="9" spans="1:15" s="4" customFormat="1" ht="18.75" x14ac:dyDescent="0.15">
      <c r="A9" s="16" t="s">
        <v>14</v>
      </c>
      <c r="B9" s="17"/>
      <c r="C9" s="14"/>
      <c r="D9" s="18">
        <f>E9+F9</f>
        <v>40</v>
      </c>
      <c r="E9" s="18">
        <v>38</v>
      </c>
      <c r="F9" s="18">
        <v>2</v>
      </c>
      <c r="G9" s="14"/>
      <c r="H9" s="18">
        <f>I9+J9</f>
        <v>49</v>
      </c>
      <c r="I9" s="18">
        <v>49</v>
      </c>
      <c r="J9" s="18">
        <v>0</v>
      </c>
      <c r="K9" s="14"/>
      <c r="L9" s="18">
        <f t="shared" si="0"/>
        <v>9</v>
      </c>
      <c r="M9" s="18">
        <v>9</v>
      </c>
      <c r="N9" s="18">
        <v>0</v>
      </c>
      <c r="O9" s="19" t="s">
        <v>15</v>
      </c>
    </row>
    <row r="10" spans="1:15" s="4" customFormat="1" ht="18.75" x14ac:dyDescent="0.15">
      <c r="A10" s="16" t="s">
        <v>16</v>
      </c>
      <c r="B10" s="17"/>
      <c r="C10" s="14"/>
      <c r="D10" s="18">
        <f>E10+F10</f>
        <v>96</v>
      </c>
      <c r="E10" s="18">
        <v>84</v>
      </c>
      <c r="F10" s="18">
        <v>12</v>
      </c>
      <c r="G10" s="14"/>
      <c r="H10" s="18">
        <f>I10+J10</f>
        <v>37</v>
      </c>
      <c r="I10" s="18">
        <v>28</v>
      </c>
      <c r="J10" s="18">
        <v>9</v>
      </c>
      <c r="K10" s="14"/>
      <c r="L10" s="18">
        <f t="shared" si="0"/>
        <v>14</v>
      </c>
      <c r="M10" s="18">
        <v>10</v>
      </c>
      <c r="N10" s="18">
        <v>4</v>
      </c>
      <c r="O10" s="19" t="s">
        <v>17</v>
      </c>
    </row>
    <row r="11" spans="1:15" s="4" customFormat="1" ht="18.75" x14ac:dyDescent="0.15">
      <c r="A11" s="16" t="s">
        <v>18</v>
      </c>
      <c r="B11" s="17"/>
      <c r="C11" s="14"/>
      <c r="D11" s="18">
        <f>E11+F11</f>
        <v>167</v>
      </c>
      <c r="E11" s="18">
        <v>167</v>
      </c>
      <c r="F11" s="18">
        <v>0</v>
      </c>
      <c r="G11" s="14"/>
      <c r="H11" s="18">
        <f>I11+J11</f>
        <v>111</v>
      </c>
      <c r="I11" s="18">
        <v>111</v>
      </c>
      <c r="J11" s="18">
        <v>0</v>
      </c>
      <c r="K11" s="14"/>
      <c r="L11" s="18">
        <f t="shared" si="0"/>
        <v>138</v>
      </c>
      <c r="M11" s="18">
        <v>136</v>
      </c>
      <c r="N11" s="18">
        <v>2</v>
      </c>
      <c r="O11" s="19" t="s">
        <v>19</v>
      </c>
    </row>
    <row r="12" spans="1:15" s="4" customFormat="1" ht="18.75" x14ac:dyDescent="0.15">
      <c r="A12" s="16" t="s">
        <v>20</v>
      </c>
      <c r="B12" s="17"/>
      <c r="C12" s="14"/>
      <c r="D12" s="18">
        <f>E12+F12</f>
        <v>192</v>
      </c>
      <c r="E12" s="18">
        <v>146</v>
      </c>
      <c r="F12" s="18">
        <v>46</v>
      </c>
      <c r="G12" s="14"/>
      <c r="H12" s="18">
        <f>I12+J12</f>
        <v>270</v>
      </c>
      <c r="I12" s="18">
        <v>230</v>
      </c>
      <c r="J12" s="18">
        <v>40</v>
      </c>
      <c r="K12" s="14"/>
      <c r="L12" s="18">
        <f t="shared" si="0"/>
        <v>209</v>
      </c>
      <c r="M12" s="18">
        <v>191</v>
      </c>
      <c r="N12" s="18">
        <v>18</v>
      </c>
      <c r="O12" s="19" t="s">
        <v>21</v>
      </c>
    </row>
    <row r="13" spans="1:15" s="21" customFormat="1" ht="18.75" x14ac:dyDescent="0.15">
      <c r="A13" s="11" t="s">
        <v>22</v>
      </c>
      <c r="B13" s="12"/>
      <c r="C13" s="14"/>
      <c r="D13" s="13">
        <f>D15+D16+D17+D14</f>
        <v>173</v>
      </c>
      <c r="E13" s="13">
        <f>E15+E16+E17+E14</f>
        <v>173</v>
      </c>
      <c r="F13" s="13">
        <f>F15+F16+F17</f>
        <v>0</v>
      </c>
      <c r="G13" s="14"/>
      <c r="H13" s="13">
        <f>H15+H16+H17+H14</f>
        <v>150</v>
      </c>
      <c r="I13" s="13">
        <f>I15+I16+I17+I14</f>
        <v>150</v>
      </c>
      <c r="J13" s="13">
        <f>J15+J16+J17</f>
        <v>0</v>
      </c>
      <c r="K13" s="14"/>
      <c r="L13" s="13">
        <f>L15+L16+L17+L14</f>
        <v>54</v>
      </c>
      <c r="M13" s="13">
        <f>M15+M16+M17+M14</f>
        <v>50</v>
      </c>
      <c r="N13" s="13">
        <f>N15+N16+N17</f>
        <v>4</v>
      </c>
      <c r="O13" s="20" t="s">
        <v>23</v>
      </c>
    </row>
    <row r="14" spans="1:15" s="21" customFormat="1" ht="18.75" x14ac:dyDescent="0.15">
      <c r="A14" s="16" t="s">
        <v>16</v>
      </c>
      <c r="B14" s="12"/>
      <c r="C14" s="14"/>
      <c r="D14" s="18">
        <f>E14+F14</f>
        <v>13</v>
      </c>
      <c r="E14" s="13">
        <v>13</v>
      </c>
      <c r="F14" s="13">
        <v>0</v>
      </c>
      <c r="G14" s="14"/>
      <c r="H14" s="18">
        <f>I14+J14</f>
        <v>11</v>
      </c>
      <c r="I14" s="18">
        <v>11</v>
      </c>
      <c r="J14" s="18">
        <v>0</v>
      </c>
      <c r="K14" s="14"/>
      <c r="L14" s="18">
        <f>M14+N14</f>
        <v>11</v>
      </c>
      <c r="M14" s="18">
        <v>11</v>
      </c>
      <c r="N14" s="18">
        <v>0</v>
      </c>
      <c r="O14" s="19" t="s">
        <v>17</v>
      </c>
    </row>
    <row r="15" spans="1:15" s="4" customFormat="1" ht="18.75" x14ac:dyDescent="0.15">
      <c r="A15" s="16" t="s">
        <v>24</v>
      </c>
      <c r="B15" s="22"/>
      <c r="C15" s="14"/>
      <c r="D15" s="18">
        <f>E15+F15</f>
        <v>19</v>
      </c>
      <c r="E15" s="18">
        <v>19</v>
      </c>
      <c r="F15" s="18">
        <v>0</v>
      </c>
      <c r="G15" s="14"/>
      <c r="H15" s="18">
        <f>I15+J15</f>
        <v>33</v>
      </c>
      <c r="I15" s="18">
        <v>33</v>
      </c>
      <c r="J15" s="18">
        <v>0</v>
      </c>
      <c r="K15" s="14"/>
      <c r="L15" s="18">
        <f>M15+N15</f>
        <v>9</v>
      </c>
      <c r="M15" s="18">
        <v>9</v>
      </c>
      <c r="N15" s="18">
        <v>0</v>
      </c>
      <c r="O15" s="19" t="s">
        <v>25</v>
      </c>
    </row>
    <row r="16" spans="1:15" s="4" customFormat="1" ht="18.75" x14ac:dyDescent="0.15">
      <c r="A16" s="16" t="s">
        <v>20</v>
      </c>
      <c r="B16" s="17"/>
      <c r="C16" s="14"/>
      <c r="D16" s="18">
        <f t="shared" ref="D16:D24" si="1">E16+F16</f>
        <v>141</v>
      </c>
      <c r="E16" s="18">
        <v>141</v>
      </c>
      <c r="F16" s="18">
        <v>0</v>
      </c>
      <c r="G16" s="14"/>
      <c r="H16" s="18">
        <f t="shared" ref="H16:H24" si="2">I16+J16</f>
        <v>106</v>
      </c>
      <c r="I16" s="18">
        <v>106</v>
      </c>
      <c r="J16" s="18">
        <v>0</v>
      </c>
      <c r="K16" s="14"/>
      <c r="L16" s="18">
        <f t="shared" ref="L16:L20" si="3">M16+N16</f>
        <v>34</v>
      </c>
      <c r="M16" s="18">
        <v>30</v>
      </c>
      <c r="N16" s="18">
        <v>4</v>
      </c>
      <c r="O16" s="19" t="s">
        <v>21</v>
      </c>
    </row>
    <row r="17" spans="1:15" s="4" customFormat="1" ht="18.75" x14ac:dyDescent="0.15">
      <c r="A17" s="16" t="s">
        <v>26</v>
      </c>
      <c r="B17" s="17"/>
      <c r="C17" s="14"/>
      <c r="D17" s="18">
        <f t="shared" si="1"/>
        <v>0</v>
      </c>
      <c r="E17" s="18">
        <v>0</v>
      </c>
      <c r="F17" s="18">
        <v>0</v>
      </c>
      <c r="G17" s="14"/>
      <c r="H17" s="18">
        <f t="shared" si="2"/>
        <v>0</v>
      </c>
      <c r="I17" s="18">
        <v>0</v>
      </c>
      <c r="J17" s="18">
        <v>0</v>
      </c>
      <c r="K17" s="14"/>
      <c r="L17" s="18">
        <f t="shared" si="3"/>
        <v>0</v>
      </c>
      <c r="M17" s="18">
        <v>0</v>
      </c>
      <c r="N17" s="18">
        <v>0</v>
      </c>
      <c r="O17" s="19" t="s">
        <v>27</v>
      </c>
    </row>
    <row r="18" spans="1:15" s="4" customFormat="1" ht="18.75" x14ac:dyDescent="0.15">
      <c r="A18" s="23" t="s">
        <v>28</v>
      </c>
      <c r="B18" s="12"/>
      <c r="C18" s="14"/>
      <c r="D18" s="13">
        <f t="shared" si="1"/>
        <v>0</v>
      </c>
      <c r="E18" s="13">
        <v>0</v>
      </c>
      <c r="F18" s="13">
        <v>0</v>
      </c>
      <c r="G18" s="14"/>
      <c r="H18" s="13">
        <f t="shared" si="2"/>
        <v>0</v>
      </c>
      <c r="I18" s="13">
        <v>0</v>
      </c>
      <c r="J18" s="13">
        <v>0</v>
      </c>
      <c r="K18" s="14"/>
      <c r="L18" s="13">
        <f t="shared" si="3"/>
        <v>0</v>
      </c>
      <c r="M18" s="13">
        <v>0</v>
      </c>
      <c r="N18" s="13">
        <v>0</v>
      </c>
      <c r="O18" s="15" t="s">
        <v>29</v>
      </c>
    </row>
    <row r="19" spans="1:15" s="4" customFormat="1" ht="18.75" x14ac:dyDescent="0.15">
      <c r="A19" s="23" t="s">
        <v>30</v>
      </c>
      <c r="B19" s="12"/>
      <c r="C19" s="14"/>
      <c r="D19" s="13">
        <f t="shared" si="1"/>
        <v>23</v>
      </c>
      <c r="E19" s="13">
        <v>23</v>
      </c>
      <c r="F19" s="13">
        <v>0</v>
      </c>
      <c r="G19" s="14"/>
      <c r="H19" s="13">
        <f t="shared" si="2"/>
        <v>40</v>
      </c>
      <c r="I19" s="13">
        <v>40</v>
      </c>
      <c r="J19" s="13">
        <v>0</v>
      </c>
      <c r="K19" s="14"/>
      <c r="L19" s="13">
        <f t="shared" si="3"/>
        <v>0</v>
      </c>
      <c r="M19" s="13">
        <v>0</v>
      </c>
      <c r="N19" s="13">
        <v>0</v>
      </c>
      <c r="O19" s="15" t="s">
        <v>31</v>
      </c>
    </row>
    <row r="20" spans="1:15" s="4" customFormat="1" ht="18.75" x14ac:dyDescent="0.15">
      <c r="A20" s="23" t="s">
        <v>32</v>
      </c>
      <c r="B20" s="12"/>
      <c r="C20" s="14"/>
      <c r="D20" s="13">
        <f t="shared" si="1"/>
        <v>0</v>
      </c>
      <c r="E20" s="13">
        <v>0</v>
      </c>
      <c r="F20" s="13">
        <v>0</v>
      </c>
      <c r="G20" s="14"/>
      <c r="H20" s="13">
        <f t="shared" si="2"/>
        <v>0</v>
      </c>
      <c r="I20" s="13">
        <v>0</v>
      </c>
      <c r="J20" s="13">
        <v>0</v>
      </c>
      <c r="K20" s="14"/>
      <c r="L20" s="13">
        <f t="shared" si="3"/>
        <v>0</v>
      </c>
      <c r="M20" s="13">
        <v>0</v>
      </c>
      <c r="N20" s="13">
        <v>0</v>
      </c>
      <c r="O20" s="24" t="s">
        <v>33</v>
      </c>
    </row>
    <row r="21" spans="1:15" s="4" customFormat="1" ht="18.75" x14ac:dyDescent="0.15">
      <c r="A21" s="23" t="s">
        <v>34</v>
      </c>
      <c r="B21" s="12"/>
      <c r="C21" s="14"/>
      <c r="D21" s="13">
        <v>0</v>
      </c>
      <c r="E21" s="13">
        <v>0</v>
      </c>
      <c r="F21" s="13">
        <v>0</v>
      </c>
      <c r="G21" s="14"/>
      <c r="H21" s="13">
        <f>I21</f>
        <v>255</v>
      </c>
      <c r="I21" s="13">
        <v>255</v>
      </c>
      <c r="J21" s="13">
        <v>0</v>
      </c>
      <c r="K21" s="14"/>
      <c r="L21" s="13">
        <f>M21</f>
        <v>88</v>
      </c>
      <c r="M21" s="13">
        <v>88</v>
      </c>
      <c r="N21" s="13">
        <v>48</v>
      </c>
      <c r="O21" s="24" t="s">
        <v>35</v>
      </c>
    </row>
    <row r="22" spans="1:15" s="4" customFormat="1" ht="18.75" x14ac:dyDescent="0.15">
      <c r="A22" s="23" t="s">
        <v>36</v>
      </c>
      <c r="B22" s="12"/>
      <c r="C22" s="14"/>
      <c r="D22" s="13">
        <f t="shared" si="1"/>
        <v>23</v>
      </c>
      <c r="E22" s="13">
        <v>23</v>
      </c>
      <c r="F22" s="13">
        <v>0</v>
      </c>
      <c r="G22" s="14"/>
      <c r="H22" s="13">
        <f t="shared" si="2"/>
        <v>0</v>
      </c>
      <c r="I22" s="13">
        <v>0</v>
      </c>
      <c r="J22" s="13">
        <v>0</v>
      </c>
      <c r="K22" s="14"/>
      <c r="L22" s="13">
        <f t="shared" ref="L22:L24" si="4">M22+N22</f>
        <v>0</v>
      </c>
      <c r="M22" s="13">
        <v>0</v>
      </c>
      <c r="N22" s="13">
        <v>0</v>
      </c>
      <c r="O22" s="24" t="s">
        <v>37</v>
      </c>
    </row>
    <row r="23" spans="1:15" s="4" customFormat="1" ht="18.75" x14ac:dyDescent="0.15">
      <c r="A23" s="23" t="s">
        <v>38</v>
      </c>
      <c r="B23" s="12"/>
      <c r="C23" s="14"/>
      <c r="D23" s="13">
        <f t="shared" si="1"/>
        <v>0</v>
      </c>
      <c r="E23" s="13">
        <v>0</v>
      </c>
      <c r="F23" s="13">
        <v>0</v>
      </c>
      <c r="G23" s="14"/>
      <c r="H23" s="13">
        <f t="shared" si="2"/>
        <v>0</v>
      </c>
      <c r="I23" s="13">
        <v>0</v>
      </c>
      <c r="J23" s="13">
        <v>0</v>
      </c>
      <c r="K23" s="14"/>
      <c r="L23" s="13">
        <f t="shared" si="4"/>
        <v>0</v>
      </c>
      <c r="M23" s="13">
        <v>0</v>
      </c>
      <c r="N23" s="13">
        <v>0</v>
      </c>
      <c r="O23" s="24" t="s">
        <v>39</v>
      </c>
    </row>
    <row r="24" spans="1:15" s="4" customFormat="1" ht="18.75" x14ac:dyDescent="0.15">
      <c r="A24" s="25" t="s">
        <v>40</v>
      </c>
      <c r="B24" s="26"/>
      <c r="C24" s="28"/>
      <c r="D24" s="27">
        <f t="shared" si="1"/>
        <v>107</v>
      </c>
      <c r="E24" s="27">
        <v>107</v>
      </c>
      <c r="F24" s="27">
        <v>0</v>
      </c>
      <c r="G24" s="28"/>
      <c r="H24" s="27">
        <f t="shared" si="2"/>
        <v>46</v>
      </c>
      <c r="I24" s="27">
        <v>34</v>
      </c>
      <c r="J24" s="27">
        <v>12</v>
      </c>
      <c r="K24" s="28"/>
      <c r="L24" s="27">
        <f t="shared" si="4"/>
        <v>0</v>
      </c>
      <c r="M24" s="27">
        <v>0</v>
      </c>
      <c r="N24" s="27">
        <v>0</v>
      </c>
      <c r="O24" s="29" t="s">
        <v>41</v>
      </c>
    </row>
    <row r="25" spans="1:15" s="4" customFormat="1" ht="18.75" x14ac:dyDescent="0.15">
      <c r="A25" s="30" t="s">
        <v>42</v>
      </c>
      <c r="B25" s="12"/>
      <c r="C25" s="14"/>
      <c r="D25" s="13"/>
      <c r="E25" s="13"/>
      <c r="F25" s="13"/>
      <c r="G25" s="14"/>
      <c r="H25" s="13"/>
      <c r="I25" s="13"/>
      <c r="J25" s="13"/>
      <c r="K25" s="14"/>
      <c r="L25" s="13"/>
      <c r="M25" s="13"/>
      <c r="N25" s="13"/>
      <c r="O25" s="31" t="s">
        <v>43</v>
      </c>
    </row>
    <row r="26" spans="1:15" s="4" customFormat="1" ht="18.75" x14ac:dyDescent="0.5">
      <c r="A26" s="32" t="s">
        <v>44</v>
      </c>
      <c r="B26" s="33"/>
      <c r="C26" s="35"/>
      <c r="D26" s="33"/>
      <c r="E26" s="33"/>
      <c r="F26" s="34"/>
      <c r="G26" s="35"/>
      <c r="H26" s="33"/>
      <c r="I26" s="33"/>
      <c r="J26" s="34"/>
      <c r="K26" s="35"/>
      <c r="L26" s="33"/>
      <c r="M26" s="33"/>
      <c r="N26" s="34"/>
      <c r="O26" s="36" t="s">
        <v>45</v>
      </c>
    </row>
    <row r="27" spans="1:15" s="4" customFormat="1" x14ac:dyDescent="0.15">
      <c r="A27" s="37"/>
      <c r="B27" s="37"/>
      <c r="C27" s="39"/>
      <c r="D27" s="37"/>
      <c r="E27" s="37"/>
      <c r="F27" s="38"/>
      <c r="G27" s="39"/>
      <c r="H27" s="37"/>
      <c r="I27" s="37"/>
      <c r="J27" s="38"/>
      <c r="K27" s="39"/>
      <c r="L27" s="37"/>
      <c r="M27" s="37"/>
      <c r="N27" s="38"/>
      <c r="O27" s="37"/>
    </row>
    <row r="28" spans="1:15" s="4" customFormat="1" x14ac:dyDescent="0.15">
      <c r="A28" s="37"/>
      <c r="B28" s="37"/>
      <c r="C28" s="39"/>
      <c r="D28" s="37"/>
      <c r="E28" s="37"/>
      <c r="F28" s="38"/>
      <c r="G28" s="39"/>
      <c r="H28" s="37"/>
      <c r="I28" s="37"/>
      <c r="J28" s="38"/>
      <c r="K28" s="39"/>
      <c r="L28" s="37"/>
      <c r="M28" s="37"/>
      <c r="N28" s="38"/>
      <c r="O28" s="37"/>
    </row>
    <row r="29" spans="1:15" s="4" customFormat="1" x14ac:dyDescent="0.15">
      <c r="A29" s="37"/>
      <c r="B29" s="37"/>
      <c r="C29" s="39"/>
      <c r="D29" s="37"/>
      <c r="E29" s="37"/>
      <c r="F29" s="38"/>
      <c r="G29" s="39"/>
      <c r="H29" s="37"/>
      <c r="I29" s="37"/>
      <c r="J29" s="38"/>
      <c r="K29" s="39"/>
      <c r="L29" s="37"/>
      <c r="M29" s="37"/>
      <c r="N29" s="38"/>
      <c r="O29" s="37"/>
    </row>
    <row r="30" spans="1:15" s="4" customFormat="1" x14ac:dyDescent="0.15">
      <c r="A30" s="37"/>
      <c r="B30" s="37"/>
      <c r="C30" s="39"/>
      <c r="D30" s="37"/>
      <c r="E30" s="37"/>
      <c r="F30" s="38"/>
      <c r="G30" s="39"/>
      <c r="H30" s="37"/>
      <c r="I30" s="37"/>
      <c r="J30" s="38"/>
      <c r="K30" s="39"/>
      <c r="L30" s="37"/>
      <c r="M30" s="37"/>
      <c r="N30" s="38"/>
      <c r="O30" s="37"/>
    </row>
    <row r="34" spans="3:14" x14ac:dyDescent="0.15">
      <c r="C34" s="1"/>
      <c r="F34" s="1"/>
      <c r="G34" s="1"/>
      <c r="J34" s="1"/>
      <c r="K34" s="1"/>
      <c r="N34" s="1"/>
    </row>
    <row r="35" spans="3:14" x14ac:dyDescent="0.15">
      <c r="C35" s="1"/>
      <c r="F35" s="1"/>
      <c r="G35" s="1"/>
      <c r="J35" s="1"/>
      <c r="K35" s="1"/>
      <c r="N35" s="1"/>
    </row>
    <row r="36" spans="3:14" x14ac:dyDescent="0.15">
      <c r="C36" s="1"/>
      <c r="F36" s="1"/>
      <c r="G36" s="1"/>
      <c r="J36" s="1"/>
      <c r="K36" s="1"/>
      <c r="N36" s="1"/>
    </row>
    <row r="37" spans="3:14" x14ac:dyDescent="0.15">
      <c r="C37" s="1"/>
      <c r="F37" s="1"/>
      <c r="G37" s="1"/>
      <c r="J37" s="1"/>
      <c r="K37" s="1"/>
      <c r="N37" s="1"/>
    </row>
    <row r="38" spans="3:14" x14ac:dyDescent="0.15">
      <c r="C38" s="1"/>
      <c r="F38" s="1"/>
      <c r="G38" s="1"/>
      <c r="J38" s="1"/>
      <c r="K38" s="1"/>
      <c r="N38" s="1"/>
    </row>
    <row r="39" spans="3:14" x14ac:dyDescent="0.15">
      <c r="C39" s="1"/>
      <c r="F39" s="1"/>
      <c r="G39" s="1"/>
      <c r="J39" s="1"/>
      <c r="K39" s="1"/>
      <c r="N39" s="1"/>
    </row>
    <row r="40" spans="3:14" x14ac:dyDescent="0.15">
      <c r="C40" s="1"/>
      <c r="F40" s="1"/>
      <c r="G40" s="1"/>
      <c r="J40" s="1"/>
      <c r="K40" s="1"/>
      <c r="N40" s="1"/>
    </row>
    <row r="41" spans="3:14" x14ac:dyDescent="0.15">
      <c r="C41" s="1"/>
      <c r="F41" s="1"/>
      <c r="G41" s="1"/>
      <c r="J41" s="1"/>
      <c r="K41" s="1"/>
      <c r="N41" s="1"/>
    </row>
    <row r="42" spans="3:14" x14ac:dyDescent="0.15">
      <c r="C42" s="1"/>
      <c r="F42" s="1"/>
      <c r="G42" s="1"/>
      <c r="J42" s="1"/>
      <c r="K42" s="1"/>
      <c r="N42" s="1"/>
    </row>
    <row r="43" spans="3:14" x14ac:dyDescent="0.15">
      <c r="C43" s="1"/>
      <c r="F43" s="1"/>
      <c r="G43" s="1"/>
      <c r="J43" s="1"/>
      <c r="K43" s="1"/>
      <c r="N43" s="1"/>
    </row>
    <row r="44" spans="3:14" x14ac:dyDescent="0.15">
      <c r="C44" s="1"/>
      <c r="F44" s="1"/>
      <c r="G44" s="1"/>
      <c r="J44" s="1"/>
      <c r="K44" s="1"/>
      <c r="N44" s="1"/>
    </row>
    <row r="45" spans="3:14" x14ac:dyDescent="0.15">
      <c r="C45" s="1"/>
      <c r="F45" s="1"/>
      <c r="G45" s="1"/>
      <c r="J45" s="1"/>
      <c r="K45" s="1"/>
      <c r="N45" s="1"/>
    </row>
    <row r="46" spans="3:14" x14ac:dyDescent="0.15">
      <c r="C46" s="1"/>
      <c r="F46" s="1"/>
      <c r="G46" s="1"/>
      <c r="J46" s="1"/>
      <c r="K46" s="1"/>
      <c r="N46" s="1"/>
    </row>
    <row r="47" spans="3:14" x14ac:dyDescent="0.15">
      <c r="C47" s="1"/>
      <c r="F47" s="1"/>
      <c r="G47" s="1"/>
      <c r="J47" s="1"/>
      <c r="K47" s="1"/>
      <c r="N47" s="1"/>
    </row>
    <row r="48" spans="3:14" x14ac:dyDescent="0.15">
      <c r="C48" s="1"/>
      <c r="F48" s="1"/>
      <c r="G48" s="1"/>
      <c r="J48" s="1"/>
      <c r="K48" s="1"/>
      <c r="N48" s="1"/>
    </row>
    <row r="49" spans="3:14" x14ac:dyDescent="0.15">
      <c r="C49" s="1"/>
      <c r="F49" s="1"/>
      <c r="G49" s="1"/>
      <c r="J49" s="1"/>
      <c r="K49" s="1"/>
      <c r="N49" s="1"/>
    </row>
    <row r="50" spans="3:14" x14ac:dyDescent="0.15">
      <c r="C50" s="1"/>
      <c r="F50" s="1"/>
      <c r="G50" s="1"/>
      <c r="J50" s="1"/>
      <c r="K50" s="1"/>
      <c r="N50" s="1"/>
    </row>
    <row r="51" spans="3:14" x14ac:dyDescent="0.15">
      <c r="C51" s="1"/>
      <c r="F51" s="1"/>
      <c r="G51" s="1"/>
      <c r="J51" s="1"/>
      <c r="K51" s="1"/>
      <c r="N51" s="1"/>
    </row>
    <row r="52" spans="3:14" x14ac:dyDescent="0.15">
      <c r="C52" s="1"/>
      <c r="F52" s="1"/>
      <c r="G52" s="1"/>
      <c r="J52" s="1"/>
      <c r="K52" s="1"/>
      <c r="N52" s="1"/>
    </row>
    <row r="53" spans="3:14" x14ac:dyDescent="0.15">
      <c r="C53" s="1"/>
      <c r="F53" s="1"/>
      <c r="G53" s="1"/>
      <c r="J53" s="1"/>
      <c r="K53" s="1"/>
      <c r="N53" s="1"/>
    </row>
    <row r="54" spans="3:14" x14ac:dyDescent="0.15">
      <c r="C54" s="1"/>
      <c r="F54" s="1"/>
      <c r="G54" s="1"/>
      <c r="J54" s="1"/>
      <c r="K54" s="1"/>
      <c r="N54" s="1"/>
    </row>
    <row r="55" spans="3:14" x14ac:dyDescent="0.15">
      <c r="C55" s="1"/>
      <c r="F55" s="1"/>
      <c r="G55" s="1"/>
      <c r="J55" s="1"/>
      <c r="K55" s="1"/>
      <c r="N55" s="1"/>
    </row>
    <row r="56" spans="3:14" x14ac:dyDescent="0.15">
      <c r="C56" s="1"/>
      <c r="F56" s="1"/>
      <c r="G56" s="1"/>
      <c r="J56" s="1"/>
      <c r="K56" s="1"/>
      <c r="N56" s="1"/>
    </row>
    <row r="57" spans="3:14" x14ac:dyDescent="0.15">
      <c r="C57" s="1"/>
      <c r="F57" s="1"/>
      <c r="G57" s="1"/>
      <c r="J57" s="1"/>
      <c r="K57" s="1"/>
      <c r="N57" s="1"/>
    </row>
    <row r="58" spans="3:14" x14ac:dyDescent="0.15">
      <c r="C58" s="1"/>
      <c r="F58" s="1"/>
      <c r="G58" s="1"/>
      <c r="J58" s="1"/>
      <c r="K58" s="1"/>
      <c r="N58" s="1"/>
    </row>
    <row r="59" spans="3:14" x14ac:dyDescent="0.15">
      <c r="C59" s="1"/>
      <c r="F59" s="1"/>
      <c r="G59" s="1"/>
      <c r="J59" s="1"/>
      <c r="K59" s="1"/>
      <c r="N59" s="1"/>
    </row>
    <row r="60" spans="3:14" x14ac:dyDescent="0.15">
      <c r="C60" s="1"/>
      <c r="F60" s="1"/>
      <c r="G60" s="1"/>
      <c r="J60" s="1"/>
      <c r="K60" s="1"/>
      <c r="N60" s="1"/>
    </row>
    <row r="61" spans="3:14" x14ac:dyDescent="0.15">
      <c r="C61" s="1"/>
      <c r="F61" s="1"/>
      <c r="G61" s="1"/>
      <c r="J61" s="1"/>
      <c r="K61" s="1"/>
      <c r="N61" s="1"/>
    </row>
    <row r="62" spans="3:14" x14ac:dyDescent="0.15">
      <c r="C62" s="1"/>
      <c r="F62" s="1"/>
      <c r="G62" s="1"/>
      <c r="J62" s="1"/>
      <c r="K62" s="1"/>
      <c r="N62" s="1"/>
    </row>
    <row r="63" spans="3:14" x14ac:dyDescent="0.15">
      <c r="C63" s="1"/>
      <c r="F63" s="1"/>
      <c r="G63" s="1"/>
      <c r="J63" s="1"/>
      <c r="K63" s="1"/>
      <c r="N63" s="1"/>
    </row>
    <row r="64" spans="3:14" x14ac:dyDescent="0.15">
      <c r="C64" s="1"/>
      <c r="F64" s="1"/>
      <c r="G64" s="1"/>
      <c r="J64" s="1"/>
      <c r="K64" s="1"/>
      <c r="N64" s="1"/>
    </row>
    <row r="65" spans="3:14" x14ac:dyDescent="0.15">
      <c r="C65" s="1"/>
      <c r="F65" s="1"/>
      <c r="G65" s="1"/>
      <c r="J65" s="1"/>
      <c r="K65" s="1"/>
      <c r="N65" s="1"/>
    </row>
    <row r="66" spans="3:14" x14ac:dyDescent="0.15">
      <c r="C66" s="1"/>
      <c r="F66" s="1"/>
      <c r="G66" s="1"/>
      <c r="J66" s="1"/>
      <c r="K66" s="1"/>
      <c r="N66" s="1"/>
    </row>
    <row r="67" spans="3:14" x14ac:dyDescent="0.15">
      <c r="C67" s="1"/>
      <c r="F67" s="1"/>
      <c r="G67" s="1"/>
      <c r="J67" s="1"/>
      <c r="K67" s="1"/>
      <c r="N67" s="1"/>
    </row>
    <row r="68" spans="3:14" x14ac:dyDescent="0.15">
      <c r="C68" s="1"/>
      <c r="F68" s="1"/>
      <c r="G68" s="1"/>
      <c r="J68" s="1"/>
      <c r="K68" s="1"/>
      <c r="N68" s="1"/>
    </row>
    <row r="69" spans="3:14" x14ac:dyDescent="0.15">
      <c r="C69" s="1"/>
      <c r="F69" s="1"/>
      <c r="G69" s="1"/>
      <c r="J69" s="1"/>
      <c r="K69" s="1"/>
      <c r="N69" s="1"/>
    </row>
    <row r="70" spans="3:14" x14ac:dyDescent="0.15">
      <c r="C70" s="1"/>
      <c r="F70" s="1"/>
      <c r="G70" s="1"/>
      <c r="J70" s="1"/>
      <c r="K70" s="1"/>
      <c r="N70" s="1"/>
    </row>
    <row r="71" spans="3:14" x14ac:dyDescent="0.15">
      <c r="C71" s="1"/>
      <c r="F71" s="1"/>
      <c r="G71" s="1"/>
      <c r="J71" s="1"/>
      <c r="K71" s="1"/>
      <c r="N71" s="1"/>
    </row>
    <row r="72" spans="3:14" x14ac:dyDescent="0.15">
      <c r="C72" s="1"/>
      <c r="F72" s="1"/>
      <c r="G72" s="1"/>
      <c r="J72" s="1"/>
      <c r="K72" s="1"/>
      <c r="N72" s="1"/>
    </row>
    <row r="73" spans="3:14" ht="12.75" customHeight="1" x14ac:dyDescent="0.15">
      <c r="C73" s="1"/>
      <c r="F73" s="1"/>
      <c r="G73" s="1"/>
      <c r="J73" s="1"/>
      <c r="K73" s="1"/>
      <c r="N73" s="1"/>
    </row>
    <row r="74" spans="3:14" x14ac:dyDescent="0.15">
      <c r="C74" s="1"/>
      <c r="F74" s="1"/>
      <c r="G74" s="1"/>
      <c r="J74" s="1"/>
      <c r="K74" s="1"/>
      <c r="N74" s="1"/>
    </row>
    <row r="75" spans="3:14" ht="12.75" customHeight="1" x14ac:dyDescent="0.15">
      <c r="C75" s="1"/>
      <c r="F75" s="1"/>
      <c r="G75" s="1"/>
      <c r="J75" s="1"/>
      <c r="K75" s="1"/>
      <c r="N75" s="1"/>
    </row>
    <row r="76" spans="3:14" x14ac:dyDescent="0.15">
      <c r="C76" s="1"/>
      <c r="F76" s="1"/>
      <c r="G76" s="1"/>
      <c r="J76" s="1"/>
      <c r="K76" s="1"/>
      <c r="N76" s="1"/>
    </row>
    <row r="77" spans="3:14" x14ac:dyDescent="0.15">
      <c r="C77" s="1"/>
      <c r="F77" s="1"/>
      <c r="G77" s="1"/>
      <c r="J77" s="1"/>
      <c r="K77" s="1"/>
      <c r="N77" s="1"/>
    </row>
    <row r="78" spans="3:14" x14ac:dyDescent="0.15">
      <c r="C78" s="1"/>
      <c r="F78" s="1"/>
      <c r="G78" s="1"/>
      <c r="J78" s="1"/>
      <c r="K78" s="1"/>
      <c r="N78" s="1"/>
    </row>
    <row r="79" spans="3:14" x14ac:dyDescent="0.15">
      <c r="C79" s="1"/>
      <c r="F79" s="1"/>
      <c r="G79" s="1"/>
      <c r="J79" s="1"/>
      <c r="K79" s="1"/>
      <c r="N79" s="1"/>
    </row>
    <row r="80" spans="3:14" x14ac:dyDescent="0.15">
      <c r="C80" s="1"/>
      <c r="F80" s="1"/>
      <c r="G80" s="1"/>
      <c r="J80" s="1"/>
      <c r="K80" s="1"/>
      <c r="N80" s="1"/>
    </row>
    <row r="81" spans="3:14" x14ac:dyDescent="0.15">
      <c r="C81" s="1"/>
      <c r="F81" s="1"/>
      <c r="G81" s="1"/>
      <c r="J81" s="1"/>
      <c r="K81" s="1"/>
      <c r="N81" s="1"/>
    </row>
    <row r="82" spans="3:14" x14ac:dyDescent="0.15">
      <c r="C82" s="1"/>
      <c r="F82" s="1"/>
      <c r="G82" s="1"/>
      <c r="J82" s="1"/>
      <c r="K82" s="1"/>
      <c r="N82" s="1"/>
    </row>
    <row r="83" spans="3:14" x14ac:dyDescent="0.15">
      <c r="C83" s="1"/>
      <c r="F83" s="1"/>
      <c r="G83" s="1"/>
      <c r="J83" s="1"/>
      <c r="K83" s="1"/>
      <c r="N83" s="1"/>
    </row>
    <row r="84" spans="3:14" x14ac:dyDescent="0.15">
      <c r="C84" s="1"/>
      <c r="F84" s="1"/>
      <c r="G84" s="1"/>
      <c r="J84" s="1"/>
      <c r="K84" s="1"/>
      <c r="N84" s="1"/>
    </row>
    <row r="85" spans="3:14" x14ac:dyDescent="0.15">
      <c r="C85" s="1"/>
      <c r="F85" s="1"/>
      <c r="G85" s="1"/>
      <c r="J85" s="1"/>
      <c r="K85" s="1"/>
      <c r="N85" s="1"/>
    </row>
    <row r="86" spans="3:14" x14ac:dyDescent="0.15">
      <c r="C86" s="1"/>
      <c r="F86" s="1"/>
      <c r="G86" s="1"/>
      <c r="J86" s="1"/>
      <c r="K86" s="1"/>
      <c r="N86" s="1"/>
    </row>
    <row r="87" spans="3:14" x14ac:dyDescent="0.15">
      <c r="C87" s="1"/>
      <c r="F87" s="1"/>
      <c r="G87" s="1"/>
      <c r="J87" s="1"/>
      <c r="K87" s="1"/>
      <c r="N87" s="1"/>
    </row>
    <row r="88" spans="3:14" x14ac:dyDescent="0.15">
      <c r="C88" s="1"/>
      <c r="F88" s="1"/>
      <c r="G88" s="1"/>
      <c r="J88" s="1"/>
      <c r="K88" s="1"/>
      <c r="N88" s="1"/>
    </row>
    <row r="89" spans="3:14" x14ac:dyDescent="0.15">
      <c r="C89" s="1"/>
      <c r="F89" s="1"/>
      <c r="G89" s="1"/>
      <c r="J89" s="1"/>
      <c r="K89" s="1"/>
      <c r="N89" s="1"/>
    </row>
    <row r="90" spans="3:14" x14ac:dyDescent="0.15">
      <c r="C90" s="1"/>
      <c r="F90" s="1"/>
      <c r="G90" s="1"/>
      <c r="J90" s="1"/>
      <c r="K90" s="1"/>
      <c r="N90" s="1"/>
    </row>
    <row r="91" spans="3:14" x14ac:dyDescent="0.15">
      <c r="C91" s="1"/>
      <c r="F91" s="1"/>
      <c r="G91" s="1"/>
      <c r="J91" s="1"/>
      <c r="K91" s="1"/>
      <c r="N91" s="1"/>
    </row>
    <row r="92" spans="3:14" x14ac:dyDescent="0.15">
      <c r="C92" s="1"/>
      <c r="F92" s="1"/>
      <c r="G92" s="1"/>
      <c r="J92" s="1"/>
      <c r="K92" s="1"/>
      <c r="N92" s="1"/>
    </row>
    <row r="93" spans="3:14" x14ac:dyDescent="0.15">
      <c r="C93" s="1"/>
      <c r="F93" s="1"/>
      <c r="G93" s="1"/>
      <c r="J93" s="1"/>
      <c r="K93" s="1"/>
      <c r="N93" s="1"/>
    </row>
    <row r="94" spans="3:14" x14ac:dyDescent="0.15">
      <c r="C94" s="1"/>
      <c r="F94" s="1"/>
      <c r="G94" s="1"/>
      <c r="J94" s="1"/>
      <c r="K94" s="1"/>
      <c r="N94" s="1"/>
    </row>
    <row r="95" spans="3:14" x14ac:dyDescent="0.15">
      <c r="C95" s="1"/>
      <c r="F95" s="1"/>
      <c r="G95" s="1"/>
      <c r="J95" s="1"/>
      <c r="K95" s="1"/>
      <c r="N95" s="1"/>
    </row>
    <row r="96" spans="3:14" x14ac:dyDescent="0.15">
      <c r="C96" s="1"/>
      <c r="F96" s="1"/>
      <c r="G96" s="1"/>
      <c r="J96" s="1"/>
      <c r="K96" s="1"/>
      <c r="N96" s="1"/>
    </row>
    <row r="97" spans="3:14" x14ac:dyDescent="0.15">
      <c r="C97" s="1"/>
      <c r="F97" s="1"/>
      <c r="G97" s="1"/>
      <c r="J97" s="1"/>
      <c r="K97" s="1"/>
      <c r="N97" s="1"/>
    </row>
    <row r="98" spans="3:14" x14ac:dyDescent="0.15">
      <c r="C98" s="1"/>
      <c r="F98" s="1"/>
      <c r="G98" s="1"/>
      <c r="J98" s="1"/>
      <c r="K98" s="1"/>
      <c r="N98" s="1"/>
    </row>
    <row r="99" spans="3:14" x14ac:dyDescent="0.15">
      <c r="C99" s="1"/>
      <c r="F99" s="1"/>
      <c r="G99" s="1"/>
      <c r="J99" s="1"/>
      <c r="K99" s="1"/>
      <c r="N99" s="1"/>
    </row>
    <row r="100" spans="3:14" x14ac:dyDescent="0.15">
      <c r="C100" s="1"/>
      <c r="F100" s="1"/>
      <c r="G100" s="1"/>
      <c r="J100" s="1"/>
      <c r="K100" s="1"/>
      <c r="N100" s="1"/>
    </row>
    <row r="101" spans="3:14" x14ac:dyDescent="0.15">
      <c r="C101" s="1"/>
      <c r="F101" s="1"/>
      <c r="G101" s="1"/>
      <c r="J101" s="1"/>
      <c r="K101" s="1"/>
      <c r="N101" s="1"/>
    </row>
    <row r="102" spans="3:14" x14ac:dyDescent="0.15">
      <c r="C102" s="1"/>
      <c r="F102" s="1"/>
      <c r="G102" s="1"/>
      <c r="J102" s="1"/>
      <c r="K102" s="1"/>
      <c r="N102" s="1"/>
    </row>
    <row r="103" spans="3:14" x14ac:dyDescent="0.15">
      <c r="C103" s="1"/>
      <c r="F103" s="1"/>
      <c r="G103" s="1"/>
      <c r="J103" s="1"/>
      <c r="K103" s="1"/>
      <c r="N103" s="1"/>
    </row>
    <row r="104" spans="3:14" x14ac:dyDescent="0.15">
      <c r="C104" s="1"/>
      <c r="F104" s="1"/>
      <c r="G104" s="1"/>
      <c r="J104" s="1"/>
      <c r="K104" s="1"/>
      <c r="N104" s="1"/>
    </row>
    <row r="105" spans="3:14" x14ac:dyDescent="0.15">
      <c r="C105" s="1"/>
      <c r="F105" s="1"/>
      <c r="G105" s="1"/>
      <c r="J105" s="1"/>
      <c r="K105" s="1"/>
      <c r="N105" s="1"/>
    </row>
    <row r="106" spans="3:14" x14ac:dyDescent="0.15">
      <c r="C106" s="1"/>
      <c r="F106" s="1"/>
      <c r="G106" s="1"/>
      <c r="J106" s="1"/>
      <c r="K106" s="1"/>
      <c r="N106" s="1"/>
    </row>
    <row r="107" spans="3:14" x14ac:dyDescent="0.15">
      <c r="C107" s="1"/>
      <c r="F107" s="1"/>
      <c r="G107" s="1"/>
      <c r="J107" s="1"/>
      <c r="K107" s="1"/>
      <c r="N107" s="1"/>
    </row>
    <row r="108" spans="3:14" x14ac:dyDescent="0.15">
      <c r="C108" s="1"/>
      <c r="F108" s="1"/>
      <c r="G108" s="1"/>
      <c r="J108" s="1"/>
      <c r="K108" s="1"/>
      <c r="N108" s="1"/>
    </row>
    <row r="109" spans="3:14" x14ac:dyDescent="0.15">
      <c r="C109" s="1"/>
      <c r="F109" s="1"/>
      <c r="G109" s="1"/>
      <c r="J109" s="1"/>
      <c r="K109" s="1"/>
      <c r="N109" s="1"/>
    </row>
    <row r="110" spans="3:14" x14ac:dyDescent="0.15">
      <c r="C110" s="1"/>
      <c r="F110" s="1"/>
      <c r="G110" s="1"/>
      <c r="J110" s="1"/>
      <c r="K110" s="1"/>
      <c r="N110" s="1"/>
    </row>
    <row r="111" spans="3:14" x14ac:dyDescent="0.15">
      <c r="C111" s="1"/>
      <c r="F111" s="1"/>
      <c r="G111" s="1"/>
      <c r="J111" s="1"/>
      <c r="K111" s="1"/>
      <c r="N111" s="1"/>
    </row>
    <row r="112" spans="3:14" x14ac:dyDescent="0.15">
      <c r="C112" s="1"/>
      <c r="F112" s="1"/>
      <c r="G112" s="1"/>
      <c r="J112" s="1"/>
      <c r="K112" s="1"/>
      <c r="N112" s="1"/>
    </row>
    <row r="113" spans="3:14" x14ac:dyDescent="0.15">
      <c r="C113" s="1"/>
      <c r="F113" s="1"/>
      <c r="G113" s="1"/>
      <c r="J113" s="1"/>
      <c r="K113" s="1"/>
      <c r="N113" s="1"/>
    </row>
    <row r="114" spans="3:14" x14ac:dyDescent="0.15">
      <c r="C114" s="1"/>
      <c r="F114" s="1"/>
      <c r="G114" s="1"/>
      <c r="J114" s="1"/>
      <c r="K114" s="1"/>
      <c r="N114" s="1"/>
    </row>
    <row r="115" spans="3:14" x14ac:dyDescent="0.15">
      <c r="C115" s="1"/>
      <c r="F115" s="1"/>
      <c r="G115" s="1"/>
      <c r="J115" s="1"/>
      <c r="K115" s="1"/>
      <c r="N115" s="1"/>
    </row>
    <row r="116" spans="3:14" x14ac:dyDescent="0.15">
      <c r="C116" s="1"/>
      <c r="F116" s="1"/>
      <c r="G116" s="1"/>
      <c r="J116" s="1"/>
      <c r="K116" s="1"/>
      <c r="N116" s="1"/>
    </row>
    <row r="117" spans="3:14" x14ac:dyDescent="0.15">
      <c r="C117" s="1"/>
      <c r="F117" s="1"/>
      <c r="G117" s="1"/>
      <c r="J117" s="1"/>
      <c r="K117" s="1"/>
      <c r="N117" s="1"/>
    </row>
    <row r="118" spans="3:14" x14ac:dyDescent="0.15">
      <c r="C118" s="1"/>
      <c r="F118" s="1"/>
      <c r="G118" s="1"/>
      <c r="J118" s="1"/>
      <c r="K118" s="1"/>
      <c r="N118" s="1"/>
    </row>
    <row r="119" spans="3:14" x14ac:dyDescent="0.15">
      <c r="C119" s="1"/>
      <c r="F119" s="1"/>
      <c r="G119" s="1"/>
      <c r="J119" s="1"/>
      <c r="K119" s="1"/>
      <c r="N119" s="1"/>
    </row>
    <row r="120" spans="3:14" x14ac:dyDescent="0.15">
      <c r="C120" s="1"/>
      <c r="F120" s="1"/>
      <c r="G120" s="1"/>
      <c r="J120" s="1"/>
      <c r="K120" s="1"/>
      <c r="N120" s="1"/>
    </row>
    <row r="121" spans="3:14" x14ac:dyDescent="0.15">
      <c r="C121" s="1"/>
      <c r="F121" s="1"/>
      <c r="G121" s="1"/>
      <c r="J121" s="1"/>
      <c r="K121" s="1"/>
      <c r="N121" s="1"/>
    </row>
    <row r="122" spans="3:14" x14ac:dyDescent="0.15">
      <c r="C122" s="1"/>
      <c r="F122" s="1"/>
      <c r="G122" s="1"/>
      <c r="J122" s="1"/>
      <c r="K122" s="1"/>
      <c r="N122" s="1"/>
    </row>
    <row r="123" spans="3:14" x14ac:dyDescent="0.15">
      <c r="C123" s="1"/>
      <c r="F123" s="1"/>
      <c r="G123" s="1"/>
      <c r="J123" s="1"/>
      <c r="K123" s="1"/>
      <c r="N123" s="1"/>
    </row>
    <row r="124" spans="3:14" x14ac:dyDescent="0.15">
      <c r="C124" s="1"/>
      <c r="F124" s="1"/>
      <c r="G124" s="1"/>
      <c r="J124" s="1"/>
      <c r="K124" s="1"/>
      <c r="N124" s="1"/>
    </row>
    <row r="125" spans="3:14" x14ac:dyDescent="0.15">
      <c r="C125" s="1"/>
      <c r="F125" s="1"/>
      <c r="G125" s="1"/>
      <c r="J125" s="1"/>
      <c r="K125" s="1"/>
      <c r="N125" s="1"/>
    </row>
    <row r="126" spans="3:14" x14ac:dyDescent="0.15">
      <c r="C126" s="1"/>
      <c r="F126" s="1"/>
      <c r="G126" s="1"/>
      <c r="J126" s="1"/>
      <c r="K126" s="1"/>
      <c r="N126" s="1"/>
    </row>
    <row r="127" spans="3:14" x14ac:dyDescent="0.15">
      <c r="C127" s="1"/>
      <c r="F127" s="1"/>
      <c r="G127" s="1"/>
      <c r="J127" s="1"/>
      <c r="K127" s="1"/>
      <c r="N127" s="1"/>
    </row>
    <row r="128" spans="3:14" x14ac:dyDescent="0.15">
      <c r="C128" s="1"/>
      <c r="F128" s="1"/>
      <c r="G128" s="1"/>
      <c r="J128" s="1"/>
      <c r="K128" s="1"/>
      <c r="N128" s="1"/>
    </row>
    <row r="129" spans="3:14" x14ac:dyDescent="0.15">
      <c r="C129" s="1"/>
      <c r="F129" s="1"/>
      <c r="G129" s="1"/>
      <c r="J129" s="1"/>
      <c r="K129" s="1"/>
      <c r="N129" s="1"/>
    </row>
    <row r="130" spans="3:14" x14ac:dyDescent="0.15">
      <c r="C130" s="1"/>
      <c r="F130" s="1"/>
      <c r="G130" s="1"/>
      <c r="J130" s="1"/>
      <c r="K130" s="1"/>
      <c r="N130" s="1"/>
    </row>
    <row r="131" spans="3:14" x14ac:dyDescent="0.15">
      <c r="C131" s="1"/>
      <c r="F131" s="1"/>
      <c r="G131" s="1"/>
      <c r="J131" s="1"/>
      <c r="K131" s="1"/>
      <c r="N131" s="1"/>
    </row>
    <row r="132" spans="3:14" x14ac:dyDescent="0.15">
      <c r="C132" s="1"/>
      <c r="F132" s="1"/>
      <c r="G132" s="1"/>
      <c r="J132" s="1"/>
      <c r="K132" s="1"/>
      <c r="N132" s="1"/>
    </row>
    <row r="133" spans="3:14" x14ac:dyDescent="0.15">
      <c r="C133" s="1"/>
      <c r="F133" s="1"/>
      <c r="G133" s="1"/>
      <c r="J133" s="1"/>
      <c r="K133" s="1"/>
      <c r="N133" s="1"/>
    </row>
    <row r="134" spans="3:14" x14ac:dyDescent="0.15">
      <c r="C134" s="1"/>
      <c r="F134" s="1"/>
      <c r="G134" s="1"/>
      <c r="J134" s="1"/>
      <c r="K134" s="1"/>
      <c r="N134" s="1"/>
    </row>
    <row r="135" spans="3:14" x14ac:dyDescent="0.15">
      <c r="C135" s="1"/>
      <c r="F135" s="1"/>
      <c r="G135" s="1"/>
      <c r="J135" s="1"/>
      <c r="K135" s="1"/>
      <c r="N135" s="1"/>
    </row>
    <row r="136" spans="3:14" x14ac:dyDescent="0.15">
      <c r="C136" s="1"/>
      <c r="F136" s="1"/>
      <c r="G136" s="1"/>
      <c r="J136" s="1"/>
      <c r="K136" s="1"/>
      <c r="N136" s="1"/>
    </row>
    <row r="137" spans="3:14" x14ac:dyDescent="0.15">
      <c r="C137" s="1"/>
      <c r="F137" s="1"/>
      <c r="G137" s="1"/>
      <c r="J137" s="1"/>
      <c r="K137" s="1"/>
      <c r="N137" s="1"/>
    </row>
    <row r="138" spans="3:14" x14ac:dyDescent="0.15">
      <c r="C138" s="1"/>
      <c r="F138" s="1"/>
      <c r="G138" s="1"/>
      <c r="J138" s="1"/>
      <c r="K138" s="1"/>
      <c r="N138" s="1"/>
    </row>
    <row r="139" spans="3:14" x14ac:dyDescent="0.15">
      <c r="C139" s="1"/>
      <c r="F139" s="1"/>
      <c r="G139" s="1"/>
      <c r="J139" s="1"/>
      <c r="K139" s="1"/>
      <c r="N139" s="1"/>
    </row>
    <row r="140" spans="3:14" x14ac:dyDescent="0.15">
      <c r="C140" s="1"/>
      <c r="F140" s="1"/>
      <c r="G140" s="1"/>
      <c r="J140" s="1"/>
      <c r="K140" s="1"/>
      <c r="N140" s="1"/>
    </row>
    <row r="141" spans="3:14" x14ac:dyDescent="0.15">
      <c r="C141" s="1"/>
      <c r="F141" s="1"/>
      <c r="G141" s="1"/>
      <c r="J141" s="1"/>
      <c r="K141" s="1"/>
      <c r="N141" s="1"/>
    </row>
    <row r="142" spans="3:14" x14ac:dyDescent="0.15">
      <c r="C142" s="1"/>
      <c r="F142" s="1"/>
      <c r="G142" s="1"/>
      <c r="J142" s="1"/>
      <c r="K142" s="1"/>
      <c r="N142" s="1"/>
    </row>
    <row r="143" spans="3:14" x14ac:dyDescent="0.15">
      <c r="C143" s="1"/>
      <c r="F143" s="1"/>
      <c r="G143" s="1"/>
      <c r="J143" s="1"/>
      <c r="K143" s="1"/>
      <c r="N143" s="1"/>
    </row>
    <row r="144" spans="3:14" x14ac:dyDescent="0.15">
      <c r="C144" s="1"/>
      <c r="F144" s="1"/>
      <c r="G144" s="1"/>
      <c r="J144" s="1"/>
      <c r="K144" s="1"/>
      <c r="N144" s="1"/>
    </row>
    <row r="145" spans="3:14" x14ac:dyDescent="0.15">
      <c r="C145" s="1"/>
      <c r="F145" s="1"/>
      <c r="G145" s="1"/>
      <c r="J145" s="1"/>
      <c r="K145" s="1"/>
      <c r="N145" s="1"/>
    </row>
    <row r="146" spans="3:14" x14ac:dyDescent="0.15">
      <c r="C146" s="1"/>
      <c r="F146" s="1"/>
      <c r="G146" s="1"/>
      <c r="J146" s="1"/>
      <c r="K146" s="1"/>
      <c r="N146" s="1"/>
    </row>
    <row r="147" spans="3:14" x14ac:dyDescent="0.15">
      <c r="C147" s="1"/>
      <c r="F147" s="1"/>
      <c r="G147" s="1"/>
      <c r="J147" s="1"/>
      <c r="K147" s="1"/>
      <c r="N147" s="1"/>
    </row>
    <row r="148" spans="3:14" x14ac:dyDescent="0.15">
      <c r="C148" s="1"/>
      <c r="F148" s="1"/>
      <c r="G148" s="1"/>
      <c r="J148" s="1"/>
      <c r="K148" s="1"/>
      <c r="N148" s="1"/>
    </row>
    <row r="149" spans="3:14" x14ac:dyDescent="0.15">
      <c r="C149" s="1"/>
      <c r="F149" s="1"/>
      <c r="G149" s="1"/>
      <c r="J149" s="1"/>
      <c r="K149" s="1"/>
      <c r="N149" s="1"/>
    </row>
    <row r="150" spans="3:14" x14ac:dyDescent="0.15">
      <c r="C150" s="1"/>
      <c r="F150" s="1"/>
      <c r="G150" s="1"/>
      <c r="J150" s="1"/>
      <c r="K150" s="1"/>
      <c r="N150" s="1"/>
    </row>
    <row r="151" spans="3:14" x14ac:dyDescent="0.15">
      <c r="C151" s="1"/>
      <c r="F151" s="1"/>
      <c r="G151" s="1"/>
      <c r="J151" s="1"/>
      <c r="K151" s="1"/>
      <c r="N151" s="1"/>
    </row>
    <row r="152" spans="3:14" x14ac:dyDescent="0.15">
      <c r="C152" s="1"/>
      <c r="F152" s="1"/>
      <c r="G152" s="1"/>
      <c r="J152" s="1"/>
      <c r="K152" s="1"/>
      <c r="N152" s="1"/>
    </row>
    <row r="153" spans="3:14" x14ac:dyDescent="0.15">
      <c r="C153" s="1"/>
      <c r="F153" s="1"/>
      <c r="G153" s="1"/>
      <c r="J153" s="1"/>
      <c r="K153" s="1"/>
      <c r="N153" s="1"/>
    </row>
    <row r="154" spans="3:14" x14ac:dyDescent="0.15">
      <c r="C154" s="1"/>
      <c r="F154" s="1"/>
      <c r="G154" s="1"/>
      <c r="J154" s="1"/>
      <c r="K154" s="1"/>
      <c r="N154" s="1"/>
    </row>
    <row r="155" spans="3:14" x14ac:dyDescent="0.15">
      <c r="C155" s="1"/>
      <c r="F155" s="1"/>
      <c r="G155" s="1"/>
      <c r="J155" s="1"/>
      <c r="K155" s="1"/>
      <c r="N155" s="1"/>
    </row>
    <row r="156" spans="3:14" x14ac:dyDescent="0.15">
      <c r="C156" s="1"/>
      <c r="F156" s="1"/>
      <c r="G156" s="1"/>
      <c r="J156" s="1"/>
      <c r="K156" s="1"/>
      <c r="N156" s="1"/>
    </row>
    <row r="157" spans="3:14" x14ac:dyDescent="0.15">
      <c r="C157" s="1"/>
      <c r="F157" s="1"/>
      <c r="G157" s="1"/>
      <c r="J157" s="1"/>
      <c r="K157" s="1"/>
      <c r="N157" s="1"/>
    </row>
    <row r="158" spans="3:14" x14ac:dyDescent="0.15">
      <c r="C158" s="1"/>
      <c r="F158" s="1"/>
      <c r="G158" s="1"/>
      <c r="J158" s="1"/>
      <c r="K158" s="1"/>
      <c r="N158" s="1"/>
    </row>
    <row r="159" spans="3:14" x14ac:dyDescent="0.15">
      <c r="C159" s="1"/>
      <c r="F159" s="1"/>
      <c r="G159" s="1"/>
      <c r="J159" s="1"/>
      <c r="K159" s="1"/>
      <c r="N159" s="1"/>
    </row>
    <row r="160" spans="3:14" x14ac:dyDescent="0.15">
      <c r="C160" s="1"/>
      <c r="F160" s="1"/>
      <c r="G160" s="1"/>
      <c r="J160" s="1"/>
      <c r="K160" s="1"/>
      <c r="N160" s="1"/>
    </row>
    <row r="161" spans="3:14" x14ac:dyDescent="0.15">
      <c r="C161" s="1"/>
      <c r="F161" s="1"/>
      <c r="G161" s="1"/>
      <c r="J161" s="1"/>
      <c r="K161" s="1"/>
      <c r="N161" s="1"/>
    </row>
    <row r="162" spans="3:14" x14ac:dyDescent="0.15">
      <c r="C162" s="1"/>
      <c r="F162" s="1"/>
      <c r="G162" s="1"/>
      <c r="J162" s="1"/>
      <c r="K162" s="1"/>
      <c r="N162" s="1"/>
    </row>
    <row r="163" spans="3:14" x14ac:dyDescent="0.15">
      <c r="C163" s="1"/>
      <c r="F163" s="1"/>
      <c r="G163" s="1"/>
      <c r="J163" s="1"/>
      <c r="K163" s="1"/>
      <c r="N163" s="1"/>
    </row>
    <row r="164" spans="3:14" x14ac:dyDescent="0.15">
      <c r="C164" s="1"/>
      <c r="F164" s="1"/>
      <c r="G164" s="1"/>
      <c r="J164" s="1"/>
      <c r="K164" s="1"/>
      <c r="N164" s="1"/>
    </row>
    <row r="165" spans="3:14" x14ac:dyDescent="0.15">
      <c r="C165" s="1"/>
      <c r="F165" s="1"/>
      <c r="G165" s="1"/>
      <c r="J165" s="1"/>
      <c r="K165" s="1"/>
      <c r="N165" s="1"/>
    </row>
    <row r="166" spans="3:14" x14ac:dyDescent="0.15">
      <c r="C166" s="1"/>
      <c r="F166" s="1"/>
      <c r="G166" s="1"/>
      <c r="J166" s="1"/>
      <c r="K166" s="1"/>
      <c r="N166" s="1"/>
    </row>
    <row r="167" spans="3:14" x14ac:dyDescent="0.15">
      <c r="C167" s="1"/>
      <c r="F167" s="1"/>
      <c r="G167" s="1"/>
      <c r="J167" s="1"/>
      <c r="K167" s="1"/>
      <c r="N167" s="1"/>
    </row>
    <row r="168" spans="3:14" x14ac:dyDescent="0.15">
      <c r="C168" s="1"/>
      <c r="F168" s="1"/>
      <c r="G168" s="1"/>
      <c r="J168" s="1"/>
      <c r="K168" s="1"/>
      <c r="N168" s="1"/>
    </row>
    <row r="169" spans="3:14" x14ac:dyDescent="0.15">
      <c r="C169" s="1"/>
      <c r="F169" s="1"/>
      <c r="G169" s="1"/>
      <c r="J169" s="1"/>
      <c r="K169" s="1"/>
      <c r="N169" s="1"/>
    </row>
    <row r="170" spans="3:14" x14ac:dyDescent="0.15">
      <c r="C170" s="1"/>
      <c r="F170" s="1"/>
      <c r="G170" s="1"/>
      <c r="J170" s="1"/>
      <c r="K170" s="1"/>
      <c r="N170" s="1"/>
    </row>
    <row r="171" spans="3:14" x14ac:dyDescent="0.15">
      <c r="C171" s="1"/>
      <c r="F171" s="1"/>
      <c r="G171" s="1"/>
      <c r="J171" s="1"/>
      <c r="K171" s="1"/>
      <c r="N171" s="1"/>
    </row>
    <row r="172" spans="3:14" x14ac:dyDescent="0.15">
      <c r="C172" s="1"/>
      <c r="F172" s="1"/>
      <c r="G172" s="1"/>
      <c r="J172" s="1"/>
      <c r="K172" s="1"/>
      <c r="N172" s="1"/>
    </row>
    <row r="173" spans="3:14" x14ac:dyDescent="0.15">
      <c r="C173" s="1"/>
      <c r="F173" s="1"/>
      <c r="G173" s="1"/>
      <c r="J173" s="1"/>
      <c r="K173" s="1"/>
      <c r="N173" s="1"/>
    </row>
    <row r="174" spans="3:14" x14ac:dyDescent="0.15">
      <c r="C174" s="1"/>
      <c r="F174" s="1"/>
      <c r="G174" s="1"/>
      <c r="J174" s="1"/>
      <c r="K174" s="1"/>
      <c r="N174" s="1"/>
    </row>
    <row r="175" spans="3:14" x14ac:dyDescent="0.15">
      <c r="C175" s="1"/>
      <c r="F175" s="1"/>
      <c r="G175" s="1"/>
      <c r="J175" s="1"/>
      <c r="K175" s="1"/>
      <c r="N175" s="1"/>
    </row>
    <row r="176" spans="3:14" x14ac:dyDescent="0.15">
      <c r="C176" s="1"/>
      <c r="F176" s="1"/>
      <c r="G176" s="1"/>
      <c r="J176" s="1"/>
      <c r="K176" s="1"/>
      <c r="N176" s="1"/>
    </row>
    <row r="177" spans="3:14" x14ac:dyDescent="0.15">
      <c r="C177" s="1"/>
      <c r="F177" s="1"/>
      <c r="G177" s="1"/>
      <c r="J177" s="1"/>
      <c r="K177" s="1"/>
      <c r="N177" s="1"/>
    </row>
    <row r="178" spans="3:14" x14ac:dyDescent="0.15">
      <c r="C178" s="1"/>
      <c r="F178" s="1"/>
      <c r="G178" s="1"/>
      <c r="J178" s="1"/>
      <c r="K178" s="1"/>
      <c r="N178" s="1"/>
    </row>
    <row r="179" spans="3:14" x14ac:dyDescent="0.15">
      <c r="C179" s="1"/>
      <c r="F179" s="1"/>
      <c r="G179" s="1"/>
      <c r="J179" s="1"/>
      <c r="K179" s="1"/>
      <c r="N179" s="1"/>
    </row>
    <row r="180" spans="3:14" x14ac:dyDescent="0.15">
      <c r="C180" s="1"/>
      <c r="F180" s="1"/>
      <c r="G180" s="1"/>
      <c r="J180" s="1"/>
      <c r="K180" s="1"/>
      <c r="N180" s="1"/>
    </row>
    <row r="181" spans="3:14" x14ac:dyDescent="0.15">
      <c r="C181" s="1"/>
      <c r="F181" s="1"/>
      <c r="G181" s="1"/>
      <c r="J181" s="1"/>
      <c r="K181" s="1"/>
      <c r="N181" s="1"/>
    </row>
    <row r="182" spans="3:14" x14ac:dyDescent="0.15">
      <c r="C182" s="1"/>
      <c r="F182" s="1"/>
      <c r="G182" s="1"/>
      <c r="J182" s="1"/>
      <c r="K182" s="1"/>
      <c r="N182" s="1"/>
    </row>
    <row r="183" spans="3:14" x14ac:dyDescent="0.15">
      <c r="C183" s="1"/>
      <c r="F183" s="1"/>
      <c r="G183" s="1"/>
      <c r="J183" s="1"/>
      <c r="K183" s="1"/>
      <c r="N183" s="1"/>
    </row>
    <row r="184" spans="3:14" x14ac:dyDescent="0.15">
      <c r="C184" s="1"/>
      <c r="F184" s="1"/>
      <c r="G184" s="1"/>
      <c r="J184" s="1"/>
      <c r="K184" s="1"/>
      <c r="N184" s="1"/>
    </row>
    <row r="185" spans="3:14" x14ac:dyDescent="0.15">
      <c r="C185" s="1"/>
      <c r="F185" s="1"/>
      <c r="G185" s="1"/>
      <c r="J185" s="1"/>
      <c r="K185" s="1"/>
      <c r="N185" s="1"/>
    </row>
    <row r="186" spans="3:14" x14ac:dyDescent="0.15">
      <c r="C186" s="1"/>
      <c r="F186" s="1"/>
      <c r="G186" s="1"/>
      <c r="J186" s="1"/>
      <c r="K186" s="1"/>
      <c r="N186" s="1"/>
    </row>
    <row r="187" spans="3:14" x14ac:dyDescent="0.15">
      <c r="C187" s="1"/>
      <c r="F187" s="1"/>
      <c r="G187" s="1"/>
      <c r="J187" s="1"/>
      <c r="K187" s="1"/>
      <c r="N187" s="1"/>
    </row>
    <row r="188" spans="3:14" x14ac:dyDescent="0.15">
      <c r="C188" s="1"/>
      <c r="F188" s="1"/>
      <c r="G188" s="1"/>
      <c r="J188" s="1"/>
      <c r="K188" s="1"/>
      <c r="N188" s="1"/>
    </row>
    <row r="189" spans="3:14" x14ac:dyDescent="0.15">
      <c r="C189" s="1"/>
      <c r="F189" s="1"/>
      <c r="G189" s="1"/>
      <c r="J189" s="1"/>
      <c r="K189" s="1"/>
      <c r="N189" s="1"/>
    </row>
    <row r="190" spans="3:14" x14ac:dyDescent="0.15">
      <c r="C190" s="1"/>
      <c r="F190" s="1"/>
      <c r="G190" s="1"/>
      <c r="J190" s="1"/>
      <c r="K190" s="1"/>
      <c r="N190" s="1"/>
    </row>
    <row r="191" spans="3:14" x14ac:dyDescent="0.15">
      <c r="C191" s="1"/>
      <c r="F191" s="1"/>
      <c r="G191" s="1"/>
      <c r="J191" s="1"/>
      <c r="K191" s="1"/>
      <c r="N191" s="1"/>
    </row>
    <row r="192" spans="3:14" x14ac:dyDescent="0.15">
      <c r="C192" s="1"/>
      <c r="F192" s="1"/>
      <c r="G192" s="1"/>
      <c r="J192" s="1"/>
      <c r="K192" s="1"/>
      <c r="N192" s="1"/>
    </row>
    <row r="193" spans="3:14" x14ac:dyDescent="0.15">
      <c r="C193" s="1"/>
      <c r="F193" s="1"/>
      <c r="G193" s="1"/>
      <c r="J193" s="1"/>
      <c r="K193" s="1"/>
      <c r="N193" s="1"/>
    </row>
    <row r="194" spans="3:14" x14ac:dyDescent="0.15">
      <c r="C194" s="1"/>
      <c r="F194" s="1"/>
      <c r="G194" s="1"/>
      <c r="J194" s="1"/>
      <c r="K194" s="1"/>
      <c r="N194" s="1"/>
    </row>
    <row r="195" spans="3:14" x14ac:dyDescent="0.15">
      <c r="C195" s="1"/>
      <c r="F195" s="1"/>
      <c r="G195" s="1"/>
      <c r="J195" s="1"/>
      <c r="K195" s="1"/>
      <c r="N195" s="1"/>
    </row>
    <row r="196" spans="3:14" x14ac:dyDescent="0.15">
      <c r="C196" s="1"/>
      <c r="F196" s="1"/>
      <c r="G196" s="1"/>
      <c r="J196" s="1"/>
      <c r="K196" s="1"/>
      <c r="N196" s="1"/>
    </row>
    <row r="197" spans="3:14" x14ac:dyDescent="0.15">
      <c r="C197" s="1"/>
      <c r="F197" s="1"/>
      <c r="G197" s="1"/>
      <c r="J197" s="1"/>
      <c r="K197" s="1"/>
      <c r="N197" s="1"/>
    </row>
    <row r="198" spans="3:14" x14ac:dyDescent="0.15">
      <c r="C198" s="1"/>
      <c r="F198" s="1"/>
      <c r="G198" s="1"/>
      <c r="J198" s="1"/>
      <c r="K198" s="1"/>
      <c r="N198" s="1"/>
    </row>
    <row r="199" spans="3:14" x14ac:dyDescent="0.15">
      <c r="C199" s="1"/>
      <c r="F199" s="1"/>
      <c r="G199" s="1"/>
      <c r="J199" s="1"/>
      <c r="K199" s="1"/>
      <c r="N199" s="1"/>
    </row>
    <row r="200" spans="3:14" x14ac:dyDescent="0.15">
      <c r="C200" s="1"/>
      <c r="F200" s="1"/>
      <c r="G200" s="1"/>
      <c r="J200" s="1"/>
      <c r="K200" s="1"/>
      <c r="N200" s="1"/>
    </row>
    <row r="201" spans="3:14" x14ac:dyDescent="0.15">
      <c r="C201" s="1"/>
      <c r="F201" s="1"/>
      <c r="G201" s="1"/>
      <c r="J201" s="1"/>
      <c r="K201" s="1"/>
      <c r="N201" s="1"/>
    </row>
    <row r="202" spans="3:14" x14ac:dyDescent="0.15">
      <c r="C202" s="1"/>
      <c r="F202" s="1"/>
      <c r="G202" s="1"/>
      <c r="J202" s="1"/>
      <c r="K202" s="1"/>
      <c r="N202" s="1"/>
    </row>
    <row r="203" spans="3:14" x14ac:dyDescent="0.15">
      <c r="C203" s="1"/>
      <c r="F203" s="1"/>
      <c r="G203" s="1"/>
      <c r="J203" s="1"/>
      <c r="K203" s="1"/>
      <c r="N203" s="1"/>
    </row>
    <row r="204" spans="3:14" x14ac:dyDescent="0.15">
      <c r="C204" s="1"/>
      <c r="F204" s="1"/>
      <c r="G204" s="1"/>
      <c r="J204" s="1"/>
      <c r="K204" s="1"/>
      <c r="N204" s="1"/>
    </row>
    <row r="205" spans="3:14" x14ac:dyDescent="0.15">
      <c r="C205" s="1"/>
      <c r="F205" s="1"/>
      <c r="G205" s="1"/>
      <c r="J205" s="1"/>
      <c r="K205" s="1"/>
      <c r="N205" s="1"/>
    </row>
    <row r="206" spans="3:14" x14ac:dyDescent="0.15">
      <c r="C206" s="1"/>
      <c r="F206" s="1"/>
      <c r="G206" s="1"/>
      <c r="J206" s="1"/>
      <c r="K206" s="1"/>
      <c r="N206" s="1"/>
    </row>
    <row r="207" spans="3:14" x14ac:dyDescent="0.15">
      <c r="C207" s="1"/>
      <c r="F207" s="1"/>
      <c r="G207" s="1"/>
      <c r="J207" s="1"/>
      <c r="K207" s="1"/>
      <c r="N207" s="1"/>
    </row>
    <row r="208" spans="3:14" x14ac:dyDescent="0.15">
      <c r="C208" s="1"/>
      <c r="F208" s="1"/>
      <c r="G208" s="1"/>
      <c r="J208" s="1"/>
      <c r="K208" s="1"/>
      <c r="N208" s="1"/>
    </row>
    <row r="209" spans="3:14" x14ac:dyDescent="0.15">
      <c r="C209" s="1"/>
      <c r="F209" s="1"/>
      <c r="G209" s="1"/>
      <c r="J209" s="1"/>
      <c r="K209" s="1"/>
      <c r="N209" s="1"/>
    </row>
    <row r="210" spans="3:14" x14ac:dyDescent="0.15">
      <c r="C210" s="1"/>
      <c r="F210" s="1"/>
      <c r="G210" s="1"/>
      <c r="J210" s="1"/>
      <c r="K210" s="1"/>
      <c r="N210" s="1"/>
    </row>
    <row r="211" spans="3:14" x14ac:dyDescent="0.15">
      <c r="C211" s="1"/>
      <c r="F211" s="1"/>
      <c r="G211" s="1"/>
      <c r="J211" s="1"/>
      <c r="K211" s="1"/>
      <c r="N211" s="1"/>
    </row>
    <row r="212" spans="3:14" x14ac:dyDescent="0.15">
      <c r="C212" s="1"/>
      <c r="F212" s="1"/>
      <c r="G212" s="1"/>
      <c r="J212" s="1"/>
      <c r="K212" s="1"/>
      <c r="N212" s="1"/>
    </row>
    <row r="213" spans="3:14" x14ac:dyDescent="0.15">
      <c r="C213" s="1"/>
      <c r="F213" s="1"/>
      <c r="G213" s="1"/>
      <c r="J213" s="1"/>
      <c r="K213" s="1"/>
      <c r="N213" s="1"/>
    </row>
    <row r="214" spans="3:14" x14ac:dyDescent="0.15">
      <c r="C214" s="1"/>
      <c r="F214" s="1"/>
      <c r="G214" s="1"/>
      <c r="J214" s="1"/>
      <c r="K214" s="1"/>
      <c r="N214" s="1"/>
    </row>
    <row r="215" spans="3:14" x14ac:dyDescent="0.15">
      <c r="C215" s="1"/>
      <c r="F215" s="1"/>
      <c r="G215" s="1"/>
      <c r="J215" s="1"/>
      <c r="K215" s="1"/>
      <c r="N215" s="1"/>
    </row>
    <row r="216" spans="3:14" x14ac:dyDescent="0.15">
      <c r="C216" s="1"/>
      <c r="F216" s="1"/>
      <c r="G216" s="1"/>
      <c r="J216" s="1"/>
      <c r="K216" s="1"/>
      <c r="N216" s="1"/>
    </row>
    <row r="217" spans="3:14" x14ac:dyDescent="0.15">
      <c r="C217" s="1"/>
      <c r="F217" s="1"/>
      <c r="G217" s="1"/>
      <c r="J217" s="1"/>
      <c r="K217" s="1"/>
      <c r="N217" s="1"/>
    </row>
    <row r="218" spans="3:14" x14ac:dyDescent="0.15">
      <c r="C218" s="1"/>
      <c r="F218" s="1"/>
      <c r="G218" s="1"/>
      <c r="J218" s="1"/>
      <c r="K218" s="1"/>
      <c r="N218" s="1"/>
    </row>
    <row r="219" spans="3:14" x14ac:dyDescent="0.15">
      <c r="C219" s="1"/>
      <c r="F219" s="1"/>
      <c r="G219" s="1"/>
      <c r="J219" s="1"/>
      <c r="K219" s="1"/>
      <c r="N219" s="1"/>
    </row>
    <row r="220" spans="3:14" x14ac:dyDescent="0.15">
      <c r="C220" s="1"/>
      <c r="F220" s="1"/>
      <c r="G220" s="1"/>
      <c r="J220" s="1"/>
      <c r="K220" s="1"/>
      <c r="N220" s="1"/>
    </row>
    <row r="221" spans="3:14" x14ac:dyDescent="0.15">
      <c r="C221" s="1"/>
      <c r="F221" s="1"/>
      <c r="G221" s="1"/>
      <c r="J221" s="1"/>
      <c r="K221" s="1"/>
      <c r="N221" s="1"/>
    </row>
    <row r="222" spans="3:14" x14ac:dyDescent="0.15">
      <c r="C222" s="1"/>
      <c r="F222" s="1"/>
      <c r="G222" s="1"/>
      <c r="J222" s="1"/>
      <c r="K222" s="1"/>
      <c r="N222" s="1"/>
    </row>
    <row r="223" spans="3:14" x14ac:dyDescent="0.15">
      <c r="C223" s="1"/>
      <c r="F223" s="1"/>
      <c r="G223" s="1"/>
      <c r="J223" s="1"/>
      <c r="K223" s="1"/>
      <c r="N223" s="1"/>
    </row>
    <row r="224" spans="3:14" x14ac:dyDescent="0.15">
      <c r="C224" s="1"/>
      <c r="F224" s="1"/>
      <c r="G224" s="1"/>
      <c r="J224" s="1"/>
      <c r="K224" s="1"/>
      <c r="N224" s="1"/>
    </row>
    <row r="225" spans="3:14" x14ac:dyDescent="0.15">
      <c r="C225" s="1"/>
      <c r="F225" s="1"/>
      <c r="G225" s="1"/>
      <c r="J225" s="1"/>
      <c r="K225" s="1"/>
      <c r="N225" s="1"/>
    </row>
    <row r="226" spans="3:14" x14ac:dyDescent="0.15">
      <c r="C226" s="1"/>
      <c r="F226" s="1"/>
      <c r="G226" s="1"/>
      <c r="J226" s="1"/>
      <c r="K226" s="1"/>
      <c r="N226" s="1"/>
    </row>
    <row r="227" spans="3:14" x14ac:dyDescent="0.15">
      <c r="C227" s="1"/>
      <c r="F227" s="1"/>
      <c r="G227" s="1"/>
      <c r="J227" s="1"/>
      <c r="K227" s="1"/>
      <c r="N227" s="1"/>
    </row>
    <row r="228" spans="3:14" x14ac:dyDescent="0.15">
      <c r="C228" s="1"/>
      <c r="F228" s="1"/>
      <c r="G228" s="1"/>
      <c r="J228" s="1"/>
      <c r="K228" s="1"/>
      <c r="N228" s="1"/>
    </row>
    <row r="229" spans="3:14" x14ac:dyDescent="0.15">
      <c r="C229" s="1"/>
      <c r="F229" s="1"/>
      <c r="G229" s="1"/>
      <c r="J229" s="1"/>
      <c r="K229" s="1"/>
      <c r="N229" s="1"/>
    </row>
    <row r="230" spans="3:14" x14ac:dyDescent="0.15">
      <c r="C230" s="1"/>
      <c r="F230" s="1"/>
      <c r="G230" s="1"/>
      <c r="J230" s="1"/>
      <c r="K230" s="1"/>
      <c r="N230" s="1"/>
    </row>
    <row r="231" spans="3:14" x14ac:dyDescent="0.15">
      <c r="C231" s="1"/>
      <c r="F231" s="1"/>
      <c r="G231" s="1"/>
      <c r="J231" s="1"/>
      <c r="K231" s="1"/>
      <c r="N231" s="1"/>
    </row>
    <row r="232" spans="3:14" x14ac:dyDescent="0.15">
      <c r="C232" s="1"/>
      <c r="F232" s="1"/>
      <c r="G232" s="1"/>
      <c r="J232" s="1"/>
      <c r="K232" s="1"/>
      <c r="N232" s="1"/>
    </row>
    <row r="233" spans="3:14" x14ac:dyDescent="0.15">
      <c r="C233" s="1"/>
      <c r="F233" s="1"/>
      <c r="G233" s="1"/>
      <c r="J233" s="1"/>
      <c r="K233" s="1"/>
      <c r="N233" s="1"/>
    </row>
    <row r="234" spans="3:14" x14ac:dyDescent="0.15">
      <c r="C234" s="1"/>
      <c r="F234" s="1"/>
      <c r="G234" s="1"/>
      <c r="J234" s="1"/>
      <c r="K234" s="1"/>
      <c r="N234" s="1"/>
    </row>
    <row r="235" spans="3:14" x14ac:dyDescent="0.15">
      <c r="C235" s="1"/>
      <c r="F235" s="1"/>
      <c r="G235" s="1"/>
      <c r="J235" s="1"/>
      <c r="K235" s="1"/>
      <c r="N235" s="1"/>
    </row>
    <row r="236" spans="3:14" x14ac:dyDescent="0.15">
      <c r="C236" s="1"/>
      <c r="F236" s="1"/>
      <c r="G236" s="1"/>
      <c r="J236" s="1"/>
      <c r="K236" s="1"/>
      <c r="N236" s="1"/>
    </row>
    <row r="237" spans="3:14" x14ac:dyDescent="0.15">
      <c r="C237" s="1"/>
      <c r="F237" s="1"/>
      <c r="G237" s="1"/>
      <c r="J237" s="1"/>
      <c r="K237" s="1"/>
      <c r="N237" s="1"/>
    </row>
    <row r="238" spans="3:14" x14ac:dyDescent="0.15">
      <c r="C238" s="1"/>
      <c r="F238" s="1"/>
      <c r="G238" s="1"/>
      <c r="J238" s="1"/>
      <c r="K238" s="1"/>
      <c r="N238" s="1"/>
    </row>
    <row r="239" spans="3:14" x14ac:dyDescent="0.15">
      <c r="C239" s="1"/>
      <c r="F239" s="1"/>
      <c r="G239" s="1"/>
      <c r="J239" s="1"/>
      <c r="K239" s="1"/>
      <c r="N239" s="1"/>
    </row>
    <row r="240" spans="3:14" x14ac:dyDescent="0.15">
      <c r="C240" s="1"/>
      <c r="F240" s="1"/>
      <c r="G240" s="1"/>
      <c r="J240" s="1"/>
      <c r="K240" s="1"/>
      <c r="N240" s="1"/>
    </row>
    <row r="241" spans="3:14" x14ac:dyDescent="0.15">
      <c r="C241" s="1"/>
      <c r="F241" s="1"/>
      <c r="G241" s="1"/>
      <c r="J241" s="1"/>
      <c r="K241" s="1"/>
      <c r="N241" s="1"/>
    </row>
    <row r="242" spans="3:14" x14ac:dyDescent="0.15">
      <c r="C242" s="1"/>
      <c r="F242" s="1"/>
      <c r="G242" s="1"/>
      <c r="J242" s="1"/>
      <c r="K242" s="1"/>
      <c r="N242" s="1"/>
    </row>
    <row r="243" spans="3:14" x14ac:dyDescent="0.15">
      <c r="C243" s="1"/>
      <c r="F243" s="1"/>
      <c r="G243" s="1"/>
      <c r="J243" s="1"/>
      <c r="K243" s="1"/>
      <c r="N243" s="1"/>
    </row>
    <row r="244" spans="3:14" x14ac:dyDescent="0.15">
      <c r="C244" s="1"/>
      <c r="F244" s="1"/>
      <c r="G244" s="1"/>
      <c r="J244" s="1"/>
      <c r="K244" s="1"/>
      <c r="N244" s="1"/>
    </row>
    <row r="245" spans="3:14" x14ac:dyDescent="0.15">
      <c r="C245" s="1"/>
      <c r="F245" s="1"/>
      <c r="G245" s="1"/>
      <c r="J245" s="1"/>
      <c r="K245" s="1"/>
      <c r="N245" s="1"/>
    </row>
    <row r="246" spans="3:14" x14ac:dyDescent="0.15">
      <c r="C246" s="1"/>
      <c r="F246" s="1"/>
      <c r="G246" s="1"/>
      <c r="J246" s="1"/>
      <c r="K246" s="1"/>
      <c r="N246" s="1"/>
    </row>
    <row r="247" spans="3:14" x14ac:dyDescent="0.15">
      <c r="C247" s="1"/>
      <c r="F247" s="1"/>
      <c r="G247" s="1"/>
      <c r="J247" s="1"/>
      <c r="K247" s="1"/>
      <c r="N247" s="1"/>
    </row>
    <row r="248" spans="3:14" x14ac:dyDescent="0.15">
      <c r="C248" s="1"/>
      <c r="F248" s="1"/>
      <c r="G248" s="1"/>
      <c r="J248" s="1"/>
      <c r="K248" s="1"/>
      <c r="N248" s="1"/>
    </row>
    <row r="249" spans="3:14" x14ac:dyDescent="0.15">
      <c r="C249" s="1"/>
      <c r="F249" s="1"/>
      <c r="G249" s="1"/>
      <c r="J249" s="1"/>
      <c r="K249" s="1"/>
      <c r="N249" s="1"/>
    </row>
    <row r="250" spans="3:14" x14ac:dyDescent="0.15">
      <c r="C250" s="1"/>
      <c r="F250" s="1"/>
      <c r="G250" s="1"/>
      <c r="J250" s="1"/>
      <c r="K250" s="1"/>
      <c r="N250" s="1"/>
    </row>
    <row r="251" spans="3:14" x14ac:dyDescent="0.15">
      <c r="C251" s="1"/>
      <c r="F251" s="1"/>
      <c r="G251" s="1"/>
      <c r="J251" s="1"/>
      <c r="K251" s="1"/>
      <c r="N251" s="1"/>
    </row>
    <row r="252" spans="3:14" x14ac:dyDescent="0.15">
      <c r="C252" s="1"/>
      <c r="F252" s="1"/>
      <c r="G252" s="1"/>
      <c r="J252" s="1"/>
      <c r="K252" s="1"/>
      <c r="N252" s="1"/>
    </row>
    <row r="253" spans="3:14" x14ac:dyDescent="0.15">
      <c r="C253" s="1"/>
      <c r="F253" s="1"/>
      <c r="G253" s="1"/>
      <c r="J253" s="1"/>
      <c r="K253" s="1"/>
      <c r="N253" s="1"/>
    </row>
    <row r="254" spans="3:14" x14ac:dyDescent="0.15">
      <c r="C254" s="1"/>
      <c r="F254" s="1"/>
      <c r="G254" s="1"/>
      <c r="J254" s="1"/>
      <c r="K254" s="1"/>
      <c r="N254" s="1"/>
    </row>
    <row r="255" spans="3:14" x14ac:dyDescent="0.15">
      <c r="C255" s="1"/>
      <c r="F255" s="1"/>
      <c r="G255" s="1"/>
      <c r="J255" s="1"/>
      <c r="K255" s="1"/>
      <c r="N255" s="1"/>
    </row>
    <row r="256" spans="3:14" x14ac:dyDescent="0.15">
      <c r="C256" s="1"/>
      <c r="F256" s="1"/>
      <c r="G256" s="1"/>
      <c r="J256" s="1"/>
      <c r="K256" s="1"/>
      <c r="N256" s="1"/>
    </row>
    <row r="257" spans="3:14" x14ac:dyDescent="0.15">
      <c r="C257" s="1"/>
      <c r="F257" s="1"/>
      <c r="G257" s="1"/>
      <c r="J257" s="1"/>
      <c r="K257" s="1"/>
      <c r="N257" s="1"/>
    </row>
    <row r="258" spans="3:14" x14ac:dyDescent="0.15">
      <c r="C258" s="1"/>
      <c r="F258" s="1"/>
      <c r="G258" s="1"/>
      <c r="J258" s="1"/>
      <c r="K258" s="1"/>
      <c r="N258" s="1"/>
    </row>
    <row r="259" spans="3:14" x14ac:dyDescent="0.15">
      <c r="C259" s="1"/>
      <c r="F259" s="1"/>
      <c r="G259" s="1"/>
      <c r="J259" s="1"/>
      <c r="K259" s="1"/>
      <c r="N259" s="1"/>
    </row>
    <row r="260" spans="3:14" x14ac:dyDescent="0.15">
      <c r="C260" s="1"/>
      <c r="F260" s="1"/>
      <c r="G260" s="1"/>
      <c r="J260" s="1"/>
      <c r="K260" s="1"/>
      <c r="N260" s="1"/>
    </row>
    <row r="261" spans="3:14" x14ac:dyDescent="0.15">
      <c r="C261" s="1"/>
      <c r="F261" s="1"/>
      <c r="G261" s="1"/>
      <c r="J261" s="1"/>
      <c r="K261" s="1"/>
      <c r="N261" s="1"/>
    </row>
    <row r="262" spans="3:14" x14ac:dyDescent="0.15">
      <c r="C262" s="1"/>
      <c r="F262" s="1"/>
      <c r="G262" s="1"/>
      <c r="J262" s="1"/>
      <c r="K262" s="1"/>
      <c r="N262" s="1"/>
    </row>
    <row r="263" spans="3:14" x14ac:dyDescent="0.15">
      <c r="C263" s="1"/>
      <c r="F263" s="1"/>
      <c r="G263" s="1"/>
      <c r="J263" s="1"/>
      <c r="K263" s="1"/>
      <c r="N263" s="1"/>
    </row>
    <row r="264" spans="3:14" x14ac:dyDescent="0.15">
      <c r="C264" s="1"/>
      <c r="F264" s="1"/>
      <c r="G264" s="1"/>
      <c r="J264" s="1"/>
      <c r="K264" s="1"/>
      <c r="N264" s="1"/>
    </row>
    <row r="265" spans="3:14" x14ac:dyDescent="0.15">
      <c r="C265" s="1"/>
      <c r="F265" s="1"/>
      <c r="G265" s="1"/>
      <c r="J265" s="1"/>
      <c r="K265" s="1"/>
      <c r="N265" s="1"/>
    </row>
    <row r="266" spans="3:14" x14ac:dyDescent="0.15">
      <c r="C266" s="1"/>
      <c r="F266" s="1"/>
      <c r="G266" s="1"/>
      <c r="J266" s="1"/>
      <c r="K266" s="1"/>
      <c r="N266" s="1"/>
    </row>
    <row r="267" spans="3:14" x14ac:dyDescent="0.15">
      <c r="C267" s="1"/>
      <c r="F267" s="1"/>
      <c r="G267" s="1"/>
      <c r="J267" s="1"/>
      <c r="K267" s="1"/>
      <c r="N267" s="1"/>
    </row>
    <row r="268" spans="3:14" x14ac:dyDescent="0.15">
      <c r="C268" s="1"/>
      <c r="F268" s="1"/>
      <c r="G268" s="1"/>
      <c r="J268" s="1"/>
      <c r="K268" s="1"/>
      <c r="N268" s="1"/>
    </row>
    <row r="269" spans="3:14" x14ac:dyDescent="0.15">
      <c r="C269" s="1"/>
      <c r="F269" s="1"/>
      <c r="G269" s="1"/>
      <c r="J269" s="1"/>
      <c r="K269" s="1"/>
      <c r="N269" s="1"/>
    </row>
    <row r="270" spans="3:14" x14ac:dyDescent="0.15">
      <c r="C270" s="1"/>
      <c r="F270" s="1"/>
      <c r="G270" s="1"/>
      <c r="J270" s="1"/>
      <c r="K270" s="1"/>
      <c r="N270" s="1"/>
    </row>
    <row r="271" spans="3:14" x14ac:dyDescent="0.15">
      <c r="C271" s="1"/>
      <c r="F271" s="1"/>
      <c r="G271" s="1"/>
      <c r="J271" s="1"/>
      <c r="K271" s="1"/>
      <c r="N271" s="1"/>
    </row>
    <row r="272" spans="3:14" x14ac:dyDescent="0.15">
      <c r="C272" s="1"/>
      <c r="F272" s="1"/>
      <c r="G272" s="1"/>
      <c r="J272" s="1"/>
      <c r="K272" s="1"/>
      <c r="N272" s="1"/>
    </row>
    <row r="273" spans="3:14" x14ac:dyDescent="0.15">
      <c r="C273" s="1"/>
      <c r="F273" s="1"/>
      <c r="G273" s="1"/>
      <c r="J273" s="1"/>
      <c r="K273" s="1"/>
      <c r="N273" s="1"/>
    </row>
    <row r="274" spans="3:14" x14ac:dyDescent="0.15">
      <c r="C274" s="1"/>
      <c r="F274" s="1"/>
      <c r="G274" s="1"/>
      <c r="J274" s="1"/>
      <c r="K274" s="1"/>
      <c r="N274" s="1"/>
    </row>
    <row r="275" spans="3:14" x14ac:dyDescent="0.15">
      <c r="C275" s="1"/>
      <c r="F275" s="1"/>
      <c r="G275" s="1"/>
      <c r="J275" s="1"/>
      <c r="K275" s="1"/>
      <c r="N275" s="1"/>
    </row>
    <row r="276" spans="3:14" x14ac:dyDescent="0.15">
      <c r="C276" s="1"/>
      <c r="F276" s="1"/>
      <c r="G276" s="1"/>
      <c r="J276" s="1"/>
      <c r="K276" s="1"/>
      <c r="N276" s="1"/>
    </row>
    <row r="277" spans="3:14" x14ac:dyDescent="0.15">
      <c r="C277" s="1"/>
      <c r="F277" s="1"/>
      <c r="G277" s="1"/>
      <c r="J277" s="1"/>
      <c r="K277" s="1"/>
      <c r="N277" s="1"/>
    </row>
    <row r="278" spans="3:14" x14ac:dyDescent="0.15">
      <c r="C278" s="1"/>
      <c r="F278" s="1"/>
      <c r="G278" s="1"/>
      <c r="J278" s="1"/>
      <c r="K278" s="1"/>
      <c r="N278" s="1"/>
    </row>
    <row r="279" spans="3:14" x14ac:dyDescent="0.15">
      <c r="C279" s="1"/>
      <c r="F279" s="1"/>
      <c r="G279" s="1"/>
      <c r="J279" s="1"/>
      <c r="K279" s="1"/>
      <c r="N279" s="1"/>
    </row>
    <row r="280" spans="3:14" x14ac:dyDescent="0.15">
      <c r="C280" s="1"/>
      <c r="F280" s="1"/>
      <c r="G280" s="1"/>
      <c r="J280" s="1"/>
      <c r="K280" s="1"/>
      <c r="N280" s="1"/>
    </row>
    <row r="281" spans="3:14" x14ac:dyDescent="0.15">
      <c r="C281" s="1"/>
      <c r="F281" s="1"/>
      <c r="G281" s="1"/>
      <c r="J281" s="1"/>
      <c r="K281" s="1"/>
      <c r="N281" s="1"/>
    </row>
    <row r="282" spans="3:14" x14ac:dyDescent="0.15">
      <c r="C282" s="1"/>
      <c r="F282" s="1"/>
      <c r="G282" s="1"/>
      <c r="J282" s="1"/>
      <c r="K282" s="1"/>
      <c r="N282" s="1"/>
    </row>
    <row r="283" spans="3:14" x14ac:dyDescent="0.15">
      <c r="C283" s="1"/>
      <c r="F283" s="1"/>
      <c r="G283" s="1"/>
      <c r="J283" s="1"/>
      <c r="K283" s="1"/>
      <c r="N283" s="1"/>
    </row>
    <row r="284" spans="3:14" x14ac:dyDescent="0.15">
      <c r="C284" s="1"/>
      <c r="F284" s="1"/>
      <c r="G284" s="1"/>
      <c r="J284" s="1"/>
      <c r="K284" s="1"/>
      <c r="N284" s="1"/>
    </row>
    <row r="285" spans="3:14" x14ac:dyDescent="0.15">
      <c r="C285" s="1"/>
      <c r="F285" s="1"/>
      <c r="G285" s="1"/>
      <c r="J285" s="1"/>
      <c r="K285" s="1"/>
      <c r="N285" s="1"/>
    </row>
    <row r="286" spans="3:14" x14ac:dyDescent="0.15">
      <c r="C286" s="1"/>
      <c r="F286" s="1"/>
      <c r="G286" s="1"/>
      <c r="J286" s="1"/>
      <c r="K286" s="1"/>
      <c r="N286" s="1"/>
    </row>
    <row r="287" spans="3:14" x14ac:dyDescent="0.15">
      <c r="C287" s="1"/>
      <c r="F287" s="1"/>
      <c r="G287" s="1"/>
      <c r="J287" s="1"/>
      <c r="K287" s="1"/>
      <c r="N287" s="1"/>
    </row>
    <row r="288" spans="3:14" x14ac:dyDescent="0.15">
      <c r="C288" s="1"/>
      <c r="F288" s="1"/>
      <c r="G288" s="1"/>
      <c r="J288" s="1"/>
      <c r="K288" s="1"/>
      <c r="N288" s="1"/>
    </row>
    <row r="289" spans="3:14" x14ac:dyDescent="0.15">
      <c r="C289" s="1"/>
      <c r="F289" s="1"/>
      <c r="G289" s="1"/>
      <c r="J289" s="1"/>
      <c r="K289" s="1"/>
      <c r="N289" s="1"/>
    </row>
    <row r="290" spans="3:14" x14ac:dyDescent="0.15">
      <c r="C290" s="1"/>
      <c r="F290" s="1"/>
      <c r="G290" s="1"/>
      <c r="J290" s="1"/>
      <c r="K290" s="1"/>
      <c r="N290" s="1"/>
    </row>
    <row r="291" spans="3:14" x14ac:dyDescent="0.15">
      <c r="C291" s="1"/>
      <c r="F291" s="1"/>
      <c r="G291" s="1"/>
      <c r="J291" s="1"/>
      <c r="K291" s="1"/>
      <c r="N291" s="1"/>
    </row>
    <row r="292" spans="3:14" x14ac:dyDescent="0.15">
      <c r="C292" s="1"/>
      <c r="F292" s="1"/>
      <c r="G292" s="1"/>
      <c r="J292" s="1"/>
      <c r="K292" s="1"/>
      <c r="N292" s="1"/>
    </row>
    <row r="293" spans="3:14" x14ac:dyDescent="0.15">
      <c r="C293" s="1"/>
      <c r="F293" s="1"/>
      <c r="G293" s="1"/>
      <c r="J293" s="1"/>
      <c r="K293" s="1"/>
      <c r="N293" s="1"/>
    </row>
    <row r="294" spans="3:14" x14ac:dyDescent="0.15">
      <c r="C294" s="1"/>
      <c r="F294" s="1"/>
      <c r="G294" s="1"/>
      <c r="J294" s="1"/>
      <c r="K294" s="1"/>
      <c r="N294" s="1"/>
    </row>
    <row r="295" spans="3:14" x14ac:dyDescent="0.15">
      <c r="C295" s="1"/>
      <c r="F295" s="1"/>
      <c r="G295" s="1"/>
      <c r="J295" s="1"/>
      <c r="K295" s="1"/>
      <c r="N295" s="1"/>
    </row>
    <row r="296" spans="3:14" x14ac:dyDescent="0.15">
      <c r="C296" s="1"/>
      <c r="F296" s="1"/>
      <c r="G296" s="1"/>
      <c r="J296" s="1"/>
      <c r="K296" s="1"/>
      <c r="N296" s="1"/>
    </row>
    <row r="297" spans="3:14" x14ac:dyDescent="0.15">
      <c r="C297" s="1"/>
      <c r="F297" s="1"/>
      <c r="G297" s="1"/>
      <c r="J297" s="1"/>
      <c r="K297" s="1"/>
      <c r="N297" s="1"/>
    </row>
    <row r="298" spans="3:14" x14ac:dyDescent="0.15">
      <c r="C298" s="1"/>
      <c r="F298" s="1"/>
      <c r="G298" s="1"/>
      <c r="J298" s="1"/>
      <c r="K298" s="1"/>
      <c r="N298" s="1"/>
    </row>
    <row r="299" spans="3:14" x14ac:dyDescent="0.15">
      <c r="C299" s="1"/>
      <c r="F299" s="1"/>
      <c r="G299" s="1"/>
      <c r="J299" s="1"/>
      <c r="K299" s="1"/>
      <c r="N299" s="1"/>
    </row>
    <row r="300" spans="3:14" x14ac:dyDescent="0.15">
      <c r="C300" s="1"/>
      <c r="F300" s="1"/>
      <c r="G300" s="1"/>
      <c r="J300" s="1"/>
      <c r="K300" s="1"/>
      <c r="N300" s="1"/>
    </row>
    <row r="301" spans="3:14" x14ac:dyDescent="0.15">
      <c r="C301" s="1"/>
      <c r="F301" s="1"/>
      <c r="G301" s="1"/>
      <c r="J301" s="1"/>
      <c r="K301" s="1"/>
      <c r="N301" s="1"/>
    </row>
    <row r="302" spans="3:14" x14ac:dyDescent="0.15">
      <c r="C302" s="1"/>
      <c r="F302" s="1"/>
      <c r="G302" s="1"/>
      <c r="J302" s="1"/>
      <c r="K302" s="1"/>
      <c r="N302" s="1"/>
    </row>
    <row r="303" spans="3:14" x14ac:dyDescent="0.15">
      <c r="C303" s="1"/>
      <c r="F303" s="1"/>
      <c r="G303" s="1"/>
      <c r="J303" s="1"/>
      <c r="K303" s="1"/>
      <c r="N303" s="1"/>
    </row>
    <row r="304" spans="3:14" x14ac:dyDescent="0.15">
      <c r="C304" s="1"/>
      <c r="F304" s="1"/>
      <c r="G304" s="1"/>
      <c r="J304" s="1"/>
      <c r="K304" s="1"/>
      <c r="N304" s="1"/>
    </row>
    <row r="305" spans="3:14" x14ac:dyDescent="0.15">
      <c r="C305" s="1"/>
      <c r="F305" s="1"/>
      <c r="G305" s="1"/>
      <c r="J305" s="1"/>
      <c r="K305" s="1"/>
      <c r="N305" s="1"/>
    </row>
    <row r="306" spans="3:14" x14ac:dyDescent="0.15">
      <c r="C306" s="1"/>
      <c r="F306" s="1"/>
      <c r="G306" s="1"/>
      <c r="J306" s="1"/>
      <c r="K306" s="1"/>
      <c r="N306" s="1"/>
    </row>
    <row r="307" spans="3:14" x14ac:dyDescent="0.15">
      <c r="C307" s="1"/>
      <c r="F307" s="1"/>
      <c r="G307" s="1"/>
      <c r="J307" s="1"/>
      <c r="K307" s="1"/>
      <c r="N307" s="1"/>
    </row>
    <row r="308" spans="3:14" x14ac:dyDescent="0.15">
      <c r="C308" s="1"/>
      <c r="F308" s="1"/>
      <c r="G308" s="1"/>
      <c r="J308" s="1"/>
      <c r="K308" s="1"/>
      <c r="N308" s="1"/>
    </row>
    <row r="309" spans="3:14" x14ac:dyDescent="0.15">
      <c r="C309" s="1"/>
      <c r="F309" s="1"/>
      <c r="G309" s="1"/>
      <c r="J309" s="1"/>
      <c r="K309" s="1"/>
      <c r="N309" s="1"/>
    </row>
    <row r="310" spans="3:14" x14ac:dyDescent="0.15">
      <c r="C310" s="1"/>
      <c r="F310" s="1"/>
      <c r="G310" s="1"/>
      <c r="J310" s="1"/>
      <c r="K310" s="1"/>
      <c r="N310" s="1"/>
    </row>
    <row r="311" spans="3:14" x14ac:dyDescent="0.15">
      <c r="C311" s="1"/>
      <c r="F311" s="1"/>
      <c r="G311" s="1"/>
      <c r="J311" s="1"/>
      <c r="K311" s="1"/>
      <c r="N311" s="1"/>
    </row>
    <row r="312" spans="3:14" x14ac:dyDescent="0.15">
      <c r="C312" s="1"/>
      <c r="F312" s="1"/>
      <c r="G312" s="1"/>
      <c r="J312" s="1"/>
      <c r="K312" s="1"/>
      <c r="N312" s="1"/>
    </row>
    <row r="313" spans="3:14" x14ac:dyDescent="0.15">
      <c r="C313" s="1"/>
      <c r="F313" s="1"/>
      <c r="G313" s="1"/>
      <c r="J313" s="1"/>
      <c r="K313" s="1"/>
      <c r="N313" s="1"/>
    </row>
    <row r="314" spans="3:14" x14ac:dyDescent="0.15">
      <c r="C314" s="1"/>
      <c r="F314" s="1"/>
      <c r="G314" s="1"/>
      <c r="J314" s="1"/>
      <c r="K314" s="1"/>
      <c r="N314" s="1"/>
    </row>
    <row r="315" spans="3:14" x14ac:dyDescent="0.15">
      <c r="C315" s="1"/>
      <c r="F315" s="1"/>
      <c r="G315" s="1"/>
      <c r="J315" s="1"/>
      <c r="K315" s="1"/>
      <c r="N315" s="1"/>
    </row>
    <row r="316" spans="3:14" x14ac:dyDescent="0.15">
      <c r="C316" s="1"/>
      <c r="F316" s="1"/>
      <c r="G316" s="1"/>
      <c r="J316" s="1"/>
      <c r="K316" s="1"/>
      <c r="N316" s="1"/>
    </row>
    <row r="317" spans="3:14" x14ac:dyDescent="0.15">
      <c r="C317" s="1"/>
      <c r="F317" s="1"/>
      <c r="G317" s="1"/>
      <c r="J317" s="1"/>
      <c r="K317" s="1"/>
      <c r="N317" s="1"/>
    </row>
    <row r="318" spans="3:14" x14ac:dyDescent="0.15">
      <c r="C318" s="1"/>
      <c r="F318" s="1"/>
      <c r="G318" s="1"/>
      <c r="J318" s="1"/>
      <c r="K318" s="1"/>
      <c r="N318" s="1"/>
    </row>
    <row r="319" spans="3:14" x14ac:dyDescent="0.15">
      <c r="C319" s="1"/>
      <c r="F319" s="1"/>
      <c r="G319" s="1"/>
      <c r="J319" s="1"/>
      <c r="K319" s="1"/>
      <c r="N319" s="1"/>
    </row>
    <row r="320" spans="3:14" x14ac:dyDescent="0.15">
      <c r="C320" s="1"/>
      <c r="F320" s="1"/>
      <c r="G320" s="1"/>
      <c r="J320" s="1"/>
      <c r="K320" s="1"/>
      <c r="N320" s="1"/>
    </row>
    <row r="321" spans="3:14" x14ac:dyDescent="0.15">
      <c r="C321" s="1"/>
      <c r="F321" s="1"/>
      <c r="G321" s="1"/>
      <c r="J321" s="1"/>
      <c r="K321" s="1"/>
      <c r="N321" s="1"/>
    </row>
    <row r="322" spans="3:14" x14ac:dyDescent="0.15">
      <c r="C322" s="1"/>
      <c r="F322" s="1"/>
      <c r="G322" s="1"/>
      <c r="J322" s="1"/>
      <c r="K322" s="1"/>
      <c r="N322" s="1"/>
    </row>
    <row r="323" spans="3:14" x14ac:dyDescent="0.15">
      <c r="C323" s="1"/>
      <c r="F323" s="1"/>
      <c r="G323" s="1"/>
      <c r="J323" s="1"/>
      <c r="K323" s="1"/>
      <c r="N323" s="1"/>
    </row>
    <row r="324" spans="3:14" x14ac:dyDescent="0.15">
      <c r="C324" s="1"/>
      <c r="F324" s="1"/>
      <c r="G324" s="1"/>
      <c r="J324" s="1"/>
      <c r="K324" s="1"/>
      <c r="N324" s="1"/>
    </row>
    <row r="325" spans="3:14" x14ac:dyDescent="0.15">
      <c r="C325" s="1"/>
      <c r="F325" s="1"/>
      <c r="G325" s="1"/>
      <c r="J325" s="1"/>
      <c r="K325" s="1"/>
      <c r="N325" s="1"/>
    </row>
    <row r="326" spans="3:14" x14ac:dyDescent="0.15">
      <c r="C326" s="1"/>
      <c r="F326" s="1"/>
      <c r="G326" s="1"/>
      <c r="J326" s="1"/>
      <c r="K326" s="1"/>
      <c r="N326" s="1"/>
    </row>
    <row r="327" spans="3:14" x14ac:dyDescent="0.15">
      <c r="C327" s="1"/>
      <c r="F327" s="1"/>
      <c r="G327" s="1"/>
      <c r="J327" s="1"/>
      <c r="K327" s="1"/>
      <c r="N327" s="1"/>
    </row>
    <row r="328" spans="3:14" x14ac:dyDescent="0.15">
      <c r="C328" s="1"/>
      <c r="F328" s="1"/>
      <c r="G328" s="1"/>
      <c r="J328" s="1"/>
      <c r="K328" s="1"/>
      <c r="N328" s="1"/>
    </row>
    <row r="329" spans="3:14" x14ac:dyDescent="0.15">
      <c r="C329" s="1"/>
      <c r="F329" s="1"/>
      <c r="G329" s="1"/>
      <c r="J329" s="1"/>
      <c r="K329" s="1"/>
      <c r="N329" s="1"/>
    </row>
    <row r="330" spans="3:14" x14ac:dyDescent="0.15">
      <c r="C330" s="1"/>
      <c r="F330" s="1"/>
      <c r="G330" s="1"/>
      <c r="J330" s="1"/>
      <c r="K330" s="1"/>
      <c r="N330" s="1"/>
    </row>
    <row r="331" spans="3:14" x14ac:dyDescent="0.15">
      <c r="C331" s="1"/>
      <c r="F331" s="1"/>
      <c r="G331" s="1"/>
      <c r="J331" s="1"/>
      <c r="K331" s="1"/>
      <c r="N331" s="1"/>
    </row>
    <row r="332" spans="3:14" x14ac:dyDescent="0.15">
      <c r="C332" s="1"/>
      <c r="F332" s="1"/>
      <c r="G332" s="1"/>
      <c r="J332" s="1"/>
      <c r="K332" s="1"/>
      <c r="N332" s="1"/>
    </row>
    <row r="333" spans="3:14" x14ac:dyDescent="0.15">
      <c r="C333" s="1"/>
      <c r="F333" s="1"/>
      <c r="G333" s="1"/>
      <c r="J333" s="1"/>
      <c r="K333" s="1"/>
      <c r="N333" s="1"/>
    </row>
    <row r="334" spans="3:14" x14ac:dyDescent="0.15">
      <c r="C334" s="1"/>
      <c r="F334" s="1"/>
      <c r="G334" s="1"/>
      <c r="J334" s="1"/>
      <c r="K334" s="1"/>
      <c r="N334" s="1"/>
    </row>
    <row r="335" spans="3:14" x14ac:dyDescent="0.15">
      <c r="C335" s="1"/>
      <c r="F335" s="1"/>
      <c r="G335" s="1"/>
      <c r="J335" s="1"/>
      <c r="K335" s="1"/>
      <c r="N335" s="1"/>
    </row>
    <row r="336" spans="3:14" x14ac:dyDescent="0.15">
      <c r="C336" s="1"/>
      <c r="F336" s="1"/>
      <c r="G336" s="1"/>
      <c r="J336" s="1"/>
      <c r="K336" s="1"/>
      <c r="N336" s="1"/>
    </row>
    <row r="337" spans="3:14" x14ac:dyDescent="0.15">
      <c r="C337" s="1"/>
      <c r="F337" s="1"/>
      <c r="G337" s="1"/>
      <c r="J337" s="1"/>
      <c r="K337" s="1"/>
      <c r="N337" s="1"/>
    </row>
    <row r="338" spans="3:14" x14ac:dyDescent="0.15">
      <c r="C338" s="1"/>
      <c r="F338" s="1"/>
      <c r="G338" s="1"/>
      <c r="J338" s="1"/>
      <c r="K338" s="1"/>
      <c r="N338" s="1"/>
    </row>
    <row r="339" spans="3:14" x14ac:dyDescent="0.15">
      <c r="C339" s="1"/>
      <c r="F339" s="1"/>
      <c r="G339" s="1"/>
      <c r="J339" s="1"/>
      <c r="K339" s="1"/>
      <c r="N339" s="1"/>
    </row>
    <row r="340" spans="3:14" x14ac:dyDescent="0.15">
      <c r="C340" s="1"/>
      <c r="F340" s="1"/>
      <c r="G340" s="1"/>
      <c r="J340" s="1"/>
      <c r="K340" s="1"/>
      <c r="N340" s="1"/>
    </row>
    <row r="341" spans="3:14" x14ac:dyDescent="0.15">
      <c r="C341" s="1"/>
      <c r="F341" s="1"/>
      <c r="G341" s="1"/>
      <c r="J341" s="1"/>
      <c r="K341" s="1"/>
      <c r="N341" s="1"/>
    </row>
    <row r="342" spans="3:14" x14ac:dyDescent="0.15">
      <c r="C342" s="1"/>
      <c r="F342" s="1"/>
      <c r="G342" s="1"/>
      <c r="J342" s="1"/>
      <c r="K342" s="1"/>
      <c r="N342" s="1"/>
    </row>
    <row r="343" spans="3:14" x14ac:dyDescent="0.15">
      <c r="C343" s="1"/>
      <c r="F343" s="1"/>
      <c r="G343" s="1"/>
      <c r="J343" s="1"/>
      <c r="K343" s="1"/>
      <c r="N343" s="1"/>
    </row>
    <row r="344" spans="3:14" x14ac:dyDescent="0.15">
      <c r="C344" s="1"/>
      <c r="F344" s="1"/>
      <c r="G344" s="1"/>
      <c r="J344" s="1"/>
      <c r="K344" s="1"/>
      <c r="N344" s="1"/>
    </row>
    <row r="345" spans="3:14" x14ac:dyDescent="0.15">
      <c r="C345" s="1"/>
      <c r="F345" s="1"/>
      <c r="G345" s="1"/>
      <c r="J345" s="1"/>
      <c r="K345" s="1"/>
      <c r="N345" s="1"/>
    </row>
    <row r="346" spans="3:14" x14ac:dyDescent="0.15">
      <c r="C346" s="1"/>
      <c r="F346" s="1"/>
      <c r="G346" s="1"/>
      <c r="J346" s="1"/>
      <c r="K346" s="1"/>
      <c r="N346" s="1"/>
    </row>
    <row r="347" spans="3:14" x14ac:dyDescent="0.15">
      <c r="C347" s="1"/>
      <c r="F347" s="1"/>
      <c r="G347" s="1"/>
      <c r="J347" s="1"/>
      <c r="K347" s="1"/>
      <c r="N347" s="1"/>
    </row>
    <row r="348" spans="3:14" x14ac:dyDescent="0.15">
      <c r="C348" s="1"/>
      <c r="F348" s="1"/>
      <c r="G348" s="1"/>
      <c r="J348" s="1"/>
      <c r="K348" s="1"/>
      <c r="N348" s="1"/>
    </row>
    <row r="349" spans="3:14" x14ac:dyDescent="0.15">
      <c r="C349" s="1"/>
      <c r="F349" s="1"/>
      <c r="G349" s="1"/>
      <c r="J349" s="1"/>
      <c r="K349" s="1"/>
      <c r="N349" s="1"/>
    </row>
    <row r="350" spans="3:14" x14ac:dyDescent="0.15">
      <c r="C350" s="1"/>
      <c r="F350" s="1"/>
      <c r="G350" s="1"/>
      <c r="J350" s="1"/>
      <c r="K350" s="1"/>
      <c r="N350" s="1"/>
    </row>
    <row r="351" spans="3:14" x14ac:dyDescent="0.15">
      <c r="C351" s="1"/>
      <c r="F351" s="1"/>
      <c r="G351" s="1"/>
      <c r="J351" s="1"/>
      <c r="K351" s="1"/>
      <c r="N351" s="1"/>
    </row>
    <row r="352" spans="3:14" x14ac:dyDescent="0.15">
      <c r="C352" s="1"/>
      <c r="F352" s="1"/>
      <c r="G352" s="1"/>
      <c r="J352" s="1"/>
      <c r="K352" s="1"/>
      <c r="N352" s="1"/>
    </row>
    <row r="353" spans="3:14" x14ac:dyDescent="0.15">
      <c r="C353" s="1"/>
      <c r="F353" s="1"/>
      <c r="G353" s="1"/>
      <c r="J353" s="1"/>
      <c r="K353" s="1"/>
      <c r="N353" s="1"/>
    </row>
    <row r="354" spans="3:14" x14ac:dyDescent="0.15">
      <c r="C354" s="1"/>
      <c r="F354" s="1"/>
      <c r="G354" s="1"/>
      <c r="J354" s="1"/>
      <c r="K354" s="1"/>
      <c r="N354" s="1"/>
    </row>
    <row r="355" spans="3:14" x14ac:dyDescent="0.15">
      <c r="C355" s="1"/>
      <c r="F355" s="1"/>
      <c r="G355" s="1"/>
      <c r="J355" s="1"/>
      <c r="K355" s="1"/>
      <c r="N355" s="1"/>
    </row>
    <row r="356" spans="3:14" x14ac:dyDescent="0.15">
      <c r="C356" s="1"/>
      <c r="F356" s="1"/>
      <c r="G356" s="1"/>
      <c r="J356" s="1"/>
      <c r="K356" s="1"/>
      <c r="N356" s="1"/>
    </row>
    <row r="357" spans="3:14" x14ac:dyDescent="0.15">
      <c r="C357" s="1"/>
      <c r="F357" s="1"/>
      <c r="G357" s="1"/>
      <c r="J357" s="1"/>
      <c r="K357" s="1"/>
      <c r="N357" s="1"/>
    </row>
    <row r="358" spans="3:14" x14ac:dyDescent="0.15">
      <c r="C358" s="1"/>
      <c r="F358" s="1"/>
      <c r="G358" s="1"/>
      <c r="J358" s="1"/>
      <c r="K358" s="1"/>
      <c r="N358" s="1"/>
    </row>
    <row r="359" spans="3:14" x14ac:dyDescent="0.15">
      <c r="C359" s="1"/>
      <c r="F359" s="1"/>
      <c r="G359" s="1"/>
      <c r="J359" s="1"/>
      <c r="K359" s="1"/>
      <c r="N359" s="1"/>
    </row>
    <row r="360" spans="3:14" x14ac:dyDescent="0.15">
      <c r="C360" s="1"/>
      <c r="F360" s="1"/>
      <c r="G360" s="1"/>
      <c r="J360" s="1"/>
      <c r="K360" s="1"/>
      <c r="N360" s="1"/>
    </row>
    <row r="361" spans="3:14" x14ac:dyDescent="0.15">
      <c r="C361" s="1"/>
      <c r="F361" s="1"/>
      <c r="G361" s="1"/>
      <c r="J361" s="1"/>
      <c r="K361" s="1"/>
      <c r="N361" s="1"/>
    </row>
    <row r="362" spans="3:14" x14ac:dyDescent="0.15">
      <c r="C362" s="1"/>
      <c r="F362" s="1"/>
      <c r="G362" s="1"/>
      <c r="J362" s="1"/>
      <c r="K362" s="1"/>
      <c r="N362" s="1"/>
    </row>
  </sheetData>
  <mergeCells count="7">
    <mergeCell ref="L3:N3"/>
    <mergeCell ref="O3:O5"/>
    <mergeCell ref="A1:O1"/>
    <mergeCell ref="A2:O2"/>
    <mergeCell ref="A3:A5"/>
    <mergeCell ref="D3:F3"/>
    <mergeCell ref="H3:J3"/>
  </mergeCells>
  <pageMargins left="0.7" right="0.7" top="0.75" bottom="0.75" header="0.3" footer="0.3"/>
  <pageSetup paperSize="9" scale="4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7.21</vt:lpstr>
      <vt:lpstr>'7.21'!Print_Area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2019-05-27T07:35:37Z</cp:lastPrinted>
  <dcterms:created xsi:type="dcterms:W3CDTF">2019-02-28T08:20:57Z</dcterms:created>
  <dcterms:modified xsi:type="dcterms:W3CDTF">2019-05-27T07:36:06Z</dcterms:modified>
</cp:coreProperties>
</file>