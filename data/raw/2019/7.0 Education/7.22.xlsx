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22" sheetId="18" r:id="rId1"/>
  </sheets>
  <definedNames>
    <definedName name="_xlnm.Print_Area" localSheetId="0">'7.22'!$A$1:$K$108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5" i="18" l="1"/>
  <c r="E105" i="18"/>
  <c r="H104" i="18"/>
  <c r="E104" i="18"/>
  <c r="C104" i="18"/>
  <c r="B104" i="18"/>
  <c r="H103" i="18"/>
  <c r="H102" i="18"/>
  <c r="H101" i="18"/>
  <c r="H100" i="18"/>
  <c r="H99" i="18"/>
  <c r="H98" i="18"/>
  <c r="H97" i="18"/>
  <c r="H96" i="18" s="1"/>
  <c r="E97" i="18"/>
  <c r="E96" i="18" s="1"/>
  <c r="J96" i="18"/>
  <c r="I96" i="18"/>
  <c r="F96" i="18"/>
  <c r="H95" i="18"/>
  <c r="E95" i="18"/>
  <c r="H94" i="18"/>
  <c r="E94" i="18"/>
  <c r="B94" i="18"/>
  <c r="H93" i="18"/>
  <c r="E93" i="18"/>
  <c r="C93" i="18"/>
  <c r="B93" i="18"/>
  <c r="H92" i="18"/>
  <c r="E92" i="18"/>
  <c r="C92" i="18"/>
  <c r="B92" i="18" s="1"/>
  <c r="H91" i="18"/>
  <c r="E91" i="18"/>
  <c r="C91" i="18"/>
  <c r="C88" i="18" s="1"/>
  <c r="H90" i="18"/>
  <c r="E90" i="18"/>
  <c r="B90" i="18"/>
  <c r="H89" i="18"/>
  <c r="F89" i="18"/>
  <c r="F88" i="18" s="1"/>
  <c r="B89" i="18"/>
  <c r="J88" i="18"/>
  <c r="I88" i="18"/>
  <c r="G88" i="18"/>
  <c r="D88" i="18"/>
  <c r="H87" i="18"/>
  <c r="E87" i="18"/>
  <c r="H86" i="18"/>
  <c r="E86" i="18"/>
  <c r="H85" i="18"/>
  <c r="E85" i="18"/>
  <c r="H84" i="18"/>
  <c r="E84" i="18"/>
  <c r="H83" i="18"/>
  <c r="E83" i="18"/>
  <c r="H82" i="18"/>
  <c r="E82" i="18"/>
  <c r="H81" i="18"/>
  <c r="E81" i="18"/>
  <c r="H80" i="18"/>
  <c r="E80" i="18"/>
  <c r="H79" i="18"/>
  <c r="E79" i="18"/>
  <c r="H78" i="18"/>
  <c r="E78" i="18"/>
  <c r="H77" i="18"/>
  <c r="E77" i="18"/>
  <c r="H76" i="18"/>
  <c r="E76" i="18"/>
  <c r="H75" i="18"/>
  <c r="E75" i="18"/>
  <c r="H74" i="18"/>
  <c r="E74" i="18"/>
  <c r="B74" i="18"/>
  <c r="I73" i="18"/>
  <c r="H73" i="18" s="1"/>
  <c r="F73" i="18"/>
  <c r="E73" i="18" s="1"/>
  <c r="C73" i="18"/>
  <c r="B73" i="18"/>
  <c r="H72" i="18"/>
  <c r="E72" i="18"/>
  <c r="H71" i="18"/>
  <c r="E71" i="18"/>
  <c r="H70" i="18"/>
  <c r="E70" i="18"/>
  <c r="H69" i="18"/>
  <c r="E69" i="18"/>
  <c r="H68" i="18"/>
  <c r="E68" i="18"/>
  <c r="H67" i="18"/>
  <c r="E67" i="18"/>
  <c r="H66" i="18"/>
  <c r="E66" i="18"/>
  <c r="H65" i="18"/>
  <c r="E65" i="18"/>
  <c r="H64" i="18"/>
  <c r="E64" i="18"/>
  <c r="H63" i="18"/>
  <c r="E63" i="18"/>
  <c r="H62" i="18"/>
  <c r="E62" i="18"/>
  <c r="H61" i="18"/>
  <c r="E61" i="18"/>
  <c r="H60" i="18"/>
  <c r="E60" i="18"/>
  <c r="H59" i="18"/>
  <c r="E59" i="18"/>
  <c r="H58" i="18"/>
  <c r="E58" i="18"/>
  <c r="B58" i="18"/>
  <c r="B57" i="18" s="1"/>
  <c r="J57" i="18"/>
  <c r="H57" i="18" s="1"/>
  <c r="I57" i="18"/>
  <c r="E57" i="18"/>
  <c r="C57" i="18"/>
  <c r="H56" i="18"/>
  <c r="H55" i="18"/>
  <c r="E55" i="18"/>
  <c r="B55" i="18"/>
  <c r="H54" i="18"/>
  <c r="E54" i="18"/>
  <c r="H53" i="18"/>
  <c r="E53" i="18"/>
  <c r="B53" i="18"/>
  <c r="I52" i="18"/>
  <c r="H52" i="18" s="1"/>
  <c r="F52" i="18"/>
  <c r="E52" i="18"/>
  <c r="B52" i="18"/>
  <c r="J51" i="18"/>
  <c r="I51" i="18"/>
  <c r="H51" i="18" s="1"/>
  <c r="F51" i="18"/>
  <c r="E51" i="18" s="1"/>
  <c r="C51" i="18"/>
  <c r="H50" i="18"/>
  <c r="E50" i="18"/>
  <c r="H49" i="18"/>
  <c r="E49" i="18"/>
  <c r="B49" i="18"/>
  <c r="H48" i="18"/>
  <c r="E48" i="18"/>
  <c r="H47" i="18"/>
  <c r="E47" i="18"/>
  <c r="H46" i="18"/>
  <c r="E46" i="18"/>
  <c r="H45" i="18"/>
  <c r="E45" i="18"/>
  <c r="H44" i="18"/>
  <c r="E44" i="18"/>
  <c r="J43" i="18"/>
  <c r="I43" i="18"/>
  <c r="E43" i="18"/>
  <c r="D43" i="18"/>
  <c r="D40" i="18" s="1"/>
  <c r="C43" i="18"/>
  <c r="B43" i="18"/>
  <c r="H42" i="18"/>
  <c r="E42" i="18"/>
  <c r="J41" i="18"/>
  <c r="I41" i="18"/>
  <c r="E41" i="18"/>
  <c r="C41" i="18"/>
  <c r="B41" i="18"/>
  <c r="F40" i="18"/>
  <c r="E40" i="18" s="1"/>
  <c r="C40" i="18"/>
  <c r="H39" i="18"/>
  <c r="E39" i="18"/>
  <c r="H38" i="18"/>
  <c r="E38" i="18"/>
  <c r="J37" i="18"/>
  <c r="I37" i="18"/>
  <c r="H37" i="18" s="1"/>
  <c r="F37" i="18"/>
  <c r="E37" i="18" s="1"/>
  <c r="H36" i="18"/>
  <c r="E36" i="18"/>
  <c r="B36" i="18"/>
  <c r="H35" i="18"/>
  <c r="G35" i="18"/>
  <c r="G29" i="18" s="1"/>
  <c r="B35" i="18"/>
  <c r="H34" i="18"/>
  <c r="E34" i="18"/>
  <c r="B34" i="18"/>
  <c r="I33" i="18"/>
  <c r="H33" i="18" s="1"/>
  <c r="F33" i="18"/>
  <c r="E33" i="18" s="1"/>
  <c r="B33" i="18"/>
  <c r="I32" i="18"/>
  <c r="H32" i="18" s="1"/>
  <c r="F32" i="18"/>
  <c r="E32" i="18" s="1"/>
  <c r="B32" i="18"/>
  <c r="I31" i="18"/>
  <c r="H31" i="18" s="1"/>
  <c r="F31" i="18"/>
  <c r="E31" i="18" s="1"/>
  <c r="B31" i="18"/>
  <c r="H30" i="18"/>
  <c r="E30" i="18"/>
  <c r="J29" i="18"/>
  <c r="D29" i="18"/>
  <c r="C29" i="18"/>
  <c r="H28" i="18"/>
  <c r="E28" i="18"/>
  <c r="B28" i="18"/>
  <c r="H27" i="18"/>
  <c r="E27" i="18"/>
  <c r="H26" i="18"/>
  <c r="E26" i="18"/>
  <c r="H25" i="18"/>
  <c r="E25" i="18"/>
  <c r="H24" i="18"/>
  <c r="E24" i="18"/>
  <c r="H23" i="18"/>
  <c r="E23" i="18"/>
  <c r="J21" i="18"/>
  <c r="J18" i="18" s="1"/>
  <c r="I21" i="18"/>
  <c r="H21" i="18" s="1"/>
  <c r="F21" i="18"/>
  <c r="E21" i="18" s="1"/>
  <c r="B21" i="18"/>
  <c r="I20" i="18"/>
  <c r="H20" i="18" s="1"/>
  <c r="F20" i="18"/>
  <c r="F18" i="18" s="1"/>
  <c r="E18" i="18" s="1"/>
  <c r="B20" i="18"/>
  <c r="J19" i="18"/>
  <c r="H19" i="18" s="1"/>
  <c r="I19" i="18"/>
  <c r="D18" i="18"/>
  <c r="C18" i="18"/>
  <c r="H17" i="18"/>
  <c r="E17" i="18"/>
  <c r="B17" i="18"/>
  <c r="H16" i="18"/>
  <c r="E16" i="18"/>
  <c r="B16" i="18"/>
  <c r="H15" i="18"/>
  <c r="E15" i="18"/>
  <c r="J14" i="18"/>
  <c r="J13" i="18" s="1"/>
  <c r="I14" i="18"/>
  <c r="H14" i="18" s="1"/>
  <c r="F14" i="18"/>
  <c r="F13" i="18" s="1"/>
  <c r="B14" i="18"/>
  <c r="G13" i="18"/>
  <c r="G8" i="18" s="1"/>
  <c r="G7" i="18" s="1"/>
  <c r="D13" i="18"/>
  <c r="C13" i="18"/>
  <c r="C8" i="18" s="1"/>
  <c r="C7" i="18" s="1"/>
  <c r="H12" i="18"/>
  <c r="F12" i="18"/>
  <c r="E12" i="18" s="1"/>
  <c r="H11" i="18"/>
  <c r="E11" i="18"/>
  <c r="H10" i="18"/>
  <c r="E10" i="18"/>
  <c r="I9" i="18"/>
  <c r="H9" i="18"/>
  <c r="F9" i="18"/>
  <c r="E9" i="18" s="1"/>
  <c r="D9" i="18"/>
  <c r="C9" i="18"/>
  <c r="B9" i="18"/>
  <c r="E20" i="18" l="1"/>
  <c r="E35" i="18"/>
  <c r="H88" i="18"/>
  <c r="J8" i="18"/>
  <c r="J7" i="18" s="1"/>
  <c r="B18" i="18"/>
  <c r="H41" i="18"/>
  <c r="H43" i="18"/>
  <c r="I13" i="18"/>
  <c r="H13" i="18" s="1"/>
  <c r="I18" i="18"/>
  <c r="H18" i="18" s="1"/>
  <c r="E13" i="18"/>
  <c r="D8" i="18"/>
  <c r="D7" i="18" s="1"/>
  <c r="B13" i="18"/>
  <c r="B8" i="18" s="1"/>
  <c r="B7" i="18" s="1"/>
  <c r="B29" i="18"/>
  <c r="B51" i="18"/>
  <c r="B40" i="18" s="1"/>
  <c r="B91" i="18"/>
  <c r="B88" i="18" s="1"/>
  <c r="E14" i="18"/>
  <c r="E89" i="18"/>
  <c r="E88" i="18" s="1"/>
  <c r="I40" i="18"/>
  <c r="H40" i="18" s="1"/>
  <c r="F29" i="18"/>
  <c r="E29" i="18" s="1"/>
  <c r="I29" i="18"/>
  <c r="F8" i="18" l="1"/>
  <c r="H29" i="18"/>
  <c r="I8" i="18"/>
  <c r="I7" i="18" l="1"/>
  <c r="H7" i="18" s="1"/>
  <c r="H8" i="18"/>
  <c r="F7" i="18"/>
  <c r="E7" i="18" s="1"/>
  <c r="E8" i="18"/>
</calcChain>
</file>

<file path=xl/sharedStrings.xml><?xml version="1.0" encoding="utf-8"?>
<sst xmlns="http://schemas.openxmlformats.org/spreadsheetml/2006/main" count="115" uniqueCount="92">
  <si>
    <t xml:space="preserve"> </t>
  </si>
  <si>
    <t>Male</t>
  </si>
  <si>
    <t>Female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</si>
  <si>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</si>
  <si>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</si>
  <si>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</si>
  <si>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</si>
  <si>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</si>
  <si>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</si>
  <si>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</si>
  <si>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Hunaru Project Courses</t>
  </si>
  <si>
    <t>School Polytechnic Program Courses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</si>
  <si>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</si>
  <si>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</si>
  <si>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</si>
  <si>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</si>
  <si>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</si>
  <si>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</si>
  <si>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</si>
  <si>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</si>
  <si>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</si>
  <si>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</si>
  <si>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</si>
  <si>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</si>
  <si>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</si>
  <si>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</si>
  <si>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</si>
  <si>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</si>
  <si>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</si>
  <si>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</si>
  <si>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</si>
  <si>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</si>
  <si>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</si>
  <si>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</si>
  <si>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</si>
  <si>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</si>
  <si>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</si>
  <si>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</si>
  <si>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</si>
  <si>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</si>
  <si>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</si>
  <si>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</si>
  <si>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</si>
  <si>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</si>
  <si>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</si>
  <si>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</si>
  <si>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</si>
  <si>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</si>
  <si>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</si>
  <si>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</si>
  <si>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</si>
  <si>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</si>
  <si>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</si>
  <si>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</si>
  <si>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</si>
  <si>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</si>
  <si>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</si>
  <si>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</si>
  <si>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</si>
  <si>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</si>
  <si>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</si>
  <si>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</si>
  <si>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</si>
  <si>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</si>
  <si>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</si>
  <si>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</si>
  <si>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</si>
  <si>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</si>
  <si>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</si>
  <si>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</si>
  <si>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</si>
  <si>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</si>
  <si>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</si>
  <si>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</si>
  <si>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</si>
  <si>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</si>
  <si>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</si>
  <si>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</si>
  <si>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</si>
  <si>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</si>
  <si>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</si>
  <si>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</si>
  <si>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</si>
  <si>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</si>
  <si>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</si>
  <si>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</si>
  <si>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</si>
  <si>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Out Reach Centre</t>
  </si>
  <si>
    <t xml:space="preserve">Certificate III in Jewelery </t>
  </si>
  <si>
    <t>* Advanced Certificate Course alinged to M.Q.A format effective from 2011 September.</t>
  </si>
  <si>
    <t xml:space="preserve"> ތާވަލް 7.22: ތަމްރީނުގެ ބާވަތާއި ޖިންސުގެ ގޮތުން ފަންނީ ތަޢުލީމްގެ ދާއިރާއިން ކިޔަވާ ކުދިންގެ އަދަދު، 2016 - 2018</t>
  </si>
  <si>
    <t xml:space="preserve"> Table  7.22:   STUDENT ENROLMENT IN TECHNICAL EDUCATION, BY TYPE OF TRAINING AND SEX,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</si>
</sst>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Faruma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166" fontId="6" fillId="0" borderId="0"/>
    <xf numFmtId="0" fontId="3" fillId="0" borderId="0"/>
    <xf numFmtId="0" fontId="3" fillId="0" borderId="0"/>
    <xf numFmtId="164" fontId="6" fillId="0" borderId="0"/>
    <xf numFmtId="165" fontId="6" fillId="0" borderId="0"/>
    <xf numFmtId="164" fontId="6" fillId="0" borderId="0"/>
    <xf numFmtId="165" fontId="6" fillId="0" borderId="0"/>
  </cellStyleXfs>
  <cellXfs count="60">
    <xf numFmtId="0" fontId="0" fillId="0" borderId="0" xfId="0"/>
    <xf numFmtId="0" fontId="0" fillId="2" borderId="0" xfId="0" applyFill="1"/>
    <xf numFmtId="164" fontId="11" fillId="2" borderId="0" xfId="5" applyNumberFormat="1" applyFont="1" applyFill="1" applyBorder="1" applyAlignment="1">
      <alignment horizontal="left" vertical="center"/>
    </xf>
    <xf numFmtId="164" fontId="6" fillId="2" borderId="0" xfId="8" applyNumberFormat="1" applyFill="1"/>
    <xf numFmtId="164" fontId="5" fillId="2" borderId="0" xfId="7" applyNumberFormat="1" applyFont="1" applyFill="1" applyBorder="1" applyAlignment="1">
      <alignment horizontal="center"/>
    </xf>
    <xf numFmtId="164" fontId="6" fillId="2" borderId="0" xfId="7" applyNumberFormat="1" applyFill="1" applyBorder="1"/>
    <xf numFmtId="164" fontId="6" fillId="2" borderId="0" xfId="8" applyNumberFormat="1" applyFill="1" applyBorder="1"/>
    <xf numFmtId="164" fontId="12" fillId="2" borderId="0" xfId="7" applyNumberFormat="1" applyFont="1" applyFill="1" applyAlignment="1">
      <alignment vertical="center"/>
    </xf>
    <xf numFmtId="164" fontId="12" fillId="2" borderId="0" xfId="8" applyNumberFormat="1" applyFont="1" applyFill="1" applyAlignment="1">
      <alignment vertical="center"/>
    </xf>
    <xf numFmtId="164" fontId="4" fillId="2" borderId="1" xfId="7" applyNumberFormat="1" applyFont="1" applyFill="1" applyBorder="1" applyAlignment="1">
      <alignment horizontal="right" vertical="center"/>
    </xf>
    <xf numFmtId="164" fontId="4" fillId="2" borderId="4" xfId="7" applyNumberFormat="1" applyFont="1" applyFill="1" applyBorder="1" applyAlignment="1">
      <alignment horizontal="right" vertical="center"/>
    </xf>
    <xf numFmtId="164" fontId="4" fillId="2" borderId="7" xfId="7" applyNumberFormat="1" applyFont="1" applyFill="1" applyBorder="1" applyAlignment="1">
      <alignment horizontal="right" vertical="center"/>
    </xf>
    <xf numFmtId="164" fontId="12" fillId="2" borderId="0" xfId="7" applyNumberFormat="1" applyFont="1" applyFill="1"/>
    <xf numFmtId="164" fontId="12" fillId="2" borderId="0" xfId="8" applyNumberFormat="1" applyFont="1" applyFill="1"/>
    <xf numFmtId="164" fontId="4" fillId="2" borderId="2" xfId="7" applyNumberFormat="1" applyFont="1" applyFill="1" applyBorder="1" applyAlignment="1">
      <alignment vertical="center"/>
    </xf>
    <xf numFmtId="164" fontId="4" fillId="2" borderId="2" xfId="7" applyNumberFormat="1" applyFont="1" applyFill="1" applyBorder="1" applyAlignment="1">
      <alignment horizontal="right" vertical="center"/>
    </xf>
    <xf numFmtId="164" fontId="4" fillId="2" borderId="5" xfId="7" applyNumberFormat="1" applyFont="1" applyFill="1" applyBorder="1" applyAlignment="1">
      <alignment horizontal="right" vertical="center"/>
    </xf>
    <xf numFmtId="164" fontId="4" fillId="2" borderId="3" xfId="7" applyNumberFormat="1" applyFont="1" applyFill="1" applyBorder="1" applyAlignment="1">
      <alignment horizontal="right" vertical="center"/>
    </xf>
    <xf numFmtId="164" fontId="4" fillId="2" borderId="0" xfId="7" applyNumberFormat="1" applyFont="1" applyFill="1" applyBorder="1" applyAlignment="1">
      <alignment vertical="center"/>
    </xf>
    <xf numFmtId="164" fontId="4" fillId="2" borderId="0" xfId="7" applyNumberFormat="1" applyFont="1" applyFill="1" applyBorder="1" applyAlignment="1">
      <alignment horizontal="right" vertical="center"/>
    </xf>
    <xf numFmtId="164" fontId="13" fillId="2" borderId="0" xfId="7" applyNumberFormat="1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4" fillId="2" borderId="0" xfId="7" applyNumberFormat="1" applyFont="1" applyFill="1" applyBorder="1" applyAlignment="1">
      <alignment horizontal="left" vertical="center"/>
    </xf>
    <xf numFmtId="164" fontId="14" fillId="2" borderId="0" xfId="7" applyNumberFormat="1" applyFont="1" applyFill="1" applyBorder="1" applyAlignment="1">
      <alignment horizontal="left" vertical="center" indent="2"/>
    </xf>
    <xf numFmtId="164" fontId="7" fillId="2" borderId="0" xfId="7" applyNumberFormat="1" applyFont="1" applyFill="1" applyBorder="1" applyAlignment="1">
      <alignment horizontal="right" vertical="center"/>
    </xf>
    <xf numFmtId="164" fontId="7" fillId="2" borderId="3" xfId="7" applyNumberFormat="1" applyFont="1" applyFill="1" applyBorder="1" applyAlignment="1">
      <alignment horizontal="right" vertical="center"/>
    </xf>
    <xf numFmtId="164" fontId="14" fillId="2" borderId="0" xfId="7" applyNumberFormat="1" applyFont="1" applyFill="1" applyBorder="1" applyAlignment="1">
      <alignment vertical="center"/>
    </xf>
    <xf numFmtId="164" fontId="14" fillId="2" borderId="0" xfId="7" applyNumberFormat="1" applyFont="1" applyFill="1" applyBorder="1" applyAlignment="1">
      <alignment horizontal="left" vertical="center"/>
    </xf>
    <xf numFmtId="164" fontId="12" fillId="2" borderId="0" xfId="7" applyNumberFormat="1" applyFont="1" applyFill="1" applyBorder="1" applyAlignment="1">
      <alignment vertical="center"/>
    </xf>
    <xf numFmtId="164" fontId="12" fillId="2" borderId="0" xfId="8" applyNumberFormat="1" applyFont="1" applyFill="1" applyBorder="1" applyAlignment="1">
      <alignment vertical="center"/>
    </xf>
    <xf numFmtId="164" fontId="13" fillId="2" borderId="0" xfId="7" applyNumberFormat="1" applyFont="1" applyFill="1" applyBorder="1" applyAlignment="1">
      <alignment vertical="center"/>
    </xf>
    <xf numFmtId="164" fontId="2" fillId="2" borderId="3" xfId="7" applyNumberFormat="1" applyFont="1" applyFill="1" applyBorder="1" applyAlignment="1">
      <alignment horizontal="right" vertical="center"/>
    </xf>
    <xf numFmtId="164" fontId="2" fillId="2" borderId="0" xfId="7" applyNumberFormat="1" applyFont="1" applyFill="1" applyBorder="1" applyAlignment="1">
      <alignment horizontal="right" vertical="center"/>
    </xf>
    <xf numFmtId="164" fontId="15" fillId="2" borderId="0" xfId="7" applyNumberFormat="1" applyFont="1" applyFill="1" applyAlignment="1">
      <alignment vertical="center"/>
    </xf>
    <xf numFmtId="164" fontId="1" fillId="2" borderId="3" xfId="7" applyNumberFormat="1" applyFont="1" applyFill="1" applyBorder="1" applyAlignment="1">
      <alignment horizontal="right" vertical="center"/>
    </xf>
    <xf numFmtId="164" fontId="1" fillId="2" borderId="0" xfId="7" applyNumberFormat="1" applyFont="1" applyFill="1" applyBorder="1" applyAlignment="1">
      <alignment horizontal="right" vertical="center"/>
    </xf>
    <xf numFmtId="164" fontId="13" fillId="2" borderId="0" xfId="8" applyNumberFormat="1" applyFont="1" applyFill="1" applyBorder="1" applyAlignment="1">
      <alignment vertical="center"/>
    </xf>
    <xf numFmtId="164" fontId="12" fillId="2" borderId="0" xfId="8" applyNumberFormat="1" applyFont="1" applyFill="1" applyBorder="1" applyAlignment="1"/>
    <xf numFmtId="164" fontId="6" fillId="2" borderId="0" xfId="8" applyNumberFormat="1" applyFont="1" applyFill="1"/>
    <xf numFmtId="49" fontId="4" fillId="2" borderId="3" xfId="7" applyNumberFormat="1" applyFont="1" applyFill="1" applyBorder="1" applyAlignment="1">
      <alignment horizontal="right"/>
    </xf>
    <xf numFmtId="164" fontId="16" fillId="2" borderId="0" xfId="7" applyNumberFormat="1" applyFont="1" applyFill="1" applyAlignment="1">
      <alignment vertical="center"/>
    </xf>
    <xf numFmtId="164" fontId="17" fillId="2" borderId="0" xfId="8" applyNumberFormat="1" applyFont="1" applyFill="1" applyAlignment="1"/>
    <xf numFmtId="164" fontId="14" fillId="2" borderId="1" xfId="7" applyNumberFormat="1" applyFont="1" applyFill="1" applyBorder="1" applyAlignment="1">
      <alignment horizontal="left" vertical="center" indent="2"/>
    </xf>
    <xf numFmtId="164" fontId="7" fillId="2" borderId="1" xfId="7" applyNumberFormat="1" applyFont="1" applyFill="1" applyBorder="1" applyAlignment="1">
      <alignment horizontal="right" vertical="center"/>
    </xf>
    <xf numFmtId="164" fontId="7" fillId="2" borderId="4" xfId="7" applyNumberFormat="1" applyFont="1" applyFill="1" applyBorder="1" applyAlignment="1">
      <alignment horizontal="right" vertical="center"/>
    </xf>
    <xf numFmtId="164" fontId="6" fillId="2" borderId="0" xfId="7" applyNumberFormat="1" applyFont="1" applyFill="1"/>
    <xf numFmtId="164" fontId="12" fillId="2" borderId="0" xfId="8" applyNumberFormat="1" applyFont="1" applyFill="1" applyAlignment="1"/>
    <xf numFmtId="164" fontId="8" fillId="2" borderId="0" xfId="7" applyNumberFormat="1" applyFont="1" applyFill="1" applyAlignment="1"/>
    <xf numFmtId="164" fontId="6" fillId="2" borderId="0" xfId="7" applyNumberFormat="1" applyFont="1" applyFill="1" applyAlignment="1"/>
    <xf numFmtId="164" fontId="8" fillId="2" borderId="0" xfId="5" applyNumberFormat="1" applyFont="1" applyFill="1" applyAlignment="1">
      <alignment vertical="top"/>
    </xf>
    <xf numFmtId="164" fontId="12" fillId="2" borderId="0" xfId="7" applyNumberFormat="1" applyFont="1" applyFill="1" applyAlignment="1"/>
    <xf numFmtId="164" fontId="4" fillId="2" borderId="0" xfId="7" applyNumberFormat="1" applyFont="1" applyFill="1" applyBorder="1" applyAlignment="1">
      <alignment horizontal="center" vertical="center"/>
    </xf>
    <xf numFmtId="164" fontId="6" fillId="2" borderId="0" xfId="8" applyNumberFormat="1" applyFill="1" applyAlignment="1"/>
    <xf numFmtId="164" fontId="6" fillId="2" borderId="0" xfId="7" applyNumberFormat="1" applyFill="1" applyAlignment="1"/>
    <xf numFmtId="164" fontId="4" fillId="2" borderId="7" xfId="7" applyNumberFormat="1" applyFont="1" applyFill="1" applyBorder="1" applyAlignment="1">
      <alignment horizontal="center" vertical="center"/>
    </xf>
    <xf numFmtId="164" fontId="4" fillId="2" borderId="6" xfId="7" applyNumberFormat="1" applyFont="1" applyFill="1" applyBorder="1" applyAlignment="1">
      <alignment horizontal="center" vertical="center"/>
    </xf>
    <xf numFmtId="164" fontId="10" fillId="2" borderId="0" xfId="7" applyNumberFormat="1" applyFont="1" applyFill="1" applyBorder="1" applyAlignment="1">
      <alignment horizontal="center" vertical="center"/>
    </xf>
    <xf numFmtId="164" fontId="9" fillId="2" borderId="0" xfId="7" applyNumberFormat="1" applyFont="1" applyFill="1" applyAlignment="1">
      <alignment horizontal="center" vertical="center"/>
    </xf>
    <xf numFmtId="164" fontId="4" fillId="2" borderId="2" xfId="7" applyNumberFormat="1" applyFont="1" applyFill="1" applyBorder="1" applyAlignment="1">
      <alignment horizontal="left" vertical="center"/>
    </xf>
    <xf numFmtId="164" fontId="4" fillId="2" borderId="1" xfId="7" applyNumberFormat="1" applyFont="1" applyFill="1" applyBorder="1" applyAlignment="1">
      <alignment horizontal="left" vertical="center"/>
    </xf>
  </cellXfs>
  <cellStyles count="9">
    <cellStyle name="Normal" xfId="0" builtinId="0"/>
    <cellStyle name="Normal 10" xfId="4"/>
    <cellStyle name="Normal 2 2 2" xfId="1"/>
    <cellStyle name="Normal 37" xfId="3"/>
    <cellStyle name="Normal 6" xfId="8"/>
    <cellStyle name="Normal 6 4" xfId="7"/>
    <cellStyle name="Normal 7" xfId="6"/>
    <cellStyle name="Normal 7 4" xfId="5"/>
    <cellStyle name="Normal 8" xfId="2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142875</xdr:rowOff>
    </xdr:to>
    <xdr:sp macro="" textlink="">
      <xdr:nvSpPr>
        <xdr:cNvPr id="2" name="Text 8"/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142875</xdr:rowOff>
    </xdr:to>
    <xdr:sp macro="" textlink="">
      <xdr:nvSpPr>
        <xdr:cNvPr id="3" name="Text 8"/>
        <xdr:cNvSpPr txBox="1">
          <a:spLocks noChangeArrowheads="1"/>
        </xdr:cNvSpPr>
      </xdr:nvSpPr>
      <xdr:spPr bwMode="auto">
        <a:xfrm>
          <a:off x="17878425" y="23241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E115"/>
  <sheetViews>
    <sheetView tabSelected="1" zoomScaleNormal="100" workbookViewId="0">
      <selection activeCell="N9" sqref="N9"/>
    </sheetView>
  </sheetViews>
  <sheetFormatPr defaultRowHeight="12" x14ac:dyDescent="0.15"/>
  <cols>
    <col min="1" max="1" width="50.5703125" style="3" customWidth="1"/>
    <col min="2" max="2" width="11" style="3" customWidth="1"/>
    <col min="3" max="3" width="8.85546875" style="3" customWidth="1"/>
    <col min="4" max="4" width="8.140625" style="3" customWidth="1"/>
    <col min="5" max="5" width="11" style="3" customWidth="1"/>
    <col min="6" max="6" width="8.85546875" style="3" customWidth="1"/>
    <col min="7" max="7" width="8.140625" style="3" customWidth="1"/>
    <col min="8" max="8" width="11" style="3" customWidth="1"/>
    <col min="9" max="9" width="8.85546875" style="3" customWidth="1"/>
    <col min="10" max="10" width="8.140625" style="3" customWidth="1"/>
    <col min="11" max="11" width="1.85546875" style="3" customWidth="1"/>
    <col min="12" max="13" width="12.140625" style="3" customWidth="1"/>
    <col min="14" max="16384" width="9.140625" style="3"/>
  </cols>
  <sheetData>
    <row r="2" spans="1:31" ht="21.75" x14ac:dyDescent="0.25">
      <c r="A2" s="57" t="s">
        <v>90</v>
      </c>
      <c r="B2" s="57"/>
      <c r="C2" s="57"/>
      <c r="D2" s="57"/>
      <c r="E2" s="57"/>
      <c r="F2" s="57"/>
      <c r="G2" s="57"/>
      <c r="H2" s="57"/>
      <c r="I2" s="57"/>
      <c r="J2" s="57"/>
      <c r="K2" s="1"/>
      <c r="L2" s="1"/>
      <c r="M2" s="1"/>
    </row>
    <row r="3" spans="1:31" ht="15.75" x14ac:dyDescent="0.25">
      <c r="A3" s="56" t="s">
        <v>91</v>
      </c>
      <c r="B3" s="56"/>
      <c r="C3" s="56"/>
      <c r="D3" s="56"/>
      <c r="E3" s="56"/>
      <c r="F3" s="56"/>
      <c r="G3" s="56"/>
      <c r="H3" s="56"/>
      <c r="I3" s="56"/>
      <c r="J3" s="56"/>
      <c r="K3" s="1"/>
      <c r="L3" s="1"/>
      <c r="M3" s="1"/>
    </row>
    <row r="4" spans="1:31" s="6" customFormat="1" ht="12.75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31" s="8" customFormat="1" ht="15" x14ac:dyDescent="0.25">
      <c r="A5" s="58" t="s">
        <v>3</v>
      </c>
      <c r="B5" s="54">
        <v>2016</v>
      </c>
      <c r="C5" s="55"/>
      <c r="D5" s="55"/>
      <c r="E5" s="54">
        <v>2017</v>
      </c>
      <c r="F5" s="55"/>
      <c r="G5" s="55"/>
      <c r="H5" s="54">
        <v>2018</v>
      </c>
      <c r="I5" s="55"/>
      <c r="J5" s="55"/>
      <c r="K5" s="7"/>
      <c r="L5" s="7"/>
      <c r="M5" s="7"/>
    </row>
    <row r="6" spans="1:31" s="13" customFormat="1" ht="15" x14ac:dyDescent="0.15">
      <c r="A6" s="59"/>
      <c r="B6" s="10" t="s">
        <v>14</v>
      </c>
      <c r="C6" s="9" t="s">
        <v>1</v>
      </c>
      <c r="D6" s="9" t="s">
        <v>2</v>
      </c>
      <c r="E6" s="11" t="s">
        <v>14</v>
      </c>
      <c r="F6" s="9" t="s">
        <v>1</v>
      </c>
      <c r="G6" s="9" t="s">
        <v>2</v>
      </c>
      <c r="H6" s="11" t="s">
        <v>14</v>
      </c>
      <c r="I6" s="9" t="s">
        <v>1</v>
      </c>
      <c r="J6" s="9" t="s">
        <v>2</v>
      </c>
      <c r="K6" s="12"/>
      <c r="L6" s="12"/>
      <c r="M6" s="12"/>
    </row>
    <row r="7" spans="1:31" s="8" customFormat="1" ht="15" x14ac:dyDescent="0.25">
      <c r="A7" s="14" t="s">
        <v>15</v>
      </c>
      <c r="B7" s="16">
        <f>B8+B41+B43+B51+B73+B88+B104</f>
        <v>821</v>
      </c>
      <c r="C7" s="15">
        <f>C8+C41+C43+C51+C73+C88+C104</f>
        <v>761</v>
      </c>
      <c r="D7" s="15">
        <f>D8+D41</f>
        <v>60</v>
      </c>
      <c r="E7" s="17">
        <f>F7+G7</f>
        <v>958</v>
      </c>
      <c r="F7" s="15">
        <f>F8+F40+F88+F73+F96</f>
        <v>897</v>
      </c>
      <c r="G7" s="15">
        <f>G8+G40+G88</f>
        <v>61</v>
      </c>
      <c r="H7" s="17">
        <f>I7+J7</f>
        <v>560</v>
      </c>
      <c r="I7" s="15">
        <f>I8+I40+I88+I73+I96</f>
        <v>484</v>
      </c>
      <c r="J7" s="15">
        <f>J8+J40+J88+J96</f>
        <v>76</v>
      </c>
      <c r="K7" s="7"/>
      <c r="L7" s="7"/>
      <c r="M7" s="7"/>
    </row>
    <row r="8" spans="1:31" s="21" customFormat="1" ht="15" x14ac:dyDescent="0.25">
      <c r="A8" s="18" t="s">
        <v>4</v>
      </c>
      <c r="B8" s="17">
        <f>B9+B13+B18+B29</f>
        <v>495</v>
      </c>
      <c r="C8" s="19">
        <f>C9+C13+C18+C29</f>
        <v>435</v>
      </c>
      <c r="D8" s="19">
        <f>D9+D13+D18+D29</f>
        <v>60</v>
      </c>
      <c r="E8" s="17">
        <f>F8+G8</f>
        <v>467</v>
      </c>
      <c r="F8" s="19">
        <f>F9+F13+F18+F29</f>
        <v>418</v>
      </c>
      <c r="G8" s="19">
        <f>G9+G13+G18+G29</f>
        <v>49</v>
      </c>
      <c r="H8" s="17">
        <f>I8+J8</f>
        <v>370</v>
      </c>
      <c r="I8" s="19">
        <f>I9+I13+I18+I29</f>
        <v>346</v>
      </c>
      <c r="J8" s="19">
        <f>J9+J13+J18+J29</f>
        <v>24</v>
      </c>
      <c r="K8" s="20"/>
      <c r="L8" s="20"/>
      <c r="M8" s="20"/>
    </row>
    <row r="9" spans="1:31" s="21" customFormat="1" ht="15" x14ac:dyDescent="0.25">
      <c r="A9" s="22" t="s">
        <v>16</v>
      </c>
      <c r="B9" s="17">
        <f>B10+B11+B12</f>
        <v>40</v>
      </c>
      <c r="C9" s="19">
        <f>C11+C12</f>
        <v>38</v>
      </c>
      <c r="D9" s="19">
        <f>D10+D11+D12</f>
        <v>2</v>
      </c>
      <c r="E9" s="17">
        <f>F9+G9</f>
        <v>49</v>
      </c>
      <c r="F9" s="19">
        <f>F11+F12</f>
        <v>49</v>
      </c>
      <c r="G9" s="19">
        <v>0</v>
      </c>
      <c r="H9" s="17">
        <f>I9+J9</f>
        <v>9</v>
      </c>
      <c r="I9" s="19">
        <f>I11+I12</f>
        <v>9</v>
      </c>
      <c r="J9" s="19">
        <v>0</v>
      </c>
      <c r="K9" s="20"/>
      <c r="L9" s="20"/>
      <c r="M9" s="20"/>
    </row>
    <row r="10" spans="1:31" s="21" customFormat="1" ht="15" hidden="1" x14ac:dyDescent="0.25">
      <c r="A10" s="23" t="s">
        <v>17</v>
      </c>
      <c r="B10" s="25">
        <v>0</v>
      </c>
      <c r="C10" s="24">
        <v>0</v>
      </c>
      <c r="D10" s="24">
        <v>0</v>
      </c>
      <c r="E10" s="17">
        <f t="shared" ref="E10:E78" si="0">F10+G10</f>
        <v>0</v>
      </c>
      <c r="F10" s="24"/>
      <c r="G10" s="24"/>
      <c r="H10" s="17">
        <f t="shared" ref="H10:H14" si="1">I10+J10</f>
        <v>0</v>
      </c>
      <c r="I10" s="24"/>
      <c r="J10" s="24"/>
      <c r="K10" s="20"/>
      <c r="L10" s="20"/>
      <c r="M10" s="20"/>
    </row>
    <row r="11" spans="1:31" s="8" customFormat="1" ht="15" x14ac:dyDescent="0.25">
      <c r="A11" s="23" t="s">
        <v>18</v>
      </c>
      <c r="B11" s="25">
        <v>21</v>
      </c>
      <c r="C11" s="24">
        <v>19</v>
      </c>
      <c r="D11" s="24">
        <v>2</v>
      </c>
      <c r="E11" s="25">
        <f t="shared" si="0"/>
        <v>0</v>
      </c>
      <c r="F11" s="24">
        <v>0</v>
      </c>
      <c r="G11" s="24">
        <v>0</v>
      </c>
      <c r="H11" s="25">
        <f t="shared" si="1"/>
        <v>0</v>
      </c>
      <c r="I11" s="24">
        <v>0</v>
      </c>
      <c r="J11" s="24">
        <v>0</v>
      </c>
      <c r="K11" s="20"/>
      <c r="L11" s="20"/>
      <c r="M11" s="20"/>
    </row>
    <row r="12" spans="1:31" s="8" customFormat="1" ht="15" x14ac:dyDescent="0.25">
      <c r="A12" s="23" t="s">
        <v>19</v>
      </c>
      <c r="B12" s="25">
        <v>19</v>
      </c>
      <c r="C12" s="24">
        <v>19</v>
      </c>
      <c r="D12" s="24">
        <v>0</v>
      </c>
      <c r="E12" s="25">
        <f t="shared" si="0"/>
        <v>49</v>
      </c>
      <c r="F12" s="24">
        <f>31+18</f>
        <v>49</v>
      </c>
      <c r="G12" s="24">
        <v>0</v>
      </c>
      <c r="H12" s="25">
        <f t="shared" si="1"/>
        <v>9</v>
      </c>
      <c r="I12" s="24">
        <v>9</v>
      </c>
      <c r="J12" s="24">
        <v>0</v>
      </c>
      <c r="K12" s="20"/>
      <c r="L12" s="20"/>
      <c r="M12" s="20"/>
    </row>
    <row r="13" spans="1:31" s="21" customFormat="1" ht="15.75" x14ac:dyDescent="0.25">
      <c r="A13" s="22" t="s">
        <v>20</v>
      </c>
      <c r="B13" s="17">
        <f>B14+B16+B17</f>
        <v>96</v>
      </c>
      <c r="C13" s="19">
        <f>C14+C16+C17</f>
        <v>84</v>
      </c>
      <c r="D13" s="19">
        <f>D14+D16+D17</f>
        <v>12</v>
      </c>
      <c r="E13" s="17">
        <f t="shared" si="0"/>
        <v>37</v>
      </c>
      <c r="F13" s="19">
        <f>F14+F15</f>
        <v>28</v>
      </c>
      <c r="G13" s="19">
        <f>G14+G15</f>
        <v>9</v>
      </c>
      <c r="H13" s="17">
        <f t="shared" si="1"/>
        <v>14</v>
      </c>
      <c r="I13" s="19">
        <f>I14+I15</f>
        <v>10</v>
      </c>
      <c r="J13" s="19">
        <f>J14+J15</f>
        <v>4</v>
      </c>
      <c r="K13" s="20"/>
      <c r="L13" s="20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</row>
    <row r="14" spans="1:31" s="8" customFormat="1" ht="15" x14ac:dyDescent="0.25">
      <c r="A14" s="23" t="s">
        <v>21</v>
      </c>
      <c r="B14" s="25">
        <f>C14+D14</f>
        <v>75</v>
      </c>
      <c r="C14" s="24">
        <v>67</v>
      </c>
      <c r="D14" s="24">
        <v>8</v>
      </c>
      <c r="E14" s="25">
        <f t="shared" si="0"/>
        <v>27</v>
      </c>
      <c r="F14" s="24">
        <f>16+4</f>
        <v>20</v>
      </c>
      <c r="G14" s="24">
        <v>7</v>
      </c>
      <c r="H14" s="25">
        <f t="shared" si="1"/>
        <v>14</v>
      </c>
      <c r="I14" s="24">
        <f>7+3</f>
        <v>10</v>
      </c>
      <c r="J14" s="24">
        <f>2+2</f>
        <v>4</v>
      </c>
      <c r="K14" s="20"/>
      <c r="L14" s="20"/>
      <c r="M14" s="20"/>
    </row>
    <row r="15" spans="1:31" s="8" customFormat="1" ht="15" x14ac:dyDescent="0.25">
      <c r="A15" s="23" t="s">
        <v>18</v>
      </c>
      <c r="B15" s="25">
        <v>0</v>
      </c>
      <c r="C15" s="24">
        <v>0</v>
      </c>
      <c r="D15" s="24">
        <v>0</v>
      </c>
      <c r="E15" s="25">
        <f>F15+G15</f>
        <v>10</v>
      </c>
      <c r="F15" s="24">
        <v>8</v>
      </c>
      <c r="G15" s="24">
        <v>2</v>
      </c>
      <c r="H15" s="25">
        <f>I15+J15</f>
        <v>0</v>
      </c>
      <c r="I15" s="24">
        <v>0</v>
      </c>
      <c r="J15" s="24">
        <v>0</v>
      </c>
      <c r="K15" s="20"/>
      <c r="L15" s="20"/>
      <c r="M15" s="20"/>
    </row>
    <row r="16" spans="1:31" s="8" customFormat="1" ht="15" x14ac:dyDescent="0.25">
      <c r="A16" s="23" t="s">
        <v>17</v>
      </c>
      <c r="B16" s="25">
        <f>C16+D16</f>
        <v>8</v>
      </c>
      <c r="C16" s="24">
        <v>7</v>
      </c>
      <c r="D16" s="24">
        <v>1</v>
      </c>
      <c r="E16" s="25">
        <f t="shared" si="0"/>
        <v>0</v>
      </c>
      <c r="F16" s="24">
        <v>0</v>
      </c>
      <c r="G16" s="24">
        <v>0</v>
      </c>
      <c r="H16" s="25">
        <f t="shared" ref="H16:H21" si="2">I16+J16</f>
        <v>0</v>
      </c>
      <c r="I16" s="24">
        <v>0</v>
      </c>
      <c r="J16" s="24">
        <v>0</v>
      </c>
      <c r="K16" s="20"/>
      <c r="L16" s="20"/>
      <c r="M16" s="20"/>
    </row>
    <row r="17" spans="1:14" s="8" customFormat="1" ht="15" x14ac:dyDescent="0.25">
      <c r="A17" s="23" t="s">
        <v>22</v>
      </c>
      <c r="B17" s="25">
        <f>C17+D17</f>
        <v>13</v>
      </c>
      <c r="C17" s="24">
        <v>10</v>
      </c>
      <c r="D17" s="24">
        <v>3</v>
      </c>
      <c r="E17" s="25">
        <f t="shared" si="0"/>
        <v>0</v>
      </c>
      <c r="F17" s="24">
        <v>0</v>
      </c>
      <c r="G17" s="24">
        <v>0</v>
      </c>
      <c r="H17" s="25">
        <f t="shared" si="2"/>
        <v>0</v>
      </c>
      <c r="I17" s="24">
        <v>0</v>
      </c>
      <c r="J17" s="24">
        <v>0</v>
      </c>
      <c r="K17" s="20"/>
      <c r="L17" s="20"/>
      <c r="M17" s="20"/>
    </row>
    <row r="18" spans="1:14" s="21" customFormat="1" ht="15" x14ac:dyDescent="0.25">
      <c r="A18" s="22" t="s">
        <v>23</v>
      </c>
      <c r="B18" s="17">
        <f>B20+B21+B22+B23+B24+B25+B26+B27+B28</f>
        <v>167</v>
      </c>
      <c r="C18" s="19">
        <f>C20+C21+C22+C23+C24+C25+C26+C27+C28</f>
        <v>167</v>
      </c>
      <c r="D18" s="19">
        <f t="shared" ref="D18" si="3">D20+D21+D22+D23+D24+D25+D26+D27+D28</f>
        <v>0</v>
      </c>
      <c r="E18" s="17">
        <f t="shared" si="0"/>
        <v>111</v>
      </c>
      <c r="F18" s="19">
        <f>F20+F21+F22+F28</f>
        <v>111</v>
      </c>
      <c r="G18" s="19">
        <v>0</v>
      </c>
      <c r="H18" s="17">
        <f t="shared" si="2"/>
        <v>138</v>
      </c>
      <c r="I18" s="19">
        <f>I20+I21+I22+I28</f>
        <v>136</v>
      </c>
      <c r="J18" s="19">
        <f>J21</f>
        <v>2</v>
      </c>
      <c r="K18" s="20"/>
      <c r="L18" s="20"/>
      <c r="M18" s="20"/>
    </row>
    <row r="19" spans="1:14" s="21" customFormat="1" ht="15" x14ac:dyDescent="0.25">
      <c r="A19" s="23" t="s">
        <v>21</v>
      </c>
      <c r="B19" s="25">
        <v>0</v>
      </c>
      <c r="C19" s="24">
        <v>0</v>
      </c>
      <c r="D19" s="24">
        <v>0</v>
      </c>
      <c r="E19" s="25">
        <v>0</v>
      </c>
      <c r="F19" s="24">
        <v>0</v>
      </c>
      <c r="G19" s="24">
        <v>0</v>
      </c>
      <c r="H19" s="25">
        <f>I19+J19</f>
        <v>37</v>
      </c>
      <c r="I19" s="24">
        <f>8+22</f>
        <v>30</v>
      </c>
      <c r="J19" s="24">
        <f>4+3</f>
        <v>7</v>
      </c>
      <c r="K19" s="20"/>
      <c r="L19" s="20"/>
      <c r="M19" s="20"/>
    </row>
    <row r="20" spans="1:14" s="8" customFormat="1" ht="15" x14ac:dyDescent="0.25">
      <c r="A20" s="26" t="s">
        <v>24</v>
      </c>
      <c r="B20" s="25">
        <f>C20</f>
        <v>70</v>
      </c>
      <c r="C20" s="24">
        <v>70</v>
      </c>
      <c r="D20" s="24">
        <v>0</v>
      </c>
      <c r="E20" s="25">
        <f t="shared" si="0"/>
        <v>66</v>
      </c>
      <c r="F20" s="24">
        <f>22+10+14+20</f>
        <v>66</v>
      </c>
      <c r="G20" s="24">
        <v>0</v>
      </c>
      <c r="H20" s="25">
        <f t="shared" si="2"/>
        <v>75</v>
      </c>
      <c r="I20" s="24">
        <f>15+15+24+21</f>
        <v>75</v>
      </c>
      <c r="J20" s="24">
        <v>0</v>
      </c>
      <c r="K20" s="20"/>
      <c r="L20" s="20"/>
      <c r="M20" s="20"/>
    </row>
    <row r="21" spans="1:14" s="8" customFormat="1" ht="15" x14ac:dyDescent="0.25">
      <c r="A21" s="27" t="s">
        <v>25</v>
      </c>
      <c r="B21" s="25">
        <f>C21+D21</f>
        <v>75</v>
      </c>
      <c r="C21" s="24">
        <v>75</v>
      </c>
      <c r="D21" s="24">
        <v>0</v>
      </c>
      <c r="E21" s="25">
        <f t="shared" si="0"/>
        <v>45</v>
      </c>
      <c r="F21" s="24">
        <f>9+6+12+18</f>
        <v>45</v>
      </c>
      <c r="G21" s="24">
        <v>0</v>
      </c>
      <c r="H21" s="25">
        <f t="shared" si="2"/>
        <v>63</v>
      </c>
      <c r="I21" s="24">
        <f>6+8+27+20</f>
        <v>61</v>
      </c>
      <c r="J21" s="24">
        <f>1+1</f>
        <v>2</v>
      </c>
      <c r="K21" s="20"/>
      <c r="L21" s="20"/>
      <c r="M21" s="20"/>
    </row>
    <row r="22" spans="1:14" s="8" customFormat="1" ht="15" x14ac:dyDescent="0.25">
      <c r="A22" s="23" t="s">
        <v>26</v>
      </c>
      <c r="B22" s="25">
        <v>0</v>
      </c>
      <c r="C22" s="24">
        <v>0</v>
      </c>
      <c r="D22" s="24">
        <v>0</v>
      </c>
      <c r="E22" s="25">
        <v>0</v>
      </c>
      <c r="F22" s="24">
        <v>0</v>
      </c>
      <c r="G22" s="24">
        <v>0</v>
      </c>
      <c r="H22" s="25">
        <v>0</v>
      </c>
      <c r="I22" s="24">
        <v>0</v>
      </c>
      <c r="J22" s="24">
        <v>0</v>
      </c>
      <c r="K22" s="20"/>
      <c r="L22" s="20"/>
      <c r="M22" s="20"/>
      <c r="N22" s="7"/>
    </row>
    <row r="23" spans="1:14" s="8" customFormat="1" ht="15" hidden="1" x14ac:dyDescent="0.25">
      <c r="A23" s="23" t="s">
        <v>27</v>
      </c>
      <c r="B23" s="25">
        <v>0</v>
      </c>
      <c r="C23" s="24">
        <v>0</v>
      </c>
      <c r="D23" s="24">
        <v>0</v>
      </c>
      <c r="E23" s="25">
        <f t="shared" si="0"/>
        <v>0</v>
      </c>
      <c r="F23" s="24"/>
      <c r="G23" s="24"/>
      <c r="H23" s="25">
        <f t="shared" ref="H23:H28" si="4">I23+J23</f>
        <v>0</v>
      </c>
      <c r="I23" s="24"/>
      <c r="J23" s="24"/>
      <c r="K23" s="20"/>
      <c r="L23" s="20"/>
      <c r="M23" s="20"/>
      <c r="N23" s="7"/>
    </row>
    <row r="24" spans="1:14" s="8" customFormat="1" ht="15" hidden="1" x14ac:dyDescent="0.25">
      <c r="A24" s="27" t="s">
        <v>28</v>
      </c>
      <c r="B24" s="25">
        <v>0</v>
      </c>
      <c r="C24" s="24">
        <v>0</v>
      </c>
      <c r="D24" s="24">
        <v>0</v>
      </c>
      <c r="E24" s="25">
        <f t="shared" si="0"/>
        <v>0</v>
      </c>
      <c r="F24" s="24"/>
      <c r="G24" s="24"/>
      <c r="H24" s="25">
        <f t="shared" si="4"/>
        <v>0</v>
      </c>
      <c r="I24" s="24"/>
      <c r="J24" s="24"/>
      <c r="K24" s="20"/>
      <c r="L24" s="20" t="s">
        <v>0</v>
      </c>
      <c r="M24" s="20"/>
      <c r="N24" s="7"/>
    </row>
    <row r="25" spans="1:14" s="8" customFormat="1" ht="15" hidden="1" x14ac:dyDescent="0.25">
      <c r="A25" s="23" t="s">
        <v>29</v>
      </c>
      <c r="B25" s="25">
        <v>0</v>
      </c>
      <c r="C25" s="24">
        <v>0</v>
      </c>
      <c r="D25" s="24">
        <v>0</v>
      </c>
      <c r="E25" s="25">
        <f t="shared" si="0"/>
        <v>0</v>
      </c>
      <c r="F25" s="24"/>
      <c r="G25" s="24"/>
      <c r="H25" s="25">
        <f t="shared" si="4"/>
        <v>0</v>
      </c>
      <c r="I25" s="24"/>
      <c r="J25" s="24"/>
      <c r="K25" s="20"/>
      <c r="L25" s="20"/>
      <c r="M25" s="20"/>
      <c r="N25" s="7"/>
    </row>
    <row r="26" spans="1:14" s="8" customFormat="1" ht="15" hidden="1" x14ac:dyDescent="0.25">
      <c r="A26" s="23" t="s">
        <v>30</v>
      </c>
      <c r="B26" s="25">
        <v>0</v>
      </c>
      <c r="C26" s="24">
        <v>0</v>
      </c>
      <c r="D26" s="24">
        <v>0</v>
      </c>
      <c r="E26" s="25">
        <f t="shared" si="0"/>
        <v>0</v>
      </c>
      <c r="F26" s="24"/>
      <c r="G26" s="24"/>
      <c r="H26" s="25">
        <f t="shared" si="4"/>
        <v>0</v>
      </c>
      <c r="I26" s="24"/>
      <c r="J26" s="24"/>
      <c r="K26" s="7"/>
      <c r="L26" s="7"/>
      <c r="M26" s="7"/>
      <c r="N26" s="7"/>
    </row>
    <row r="27" spans="1:14" s="8" customFormat="1" ht="15" hidden="1" x14ac:dyDescent="0.25">
      <c r="A27" s="27" t="s">
        <v>31</v>
      </c>
      <c r="B27" s="25">
        <v>0</v>
      </c>
      <c r="C27" s="24">
        <v>0</v>
      </c>
      <c r="D27" s="24">
        <v>0</v>
      </c>
      <c r="E27" s="25">
        <f t="shared" si="0"/>
        <v>0</v>
      </c>
      <c r="F27" s="24"/>
      <c r="G27" s="24"/>
      <c r="H27" s="25">
        <f t="shared" si="4"/>
        <v>0</v>
      </c>
      <c r="I27" s="24"/>
      <c r="J27" s="24"/>
      <c r="K27" s="20"/>
      <c r="L27" s="20"/>
      <c r="M27" s="20"/>
      <c r="N27" s="7"/>
    </row>
    <row r="28" spans="1:14" s="8" customFormat="1" ht="15" x14ac:dyDescent="0.25">
      <c r="A28" s="23" t="s">
        <v>32</v>
      </c>
      <c r="B28" s="25">
        <f>C28+D28</f>
        <v>22</v>
      </c>
      <c r="C28" s="24">
        <v>22</v>
      </c>
      <c r="D28" s="24">
        <v>0</v>
      </c>
      <c r="E28" s="25">
        <f t="shared" si="0"/>
        <v>0</v>
      </c>
      <c r="F28" s="24">
        <v>0</v>
      </c>
      <c r="G28" s="24">
        <v>0</v>
      </c>
      <c r="H28" s="25">
        <f t="shared" si="4"/>
        <v>0</v>
      </c>
      <c r="I28" s="24">
        <v>0</v>
      </c>
      <c r="J28" s="24">
        <v>0</v>
      </c>
      <c r="K28" s="20"/>
      <c r="L28" s="20"/>
      <c r="M28" s="20"/>
      <c r="N28" s="7"/>
    </row>
    <row r="29" spans="1:14" s="8" customFormat="1" ht="15" x14ac:dyDescent="0.25">
      <c r="A29" s="22" t="s">
        <v>33</v>
      </c>
      <c r="B29" s="17">
        <f t="shared" ref="B29:D29" si="5">B30+B31+B32+B33+B34+B35+B36</f>
        <v>192</v>
      </c>
      <c r="C29" s="19">
        <f t="shared" si="5"/>
        <v>146</v>
      </c>
      <c r="D29" s="19">
        <f t="shared" si="5"/>
        <v>46</v>
      </c>
      <c r="E29" s="17">
        <f>F29+G29</f>
        <v>270</v>
      </c>
      <c r="F29" s="19">
        <f>F31+F32+F33+F34+F35+F36+F37+F39</f>
        <v>230</v>
      </c>
      <c r="G29" s="19">
        <f>G31+G32+G33+G34+G35+G36+G37+G39</f>
        <v>40</v>
      </c>
      <c r="H29" s="17">
        <f>I29+J29</f>
        <v>209</v>
      </c>
      <c r="I29" s="19">
        <f>I31+I32+I33+I34+I35+I36+I37+I39</f>
        <v>191</v>
      </c>
      <c r="J29" s="19">
        <f>J31+J32+J33+J34+J35+J36+J37+J39</f>
        <v>18</v>
      </c>
      <c r="K29" s="20"/>
      <c r="L29" s="20"/>
      <c r="M29" s="20"/>
      <c r="N29" s="7"/>
    </row>
    <row r="30" spans="1:14" s="29" customFormat="1" ht="15" hidden="1" x14ac:dyDescent="0.25">
      <c r="A30" s="23" t="s">
        <v>34</v>
      </c>
      <c r="B30" s="25">
        <v>0</v>
      </c>
      <c r="C30" s="24">
        <v>0</v>
      </c>
      <c r="D30" s="24">
        <v>0</v>
      </c>
      <c r="E30" s="17">
        <f t="shared" si="0"/>
        <v>0</v>
      </c>
      <c r="F30" s="24"/>
      <c r="G30" s="24"/>
      <c r="H30" s="17">
        <f t="shared" ref="H30:H36" si="6">I30+J30</f>
        <v>0</v>
      </c>
      <c r="I30" s="24"/>
      <c r="J30" s="24"/>
      <c r="K30" s="28"/>
      <c r="L30" s="28"/>
      <c r="M30" s="28"/>
      <c r="N30" s="28"/>
    </row>
    <row r="31" spans="1:14" s="29" customFormat="1" ht="15" x14ac:dyDescent="0.25">
      <c r="A31" s="23" t="s">
        <v>35</v>
      </c>
      <c r="B31" s="25">
        <f>C31</f>
        <v>35</v>
      </c>
      <c r="C31" s="24">
        <v>35</v>
      </c>
      <c r="D31" s="24">
        <v>0</v>
      </c>
      <c r="E31" s="25">
        <f t="shared" si="0"/>
        <v>18</v>
      </c>
      <c r="F31" s="24">
        <f>12+6</f>
        <v>18</v>
      </c>
      <c r="G31" s="24">
        <v>0</v>
      </c>
      <c r="H31" s="25">
        <f t="shared" si="6"/>
        <v>29</v>
      </c>
      <c r="I31" s="24">
        <f>17+12</f>
        <v>29</v>
      </c>
      <c r="J31" s="24">
        <v>0</v>
      </c>
      <c r="K31" s="28"/>
      <c r="L31" s="28"/>
      <c r="M31" s="28"/>
      <c r="N31" s="28"/>
    </row>
    <row r="32" spans="1:14" s="29" customFormat="1" ht="15" x14ac:dyDescent="0.25">
      <c r="A32" s="23" t="s">
        <v>36</v>
      </c>
      <c r="B32" s="25">
        <f>C32</f>
        <v>36</v>
      </c>
      <c r="C32" s="24">
        <v>36</v>
      </c>
      <c r="D32" s="24">
        <v>0</v>
      </c>
      <c r="E32" s="25">
        <f t="shared" si="0"/>
        <v>40</v>
      </c>
      <c r="F32" s="24">
        <f>21+19</f>
        <v>40</v>
      </c>
      <c r="G32" s="24">
        <v>0</v>
      </c>
      <c r="H32" s="25">
        <f t="shared" si="6"/>
        <v>29</v>
      </c>
      <c r="I32" s="24">
        <f>16+13</f>
        <v>29</v>
      </c>
      <c r="J32" s="24">
        <v>0</v>
      </c>
      <c r="K32" s="28"/>
      <c r="L32" s="28"/>
      <c r="M32" s="28"/>
      <c r="N32" s="28"/>
    </row>
    <row r="33" spans="1:14" s="21" customFormat="1" ht="15" customHeight="1" x14ac:dyDescent="0.25">
      <c r="A33" s="23" t="s">
        <v>37</v>
      </c>
      <c r="B33" s="25">
        <f>C33</f>
        <v>35</v>
      </c>
      <c r="C33" s="24">
        <v>35</v>
      </c>
      <c r="D33" s="24">
        <v>0</v>
      </c>
      <c r="E33" s="25">
        <f t="shared" si="0"/>
        <v>90</v>
      </c>
      <c r="F33" s="24">
        <f>69+21</f>
        <v>90</v>
      </c>
      <c r="G33" s="24">
        <v>0</v>
      </c>
      <c r="H33" s="25">
        <f t="shared" si="6"/>
        <v>104</v>
      </c>
      <c r="I33" s="24">
        <f>19+15+18+15+12+25</f>
        <v>104</v>
      </c>
      <c r="J33" s="24">
        <v>0</v>
      </c>
      <c r="K33" s="28"/>
      <c r="L33" s="28"/>
      <c r="M33" s="28"/>
      <c r="N33" s="28"/>
    </row>
    <row r="34" spans="1:14" s="21" customFormat="1" ht="15" customHeight="1" x14ac:dyDescent="0.25">
      <c r="A34" s="23" t="s">
        <v>38</v>
      </c>
      <c r="B34" s="25">
        <f>C34</f>
        <v>28</v>
      </c>
      <c r="C34" s="24">
        <v>28</v>
      </c>
      <c r="D34" s="24">
        <v>0</v>
      </c>
      <c r="E34" s="25">
        <f t="shared" si="0"/>
        <v>59</v>
      </c>
      <c r="F34" s="24">
        <v>44</v>
      </c>
      <c r="G34" s="24">
        <v>15</v>
      </c>
      <c r="H34" s="25">
        <f t="shared" si="6"/>
        <v>0</v>
      </c>
      <c r="I34" s="24">
        <v>0</v>
      </c>
      <c r="J34" s="24">
        <v>0</v>
      </c>
      <c r="K34" s="28"/>
      <c r="L34" s="28"/>
      <c r="M34" s="28"/>
      <c r="N34" s="28"/>
    </row>
    <row r="35" spans="1:14" s="21" customFormat="1" ht="15" customHeight="1" x14ac:dyDescent="0.25">
      <c r="A35" s="23" t="s">
        <v>39</v>
      </c>
      <c r="B35" s="25">
        <f>46</f>
        <v>46</v>
      </c>
      <c r="C35" s="24">
        <v>0</v>
      </c>
      <c r="D35" s="24">
        <v>46</v>
      </c>
      <c r="E35" s="25">
        <f t="shared" si="0"/>
        <v>21</v>
      </c>
      <c r="F35" s="24">
        <v>0</v>
      </c>
      <c r="G35" s="24">
        <f>11+3+7</f>
        <v>21</v>
      </c>
      <c r="H35" s="25">
        <f t="shared" si="6"/>
        <v>11</v>
      </c>
      <c r="I35" s="24">
        <v>0</v>
      </c>
      <c r="J35" s="24">
        <v>11</v>
      </c>
      <c r="K35" s="28"/>
      <c r="L35" s="28"/>
      <c r="M35" s="28"/>
      <c r="N35" s="28"/>
    </row>
    <row r="36" spans="1:14" s="21" customFormat="1" ht="15" customHeight="1" x14ac:dyDescent="0.25">
      <c r="A36" s="23" t="s">
        <v>40</v>
      </c>
      <c r="B36" s="25">
        <f>C36+D36</f>
        <v>12</v>
      </c>
      <c r="C36" s="24">
        <v>12</v>
      </c>
      <c r="D36" s="24">
        <v>0</v>
      </c>
      <c r="E36" s="25">
        <f t="shared" si="0"/>
        <v>7</v>
      </c>
      <c r="F36" s="24">
        <v>3</v>
      </c>
      <c r="G36" s="24">
        <v>4</v>
      </c>
      <c r="H36" s="25">
        <f t="shared" si="6"/>
        <v>8</v>
      </c>
      <c r="I36" s="24">
        <v>4</v>
      </c>
      <c r="J36" s="24">
        <v>4</v>
      </c>
      <c r="K36" s="28"/>
      <c r="L36" s="28"/>
      <c r="M36" s="28"/>
      <c r="N36" s="28"/>
    </row>
    <row r="37" spans="1:14" s="21" customFormat="1" ht="15" customHeight="1" x14ac:dyDescent="0.25">
      <c r="A37" s="23" t="s">
        <v>41</v>
      </c>
      <c r="B37" s="25">
        <v>0</v>
      </c>
      <c r="C37" s="24">
        <v>0</v>
      </c>
      <c r="D37" s="24">
        <v>0</v>
      </c>
      <c r="E37" s="25">
        <f>F37</f>
        <v>19</v>
      </c>
      <c r="F37" s="24">
        <f>11+8</f>
        <v>19</v>
      </c>
      <c r="G37" s="24">
        <v>0</v>
      </c>
      <c r="H37" s="25">
        <f>I37</f>
        <v>14</v>
      </c>
      <c r="I37" s="24">
        <f>8+6</f>
        <v>14</v>
      </c>
      <c r="J37" s="24">
        <f>1+2</f>
        <v>3</v>
      </c>
      <c r="K37" s="28"/>
      <c r="L37" s="28"/>
      <c r="M37" s="28"/>
      <c r="N37" s="28"/>
    </row>
    <row r="38" spans="1:14" s="21" customFormat="1" ht="15" customHeight="1" x14ac:dyDescent="0.25">
      <c r="A38" s="23" t="s">
        <v>42</v>
      </c>
      <c r="B38" s="25">
        <v>0</v>
      </c>
      <c r="C38" s="24">
        <v>0</v>
      </c>
      <c r="D38" s="24">
        <v>0</v>
      </c>
      <c r="E38" s="25">
        <f>F38</f>
        <v>16</v>
      </c>
      <c r="F38" s="24">
        <v>16</v>
      </c>
      <c r="G38" s="24">
        <v>0</v>
      </c>
      <c r="H38" s="25">
        <f>I38</f>
        <v>0</v>
      </c>
      <c r="I38" s="24">
        <v>0</v>
      </c>
      <c r="J38" s="24">
        <v>0</v>
      </c>
      <c r="K38" s="28"/>
      <c r="L38" s="28"/>
      <c r="M38" s="28"/>
      <c r="N38" s="28"/>
    </row>
    <row r="39" spans="1:14" s="21" customFormat="1" ht="15" customHeight="1" x14ac:dyDescent="0.25">
      <c r="A39" s="23" t="s">
        <v>29</v>
      </c>
      <c r="B39" s="25">
        <v>0</v>
      </c>
      <c r="C39" s="24">
        <v>0</v>
      </c>
      <c r="D39" s="24">
        <v>0</v>
      </c>
      <c r="E39" s="25">
        <f>F39</f>
        <v>16</v>
      </c>
      <c r="F39" s="24">
        <v>16</v>
      </c>
      <c r="G39" s="24">
        <v>0</v>
      </c>
      <c r="H39" s="25">
        <f>I39</f>
        <v>11</v>
      </c>
      <c r="I39" s="24">
        <v>11</v>
      </c>
      <c r="J39" s="24">
        <v>0</v>
      </c>
      <c r="K39" s="28"/>
      <c r="L39" s="28"/>
      <c r="M39" s="28"/>
      <c r="N39" s="28"/>
    </row>
    <row r="40" spans="1:14" s="21" customFormat="1" ht="15" x14ac:dyDescent="0.25">
      <c r="A40" s="18" t="s">
        <v>5</v>
      </c>
      <c r="B40" s="17">
        <f>B41+B43+B51</f>
        <v>173</v>
      </c>
      <c r="C40" s="19">
        <f t="shared" ref="C40:D40" si="7">C41+C43+C51</f>
        <v>173</v>
      </c>
      <c r="D40" s="19">
        <f t="shared" si="7"/>
        <v>0</v>
      </c>
      <c r="E40" s="17">
        <f t="shared" si="0"/>
        <v>150</v>
      </c>
      <c r="F40" s="19">
        <f>F41+F43+F51+F57</f>
        <v>150</v>
      </c>
      <c r="G40" s="19">
        <v>0</v>
      </c>
      <c r="H40" s="17">
        <f t="shared" ref="H40:H49" si="8">I40+J40</f>
        <v>54</v>
      </c>
      <c r="I40" s="19">
        <f>I41+I43+I51+I57</f>
        <v>50</v>
      </c>
      <c r="J40" s="19">
        <v>4</v>
      </c>
      <c r="K40" s="20"/>
      <c r="L40" s="20"/>
      <c r="M40" s="20"/>
      <c r="N40" s="30"/>
    </row>
    <row r="41" spans="1:14" s="21" customFormat="1" ht="15" x14ac:dyDescent="0.25">
      <c r="A41" s="22" t="s">
        <v>20</v>
      </c>
      <c r="B41" s="31">
        <f>B42</f>
        <v>13</v>
      </c>
      <c r="C41" s="32">
        <f>C42</f>
        <v>13</v>
      </c>
      <c r="D41" s="32">
        <v>0</v>
      </c>
      <c r="E41" s="17">
        <f t="shared" si="0"/>
        <v>11</v>
      </c>
      <c r="F41" s="32">
        <v>11</v>
      </c>
      <c r="G41" s="32">
        <v>0</v>
      </c>
      <c r="H41" s="17">
        <f t="shared" si="8"/>
        <v>11</v>
      </c>
      <c r="I41" s="32">
        <f>SUM(I42)</f>
        <v>11</v>
      </c>
      <c r="J41" s="32">
        <f>SUM(J42)</f>
        <v>0</v>
      </c>
      <c r="K41" s="33"/>
      <c r="L41" s="20"/>
      <c r="M41" s="20"/>
      <c r="N41" s="30"/>
    </row>
    <row r="42" spans="1:14" s="21" customFormat="1" ht="15" x14ac:dyDescent="0.25">
      <c r="A42" s="23" t="s">
        <v>22</v>
      </c>
      <c r="B42" s="34">
        <v>13</v>
      </c>
      <c r="C42" s="35">
        <v>13</v>
      </c>
      <c r="D42" s="35">
        <v>0</v>
      </c>
      <c r="E42" s="25">
        <f t="shared" si="0"/>
        <v>11</v>
      </c>
      <c r="F42" s="35">
        <v>11</v>
      </c>
      <c r="G42" s="35">
        <v>0</v>
      </c>
      <c r="H42" s="25">
        <f t="shared" si="8"/>
        <v>11</v>
      </c>
      <c r="I42" s="35">
        <v>11</v>
      </c>
      <c r="J42" s="35">
        <v>0</v>
      </c>
      <c r="K42" s="33"/>
      <c r="L42" s="20"/>
      <c r="M42" s="20"/>
      <c r="N42" s="30"/>
    </row>
    <row r="43" spans="1:14" s="8" customFormat="1" ht="14.25" customHeight="1" x14ac:dyDescent="0.25">
      <c r="A43" s="18" t="s">
        <v>43</v>
      </c>
      <c r="B43" s="17">
        <f>B44+B45+B46+B47+B48+B49</f>
        <v>19</v>
      </c>
      <c r="C43" s="19">
        <f>C44+C45+C46+C47+C48+C49</f>
        <v>19</v>
      </c>
      <c r="D43" s="19">
        <f>D44+D45+D46+D47+D48+D49</f>
        <v>0</v>
      </c>
      <c r="E43" s="17">
        <f t="shared" si="0"/>
        <v>33</v>
      </c>
      <c r="F43" s="19">
        <v>33</v>
      </c>
      <c r="G43" s="19">
        <v>0</v>
      </c>
      <c r="H43" s="17">
        <f t="shared" si="8"/>
        <v>9</v>
      </c>
      <c r="I43" s="19">
        <f>SUM(I49:I50)</f>
        <v>9</v>
      </c>
      <c r="J43" s="19">
        <f>SUM(J49:J50)</f>
        <v>0</v>
      </c>
      <c r="K43" s="20"/>
      <c r="L43" s="20"/>
      <c r="M43" s="20"/>
      <c r="N43" s="30"/>
    </row>
    <row r="44" spans="1:14" s="8" customFormat="1" ht="15" hidden="1" x14ac:dyDescent="0.25">
      <c r="A44" s="23" t="s">
        <v>44</v>
      </c>
      <c r="B44" s="25">
        <v>0</v>
      </c>
      <c r="C44" s="24">
        <v>0</v>
      </c>
      <c r="D44" s="24">
        <v>0</v>
      </c>
      <c r="E44" s="17">
        <f t="shared" si="0"/>
        <v>0</v>
      </c>
      <c r="F44" s="24"/>
      <c r="G44" s="24"/>
      <c r="H44" s="17">
        <f t="shared" si="8"/>
        <v>0</v>
      </c>
      <c r="I44" s="24"/>
      <c r="J44" s="24"/>
      <c r="K44" s="20"/>
      <c r="L44" s="20"/>
      <c r="M44" s="20"/>
      <c r="N44" s="28"/>
    </row>
    <row r="45" spans="1:14" s="8" customFormat="1" ht="15" hidden="1" x14ac:dyDescent="0.25">
      <c r="A45" s="23" t="s">
        <v>45</v>
      </c>
      <c r="B45" s="25">
        <v>0</v>
      </c>
      <c r="C45" s="24">
        <v>0</v>
      </c>
      <c r="D45" s="24">
        <v>0</v>
      </c>
      <c r="E45" s="17">
        <f t="shared" si="0"/>
        <v>0</v>
      </c>
      <c r="F45" s="24"/>
      <c r="G45" s="24"/>
      <c r="H45" s="17">
        <f t="shared" si="8"/>
        <v>0</v>
      </c>
      <c r="I45" s="24"/>
      <c r="J45" s="24"/>
      <c r="K45" s="20"/>
      <c r="L45" s="20"/>
      <c r="M45" s="20"/>
      <c r="N45" s="28"/>
    </row>
    <row r="46" spans="1:14" s="29" customFormat="1" ht="15" hidden="1" x14ac:dyDescent="0.25">
      <c r="A46" s="23" t="s">
        <v>46</v>
      </c>
      <c r="B46" s="25">
        <v>0</v>
      </c>
      <c r="C46" s="24">
        <v>0</v>
      </c>
      <c r="D46" s="24">
        <v>0</v>
      </c>
      <c r="E46" s="17">
        <f t="shared" si="0"/>
        <v>0</v>
      </c>
      <c r="F46" s="24"/>
      <c r="G46" s="24"/>
      <c r="H46" s="17">
        <f t="shared" si="8"/>
        <v>0</v>
      </c>
      <c r="I46" s="24"/>
      <c r="J46" s="24"/>
      <c r="K46" s="20"/>
      <c r="L46" s="20"/>
      <c r="M46" s="20"/>
      <c r="N46" s="28"/>
    </row>
    <row r="47" spans="1:14" s="29" customFormat="1" ht="15" hidden="1" x14ac:dyDescent="0.25">
      <c r="A47" s="23" t="s">
        <v>47</v>
      </c>
      <c r="B47" s="25">
        <v>0</v>
      </c>
      <c r="C47" s="24">
        <v>0</v>
      </c>
      <c r="D47" s="24">
        <v>0</v>
      </c>
      <c r="E47" s="17">
        <f t="shared" si="0"/>
        <v>0</v>
      </c>
      <c r="F47" s="24"/>
      <c r="G47" s="24"/>
      <c r="H47" s="17">
        <f t="shared" si="8"/>
        <v>0</v>
      </c>
      <c r="I47" s="24"/>
      <c r="J47" s="24"/>
      <c r="K47" s="7"/>
      <c r="L47" s="7"/>
      <c r="M47" s="7"/>
    </row>
    <row r="48" spans="1:14" s="29" customFormat="1" ht="15" hidden="1" x14ac:dyDescent="0.25">
      <c r="A48" s="23" t="s">
        <v>48</v>
      </c>
      <c r="B48" s="25">
        <v>0</v>
      </c>
      <c r="C48" s="24">
        <v>0</v>
      </c>
      <c r="D48" s="24">
        <v>0</v>
      </c>
      <c r="E48" s="17">
        <f t="shared" si="0"/>
        <v>0</v>
      </c>
      <c r="F48" s="24"/>
      <c r="G48" s="24"/>
      <c r="H48" s="17">
        <f t="shared" si="8"/>
        <v>0</v>
      </c>
      <c r="I48" s="24"/>
      <c r="J48" s="24"/>
      <c r="K48" s="7"/>
      <c r="L48" s="7"/>
      <c r="M48" s="7"/>
    </row>
    <row r="49" spans="1:13" s="36" customFormat="1" ht="15" x14ac:dyDescent="0.25">
      <c r="A49" s="23" t="s">
        <v>22</v>
      </c>
      <c r="B49" s="25">
        <f>C49</f>
        <v>19</v>
      </c>
      <c r="C49" s="24">
        <v>19</v>
      </c>
      <c r="D49" s="24">
        <v>0</v>
      </c>
      <c r="E49" s="25">
        <f t="shared" si="0"/>
        <v>14</v>
      </c>
      <c r="F49" s="24">
        <v>14</v>
      </c>
      <c r="G49" s="24">
        <v>0</v>
      </c>
      <c r="H49" s="25">
        <f t="shared" si="8"/>
        <v>0</v>
      </c>
      <c r="I49" s="24">
        <v>0</v>
      </c>
      <c r="J49" s="24">
        <v>0</v>
      </c>
      <c r="K49" s="20"/>
      <c r="L49" s="20"/>
      <c r="M49" s="20"/>
    </row>
    <row r="50" spans="1:13" s="36" customFormat="1" ht="15" x14ac:dyDescent="0.25">
      <c r="A50" s="23" t="s">
        <v>26</v>
      </c>
      <c r="B50" s="25">
        <v>0</v>
      </c>
      <c r="C50" s="24">
        <v>0</v>
      </c>
      <c r="D50" s="24">
        <v>0</v>
      </c>
      <c r="E50" s="25">
        <f>G50+F50</f>
        <v>19</v>
      </c>
      <c r="F50" s="24">
        <v>19</v>
      </c>
      <c r="G50" s="24">
        <v>0</v>
      </c>
      <c r="H50" s="25">
        <f>J50+I50</f>
        <v>9</v>
      </c>
      <c r="I50" s="24">
        <v>9</v>
      </c>
      <c r="J50" s="24">
        <v>0</v>
      </c>
      <c r="K50" s="20"/>
      <c r="L50" s="20"/>
      <c r="M50" s="20"/>
    </row>
    <row r="51" spans="1:13" s="29" customFormat="1" ht="15" x14ac:dyDescent="0.25">
      <c r="A51" s="22" t="s">
        <v>49</v>
      </c>
      <c r="B51" s="17">
        <f>B52+B53+B54+B55</f>
        <v>141</v>
      </c>
      <c r="C51" s="19">
        <f>C52+C53+C54+C55</f>
        <v>141</v>
      </c>
      <c r="D51" s="19">
        <v>0</v>
      </c>
      <c r="E51" s="17">
        <f t="shared" si="0"/>
        <v>106</v>
      </c>
      <c r="F51" s="19">
        <f>F52+F53+F54+F55</f>
        <v>106</v>
      </c>
      <c r="G51" s="19">
        <v>0</v>
      </c>
      <c r="H51" s="17">
        <f t="shared" ref="H51:H72" si="9">I51+J51</f>
        <v>34</v>
      </c>
      <c r="I51" s="19">
        <f>I52+I53+I54+I55+I56</f>
        <v>30</v>
      </c>
      <c r="J51" s="19">
        <f>J52+J53+J54+J55+J56</f>
        <v>4</v>
      </c>
      <c r="K51" s="20"/>
      <c r="L51" s="20"/>
      <c r="M51" s="20"/>
    </row>
    <row r="52" spans="1:13" s="29" customFormat="1" ht="15" x14ac:dyDescent="0.25">
      <c r="A52" s="23" t="s">
        <v>50</v>
      </c>
      <c r="B52" s="25">
        <f t="shared" ref="B52:B55" si="10">C52</f>
        <v>109</v>
      </c>
      <c r="C52" s="24">
        <v>109</v>
      </c>
      <c r="D52" s="24">
        <v>0</v>
      </c>
      <c r="E52" s="25">
        <f t="shared" si="0"/>
        <v>86</v>
      </c>
      <c r="F52" s="24">
        <f>11+22+13+22+18</f>
        <v>86</v>
      </c>
      <c r="G52" s="24">
        <v>0</v>
      </c>
      <c r="H52" s="25">
        <f t="shared" si="9"/>
        <v>23</v>
      </c>
      <c r="I52" s="24">
        <f>11+12</f>
        <v>23</v>
      </c>
      <c r="J52" s="24">
        <v>0</v>
      </c>
      <c r="K52" s="20"/>
      <c r="L52" s="20"/>
      <c r="M52" s="20"/>
    </row>
    <row r="53" spans="1:13" s="29" customFormat="1" ht="15" x14ac:dyDescent="0.25">
      <c r="A53" s="23" t="s">
        <v>36</v>
      </c>
      <c r="B53" s="25">
        <f t="shared" si="10"/>
        <v>20</v>
      </c>
      <c r="C53" s="24">
        <v>20</v>
      </c>
      <c r="D53" s="24">
        <v>0</v>
      </c>
      <c r="E53" s="25">
        <f t="shared" si="0"/>
        <v>20</v>
      </c>
      <c r="F53" s="24">
        <v>20</v>
      </c>
      <c r="G53" s="24">
        <v>0</v>
      </c>
      <c r="H53" s="25">
        <f t="shared" si="9"/>
        <v>0</v>
      </c>
      <c r="I53" s="24">
        <v>0</v>
      </c>
      <c r="J53" s="24">
        <v>0</v>
      </c>
      <c r="K53" s="20"/>
      <c r="L53" s="20"/>
      <c r="M53" s="20"/>
    </row>
    <row r="54" spans="1:13" s="29" customFormat="1" ht="15" x14ac:dyDescent="0.25">
      <c r="A54" s="23" t="s">
        <v>34</v>
      </c>
      <c r="B54" s="25">
        <v>0</v>
      </c>
      <c r="C54" s="24">
        <v>0</v>
      </c>
      <c r="D54" s="24">
        <v>0</v>
      </c>
      <c r="E54" s="25">
        <f t="shared" si="0"/>
        <v>0</v>
      </c>
      <c r="F54" s="24">
        <v>0</v>
      </c>
      <c r="G54" s="24">
        <v>0</v>
      </c>
      <c r="H54" s="25">
        <f t="shared" si="9"/>
        <v>0</v>
      </c>
      <c r="I54" s="24">
        <v>0</v>
      </c>
      <c r="J54" s="24">
        <v>0</v>
      </c>
      <c r="K54" s="20"/>
      <c r="L54" s="20"/>
      <c r="M54" s="20"/>
    </row>
    <row r="55" spans="1:13" s="29" customFormat="1" ht="15" x14ac:dyDescent="0.25">
      <c r="A55" s="23" t="s">
        <v>51</v>
      </c>
      <c r="B55" s="25">
        <f t="shared" si="10"/>
        <v>12</v>
      </c>
      <c r="C55" s="24">
        <v>12</v>
      </c>
      <c r="D55" s="24">
        <v>0</v>
      </c>
      <c r="E55" s="25">
        <f t="shared" si="0"/>
        <v>0</v>
      </c>
      <c r="F55" s="24">
        <v>0</v>
      </c>
      <c r="G55" s="24">
        <v>0</v>
      </c>
      <c r="H55" s="25">
        <f t="shared" si="9"/>
        <v>0</v>
      </c>
      <c r="I55" s="24">
        <v>0</v>
      </c>
      <c r="J55" s="24">
        <v>0</v>
      </c>
      <c r="K55" s="20"/>
      <c r="L55" s="20"/>
      <c r="M55" s="20"/>
    </row>
    <row r="56" spans="1:13" s="29" customFormat="1" ht="15" x14ac:dyDescent="0.25">
      <c r="A56" s="23" t="s">
        <v>52</v>
      </c>
      <c r="B56" s="25">
        <v>0</v>
      </c>
      <c r="C56" s="24">
        <v>0</v>
      </c>
      <c r="D56" s="24">
        <v>0</v>
      </c>
      <c r="E56" s="25">
        <v>0</v>
      </c>
      <c r="F56" s="24">
        <v>0</v>
      </c>
      <c r="G56" s="24">
        <v>0</v>
      </c>
      <c r="H56" s="25">
        <f t="shared" si="9"/>
        <v>11</v>
      </c>
      <c r="I56" s="24">
        <v>7</v>
      </c>
      <c r="J56" s="24">
        <v>4</v>
      </c>
      <c r="K56" s="20"/>
      <c r="L56" s="20"/>
      <c r="M56" s="20"/>
    </row>
    <row r="57" spans="1:13" s="29" customFormat="1" ht="15" x14ac:dyDescent="0.25">
      <c r="A57" s="22" t="s">
        <v>53</v>
      </c>
      <c r="B57" s="17">
        <f>B58+B59+B60</f>
        <v>0</v>
      </c>
      <c r="C57" s="19">
        <f>C58+C59+C60</f>
        <v>0</v>
      </c>
      <c r="D57" s="19">
        <v>0</v>
      </c>
      <c r="E57" s="17">
        <f t="shared" si="0"/>
        <v>0</v>
      </c>
      <c r="F57" s="19">
        <v>0</v>
      </c>
      <c r="G57" s="19">
        <v>0</v>
      </c>
      <c r="H57" s="17">
        <f t="shared" si="9"/>
        <v>0</v>
      </c>
      <c r="I57" s="19">
        <f>I58</f>
        <v>0</v>
      </c>
      <c r="J57" s="19">
        <f>J58</f>
        <v>0</v>
      </c>
      <c r="K57" s="20"/>
      <c r="L57" s="20"/>
      <c r="M57" s="20"/>
    </row>
    <row r="58" spans="1:13" s="29" customFormat="1" ht="15" x14ac:dyDescent="0.25">
      <c r="A58" s="23" t="s">
        <v>37</v>
      </c>
      <c r="B58" s="25">
        <f>D58</f>
        <v>0</v>
      </c>
      <c r="C58" s="24">
        <v>0</v>
      </c>
      <c r="D58" s="24">
        <v>0</v>
      </c>
      <c r="E58" s="25">
        <f t="shared" si="0"/>
        <v>0</v>
      </c>
      <c r="F58" s="24">
        <v>0</v>
      </c>
      <c r="G58" s="24">
        <v>0</v>
      </c>
      <c r="H58" s="25">
        <f t="shared" si="9"/>
        <v>0</v>
      </c>
      <c r="I58" s="24">
        <v>0</v>
      </c>
      <c r="J58" s="24">
        <v>0</v>
      </c>
      <c r="K58" s="20"/>
      <c r="L58" s="20"/>
      <c r="M58" s="20"/>
    </row>
    <row r="59" spans="1:13" s="29" customFormat="1" ht="15" hidden="1" x14ac:dyDescent="0.25">
      <c r="A59" s="18" t="s">
        <v>6</v>
      </c>
      <c r="B59" s="17">
        <v>0</v>
      </c>
      <c r="C59" s="19">
        <v>0</v>
      </c>
      <c r="D59" s="19">
        <v>0</v>
      </c>
      <c r="E59" s="17">
        <f t="shared" si="0"/>
        <v>0</v>
      </c>
      <c r="F59" s="24"/>
      <c r="G59" s="24"/>
      <c r="H59" s="17">
        <f t="shared" si="9"/>
        <v>0</v>
      </c>
      <c r="I59" s="24"/>
      <c r="J59" s="24"/>
      <c r="K59" s="30"/>
      <c r="L59" s="20"/>
      <c r="M59" s="20"/>
    </row>
    <row r="60" spans="1:13" s="29" customFormat="1" ht="15" hidden="1" x14ac:dyDescent="0.25">
      <c r="A60" s="23" t="s">
        <v>54</v>
      </c>
      <c r="B60" s="25">
        <v>0</v>
      </c>
      <c r="C60" s="24">
        <v>0</v>
      </c>
      <c r="D60" s="24">
        <v>0</v>
      </c>
      <c r="E60" s="17">
        <f t="shared" si="0"/>
        <v>0</v>
      </c>
      <c r="F60" s="24"/>
      <c r="G60" s="24"/>
      <c r="H60" s="17">
        <f t="shared" si="9"/>
        <v>0</v>
      </c>
      <c r="I60" s="24"/>
      <c r="J60" s="24"/>
      <c r="K60" s="20"/>
      <c r="L60" s="20"/>
      <c r="M60" s="20"/>
    </row>
    <row r="61" spans="1:13" s="29" customFormat="1" ht="15" hidden="1" x14ac:dyDescent="0.25">
      <c r="A61" s="23" t="s">
        <v>55</v>
      </c>
      <c r="B61" s="25">
        <v>0</v>
      </c>
      <c r="C61" s="24">
        <v>0</v>
      </c>
      <c r="D61" s="24">
        <v>0</v>
      </c>
      <c r="E61" s="17">
        <f t="shared" si="0"/>
        <v>0</v>
      </c>
      <c r="F61" s="24"/>
      <c r="G61" s="24"/>
      <c r="H61" s="17">
        <f t="shared" si="9"/>
        <v>0</v>
      </c>
      <c r="I61" s="24"/>
      <c r="J61" s="24"/>
      <c r="K61" s="20"/>
      <c r="L61" s="20"/>
      <c r="M61" s="20"/>
    </row>
    <row r="62" spans="1:13" s="29" customFormat="1" ht="15" hidden="1" x14ac:dyDescent="0.25">
      <c r="A62" s="23" t="s">
        <v>56</v>
      </c>
      <c r="B62" s="25">
        <v>0</v>
      </c>
      <c r="C62" s="24">
        <v>0</v>
      </c>
      <c r="D62" s="24">
        <v>0</v>
      </c>
      <c r="E62" s="17">
        <f t="shared" si="0"/>
        <v>0</v>
      </c>
      <c r="F62" s="24"/>
      <c r="G62" s="24"/>
      <c r="H62" s="17">
        <f t="shared" si="9"/>
        <v>0</v>
      </c>
      <c r="I62" s="24"/>
      <c r="J62" s="24"/>
      <c r="K62" s="20"/>
      <c r="L62" s="20"/>
      <c r="M62" s="20"/>
    </row>
    <row r="63" spans="1:13" s="29" customFormat="1" ht="15" hidden="1" x14ac:dyDescent="0.25">
      <c r="A63" s="23" t="s">
        <v>57</v>
      </c>
      <c r="B63" s="25">
        <v>0</v>
      </c>
      <c r="C63" s="24">
        <v>0</v>
      </c>
      <c r="D63" s="24">
        <v>0</v>
      </c>
      <c r="E63" s="17">
        <f t="shared" si="0"/>
        <v>0</v>
      </c>
      <c r="F63" s="24"/>
      <c r="G63" s="24"/>
      <c r="H63" s="17">
        <f t="shared" si="9"/>
        <v>0</v>
      </c>
      <c r="I63" s="24"/>
      <c r="J63" s="24"/>
      <c r="K63" s="20"/>
      <c r="L63" s="20"/>
      <c r="M63" s="20"/>
    </row>
    <row r="64" spans="1:13" s="29" customFormat="1" ht="15" hidden="1" x14ac:dyDescent="0.25">
      <c r="A64" s="23" t="s">
        <v>58</v>
      </c>
      <c r="B64" s="25">
        <v>0</v>
      </c>
      <c r="C64" s="24">
        <v>0</v>
      </c>
      <c r="D64" s="24">
        <v>0</v>
      </c>
      <c r="E64" s="17">
        <f t="shared" si="0"/>
        <v>0</v>
      </c>
      <c r="F64" s="24"/>
      <c r="G64" s="24"/>
      <c r="H64" s="17">
        <f t="shared" si="9"/>
        <v>0</v>
      </c>
      <c r="I64" s="24"/>
      <c r="J64" s="24"/>
      <c r="K64" s="28"/>
      <c r="L64" s="28"/>
      <c r="M64" s="28"/>
    </row>
    <row r="65" spans="1:13" s="29" customFormat="1" ht="15" hidden="1" x14ac:dyDescent="0.25">
      <c r="A65" s="23" t="s">
        <v>59</v>
      </c>
      <c r="B65" s="25">
        <v>0</v>
      </c>
      <c r="C65" s="24">
        <v>0</v>
      </c>
      <c r="D65" s="24">
        <v>0</v>
      </c>
      <c r="E65" s="17">
        <f t="shared" si="0"/>
        <v>0</v>
      </c>
      <c r="F65" s="24"/>
      <c r="G65" s="24"/>
      <c r="H65" s="17">
        <f t="shared" si="9"/>
        <v>0</v>
      </c>
      <c r="I65" s="24"/>
      <c r="J65" s="24"/>
      <c r="K65" s="7"/>
      <c r="L65" s="7"/>
      <c r="M65" s="7"/>
    </row>
    <row r="66" spans="1:13" s="29" customFormat="1" ht="15" hidden="1" x14ac:dyDescent="0.25">
      <c r="A66" s="23" t="s">
        <v>60</v>
      </c>
      <c r="B66" s="25">
        <v>0</v>
      </c>
      <c r="C66" s="24">
        <v>0</v>
      </c>
      <c r="D66" s="24">
        <v>0</v>
      </c>
      <c r="E66" s="17">
        <f t="shared" si="0"/>
        <v>0</v>
      </c>
      <c r="F66" s="24"/>
      <c r="G66" s="24"/>
      <c r="H66" s="17">
        <f t="shared" si="9"/>
        <v>0</v>
      </c>
      <c r="I66" s="24"/>
      <c r="J66" s="24"/>
      <c r="K66" s="7"/>
      <c r="L66" s="7"/>
      <c r="M66" s="7"/>
    </row>
    <row r="67" spans="1:13" s="29" customFormat="1" ht="15" hidden="1" x14ac:dyDescent="0.25">
      <c r="A67" s="23" t="s">
        <v>61</v>
      </c>
      <c r="B67" s="25">
        <v>0</v>
      </c>
      <c r="C67" s="24">
        <v>0</v>
      </c>
      <c r="D67" s="24">
        <v>0</v>
      </c>
      <c r="E67" s="17">
        <f t="shared" si="0"/>
        <v>0</v>
      </c>
      <c r="F67" s="24"/>
      <c r="G67" s="24"/>
      <c r="H67" s="17">
        <f t="shared" si="9"/>
        <v>0</v>
      </c>
      <c r="I67" s="24"/>
      <c r="J67" s="24"/>
      <c r="K67" s="7"/>
      <c r="L67" s="7"/>
      <c r="M67" s="7"/>
    </row>
    <row r="68" spans="1:13" s="29" customFormat="1" ht="15" hidden="1" x14ac:dyDescent="0.25">
      <c r="A68" s="23" t="s">
        <v>62</v>
      </c>
      <c r="B68" s="25">
        <v>0</v>
      </c>
      <c r="C68" s="24">
        <v>0</v>
      </c>
      <c r="D68" s="24">
        <v>0</v>
      </c>
      <c r="E68" s="17">
        <f t="shared" si="0"/>
        <v>0</v>
      </c>
      <c r="F68" s="24"/>
      <c r="G68" s="24"/>
      <c r="H68" s="17">
        <f t="shared" si="9"/>
        <v>0</v>
      </c>
      <c r="I68" s="24"/>
      <c r="J68" s="24"/>
      <c r="K68" s="20"/>
      <c r="L68" s="20"/>
      <c r="M68" s="20"/>
    </row>
    <row r="69" spans="1:13" s="29" customFormat="1" ht="15" hidden="1" x14ac:dyDescent="0.25">
      <c r="A69" s="23" t="s">
        <v>63</v>
      </c>
      <c r="B69" s="25">
        <v>0</v>
      </c>
      <c r="C69" s="24">
        <v>0</v>
      </c>
      <c r="D69" s="24">
        <v>0</v>
      </c>
      <c r="E69" s="17">
        <f t="shared" si="0"/>
        <v>0</v>
      </c>
      <c r="F69" s="24"/>
      <c r="G69" s="24"/>
      <c r="H69" s="17">
        <f t="shared" si="9"/>
        <v>0</v>
      </c>
      <c r="I69" s="24"/>
      <c r="J69" s="24"/>
      <c r="K69" s="20"/>
      <c r="L69" s="20"/>
      <c r="M69" s="20"/>
    </row>
    <row r="70" spans="1:13" s="29" customFormat="1" ht="15" hidden="1" x14ac:dyDescent="0.25">
      <c r="A70" s="23" t="s">
        <v>64</v>
      </c>
      <c r="B70" s="25">
        <v>0</v>
      </c>
      <c r="C70" s="24">
        <v>0</v>
      </c>
      <c r="D70" s="24">
        <v>0</v>
      </c>
      <c r="E70" s="17">
        <f t="shared" si="0"/>
        <v>0</v>
      </c>
      <c r="F70" s="24"/>
      <c r="G70" s="24"/>
      <c r="H70" s="17">
        <f t="shared" si="9"/>
        <v>0</v>
      </c>
      <c r="I70" s="24"/>
      <c r="J70" s="24"/>
      <c r="K70" s="20"/>
      <c r="L70" s="20"/>
      <c r="M70" s="20"/>
    </row>
    <row r="71" spans="1:13" s="37" customFormat="1" ht="15" hidden="1" x14ac:dyDescent="0.15">
      <c r="A71" s="23" t="s">
        <v>65</v>
      </c>
      <c r="B71" s="25">
        <v>0</v>
      </c>
      <c r="C71" s="24">
        <v>0</v>
      </c>
      <c r="D71" s="24">
        <v>0</v>
      </c>
      <c r="E71" s="17">
        <f t="shared" si="0"/>
        <v>0</v>
      </c>
      <c r="F71" s="24"/>
      <c r="G71" s="24"/>
      <c r="H71" s="17">
        <f t="shared" si="9"/>
        <v>0</v>
      </c>
      <c r="I71" s="24"/>
      <c r="J71" s="24"/>
      <c r="K71" s="20"/>
      <c r="L71" s="20"/>
      <c r="M71" s="20"/>
    </row>
    <row r="72" spans="1:13" s="37" customFormat="1" ht="15" hidden="1" x14ac:dyDescent="0.15">
      <c r="A72" s="23" t="s">
        <v>66</v>
      </c>
      <c r="B72" s="25">
        <v>0</v>
      </c>
      <c r="C72" s="24">
        <v>0</v>
      </c>
      <c r="D72" s="24">
        <v>0</v>
      </c>
      <c r="E72" s="17">
        <f t="shared" si="0"/>
        <v>0</v>
      </c>
      <c r="F72" s="24"/>
      <c r="G72" s="24"/>
      <c r="H72" s="17">
        <f t="shared" si="9"/>
        <v>0</v>
      </c>
      <c r="I72" s="24"/>
      <c r="J72" s="24"/>
      <c r="K72" s="30"/>
      <c r="L72" s="20"/>
      <c r="M72" s="20"/>
    </row>
    <row r="73" spans="1:13" s="37" customFormat="1" ht="15" x14ac:dyDescent="0.15">
      <c r="A73" s="18" t="s">
        <v>7</v>
      </c>
      <c r="B73" s="17">
        <f>C73</f>
        <v>23</v>
      </c>
      <c r="C73" s="19">
        <f>C74</f>
        <v>23</v>
      </c>
      <c r="D73" s="19">
        <v>0</v>
      </c>
      <c r="E73" s="17">
        <f>F73</f>
        <v>40</v>
      </c>
      <c r="F73" s="19">
        <f>F74</f>
        <v>40</v>
      </c>
      <c r="G73" s="19">
        <v>0</v>
      </c>
      <c r="H73" s="17">
        <f>I73</f>
        <v>0</v>
      </c>
      <c r="I73" s="19">
        <f>I74</f>
        <v>0</v>
      </c>
      <c r="J73" s="19">
        <v>0</v>
      </c>
      <c r="K73" s="28"/>
      <c r="L73" s="7"/>
      <c r="M73" s="7"/>
    </row>
    <row r="74" spans="1:13" s="37" customFormat="1" ht="15" x14ac:dyDescent="0.15">
      <c r="A74" s="23" t="s">
        <v>67</v>
      </c>
      <c r="B74" s="25">
        <f>C74</f>
        <v>23</v>
      </c>
      <c r="C74" s="24">
        <v>23</v>
      </c>
      <c r="D74" s="24">
        <v>0</v>
      </c>
      <c r="E74" s="25">
        <f t="shared" si="0"/>
        <v>40</v>
      </c>
      <c r="F74" s="24">
        <v>40</v>
      </c>
      <c r="G74" s="24">
        <v>0</v>
      </c>
      <c r="H74" s="25">
        <f t="shared" ref="H74:H87" si="11">I74+J74</f>
        <v>0</v>
      </c>
      <c r="I74" s="24">
        <v>0</v>
      </c>
      <c r="J74" s="24">
        <v>0</v>
      </c>
      <c r="K74" s="7"/>
      <c r="L74" s="7"/>
      <c r="M74" s="7"/>
    </row>
    <row r="75" spans="1:13" s="37" customFormat="1" ht="15" hidden="1" x14ac:dyDescent="0.15">
      <c r="A75" s="23" t="s">
        <v>60</v>
      </c>
      <c r="B75" s="25">
        <v>0</v>
      </c>
      <c r="C75" s="24">
        <v>0</v>
      </c>
      <c r="D75" s="24">
        <v>0</v>
      </c>
      <c r="E75" s="17">
        <f t="shared" si="0"/>
        <v>0</v>
      </c>
      <c r="F75" s="24"/>
      <c r="G75" s="24"/>
      <c r="H75" s="17">
        <f t="shared" si="11"/>
        <v>0</v>
      </c>
      <c r="I75" s="24"/>
      <c r="J75" s="24"/>
      <c r="K75" s="7"/>
      <c r="L75" s="7"/>
      <c r="M75" s="7"/>
    </row>
    <row r="76" spans="1:13" s="37" customFormat="1" ht="15" hidden="1" x14ac:dyDescent="0.15">
      <c r="A76" s="23" t="s">
        <v>68</v>
      </c>
      <c r="B76" s="25">
        <v>0</v>
      </c>
      <c r="C76" s="24">
        <v>0</v>
      </c>
      <c r="D76" s="24">
        <v>0</v>
      </c>
      <c r="E76" s="17">
        <f t="shared" si="0"/>
        <v>0</v>
      </c>
      <c r="F76" s="24"/>
      <c r="G76" s="24"/>
      <c r="H76" s="17">
        <f t="shared" si="11"/>
        <v>0</v>
      </c>
      <c r="I76" s="24"/>
      <c r="J76" s="24"/>
      <c r="K76" s="7"/>
      <c r="L76" s="7"/>
      <c r="M76" s="7"/>
    </row>
    <row r="77" spans="1:13" s="37" customFormat="1" ht="15" hidden="1" x14ac:dyDescent="0.15">
      <c r="A77" s="23" t="s">
        <v>69</v>
      </c>
      <c r="B77" s="25">
        <v>0</v>
      </c>
      <c r="C77" s="24">
        <v>0</v>
      </c>
      <c r="D77" s="24">
        <v>0</v>
      </c>
      <c r="E77" s="17">
        <f t="shared" si="0"/>
        <v>0</v>
      </c>
      <c r="F77" s="24"/>
      <c r="G77" s="24"/>
      <c r="H77" s="17">
        <f t="shared" si="11"/>
        <v>0</v>
      </c>
      <c r="I77" s="24"/>
      <c r="J77" s="24"/>
      <c r="K77" s="20"/>
      <c r="L77" s="20"/>
      <c r="M77" s="20"/>
    </row>
    <row r="78" spans="1:13" s="37" customFormat="1" ht="15" hidden="1" x14ac:dyDescent="0.15">
      <c r="A78" s="23" t="s">
        <v>70</v>
      </c>
      <c r="B78" s="25">
        <v>0</v>
      </c>
      <c r="C78" s="24">
        <v>0</v>
      </c>
      <c r="D78" s="24">
        <v>0</v>
      </c>
      <c r="E78" s="17">
        <f t="shared" si="0"/>
        <v>0</v>
      </c>
      <c r="F78" s="24"/>
      <c r="G78" s="24"/>
      <c r="H78" s="17">
        <f t="shared" si="11"/>
        <v>0</v>
      </c>
      <c r="I78" s="24"/>
      <c r="J78" s="24"/>
      <c r="K78" s="20"/>
      <c r="L78" s="20"/>
      <c r="M78" s="20"/>
    </row>
    <row r="79" spans="1:13" s="37" customFormat="1" ht="15" hidden="1" x14ac:dyDescent="0.15">
      <c r="A79" s="23" t="s">
        <v>71</v>
      </c>
      <c r="B79" s="25">
        <v>0</v>
      </c>
      <c r="C79" s="24">
        <v>0</v>
      </c>
      <c r="D79" s="24">
        <v>0</v>
      </c>
      <c r="E79" s="17">
        <f t="shared" ref="E79:E105" si="12">F79+G79</f>
        <v>0</v>
      </c>
      <c r="F79" s="24"/>
      <c r="G79" s="24"/>
      <c r="H79" s="17">
        <f t="shared" si="11"/>
        <v>0</v>
      </c>
      <c r="I79" s="24"/>
      <c r="J79" s="24"/>
      <c r="K79" s="20"/>
      <c r="L79" s="20"/>
      <c r="M79" s="20"/>
    </row>
    <row r="80" spans="1:13" s="37" customFormat="1" ht="15" hidden="1" x14ac:dyDescent="0.15">
      <c r="A80" s="23" t="s">
        <v>72</v>
      </c>
      <c r="B80" s="25">
        <v>0</v>
      </c>
      <c r="C80" s="24">
        <v>0</v>
      </c>
      <c r="D80" s="24">
        <v>0</v>
      </c>
      <c r="E80" s="17">
        <f t="shared" si="12"/>
        <v>0</v>
      </c>
      <c r="F80" s="24"/>
      <c r="G80" s="24"/>
      <c r="H80" s="17">
        <f t="shared" si="11"/>
        <v>0</v>
      </c>
      <c r="I80" s="24"/>
      <c r="J80" s="24"/>
      <c r="K80" s="20"/>
      <c r="L80" s="20"/>
      <c r="M80" s="20"/>
    </row>
    <row r="81" spans="1:13" s="37" customFormat="1" ht="15" hidden="1" x14ac:dyDescent="0.15">
      <c r="A81" s="18" t="s">
        <v>8</v>
      </c>
      <c r="B81" s="17">
        <v>0</v>
      </c>
      <c r="C81" s="19">
        <v>0</v>
      </c>
      <c r="D81" s="19">
        <v>0</v>
      </c>
      <c r="E81" s="17">
        <f t="shared" si="12"/>
        <v>0</v>
      </c>
      <c r="F81" s="24"/>
      <c r="G81" s="24"/>
      <c r="H81" s="17">
        <f t="shared" si="11"/>
        <v>0</v>
      </c>
      <c r="I81" s="24"/>
      <c r="J81" s="24"/>
      <c r="K81" s="20"/>
      <c r="L81" s="20"/>
      <c r="M81" s="20"/>
    </row>
    <row r="82" spans="1:13" s="37" customFormat="1" ht="15" hidden="1" x14ac:dyDescent="0.15">
      <c r="A82" s="23" t="s">
        <v>73</v>
      </c>
      <c r="B82" s="25">
        <v>0</v>
      </c>
      <c r="C82" s="24">
        <v>0</v>
      </c>
      <c r="D82" s="24">
        <v>0</v>
      </c>
      <c r="E82" s="17">
        <f t="shared" si="12"/>
        <v>0</v>
      </c>
      <c r="F82" s="24"/>
      <c r="G82" s="24"/>
      <c r="H82" s="17">
        <f t="shared" si="11"/>
        <v>0</v>
      </c>
      <c r="I82" s="24"/>
      <c r="J82" s="24"/>
      <c r="K82" s="20"/>
      <c r="L82" s="20"/>
      <c r="M82" s="20"/>
    </row>
    <row r="83" spans="1:13" s="37" customFormat="1" ht="15" hidden="1" x14ac:dyDescent="0.15">
      <c r="A83" s="23" t="s">
        <v>59</v>
      </c>
      <c r="B83" s="25">
        <v>0</v>
      </c>
      <c r="C83" s="24">
        <v>0</v>
      </c>
      <c r="D83" s="24">
        <v>0</v>
      </c>
      <c r="E83" s="17">
        <f t="shared" si="12"/>
        <v>0</v>
      </c>
      <c r="F83" s="24"/>
      <c r="G83" s="24"/>
      <c r="H83" s="17">
        <f t="shared" si="11"/>
        <v>0</v>
      </c>
      <c r="I83" s="24"/>
      <c r="J83" s="24"/>
      <c r="K83" s="20"/>
      <c r="L83" s="20"/>
      <c r="M83" s="20"/>
    </row>
    <row r="84" spans="1:13" s="37" customFormat="1" ht="15" hidden="1" x14ac:dyDescent="0.15">
      <c r="A84" s="18" t="s">
        <v>10</v>
      </c>
      <c r="B84" s="17">
        <v>0</v>
      </c>
      <c r="C84" s="19">
        <v>0</v>
      </c>
      <c r="D84" s="19">
        <v>0</v>
      </c>
      <c r="E84" s="17">
        <f t="shared" si="12"/>
        <v>0</v>
      </c>
      <c r="F84" s="24"/>
      <c r="G84" s="24"/>
      <c r="H84" s="17">
        <f t="shared" si="11"/>
        <v>0</v>
      </c>
      <c r="I84" s="24"/>
      <c r="J84" s="24"/>
      <c r="K84" s="20"/>
      <c r="L84" s="20"/>
      <c r="M84" s="20"/>
    </row>
    <row r="85" spans="1:13" s="38" customFormat="1" ht="15" hidden="1" x14ac:dyDescent="0.15">
      <c r="A85" s="23" t="s">
        <v>67</v>
      </c>
      <c r="B85" s="25">
        <v>0</v>
      </c>
      <c r="C85" s="24">
        <v>0</v>
      </c>
      <c r="D85" s="24">
        <v>0</v>
      </c>
      <c r="E85" s="17">
        <f t="shared" si="12"/>
        <v>0</v>
      </c>
      <c r="F85" s="24"/>
      <c r="G85" s="24"/>
      <c r="H85" s="17">
        <f t="shared" si="11"/>
        <v>0</v>
      </c>
      <c r="I85" s="24"/>
      <c r="J85" s="24"/>
      <c r="K85" s="20"/>
      <c r="L85" s="20"/>
      <c r="M85" s="20"/>
    </row>
    <row r="86" spans="1:13" s="38" customFormat="1" ht="15" hidden="1" x14ac:dyDescent="0.15">
      <c r="A86" s="23" t="s">
        <v>74</v>
      </c>
      <c r="B86" s="25">
        <v>0</v>
      </c>
      <c r="C86" s="24">
        <v>0</v>
      </c>
      <c r="D86" s="24">
        <v>0</v>
      </c>
      <c r="E86" s="17">
        <f t="shared" si="12"/>
        <v>0</v>
      </c>
      <c r="F86" s="24"/>
      <c r="G86" s="24"/>
      <c r="H86" s="17">
        <f t="shared" si="11"/>
        <v>0</v>
      </c>
      <c r="I86" s="24"/>
      <c r="J86" s="24"/>
      <c r="K86" s="20"/>
      <c r="L86" s="20"/>
      <c r="M86" s="20"/>
    </row>
    <row r="87" spans="1:13" s="38" customFormat="1" ht="15" hidden="1" x14ac:dyDescent="0.15">
      <c r="A87" s="23" t="s">
        <v>73</v>
      </c>
      <c r="B87" s="25">
        <v>0</v>
      </c>
      <c r="C87" s="24">
        <v>0</v>
      </c>
      <c r="D87" s="24">
        <v>0</v>
      </c>
      <c r="E87" s="17">
        <f t="shared" si="12"/>
        <v>0</v>
      </c>
      <c r="F87" s="24"/>
      <c r="G87" s="24"/>
      <c r="H87" s="17">
        <f t="shared" si="11"/>
        <v>0</v>
      </c>
      <c r="I87" s="24"/>
      <c r="J87" s="24"/>
      <c r="K87" s="20"/>
      <c r="L87" s="20"/>
      <c r="M87" s="20"/>
    </row>
    <row r="88" spans="1:13" s="38" customFormat="1" ht="15" x14ac:dyDescent="0.15">
      <c r="A88" s="18" t="s">
        <v>11</v>
      </c>
      <c r="B88" s="17">
        <f t="shared" ref="B88:D88" si="13">B89+B90+B91+B92+B93+B94</f>
        <v>107</v>
      </c>
      <c r="C88" s="19">
        <f t="shared" si="13"/>
        <v>107</v>
      </c>
      <c r="D88" s="19">
        <f t="shared" si="13"/>
        <v>0</v>
      </c>
      <c r="E88" s="17">
        <f t="shared" ref="E88:J88" si="14">E89+E90+E91+E92+E93+E94+E95</f>
        <v>46</v>
      </c>
      <c r="F88" s="19">
        <f t="shared" si="14"/>
        <v>34</v>
      </c>
      <c r="G88" s="19">
        <f t="shared" si="14"/>
        <v>12</v>
      </c>
      <c r="H88" s="17">
        <f t="shared" si="14"/>
        <v>0</v>
      </c>
      <c r="I88" s="19">
        <f t="shared" si="14"/>
        <v>0</v>
      </c>
      <c r="J88" s="19">
        <f t="shared" si="14"/>
        <v>0</v>
      </c>
      <c r="K88" s="20"/>
      <c r="L88" s="20"/>
      <c r="M88" s="20"/>
    </row>
    <row r="89" spans="1:13" s="38" customFormat="1" ht="15" x14ac:dyDescent="0.15">
      <c r="A89" s="23" t="s">
        <v>75</v>
      </c>
      <c r="B89" s="25">
        <f>C89</f>
        <v>20</v>
      </c>
      <c r="C89" s="24">
        <v>20</v>
      </c>
      <c r="D89" s="24">
        <v>0</v>
      </c>
      <c r="E89" s="25">
        <f t="shared" si="12"/>
        <v>18</v>
      </c>
      <c r="F89" s="24">
        <f>9+9</f>
        <v>18</v>
      </c>
      <c r="G89" s="24">
        <v>0</v>
      </c>
      <c r="H89" s="25">
        <f t="shared" ref="H89:H95" si="15">I89+J89</f>
        <v>0</v>
      </c>
      <c r="I89" s="24">
        <v>0</v>
      </c>
      <c r="J89" s="24">
        <v>0</v>
      </c>
      <c r="K89" s="20"/>
      <c r="L89" s="20"/>
      <c r="M89" s="20"/>
    </row>
    <row r="90" spans="1:13" s="38" customFormat="1" ht="15" x14ac:dyDescent="0.15">
      <c r="A90" s="23" t="s">
        <v>76</v>
      </c>
      <c r="B90" s="25">
        <f>C90</f>
        <v>0</v>
      </c>
      <c r="C90" s="24">
        <v>0</v>
      </c>
      <c r="D90" s="24">
        <v>0</v>
      </c>
      <c r="E90" s="25">
        <f t="shared" si="12"/>
        <v>0</v>
      </c>
      <c r="F90" s="24">
        <v>0</v>
      </c>
      <c r="G90" s="24">
        <v>0</v>
      </c>
      <c r="H90" s="25">
        <f t="shared" si="15"/>
        <v>0</v>
      </c>
      <c r="I90" s="24">
        <v>0</v>
      </c>
      <c r="J90" s="24">
        <v>0</v>
      </c>
      <c r="K90" s="20"/>
      <c r="L90" s="20"/>
      <c r="M90" s="20"/>
    </row>
    <row r="91" spans="1:13" s="38" customFormat="1" ht="15" x14ac:dyDescent="0.15">
      <c r="A91" s="23" t="s">
        <v>77</v>
      </c>
      <c r="B91" s="25">
        <f>C91</f>
        <v>25</v>
      </c>
      <c r="C91" s="24">
        <f>18+7</f>
        <v>25</v>
      </c>
      <c r="D91" s="24">
        <v>0</v>
      </c>
      <c r="E91" s="25">
        <f t="shared" si="12"/>
        <v>0</v>
      </c>
      <c r="F91" s="24">
        <v>0</v>
      </c>
      <c r="G91" s="24">
        <v>0</v>
      </c>
      <c r="H91" s="25">
        <f t="shared" si="15"/>
        <v>0</v>
      </c>
      <c r="I91" s="24">
        <v>0</v>
      </c>
      <c r="J91" s="24">
        <v>0</v>
      </c>
      <c r="K91" s="20"/>
      <c r="L91" s="20"/>
      <c r="M91" s="20"/>
    </row>
    <row r="92" spans="1:13" s="38" customFormat="1" ht="15" x14ac:dyDescent="0.15">
      <c r="A92" s="23" t="s">
        <v>78</v>
      </c>
      <c r="B92" s="25">
        <f>C92+D92</f>
        <v>44</v>
      </c>
      <c r="C92" s="24">
        <f>43+1</f>
        <v>44</v>
      </c>
      <c r="D92" s="24">
        <v>0</v>
      </c>
      <c r="E92" s="25">
        <f t="shared" si="12"/>
        <v>0</v>
      </c>
      <c r="F92" s="24">
        <v>0</v>
      </c>
      <c r="G92" s="24">
        <v>0</v>
      </c>
      <c r="H92" s="25">
        <f t="shared" si="15"/>
        <v>0</v>
      </c>
      <c r="I92" s="24">
        <v>0</v>
      </c>
      <c r="J92" s="24">
        <v>0</v>
      </c>
      <c r="K92" s="20"/>
      <c r="L92" s="20"/>
      <c r="M92" s="20"/>
    </row>
    <row r="93" spans="1:13" s="38" customFormat="1" ht="15" x14ac:dyDescent="0.15">
      <c r="A93" s="23" t="s">
        <v>59</v>
      </c>
      <c r="B93" s="25">
        <f>C93+D93</f>
        <v>18</v>
      </c>
      <c r="C93" s="24">
        <f>13+5</f>
        <v>18</v>
      </c>
      <c r="D93" s="24">
        <v>0</v>
      </c>
      <c r="E93" s="25">
        <f t="shared" si="12"/>
        <v>16</v>
      </c>
      <c r="F93" s="24">
        <v>16</v>
      </c>
      <c r="G93" s="24">
        <v>0</v>
      </c>
      <c r="H93" s="25">
        <f t="shared" si="15"/>
        <v>0</v>
      </c>
      <c r="I93" s="24">
        <v>0</v>
      </c>
      <c r="J93" s="24">
        <v>0</v>
      </c>
      <c r="K93" s="20"/>
      <c r="L93" s="20"/>
      <c r="M93" s="20"/>
    </row>
    <row r="94" spans="1:13" s="38" customFormat="1" ht="15" x14ac:dyDescent="0.15">
      <c r="A94" s="23" t="s">
        <v>79</v>
      </c>
      <c r="B94" s="25">
        <f>C94</f>
        <v>0</v>
      </c>
      <c r="C94" s="24">
        <v>0</v>
      </c>
      <c r="D94" s="24">
        <v>0</v>
      </c>
      <c r="E94" s="25">
        <f t="shared" si="12"/>
        <v>0</v>
      </c>
      <c r="F94" s="24">
        <v>0</v>
      </c>
      <c r="G94" s="24">
        <v>0</v>
      </c>
      <c r="H94" s="25">
        <f t="shared" si="15"/>
        <v>0</v>
      </c>
      <c r="I94" s="24">
        <v>0</v>
      </c>
      <c r="J94" s="24">
        <v>0</v>
      </c>
      <c r="K94" s="20"/>
      <c r="L94" s="20"/>
      <c r="M94" s="20"/>
    </row>
    <row r="95" spans="1:13" s="38" customFormat="1" ht="15" x14ac:dyDescent="0.15">
      <c r="A95" s="23" t="s">
        <v>80</v>
      </c>
      <c r="B95" s="25">
        <v>0</v>
      </c>
      <c r="C95" s="24">
        <v>0</v>
      </c>
      <c r="D95" s="24">
        <v>0</v>
      </c>
      <c r="E95" s="25">
        <f t="shared" si="12"/>
        <v>12</v>
      </c>
      <c r="F95" s="24">
        <v>0</v>
      </c>
      <c r="G95" s="24">
        <v>12</v>
      </c>
      <c r="H95" s="25">
        <f t="shared" si="15"/>
        <v>0</v>
      </c>
      <c r="I95" s="24">
        <v>0</v>
      </c>
      <c r="J95" s="24">
        <v>0</v>
      </c>
      <c r="K95" s="20"/>
      <c r="L95" s="20"/>
      <c r="M95" s="20"/>
    </row>
    <row r="96" spans="1:13" s="38" customFormat="1" ht="15" x14ac:dyDescent="0.15">
      <c r="A96" s="18" t="s">
        <v>9</v>
      </c>
      <c r="B96" s="17">
        <v>0</v>
      </c>
      <c r="C96" s="19">
        <v>0</v>
      </c>
      <c r="D96" s="19">
        <v>0</v>
      </c>
      <c r="E96" s="17">
        <f>E97</f>
        <v>255</v>
      </c>
      <c r="F96" s="19">
        <f>F97</f>
        <v>255</v>
      </c>
      <c r="G96" s="19">
        <v>0</v>
      </c>
      <c r="H96" s="17">
        <f>H97</f>
        <v>33</v>
      </c>
      <c r="I96" s="19">
        <f>I97+I98+I99+I100+I101+I102+I103</f>
        <v>88</v>
      </c>
      <c r="J96" s="19">
        <f>J97+J98+J99+J100+J101+J102+J103</f>
        <v>48</v>
      </c>
      <c r="K96" s="20"/>
      <c r="L96" s="20"/>
      <c r="M96" s="20"/>
    </row>
    <row r="97" spans="1:13" s="38" customFormat="1" ht="15" x14ac:dyDescent="0.15">
      <c r="A97" s="23" t="s">
        <v>59</v>
      </c>
      <c r="B97" s="25">
        <v>0</v>
      </c>
      <c r="C97" s="24">
        <v>0</v>
      </c>
      <c r="D97" s="24">
        <v>0</v>
      </c>
      <c r="E97" s="25">
        <f>F97</f>
        <v>255</v>
      </c>
      <c r="F97" s="24">
        <v>255</v>
      </c>
      <c r="G97" s="24">
        <v>0</v>
      </c>
      <c r="H97" s="25">
        <f>I97</f>
        <v>33</v>
      </c>
      <c r="I97" s="24">
        <v>33</v>
      </c>
      <c r="J97" s="24">
        <v>0</v>
      </c>
      <c r="K97" s="20"/>
      <c r="L97" s="20"/>
      <c r="M97" s="20"/>
    </row>
    <row r="98" spans="1:13" s="38" customFormat="1" ht="15" x14ac:dyDescent="0.15">
      <c r="A98" s="23" t="s">
        <v>81</v>
      </c>
      <c r="B98" s="25">
        <v>0</v>
      </c>
      <c r="C98" s="24">
        <v>0</v>
      </c>
      <c r="D98" s="24">
        <v>0</v>
      </c>
      <c r="E98" s="25">
        <v>0</v>
      </c>
      <c r="F98" s="24">
        <v>0</v>
      </c>
      <c r="G98" s="24">
        <v>0</v>
      </c>
      <c r="H98" s="25">
        <f t="shared" ref="H98:H105" si="16">I98+J98</f>
        <v>4</v>
      </c>
      <c r="I98" s="24">
        <v>3</v>
      </c>
      <c r="J98" s="24">
        <v>1</v>
      </c>
      <c r="K98" s="20"/>
      <c r="L98" s="20"/>
      <c r="M98" s="20"/>
    </row>
    <row r="99" spans="1:13" s="38" customFormat="1" ht="15" x14ac:dyDescent="0.15">
      <c r="A99" s="23" t="s">
        <v>82</v>
      </c>
      <c r="B99" s="25">
        <v>0</v>
      </c>
      <c r="C99" s="24">
        <v>0</v>
      </c>
      <c r="D99" s="24">
        <v>0</v>
      </c>
      <c r="E99" s="25">
        <v>0</v>
      </c>
      <c r="F99" s="24">
        <v>0</v>
      </c>
      <c r="G99" s="24">
        <v>0</v>
      </c>
      <c r="H99" s="25">
        <f t="shared" si="16"/>
        <v>11</v>
      </c>
      <c r="I99" s="24">
        <v>5</v>
      </c>
      <c r="J99" s="24">
        <v>6</v>
      </c>
      <c r="K99" s="20"/>
      <c r="L99" s="20"/>
      <c r="M99" s="20"/>
    </row>
    <row r="100" spans="1:13" s="38" customFormat="1" ht="15" x14ac:dyDescent="0.15">
      <c r="A100" s="23" t="s">
        <v>83</v>
      </c>
      <c r="B100" s="25">
        <v>0</v>
      </c>
      <c r="C100" s="24">
        <v>0</v>
      </c>
      <c r="D100" s="24">
        <v>0</v>
      </c>
      <c r="E100" s="25">
        <v>0</v>
      </c>
      <c r="F100" s="24">
        <v>0</v>
      </c>
      <c r="G100" s="24">
        <v>0</v>
      </c>
      <c r="H100" s="25">
        <f t="shared" si="16"/>
        <v>8</v>
      </c>
      <c r="I100" s="24">
        <v>5</v>
      </c>
      <c r="J100" s="24">
        <v>3</v>
      </c>
      <c r="K100" s="20"/>
      <c r="L100" s="20"/>
      <c r="M100" s="20"/>
    </row>
    <row r="101" spans="1:13" s="38" customFormat="1" ht="15" x14ac:dyDescent="0.15">
      <c r="A101" s="23" t="s">
        <v>84</v>
      </c>
      <c r="B101" s="25">
        <v>0</v>
      </c>
      <c r="C101" s="24">
        <v>0</v>
      </c>
      <c r="D101" s="24">
        <v>0</v>
      </c>
      <c r="E101" s="25">
        <v>0</v>
      </c>
      <c r="F101" s="24">
        <v>0</v>
      </c>
      <c r="G101" s="24">
        <v>0</v>
      </c>
      <c r="H101" s="25">
        <f t="shared" si="16"/>
        <v>48</v>
      </c>
      <c r="I101" s="24">
        <v>26</v>
      </c>
      <c r="J101" s="24">
        <v>22</v>
      </c>
      <c r="K101" s="20"/>
      <c r="L101" s="20"/>
      <c r="M101" s="20"/>
    </row>
    <row r="102" spans="1:13" s="38" customFormat="1" ht="15" x14ac:dyDescent="0.15">
      <c r="A102" s="23" t="s">
        <v>85</v>
      </c>
      <c r="B102" s="25">
        <v>0</v>
      </c>
      <c r="C102" s="24">
        <v>0</v>
      </c>
      <c r="D102" s="24">
        <v>0</v>
      </c>
      <c r="E102" s="25">
        <v>0</v>
      </c>
      <c r="F102" s="24">
        <v>0</v>
      </c>
      <c r="G102" s="24">
        <v>0</v>
      </c>
      <c r="H102" s="25">
        <f t="shared" si="16"/>
        <v>24</v>
      </c>
      <c r="I102" s="24">
        <v>10</v>
      </c>
      <c r="J102" s="24">
        <v>14</v>
      </c>
      <c r="K102" s="20"/>
      <c r="L102" s="20"/>
      <c r="M102" s="20"/>
    </row>
    <row r="103" spans="1:13" s="38" customFormat="1" ht="15" x14ac:dyDescent="0.15">
      <c r="A103" s="23" t="s">
        <v>86</v>
      </c>
      <c r="B103" s="25">
        <v>0</v>
      </c>
      <c r="C103" s="24">
        <v>0</v>
      </c>
      <c r="D103" s="24">
        <v>0</v>
      </c>
      <c r="E103" s="25">
        <v>0</v>
      </c>
      <c r="F103" s="24">
        <v>0</v>
      </c>
      <c r="G103" s="24">
        <v>0</v>
      </c>
      <c r="H103" s="25">
        <f t="shared" si="16"/>
        <v>8</v>
      </c>
      <c r="I103" s="24">
        <v>6</v>
      </c>
      <c r="J103" s="24">
        <v>2</v>
      </c>
      <c r="K103" s="20"/>
      <c r="L103" s="20"/>
      <c r="M103" s="20"/>
    </row>
    <row r="104" spans="1:13" s="41" customFormat="1" ht="15" x14ac:dyDescent="0.25">
      <c r="A104" s="18" t="s">
        <v>87</v>
      </c>
      <c r="B104" s="39">
        <f>C104</f>
        <v>23</v>
      </c>
      <c r="C104" s="19">
        <f>C105</f>
        <v>23</v>
      </c>
      <c r="D104" s="18">
        <v>0</v>
      </c>
      <c r="E104" s="17">
        <f t="shared" si="12"/>
        <v>0</v>
      </c>
      <c r="F104" s="19">
        <v>0</v>
      </c>
      <c r="G104" s="19">
        <v>0</v>
      </c>
      <c r="H104" s="17">
        <f t="shared" si="16"/>
        <v>0</v>
      </c>
      <c r="I104" s="19">
        <v>0</v>
      </c>
      <c r="J104" s="19">
        <v>0</v>
      </c>
      <c r="K104" s="40"/>
      <c r="L104" s="40"/>
      <c r="M104" s="40"/>
    </row>
    <row r="105" spans="1:13" s="38" customFormat="1" ht="15" x14ac:dyDescent="0.15">
      <c r="A105" s="42" t="s">
        <v>88</v>
      </c>
      <c r="B105" s="44">
        <v>23</v>
      </c>
      <c r="C105" s="43">
        <v>23</v>
      </c>
      <c r="D105" s="43">
        <v>0</v>
      </c>
      <c r="E105" s="44">
        <f t="shared" si="12"/>
        <v>0</v>
      </c>
      <c r="F105" s="43">
        <v>0</v>
      </c>
      <c r="G105" s="43">
        <v>0</v>
      </c>
      <c r="H105" s="44">
        <f t="shared" si="16"/>
        <v>0</v>
      </c>
      <c r="I105" s="43">
        <v>0</v>
      </c>
      <c r="J105" s="43">
        <v>0</v>
      </c>
      <c r="K105" s="20"/>
      <c r="L105" s="20"/>
      <c r="M105" s="20"/>
    </row>
    <row r="106" spans="1:13" s="46" customFormat="1" ht="15" x14ac:dyDescent="0.15">
      <c r="A106" s="2" t="s">
        <v>12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45"/>
      <c r="L106" s="45"/>
      <c r="M106" s="45"/>
    </row>
    <row r="107" spans="1:13" s="46" customFormat="1" ht="15" x14ac:dyDescent="0.2">
      <c r="A107" s="47" t="s">
        <v>89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48"/>
      <c r="L107" s="48"/>
      <c r="M107" s="48"/>
    </row>
    <row r="108" spans="1:13" s="46" customFormat="1" ht="12.75" x14ac:dyDescent="0.15">
      <c r="A108" s="49" t="s">
        <v>13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13" s="46" customFormat="1" x14ac:dyDescent="0.1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 spans="1:13" s="52" customFormat="1" ht="15" x14ac:dyDescent="0.15">
      <c r="A110" s="50"/>
      <c r="B110" s="50"/>
      <c r="C110" s="50"/>
      <c r="D110" s="51"/>
      <c r="E110" s="50"/>
      <c r="F110" s="50"/>
      <c r="G110" s="51"/>
      <c r="H110" s="50"/>
      <c r="I110" s="50"/>
      <c r="J110" s="51"/>
      <c r="K110" s="50"/>
      <c r="L110" s="50"/>
      <c r="M110" s="50"/>
    </row>
    <row r="111" spans="1:13" s="52" customFormat="1" x14ac:dyDescent="0.1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</row>
    <row r="112" spans="1:13" s="52" customFormat="1" x14ac:dyDescent="0.1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</row>
    <row r="113" spans="1:13" x14ac:dyDescent="0.1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spans="1:13" x14ac:dyDescent="0.1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spans="1:13" x14ac:dyDescent="0.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</row>
  </sheetData>
  <mergeCells count="7">
    <mergeCell ref="H5:J5"/>
    <mergeCell ref="M13:AE13"/>
    <mergeCell ref="A3:J3"/>
    <mergeCell ref="A2:J2"/>
    <mergeCell ref="A5:A6"/>
    <mergeCell ref="B5:D5"/>
    <mergeCell ref="E5:G5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2019-05-27T07:33:30Z</cp:lastPrinted>
  <dcterms:created xsi:type="dcterms:W3CDTF">2019-02-28T08:20:57Z</dcterms:created>
  <dcterms:modified xsi:type="dcterms:W3CDTF">2019-05-27T07:36:00Z</dcterms:modified>
</cp:coreProperties>
</file>