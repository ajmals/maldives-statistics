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7. EDUCATION\"/>
    </mc:Choice>
  </mc:AlternateContent>
  <bookViews>
    <workbookView xWindow="0" yWindow="0" windowWidth="28800" windowHeight="12330"/>
  </bookViews>
  <sheets>
    <sheet name="7.3" sheetId="3" r:id="rId1"/>
  </sheets>
  <definedNames>
    <definedName name="_xlnm.Print_Area" localSheetId="0">'7.3'!$A$1:$T$34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8" i="3" l="1"/>
  <c r="R30" i="3" l="1"/>
  <c r="N30" i="3"/>
  <c r="J30" i="3"/>
  <c r="F30" i="3"/>
  <c r="B30" i="3"/>
  <c r="R29" i="3"/>
  <c r="N29" i="3"/>
  <c r="J29" i="3"/>
  <c r="F29" i="3"/>
  <c r="B29" i="3"/>
  <c r="R28" i="3"/>
  <c r="N28" i="3"/>
  <c r="J28" i="3"/>
  <c r="F28" i="3"/>
  <c r="B28" i="3"/>
  <c r="R27" i="3"/>
  <c r="N27" i="3"/>
  <c r="J27" i="3"/>
  <c r="F27" i="3"/>
  <c r="B27" i="3"/>
  <c r="R26" i="3"/>
  <c r="N26" i="3"/>
  <c r="J26" i="3"/>
  <c r="F26" i="3"/>
  <c r="B26" i="3"/>
  <c r="R25" i="3"/>
  <c r="N25" i="3"/>
  <c r="J25" i="3"/>
  <c r="F25" i="3"/>
  <c r="B25" i="3"/>
  <c r="R24" i="3"/>
  <c r="N24" i="3"/>
  <c r="J24" i="3"/>
  <c r="F24" i="3"/>
  <c r="B24" i="3"/>
  <c r="R23" i="3"/>
  <c r="N23" i="3"/>
  <c r="J23" i="3"/>
  <c r="F23" i="3"/>
  <c r="B23" i="3"/>
  <c r="R22" i="3"/>
  <c r="N22" i="3"/>
  <c r="J22" i="3"/>
  <c r="F22" i="3"/>
  <c r="B22" i="3"/>
  <c r="N21" i="3"/>
  <c r="J21" i="3"/>
  <c r="F21" i="3"/>
  <c r="B21" i="3"/>
  <c r="R20" i="3"/>
  <c r="N20" i="3"/>
  <c r="J20" i="3"/>
  <c r="F20" i="3"/>
  <c r="B20" i="3"/>
  <c r="R19" i="3"/>
  <c r="N19" i="3"/>
  <c r="J19" i="3"/>
  <c r="F19" i="3"/>
  <c r="B19" i="3"/>
  <c r="R18" i="3"/>
  <c r="N18" i="3"/>
  <c r="J18" i="3"/>
  <c r="F18" i="3"/>
  <c r="B18" i="3"/>
  <c r="R17" i="3"/>
  <c r="N17" i="3"/>
  <c r="J17" i="3"/>
  <c r="F17" i="3"/>
  <c r="B17" i="3"/>
  <c r="R16" i="3"/>
  <c r="N16" i="3"/>
  <c r="J16" i="3"/>
  <c r="F16" i="3"/>
  <c r="B16" i="3"/>
  <c r="R15" i="3"/>
  <c r="N15" i="3"/>
  <c r="J15" i="3"/>
  <c r="F15" i="3"/>
  <c r="B15" i="3"/>
  <c r="R14" i="3"/>
  <c r="N14" i="3"/>
  <c r="J14" i="3"/>
  <c r="F14" i="3"/>
  <c r="B14" i="3"/>
  <c r="R13" i="3"/>
  <c r="N13" i="3"/>
  <c r="J13" i="3"/>
  <c r="F13" i="3"/>
  <c r="B13" i="3"/>
  <c r="R12" i="3"/>
  <c r="N12" i="3"/>
  <c r="J12" i="3"/>
  <c r="F12" i="3"/>
  <c r="B12" i="3"/>
  <c r="R11" i="3"/>
  <c r="N11" i="3"/>
  <c r="J11" i="3"/>
  <c r="F11" i="3"/>
  <c r="B11" i="3"/>
  <c r="R10" i="3"/>
  <c r="Q10" i="3"/>
  <c r="P10" i="3"/>
  <c r="O10" i="3"/>
  <c r="O8" i="3" s="1"/>
  <c r="M10" i="3"/>
  <c r="L10" i="3"/>
  <c r="N10" i="3" s="1"/>
  <c r="K10" i="3"/>
  <c r="J10" i="3"/>
  <c r="I10" i="3"/>
  <c r="H10" i="3"/>
  <c r="G10" i="3"/>
  <c r="E10" i="3"/>
  <c r="D10" i="3"/>
  <c r="B10" i="3" s="1"/>
  <c r="B8" i="3" s="1"/>
  <c r="R9" i="3"/>
  <c r="N9" i="3"/>
  <c r="J9" i="3"/>
  <c r="F9" i="3"/>
  <c r="B9" i="3"/>
  <c r="Q8" i="3"/>
  <c r="P8" i="3"/>
  <c r="M8" i="3"/>
  <c r="K8" i="3"/>
  <c r="J8" i="3"/>
  <c r="I8" i="3"/>
  <c r="H8" i="3"/>
  <c r="G8" i="3"/>
  <c r="E8" i="3"/>
  <c r="L8" i="3" l="1"/>
  <c r="N8" i="3" s="1"/>
  <c r="D8" i="3"/>
  <c r="F8" i="3" s="1"/>
  <c r="F10" i="3"/>
</calcChain>
</file>

<file path=xl/sharedStrings.xml><?xml version="1.0" encoding="utf-8"?>
<sst xmlns="http://schemas.openxmlformats.org/spreadsheetml/2006/main" count="97" uniqueCount="72">
  <si>
    <t>Republic</t>
  </si>
  <si>
    <t>ejcaWriLum</t>
  </si>
  <si>
    <t>Male'</t>
  </si>
  <si>
    <t>elWm</t>
  </si>
  <si>
    <t>Atolls</t>
  </si>
  <si>
    <t>cawtuLotwa</t>
  </si>
  <si>
    <t>HA</t>
  </si>
  <si>
    <t>ah</t>
  </si>
  <si>
    <t>HDh</t>
  </si>
  <si>
    <t>dh</t>
  </si>
  <si>
    <t>Sh</t>
  </si>
  <si>
    <t>S</t>
  </si>
  <si>
    <t>N</t>
  </si>
  <si>
    <t>n</t>
  </si>
  <si>
    <t>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</si>
  <si>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</si>
  <si>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</si>
  <si>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</si>
  <si>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</si>
  <si>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</si>
  <si>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</si>
  <si>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</si>
  <si>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</si>
  <si>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</si>
  <si>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</si>
  <si>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</si>
  <si>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</si>
  <si>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</si>
  <si>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</si>
  <si>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</si>
  <si>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</si>
  <si>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</si>
  <si>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</si>
  <si>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</si>
  <si>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</si>
  <si>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</si>
  <si>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</si>
  <si>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</si>
  <si>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</si>
  <si>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</si>
  <si>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</si>
  <si>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</si>
  <si>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s</t>
  </si>
  <si>
    <t>cnwxEkuaiDea cfoa IrcTcsinim :ctWrwf ivcaed utWmUluAwm</t>
  </si>
  <si>
    <t>Both Sexes</t>
  </si>
  <si>
    <t>Pre - Primary</t>
  </si>
  <si>
    <t>Locality</t>
  </si>
  <si>
    <t>clUkcsIrcp</t>
  </si>
  <si>
    <t>umIluAwtWSwf</t>
  </si>
  <si>
    <t>umIluAwtIvwnWX</t>
  </si>
  <si>
    <t>umIluAwtIvwnWXItwm</t>
  </si>
  <si>
    <t xml:space="preserve"> Primary Level </t>
  </si>
  <si>
    <t>Lower Secondary Level</t>
  </si>
  <si>
    <t>Higher Secondary Level</t>
  </si>
  <si>
    <t>egcnidukWvwyik udwdwA</t>
  </si>
  <si>
    <t>udwdwa egclUkcs</t>
  </si>
  <si>
    <t>cscnijed</t>
  </si>
  <si>
    <t>ccnehcnwa</t>
  </si>
  <si>
    <t xml:space="preserve">cnehcnwa cnia wtcawscnia  </t>
  </si>
  <si>
    <t xml:space="preserve">cnehcnwa cniawtcawscnia  </t>
  </si>
  <si>
    <t>cnwt</t>
  </si>
  <si>
    <r>
      <t>No. of Students</t>
    </r>
    <r>
      <rPr>
        <b/>
        <vertAlign val="superscript"/>
        <sz val="10"/>
        <color theme="1"/>
        <rFont val="Calibri"/>
        <family val="2"/>
        <scheme val="minor"/>
      </rPr>
      <t>1_/</t>
    </r>
  </si>
  <si>
    <t>No .of schools</t>
  </si>
  <si>
    <t>Females</t>
  </si>
  <si>
    <t>% of Females</t>
  </si>
  <si>
    <t xml:space="preserve">Both Sexes </t>
  </si>
  <si>
    <t>Note: Sum of schools in this table does not add up to total number of schools as schools overlap in levels</t>
  </si>
  <si>
    <r>
      <t xml:space="preserve">        </t>
    </r>
    <r>
      <rPr>
        <i/>
        <vertAlign val="superscript"/>
        <sz val="9"/>
        <color theme="1"/>
        <rFont val="Calibri"/>
        <family val="2"/>
        <scheme val="minor"/>
      </rPr>
      <t xml:space="preserve">  1_/</t>
    </r>
    <r>
      <rPr>
        <i/>
        <sz val="9"/>
        <color theme="1"/>
        <rFont val="Calibri"/>
        <family val="2"/>
        <scheme val="minor"/>
      </rPr>
      <t xml:space="preserve">  Excludes children with special needs.</t>
    </r>
  </si>
  <si>
    <t xml:space="preserve">ޚާއްސަ އެހީއަށް ބޭނުންވާ ކްލާސްތަކުގައި ކިޔަވާ ކުދިން ނުހިމެނޭނެއެވެ. </t>
  </si>
  <si>
    <t>Source : Ministry of Education</t>
  </si>
  <si>
    <t xml:space="preserve">2018 ,cnikwwv cscnij udwdwA egcnidukWvwyik iawgunwtcnwtea iaWnwtcnwtEdWvwyiik cSwkwtitcnwfikea iruh iawgukwtuLotwa iaWaelWm :7.3 clwvWt </t>
  </si>
  <si>
    <t>Table 7.3: STUDENT ENROLMENT IN MALE' AND ATOLLS BY TYPE OF  LEVEL AND INSTITUTION 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</si>
</sst>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General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A_Randhoo"/>
    </font>
    <font>
      <sz val="10"/>
      <name val="Arial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2"/>
      <color theme="1"/>
      <name val="A_Randhoo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A_Randhoo"/>
    </font>
    <font>
      <sz val="9"/>
      <color theme="1"/>
      <name val="Win Ahamedey PRB"/>
      <family val="2"/>
    </font>
    <font>
      <sz val="9"/>
      <color theme="1"/>
      <name val="Courier"/>
      <family val="3"/>
    </font>
    <font>
      <b/>
      <sz val="10"/>
      <color theme="1"/>
      <name val="A_Funa"/>
    </font>
    <font>
      <b/>
      <sz val="10"/>
      <color theme="1"/>
      <name val="A_Randhoo"/>
    </font>
    <font>
      <b/>
      <vertAlign val="superscript"/>
      <sz val="10"/>
      <color theme="1"/>
      <name val="Calibri"/>
      <family val="2"/>
      <scheme val="minor"/>
    </font>
    <font>
      <sz val="10"/>
      <color theme="1"/>
      <name val="Calibri Light"/>
      <family val="1"/>
      <scheme val="major"/>
    </font>
    <font>
      <b/>
      <sz val="9"/>
      <color theme="1"/>
      <name val="Courier"/>
      <family val="3"/>
    </font>
    <font>
      <sz val="10"/>
      <color theme="1"/>
      <name val="Calibri"/>
      <family val="2"/>
      <scheme val="minor"/>
    </font>
    <font>
      <sz val="10"/>
      <color theme="1"/>
      <name val="A_Randhoo"/>
    </font>
    <font>
      <sz val="10"/>
      <color theme="1"/>
      <name val="Courier"/>
      <family val="3"/>
    </font>
    <font>
      <sz val="10"/>
      <color theme="1"/>
      <name val="Faruma"/>
    </font>
    <font>
      <sz val="8"/>
      <color theme="1"/>
      <name val="A_Randhoo"/>
    </font>
    <font>
      <i/>
      <vertAlign val="superscript"/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vertAlign val="superscript"/>
      <sz val="11"/>
      <color theme="1"/>
      <name val="Faruma"/>
    </font>
    <font>
      <i/>
      <sz val="9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4" fillId="0" borderId="0"/>
    <xf numFmtId="165" fontId="4" fillId="0" borderId="0"/>
    <xf numFmtId="0" fontId="3" fillId="0" borderId="0"/>
    <xf numFmtId="0" fontId="3" fillId="0" borderId="0"/>
  </cellStyleXfs>
  <cellXfs count="94">
    <xf numFmtId="0" fontId="0" fillId="0" borderId="0" xfId="0"/>
    <xf numFmtId="164" fontId="2" fillId="2" borderId="0" xfId="0" applyNumberFormat="1" applyFont="1" applyFill="1" applyAlignment="1">
      <alignment horizontal="center" vertical="center"/>
    </xf>
    <xf numFmtId="164" fontId="5" fillId="2" borderId="0" xfId="0" applyNumberFormat="1" applyFont="1" applyFill="1" applyBorder="1" applyAlignment="1">
      <alignment vertical="center"/>
    </xf>
    <xf numFmtId="164" fontId="1" fillId="2" borderId="0" xfId="0" applyNumberFormat="1" applyFont="1" applyFill="1"/>
    <xf numFmtId="164" fontId="1" fillId="2" borderId="0" xfId="0" applyNumberFormat="1" applyFont="1" applyFill="1" applyBorder="1"/>
    <xf numFmtId="3" fontId="9" fillId="2" borderId="0" xfId="2" applyNumberFormat="1" applyFont="1" applyFill="1" applyBorder="1" applyAlignment="1" applyProtection="1">
      <alignment horizontal="center"/>
    </xf>
    <xf numFmtId="3" fontId="11" fillId="2" borderId="2" xfId="2" applyNumberFormat="1" applyFont="1" applyFill="1" applyBorder="1"/>
    <xf numFmtId="3" fontId="13" fillId="2" borderId="0" xfId="2" applyNumberFormat="1" applyFont="1" applyFill="1" applyBorder="1"/>
    <xf numFmtId="164" fontId="14" fillId="2" borderId="0" xfId="0" applyNumberFormat="1" applyFont="1" applyFill="1"/>
    <xf numFmtId="3" fontId="15" fillId="2" borderId="0" xfId="2" applyNumberFormat="1" applyFont="1" applyFill="1" applyBorder="1" applyAlignment="1">
      <alignment horizontal="right" vertical="top" textRotation="90" wrapText="1"/>
    </xf>
    <xf numFmtId="3" fontId="15" fillId="2" borderId="9" xfId="2" applyNumberFormat="1" applyFont="1" applyFill="1" applyBorder="1" applyAlignment="1">
      <alignment horizontal="center" vertical="center" textRotation="90" wrapText="1"/>
    </xf>
    <xf numFmtId="3" fontId="15" fillId="2" borderId="9" xfId="2" applyNumberFormat="1" applyFont="1" applyFill="1" applyBorder="1" applyAlignment="1">
      <alignment horizontal="center" vertical="center" textRotation="90"/>
    </xf>
    <xf numFmtId="164" fontId="14" fillId="2" borderId="0" xfId="0" applyNumberFormat="1" applyFont="1" applyFill="1" applyAlignment="1">
      <alignment vertical="top"/>
    </xf>
    <xf numFmtId="3" fontId="10" fillId="2" borderId="1" xfId="2" applyNumberFormat="1" applyFont="1" applyFill="1" applyBorder="1" applyAlignment="1">
      <alignment horizontal="right" textRotation="90" wrapText="1"/>
    </xf>
    <xf numFmtId="3" fontId="10" fillId="2" borderId="10" xfId="2" applyNumberFormat="1" applyFont="1" applyFill="1" applyBorder="1" applyAlignment="1">
      <alignment horizontal="center" textRotation="90" wrapText="1"/>
    </xf>
    <xf numFmtId="3" fontId="10" fillId="2" borderId="6" xfId="2" applyNumberFormat="1" applyFont="1" applyFill="1" applyBorder="1" applyAlignment="1">
      <alignment horizontal="center" textRotation="90" wrapText="1"/>
    </xf>
    <xf numFmtId="164" fontId="18" fillId="2" borderId="0" xfId="0" applyNumberFormat="1" applyFont="1" applyFill="1" applyAlignment="1">
      <alignment wrapText="1"/>
    </xf>
    <xf numFmtId="3" fontId="10" fillId="2" borderId="0" xfId="2" applyNumberFormat="1" applyFont="1" applyFill="1"/>
    <xf numFmtId="38" fontId="10" fillId="2" borderId="8" xfId="1" applyNumberFormat="1" applyFont="1" applyFill="1" applyBorder="1" applyAlignment="1">
      <alignment horizontal="right"/>
    </xf>
    <xf numFmtId="38" fontId="10" fillId="2" borderId="9" xfId="1" applyNumberFormat="1" applyFont="1" applyFill="1" applyBorder="1" applyAlignment="1">
      <alignment horizontal="right"/>
    </xf>
    <xf numFmtId="38" fontId="10" fillId="2" borderId="2" xfId="1" applyNumberFormat="1" applyFont="1" applyFill="1" applyBorder="1" applyAlignment="1">
      <alignment horizontal="right"/>
    </xf>
    <xf numFmtId="164" fontId="16" fillId="2" borderId="0" xfId="0" applyNumberFormat="1" applyFont="1" applyFill="1" applyAlignment="1">
      <alignment horizontal="right" vertical="center"/>
    </xf>
    <xf numFmtId="164" fontId="19" fillId="2" borderId="0" xfId="0" applyNumberFormat="1" applyFont="1" applyFill="1"/>
    <xf numFmtId="3" fontId="10" fillId="2" borderId="0" xfId="2" applyNumberFormat="1" applyFont="1" applyFill="1" applyAlignment="1"/>
    <xf numFmtId="38" fontId="10" fillId="2" borderId="3" xfId="1" applyNumberFormat="1" applyFont="1" applyFill="1" applyBorder="1"/>
    <xf numFmtId="38" fontId="10" fillId="2" borderId="11" xfId="1" applyNumberFormat="1" applyFont="1" applyFill="1" applyBorder="1"/>
    <xf numFmtId="38" fontId="10" fillId="2" borderId="0" xfId="1" applyNumberFormat="1" applyFont="1" applyFill="1" applyBorder="1"/>
    <xf numFmtId="38" fontId="10" fillId="2" borderId="11" xfId="1" applyNumberFormat="1" applyFont="1" applyFill="1" applyBorder="1" applyAlignment="1">
      <alignment horizontal="right"/>
    </xf>
    <xf numFmtId="38" fontId="10" fillId="2" borderId="3" xfId="1" applyNumberFormat="1" applyFont="1" applyFill="1" applyBorder="1" applyAlignment="1">
      <alignment horizontal="right"/>
    </xf>
    <xf numFmtId="38" fontId="10" fillId="2" borderId="0" xfId="1" applyNumberFormat="1" applyFont="1" applyFill="1" applyBorder="1" applyAlignment="1">
      <alignment horizontal="right"/>
    </xf>
    <xf numFmtId="164" fontId="20" fillId="2" borderId="0" xfId="0" applyNumberFormat="1" applyFont="1" applyFill="1" applyAlignment="1" applyProtection="1">
      <alignment horizontal="left" vertical="center" indent="1"/>
    </xf>
    <xf numFmtId="38" fontId="20" fillId="2" borderId="3" xfId="1" applyNumberFormat="1" applyFont="1" applyFill="1" applyBorder="1"/>
    <xf numFmtId="38" fontId="20" fillId="2" borderId="11" xfId="1" applyNumberFormat="1" applyFont="1" applyFill="1" applyBorder="1"/>
    <xf numFmtId="38" fontId="20" fillId="2" borderId="0" xfId="1" applyNumberFormat="1" applyFont="1" applyFill="1" applyBorder="1"/>
    <xf numFmtId="38" fontId="20" fillId="2" borderId="11" xfId="1" applyNumberFormat="1" applyFont="1" applyFill="1" applyBorder="1" applyAlignment="1">
      <alignment horizontal="right"/>
    </xf>
    <xf numFmtId="164" fontId="21" fillId="2" borderId="0" xfId="0" applyNumberFormat="1" applyFont="1" applyFill="1" applyAlignment="1">
      <alignment horizontal="right" vertical="center" indent="1"/>
    </xf>
    <xf numFmtId="164" fontId="14" fillId="2" borderId="0" xfId="0" applyNumberFormat="1" applyFont="1" applyFill="1" applyBorder="1"/>
    <xf numFmtId="164" fontId="20" fillId="2" borderId="0" xfId="0" applyNumberFormat="1" applyFont="1" applyFill="1" applyBorder="1" applyAlignment="1" applyProtection="1">
      <alignment horizontal="left" vertical="center" indent="1"/>
    </xf>
    <xf numFmtId="164" fontId="21" fillId="2" borderId="0" xfId="0" applyNumberFormat="1" applyFont="1" applyFill="1" applyBorder="1" applyAlignment="1">
      <alignment horizontal="right" vertical="center" indent="1"/>
    </xf>
    <xf numFmtId="164" fontId="20" fillId="2" borderId="1" xfId="0" applyNumberFormat="1" applyFont="1" applyFill="1" applyBorder="1" applyAlignment="1" applyProtection="1">
      <alignment horizontal="left" vertical="center" indent="1"/>
    </xf>
    <xf numFmtId="38" fontId="20" fillId="2" borderId="4" xfId="1" applyNumberFormat="1" applyFont="1" applyFill="1" applyBorder="1"/>
    <xf numFmtId="38" fontId="20" fillId="2" borderId="10" xfId="1" applyNumberFormat="1" applyFont="1" applyFill="1" applyBorder="1"/>
    <xf numFmtId="38" fontId="20" fillId="2" borderId="1" xfId="1" applyNumberFormat="1" applyFont="1" applyFill="1" applyBorder="1"/>
    <xf numFmtId="38" fontId="20" fillId="2" borderId="10" xfId="1" applyNumberFormat="1" applyFont="1" applyFill="1" applyBorder="1" applyAlignment="1">
      <alignment horizontal="right"/>
    </xf>
    <xf numFmtId="164" fontId="21" fillId="2" borderId="1" xfId="0" applyNumberFormat="1" applyFont="1" applyFill="1" applyBorder="1" applyAlignment="1">
      <alignment horizontal="right" vertical="center" indent="1"/>
    </xf>
    <xf numFmtId="3" fontId="6" fillId="2" borderId="0" xfId="2" applyNumberFormat="1" applyFont="1" applyFill="1" applyBorder="1"/>
    <xf numFmtId="3" fontId="6" fillId="2" borderId="0" xfId="2" applyNumberFormat="1" applyFont="1" applyFill="1" applyBorder="1" applyAlignment="1">
      <alignment horizontal="center"/>
    </xf>
    <xf numFmtId="3" fontId="6" fillId="2" borderId="0" xfId="2" applyNumberFormat="1" applyFont="1" applyFill="1" applyBorder="1" applyAlignment="1"/>
    <xf numFmtId="3" fontId="6" fillId="2" borderId="0" xfId="2" applyNumberFormat="1" applyFont="1" applyFill="1" applyBorder="1" applyAlignment="1">
      <alignment horizontal="right"/>
    </xf>
    <xf numFmtId="164" fontId="14" fillId="2" borderId="0" xfId="0" applyNumberFormat="1" applyFont="1" applyFill="1" applyAlignment="1">
      <alignment horizontal="right"/>
    </xf>
    <xf numFmtId="164" fontId="22" fillId="2" borderId="0" xfId="0" applyNumberFormat="1" applyFont="1" applyFill="1" applyAlignment="1">
      <alignment horizontal="right"/>
    </xf>
    <xf numFmtId="3" fontId="11" fillId="2" borderId="0" xfId="2" applyNumberFormat="1" applyFont="1" applyFill="1" applyBorder="1" applyAlignment="1">
      <alignment horizontal="right"/>
    </xf>
    <xf numFmtId="164" fontId="23" fillId="2" borderId="0" xfId="0" applyNumberFormat="1" applyFont="1" applyFill="1" applyBorder="1" applyAlignment="1">
      <alignment horizontal="right" vertical="center"/>
    </xf>
    <xf numFmtId="3" fontId="24" fillId="2" borderId="0" xfId="2" applyNumberFormat="1" applyFont="1" applyFill="1" applyBorder="1" applyAlignment="1">
      <alignment horizontal="left"/>
    </xf>
    <xf numFmtId="3" fontId="12" fillId="2" borderId="0" xfId="2" applyNumberFormat="1" applyFont="1" applyFill="1" applyBorder="1" applyAlignment="1">
      <alignment horizontal="center"/>
    </xf>
    <xf numFmtId="3" fontId="11" fillId="2" borderId="0" xfId="2" applyNumberFormat="1" applyFont="1" applyFill="1" applyBorder="1"/>
    <xf numFmtId="164" fontId="22" fillId="2" borderId="0" xfId="0" applyNumberFormat="1" applyFont="1" applyFill="1"/>
    <xf numFmtId="3" fontId="26" fillId="2" borderId="0" xfId="2" applyNumberFormat="1" applyFont="1" applyFill="1" applyBorder="1" applyAlignment="1"/>
    <xf numFmtId="164" fontId="21" fillId="2" borderId="0" xfId="0" applyNumberFormat="1" applyFont="1" applyFill="1" applyBorder="1" applyAlignment="1">
      <alignment wrapText="1" readingOrder="2"/>
    </xf>
    <xf numFmtId="49" fontId="27" fillId="2" borderId="0" xfId="3" applyNumberFormat="1" applyFont="1" applyFill="1" applyBorder="1" applyAlignment="1">
      <alignment horizontal="right" vertical="top"/>
    </xf>
    <xf numFmtId="49" fontId="26" fillId="2" borderId="0" xfId="3" applyNumberFormat="1" applyFont="1" applyFill="1" applyBorder="1" applyAlignment="1">
      <alignment horizontal="center" vertical="center"/>
    </xf>
    <xf numFmtId="3" fontId="5" fillId="2" borderId="0" xfId="2" applyNumberFormat="1" applyFont="1" applyFill="1" applyAlignment="1">
      <alignment vertical="center"/>
    </xf>
    <xf numFmtId="3" fontId="28" fillId="2" borderId="0" xfId="2" applyNumberFormat="1" applyFont="1" applyFill="1" applyBorder="1" applyAlignment="1">
      <alignment vertical="center"/>
    </xf>
    <xf numFmtId="3" fontId="28" fillId="2" borderId="0" xfId="2" applyNumberFormat="1" applyFont="1" applyFill="1" applyAlignment="1">
      <alignment horizontal="center" vertical="center"/>
    </xf>
    <xf numFmtId="3" fontId="28" fillId="2" borderId="0" xfId="2" applyNumberFormat="1" applyFont="1" applyFill="1"/>
    <xf numFmtId="3" fontId="28" fillId="2" borderId="0" xfId="2" applyNumberFormat="1" applyFont="1" applyFill="1" applyAlignment="1"/>
    <xf numFmtId="3" fontId="28" fillId="2" borderId="0" xfId="2" applyNumberFormat="1" applyFont="1" applyFill="1" applyAlignment="1">
      <alignment horizontal="right"/>
    </xf>
    <xf numFmtId="3" fontId="12" fillId="2" borderId="0" xfId="2" applyNumberFormat="1" applyFont="1" applyFill="1" applyBorder="1" applyAlignment="1">
      <alignment horizontal="right" textRotation="90"/>
    </xf>
    <xf numFmtId="3" fontId="29" fillId="2" borderId="0" xfId="2" applyNumberFormat="1" applyFont="1" applyFill="1" applyBorder="1" applyAlignment="1">
      <alignment horizontal="center" textRotation="90"/>
    </xf>
    <xf numFmtId="3" fontId="12" fillId="2" borderId="0" xfId="2" applyNumberFormat="1" applyFont="1" applyFill="1" applyBorder="1" applyAlignment="1">
      <alignment horizontal="center" textRotation="90"/>
    </xf>
    <xf numFmtId="3" fontId="26" fillId="2" borderId="0" xfId="2" applyNumberFormat="1" applyFont="1" applyFill="1" applyBorder="1" applyAlignment="1">
      <alignment horizontal="center" textRotation="90"/>
    </xf>
    <xf numFmtId="164" fontId="1" fillId="2" borderId="0" xfId="0" applyNumberFormat="1" applyFont="1" applyFill="1" applyBorder="1" applyAlignment="1"/>
    <xf numFmtId="164" fontId="1" fillId="2" borderId="0" xfId="0" applyNumberFormat="1" applyFont="1" applyFill="1" applyAlignment="1"/>
    <xf numFmtId="164" fontId="1" fillId="2" borderId="0" xfId="0" applyNumberFormat="1" applyFont="1" applyFill="1" applyAlignment="1">
      <alignment horizontal="right"/>
    </xf>
    <xf numFmtId="38" fontId="10" fillId="2" borderId="5" xfId="1" applyNumberFormat="1" applyFont="1" applyFill="1" applyBorder="1" applyAlignment="1">
      <alignment horizontal="right"/>
    </xf>
    <xf numFmtId="164" fontId="21" fillId="2" borderId="0" xfId="0" applyNumberFormat="1" applyFont="1" applyFill="1" applyBorder="1" applyAlignment="1">
      <alignment horizontal="right" wrapText="1" readingOrder="2"/>
    </xf>
    <xf numFmtId="49" fontId="26" fillId="2" borderId="0" xfId="3" applyNumberFormat="1" applyFont="1" applyFill="1" applyBorder="1" applyAlignment="1">
      <alignment horizontal="center" vertical="center"/>
    </xf>
    <xf numFmtId="3" fontId="8" fillId="2" borderId="0" xfId="2" applyNumberFormat="1" applyFont="1" applyFill="1" applyAlignment="1">
      <alignment horizontal="center" vertical="center"/>
    </xf>
    <xf numFmtId="3" fontId="9" fillId="2" borderId="0" xfId="2" applyNumberFormat="1" applyFont="1" applyFill="1" applyBorder="1" applyAlignment="1" applyProtection="1">
      <alignment horizontal="center"/>
    </xf>
    <xf numFmtId="3" fontId="10" fillId="2" borderId="2" xfId="2" applyNumberFormat="1" applyFont="1" applyFill="1" applyBorder="1" applyAlignment="1">
      <alignment horizontal="left" vertical="center"/>
    </xf>
    <xf numFmtId="3" fontId="10" fillId="2" borderId="0" xfId="2" applyNumberFormat="1" applyFont="1" applyFill="1" applyBorder="1" applyAlignment="1">
      <alignment horizontal="left" vertical="center"/>
    </xf>
    <xf numFmtId="3" fontId="10" fillId="2" borderId="1" xfId="2" applyNumberFormat="1" applyFont="1" applyFill="1" applyBorder="1" applyAlignment="1">
      <alignment horizontal="left" vertical="center"/>
    </xf>
    <xf numFmtId="3" fontId="12" fillId="2" borderId="7" xfId="2" applyNumberFormat="1" applyFont="1" applyFill="1" applyBorder="1" applyAlignment="1">
      <alignment horizontal="center" readingOrder="2"/>
    </xf>
    <xf numFmtId="3" fontId="12" fillId="2" borderId="2" xfId="2" applyNumberFormat="1" applyFont="1" applyFill="1" applyBorder="1" applyAlignment="1">
      <alignment horizontal="center" readingOrder="2"/>
    </xf>
    <xf numFmtId="3" fontId="12" fillId="2" borderId="8" xfId="2" applyNumberFormat="1" applyFont="1" applyFill="1" applyBorder="1" applyAlignment="1">
      <alignment horizontal="center" readingOrder="2"/>
    </xf>
    <xf numFmtId="3" fontId="12" fillId="2" borderId="7" xfId="2" applyNumberFormat="1" applyFont="1" applyFill="1" applyBorder="1" applyAlignment="1">
      <alignment horizontal="center"/>
    </xf>
    <xf numFmtId="3" fontId="12" fillId="2" borderId="2" xfId="2" applyNumberFormat="1" applyFont="1" applyFill="1" applyBorder="1" applyAlignment="1">
      <alignment horizontal="center"/>
    </xf>
    <xf numFmtId="3" fontId="12" fillId="2" borderId="8" xfId="2" applyNumberFormat="1" applyFont="1" applyFill="1" applyBorder="1" applyAlignment="1">
      <alignment horizontal="center"/>
    </xf>
    <xf numFmtId="49" fontId="7" fillId="2" borderId="6" xfId="3" applyNumberFormat="1" applyFont="1" applyFill="1" applyBorder="1" applyAlignment="1">
      <alignment horizontal="center" vertical="center"/>
    </xf>
    <xf numFmtId="49" fontId="7" fillId="2" borderId="1" xfId="3" applyNumberFormat="1" applyFont="1" applyFill="1" applyBorder="1" applyAlignment="1">
      <alignment horizontal="center" vertical="center"/>
    </xf>
    <xf numFmtId="49" fontId="7" fillId="2" borderId="4" xfId="3" applyNumberFormat="1" applyFont="1" applyFill="1" applyBorder="1" applyAlignment="1">
      <alignment horizontal="center" vertical="center"/>
    </xf>
    <xf numFmtId="3" fontId="16" fillId="2" borderId="7" xfId="2" applyNumberFormat="1" applyFont="1" applyFill="1" applyBorder="1" applyAlignment="1">
      <alignment horizontal="right" vertical="center" wrapText="1" indent="1"/>
    </xf>
    <xf numFmtId="3" fontId="16" fillId="2" borderId="5" xfId="2" applyNumberFormat="1" applyFont="1" applyFill="1" applyBorder="1" applyAlignment="1">
      <alignment horizontal="right" vertical="center" wrapText="1" indent="1"/>
    </xf>
    <xf numFmtId="3" fontId="16" fillId="2" borderId="6" xfId="2" applyNumberFormat="1" applyFont="1" applyFill="1" applyBorder="1" applyAlignment="1">
      <alignment horizontal="right" vertical="center" wrapText="1" indent="1"/>
    </xf>
  </cellXfs>
  <cellStyles count="8">
    <cellStyle name="Comma" xfId="1" builtinId="3"/>
    <cellStyle name="Comma_II-15(Population)" xfId="3"/>
    <cellStyle name="Normal" xfId="0" builtinId="0"/>
    <cellStyle name="Normal 10" xfId="7"/>
    <cellStyle name="Normal 2 2 2" xfId="4"/>
    <cellStyle name="Normal 37" xfId="6"/>
    <cellStyle name="Normal 8" xfId="5"/>
    <cellStyle name="Normal_II-15(Population)" xfId="2"/>
  </cellStyles>
  <dxfs count="0"/>
  <tableStyles count="0" defaultTableStyle="TableStyleMedium2" defaultPivotStyle="PivotStyleLight16"/>
  <colors>
    <mruColors>
      <color rgb="FFFFE59B"/>
      <color rgb="FFFFF1C9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7"/>
  <sheetViews>
    <sheetView tabSelected="1" zoomScaleNormal="100" workbookViewId="0">
      <selection activeCell="B30" sqref="B30"/>
    </sheetView>
  </sheetViews>
  <sheetFormatPr defaultColWidth="9.140625" defaultRowHeight="15"/>
  <cols>
    <col min="1" max="1" width="12.85546875" style="3" customWidth="1"/>
    <col min="2" max="2" width="10.42578125" style="4" customWidth="1"/>
    <col min="3" max="3" width="6.42578125" style="3" customWidth="1"/>
    <col min="4" max="4" width="7.140625" style="3" customWidth="1"/>
    <col min="5" max="5" width="8.5703125" style="3" hidden="1" customWidth="1"/>
    <col min="6" max="6" width="7.85546875" style="72" customWidth="1"/>
    <col min="7" max="7" width="9.140625" style="73" customWidth="1"/>
    <col min="8" max="8" width="9.5703125" style="73" customWidth="1"/>
    <col min="9" max="9" width="8.85546875" style="73" hidden="1" customWidth="1"/>
    <col min="10" max="10" width="7.5703125" style="73" customWidth="1"/>
    <col min="11" max="12" width="8.28515625" style="73" customWidth="1"/>
    <col min="13" max="13" width="6.85546875" style="73" hidden="1" customWidth="1"/>
    <col min="14" max="14" width="8.28515625" style="73" customWidth="1"/>
    <col min="15" max="16" width="7.28515625" style="73" customWidth="1"/>
    <col min="17" max="17" width="12.5703125" style="73" hidden="1" customWidth="1"/>
    <col min="18" max="18" width="7.28515625" style="73" customWidth="1"/>
    <col min="19" max="19" width="15.5703125" style="3" customWidth="1"/>
    <col min="20" max="20" width="2.28515625" style="3" customWidth="1"/>
    <col min="21" max="16384" width="9.140625" style="3"/>
  </cols>
  <sheetData>
    <row r="1" spans="1:20" ht="19.5">
      <c r="A1" s="77" t="s">
        <v>70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1"/>
    </row>
    <row r="2" spans="1:20" s="4" customFormat="1" ht="15.75">
      <c r="A2" s="78" t="s">
        <v>71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</row>
    <row r="3" spans="1:20" ht="15.7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20" ht="18">
      <c r="A4" s="79" t="s">
        <v>46</v>
      </c>
      <c r="B4" s="6"/>
      <c r="C4" s="82" t="s">
        <v>47</v>
      </c>
      <c r="D4" s="83"/>
      <c r="E4" s="83"/>
      <c r="F4" s="84"/>
      <c r="G4" s="85" t="s">
        <v>48</v>
      </c>
      <c r="H4" s="86"/>
      <c r="I4" s="86"/>
      <c r="J4" s="87"/>
      <c r="K4" s="85" t="s">
        <v>49</v>
      </c>
      <c r="L4" s="86"/>
      <c r="M4" s="86"/>
      <c r="N4" s="87"/>
      <c r="O4" s="85" t="s">
        <v>50</v>
      </c>
      <c r="P4" s="86"/>
      <c r="Q4" s="86"/>
      <c r="R4" s="87"/>
      <c r="S4" s="91" t="s">
        <v>60</v>
      </c>
      <c r="T4" s="1"/>
    </row>
    <row r="5" spans="1:20" s="8" customFormat="1">
      <c r="A5" s="80"/>
      <c r="B5" s="4"/>
      <c r="C5" s="88" t="s">
        <v>45</v>
      </c>
      <c r="D5" s="89"/>
      <c r="E5" s="89"/>
      <c r="F5" s="90"/>
      <c r="G5" s="88" t="s">
        <v>51</v>
      </c>
      <c r="H5" s="89"/>
      <c r="I5" s="89"/>
      <c r="J5" s="90"/>
      <c r="K5" s="88" t="s">
        <v>52</v>
      </c>
      <c r="L5" s="89"/>
      <c r="M5" s="89"/>
      <c r="N5" s="90"/>
      <c r="O5" s="88" t="s">
        <v>53</v>
      </c>
      <c r="P5" s="89"/>
      <c r="Q5" s="89"/>
      <c r="R5" s="90"/>
      <c r="S5" s="92"/>
    </row>
    <row r="6" spans="1:20" s="12" customFormat="1" ht="51">
      <c r="A6" s="80"/>
      <c r="B6" s="9" t="s">
        <v>54</v>
      </c>
      <c r="C6" s="10" t="s">
        <v>55</v>
      </c>
      <c r="D6" s="11" t="s">
        <v>56</v>
      </c>
      <c r="E6" s="11" t="s">
        <v>57</v>
      </c>
      <c r="F6" s="10" t="s">
        <v>58</v>
      </c>
      <c r="G6" s="11" t="s">
        <v>55</v>
      </c>
      <c r="H6" s="11" t="s">
        <v>56</v>
      </c>
      <c r="I6" s="11" t="s">
        <v>57</v>
      </c>
      <c r="J6" s="10" t="s">
        <v>59</v>
      </c>
      <c r="K6" s="11" t="s">
        <v>55</v>
      </c>
      <c r="L6" s="11" t="s">
        <v>56</v>
      </c>
      <c r="M6" s="11" t="s">
        <v>57</v>
      </c>
      <c r="N6" s="10" t="s">
        <v>59</v>
      </c>
      <c r="O6" s="11" t="s">
        <v>55</v>
      </c>
      <c r="P6" s="11" t="s">
        <v>56</v>
      </c>
      <c r="Q6" s="11" t="s">
        <v>57</v>
      </c>
      <c r="R6" s="10" t="s">
        <v>59</v>
      </c>
      <c r="S6" s="92"/>
    </row>
    <row r="7" spans="1:20" s="16" customFormat="1" ht="51.75">
      <c r="A7" s="81"/>
      <c r="B7" s="13" t="s">
        <v>61</v>
      </c>
      <c r="C7" s="14" t="s">
        <v>62</v>
      </c>
      <c r="D7" s="14" t="s">
        <v>44</v>
      </c>
      <c r="E7" s="15" t="s">
        <v>63</v>
      </c>
      <c r="F7" s="14" t="s">
        <v>64</v>
      </c>
      <c r="G7" s="14" t="s">
        <v>62</v>
      </c>
      <c r="H7" s="14" t="s">
        <v>65</v>
      </c>
      <c r="I7" s="14" t="s">
        <v>63</v>
      </c>
      <c r="J7" s="14" t="s">
        <v>64</v>
      </c>
      <c r="K7" s="14" t="s">
        <v>62</v>
      </c>
      <c r="L7" s="14" t="s">
        <v>44</v>
      </c>
      <c r="M7" s="14" t="s">
        <v>63</v>
      </c>
      <c r="N7" s="14" t="s">
        <v>64</v>
      </c>
      <c r="O7" s="14" t="s">
        <v>62</v>
      </c>
      <c r="P7" s="14" t="s">
        <v>44</v>
      </c>
      <c r="Q7" s="14" t="s">
        <v>63</v>
      </c>
      <c r="R7" s="14" t="s">
        <v>64</v>
      </c>
      <c r="S7" s="93"/>
    </row>
    <row r="8" spans="1:20" s="22" customFormat="1" ht="15.75">
      <c r="A8" s="17" t="s">
        <v>0</v>
      </c>
      <c r="B8" s="18">
        <f>SUM(B9:B10)</f>
        <v>87913</v>
      </c>
      <c r="C8" s="19">
        <v>339</v>
      </c>
      <c r="D8" s="18">
        <f>SUM(D9:D10)</f>
        <v>20411</v>
      </c>
      <c r="E8" s="20">
        <f>SUM(E9:E10)</f>
        <v>9829</v>
      </c>
      <c r="F8" s="19">
        <f>E8/D8*100</f>
        <v>48.155406398510607</v>
      </c>
      <c r="G8" s="20">
        <f t="shared" ref="G8:I8" si="0">SUM(G9:G10)</f>
        <v>210</v>
      </c>
      <c r="H8" s="19">
        <f t="shared" si="0"/>
        <v>47236</v>
      </c>
      <c r="I8" s="19">
        <f t="shared" si="0"/>
        <v>22992</v>
      </c>
      <c r="J8" s="19">
        <f>I8/H8*100</f>
        <v>48.674739605385724</v>
      </c>
      <c r="K8" s="19">
        <f t="shared" ref="K8:M8" si="1">SUM(K9:K10)</f>
        <v>205</v>
      </c>
      <c r="L8" s="19">
        <f t="shared" si="1"/>
        <v>16289</v>
      </c>
      <c r="M8" s="19">
        <f t="shared" si="1"/>
        <v>7777</v>
      </c>
      <c r="N8" s="19">
        <f>M8/L8*100</f>
        <v>47.743876235496344</v>
      </c>
      <c r="O8" s="19">
        <f t="shared" ref="O8:Q8" si="2">SUM(O9:O10)</f>
        <v>63</v>
      </c>
      <c r="P8" s="19">
        <f t="shared" si="2"/>
        <v>3977</v>
      </c>
      <c r="Q8" s="19">
        <f t="shared" si="2"/>
        <v>2208</v>
      </c>
      <c r="R8" s="19">
        <f>Q8/P8*100</f>
        <v>55.519235604727179</v>
      </c>
      <c r="S8" s="21" t="s">
        <v>1</v>
      </c>
    </row>
    <row r="9" spans="1:20" s="22" customFormat="1" ht="15.75">
      <c r="A9" s="23" t="s">
        <v>2</v>
      </c>
      <c r="B9" s="24">
        <f>D9+H9+L9+P9</f>
        <v>32058</v>
      </c>
      <c r="C9" s="27">
        <v>37</v>
      </c>
      <c r="D9" s="25">
        <v>7896</v>
      </c>
      <c r="E9" s="26">
        <v>3841</v>
      </c>
      <c r="F9" s="25">
        <f t="shared" ref="F9:F30" si="3">E9/D9*100</f>
        <v>48.644883485309016</v>
      </c>
      <c r="G9" s="24">
        <v>17</v>
      </c>
      <c r="H9" s="25">
        <v>16218</v>
      </c>
      <c r="I9" s="26">
        <v>7913</v>
      </c>
      <c r="J9" s="27">
        <f>I9/H9*100</f>
        <v>48.791466272043408</v>
      </c>
      <c r="K9" s="25">
        <v>17</v>
      </c>
      <c r="L9" s="25">
        <v>5499</v>
      </c>
      <c r="M9" s="26">
        <v>2700</v>
      </c>
      <c r="N9" s="27">
        <f>M9/L9*100</f>
        <v>49.099836333878891</v>
      </c>
      <c r="O9" s="25">
        <v>6</v>
      </c>
      <c r="P9" s="25">
        <v>2445</v>
      </c>
      <c r="Q9" s="26">
        <v>1323</v>
      </c>
      <c r="R9" s="27">
        <f>Q9/P9*100</f>
        <v>54.110429447852759</v>
      </c>
      <c r="S9" s="21" t="s">
        <v>3</v>
      </c>
    </row>
    <row r="10" spans="1:20" s="22" customFormat="1" ht="15.75">
      <c r="A10" s="17" t="s">
        <v>4</v>
      </c>
      <c r="B10" s="28">
        <f>D10+H10+L10+P10</f>
        <v>55855</v>
      </c>
      <c r="C10" s="27">
        <v>302</v>
      </c>
      <c r="D10" s="27">
        <f t="shared" ref="C10:Q10" si="4">SUM(D11:D30)</f>
        <v>12515</v>
      </c>
      <c r="E10" s="74">
        <f t="shared" si="4"/>
        <v>5988</v>
      </c>
      <c r="F10" s="27">
        <f t="shared" si="3"/>
        <v>47.846584099081099</v>
      </c>
      <c r="G10" s="29">
        <f t="shared" si="4"/>
        <v>193</v>
      </c>
      <c r="H10" s="27">
        <f t="shared" si="4"/>
        <v>31018</v>
      </c>
      <c r="I10" s="27">
        <f t="shared" si="4"/>
        <v>15079</v>
      </c>
      <c r="J10" s="27">
        <f t="shared" ref="J10:J30" si="5">I10/H10*100</f>
        <v>48.61370816945</v>
      </c>
      <c r="K10" s="29">
        <f t="shared" si="4"/>
        <v>188</v>
      </c>
      <c r="L10" s="27">
        <f t="shared" si="4"/>
        <v>10790</v>
      </c>
      <c r="M10" s="27">
        <f t="shared" si="4"/>
        <v>5077</v>
      </c>
      <c r="N10" s="27">
        <f t="shared" ref="N10:N30" si="6">M10/L10*100</f>
        <v>47.052826691380908</v>
      </c>
      <c r="O10" s="29">
        <f t="shared" si="4"/>
        <v>57</v>
      </c>
      <c r="P10" s="27">
        <f t="shared" si="4"/>
        <v>1532</v>
      </c>
      <c r="Q10" s="27">
        <f t="shared" si="4"/>
        <v>885</v>
      </c>
      <c r="R10" s="27">
        <f t="shared" ref="R10:R20" si="7">Q10/P10*100</f>
        <v>57.76762402088773</v>
      </c>
      <c r="S10" s="21" t="s">
        <v>5</v>
      </c>
    </row>
    <row r="11" spans="1:20" s="8" customFormat="1" ht="15.75">
      <c r="A11" s="30" t="s">
        <v>6</v>
      </c>
      <c r="B11" s="31">
        <f>D11+H11+L11+P11</f>
        <v>3788</v>
      </c>
      <c r="C11" s="34">
        <v>19</v>
      </c>
      <c r="D11" s="32">
        <v>826</v>
      </c>
      <c r="E11" s="33">
        <v>384</v>
      </c>
      <c r="F11" s="32">
        <f t="shared" si="3"/>
        <v>46.489104116222762</v>
      </c>
      <c r="G11" s="31">
        <v>14</v>
      </c>
      <c r="H11" s="32">
        <v>2083</v>
      </c>
      <c r="I11" s="33">
        <v>991</v>
      </c>
      <c r="J11" s="34">
        <f t="shared" si="5"/>
        <v>47.575612097935668</v>
      </c>
      <c r="K11" s="32">
        <v>14</v>
      </c>
      <c r="L11" s="32">
        <v>773</v>
      </c>
      <c r="M11" s="33">
        <v>357</v>
      </c>
      <c r="N11" s="34">
        <f t="shared" si="6"/>
        <v>46.183699870633895</v>
      </c>
      <c r="O11" s="32">
        <v>4</v>
      </c>
      <c r="P11" s="32">
        <v>106</v>
      </c>
      <c r="Q11" s="33">
        <v>70</v>
      </c>
      <c r="R11" s="34">
        <f t="shared" si="7"/>
        <v>66.037735849056602</v>
      </c>
      <c r="S11" s="35" t="s">
        <v>7</v>
      </c>
    </row>
    <row r="12" spans="1:20" s="36" customFormat="1" ht="15.75">
      <c r="A12" s="30" t="s">
        <v>8</v>
      </c>
      <c r="B12" s="31">
        <f t="shared" ref="B12:B30" si="8">D12+H12+L12+P12</f>
        <v>5668</v>
      </c>
      <c r="C12" s="34">
        <v>23</v>
      </c>
      <c r="D12" s="32">
        <v>1393</v>
      </c>
      <c r="E12" s="33">
        <v>674</v>
      </c>
      <c r="F12" s="32">
        <f t="shared" si="3"/>
        <v>48.384781048097629</v>
      </c>
      <c r="G12" s="31">
        <v>14</v>
      </c>
      <c r="H12" s="32">
        <v>3107</v>
      </c>
      <c r="I12" s="33">
        <v>1503</v>
      </c>
      <c r="J12" s="34">
        <f t="shared" si="5"/>
        <v>48.374637914386867</v>
      </c>
      <c r="K12" s="32">
        <v>15</v>
      </c>
      <c r="L12" s="32">
        <v>1036</v>
      </c>
      <c r="M12" s="33">
        <v>492</v>
      </c>
      <c r="N12" s="34">
        <f t="shared" si="6"/>
        <v>47.490347490347489</v>
      </c>
      <c r="O12" s="32">
        <v>3</v>
      </c>
      <c r="P12" s="32">
        <v>132</v>
      </c>
      <c r="Q12" s="33">
        <v>79</v>
      </c>
      <c r="R12" s="34">
        <f t="shared" si="7"/>
        <v>59.848484848484851</v>
      </c>
      <c r="S12" s="35" t="s">
        <v>9</v>
      </c>
    </row>
    <row r="13" spans="1:20" s="36" customFormat="1" ht="15.75">
      <c r="A13" s="30" t="s">
        <v>10</v>
      </c>
      <c r="B13" s="31">
        <f t="shared" si="8"/>
        <v>3660</v>
      </c>
      <c r="C13" s="34">
        <v>18</v>
      </c>
      <c r="D13" s="32">
        <v>679</v>
      </c>
      <c r="E13" s="33">
        <v>308</v>
      </c>
      <c r="F13" s="32">
        <f t="shared" si="3"/>
        <v>45.360824742268044</v>
      </c>
      <c r="G13" s="31">
        <v>14</v>
      </c>
      <c r="H13" s="32">
        <v>2091</v>
      </c>
      <c r="I13" s="33">
        <v>1047</v>
      </c>
      <c r="J13" s="34">
        <f>I13/H13*100</f>
        <v>50.071736011477761</v>
      </c>
      <c r="K13" s="32">
        <v>14</v>
      </c>
      <c r="L13" s="32">
        <v>771</v>
      </c>
      <c r="M13" s="33">
        <v>340</v>
      </c>
      <c r="N13" s="34">
        <f t="shared" si="6"/>
        <v>44.098573281452659</v>
      </c>
      <c r="O13" s="32">
        <v>6</v>
      </c>
      <c r="P13" s="32">
        <v>119</v>
      </c>
      <c r="Q13" s="33">
        <v>63</v>
      </c>
      <c r="R13" s="34">
        <f t="shared" si="7"/>
        <v>52.941176470588239</v>
      </c>
      <c r="S13" s="35" t="s">
        <v>11</v>
      </c>
    </row>
    <row r="14" spans="1:20" s="36" customFormat="1" ht="15.75">
      <c r="A14" s="30" t="s">
        <v>12</v>
      </c>
      <c r="B14" s="31">
        <f t="shared" si="8"/>
        <v>3060</v>
      </c>
      <c r="C14" s="34">
        <v>21</v>
      </c>
      <c r="D14" s="32">
        <v>689</v>
      </c>
      <c r="E14" s="33">
        <v>337</v>
      </c>
      <c r="F14" s="32">
        <f t="shared" si="3"/>
        <v>48.911465892597967</v>
      </c>
      <c r="G14" s="31">
        <v>13</v>
      </c>
      <c r="H14" s="32">
        <v>1743</v>
      </c>
      <c r="I14" s="33">
        <v>843</v>
      </c>
      <c r="J14" s="34">
        <f t="shared" si="5"/>
        <v>48.364888123924274</v>
      </c>
      <c r="K14" s="32">
        <v>13</v>
      </c>
      <c r="L14" s="32">
        <v>564</v>
      </c>
      <c r="M14" s="33">
        <v>280</v>
      </c>
      <c r="N14" s="34">
        <f t="shared" si="6"/>
        <v>49.645390070921984</v>
      </c>
      <c r="O14" s="32">
        <v>3</v>
      </c>
      <c r="P14" s="32">
        <v>64</v>
      </c>
      <c r="Q14" s="33">
        <v>39</v>
      </c>
      <c r="R14" s="34">
        <f t="shared" si="7"/>
        <v>60.9375</v>
      </c>
      <c r="S14" s="35" t="s">
        <v>13</v>
      </c>
    </row>
    <row r="15" spans="1:20" s="8" customFormat="1" ht="15.75">
      <c r="A15" s="30" t="s">
        <v>14</v>
      </c>
      <c r="B15" s="31">
        <f t="shared" si="8"/>
        <v>4694</v>
      </c>
      <c r="C15" s="34">
        <v>27</v>
      </c>
      <c r="D15" s="32">
        <v>1139</v>
      </c>
      <c r="E15" s="33">
        <v>553</v>
      </c>
      <c r="F15" s="32">
        <f t="shared" si="3"/>
        <v>48.551360842844602</v>
      </c>
      <c r="G15" s="31">
        <v>16</v>
      </c>
      <c r="H15" s="32">
        <v>2457</v>
      </c>
      <c r="I15" s="33">
        <v>1203</v>
      </c>
      <c r="J15" s="34">
        <f t="shared" si="5"/>
        <v>48.962148962148959</v>
      </c>
      <c r="K15" s="32">
        <v>15</v>
      </c>
      <c r="L15" s="32">
        <v>918</v>
      </c>
      <c r="M15" s="33">
        <v>405</v>
      </c>
      <c r="N15" s="34">
        <f t="shared" si="6"/>
        <v>44.117647058823529</v>
      </c>
      <c r="O15" s="32">
        <v>8</v>
      </c>
      <c r="P15" s="32">
        <v>180</v>
      </c>
      <c r="Q15" s="33">
        <v>97</v>
      </c>
      <c r="R15" s="34">
        <f t="shared" si="7"/>
        <v>53.888888888888886</v>
      </c>
      <c r="S15" s="35" t="s">
        <v>15</v>
      </c>
    </row>
    <row r="16" spans="1:20" s="8" customFormat="1" ht="15.75">
      <c r="A16" s="30" t="s">
        <v>16</v>
      </c>
      <c r="B16" s="31">
        <f t="shared" si="8"/>
        <v>2630</v>
      </c>
      <c r="C16" s="34">
        <v>23</v>
      </c>
      <c r="D16" s="32">
        <v>588</v>
      </c>
      <c r="E16" s="33">
        <v>294</v>
      </c>
      <c r="F16" s="32">
        <f t="shared" si="3"/>
        <v>50</v>
      </c>
      <c r="G16" s="31">
        <v>12</v>
      </c>
      <c r="H16" s="32">
        <v>1408</v>
      </c>
      <c r="I16" s="33">
        <v>664</v>
      </c>
      <c r="J16" s="34">
        <f t="shared" si="5"/>
        <v>47.159090909090914</v>
      </c>
      <c r="K16" s="32">
        <v>11</v>
      </c>
      <c r="L16" s="32">
        <v>554</v>
      </c>
      <c r="M16" s="33">
        <v>265</v>
      </c>
      <c r="N16" s="34">
        <f t="shared" si="6"/>
        <v>47.833935018050546</v>
      </c>
      <c r="O16" s="32">
        <v>2</v>
      </c>
      <c r="P16" s="32">
        <v>80</v>
      </c>
      <c r="Q16" s="33">
        <v>45</v>
      </c>
      <c r="R16" s="34">
        <f t="shared" si="7"/>
        <v>56.25</v>
      </c>
      <c r="S16" s="35" t="s">
        <v>17</v>
      </c>
    </row>
    <row r="17" spans="1:24" s="8" customFormat="1" ht="15.75">
      <c r="A17" s="30" t="s">
        <v>18</v>
      </c>
      <c r="B17" s="31">
        <f t="shared" si="8"/>
        <v>2073</v>
      </c>
      <c r="C17" s="34">
        <v>6</v>
      </c>
      <c r="D17" s="32">
        <v>473</v>
      </c>
      <c r="E17" s="33">
        <v>237</v>
      </c>
      <c r="F17" s="32">
        <f t="shared" si="3"/>
        <v>50.105708245243129</v>
      </c>
      <c r="G17" s="31">
        <v>4</v>
      </c>
      <c r="H17" s="32">
        <v>1137</v>
      </c>
      <c r="I17" s="33">
        <v>584</v>
      </c>
      <c r="J17" s="34">
        <f t="shared" si="5"/>
        <v>51.363236587510997</v>
      </c>
      <c r="K17" s="32">
        <v>4</v>
      </c>
      <c r="L17" s="32">
        <v>410</v>
      </c>
      <c r="M17" s="33">
        <v>206</v>
      </c>
      <c r="N17" s="34">
        <f t="shared" si="6"/>
        <v>50.243902439024389</v>
      </c>
      <c r="O17" s="32">
        <v>3</v>
      </c>
      <c r="P17" s="32">
        <v>53</v>
      </c>
      <c r="Q17" s="33">
        <v>31</v>
      </c>
      <c r="R17" s="34">
        <f t="shared" si="7"/>
        <v>58.490566037735846</v>
      </c>
      <c r="S17" s="35" t="s">
        <v>19</v>
      </c>
    </row>
    <row r="18" spans="1:24" s="8" customFormat="1" ht="15.75">
      <c r="A18" s="30" t="s">
        <v>20</v>
      </c>
      <c r="B18" s="31">
        <f t="shared" si="8"/>
        <v>2817</v>
      </c>
      <c r="C18" s="34">
        <v>15</v>
      </c>
      <c r="D18" s="32">
        <v>683</v>
      </c>
      <c r="E18" s="33">
        <v>331</v>
      </c>
      <c r="F18" s="32">
        <f t="shared" si="3"/>
        <v>48.462664714494878</v>
      </c>
      <c r="G18" s="31">
        <v>9</v>
      </c>
      <c r="H18" s="32">
        <v>1633</v>
      </c>
      <c r="I18" s="33">
        <v>779</v>
      </c>
      <c r="J18" s="34">
        <f t="shared" si="5"/>
        <v>47.703612982241275</v>
      </c>
      <c r="K18" s="32">
        <v>9</v>
      </c>
      <c r="L18" s="32">
        <v>484</v>
      </c>
      <c r="M18" s="33">
        <v>233</v>
      </c>
      <c r="N18" s="34">
        <f t="shared" si="6"/>
        <v>48.140495867768593</v>
      </c>
      <c r="O18" s="32">
        <v>2</v>
      </c>
      <c r="P18" s="32">
        <v>17</v>
      </c>
      <c r="Q18" s="33">
        <v>11</v>
      </c>
      <c r="R18" s="34">
        <f t="shared" si="7"/>
        <v>64.705882352941174</v>
      </c>
      <c r="S18" s="35" t="s">
        <v>21</v>
      </c>
    </row>
    <row r="19" spans="1:24" s="8" customFormat="1" ht="15.75">
      <c r="A19" s="30" t="s">
        <v>22</v>
      </c>
      <c r="B19" s="31">
        <f t="shared" si="8"/>
        <v>1801</v>
      </c>
      <c r="C19" s="34">
        <v>13</v>
      </c>
      <c r="D19" s="32">
        <v>436</v>
      </c>
      <c r="E19" s="33">
        <v>195</v>
      </c>
      <c r="F19" s="32">
        <f t="shared" si="3"/>
        <v>44.724770642201833</v>
      </c>
      <c r="G19" s="31">
        <v>8</v>
      </c>
      <c r="H19" s="32">
        <v>1038</v>
      </c>
      <c r="I19" s="33">
        <v>495</v>
      </c>
      <c r="J19" s="34">
        <f t="shared" si="5"/>
        <v>47.687861271676304</v>
      </c>
      <c r="K19" s="32">
        <v>8</v>
      </c>
      <c r="L19" s="32">
        <v>310</v>
      </c>
      <c r="M19" s="33">
        <v>152</v>
      </c>
      <c r="N19" s="34">
        <f t="shared" si="6"/>
        <v>49.032258064516128</v>
      </c>
      <c r="O19" s="32">
        <v>1</v>
      </c>
      <c r="P19" s="32">
        <v>17</v>
      </c>
      <c r="Q19" s="33">
        <v>8</v>
      </c>
      <c r="R19" s="34">
        <f t="shared" si="7"/>
        <v>47.058823529411761</v>
      </c>
      <c r="S19" s="35" t="s">
        <v>23</v>
      </c>
    </row>
    <row r="20" spans="1:24" s="8" customFormat="1" ht="15.75">
      <c r="A20" s="30" t="s">
        <v>24</v>
      </c>
      <c r="B20" s="31">
        <f t="shared" si="8"/>
        <v>2217</v>
      </c>
      <c r="C20" s="34">
        <v>17</v>
      </c>
      <c r="D20" s="32">
        <v>580</v>
      </c>
      <c r="E20" s="33">
        <v>281</v>
      </c>
      <c r="F20" s="32">
        <f t="shared" si="3"/>
        <v>48.448275862068968</v>
      </c>
      <c r="G20" s="31">
        <v>10</v>
      </c>
      <c r="H20" s="32">
        <v>1296</v>
      </c>
      <c r="I20" s="33">
        <v>613</v>
      </c>
      <c r="J20" s="34">
        <f t="shared" si="5"/>
        <v>47.299382716049379</v>
      </c>
      <c r="K20" s="32">
        <v>10</v>
      </c>
      <c r="L20" s="32">
        <v>333</v>
      </c>
      <c r="M20" s="33">
        <v>153</v>
      </c>
      <c r="N20" s="34">
        <f t="shared" si="6"/>
        <v>45.945945945945951</v>
      </c>
      <c r="O20" s="32">
        <v>1</v>
      </c>
      <c r="P20" s="32">
        <v>8</v>
      </c>
      <c r="Q20" s="33">
        <v>3</v>
      </c>
      <c r="R20" s="34">
        <f t="shared" si="7"/>
        <v>37.5</v>
      </c>
      <c r="S20" s="35" t="s">
        <v>25</v>
      </c>
    </row>
    <row r="21" spans="1:24" s="8" customFormat="1" ht="15.75">
      <c r="A21" s="30" t="s">
        <v>26</v>
      </c>
      <c r="B21" s="31">
        <f t="shared" si="8"/>
        <v>283</v>
      </c>
      <c r="C21" s="34">
        <v>4</v>
      </c>
      <c r="D21" s="32">
        <v>72</v>
      </c>
      <c r="E21" s="33">
        <v>23</v>
      </c>
      <c r="F21" s="32">
        <f t="shared" si="3"/>
        <v>31.944444444444443</v>
      </c>
      <c r="G21" s="32">
        <v>3</v>
      </c>
      <c r="H21" s="32">
        <v>167</v>
      </c>
      <c r="I21" s="33">
        <v>77</v>
      </c>
      <c r="J21" s="34">
        <f t="shared" si="5"/>
        <v>46.107784431137731</v>
      </c>
      <c r="K21" s="32">
        <v>3</v>
      </c>
      <c r="L21" s="32">
        <v>44</v>
      </c>
      <c r="M21" s="33">
        <v>18</v>
      </c>
      <c r="N21" s="34">
        <f t="shared" si="6"/>
        <v>40.909090909090914</v>
      </c>
      <c r="O21" s="32">
        <v>0</v>
      </c>
      <c r="P21" s="32">
        <v>0</v>
      </c>
      <c r="Q21" s="33">
        <v>0</v>
      </c>
      <c r="R21" s="34">
        <v>0</v>
      </c>
      <c r="S21" s="35" t="s">
        <v>27</v>
      </c>
    </row>
    <row r="22" spans="1:24" s="8" customFormat="1" ht="15.75">
      <c r="A22" s="30" t="s">
        <v>28</v>
      </c>
      <c r="B22" s="31">
        <f t="shared" si="8"/>
        <v>1229</v>
      </c>
      <c r="C22" s="34">
        <v>11</v>
      </c>
      <c r="D22" s="32">
        <v>274</v>
      </c>
      <c r="E22" s="33">
        <v>136</v>
      </c>
      <c r="F22" s="32">
        <f t="shared" si="3"/>
        <v>49.635036496350367</v>
      </c>
      <c r="G22" s="32">
        <v>8</v>
      </c>
      <c r="H22" s="32">
        <v>719</v>
      </c>
      <c r="I22" s="33">
        <v>349</v>
      </c>
      <c r="J22" s="34">
        <f t="shared" si="5"/>
        <v>48.539638386648122</v>
      </c>
      <c r="K22" s="32">
        <v>5</v>
      </c>
      <c r="L22" s="32">
        <v>191</v>
      </c>
      <c r="M22" s="33">
        <v>84</v>
      </c>
      <c r="N22" s="34">
        <f t="shared" si="6"/>
        <v>43.97905759162304</v>
      </c>
      <c r="O22" s="32">
        <v>4</v>
      </c>
      <c r="P22" s="32">
        <v>45</v>
      </c>
      <c r="Q22" s="33">
        <v>20</v>
      </c>
      <c r="R22" s="34">
        <f t="shared" ref="R22:R30" si="9">Q22/P22*100</f>
        <v>44.444444444444443</v>
      </c>
      <c r="S22" s="35" t="s">
        <v>29</v>
      </c>
    </row>
    <row r="23" spans="1:24" s="8" customFormat="1" ht="15.75">
      <c r="A23" s="30" t="s">
        <v>30</v>
      </c>
      <c r="B23" s="31">
        <f t="shared" si="8"/>
        <v>1444</v>
      </c>
      <c r="C23" s="34">
        <v>8</v>
      </c>
      <c r="D23" s="32">
        <v>324</v>
      </c>
      <c r="E23" s="33">
        <v>149</v>
      </c>
      <c r="F23" s="32">
        <f t="shared" si="3"/>
        <v>45.987654320987652</v>
      </c>
      <c r="G23" s="32">
        <v>5</v>
      </c>
      <c r="H23" s="32">
        <v>777</v>
      </c>
      <c r="I23" s="33">
        <v>400</v>
      </c>
      <c r="J23" s="34">
        <f t="shared" si="5"/>
        <v>51.480051480051479</v>
      </c>
      <c r="K23" s="32">
        <v>4</v>
      </c>
      <c r="L23" s="32">
        <v>257</v>
      </c>
      <c r="M23" s="33">
        <v>119</v>
      </c>
      <c r="N23" s="34">
        <f t="shared" si="6"/>
        <v>46.303501945525291</v>
      </c>
      <c r="O23" s="32">
        <v>2</v>
      </c>
      <c r="P23" s="32">
        <v>86</v>
      </c>
      <c r="Q23" s="33">
        <v>48</v>
      </c>
      <c r="R23" s="34">
        <f t="shared" si="9"/>
        <v>55.813953488372093</v>
      </c>
      <c r="S23" s="35" t="s">
        <v>31</v>
      </c>
    </row>
    <row r="24" spans="1:24" s="8" customFormat="1" ht="15.75">
      <c r="A24" s="30" t="s">
        <v>32</v>
      </c>
      <c r="B24" s="31">
        <f t="shared" si="8"/>
        <v>1622</v>
      </c>
      <c r="C24" s="34">
        <v>8</v>
      </c>
      <c r="D24" s="32">
        <v>329</v>
      </c>
      <c r="E24" s="33">
        <v>163</v>
      </c>
      <c r="F24" s="32">
        <f t="shared" si="3"/>
        <v>49.544072948328264</v>
      </c>
      <c r="G24" s="32">
        <v>6</v>
      </c>
      <c r="H24" s="32">
        <v>916</v>
      </c>
      <c r="I24" s="33">
        <v>478</v>
      </c>
      <c r="J24" s="34">
        <f t="shared" si="5"/>
        <v>52.183406113537124</v>
      </c>
      <c r="K24" s="32">
        <v>6</v>
      </c>
      <c r="L24" s="32">
        <v>303</v>
      </c>
      <c r="M24" s="33">
        <v>150</v>
      </c>
      <c r="N24" s="34">
        <f t="shared" si="6"/>
        <v>49.504950495049506</v>
      </c>
      <c r="O24" s="32">
        <v>3</v>
      </c>
      <c r="P24" s="32">
        <v>74</v>
      </c>
      <c r="Q24" s="33">
        <v>48</v>
      </c>
      <c r="R24" s="34">
        <f t="shared" si="9"/>
        <v>64.86486486486487</v>
      </c>
      <c r="S24" s="35" t="s">
        <v>33</v>
      </c>
    </row>
    <row r="25" spans="1:24" s="8" customFormat="1" ht="15.75">
      <c r="A25" s="30" t="s">
        <v>34</v>
      </c>
      <c r="B25" s="31">
        <f t="shared" si="8"/>
        <v>2581</v>
      </c>
      <c r="C25" s="34">
        <v>19</v>
      </c>
      <c r="D25" s="32">
        <v>591</v>
      </c>
      <c r="E25" s="33">
        <v>279</v>
      </c>
      <c r="F25" s="32">
        <f t="shared" si="3"/>
        <v>47.208121827411169</v>
      </c>
      <c r="G25" s="32">
        <v>13</v>
      </c>
      <c r="H25" s="32">
        <v>1502</v>
      </c>
      <c r="I25" s="33">
        <v>758</v>
      </c>
      <c r="J25" s="34">
        <f t="shared" si="5"/>
        <v>50.466045272969374</v>
      </c>
      <c r="K25" s="32">
        <v>13</v>
      </c>
      <c r="L25" s="32">
        <v>434</v>
      </c>
      <c r="M25" s="33">
        <v>192</v>
      </c>
      <c r="N25" s="34">
        <f t="shared" si="6"/>
        <v>44.23963133640553</v>
      </c>
      <c r="O25" s="32">
        <v>3</v>
      </c>
      <c r="P25" s="32">
        <v>54</v>
      </c>
      <c r="Q25" s="33">
        <v>28</v>
      </c>
      <c r="R25" s="34">
        <f t="shared" si="9"/>
        <v>51.851851851851848</v>
      </c>
      <c r="S25" s="35" t="s">
        <v>35</v>
      </c>
    </row>
    <row r="26" spans="1:24" s="8" customFormat="1" ht="15.75">
      <c r="A26" s="30" t="s">
        <v>19</v>
      </c>
      <c r="B26" s="31">
        <f t="shared" si="8"/>
        <v>3462</v>
      </c>
      <c r="C26" s="34">
        <v>15</v>
      </c>
      <c r="D26" s="32">
        <v>621</v>
      </c>
      <c r="E26" s="33">
        <v>291</v>
      </c>
      <c r="F26" s="32">
        <f t="shared" si="3"/>
        <v>46.859903381642518</v>
      </c>
      <c r="G26" s="32">
        <v>13</v>
      </c>
      <c r="H26" s="32">
        <v>2013</v>
      </c>
      <c r="I26" s="33">
        <v>961</v>
      </c>
      <c r="J26" s="34">
        <f t="shared" si="5"/>
        <v>47.739692001987081</v>
      </c>
      <c r="K26" s="32">
        <v>12</v>
      </c>
      <c r="L26" s="32">
        <v>746</v>
      </c>
      <c r="M26" s="33">
        <v>346</v>
      </c>
      <c r="N26" s="34">
        <f t="shared" si="6"/>
        <v>46.380697050938338</v>
      </c>
      <c r="O26" s="32">
        <v>4</v>
      </c>
      <c r="P26" s="32">
        <v>82</v>
      </c>
      <c r="Q26" s="33">
        <v>50</v>
      </c>
      <c r="R26" s="34">
        <f t="shared" si="9"/>
        <v>60.975609756097562</v>
      </c>
      <c r="S26" s="35" t="s">
        <v>36</v>
      </c>
    </row>
    <row r="27" spans="1:24" s="8" customFormat="1" ht="15.75">
      <c r="A27" s="30" t="s">
        <v>37</v>
      </c>
      <c r="B27" s="31">
        <f t="shared" si="8"/>
        <v>2191</v>
      </c>
      <c r="C27" s="34">
        <v>14</v>
      </c>
      <c r="D27" s="32">
        <v>447</v>
      </c>
      <c r="E27" s="33">
        <v>212</v>
      </c>
      <c r="F27" s="32">
        <f t="shared" si="3"/>
        <v>47.427293064876956</v>
      </c>
      <c r="G27" s="32">
        <v>9</v>
      </c>
      <c r="H27" s="32">
        <v>1216</v>
      </c>
      <c r="I27" s="33">
        <v>580</v>
      </c>
      <c r="J27" s="34">
        <f t="shared" si="5"/>
        <v>47.69736842105263</v>
      </c>
      <c r="K27" s="32">
        <v>9</v>
      </c>
      <c r="L27" s="32">
        <v>496</v>
      </c>
      <c r="M27" s="33">
        <v>232</v>
      </c>
      <c r="N27" s="34">
        <f t="shared" si="6"/>
        <v>46.774193548387096</v>
      </c>
      <c r="O27" s="32">
        <v>2</v>
      </c>
      <c r="P27" s="32">
        <v>32</v>
      </c>
      <c r="Q27" s="33">
        <v>14</v>
      </c>
      <c r="R27" s="34">
        <f t="shared" si="9"/>
        <v>43.75</v>
      </c>
      <c r="S27" s="35" t="s">
        <v>38</v>
      </c>
    </row>
    <row r="28" spans="1:24" ht="15.75">
      <c r="A28" s="30" t="s">
        <v>39</v>
      </c>
      <c r="B28" s="31">
        <f t="shared" si="8"/>
        <v>3069</v>
      </c>
      <c r="C28" s="34">
        <v>13</v>
      </c>
      <c r="D28" s="32">
        <v>555</v>
      </c>
      <c r="E28" s="33">
        <v>243</v>
      </c>
      <c r="F28" s="32">
        <f t="shared" si="3"/>
        <v>43.78378378378379</v>
      </c>
      <c r="G28" s="32">
        <v>10</v>
      </c>
      <c r="H28" s="32">
        <v>1785</v>
      </c>
      <c r="I28" s="33">
        <v>836</v>
      </c>
      <c r="J28" s="34">
        <f t="shared" si="5"/>
        <v>46.83473389355742</v>
      </c>
      <c r="K28" s="32">
        <v>11</v>
      </c>
      <c r="L28" s="32">
        <v>664</v>
      </c>
      <c r="M28" s="33">
        <v>306</v>
      </c>
      <c r="N28" s="34">
        <f t="shared" si="6"/>
        <v>46.084337349397593</v>
      </c>
      <c r="O28" s="32">
        <v>2</v>
      </c>
      <c r="P28" s="32">
        <v>65</v>
      </c>
      <c r="Q28" s="33">
        <v>40</v>
      </c>
      <c r="R28" s="34">
        <f t="shared" si="9"/>
        <v>61.53846153846154</v>
      </c>
      <c r="S28" s="35" t="s">
        <v>40</v>
      </c>
    </row>
    <row r="29" spans="1:24" ht="15.75">
      <c r="A29" s="37" t="s">
        <v>41</v>
      </c>
      <c r="B29" s="31">
        <f t="shared" si="8"/>
        <v>2424</v>
      </c>
      <c r="C29" s="34">
        <v>7</v>
      </c>
      <c r="D29" s="32">
        <v>588</v>
      </c>
      <c r="E29" s="33">
        <v>291</v>
      </c>
      <c r="F29" s="32">
        <f t="shared" si="3"/>
        <v>49.489795918367349</v>
      </c>
      <c r="G29" s="32">
        <v>3</v>
      </c>
      <c r="H29" s="32">
        <v>1297</v>
      </c>
      <c r="I29" s="33">
        <v>633</v>
      </c>
      <c r="J29" s="34">
        <f t="shared" si="5"/>
        <v>48.804934464148033</v>
      </c>
      <c r="K29" s="32">
        <v>4</v>
      </c>
      <c r="L29" s="32">
        <v>473</v>
      </c>
      <c r="M29" s="33">
        <v>245</v>
      </c>
      <c r="N29" s="34">
        <f t="shared" si="6"/>
        <v>51.79704016913319</v>
      </c>
      <c r="O29" s="32">
        <v>1</v>
      </c>
      <c r="P29" s="32">
        <v>66</v>
      </c>
      <c r="Q29" s="33">
        <v>36</v>
      </c>
      <c r="R29" s="34">
        <f t="shared" si="9"/>
        <v>54.54545454545454</v>
      </c>
      <c r="S29" s="38" t="s">
        <v>12</v>
      </c>
    </row>
    <row r="30" spans="1:24" ht="15.75">
      <c r="A30" s="39" t="s">
        <v>11</v>
      </c>
      <c r="B30" s="40">
        <f t="shared" si="8"/>
        <v>5142</v>
      </c>
      <c r="C30" s="43">
        <v>21</v>
      </c>
      <c r="D30" s="41">
        <v>1228</v>
      </c>
      <c r="E30" s="42">
        <v>607</v>
      </c>
      <c r="F30" s="41">
        <f t="shared" si="3"/>
        <v>49.4299674267101</v>
      </c>
      <c r="G30" s="41">
        <v>9</v>
      </c>
      <c r="H30" s="41">
        <v>2633</v>
      </c>
      <c r="I30" s="42">
        <v>1285</v>
      </c>
      <c r="J30" s="43">
        <f t="shared" si="5"/>
        <v>48.803646031143181</v>
      </c>
      <c r="K30" s="41">
        <v>8</v>
      </c>
      <c r="L30" s="41">
        <v>1029</v>
      </c>
      <c r="M30" s="42">
        <v>502</v>
      </c>
      <c r="N30" s="43">
        <f t="shared" si="6"/>
        <v>48.78522837706511</v>
      </c>
      <c r="O30" s="41">
        <v>3</v>
      </c>
      <c r="P30" s="41">
        <v>252</v>
      </c>
      <c r="Q30" s="42">
        <v>155</v>
      </c>
      <c r="R30" s="43">
        <f t="shared" si="9"/>
        <v>61.507936507936513</v>
      </c>
      <c r="S30" s="44" t="s">
        <v>42</v>
      </c>
    </row>
    <row r="31" spans="1:24" s="56" customFormat="1" ht="18.75">
      <c r="A31" s="2" t="s">
        <v>66</v>
      </c>
      <c r="B31" s="45"/>
      <c r="C31" s="46"/>
      <c r="D31" s="45"/>
      <c r="E31" s="45"/>
      <c r="F31" s="47"/>
      <c r="G31" s="48"/>
      <c r="H31" s="49"/>
      <c r="I31" s="49"/>
      <c r="J31" s="48"/>
      <c r="K31" s="48"/>
      <c r="L31" s="50"/>
      <c r="M31" s="50"/>
      <c r="N31" s="51"/>
      <c r="O31" s="51"/>
      <c r="P31" s="50"/>
      <c r="Q31" s="50"/>
      <c r="R31" s="51"/>
      <c r="S31" s="52"/>
      <c r="T31" s="53"/>
      <c r="U31" s="54"/>
      <c r="V31" s="54"/>
      <c r="W31" s="54"/>
      <c r="X31" s="55"/>
    </row>
    <row r="32" spans="1:24" s="56" customFormat="1" ht="18.75" customHeight="1">
      <c r="A32" s="2" t="s">
        <v>67</v>
      </c>
      <c r="B32" s="45"/>
      <c r="C32" s="46"/>
      <c r="D32" s="45"/>
      <c r="E32" s="45"/>
      <c r="F32" s="57"/>
      <c r="G32" s="48"/>
      <c r="H32" s="49"/>
      <c r="I32" s="49"/>
      <c r="J32" s="48"/>
      <c r="K32" s="48"/>
      <c r="L32" s="58"/>
      <c r="M32" s="58"/>
      <c r="N32" s="58"/>
      <c r="O32" s="58"/>
      <c r="P32" s="58"/>
      <c r="Q32" s="58"/>
      <c r="R32" s="58"/>
      <c r="S32" s="52" t="s">
        <v>68</v>
      </c>
      <c r="T32" s="59"/>
      <c r="U32" s="60"/>
      <c r="V32" s="60"/>
      <c r="W32" s="60"/>
      <c r="X32" s="7"/>
    </row>
    <row r="33" spans="1:24" ht="17.25">
      <c r="A33" s="61" t="s">
        <v>69</v>
      </c>
      <c r="B33" s="62"/>
      <c r="C33" s="63"/>
      <c r="D33" s="64"/>
      <c r="E33" s="64"/>
      <c r="F33" s="65"/>
      <c r="G33" s="66"/>
      <c r="H33" s="49"/>
      <c r="I33" s="49"/>
      <c r="J33" s="66"/>
      <c r="K33" s="66"/>
      <c r="L33" s="75" t="s">
        <v>43</v>
      </c>
      <c r="M33" s="75"/>
      <c r="N33" s="75"/>
      <c r="O33" s="75"/>
      <c r="P33" s="75"/>
      <c r="Q33" s="75"/>
      <c r="R33" s="75"/>
      <c r="S33" s="75"/>
      <c r="T33" s="67"/>
      <c r="U33" s="68"/>
      <c r="V33" s="67"/>
      <c r="W33" s="68"/>
      <c r="X33" s="69"/>
    </row>
    <row r="34" spans="1:24">
      <c r="D34" s="70"/>
      <c r="E34" s="70"/>
      <c r="F34" s="71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60"/>
    </row>
    <row r="35" spans="1:24">
      <c r="B35" s="33"/>
      <c r="C35" s="33"/>
      <c r="D35" s="4"/>
      <c r="E35" s="4"/>
    </row>
    <row r="36" spans="1:24">
      <c r="B36" s="33"/>
      <c r="C36" s="33"/>
      <c r="D36" s="4"/>
      <c r="E36" s="4"/>
    </row>
    <row r="37" spans="1:24">
      <c r="B37" s="33"/>
      <c r="C37" s="33"/>
      <c r="D37" s="4"/>
      <c r="E37" s="4"/>
    </row>
  </sheetData>
  <mergeCells count="16">
    <mergeCell ref="L33:S33"/>
    <mergeCell ref="G34:J34"/>
    <mergeCell ref="K34:N34"/>
    <mergeCell ref="O34:R34"/>
    <mergeCell ref="A1:S1"/>
    <mergeCell ref="A2:S2"/>
    <mergeCell ref="A4:A7"/>
    <mergeCell ref="C4:F4"/>
    <mergeCell ref="G4:J4"/>
    <mergeCell ref="K4:N4"/>
    <mergeCell ref="O4:R4"/>
    <mergeCell ref="C5:F5"/>
    <mergeCell ref="G5:J5"/>
    <mergeCell ref="K5:N5"/>
    <mergeCell ref="S4:S7"/>
    <mergeCell ref="O5:R5"/>
  </mergeCells>
  <pageMargins left="0.7" right="0.7" top="0.75" bottom="0.75" header="0.3" footer="0.3"/>
  <pageSetup paperSize="9" scale="59" orientation="portrait" horizontalDpi="4294967295" verticalDpi="4294967295" r:id="rId1"/>
  <ignoredErrors>
    <ignoredError sqref="F8:F10 J8:N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7.3</vt:lpstr>
      <vt:lpstr>'7.3'!Print_Area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2019-05-22T08:02:38Z</cp:lastPrinted>
  <dcterms:created xsi:type="dcterms:W3CDTF">2019-02-28T08:20:57Z</dcterms:created>
  <dcterms:modified xsi:type="dcterms:W3CDTF">2019-05-27T07:00:06Z</dcterms:modified>
</cp:coreProperties>
</file>