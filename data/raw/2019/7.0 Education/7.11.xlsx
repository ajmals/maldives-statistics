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 tabRatio="834"/>
  </bookViews>
  <sheets>
    <sheet name="7.11" sheetId="11" r:id="rId1"/>
  </sheets>
  <externalReferences>
    <externalReference r:id="rId2"/>
  </externalReferences>
  <definedNames>
    <definedName name="_xlnm.Print_Area" localSheetId="0">'7.11'!$A$1:$T$28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6" i="11" l="1"/>
  <c r="N26" i="11"/>
  <c r="K26" i="11"/>
  <c r="H26" i="11"/>
  <c r="E26" i="11"/>
  <c r="D26" i="11"/>
  <c r="C26" i="11"/>
  <c r="B26" i="11" s="1"/>
  <c r="Q25" i="11"/>
  <c r="N25" i="11"/>
  <c r="K25" i="11"/>
  <c r="H25" i="11"/>
  <c r="E25" i="11"/>
  <c r="D25" i="11"/>
  <c r="C25" i="11"/>
  <c r="B25" i="11" s="1"/>
  <c r="Q24" i="11"/>
  <c r="N24" i="11"/>
  <c r="K24" i="11"/>
  <c r="H24" i="11"/>
  <c r="E24" i="11"/>
  <c r="D24" i="11"/>
  <c r="C24" i="11"/>
  <c r="Q23" i="11"/>
  <c r="N23" i="11"/>
  <c r="K23" i="11"/>
  <c r="H23" i="11"/>
  <c r="E23" i="11"/>
  <c r="D23" i="11"/>
  <c r="C23" i="11"/>
  <c r="Q22" i="11"/>
  <c r="N22" i="11"/>
  <c r="K22" i="11"/>
  <c r="H22" i="11"/>
  <c r="E22" i="11"/>
  <c r="D22" i="11"/>
  <c r="C22" i="11"/>
  <c r="B22" i="11" s="1"/>
  <c r="Q21" i="11"/>
  <c r="N21" i="11"/>
  <c r="K21" i="11"/>
  <c r="H21" i="11"/>
  <c r="E21" i="11"/>
  <c r="D21" i="11"/>
  <c r="C21" i="11"/>
  <c r="B21" i="11" s="1"/>
  <c r="Q20" i="11"/>
  <c r="N20" i="11"/>
  <c r="K20" i="11"/>
  <c r="H20" i="11"/>
  <c r="E20" i="11"/>
  <c r="D20" i="11"/>
  <c r="C20" i="11"/>
  <c r="Q19" i="11"/>
  <c r="N19" i="11"/>
  <c r="K19" i="11"/>
  <c r="H19" i="11"/>
  <c r="E19" i="11"/>
  <c r="D19" i="11"/>
  <c r="C19" i="11"/>
  <c r="Q18" i="11"/>
  <c r="N18" i="11"/>
  <c r="K18" i="11"/>
  <c r="H18" i="11"/>
  <c r="E18" i="11"/>
  <c r="D18" i="11"/>
  <c r="C18" i="11"/>
  <c r="B18" i="11" s="1"/>
  <c r="Q17" i="11"/>
  <c r="N17" i="11"/>
  <c r="K17" i="11"/>
  <c r="H17" i="11"/>
  <c r="E17" i="11"/>
  <c r="D17" i="11"/>
  <c r="C17" i="11"/>
  <c r="B17" i="11" s="1"/>
  <c r="Q16" i="11"/>
  <c r="N16" i="11"/>
  <c r="K16" i="11"/>
  <c r="H16" i="11"/>
  <c r="E16" i="11"/>
  <c r="D16" i="11"/>
  <c r="C16" i="11"/>
  <c r="Q15" i="11"/>
  <c r="N15" i="11"/>
  <c r="K15" i="11"/>
  <c r="H15" i="11"/>
  <c r="E15" i="11"/>
  <c r="D15" i="11"/>
  <c r="C15" i="11"/>
  <c r="Q14" i="11"/>
  <c r="N14" i="11"/>
  <c r="K14" i="11"/>
  <c r="H14" i="11"/>
  <c r="E14" i="11"/>
  <c r="D14" i="11"/>
  <c r="C14" i="11"/>
  <c r="B14" i="11" s="1"/>
  <c r="Q13" i="11"/>
  <c r="N13" i="11"/>
  <c r="K13" i="11"/>
  <c r="H13" i="11"/>
  <c r="E13" i="11"/>
  <c r="D13" i="11"/>
  <c r="C13" i="11"/>
  <c r="Q12" i="11"/>
  <c r="N12" i="11"/>
  <c r="K12" i="11"/>
  <c r="H12" i="11"/>
  <c r="E12" i="11"/>
  <c r="D12" i="11"/>
  <c r="C12" i="11"/>
  <c r="B12" i="11" s="1"/>
  <c r="Q11" i="11"/>
  <c r="N11" i="11"/>
  <c r="K11" i="11"/>
  <c r="H11" i="11"/>
  <c r="E11" i="11"/>
  <c r="D11" i="11"/>
  <c r="C11" i="11"/>
  <c r="Q10" i="11"/>
  <c r="N10" i="11"/>
  <c r="K10" i="11"/>
  <c r="H10" i="11"/>
  <c r="E10" i="11"/>
  <c r="D10" i="11"/>
  <c r="C10" i="11"/>
  <c r="B10" i="11" s="1"/>
  <c r="Q9" i="11"/>
  <c r="N9" i="11"/>
  <c r="K9" i="11"/>
  <c r="H9" i="11"/>
  <c r="E9" i="11"/>
  <c r="D9" i="11"/>
  <c r="C9" i="11"/>
  <c r="B9" i="11" s="1"/>
  <c r="Q8" i="11"/>
  <c r="N8" i="11"/>
  <c r="K8" i="11"/>
  <c r="H8" i="11"/>
  <c r="E8" i="11"/>
  <c r="D8" i="11"/>
  <c r="C8" i="11"/>
  <c r="Q7" i="11"/>
  <c r="N7" i="11"/>
  <c r="K7" i="11"/>
  <c r="H7" i="11"/>
  <c r="E7" i="11"/>
  <c r="D7" i="11"/>
  <c r="C7" i="11"/>
  <c r="S6" i="11"/>
  <c r="R6" i="11"/>
  <c r="C6" i="11" s="1"/>
  <c r="P6" i="11"/>
  <c r="O6" i="11"/>
  <c r="M6" i="11"/>
  <c r="L6" i="11"/>
  <c r="K6" i="11"/>
  <c r="J6" i="11"/>
  <c r="I6" i="11"/>
  <c r="H6" i="11"/>
  <c r="G6" i="11"/>
  <c r="D6" i="11" s="1"/>
  <c r="F6" i="11"/>
  <c r="Q6" i="11" l="1"/>
  <c r="B8" i="11"/>
  <c r="B16" i="11"/>
  <c r="B24" i="11"/>
  <c r="B7" i="11"/>
  <c r="B15" i="11"/>
  <c r="B23" i="11"/>
  <c r="B13" i="11"/>
  <c r="B20" i="11"/>
  <c r="E6" i="11"/>
  <c r="N6" i="11"/>
  <c r="B11" i="11"/>
  <c r="B19" i="11"/>
  <c r="B6" i="11"/>
</calcChain>
</file>

<file path=xl/sharedStrings.xml><?xml version="1.0" encoding="utf-8"?>
<sst xmlns="http://schemas.openxmlformats.org/spreadsheetml/2006/main" count="49" uniqueCount="34">
  <si>
    <t>Total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</si>
  <si>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</si>
  <si>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</si>
  <si>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</si>
  <si>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</si>
  <si>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</si>
  <si>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</si>
  <si>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</si>
  <si>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</si>
  <si>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</si>
  <si>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</si>
  <si>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</si>
  <si>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</si>
  <si>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</si>
  <si>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</si>
  <si>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</si>
  <si>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</si>
  <si>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</si>
  <si>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</si>
  <si>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</si>
  <si>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</si>
  <si>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</si>
  <si>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</si>
  <si>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Both Sexes</t>
  </si>
  <si>
    <t>Male</t>
  </si>
  <si>
    <t>Female</t>
  </si>
  <si>
    <t>Locality</t>
  </si>
  <si>
    <t>Lower Secondary Level</t>
  </si>
  <si>
    <t>Higher Secondary Level</t>
  </si>
  <si>
    <t xml:space="preserve"> ތާވަލް 7.11: އަތޮޅުތަކުގައި ހުރި ސަރުކާރު މަދަރުސާގައި އެކިފެންވަރަށް ކިޔަވާކުދިންގެ އަދަދު، ޖިންސު ވަކިން، 2018</t>
  </si>
  <si>
    <t>Table  7.11 : STUDENT ENROLMENT IN GOVERNMENT SCHOOLS OF ATOLLS, BY EDUCATIONAL LEVEL AND SEX , 2018</t>
  </si>
  <si>
    <t>Pre-Primary</t>
  </si>
  <si>
    <t>Primary Level</t>
  </si>
  <si>
    <t>Special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</si>
</sst>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name val="Faruma"/>
    </font>
    <font>
      <b/>
      <sz val="12"/>
      <name val="Calibri"/>
      <family val="2"/>
      <scheme val="minor"/>
    </font>
    <font>
      <u/>
      <sz val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6" fillId="0" borderId="0"/>
    <xf numFmtId="167" fontId="6" fillId="0" borderId="0"/>
    <xf numFmtId="0" fontId="2" fillId="0" borderId="0"/>
    <xf numFmtId="0" fontId="2" fillId="0" borderId="0"/>
    <xf numFmtId="164" fontId="6" fillId="0" borderId="0"/>
    <xf numFmtId="165" fontId="6" fillId="0" borderId="0"/>
    <xf numFmtId="164" fontId="6" fillId="0" borderId="0"/>
    <xf numFmtId="165" fontId="6" fillId="0" borderId="0"/>
  </cellStyleXfs>
  <cellXfs count="42">
    <xf numFmtId="0" fontId="0" fillId="0" borderId="0" xfId="0"/>
    <xf numFmtId="164" fontId="2" fillId="2" borderId="0" xfId="0" applyNumberFormat="1" applyFont="1" applyFill="1"/>
    <xf numFmtId="164" fontId="8" fillId="2" borderId="0" xfId="0" applyNumberFormat="1" applyFont="1" applyFill="1"/>
    <xf numFmtId="164" fontId="11" fillId="2" borderId="0" xfId="0" applyNumberFormat="1" applyFont="1" applyFill="1" applyAlignment="1" applyProtection="1">
      <alignment horizontal="left" vertical="center"/>
    </xf>
    <xf numFmtId="164" fontId="7" fillId="2" borderId="0" xfId="0" applyNumberFormat="1" applyFont="1" applyFill="1"/>
    <xf numFmtId="164" fontId="12" fillId="2" borderId="0" xfId="0" applyNumberFormat="1" applyFont="1" applyFill="1" applyAlignment="1" applyProtection="1">
      <alignment horizontal="left" vertical="center" indent="1"/>
    </xf>
    <xf numFmtId="164" fontId="12" fillId="2" borderId="1" xfId="0" applyNumberFormat="1" applyFont="1" applyFill="1" applyBorder="1" applyAlignment="1" applyProtection="1">
      <alignment horizontal="left" vertical="center" indent="1"/>
    </xf>
    <xf numFmtId="164" fontId="2" fillId="2" borderId="0" xfId="0" applyNumberFormat="1" applyFont="1" applyFill="1" applyAlignment="1">
      <alignment vertical="center"/>
    </xf>
    <xf numFmtId="0" fontId="0" fillId="2" borderId="0" xfId="0" applyFill="1"/>
    <xf numFmtId="164" fontId="14" fillId="2" borderId="0" xfId="0" applyNumberFormat="1" applyFont="1" applyFill="1"/>
    <xf numFmtId="164" fontId="12" fillId="2" borderId="0" xfId="0" applyNumberFormat="1" applyFont="1" applyFill="1"/>
    <xf numFmtId="164" fontId="5" fillId="2" borderId="0" xfId="0" applyNumberFormat="1" applyFont="1" applyFill="1" applyAlignment="1" applyProtection="1">
      <alignment horizontal="center" vertical="center"/>
    </xf>
    <xf numFmtId="164" fontId="4" fillId="2" borderId="0" xfId="0" applyNumberFormat="1" applyFont="1" applyFill="1" applyAlignment="1">
      <alignment vertical="center"/>
    </xf>
    <xf numFmtId="164" fontId="3" fillId="2" borderId="8" xfId="0" applyNumberFormat="1" applyFont="1" applyFill="1" applyBorder="1" applyAlignment="1" applyProtection="1">
      <alignment horizontal="right" vertical="center" wrapText="1"/>
    </xf>
    <xf numFmtId="164" fontId="3" fillId="2" borderId="8" xfId="0" applyNumberFormat="1" applyFont="1" applyFill="1" applyBorder="1" applyAlignment="1" applyProtection="1">
      <alignment horizontal="right" vertical="center"/>
    </xf>
    <xf numFmtId="164" fontId="3" fillId="2" borderId="6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 applyProtection="1">
      <alignment horizontal="right" vertical="center"/>
    </xf>
    <xf numFmtId="164" fontId="3" fillId="2" borderId="4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 applyProtection="1">
      <alignment horizontal="right" vertical="center" wrapText="1"/>
    </xf>
    <xf numFmtId="164" fontId="3" fillId="2" borderId="0" xfId="0" applyNumberFormat="1" applyFont="1" applyFill="1" applyAlignment="1" applyProtection="1">
      <alignment horizontal="left" vertical="center"/>
    </xf>
    <xf numFmtId="3" fontId="3" fillId="2" borderId="2" xfId="0" applyNumberFormat="1" applyFont="1" applyFill="1" applyBorder="1" applyAlignment="1" applyProtection="1">
      <alignment vertical="center"/>
    </xf>
    <xf numFmtId="3" fontId="3" fillId="2" borderId="0" xfId="0" applyNumberFormat="1" applyFont="1" applyFill="1" applyBorder="1" applyAlignment="1" applyProtection="1">
      <alignment vertical="center"/>
    </xf>
    <xf numFmtId="3" fontId="3" fillId="2" borderId="7" xfId="0" applyNumberFormat="1" applyFont="1" applyFill="1" applyBorder="1" applyAlignment="1" applyProtection="1">
      <alignment vertical="center"/>
    </xf>
    <xf numFmtId="3" fontId="3" fillId="2" borderId="3" xfId="0" applyNumberFormat="1" applyFont="1" applyFill="1" applyBorder="1" applyAlignment="1" applyProtection="1">
      <alignment vertical="center"/>
    </xf>
    <xf numFmtId="3" fontId="12" fillId="2" borderId="0" xfId="0" applyNumberFormat="1" applyFont="1" applyFill="1" applyBorder="1" applyAlignment="1" applyProtection="1">
      <alignment vertical="center"/>
    </xf>
    <xf numFmtId="3" fontId="3" fillId="2" borderId="5" xfId="0" applyNumberFormat="1" applyFont="1" applyFill="1" applyBorder="1" applyAlignment="1" applyProtection="1">
      <alignment vertical="center"/>
    </xf>
    <xf numFmtId="3" fontId="3" fillId="2" borderId="1" xfId="0" applyNumberFormat="1" applyFont="1" applyFill="1" applyBorder="1" applyAlignment="1" applyProtection="1">
      <alignment vertical="center"/>
    </xf>
    <xf numFmtId="3" fontId="12" fillId="2" borderId="1" xfId="0" applyNumberFormat="1" applyFont="1" applyFill="1" applyBorder="1" applyAlignment="1" applyProtection="1">
      <alignment vertical="center"/>
    </xf>
    <xf numFmtId="3" fontId="3" fillId="2" borderId="6" xfId="0" applyNumberFormat="1" applyFont="1" applyFill="1" applyBorder="1" applyAlignment="1" applyProtection="1">
      <alignment vertical="center"/>
    </xf>
    <xf numFmtId="164" fontId="13" fillId="2" borderId="0" xfId="0" applyNumberFormat="1" applyFont="1" applyFill="1" applyAlignment="1" applyProtection="1">
      <alignment horizontal="left"/>
    </xf>
    <xf numFmtId="164" fontId="7" fillId="2" borderId="0" xfId="0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164" fontId="17" fillId="2" borderId="0" xfId="2" applyNumberFormat="1" applyFont="1" applyFill="1" applyAlignment="1" applyProtection="1"/>
    <xf numFmtId="3" fontId="12" fillId="2" borderId="3" xfId="0" applyNumberFormat="1" applyFont="1" applyFill="1" applyBorder="1" applyAlignment="1" applyProtection="1">
      <alignment vertical="center"/>
    </xf>
    <xf numFmtId="3" fontId="12" fillId="2" borderId="4" xfId="0" applyNumberFormat="1" applyFont="1" applyFill="1" applyBorder="1" applyAlignment="1" applyProtection="1">
      <alignment vertical="center"/>
    </xf>
    <xf numFmtId="164" fontId="15" fillId="2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164" fontId="3" fillId="2" borderId="8" xfId="0" applyNumberFormat="1" applyFont="1" applyFill="1" applyBorder="1" applyAlignment="1" applyProtection="1">
      <alignment horizontal="center" vertical="center"/>
    </xf>
    <xf numFmtId="164" fontId="3" fillId="2" borderId="9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</cellXfs>
  <cellStyles count="11">
    <cellStyle name="Comma" xfId="1" builtinId="3"/>
    <cellStyle name="Hyperlink" xfId="2" builtinId="8"/>
    <cellStyle name="Normal" xfId="0" builtinId="0"/>
    <cellStyle name="Normal 10" xfId="6"/>
    <cellStyle name="Normal 2 2 2" xfId="3"/>
    <cellStyle name="Normal 37" xfId="5"/>
    <cellStyle name="Normal 6" xfId="10"/>
    <cellStyle name="Normal 6 4" xfId="9"/>
    <cellStyle name="Normal 7" xfId="8"/>
    <cellStyle name="Normal 7 4" xfId="7"/>
    <cellStyle name="Normal 8" xfId="4"/>
  </cellStyles>
  <dxfs count="0"/>
  <tableStyles count="0" defaultTableStyle="TableStyleMedium2" defaultPivotStyle="PivotStyleLight16"/>
  <colors>
    <mruColors>
      <color rgb="FFFFFFEB"/>
      <color rgb="FFFFF1C9"/>
      <color rgb="FFFFE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1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3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2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3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3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5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3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41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4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5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5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5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61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6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6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6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9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0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71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2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3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74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75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6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77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78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28</xdr:row>
      <xdr:rowOff>19050</xdr:rowOff>
    </xdr:from>
    <xdr:to>
      <xdr:col>2</xdr:col>
      <xdr:colOff>438150</xdr:colOff>
      <xdr:row>28</xdr:row>
      <xdr:rowOff>19050</xdr:rowOff>
    </xdr:to>
    <xdr:sp macro="" textlink="">
      <xdr:nvSpPr>
        <xdr:cNvPr id="79" name="Text 5"/>
        <xdr:cNvSpPr txBox="1">
          <a:spLocks noChangeArrowheads="1"/>
        </xdr:cNvSpPr>
      </xdr:nvSpPr>
      <xdr:spPr bwMode="auto">
        <a:xfrm>
          <a:off x="1143000" y="70770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80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16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17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1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1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2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2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2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2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3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3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37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3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4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4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4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8" name="Text 3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49" name="Text 4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5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51" name="Text 8"/>
        <xdr:cNvSpPr txBox="1">
          <a:spLocks noChangeArrowheads="1"/>
        </xdr:cNvSpPr>
      </xdr:nvSpPr>
      <xdr:spPr bwMode="auto">
        <a:xfrm>
          <a:off x="66579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5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5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57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5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5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6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6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6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6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6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7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7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7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77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7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8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8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5" name="Text 5"/>
        <xdr:cNvSpPr txBox="1">
          <a:spLocks noChangeArrowheads="1"/>
        </xdr:cNvSpPr>
      </xdr:nvSpPr>
      <xdr:spPr bwMode="auto">
        <a:xfrm>
          <a:off x="19050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6" name="Text 5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87" name="Text Box 1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8" name="Text 3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89" name="Text 4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90" name="Text 7"/>
        <xdr:cNvSpPr txBox="1">
          <a:spLocks noChangeArrowheads="1"/>
        </xdr:cNvSpPr>
      </xdr:nvSpPr>
      <xdr:spPr bwMode="auto">
        <a:xfrm>
          <a:off x="2619375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91" name="Text 8"/>
        <xdr:cNvSpPr txBox="1">
          <a:spLocks noChangeArrowheads="1"/>
        </xdr:cNvSpPr>
      </xdr:nvSpPr>
      <xdr:spPr bwMode="auto">
        <a:xfrm>
          <a:off x="8743950" y="68103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2" name="Text 9"/>
        <xdr:cNvSpPr txBox="1">
          <a:spLocks noChangeArrowheads="1"/>
        </xdr:cNvSpPr>
      </xdr:nvSpPr>
      <xdr:spPr bwMode="auto">
        <a:xfrm>
          <a:off x="47625" y="68103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93" name="Text 10"/>
        <xdr:cNvSpPr txBox="1">
          <a:spLocks noChangeArrowheads="1"/>
        </xdr:cNvSpPr>
      </xdr:nvSpPr>
      <xdr:spPr bwMode="auto">
        <a:xfrm>
          <a:off x="66675" y="68103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4" name="Text 5"/>
        <xdr:cNvSpPr txBox="1">
          <a:spLocks noChangeArrowheads="1"/>
        </xdr:cNvSpPr>
      </xdr:nvSpPr>
      <xdr:spPr bwMode="auto">
        <a:xfrm flipV="1">
          <a:off x="9525" y="68103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495300</xdr:colOff>
      <xdr:row>28</xdr:row>
      <xdr:rowOff>19050</xdr:rowOff>
    </xdr:from>
    <xdr:to>
      <xdr:col>2</xdr:col>
      <xdr:colOff>438150</xdr:colOff>
      <xdr:row>28</xdr:row>
      <xdr:rowOff>19050</xdr:rowOff>
    </xdr:to>
    <xdr:sp macro="" textlink="">
      <xdr:nvSpPr>
        <xdr:cNvPr id="195" name="Text 5"/>
        <xdr:cNvSpPr txBox="1">
          <a:spLocks noChangeArrowheads="1"/>
        </xdr:cNvSpPr>
      </xdr:nvSpPr>
      <xdr:spPr bwMode="auto">
        <a:xfrm>
          <a:off x="1143000" y="70770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96" name="Text Box 300"/>
        <xdr:cNvSpPr txBox="1">
          <a:spLocks noChangeArrowheads="1"/>
        </xdr:cNvSpPr>
      </xdr:nvSpPr>
      <xdr:spPr bwMode="auto">
        <a:xfrm flipV="1">
          <a:off x="19050" y="304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232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233" name="Text 5"/>
        <xdr:cNvSpPr txBox="1">
          <a:spLocks noChangeArrowheads="1"/>
        </xdr:cNvSpPr>
      </xdr:nvSpPr>
      <xdr:spPr bwMode="auto">
        <a:xfrm>
          <a:off x="11372850" y="51911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8"/>
  <sheetViews>
    <sheetView tabSelected="1" zoomScaleNormal="100" workbookViewId="0">
      <selection activeCell="L27" sqref="L27"/>
    </sheetView>
  </sheetViews>
  <sheetFormatPr defaultColWidth="11.140625" defaultRowHeight="19.5" customHeight="1" x14ac:dyDescent="0.2"/>
  <cols>
    <col min="1" max="1" width="9.7109375" style="1" customWidth="1"/>
    <col min="2" max="8" width="9.85546875" style="1" customWidth="1"/>
    <col min="9" max="9" width="10.42578125" style="1" customWidth="1"/>
    <col min="10" max="10" width="10.7109375" style="1" customWidth="1"/>
    <col min="11" max="11" width="10.28515625" style="1" customWidth="1"/>
    <col min="12" max="12" width="10.85546875" style="1" customWidth="1"/>
    <col min="13" max="13" width="10.140625" style="1" customWidth="1"/>
    <col min="14" max="14" width="9.42578125" style="1" customWidth="1"/>
    <col min="15" max="16" width="11.140625" style="1"/>
    <col min="17" max="17" width="9.28515625" style="1" customWidth="1"/>
    <col min="18" max="19" width="11.140625" style="1"/>
    <col min="20" max="20" width="2.140625" style="1" customWidth="1"/>
    <col min="21" max="16384" width="11.140625" style="1"/>
  </cols>
  <sheetData>
    <row r="1" spans="1:21" ht="19.5" customHeight="1" x14ac:dyDescent="0.25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8"/>
      <c r="U1" s="9"/>
    </row>
    <row r="2" spans="1:21" s="10" customFormat="1" ht="19.5" customHeight="1" x14ac:dyDescent="0.25">
      <c r="A2" s="36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21" s="10" customFormat="1" ht="19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"/>
    </row>
    <row r="4" spans="1:21" s="12" customFormat="1" ht="19.5" customHeight="1" x14ac:dyDescent="0.25">
      <c r="A4" s="37" t="s">
        <v>26</v>
      </c>
      <c r="B4" s="39" t="s">
        <v>0</v>
      </c>
      <c r="C4" s="39"/>
      <c r="D4" s="39"/>
      <c r="E4" s="40" t="s">
        <v>31</v>
      </c>
      <c r="F4" s="39"/>
      <c r="G4" s="41"/>
      <c r="H4" s="39" t="s">
        <v>32</v>
      </c>
      <c r="I4" s="39"/>
      <c r="J4" s="39"/>
      <c r="K4" s="40" t="s">
        <v>27</v>
      </c>
      <c r="L4" s="39"/>
      <c r="M4" s="41"/>
      <c r="N4" s="40" t="s">
        <v>28</v>
      </c>
      <c r="O4" s="39"/>
      <c r="P4" s="41"/>
      <c r="Q4" s="39" t="s">
        <v>33</v>
      </c>
      <c r="R4" s="39"/>
      <c r="S4" s="39"/>
    </row>
    <row r="5" spans="1:21" s="12" customFormat="1" ht="29.25" customHeight="1" x14ac:dyDescent="0.25">
      <c r="A5" s="38"/>
      <c r="B5" s="13" t="s">
        <v>23</v>
      </c>
      <c r="C5" s="14" t="s">
        <v>24</v>
      </c>
      <c r="D5" s="13" t="s">
        <v>25</v>
      </c>
      <c r="E5" s="15" t="s">
        <v>23</v>
      </c>
      <c r="F5" s="16" t="s">
        <v>24</v>
      </c>
      <c r="G5" s="17" t="s">
        <v>25</v>
      </c>
      <c r="H5" s="18" t="s">
        <v>23</v>
      </c>
      <c r="I5" s="16" t="s">
        <v>24</v>
      </c>
      <c r="J5" s="18" t="s">
        <v>25</v>
      </c>
      <c r="K5" s="15" t="s">
        <v>23</v>
      </c>
      <c r="L5" s="16" t="s">
        <v>24</v>
      </c>
      <c r="M5" s="17" t="s">
        <v>25</v>
      </c>
      <c r="N5" s="15" t="s">
        <v>23</v>
      </c>
      <c r="O5" s="16" t="s">
        <v>24</v>
      </c>
      <c r="P5" s="17" t="s">
        <v>25</v>
      </c>
      <c r="Q5" s="18" t="s">
        <v>23</v>
      </c>
      <c r="R5" s="16" t="s">
        <v>24</v>
      </c>
      <c r="S5" s="18" t="s">
        <v>25</v>
      </c>
    </row>
    <row r="6" spans="1:21" s="12" customFormat="1" ht="19.5" customHeight="1" x14ac:dyDescent="0.25">
      <c r="A6" s="19" t="s">
        <v>1</v>
      </c>
      <c r="B6" s="20">
        <f>SUM(C6:D6)</f>
        <v>52417</v>
      </c>
      <c r="C6" s="21">
        <f>F6+I6+L6+O6+R6</f>
        <v>27117</v>
      </c>
      <c r="D6" s="21">
        <f>G6+J6+M6+P6+S6</f>
        <v>25300</v>
      </c>
      <c r="E6" s="22">
        <f>SUM(F6:G6)</f>
        <v>9117</v>
      </c>
      <c r="F6" s="21">
        <f>SUM(F7:F26)</f>
        <v>4803</v>
      </c>
      <c r="G6" s="23">
        <f>SUM(G7:G26)</f>
        <v>4314</v>
      </c>
      <c r="H6" s="22">
        <f>SUM(I6:J6)</f>
        <v>30792</v>
      </c>
      <c r="I6" s="21">
        <f>SUM(I7:I26)</f>
        <v>15830</v>
      </c>
      <c r="J6" s="21">
        <f>SUM(J7:J26)</f>
        <v>14962</v>
      </c>
      <c r="K6" s="22">
        <f>SUM(L6:M6)</f>
        <v>10790</v>
      </c>
      <c r="L6" s="21">
        <f>SUM(L7:L26)</f>
        <v>5713</v>
      </c>
      <c r="M6" s="23">
        <f>SUM(M7:M26)</f>
        <v>5077</v>
      </c>
      <c r="N6" s="22">
        <f>SUM(O6:P6)</f>
        <v>1532</v>
      </c>
      <c r="O6" s="21">
        <f>SUM(O7:O26)</f>
        <v>647</v>
      </c>
      <c r="P6" s="23">
        <f>SUM(P7:P26)</f>
        <v>885</v>
      </c>
      <c r="Q6" s="22">
        <f>SUM(R6:S6)</f>
        <v>186</v>
      </c>
      <c r="R6" s="21">
        <f>SUM(R7:R26)</f>
        <v>124</v>
      </c>
      <c r="S6" s="21">
        <f>SUM(S7:S26)</f>
        <v>62</v>
      </c>
    </row>
    <row r="7" spans="1:21" s="12" customFormat="1" ht="19.5" customHeight="1" x14ac:dyDescent="0.25">
      <c r="A7" s="5" t="s">
        <v>2</v>
      </c>
      <c r="B7" s="21">
        <f t="shared" ref="B7:B26" si="0">SUM(C7:D7)</f>
        <v>3606</v>
      </c>
      <c r="C7" s="24">
        <f>F7+I7+L7+O7+R7</f>
        <v>1902</v>
      </c>
      <c r="D7" s="24">
        <f t="shared" ref="D7:D26" si="1">G7+J7+M7+P7+S7</f>
        <v>1704</v>
      </c>
      <c r="E7" s="25">
        <f t="shared" ref="E7:E26" si="2">SUM(F7:G7)</f>
        <v>635</v>
      </c>
      <c r="F7" s="24">
        <v>350</v>
      </c>
      <c r="G7" s="33">
        <v>285</v>
      </c>
      <c r="H7" s="25">
        <f t="shared" ref="H7:H26" si="3">SUM(I7:J7)</f>
        <v>2083</v>
      </c>
      <c r="I7" s="24">
        <v>1092</v>
      </c>
      <c r="J7" s="24">
        <v>991</v>
      </c>
      <c r="K7" s="25">
        <f t="shared" ref="K7:K26" si="4">SUM(L7:M7)</f>
        <v>773</v>
      </c>
      <c r="L7" s="24">
        <v>416</v>
      </c>
      <c r="M7" s="33">
        <v>357</v>
      </c>
      <c r="N7" s="25">
        <f t="shared" ref="N7:N26" si="5">SUM(O7:P7)</f>
        <v>106</v>
      </c>
      <c r="O7" s="24">
        <v>36</v>
      </c>
      <c r="P7" s="33">
        <v>70</v>
      </c>
      <c r="Q7" s="25">
        <f t="shared" ref="Q7:Q26" si="6">SUM(R7:S7)</f>
        <v>9</v>
      </c>
      <c r="R7" s="24">
        <v>8</v>
      </c>
      <c r="S7" s="24">
        <v>1</v>
      </c>
    </row>
    <row r="8" spans="1:21" s="12" customFormat="1" ht="19.5" customHeight="1" x14ac:dyDescent="0.25">
      <c r="A8" s="5" t="s">
        <v>3</v>
      </c>
      <c r="B8" s="21">
        <f t="shared" si="0"/>
        <v>5335</v>
      </c>
      <c r="C8" s="24">
        <f t="shared" ref="C8:C26" si="7">F8+I8+L8+O8+R8</f>
        <v>2757</v>
      </c>
      <c r="D8" s="24">
        <f t="shared" si="1"/>
        <v>2578</v>
      </c>
      <c r="E8" s="25">
        <f t="shared" si="2"/>
        <v>1032</v>
      </c>
      <c r="F8" s="24">
        <v>536</v>
      </c>
      <c r="G8" s="33">
        <v>496</v>
      </c>
      <c r="H8" s="25">
        <f t="shared" si="3"/>
        <v>3107</v>
      </c>
      <c r="I8" s="24">
        <v>1604</v>
      </c>
      <c r="J8" s="24">
        <v>1503</v>
      </c>
      <c r="K8" s="25">
        <f t="shared" si="4"/>
        <v>1036</v>
      </c>
      <c r="L8" s="24">
        <v>544</v>
      </c>
      <c r="M8" s="33">
        <v>492</v>
      </c>
      <c r="N8" s="25">
        <f t="shared" si="5"/>
        <v>132</v>
      </c>
      <c r="O8" s="24">
        <v>53</v>
      </c>
      <c r="P8" s="33">
        <v>79</v>
      </c>
      <c r="Q8" s="25">
        <f t="shared" si="6"/>
        <v>28</v>
      </c>
      <c r="R8" s="24">
        <v>20</v>
      </c>
      <c r="S8" s="24">
        <v>8</v>
      </c>
    </row>
    <row r="9" spans="1:21" s="12" customFormat="1" ht="19.5" customHeight="1" x14ac:dyDescent="0.25">
      <c r="A9" s="5" t="s">
        <v>4</v>
      </c>
      <c r="B9" s="21">
        <f t="shared" si="0"/>
        <v>3577</v>
      </c>
      <c r="C9" s="24">
        <f t="shared" si="7"/>
        <v>1863</v>
      </c>
      <c r="D9" s="24">
        <f t="shared" si="1"/>
        <v>1714</v>
      </c>
      <c r="E9" s="25">
        <f t="shared" si="2"/>
        <v>593</v>
      </c>
      <c r="F9" s="24">
        <v>330</v>
      </c>
      <c r="G9" s="33">
        <v>263</v>
      </c>
      <c r="H9" s="25">
        <f t="shared" si="3"/>
        <v>2091</v>
      </c>
      <c r="I9" s="24">
        <v>1044</v>
      </c>
      <c r="J9" s="24">
        <v>1047</v>
      </c>
      <c r="K9" s="25">
        <f t="shared" si="4"/>
        <v>771</v>
      </c>
      <c r="L9" s="24">
        <v>431</v>
      </c>
      <c r="M9" s="33">
        <v>340</v>
      </c>
      <c r="N9" s="25">
        <f t="shared" si="5"/>
        <v>119</v>
      </c>
      <c r="O9" s="24">
        <v>56</v>
      </c>
      <c r="P9" s="33">
        <v>63</v>
      </c>
      <c r="Q9" s="25">
        <f t="shared" si="6"/>
        <v>3</v>
      </c>
      <c r="R9" s="24">
        <v>2</v>
      </c>
      <c r="S9" s="24">
        <v>1</v>
      </c>
    </row>
    <row r="10" spans="1:21" s="12" customFormat="1" ht="19.5" customHeight="1" x14ac:dyDescent="0.25">
      <c r="A10" s="5" t="s">
        <v>6</v>
      </c>
      <c r="B10" s="21">
        <f t="shared" si="0"/>
        <v>2898</v>
      </c>
      <c r="C10" s="24">
        <f t="shared" si="7"/>
        <v>1480</v>
      </c>
      <c r="D10" s="24">
        <f t="shared" si="1"/>
        <v>1418</v>
      </c>
      <c r="E10" s="25">
        <f t="shared" si="2"/>
        <v>523</v>
      </c>
      <c r="F10" s="24">
        <v>268</v>
      </c>
      <c r="G10" s="33">
        <v>255</v>
      </c>
      <c r="H10" s="25">
        <f t="shared" si="3"/>
        <v>1743</v>
      </c>
      <c r="I10" s="24">
        <v>900</v>
      </c>
      <c r="J10" s="24">
        <v>843</v>
      </c>
      <c r="K10" s="25">
        <f t="shared" si="4"/>
        <v>564</v>
      </c>
      <c r="L10" s="24">
        <v>284</v>
      </c>
      <c r="M10" s="33">
        <v>280</v>
      </c>
      <c r="N10" s="25">
        <f t="shared" si="5"/>
        <v>64</v>
      </c>
      <c r="O10" s="24">
        <v>25</v>
      </c>
      <c r="P10" s="33">
        <v>39</v>
      </c>
      <c r="Q10" s="25">
        <f t="shared" si="6"/>
        <v>4</v>
      </c>
      <c r="R10" s="24">
        <v>3</v>
      </c>
      <c r="S10" s="24">
        <v>1</v>
      </c>
    </row>
    <row r="11" spans="1:21" s="12" customFormat="1" ht="19.5" customHeight="1" x14ac:dyDescent="0.25">
      <c r="A11" s="5" t="s">
        <v>7</v>
      </c>
      <c r="B11" s="21">
        <f t="shared" si="0"/>
        <v>4316</v>
      </c>
      <c r="C11" s="24">
        <f t="shared" si="7"/>
        <v>2241</v>
      </c>
      <c r="D11" s="24">
        <f t="shared" si="1"/>
        <v>2075</v>
      </c>
      <c r="E11" s="25">
        <f t="shared" si="2"/>
        <v>757</v>
      </c>
      <c r="F11" s="24">
        <v>388</v>
      </c>
      <c r="G11" s="33">
        <v>369</v>
      </c>
      <c r="H11" s="25">
        <f t="shared" si="3"/>
        <v>2457</v>
      </c>
      <c r="I11" s="24">
        <v>1254</v>
      </c>
      <c r="J11" s="24">
        <v>1203</v>
      </c>
      <c r="K11" s="25">
        <f t="shared" si="4"/>
        <v>918</v>
      </c>
      <c r="L11" s="24">
        <v>513</v>
      </c>
      <c r="M11" s="33">
        <v>405</v>
      </c>
      <c r="N11" s="25">
        <f t="shared" si="5"/>
        <v>180</v>
      </c>
      <c r="O11" s="24">
        <v>83</v>
      </c>
      <c r="P11" s="33">
        <v>97</v>
      </c>
      <c r="Q11" s="25">
        <f t="shared" si="6"/>
        <v>4</v>
      </c>
      <c r="R11" s="24">
        <v>3</v>
      </c>
      <c r="S11" s="24">
        <v>1</v>
      </c>
    </row>
    <row r="12" spans="1:21" s="12" customFormat="1" ht="19.5" customHeight="1" x14ac:dyDescent="0.25">
      <c r="A12" s="5" t="s">
        <v>8</v>
      </c>
      <c r="B12" s="21">
        <f t="shared" si="0"/>
        <v>2470</v>
      </c>
      <c r="C12" s="24">
        <f t="shared" si="7"/>
        <v>1289</v>
      </c>
      <c r="D12" s="24">
        <f t="shared" si="1"/>
        <v>1181</v>
      </c>
      <c r="E12" s="25">
        <f t="shared" si="2"/>
        <v>421</v>
      </c>
      <c r="F12" s="24">
        <v>216</v>
      </c>
      <c r="G12" s="33">
        <v>205</v>
      </c>
      <c r="H12" s="25">
        <f t="shared" si="3"/>
        <v>1408</v>
      </c>
      <c r="I12" s="24">
        <v>744</v>
      </c>
      <c r="J12" s="24">
        <v>664</v>
      </c>
      <c r="K12" s="25">
        <f t="shared" si="4"/>
        <v>554</v>
      </c>
      <c r="L12" s="24">
        <v>289</v>
      </c>
      <c r="M12" s="33">
        <v>265</v>
      </c>
      <c r="N12" s="25">
        <f t="shared" si="5"/>
        <v>80</v>
      </c>
      <c r="O12" s="24">
        <v>35</v>
      </c>
      <c r="P12" s="33">
        <v>45</v>
      </c>
      <c r="Q12" s="25">
        <f t="shared" si="6"/>
        <v>7</v>
      </c>
      <c r="R12" s="24">
        <v>5</v>
      </c>
      <c r="S12" s="24">
        <v>2</v>
      </c>
    </row>
    <row r="13" spans="1:21" s="12" customFormat="1" ht="19.5" customHeight="1" x14ac:dyDescent="0.25">
      <c r="A13" s="5" t="s">
        <v>9</v>
      </c>
      <c r="B13" s="21">
        <f t="shared" si="0"/>
        <v>1945</v>
      </c>
      <c r="C13" s="24">
        <f t="shared" si="7"/>
        <v>950</v>
      </c>
      <c r="D13" s="24">
        <f t="shared" si="1"/>
        <v>995</v>
      </c>
      <c r="E13" s="25">
        <f t="shared" si="2"/>
        <v>341</v>
      </c>
      <c r="F13" s="24">
        <v>171</v>
      </c>
      <c r="G13" s="33">
        <v>170</v>
      </c>
      <c r="H13" s="25">
        <f t="shared" si="3"/>
        <v>1137</v>
      </c>
      <c r="I13" s="24">
        <v>553</v>
      </c>
      <c r="J13" s="24">
        <v>584</v>
      </c>
      <c r="K13" s="25">
        <f t="shared" si="4"/>
        <v>410</v>
      </c>
      <c r="L13" s="24">
        <v>204</v>
      </c>
      <c r="M13" s="33">
        <v>206</v>
      </c>
      <c r="N13" s="25">
        <f t="shared" si="5"/>
        <v>53</v>
      </c>
      <c r="O13" s="24">
        <v>22</v>
      </c>
      <c r="P13" s="33">
        <v>31</v>
      </c>
      <c r="Q13" s="25">
        <f t="shared" si="6"/>
        <v>4</v>
      </c>
      <c r="R13" s="24">
        <v>0</v>
      </c>
      <c r="S13" s="24">
        <v>4</v>
      </c>
    </row>
    <row r="14" spans="1:21" s="12" customFormat="1" ht="19.5" customHeight="1" x14ac:dyDescent="0.25">
      <c r="A14" s="5" t="s">
        <v>11</v>
      </c>
      <c r="B14" s="21">
        <f t="shared" si="0"/>
        <v>2682</v>
      </c>
      <c r="C14" s="24">
        <f t="shared" si="7"/>
        <v>1396</v>
      </c>
      <c r="D14" s="24">
        <f t="shared" si="1"/>
        <v>1286</v>
      </c>
      <c r="E14" s="25">
        <f t="shared" si="2"/>
        <v>537</v>
      </c>
      <c r="F14" s="24">
        <v>276</v>
      </c>
      <c r="G14" s="33">
        <v>261</v>
      </c>
      <c r="H14" s="25">
        <f t="shared" si="3"/>
        <v>1633</v>
      </c>
      <c r="I14" s="24">
        <v>854</v>
      </c>
      <c r="J14" s="24">
        <v>779</v>
      </c>
      <c r="K14" s="25">
        <f t="shared" si="4"/>
        <v>484</v>
      </c>
      <c r="L14" s="24">
        <v>251</v>
      </c>
      <c r="M14" s="33">
        <v>233</v>
      </c>
      <c r="N14" s="25">
        <f t="shared" si="5"/>
        <v>17</v>
      </c>
      <c r="O14" s="24">
        <v>6</v>
      </c>
      <c r="P14" s="33">
        <v>11</v>
      </c>
      <c r="Q14" s="25">
        <f t="shared" si="6"/>
        <v>11</v>
      </c>
      <c r="R14" s="24">
        <v>9</v>
      </c>
      <c r="S14" s="24">
        <v>2</v>
      </c>
    </row>
    <row r="15" spans="1:21" s="12" customFormat="1" ht="19.5" customHeight="1" x14ac:dyDescent="0.25">
      <c r="A15" s="5" t="s">
        <v>12</v>
      </c>
      <c r="B15" s="21">
        <f t="shared" si="0"/>
        <v>1703</v>
      </c>
      <c r="C15" s="24">
        <f t="shared" si="7"/>
        <v>894</v>
      </c>
      <c r="D15" s="24">
        <f t="shared" si="1"/>
        <v>809</v>
      </c>
      <c r="E15" s="25">
        <f t="shared" si="2"/>
        <v>338</v>
      </c>
      <c r="F15" s="24">
        <v>184</v>
      </c>
      <c r="G15" s="33">
        <v>154</v>
      </c>
      <c r="H15" s="25">
        <f t="shared" si="3"/>
        <v>1038</v>
      </c>
      <c r="I15" s="24">
        <v>543</v>
      </c>
      <c r="J15" s="24">
        <v>495</v>
      </c>
      <c r="K15" s="25">
        <f t="shared" si="4"/>
        <v>310</v>
      </c>
      <c r="L15" s="24">
        <v>158</v>
      </c>
      <c r="M15" s="33">
        <v>152</v>
      </c>
      <c r="N15" s="25">
        <f t="shared" si="5"/>
        <v>17</v>
      </c>
      <c r="O15" s="24">
        <v>9</v>
      </c>
      <c r="P15" s="33">
        <v>8</v>
      </c>
      <c r="Q15" s="25">
        <f t="shared" si="6"/>
        <v>0</v>
      </c>
      <c r="R15" s="24">
        <v>0</v>
      </c>
      <c r="S15" s="24">
        <v>0</v>
      </c>
    </row>
    <row r="16" spans="1:21" s="12" customFormat="1" ht="19.5" customHeight="1" x14ac:dyDescent="0.25">
      <c r="A16" s="5" t="s">
        <v>13</v>
      </c>
      <c r="B16" s="21">
        <f t="shared" si="0"/>
        <v>2063</v>
      </c>
      <c r="C16" s="24">
        <f t="shared" si="7"/>
        <v>1088</v>
      </c>
      <c r="D16" s="24">
        <f t="shared" si="1"/>
        <v>975</v>
      </c>
      <c r="E16" s="25">
        <f t="shared" si="2"/>
        <v>417</v>
      </c>
      <c r="F16" s="24">
        <v>217</v>
      </c>
      <c r="G16" s="33">
        <v>200</v>
      </c>
      <c r="H16" s="25">
        <f t="shared" si="3"/>
        <v>1296</v>
      </c>
      <c r="I16" s="24">
        <v>683</v>
      </c>
      <c r="J16" s="24">
        <v>613</v>
      </c>
      <c r="K16" s="25">
        <f t="shared" si="4"/>
        <v>333</v>
      </c>
      <c r="L16" s="24">
        <v>180</v>
      </c>
      <c r="M16" s="33">
        <v>153</v>
      </c>
      <c r="N16" s="25">
        <f t="shared" si="5"/>
        <v>8</v>
      </c>
      <c r="O16" s="24">
        <v>5</v>
      </c>
      <c r="P16" s="33">
        <v>3</v>
      </c>
      <c r="Q16" s="25">
        <f t="shared" si="6"/>
        <v>9</v>
      </c>
      <c r="R16" s="24">
        <v>3</v>
      </c>
      <c r="S16" s="24">
        <v>6</v>
      </c>
    </row>
    <row r="17" spans="1:19" s="12" customFormat="1" ht="19.5" customHeight="1" x14ac:dyDescent="0.25">
      <c r="A17" s="5" t="s">
        <v>14</v>
      </c>
      <c r="B17" s="21">
        <f t="shared" si="0"/>
        <v>274</v>
      </c>
      <c r="C17" s="24">
        <f t="shared" si="7"/>
        <v>158</v>
      </c>
      <c r="D17" s="24">
        <f t="shared" si="1"/>
        <v>116</v>
      </c>
      <c r="E17" s="25">
        <f t="shared" si="2"/>
        <v>63</v>
      </c>
      <c r="F17" s="24">
        <v>42</v>
      </c>
      <c r="G17" s="33">
        <v>21</v>
      </c>
      <c r="H17" s="25">
        <f t="shared" si="3"/>
        <v>167</v>
      </c>
      <c r="I17" s="24">
        <v>90</v>
      </c>
      <c r="J17" s="24">
        <v>77</v>
      </c>
      <c r="K17" s="25">
        <f t="shared" si="4"/>
        <v>44</v>
      </c>
      <c r="L17" s="24">
        <v>26</v>
      </c>
      <c r="M17" s="33">
        <v>18</v>
      </c>
      <c r="N17" s="25">
        <f t="shared" si="5"/>
        <v>0</v>
      </c>
      <c r="O17" s="24">
        <v>0</v>
      </c>
      <c r="P17" s="33">
        <v>0</v>
      </c>
      <c r="Q17" s="25">
        <f t="shared" si="6"/>
        <v>0</v>
      </c>
      <c r="R17" s="24">
        <v>0</v>
      </c>
      <c r="S17" s="24">
        <v>0</v>
      </c>
    </row>
    <row r="18" spans="1:19" s="7" customFormat="1" ht="19.5" customHeight="1" x14ac:dyDescent="0.25">
      <c r="A18" s="5" t="s">
        <v>15</v>
      </c>
      <c r="B18" s="21">
        <f t="shared" si="0"/>
        <v>1170</v>
      </c>
      <c r="C18" s="24">
        <f t="shared" si="7"/>
        <v>612</v>
      </c>
      <c r="D18" s="24">
        <f t="shared" si="1"/>
        <v>558</v>
      </c>
      <c r="E18" s="25">
        <f t="shared" si="2"/>
        <v>215</v>
      </c>
      <c r="F18" s="24">
        <v>110</v>
      </c>
      <c r="G18" s="33">
        <v>105</v>
      </c>
      <c r="H18" s="25">
        <f t="shared" si="3"/>
        <v>719</v>
      </c>
      <c r="I18" s="24">
        <v>370</v>
      </c>
      <c r="J18" s="24">
        <v>349</v>
      </c>
      <c r="K18" s="25">
        <f t="shared" si="4"/>
        <v>191</v>
      </c>
      <c r="L18" s="24">
        <v>107</v>
      </c>
      <c r="M18" s="33">
        <v>84</v>
      </c>
      <c r="N18" s="25">
        <f t="shared" si="5"/>
        <v>45</v>
      </c>
      <c r="O18" s="24">
        <v>25</v>
      </c>
      <c r="P18" s="33">
        <v>20</v>
      </c>
      <c r="Q18" s="25">
        <f t="shared" si="6"/>
        <v>0</v>
      </c>
      <c r="R18" s="24">
        <v>0</v>
      </c>
      <c r="S18" s="24">
        <v>0</v>
      </c>
    </row>
    <row r="19" spans="1:19" s="7" customFormat="1" ht="19.5" customHeight="1" x14ac:dyDescent="0.25">
      <c r="A19" s="5" t="s">
        <v>16</v>
      </c>
      <c r="B19" s="21">
        <f t="shared" si="0"/>
        <v>1390</v>
      </c>
      <c r="C19" s="24">
        <f t="shared" si="7"/>
        <v>701</v>
      </c>
      <c r="D19" s="24">
        <f t="shared" si="1"/>
        <v>689</v>
      </c>
      <c r="E19" s="25">
        <f t="shared" si="2"/>
        <v>270</v>
      </c>
      <c r="F19" s="24">
        <v>148</v>
      </c>
      <c r="G19" s="33">
        <v>122</v>
      </c>
      <c r="H19" s="25">
        <f t="shared" si="3"/>
        <v>777</v>
      </c>
      <c r="I19" s="24">
        <v>377</v>
      </c>
      <c r="J19" s="24">
        <v>400</v>
      </c>
      <c r="K19" s="25">
        <f t="shared" si="4"/>
        <v>257</v>
      </c>
      <c r="L19" s="24">
        <v>138</v>
      </c>
      <c r="M19" s="33">
        <v>119</v>
      </c>
      <c r="N19" s="25">
        <f t="shared" si="5"/>
        <v>86</v>
      </c>
      <c r="O19" s="24">
        <v>38</v>
      </c>
      <c r="P19" s="33">
        <v>48</v>
      </c>
      <c r="Q19" s="25">
        <f t="shared" si="6"/>
        <v>0</v>
      </c>
      <c r="R19" s="24">
        <v>0</v>
      </c>
      <c r="S19" s="24">
        <v>0</v>
      </c>
    </row>
    <row r="20" spans="1:19" s="7" customFormat="1" ht="19.5" customHeight="1" x14ac:dyDescent="0.25">
      <c r="A20" s="5" t="s">
        <v>17</v>
      </c>
      <c r="B20" s="21">
        <f t="shared" si="0"/>
        <v>1562</v>
      </c>
      <c r="C20" s="24">
        <f t="shared" si="7"/>
        <v>757</v>
      </c>
      <c r="D20" s="24">
        <f t="shared" si="1"/>
        <v>805</v>
      </c>
      <c r="E20" s="25">
        <f t="shared" si="2"/>
        <v>266</v>
      </c>
      <c r="F20" s="24">
        <v>139</v>
      </c>
      <c r="G20" s="33">
        <v>127</v>
      </c>
      <c r="H20" s="25">
        <f t="shared" si="3"/>
        <v>916</v>
      </c>
      <c r="I20" s="24">
        <v>438</v>
      </c>
      <c r="J20" s="24">
        <v>478</v>
      </c>
      <c r="K20" s="25">
        <f t="shared" si="4"/>
        <v>303</v>
      </c>
      <c r="L20" s="24">
        <v>153</v>
      </c>
      <c r="M20" s="33">
        <v>150</v>
      </c>
      <c r="N20" s="25">
        <f t="shared" si="5"/>
        <v>74</v>
      </c>
      <c r="O20" s="24">
        <v>26</v>
      </c>
      <c r="P20" s="33">
        <v>48</v>
      </c>
      <c r="Q20" s="25">
        <f t="shared" si="6"/>
        <v>3</v>
      </c>
      <c r="R20" s="24">
        <v>1</v>
      </c>
      <c r="S20" s="24">
        <v>2</v>
      </c>
    </row>
    <row r="21" spans="1:19" s="7" customFormat="1" ht="19.5" customHeight="1" x14ac:dyDescent="0.25">
      <c r="A21" s="5" t="s">
        <v>18</v>
      </c>
      <c r="B21" s="21">
        <f t="shared" si="0"/>
        <v>2453</v>
      </c>
      <c r="C21" s="24">
        <f t="shared" si="7"/>
        <v>1257</v>
      </c>
      <c r="D21" s="24">
        <f t="shared" si="1"/>
        <v>1196</v>
      </c>
      <c r="E21" s="25">
        <f t="shared" si="2"/>
        <v>462</v>
      </c>
      <c r="F21" s="24">
        <v>245</v>
      </c>
      <c r="G21" s="33">
        <v>217</v>
      </c>
      <c r="H21" s="25">
        <f t="shared" si="3"/>
        <v>1502</v>
      </c>
      <c r="I21" s="24">
        <v>744</v>
      </c>
      <c r="J21" s="24">
        <v>758</v>
      </c>
      <c r="K21" s="25">
        <f t="shared" si="4"/>
        <v>434</v>
      </c>
      <c r="L21" s="24">
        <v>242</v>
      </c>
      <c r="M21" s="33">
        <v>192</v>
      </c>
      <c r="N21" s="25">
        <f t="shared" si="5"/>
        <v>54</v>
      </c>
      <c r="O21" s="24">
        <v>26</v>
      </c>
      <c r="P21" s="33">
        <v>28</v>
      </c>
      <c r="Q21" s="25">
        <f t="shared" si="6"/>
        <v>1</v>
      </c>
      <c r="R21" s="24">
        <v>0</v>
      </c>
      <c r="S21" s="24">
        <v>1</v>
      </c>
    </row>
    <row r="22" spans="1:19" s="7" customFormat="1" ht="19.5" customHeight="1" x14ac:dyDescent="0.25">
      <c r="A22" s="5" t="s">
        <v>10</v>
      </c>
      <c r="B22" s="21">
        <f t="shared" si="0"/>
        <v>3424</v>
      </c>
      <c r="C22" s="24">
        <f t="shared" si="7"/>
        <v>1799</v>
      </c>
      <c r="D22" s="24">
        <f t="shared" si="1"/>
        <v>1625</v>
      </c>
      <c r="E22" s="25">
        <f t="shared" si="2"/>
        <v>578</v>
      </c>
      <c r="F22" s="24">
        <v>312</v>
      </c>
      <c r="G22" s="33">
        <v>266</v>
      </c>
      <c r="H22" s="25">
        <f t="shared" si="3"/>
        <v>2013</v>
      </c>
      <c r="I22" s="24">
        <v>1052</v>
      </c>
      <c r="J22" s="24">
        <v>961</v>
      </c>
      <c r="K22" s="25">
        <f t="shared" si="4"/>
        <v>746</v>
      </c>
      <c r="L22" s="24">
        <v>400</v>
      </c>
      <c r="M22" s="33">
        <v>346</v>
      </c>
      <c r="N22" s="25">
        <f t="shared" si="5"/>
        <v>82</v>
      </c>
      <c r="O22" s="24">
        <v>32</v>
      </c>
      <c r="P22" s="33">
        <v>50</v>
      </c>
      <c r="Q22" s="25">
        <f t="shared" si="6"/>
        <v>5</v>
      </c>
      <c r="R22" s="24">
        <v>3</v>
      </c>
      <c r="S22" s="24">
        <v>2</v>
      </c>
    </row>
    <row r="23" spans="1:19" s="7" customFormat="1" ht="19.5" customHeight="1" x14ac:dyDescent="0.25">
      <c r="A23" s="5" t="s">
        <v>19</v>
      </c>
      <c r="B23" s="21">
        <f t="shared" si="0"/>
        <v>2108</v>
      </c>
      <c r="C23" s="24">
        <f t="shared" si="7"/>
        <v>1109</v>
      </c>
      <c r="D23" s="24">
        <f t="shared" si="1"/>
        <v>999</v>
      </c>
      <c r="E23" s="25">
        <f t="shared" si="2"/>
        <v>364</v>
      </c>
      <c r="F23" s="24">
        <v>191</v>
      </c>
      <c r="G23" s="33">
        <v>173</v>
      </c>
      <c r="H23" s="25">
        <f t="shared" si="3"/>
        <v>1216</v>
      </c>
      <c r="I23" s="24">
        <v>636</v>
      </c>
      <c r="J23" s="24">
        <v>580</v>
      </c>
      <c r="K23" s="25">
        <f t="shared" si="4"/>
        <v>496</v>
      </c>
      <c r="L23" s="24">
        <v>264</v>
      </c>
      <c r="M23" s="33">
        <v>232</v>
      </c>
      <c r="N23" s="25">
        <f t="shared" si="5"/>
        <v>32</v>
      </c>
      <c r="O23" s="24">
        <v>18</v>
      </c>
      <c r="P23" s="33">
        <v>14</v>
      </c>
      <c r="Q23" s="25">
        <f t="shared" si="6"/>
        <v>0</v>
      </c>
      <c r="R23" s="24">
        <v>0</v>
      </c>
      <c r="S23" s="24">
        <v>0</v>
      </c>
    </row>
    <row r="24" spans="1:19" s="7" customFormat="1" ht="19.5" customHeight="1" x14ac:dyDescent="0.25">
      <c r="A24" s="5" t="s">
        <v>20</v>
      </c>
      <c r="B24" s="21">
        <f t="shared" si="0"/>
        <v>2978</v>
      </c>
      <c r="C24" s="24">
        <f t="shared" si="7"/>
        <v>1586</v>
      </c>
      <c r="D24" s="24">
        <f t="shared" si="1"/>
        <v>1392</v>
      </c>
      <c r="E24" s="25">
        <f t="shared" si="2"/>
        <v>447</v>
      </c>
      <c r="F24" s="24">
        <v>243</v>
      </c>
      <c r="G24" s="33">
        <v>204</v>
      </c>
      <c r="H24" s="25">
        <f t="shared" si="3"/>
        <v>1785</v>
      </c>
      <c r="I24" s="24">
        <v>949</v>
      </c>
      <c r="J24" s="24">
        <v>836</v>
      </c>
      <c r="K24" s="25">
        <f t="shared" si="4"/>
        <v>664</v>
      </c>
      <c r="L24" s="24">
        <v>358</v>
      </c>
      <c r="M24" s="33">
        <v>306</v>
      </c>
      <c r="N24" s="25">
        <f t="shared" si="5"/>
        <v>65</v>
      </c>
      <c r="O24" s="24">
        <v>25</v>
      </c>
      <c r="P24" s="33">
        <v>40</v>
      </c>
      <c r="Q24" s="25">
        <f t="shared" si="6"/>
        <v>17</v>
      </c>
      <c r="R24" s="24">
        <v>11</v>
      </c>
      <c r="S24" s="24">
        <v>6</v>
      </c>
    </row>
    <row r="25" spans="1:19" s="7" customFormat="1" ht="19.5" customHeight="1" x14ac:dyDescent="0.25">
      <c r="A25" s="5" t="s">
        <v>21</v>
      </c>
      <c r="B25" s="21">
        <f t="shared" si="0"/>
        <v>2141</v>
      </c>
      <c r="C25" s="24">
        <f t="shared" si="7"/>
        <v>1077</v>
      </c>
      <c r="D25" s="24">
        <f t="shared" si="1"/>
        <v>1064</v>
      </c>
      <c r="E25" s="25">
        <f t="shared" si="2"/>
        <v>265</v>
      </c>
      <c r="F25" s="24">
        <v>128</v>
      </c>
      <c r="G25" s="33">
        <v>137</v>
      </c>
      <c r="H25" s="25">
        <f t="shared" si="3"/>
        <v>1297</v>
      </c>
      <c r="I25" s="24">
        <v>664</v>
      </c>
      <c r="J25" s="24">
        <v>633</v>
      </c>
      <c r="K25" s="25">
        <f t="shared" si="4"/>
        <v>473</v>
      </c>
      <c r="L25" s="24">
        <v>228</v>
      </c>
      <c r="M25" s="33">
        <v>245</v>
      </c>
      <c r="N25" s="25">
        <f t="shared" si="5"/>
        <v>66</v>
      </c>
      <c r="O25" s="24">
        <v>30</v>
      </c>
      <c r="P25" s="33">
        <v>36</v>
      </c>
      <c r="Q25" s="25">
        <f t="shared" si="6"/>
        <v>40</v>
      </c>
      <c r="R25" s="24">
        <v>27</v>
      </c>
      <c r="S25" s="24">
        <v>13</v>
      </c>
    </row>
    <row r="26" spans="1:19" s="7" customFormat="1" ht="19.5" customHeight="1" x14ac:dyDescent="0.25">
      <c r="A26" s="6" t="s">
        <v>5</v>
      </c>
      <c r="B26" s="26">
        <f t="shared" si="0"/>
        <v>4322</v>
      </c>
      <c r="C26" s="27">
        <f t="shared" si="7"/>
        <v>2201</v>
      </c>
      <c r="D26" s="27">
        <f t="shared" si="1"/>
        <v>2121</v>
      </c>
      <c r="E26" s="28">
        <f t="shared" si="2"/>
        <v>593</v>
      </c>
      <c r="F26" s="27">
        <v>309</v>
      </c>
      <c r="G26" s="34">
        <v>284</v>
      </c>
      <c r="H26" s="28">
        <f t="shared" si="3"/>
        <v>2407</v>
      </c>
      <c r="I26" s="27">
        <v>1239</v>
      </c>
      <c r="J26" s="27">
        <v>1168</v>
      </c>
      <c r="K26" s="28">
        <f t="shared" si="4"/>
        <v>1029</v>
      </c>
      <c r="L26" s="27">
        <v>527</v>
      </c>
      <c r="M26" s="34">
        <v>502</v>
      </c>
      <c r="N26" s="28">
        <f t="shared" si="5"/>
        <v>252</v>
      </c>
      <c r="O26" s="27">
        <v>97</v>
      </c>
      <c r="P26" s="34">
        <v>155</v>
      </c>
      <c r="Q26" s="28">
        <f t="shared" si="6"/>
        <v>41</v>
      </c>
      <c r="R26" s="27">
        <v>29</v>
      </c>
      <c r="S26" s="27">
        <v>12</v>
      </c>
    </row>
    <row r="27" spans="1:19" ht="19.5" customHeight="1" x14ac:dyDescent="0.25">
      <c r="A27" s="3" t="s">
        <v>22</v>
      </c>
      <c r="B27" s="29"/>
      <c r="C27" s="4"/>
      <c r="D27" s="4"/>
      <c r="E27" s="4"/>
      <c r="F27" s="4"/>
      <c r="G27" s="4"/>
      <c r="H27" s="29"/>
      <c r="I27" s="29"/>
      <c r="J27" s="4"/>
      <c r="K27" s="4"/>
      <c r="L27" s="4"/>
      <c r="M27" s="4"/>
      <c r="N27" s="30"/>
      <c r="O27" s="30"/>
      <c r="P27" s="31"/>
      <c r="Q27" s="8"/>
      <c r="R27" s="8"/>
      <c r="S27" s="8"/>
    </row>
    <row r="28" spans="1:19" s="2" customFormat="1" ht="19.5" customHeight="1" x14ac:dyDescent="0.2">
      <c r="L28" s="32"/>
    </row>
  </sheetData>
  <mergeCells count="9">
    <mergeCell ref="A1:S1"/>
    <mergeCell ref="A2:S2"/>
    <mergeCell ref="A4:A5"/>
    <mergeCell ref="B4:D4"/>
    <mergeCell ref="E4:G4"/>
    <mergeCell ref="H4:J4"/>
    <mergeCell ref="K4:M4"/>
    <mergeCell ref="N4:P4"/>
    <mergeCell ref="Q4:S4"/>
  </mergeCells>
  <pageMargins left="0.7" right="0.7" top="0.75" bottom="0.75" header="0.3" footer="0.3"/>
  <pageSetup paperSize="9" scale="4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7.11</vt:lpstr>
      <vt:lpstr>'7.11'!Print_Area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2019-05-27T07:29:25Z</cp:lastPrinted>
  <dcterms:created xsi:type="dcterms:W3CDTF">2019-02-28T08:20:57Z</dcterms:created>
  <dcterms:modified xsi:type="dcterms:W3CDTF">2019-05-27T07:29:34Z</dcterms:modified>
</cp:coreProperties>
</file>