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7. EDUCATION\"/>
    </mc:Choice>
  </mc:AlternateContent>
  <bookViews>
    <workbookView xWindow="0" yWindow="0" windowWidth="28800" windowHeight="12330" tabRatio="834"/>
  </bookViews>
  <sheets>
    <sheet name="7.12" sheetId="12" r:id="rId1"/>
  </sheets>
  <externalReferences>
    <externalReference r:id="rId2"/>
  </externalReferences>
  <definedNames>
    <definedName name="_xlnm.Print_Area" localSheetId="0">'7.12'!$A$1:$V$101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29" i="12" l="1"/>
  <c r="R29" i="12"/>
  <c r="N29" i="12"/>
  <c r="F29" i="12"/>
  <c r="U28" i="12"/>
  <c r="R28" i="12"/>
  <c r="N28" i="12"/>
  <c r="F28" i="12"/>
  <c r="U27" i="12"/>
  <c r="R27" i="12"/>
  <c r="N27" i="12"/>
  <c r="F27" i="12"/>
  <c r="U26" i="12"/>
  <c r="R26" i="12"/>
  <c r="N26" i="12"/>
  <c r="F26" i="12"/>
  <c r="U25" i="12"/>
  <c r="R25" i="12"/>
  <c r="N25" i="12"/>
  <c r="F25" i="12"/>
  <c r="U24" i="12"/>
  <c r="R24" i="12"/>
  <c r="N24" i="12"/>
  <c r="F24" i="12"/>
  <c r="B24" i="12" s="1"/>
  <c r="U23" i="12"/>
  <c r="R23" i="12"/>
  <c r="N23" i="12"/>
  <c r="F23" i="12"/>
  <c r="U22" i="12"/>
  <c r="R22" i="12"/>
  <c r="N22" i="12"/>
  <c r="F22" i="12"/>
  <c r="U21" i="12"/>
  <c r="R21" i="12"/>
  <c r="N21" i="12"/>
  <c r="F21" i="12"/>
  <c r="U20" i="12"/>
  <c r="R20" i="12"/>
  <c r="N20" i="12"/>
  <c r="F20" i="12"/>
  <c r="B20" i="12" s="1"/>
  <c r="U19" i="12"/>
  <c r="R19" i="12"/>
  <c r="N19" i="12"/>
  <c r="F19" i="12"/>
  <c r="B19" i="12" s="1"/>
  <c r="U18" i="12"/>
  <c r="R18" i="12"/>
  <c r="N18" i="12"/>
  <c r="F18" i="12"/>
  <c r="B18" i="12" s="1"/>
  <c r="U17" i="12"/>
  <c r="R17" i="12"/>
  <c r="N17" i="12"/>
  <c r="F17" i="12"/>
  <c r="B17" i="12" s="1"/>
  <c r="U16" i="12"/>
  <c r="R16" i="12"/>
  <c r="N16" i="12"/>
  <c r="F16" i="12"/>
  <c r="U15" i="12"/>
  <c r="R15" i="12"/>
  <c r="N15" i="12"/>
  <c r="F15" i="12"/>
  <c r="U14" i="12"/>
  <c r="R14" i="12"/>
  <c r="N14" i="12"/>
  <c r="F14" i="12"/>
  <c r="U13" i="12"/>
  <c r="R13" i="12"/>
  <c r="N13" i="12"/>
  <c r="F13" i="12"/>
  <c r="U12" i="12"/>
  <c r="R12" i="12"/>
  <c r="N12" i="12"/>
  <c r="F12" i="12"/>
  <c r="U11" i="12"/>
  <c r="R11" i="12"/>
  <c r="N11" i="12"/>
  <c r="F11" i="12"/>
  <c r="U10" i="12"/>
  <c r="R10" i="12"/>
  <c r="N10" i="12"/>
  <c r="F10" i="12"/>
  <c r="V9" i="12"/>
  <c r="V7" i="12" s="1"/>
  <c r="T9" i="12"/>
  <c r="S9" i="12"/>
  <c r="S7" i="12" s="1"/>
  <c r="Q9" i="12"/>
  <c r="P9" i="12"/>
  <c r="O9" i="12"/>
  <c r="M9" i="12"/>
  <c r="M7" i="12" s="1"/>
  <c r="L9" i="12"/>
  <c r="K9" i="12"/>
  <c r="J9" i="12"/>
  <c r="J7" i="12" s="1"/>
  <c r="I9" i="12"/>
  <c r="I7" i="12" s="1"/>
  <c r="H9" i="12"/>
  <c r="H7" i="12" s="1"/>
  <c r="G9" i="12"/>
  <c r="E9" i="12"/>
  <c r="D9" i="12"/>
  <c r="D7" i="12" s="1"/>
  <c r="C9" i="12"/>
  <c r="C7" i="12" s="1"/>
  <c r="U8" i="12"/>
  <c r="AL65" i="12" s="1"/>
  <c r="R8" i="12"/>
  <c r="AL66" i="12" s="1"/>
  <c r="N8" i="12"/>
  <c r="AL67" i="12" s="1"/>
  <c r="F8" i="12"/>
  <c r="AL68" i="12" s="1"/>
  <c r="T7" i="12"/>
  <c r="Q7" i="12"/>
  <c r="P7" i="12"/>
  <c r="O7" i="12"/>
  <c r="L7" i="12"/>
  <c r="K7" i="12"/>
  <c r="G7" i="12"/>
  <c r="E7" i="12"/>
  <c r="B11" i="12" l="1"/>
  <c r="B25" i="12"/>
  <c r="R9" i="12"/>
  <c r="B14" i="12"/>
  <c r="B26" i="12"/>
  <c r="B28" i="12"/>
  <c r="B22" i="12"/>
  <c r="N9" i="12"/>
  <c r="AM67" i="12" s="1"/>
  <c r="B13" i="12"/>
  <c r="B15" i="12"/>
  <c r="B21" i="12"/>
  <c r="B23" i="12"/>
  <c r="B27" i="12"/>
  <c r="U9" i="12"/>
  <c r="U7" i="12" s="1"/>
  <c r="AK65" i="12" s="1"/>
  <c r="B29" i="12"/>
  <c r="B10" i="12"/>
  <c r="B12" i="12"/>
  <c r="B16" i="12"/>
  <c r="AM66" i="12"/>
  <c r="R7" i="12"/>
  <c r="AK66" i="12" s="1"/>
  <c r="B8" i="12"/>
  <c r="F9" i="12"/>
  <c r="AM68" i="12" s="1"/>
  <c r="N7" i="12" l="1"/>
  <c r="AK67" i="12" s="1"/>
  <c r="AM65" i="12"/>
  <c r="F7" i="12"/>
  <c r="B9" i="12"/>
  <c r="B7" i="12" l="1"/>
  <c r="AK68" i="12"/>
</calcChain>
</file>

<file path=xl/sharedStrings.xml><?xml version="1.0" encoding="utf-8"?>
<sst xmlns="http://schemas.openxmlformats.org/spreadsheetml/2006/main" count="78" uniqueCount="51">
  <si>
    <t>Total</t>
  </si>
  <si>
    <t>Republic</t>
  </si>
  <si>
    <t>Male'</t>
  </si>
  <si>
    <t>Atolls</t>
  </si>
  <si>
    <t>Source: Ministry of Education</t>
  </si>
  <si>
    <t>cnwxEkuaiDea cfoa IrcTcsinim :ctWrwf ivcaed utWmUluAwm</t>
  </si>
  <si>
    <t>Primary</t>
  </si>
  <si>
    <t>Higher Secondary</t>
  </si>
  <si>
    <t>Haa Alifu</t>
  </si>
  <si>
    <t>Haa Dhaalu</t>
  </si>
  <si>
    <t>Shaviyani</t>
  </si>
  <si>
    <t>Noonu</t>
  </si>
  <si>
    <t>Raa</t>
  </si>
  <si>
    <t>Baa</t>
  </si>
  <si>
    <t>Lhaviyani</t>
  </si>
  <si>
    <t>Kaafu</t>
  </si>
  <si>
    <t>Alifu Alifu</t>
  </si>
  <si>
    <t>Alifu Dhaalu</t>
  </si>
  <si>
    <t>Vaavu</t>
  </si>
  <si>
    <t>Meemu</t>
  </si>
  <si>
    <t>Faafu</t>
  </si>
  <si>
    <t>Dhaalu</t>
  </si>
  <si>
    <t>Thaa</t>
  </si>
  <si>
    <t>Laamu</t>
  </si>
  <si>
    <t>Gaafu Alifu</t>
  </si>
  <si>
    <t>Gaafu Dhaalu</t>
  </si>
  <si>
    <t>Gnaviyani</t>
  </si>
  <si>
    <t>Seenu</t>
  </si>
  <si>
    <t>Pre-Primary</t>
  </si>
  <si>
    <t>Special Classes</t>
  </si>
  <si>
    <t>Name of Atoll</t>
  </si>
  <si>
    <t>Secondary</t>
  </si>
  <si>
    <t>Nurs.</t>
  </si>
  <si>
    <t>LKG</t>
  </si>
  <si>
    <t>UKG</t>
  </si>
  <si>
    <t>Gr. 1</t>
  </si>
  <si>
    <t>Gr. 2</t>
  </si>
  <si>
    <t>Gr. 3</t>
  </si>
  <si>
    <t>Gr. 4</t>
  </si>
  <si>
    <t>Gr. 5</t>
  </si>
  <si>
    <t>Gr. 6</t>
  </si>
  <si>
    <t>Gr. 7</t>
  </si>
  <si>
    <t>Gr. 8</t>
  </si>
  <si>
    <t>Gr. 9</t>
  </si>
  <si>
    <t>Gr. 10</t>
  </si>
  <si>
    <t>Gr. 11</t>
  </si>
  <si>
    <t>Gr. 12</t>
  </si>
  <si>
    <t>TOTAL</t>
  </si>
  <si>
    <t xml:space="preserve">Atolls </t>
  </si>
  <si>
    <t>Table  7.12 : STUDENTS ENROLMENT IN MALE' AND ATOLLS BY GRADE, 2018</t>
  </si>
  <si>
    <t xml:space="preserve"> 2018 ,cnikwv cDErcg udwdwA egcnidukWvwyik ibit iawgukwtuLotwa iaWaelWm :7.12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</si>
</sst>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#,##0;[Red]#,##0"/>
    <numFmt numFmtId="167" formatCode="_(* #,##0_);_(* \(#,##0\);_(* &quot;-&quot;??_);_(@_)"/>
    <numFmt numFmtId="168" formatCode="_(* ###0_);_(* \(###0\);_(* &quot;&quot;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sz val="10"/>
      <name val="Courier"/>
      <family val="3"/>
    </font>
    <font>
      <sz val="9"/>
      <name val="Arial"/>
      <family val="2"/>
    </font>
    <font>
      <sz val="9"/>
      <name val="Calibri"/>
      <family val="2"/>
      <scheme val="minor"/>
    </font>
    <font>
      <u/>
      <sz val="10"/>
      <color indexed="12"/>
      <name val="Courier"/>
      <family val="3"/>
    </font>
    <font>
      <i/>
      <sz val="9"/>
      <name val="Calibri"/>
      <family val="2"/>
      <scheme val="minor"/>
    </font>
    <font>
      <i/>
      <sz val="9"/>
      <name val="Arial"/>
      <family val="2"/>
    </font>
    <font>
      <sz val="8"/>
      <name val="A_Randhoo"/>
    </font>
    <font>
      <u/>
      <sz val="9"/>
      <color indexed="12"/>
      <name val="Courier"/>
      <family val="3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A_Faseyha"/>
    </font>
    <font>
      <sz val="6.5"/>
      <name val="Calibri"/>
      <family val="2"/>
      <scheme val="minor"/>
    </font>
    <font>
      <b/>
      <sz val="14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4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4" fillId="0" borderId="0"/>
    <xf numFmtId="167" fontId="4" fillId="0" borderId="0"/>
    <xf numFmtId="0" fontId="2" fillId="0" borderId="0"/>
    <xf numFmtId="0" fontId="2" fillId="0" borderId="0"/>
    <xf numFmtId="164" fontId="4" fillId="0" borderId="0"/>
    <xf numFmtId="165" fontId="4" fillId="0" borderId="0"/>
    <xf numFmtId="164" fontId="4" fillId="0" borderId="0"/>
    <xf numFmtId="165" fontId="4" fillId="0" borderId="0"/>
  </cellStyleXfs>
  <cellXfs count="65">
    <xf numFmtId="0" fontId="0" fillId="0" borderId="0" xfId="0"/>
    <xf numFmtId="164" fontId="5" fillId="2" borderId="0" xfId="0" applyNumberFormat="1" applyFont="1" applyFill="1" applyBorder="1" applyAlignment="1">
      <alignment vertical="center"/>
    </xf>
    <xf numFmtId="164" fontId="5" fillId="2" borderId="0" xfId="0" applyNumberFormat="1" applyFont="1" applyFill="1"/>
    <xf numFmtId="164" fontId="8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/>
    </xf>
    <xf numFmtId="164" fontId="10" fillId="2" borderId="0" xfId="0" applyNumberFormat="1" applyFont="1" applyFill="1" applyBorder="1" applyAlignment="1">
      <alignment horizontal="right" vertical="center"/>
    </xf>
    <xf numFmtId="164" fontId="6" fillId="2" borderId="0" xfId="0" applyNumberFormat="1" applyFont="1" applyFill="1"/>
    <xf numFmtId="164" fontId="11" fillId="2" borderId="0" xfId="2" applyNumberFormat="1" applyFont="1" applyFill="1" applyAlignment="1" applyProtection="1"/>
    <xf numFmtId="0" fontId="15" fillId="2" borderId="0" xfId="0" applyFont="1" applyFill="1" applyBorder="1"/>
    <xf numFmtId="0" fontId="15" fillId="2" borderId="0" xfId="0" applyFont="1" applyFill="1" applyBorder="1" applyAlignment="1">
      <alignment horizontal="left"/>
    </xf>
    <xf numFmtId="0" fontId="15" fillId="2" borderId="0" xfId="0" applyFont="1" applyFill="1" applyBorder="1" applyAlignment="1"/>
    <xf numFmtId="0" fontId="15" fillId="2" borderId="0" xfId="0" applyFont="1" applyFill="1" applyBorder="1" applyAlignment="1">
      <alignment horizontal="center"/>
    </xf>
    <xf numFmtId="0" fontId="17" fillId="2" borderId="0" xfId="0" applyFont="1" applyFill="1" applyBorder="1" applyAlignment="1">
      <alignment vertical="center"/>
    </xf>
    <xf numFmtId="3" fontId="3" fillId="2" borderId="2" xfId="1" applyNumberFormat="1" applyFont="1" applyFill="1" applyBorder="1" applyAlignment="1">
      <alignment horizontal="right" vertical="center"/>
    </xf>
    <xf numFmtId="3" fontId="3" fillId="2" borderId="7" xfId="1" applyNumberFormat="1" applyFont="1" applyFill="1" applyBorder="1" applyAlignment="1">
      <alignment horizontal="right" vertical="center"/>
    </xf>
    <xf numFmtId="3" fontId="3" fillId="2" borderId="8" xfId="1" applyNumberFormat="1" applyFont="1" applyFill="1" applyBorder="1" applyAlignment="1">
      <alignment horizontal="right" vertical="center"/>
    </xf>
    <xf numFmtId="0" fontId="17" fillId="2" borderId="0" xfId="0" applyFont="1" applyFill="1" applyBorder="1"/>
    <xf numFmtId="3" fontId="3" fillId="2" borderId="0" xfId="1" applyNumberFormat="1" applyFont="1" applyFill="1" applyBorder="1" applyAlignment="1">
      <alignment horizontal="right" vertical="center"/>
    </xf>
    <xf numFmtId="3" fontId="3" fillId="2" borderId="5" xfId="1" applyNumberFormat="1" applyFont="1" applyFill="1" applyBorder="1" applyAlignment="1">
      <alignment horizontal="right" vertical="center"/>
    </xf>
    <xf numFmtId="3" fontId="3" fillId="2" borderId="3" xfId="1" applyNumberFormat="1" applyFont="1" applyFill="1" applyBorder="1" applyAlignment="1">
      <alignment horizontal="right" vertical="center"/>
    </xf>
    <xf numFmtId="0" fontId="18" fillId="2" borderId="0" xfId="0" applyFont="1" applyFill="1" applyBorder="1"/>
    <xf numFmtId="3" fontId="12" fillId="2" borderId="0" xfId="1" applyNumberFormat="1" applyFont="1" applyFill="1" applyBorder="1" applyAlignment="1">
      <alignment horizontal="right" vertical="center"/>
    </xf>
    <xf numFmtId="3" fontId="12" fillId="2" borderId="3" xfId="1" applyNumberFormat="1" applyFont="1" applyFill="1" applyBorder="1" applyAlignment="1">
      <alignment horizontal="right" vertical="center"/>
    </xf>
    <xf numFmtId="3" fontId="3" fillId="2" borderId="1" xfId="1" applyNumberFormat="1" applyFont="1" applyFill="1" applyBorder="1" applyAlignment="1">
      <alignment horizontal="right" vertical="center"/>
    </xf>
    <xf numFmtId="3" fontId="12" fillId="2" borderId="1" xfId="1" applyNumberFormat="1" applyFont="1" applyFill="1" applyBorder="1" applyAlignment="1">
      <alignment horizontal="right" vertical="center"/>
    </xf>
    <xf numFmtId="3" fontId="12" fillId="2" borderId="4" xfId="1" applyNumberFormat="1" applyFont="1" applyFill="1" applyBorder="1" applyAlignment="1">
      <alignment horizontal="right" vertical="center"/>
    </xf>
    <xf numFmtId="168" fontId="18" fillId="2" borderId="0" xfId="0" applyNumberFormat="1" applyFont="1" applyFill="1" applyBorder="1"/>
    <xf numFmtId="164" fontId="19" fillId="2" borderId="0" xfId="0" applyNumberFormat="1" applyFont="1" applyFill="1"/>
    <xf numFmtId="167" fontId="15" fillId="2" borderId="0" xfId="0" applyNumberFormat="1" applyFont="1" applyFill="1" applyBorder="1" applyAlignment="1">
      <alignment horizontal="center"/>
    </xf>
    <xf numFmtId="167" fontId="18" fillId="2" borderId="0" xfId="0" applyNumberFormat="1" applyFont="1" applyFill="1" applyBorder="1"/>
    <xf numFmtId="0" fontId="3" fillId="2" borderId="2" xfId="0" applyFont="1" applyFill="1" applyBorder="1" applyAlignment="1">
      <alignment horizontal="left" vertical="center"/>
    </xf>
    <xf numFmtId="3" fontId="3" fillId="2" borderId="2" xfId="1" applyNumberFormat="1" applyFont="1" applyFill="1" applyBorder="1" applyAlignment="1">
      <alignment horizontal="right" vertical="center" indent="2"/>
    </xf>
    <xf numFmtId="0" fontId="3" fillId="2" borderId="0" xfId="0" applyFont="1" applyFill="1" applyBorder="1" applyAlignment="1">
      <alignment horizontal="left"/>
    </xf>
    <xf numFmtId="3" fontId="3" fillId="2" borderId="0" xfId="1" applyNumberFormat="1" applyFont="1" applyFill="1" applyBorder="1" applyAlignment="1">
      <alignment horizontal="right" vertical="center" indent="2"/>
    </xf>
    <xf numFmtId="0" fontId="12" fillId="2" borderId="0" xfId="0" applyFont="1" applyFill="1" applyBorder="1" applyAlignment="1">
      <alignment horizontal="left" indent="1"/>
    </xf>
    <xf numFmtId="3" fontId="12" fillId="2" borderId="5" xfId="1" applyNumberFormat="1" applyFont="1" applyFill="1" applyBorder="1" applyAlignment="1">
      <alignment horizontal="right" vertical="center"/>
    </xf>
    <xf numFmtId="3" fontId="12" fillId="2" borderId="0" xfId="1" applyNumberFormat="1" applyFont="1" applyFill="1" applyBorder="1" applyAlignment="1">
      <alignment horizontal="right" vertical="center" indent="2"/>
    </xf>
    <xf numFmtId="0" fontId="12" fillId="2" borderId="1" xfId="0" applyFont="1" applyFill="1" applyBorder="1" applyAlignment="1">
      <alignment horizontal="left" indent="1"/>
    </xf>
    <xf numFmtId="3" fontId="12" fillId="2" borderId="6" xfId="1" applyNumberFormat="1" applyFont="1" applyFill="1" applyBorder="1" applyAlignment="1">
      <alignment horizontal="right" vertical="center"/>
    </xf>
    <xf numFmtId="3" fontId="12" fillId="2" borderId="6" xfId="1" applyNumberFormat="1" applyFont="1" applyFill="1" applyBorder="1" applyAlignment="1">
      <alignment horizontal="right" vertical="center" indent="2"/>
    </xf>
    <xf numFmtId="3" fontId="3" fillId="2" borderId="5" xfId="1" applyNumberFormat="1" applyFont="1" applyFill="1" applyBorder="1" applyAlignment="1">
      <alignment horizontal="right" vertical="center" indent="2"/>
    </xf>
    <xf numFmtId="0" fontId="3" fillId="2" borderId="8" xfId="0" applyFont="1" applyFill="1" applyBorder="1" applyAlignment="1">
      <alignment horizontal="right" vertical="center"/>
    </xf>
    <xf numFmtId="0" fontId="3" fillId="2" borderId="4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right" vertical="center"/>
    </xf>
    <xf numFmtId="0" fontId="3" fillId="2" borderId="6" xfId="0" applyFont="1" applyFill="1" applyBorder="1" applyAlignment="1">
      <alignment horizontal="right" vertical="center"/>
    </xf>
    <xf numFmtId="0" fontId="14" fillId="2" borderId="0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6" fillId="2" borderId="0" xfId="0" applyFont="1" applyFill="1" applyBorder="1" applyAlignment="1">
      <alignment horizontal="center"/>
    </xf>
    <xf numFmtId="1" fontId="3" fillId="2" borderId="2" xfId="0" applyNumberFormat="1" applyFont="1" applyFill="1" applyBorder="1" applyAlignment="1">
      <alignment horizontal="left" vertical="center"/>
    </xf>
    <xf numFmtId="1" fontId="3" fillId="2" borderId="0" xfId="0" applyNumberFormat="1" applyFont="1" applyFill="1" applyBorder="1" applyAlignment="1">
      <alignment horizontal="left" vertical="center"/>
    </xf>
    <xf numFmtId="1" fontId="3" fillId="2" borderId="1" xfId="0" applyNumberFormat="1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1" fontId="3" fillId="2" borderId="7" xfId="0" applyNumberFormat="1" applyFont="1" applyFill="1" applyBorder="1" applyAlignment="1">
      <alignment horizontal="center" vertical="center" wrapText="1"/>
    </xf>
    <xf numFmtId="1" fontId="3" fillId="2" borderId="5" xfId="0" applyNumberFormat="1" applyFont="1" applyFill="1" applyBorder="1" applyAlignment="1">
      <alignment horizontal="center" vertical="center" wrapText="1"/>
    </xf>
    <xf numFmtId="1" fontId="3" fillId="2" borderId="6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right" vertical="center" wrapText="1"/>
    </xf>
    <xf numFmtId="0" fontId="3" fillId="2" borderId="1" xfId="0" applyFont="1" applyFill="1" applyBorder="1" applyAlignment="1">
      <alignment horizontal="right" vertical="center" wrapText="1"/>
    </xf>
  </cellXfs>
  <cellStyles count="11">
    <cellStyle name="Comma" xfId="1" builtinId="3"/>
    <cellStyle name="Hyperlink" xfId="2" builtinId="8"/>
    <cellStyle name="Normal" xfId="0" builtinId="0"/>
    <cellStyle name="Normal 10" xfId="6"/>
    <cellStyle name="Normal 2 2 2" xfId="3"/>
    <cellStyle name="Normal 37" xfId="5"/>
    <cellStyle name="Normal 6" xfId="10"/>
    <cellStyle name="Normal 6 4" xfId="9"/>
    <cellStyle name="Normal 7" xfId="8"/>
    <cellStyle name="Normal 7 4" xfId="7"/>
    <cellStyle name="Normal 8" xfId="4"/>
  </cellStyles>
  <dxfs count="0"/>
  <tableStyles count="0" defaultTableStyle="TableStyleMedium2" defaultPivotStyle="PivotStyleLight16"/>
  <colors>
    <mruColors>
      <color rgb="FFFFFFEB"/>
      <color rgb="FFFFF1C9"/>
      <color rgb="FFFFE5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1592720239043599E-2"/>
          <c:y val="0.13523127883226979"/>
          <c:w val="0.93420777674356204"/>
          <c:h val="0.7826570508428697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'7.12'!$AK$6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'7.12'!$AK$7:$AK$21</c:f>
              <c:numCache>
                <c:formatCode>General</c:formatCode>
                <c:ptCount val="15"/>
                <c:pt idx="0">
                  <c:v>5432</c:v>
                </c:pt>
                <c:pt idx="1">
                  <c:v>7378</c:v>
                </c:pt>
                <c:pt idx="2">
                  <c:v>7601</c:v>
                </c:pt>
                <c:pt idx="3">
                  <c:v>7541</c:v>
                </c:pt>
                <c:pt idx="4">
                  <c:v>7188</c:v>
                </c:pt>
                <c:pt idx="5">
                  <c:v>7353</c:v>
                </c:pt>
                <c:pt idx="6">
                  <c:v>7055</c:v>
                </c:pt>
                <c:pt idx="7">
                  <c:v>6635</c:v>
                </c:pt>
                <c:pt idx="8">
                  <c:v>5939</c:v>
                </c:pt>
                <c:pt idx="9">
                  <c:v>5525</c:v>
                </c:pt>
                <c:pt idx="10">
                  <c:v>5376</c:v>
                </c:pt>
                <c:pt idx="11">
                  <c:v>5488</c:v>
                </c:pt>
                <c:pt idx="12">
                  <c:v>5425</c:v>
                </c:pt>
                <c:pt idx="13">
                  <c:v>2010</c:v>
                </c:pt>
                <c:pt idx="14">
                  <c:v>1967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5-4FA4-BD2D-070D9933D117}"/>
            </c:ext>
          </c:extLst>
        </c:ser>
        <c:ser>
          <c:idx val="1"/>
          <c:order val="1"/>
          <c:tx>
            <c:strRef>
              <c:f>'7.12'!$AL$6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'7.12'!$AL$7:$AL$21</c:f>
              <c:numCache>
                <c:formatCode>General</c:formatCode>
                <c:ptCount val="15"/>
                <c:pt idx="0">
                  <c:v>2544</c:v>
                </c:pt>
                <c:pt idx="1">
                  <c:v>2679</c:v>
                </c:pt>
                <c:pt idx="2">
                  <c:v>2673</c:v>
                </c:pt>
                <c:pt idx="3">
                  <c:v>2580</c:v>
                </c:pt>
                <c:pt idx="4">
                  <c:v>2445</c:v>
                </c:pt>
                <c:pt idx="5">
                  <c:v>2489</c:v>
                </c:pt>
                <c:pt idx="6">
                  <c:v>2448</c:v>
                </c:pt>
                <c:pt idx="7">
                  <c:v>2271</c:v>
                </c:pt>
                <c:pt idx="8">
                  <c:v>2057</c:v>
                </c:pt>
                <c:pt idx="9">
                  <c:v>1928</c:v>
                </c:pt>
                <c:pt idx="10">
                  <c:v>1917</c:v>
                </c:pt>
                <c:pt idx="11">
                  <c:v>1845</c:v>
                </c:pt>
                <c:pt idx="12">
                  <c:v>1737</c:v>
                </c:pt>
                <c:pt idx="13">
                  <c:v>1182</c:v>
                </c:pt>
                <c:pt idx="14">
                  <c:v>1263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5-4FA4-BD2D-070D9933D117}"/>
            </c:ext>
          </c:extLst>
        </c:ser>
        <c:ser>
          <c:idx val="2"/>
          <c:order val="2"/>
          <c:tx>
            <c:strRef>
              <c:f>'7.12'!$AM$6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'7.12'!$AJ$7:$AJ$21</c:f>
              <c:strCache>
                <c:ptCount val="15"/>
                <c:pt idx="0">
                  <c:v>Nurs.</c:v>
                </c:pt>
                <c:pt idx="1">
                  <c:v>LKG</c:v>
                </c:pt>
                <c:pt idx="2">
                  <c:v>UKG</c:v>
                </c:pt>
                <c:pt idx="3">
                  <c:v>Gr. 1</c:v>
                </c:pt>
                <c:pt idx="4">
                  <c:v>Gr. 2</c:v>
                </c:pt>
                <c:pt idx="5">
                  <c:v>Gr. 3</c:v>
                </c:pt>
                <c:pt idx="6">
                  <c:v>Gr. 4</c:v>
                </c:pt>
                <c:pt idx="7">
                  <c:v>Gr. 5</c:v>
                </c:pt>
                <c:pt idx="8">
                  <c:v>Gr. 6</c:v>
                </c:pt>
                <c:pt idx="9">
                  <c:v>Gr. 7</c:v>
                </c:pt>
                <c:pt idx="10">
                  <c:v>Gr. 8</c:v>
                </c:pt>
                <c:pt idx="11">
                  <c:v>Gr. 9</c:v>
                </c:pt>
                <c:pt idx="12">
                  <c:v>Gr. 10</c:v>
                </c:pt>
                <c:pt idx="13">
                  <c:v>Gr. 11</c:v>
                </c:pt>
                <c:pt idx="14">
                  <c:v>Gr. 12</c:v>
                </c:pt>
              </c:strCache>
            </c:strRef>
          </c:cat>
          <c:val>
            <c:numRef>
              <c:f>'7.12'!$AM$7:$AM$21</c:f>
              <c:numCache>
                <c:formatCode>General</c:formatCode>
                <c:ptCount val="15"/>
                <c:pt idx="0">
                  <c:v>2888</c:v>
                </c:pt>
                <c:pt idx="1">
                  <c:v>4699</c:v>
                </c:pt>
                <c:pt idx="2">
                  <c:v>4928</c:v>
                </c:pt>
                <c:pt idx="3">
                  <c:v>4961</c:v>
                </c:pt>
                <c:pt idx="4">
                  <c:v>4743</c:v>
                </c:pt>
                <c:pt idx="5">
                  <c:v>4864</c:v>
                </c:pt>
                <c:pt idx="6">
                  <c:v>4607</c:v>
                </c:pt>
                <c:pt idx="7">
                  <c:v>4364</c:v>
                </c:pt>
                <c:pt idx="8">
                  <c:v>3882</c:v>
                </c:pt>
                <c:pt idx="9">
                  <c:v>3597</c:v>
                </c:pt>
                <c:pt idx="10">
                  <c:v>3459</c:v>
                </c:pt>
                <c:pt idx="11">
                  <c:v>3643</c:v>
                </c:pt>
                <c:pt idx="12">
                  <c:v>3688</c:v>
                </c:pt>
                <c:pt idx="13">
                  <c:v>828</c:v>
                </c:pt>
                <c:pt idx="14">
                  <c:v>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5-4FA4-BD2D-070D9933D1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9"/>
        <c:axId val="161533312"/>
        <c:axId val="161539200"/>
      </c:barChart>
      <c:catAx>
        <c:axId val="161533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9200"/>
        <c:crosses val="autoZero"/>
        <c:auto val="1"/>
        <c:lblAlgn val="ctr"/>
        <c:lblOffset val="100"/>
        <c:noMultiLvlLbl val="0"/>
      </c:catAx>
      <c:valAx>
        <c:axId val="16153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4">
                  <a:lumMod val="20000"/>
                  <a:lumOff val="80000"/>
                </a:schemeClr>
              </a:solidFill>
              <a:prstDash val="sysDot"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33312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50945340509779657"/>
          <c:y val="0.23078954870720864"/>
          <c:w val="0.22593399467239123"/>
          <c:h val="6.355546438640866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200" b="1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+mn-lt"/>
              </a:rPr>
              <a:t>Figure 7.11: Number of students enrolled by level, 2018 </a:t>
            </a:r>
          </a:p>
        </c:rich>
      </c:tx>
      <c:layout>
        <c:manualLayout>
          <c:xMode val="edge"/>
          <c:yMode val="edge"/>
          <c:x val="0.30241550462155098"/>
          <c:y val="2.341104071487573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463445187108554"/>
          <c:y val="0.11295843520782396"/>
          <c:w val="0.85189344987286164"/>
          <c:h val="0.7830806845965769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'7.12'!$AM$64</c:f>
              <c:strCache>
                <c:ptCount val="1"/>
                <c:pt idx="0">
                  <c:v>Atolls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'7.12'!$AM$65:$AM$68</c:f>
              <c:numCache>
                <c:formatCode>_(* #,##0_);_(* \(#,##0\);_(* "-"??_);_(@_)</c:formatCode>
                <c:ptCount val="4"/>
                <c:pt idx="0">
                  <c:v>1532</c:v>
                </c:pt>
                <c:pt idx="1">
                  <c:v>10790</c:v>
                </c:pt>
                <c:pt idx="2">
                  <c:v>31018</c:v>
                </c:pt>
                <c:pt idx="3">
                  <c:v>12515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2BD-4371-BEBD-ED73BE3F06B5}"/>
            </c:ext>
          </c:extLst>
        </c:ser>
        <c:ser>
          <c:idx val="1"/>
          <c:order val="1"/>
          <c:tx>
            <c:strRef>
              <c:f>'7.12'!$AL$64</c:f>
              <c:strCache>
                <c:ptCount val="1"/>
                <c:pt idx="0">
                  <c:v>Male'</c:v>
                </c:pt>
              </c:strCache>
            </c:strRef>
          </c:tx>
          <c:spPr>
            <a:solidFill>
              <a:schemeClr val="accent4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'7.12'!$AL$65:$AL$68</c:f>
              <c:numCache>
                <c:formatCode>_(* #,##0_);_(* \(#,##0\);_(* "-"??_);_(@_)</c:formatCode>
                <c:ptCount val="4"/>
                <c:pt idx="0">
                  <c:v>2445</c:v>
                </c:pt>
                <c:pt idx="1">
                  <c:v>5499</c:v>
                </c:pt>
                <c:pt idx="2">
                  <c:v>16218</c:v>
                </c:pt>
                <c:pt idx="3">
                  <c:v>7896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2BD-4371-BEBD-ED73BE3F06B5}"/>
            </c:ext>
          </c:extLst>
        </c:ser>
        <c:ser>
          <c:idx val="2"/>
          <c:order val="2"/>
          <c:tx>
            <c:strRef>
              <c:f>'7.12'!$AK$64</c:f>
              <c:strCache>
                <c:ptCount val="1"/>
                <c:pt idx="0">
                  <c:v>Republic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'7.12'!$AI$65:$AJ$68</c:f>
              <c:strCache>
                <c:ptCount val="4"/>
                <c:pt idx="0">
                  <c:v>Higher Secondary</c:v>
                </c:pt>
                <c:pt idx="1">
                  <c:v>Secondary</c:v>
                </c:pt>
                <c:pt idx="2">
                  <c:v>Primary</c:v>
                </c:pt>
                <c:pt idx="3">
                  <c:v>Pre-Primary</c:v>
                </c:pt>
              </c:strCache>
            </c:strRef>
          </c:cat>
          <c:val>
            <c:numRef>
              <c:f>'7.12'!$AK$65:$AK$68</c:f>
              <c:numCache>
                <c:formatCode>_(* #,##0_);_(* \(#,##0\);_(* "-"??_);_(@_)</c:formatCode>
                <c:ptCount val="4"/>
                <c:pt idx="0">
                  <c:v>3977</c:v>
                </c:pt>
                <c:pt idx="1">
                  <c:v>16289</c:v>
                </c:pt>
                <c:pt idx="2">
                  <c:v>47236</c:v>
                </c:pt>
                <c:pt idx="3">
                  <c:v>20411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BD-4371-BEBD-ED73BE3F06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8"/>
        <c:axId val="215958336"/>
        <c:axId val="215960832"/>
      </c:barChart>
      <c:catAx>
        <c:axId val="2159583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60832"/>
        <c:crosses val="autoZero"/>
        <c:auto val="1"/>
        <c:lblAlgn val="ctr"/>
        <c:lblOffset val="100"/>
        <c:noMultiLvlLbl val="0"/>
      </c:catAx>
      <c:valAx>
        <c:axId val="215960832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958336"/>
        <c:crosses val="autoZero"/>
        <c:crossBetween val="between"/>
      </c:valAx>
      <c:spPr>
        <a:solidFill>
          <a:srgbClr val="FFFFEB"/>
        </a:solidFill>
        <a:ln>
          <a:solidFill>
            <a:schemeClr val="bg1">
              <a:lumMod val="6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61249236128120277"/>
          <c:y val="0.18222097755334948"/>
          <c:w val="0.22512489179181991"/>
          <c:h val="6.25714084028005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542429</xdr:colOff>
      <xdr:row>31</xdr:row>
      <xdr:rowOff>49933</xdr:rowOff>
    </xdr:from>
    <xdr:to>
      <xdr:col>18</xdr:col>
      <xdr:colOff>351929</xdr:colOff>
      <xdr:row>61</xdr:row>
      <xdr:rowOff>22885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526483</xdr:colOff>
      <xdr:row>63</xdr:row>
      <xdr:rowOff>74174</xdr:rowOff>
    </xdr:from>
    <xdr:to>
      <xdr:col>18</xdr:col>
      <xdr:colOff>316934</xdr:colOff>
      <xdr:row>96</xdr:row>
      <xdr:rowOff>83700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0.20527</cdr:x>
      <cdr:y>0.02103</cdr:y>
    </cdr:from>
    <cdr:to>
      <cdr:x>0.82002</cdr:x>
      <cdr:y>0.10854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1835887" y="75043"/>
          <a:ext cx="5498364" cy="31229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Figure 7.10: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Number of </a:t>
          </a:r>
          <a:r>
            <a:rPr lang="en-US" sz="1100" b="1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Students</a:t>
          </a:r>
          <a:r>
            <a:rPr lang="en-US" sz="1100" b="1" baseline="0">
              <a:effectLst/>
              <a:latin typeface="Consolas" panose="020B0609020204030204" pitchFamily="49" charset="0"/>
              <a:ea typeface="+mn-ea"/>
              <a:cs typeface="Consolas" pitchFamily="49" charset="0"/>
            </a:rPr>
            <a:t> enrolled by grade and locality, 2018</a:t>
          </a:r>
          <a:endParaRPr lang="en-US" sz="1100">
            <a:latin typeface="Consolas" panose="020B0609020204030204" pitchFamily="49" charset="0"/>
            <a:cs typeface="Consolas" pitchFamily="49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9/Checking/7.%20EDUC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7.1"/>
      <sheetName val="7.2"/>
      <sheetName val="7.3"/>
      <sheetName val="7.4"/>
      <sheetName val="7.5 &amp; 7.6"/>
      <sheetName val="7.7"/>
      <sheetName val="7.8"/>
      <sheetName val="7.9"/>
      <sheetName val="7.10"/>
      <sheetName val="7.11"/>
      <sheetName val="7.12"/>
      <sheetName val="7.13"/>
      <sheetName val="7.14"/>
      <sheetName val="7.15"/>
      <sheetName val="7.16 &amp; 7.17"/>
      <sheetName val="7.18"/>
      <sheetName val="7.19 &amp; 7.20"/>
      <sheetName val="7.21"/>
      <sheetName val="7.22"/>
      <sheetName val="7.23"/>
      <sheetName val="7.24"/>
      <sheetName val="7.25"/>
    </sheetNames>
    <sheetDataSet>
      <sheetData sheetId="0">
        <row r="51">
          <cell r="AJ51" t="str">
            <v xml:space="preserve"> Male</v>
          </cell>
          <cell r="AK51" t="str">
            <v xml:space="preserve"> Female</v>
          </cell>
        </row>
        <row r="52">
          <cell r="AI52" t="str">
            <v>Male'</v>
          </cell>
          <cell r="AJ52">
            <v>15939</v>
          </cell>
          <cell r="AK52">
            <v>15548</v>
          </cell>
        </row>
        <row r="53">
          <cell r="AI53" t="str">
            <v xml:space="preserve"> HA</v>
          </cell>
          <cell r="AJ53">
            <v>2007</v>
          </cell>
          <cell r="AK53">
            <v>1776</v>
          </cell>
        </row>
        <row r="54">
          <cell r="AI54" t="str">
            <v xml:space="preserve"> HDh</v>
          </cell>
          <cell r="AJ54">
            <v>2913</v>
          </cell>
          <cell r="AK54">
            <v>2733</v>
          </cell>
        </row>
        <row r="55">
          <cell r="AI55" t="str">
            <v xml:space="preserve"> Sh</v>
          </cell>
          <cell r="AJ55">
            <v>1922</v>
          </cell>
          <cell r="AK55">
            <v>1776</v>
          </cell>
        </row>
        <row r="56">
          <cell r="AI56" t="str">
            <v xml:space="preserve"> N</v>
          </cell>
          <cell r="AJ56">
            <v>1531</v>
          </cell>
          <cell r="AK56">
            <v>1446</v>
          </cell>
        </row>
        <row r="57">
          <cell r="AI57" t="str">
            <v xml:space="preserve"> R</v>
          </cell>
          <cell r="AJ57">
            <v>2443</v>
          </cell>
          <cell r="AK57">
            <v>2247</v>
          </cell>
        </row>
        <row r="58">
          <cell r="AI58" t="str">
            <v>B</v>
          </cell>
          <cell r="AJ58">
            <v>1324</v>
          </cell>
          <cell r="AK58">
            <v>1245</v>
          </cell>
        </row>
        <row r="59">
          <cell r="AI59" t="str">
            <v>Lh</v>
          </cell>
          <cell r="AJ59">
            <v>1019</v>
          </cell>
          <cell r="AK59">
            <v>1018</v>
          </cell>
        </row>
        <row r="60">
          <cell r="AI60" t="str">
            <v>K</v>
          </cell>
          <cell r="AJ60">
            <v>1474</v>
          </cell>
          <cell r="AK60">
            <v>1310</v>
          </cell>
        </row>
        <row r="61">
          <cell r="AI61" t="str">
            <v>AA</v>
          </cell>
          <cell r="AJ61">
            <v>915</v>
          </cell>
          <cell r="AK61">
            <v>856</v>
          </cell>
        </row>
        <row r="62">
          <cell r="AI62" t="str">
            <v>ADh</v>
          </cell>
          <cell r="AJ62">
            <v>1151</v>
          </cell>
          <cell r="AK62">
            <v>1073</v>
          </cell>
        </row>
        <row r="63">
          <cell r="AI63" t="str">
            <v>V</v>
          </cell>
          <cell r="AJ63">
            <v>186</v>
          </cell>
          <cell r="AK63">
            <v>156</v>
          </cell>
        </row>
        <row r="64">
          <cell r="AI64" t="str">
            <v>M</v>
          </cell>
          <cell r="AJ64">
            <v>635</v>
          </cell>
          <cell r="AK64">
            <v>594</v>
          </cell>
        </row>
        <row r="65">
          <cell r="AI65" t="str">
            <v>F</v>
          </cell>
          <cell r="AJ65">
            <v>718</v>
          </cell>
          <cell r="AK65">
            <v>704</v>
          </cell>
        </row>
        <row r="66">
          <cell r="AI66" t="str">
            <v>Dh</v>
          </cell>
          <cell r="AJ66">
            <v>865</v>
          </cell>
          <cell r="AK66">
            <v>862</v>
          </cell>
        </row>
        <row r="67">
          <cell r="AI67" t="str">
            <v>Th</v>
          </cell>
          <cell r="AJ67">
            <v>1342</v>
          </cell>
          <cell r="AK67">
            <v>1239</v>
          </cell>
        </row>
        <row r="68">
          <cell r="AI68" t="str">
            <v xml:space="preserve"> L</v>
          </cell>
          <cell r="AJ68">
            <v>1874</v>
          </cell>
          <cell r="AK68">
            <v>1723</v>
          </cell>
        </row>
        <row r="69">
          <cell r="AI69" t="str">
            <v>GA</v>
          </cell>
          <cell r="AJ69">
            <v>1071</v>
          </cell>
          <cell r="AK69">
            <v>1067</v>
          </cell>
        </row>
        <row r="70">
          <cell r="AI70" t="str">
            <v>GDh</v>
          </cell>
          <cell r="AJ70">
            <v>1651</v>
          </cell>
          <cell r="AK70">
            <v>1450</v>
          </cell>
        </row>
        <row r="71">
          <cell r="AI71" t="str">
            <v>Gn</v>
          </cell>
          <cell r="AJ71">
            <v>1244</v>
          </cell>
          <cell r="AK71">
            <v>1216</v>
          </cell>
        </row>
        <row r="72">
          <cell r="AI72" t="str">
            <v>S</v>
          </cell>
          <cell r="AJ72">
            <v>2769</v>
          </cell>
          <cell r="AK72">
            <v>2744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M68"/>
  <sheetViews>
    <sheetView tabSelected="1" zoomScaleNormal="100" workbookViewId="0">
      <selection activeCell="AA32" sqref="AA32"/>
    </sheetView>
  </sheetViews>
  <sheetFormatPr defaultColWidth="7.140625" defaultRowHeight="9" x14ac:dyDescent="0.15"/>
  <cols>
    <col min="1" max="1" width="15.140625" style="10" customWidth="1"/>
    <col min="2" max="2" width="8.7109375" style="10" bestFit="1" customWidth="1"/>
    <col min="3" max="5" width="7.85546875" style="12" bestFit="1" customWidth="1"/>
    <col min="6" max="6" width="8.7109375" style="12" bestFit="1" customWidth="1"/>
    <col min="7" max="13" width="7.85546875" style="12" bestFit="1" customWidth="1"/>
    <col min="14" max="14" width="8.7109375" style="12" bestFit="1" customWidth="1"/>
    <col min="15" max="17" width="7.85546875" style="12" bestFit="1" customWidth="1"/>
    <col min="18" max="18" width="8.7109375" style="12" bestFit="1" customWidth="1"/>
    <col min="19" max="21" width="7.85546875" style="12" bestFit="1" customWidth="1"/>
    <col min="22" max="22" width="10.42578125" style="11" customWidth="1"/>
    <col min="23" max="16384" width="7.140625" style="9"/>
  </cols>
  <sheetData>
    <row r="1" spans="1:39" ht="18.75" x14ac:dyDescent="0.45">
      <c r="A1" s="48" t="s">
        <v>50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39" ht="18.75" x14ac:dyDescent="0.3">
      <c r="A2" s="49" t="s">
        <v>49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</row>
    <row r="3" spans="1:39" ht="12.75" customHeight="1" x14ac:dyDescent="0.15">
      <c r="C3" s="11"/>
      <c r="D3" s="11"/>
      <c r="E3" s="11"/>
      <c r="F3" s="11"/>
    </row>
    <row r="4" spans="1:39" ht="30" customHeight="1" x14ac:dyDescent="0.15">
      <c r="A4" s="51" t="s">
        <v>30</v>
      </c>
      <c r="B4" s="54" t="s">
        <v>0</v>
      </c>
      <c r="C4" s="57" t="s">
        <v>28</v>
      </c>
      <c r="D4" s="57"/>
      <c r="E4" s="57"/>
      <c r="F4" s="58"/>
      <c r="G4" s="59" t="s">
        <v>6</v>
      </c>
      <c r="H4" s="57"/>
      <c r="I4" s="57"/>
      <c r="J4" s="57"/>
      <c r="K4" s="57"/>
      <c r="L4" s="57"/>
      <c r="M4" s="57"/>
      <c r="N4" s="58"/>
      <c r="O4" s="57" t="s">
        <v>31</v>
      </c>
      <c r="P4" s="57"/>
      <c r="Q4" s="57"/>
      <c r="R4" s="57"/>
      <c r="S4" s="59" t="s">
        <v>7</v>
      </c>
      <c r="T4" s="57"/>
      <c r="U4" s="58"/>
      <c r="V4" s="60" t="s">
        <v>29</v>
      </c>
    </row>
    <row r="5" spans="1:39" x14ac:dyDescent="0.15">
      <c r="A5" s="52"/>
      <c r="B5" s="55"/>
      <c r="C5" s="63" t="s">
        <v>32</v>
      </c>
      <c r="D5" s="44" t="s">
        <v>33</v>
      </c>
      <c r="E5" s="44" t="s">
        <v>34</v>
      </c>
      <c r="F5" s="42" t="s">
        <v>0</v>
      </c>
      <c r="G5" s="44" t="s">
        <v>35</v>
      </c>
      <c r="H5" s="44" t="s">
        <v>36</v>
      </c>
      <c r="I5" s="44" t="s">
        <v>37</v>
      </c>
      <c r="J5" s="44" t="s">
        <v>38</v>
      </c>
      <c r="K5" s="44" t="s">
        <v>39</v>
      </c>
      <c r="L5" s="44" t="s">
        <v>40</v>
      </c>
      <c r="M5" s="44" t="s">
        <v>41</v>
      </c>
      <c r="N5" s="42" t="s">
        <v>0</v>
      </c>
      <c r="O5" s="44" t="s">
        <v>42</v>
      </c>
      <c r="P5" s="44" t="s">
        <v>43</v>
      </c>
      <c r="Q5" s="44" t="s">
        <v>44</v>
      </c>
      <c r="R5" s="44" t="s">
        <v>0</v>
      </c>
      <c r="S5" s="46" t="s">
        <v>45</v>
      </c>
      <c r="T5" s="44" t="s">
        <v>46</v>
      </c>
      <c r="U5" s="42" t="s">
        <v>0</v>
      </c>
      <c r="V5" s="61"/>
    </row>
    <row r="6" spans="1:39" ht="15" customHeight="1" x14ac:dyDescent="0.15">
      <c r="A6" s="53"/>
      <c r="B6" s="56"/>
      <c r="C6" s="64"/>
      <c r="D6" s="45"/>
      <c r="E6" s="45"/>
      <c r="F6" s="43"/>
      <c r="G6" s="45"/>
      <c r="H6" s="45"/>
      <c r="I6" s="45"/>
      <c r="J6" s="45"/>
      <c r="K6" s="45"/>
      <c r="L6" s="45"/>
      <c r="M6" s="45"/>
      <c r="N6" s="43"/>
      <c r="O6" s="45"/>
      <c r="P6" s="45"/>
      <c r="Q6" s="45"/>
      <c r="R6" s="45"/>
      <c r="S6" s="47"/>
      <c r="T6" s="45"/>
      <c r="U6" s="43"/>
      <c r="V6" s="62"/>
      <c r="AK6" s="9" t="s">
        <v>1</v>
      </c>
      <c r="AL6" s="9" t="s">
        <v>2</v>
      </c>
      <c r="AM6" s="9" t="s">
        <v>3</v>
      </c>
    </row>
    <row r="7" spans="1:39" s="13" customFormat="1" ht="17.25" customHeight="1" x14ac:dyDescent="0.2">
      <c r="A7" s="31" t="s">
        <v>47</v>
      </c>
      <c r="B7" s="14">
        <f>F7+N7+R7+U7+V7</f>
        <v>88211</v>
      </c>
      <c r="C7" s="14">
        <f t="shared" ref="C7:R7" si="0">SUM(C8:C9)</f>
        <v>5432</v>
      </c>
      <c r="D7" s="14">
        <f t="shared" si="0"/>
        <v>7378</v>
      </c>
      <c r="E7" s="14">
        <f t="shared" si="0"/>
        <v>7601</v>
      </c>
      <c r="F7" s="14">
        <f t="shared" si="0"/>
        <v>20411</v>
      </c>
      <c r="G7" s="15">
        <f t="shared" si="0"/>
        <v>7541</v>
      </c>
      <c r="H7" s="14">
        <f t="shared" si="0"/>
        <v>7188</v>
      </c>
      <c r="I7" s="14">
        <f t="shared" si="0"/>
        <v>7353</v>
      </c>
      <c r="J7" s="14">
        <f t="shared" si="0"/>
        <v>7055</v>
      </c>
      <c r="K7" s="14">
        <f t="shared" si="0"/>
        <v>6635</v>
      </c>
      <c r="L7" s="14">
        <f t="shared" si="0"/>
        <v>5939</v>
      </c>
      <c r="M7" s="14">
        <f t="shared" si="0"/>
        <v>5525</v>
      </c>
      <c r="N7" s="16">
        <f t="shared" si="0"/>
        <v>47236</v>
      </c>
      <c r="O7" s="14">
        <f t="shared" si="0"/>
        <v>5376</v>
      </c>
      <c r="P7" s="14">
        <f t="shared" si="0"/>
        <v>5488</v>
      </c>
      <c r="Q7" s="14">
        <f t="shared" si="0"/>
        <v>5425</v>
      </c>
      <c r="R7" s="14">
        <f t="shared" si="0"/>
        <v>16289</v>
      </c>
      <c r="S7" s="15">
        <f t="shared" ref="S7:U7" si="1">SUM(S8:S9)</f>
        <v>2010</v>
      </c>
      <c r="T7" s="14">
        <f t="shared" si="1"/>
        <v>1967</v>
      </c>
      <c r="U7" s="16">
        <f t="shared" si="1"/>
        <v>3977</v>
      </c>
      <c r="V7" s="32">
        <f>SUM(V8:V9)</f>
        <v>298</v>
      </c>
      <c r="AJ7" s="13" t="s">
        <v>32</v>
      </c>
      <c r="AK7" s="17">
        <v>5432</v>
      </c>
      <c r="AL7" s="17">
        <v>2544</v>
      </c>
      <c r="AM7" s="17">
        <v>2888</v>
      </c>
    </row>
    <row r="8" spans="1:39" s="17" customFormat="1" ht="18.95" customHeight="1" x14ac:dyDescent="0.25">
      <c r="A8" s="33" t="s">
        <v>2</v>
      </c>
      <c r="B8" s="18">
        <f>V8+U8+R8+N8+F8</f>
        <v>32170</v>
      </c>
      <c r="C8" s="18">
        <v>2544</v>
      </c>
      <c r="D8" s="18">
        <v>2679</v>
      </c>
      <c r="E8" s="18">
        <v>2673</v>
      </c>
      <c r="F8" s="18">
        <f>SUM(C8:E8)</f>
        <v>7896</v>
      </c>
      <c r="G8" s="19">
        <v>2580</v>
      </c>
      <c r="H8" s="18">
        <v>2445</v>
      </c>
      <c r="I8" s="18">
        <v>2489</v>
      </c>
      <c r="J8" s="18">
        <v>2448</v>
      </c>
      <c r="K8" s="18">
        <v>2271</v>
      </c>
      <c r="L8" s="18">
        <v>2057</v>
      </c>
      <c r="M8" s="18">
        <v>1928</v>
      </c>
      <c r="N8" s="20">
        <f>SUM(G8:M8)</f>
        <v>16218</v>
      </c>
      <c r="O8" s="18">
        <v>1917</v>
      </c>
      <c r="P8" s="18">
        <v>1845</v>
      </c>
      <c r="Q8" s="18">
        <v>1737</v>
      </c>
      <c r="R8" s="18">
        <f>SUM(O8:Q8)</f>
        <v>5499</v>
      </c>
      <c r="S8" s="19">
        <v>1182</v>
      </c>
      <c r="T8" s="18">
        <v>1263</v>
      </c>
      <c r="U8" s="20">
        <f>SUM(S8:T8)</f>
        <v>2445</v>
      </c>
      <c r="V8" s="34">
        <v>112</v>
      </c>
      <c r="AJ8" s="17" t="s">
        <v>33</v>
      </c>
      <c r="AK8" s="17">
        <v>7378</v>
      </c>
      <c r="AL8" s="17">
        <v>2679</v>
      </c>
      <c r="AM8" s="17">
        <v>4699</v>
      </c>
    </row>
    <row r="9" spans="1:39" s="17" customFormat="1" ht="18.95" customHeight="1" x14ac:dyDescent="0.25">
      <c r="A9" s="33" t="s">
        <v>48</v>
      </c>
      <c r="B9" s="18">
        <f>V9+U9+R9+N9+F9</f>
        <v>56041</v>
      </c>
      <c r="C9" s="18">
        <f>SUM(C10:C29)</f>
        <v>2888</v>
      </c>
      <c r="D9" s="18">
        <f t="shared" ref="D9:F9" si="2">SUM(D10:D29)</f>
        <v>4699</v>
      </c>
      <c r="E9" s="18">
        <f t="shared" si="2"/>
        <v>4928</v>
      </c>
      <c r="F9" s="18">
        <f t="shared" si="2"/>
        <v>12515</v>
      </c>
      <c r="G9" s="19">
        <f>SUM(G10:G29)</f>
        <v>4961</v>
      </c>
      <c r="H9" s="18">
        <f t="shared" ref="H9:M9" si="3">SUM(H10:H29)</f>
        <v>4743</v>
      </c>
      <c r="I9" s="18">
        <f t="shared" si="3"/>
        <v>4864</v>
      </c>
      <c r="J9" s="18">
        <f t="shared" si="3"/>
        <v>4607</v>
      </c>
      <c r="K9" s="18">
        <f t="shared" si="3"/>
        <v>4364</v>
      </c>
      <c r="L9" s="18">
        <f t="shared" si="3"/>
        <v>3882</v>
      </c>
      <c r="M9" s="18">
        <f t="shared" si="3"/>
        <v>3597</v>
      </c>
      <c r="N9" s="20">
        <f>SUM(G9:M9)</f>
        <v>31018</v>
      </c>
      <c r="O9" s="19">
        <f>SUM(O10:O29)</f>
        <v>3459</v>
      </c>
      <c r="P9" s="18">
        <f t="shared" ref="P9:R9" si="4">SUM(P10:P29)</f>
        <v>3643</v>
      </c>
      <c r="Q9" s="18">
        <f t="shared" si="4"/>
        <v>3688</v>
      </c>
      <c r="R9" s="18">
        <f t="shared" si="4"/>
        <v>10790</v>
      </c>
      <c r="S9" s="19">
        <f>SUM(S10:S29)</f>
        <v>828</v>
      </c>
      <c r="T9" s="18">
        <f t="shared" ref="T9:V9" si="5">SUM(T10:T29)</f>
        <v>704</v>
      </c>
      <c r="U9" s="18">
        <f t="shared" si="5"/>
        <v>1532</v>
      </c>
      <c r="V9" s="41">
        <f t="shared" si="5"/>
        <v>186</v>
      </c>
      <c r="W9" s="13"/>
      <c r="AD9" s="13"/>
      <c r="AE9" s="13"/>
      <c r="AF9" s="13"/>
      <c r="AG9" s="13"/>
      <c r="AJ9" s="17" t="s">
        <v>34</v>
      </c>
      <c r="AK9" s="21">
        <v>7601</v>
      </c>
      <c r="AL9" s="21">
        <v>2673</v>
      </c>
      <c r="AM9" s="21">
        <v>4928</v>
      </c>
    </row>
    <row r="10" spans="1:39" s="21" customFormat="1" ht="15" x14ac:dyDescent="0.25">
      <c r="A10" s="35" t="s">
        <v>8</v>
      </c>
      <c r="B10" s="18">
        <f>F10+N10+R10+U10+V10</f>
        <v>3797</v>
      </c>
      <c r="C10" s="22">
        <v>191</v>
      </c>
      <c r="D10" s="22">
        <v>313</v>
      </c>
      <c r="E10" s="22">
        <v>322</v>
      </c>
      <c r="F10" s="22">
        <f>SUM(C10:E10)</f>
        <v>826</v>
      </c>
      <c r="G10" s="36">
        <v>340</v>
      </c>
      <c r="H10" s="22">
        <v>311</v>
      </c>
      <c r="I10" s="22">
        <v>320</v>
      </c>
      <c r="J10" s="22">
        <v>336</v>
      </c>
      <c r="K10" s="22">
        <v>291</v>
      </c>
      <c r="L10" s="22">
        <v>243</v>
      </c>
      <c r="M10" s="22">
        <v>242</v>
      </c>
      <c r="N10" s="23">
        <f>SUM(G10:M10)</f>
        <v>2083</v>
      </c>
      <c r="O10" s="22">
        <v>224</v>
      </c>
      <c r="P10" s="22">
        <v>266</v>
      </c>
      <c r="Q10" s="22">
        <v>283</v>
      </c>
      <c r="R10" s="22">
        <f>SUM(O10:Q10)</f>
        <v>773</v>
      </c>
      <c r="S10" s="36">
        <v>58</v>
      </c>
      <c r="T10" s="22">
        <v>48</v>
      </c>
      <c r="U10" s="23">
        <f>SUM(S10:T10)</f>
        <v>106</v>
      </c>
      <c r="V10" s="37">
        <v>9</v>
      </c>
      <c r="AJ10" s="21" t="s">
        <v>35</v>
      </c>
      <c r="AK10" s="21">
        <v>7541</v>
      </c>
      <c r="AL10" s="21">
        <v>2580</v>
      </c>
      <c r="AM10" s="21">
        <v>4961</v>
      </c>
    </row>
    <row r="11" spans="1:39" s="21" customFormat="1" ht="15" x14ac:dyDescent="0.25">
      <c r="A11" s="35" t="s">
        <v>9</v>
      </c>
      <c r="B11" s="18">
        <f t="shared" ref="B11:B29" si="6">F11+N11+R11+U11+V11</f>
        <v>5696</v>
      </c>
      <c r="C11" s="22">
        <v>361</v>
      </c>
      <c r="D11" s="22">
        <v>511</v>
      </c>
      <c r="E11" s="22">
        <v>521</v>
      </c>
      <c r="F11" s="22">
        <f t="shared" ref="F11:F29" si="7">SUM(C11:E11)</f>
        <v>1393</v>
      </c>
      <c r="G11" s="36">
        <v>531</v>
      </c>
      <c r="H11" s="22">
        <v>517</v>
      </c>
      <c r="I11" s="22">
        <v>500</v>
      </c>
      <c r="J11" s="22">
        <v>424</v>
      </c>
      <c r="K11" s="22">
        <v>423</v>
      </c>
      <c r="L11" s="22">
        <v>396</v>
      </c>
      <c r="M11" s="22">
        <v>316</v>
      </c>
      <c r="N11" s="23">
        <f t="shared" ref="N11:N29" si="8">SUM(G11:M11)</f>
        <v>3107</v>
      </c>
      <c r="O11" s="22">
        <v>324</v>
      </c>
      <c r="P11" s="22">
        <v>360</v>
      </c>
      <c r="Q11" s="22">
        <v>352</v>
      </c>
      <c r="R11" s="22">
        <f t="shared" ref="R11:R29" si="9">SUM(O11:Q11)</f>
        <v>1036</v>
      </c>
      <c r="S11" s="36">
        <v>67</v>
      </c>
      <c r="T11" s="22">
        <v>65</v>
      </c>
      <c r="U11" s="23">
        <f t="shared" ref="U11:U29" si="10">SUM(S11:T11)</f>
        <v>132</v>
      </c>
      <c r="V11" s="37">
        <v>28</v>
      </c>
      <c r="AJ11" s="21" t="s">
        <v>36</v>
      </c>
      <c r="AK11" s="21">
        <v>7188</v>
      </c>
      <c r="AL11" s="21">
        <v>2445</v>
      </c>
      <c r="AM11" s="21">
        <v>4743</v>
      </c>
    </row>
    <row r="12" spans="1:39" s="21" customFormat="1" ht="15" x14ac:dyDescent="0.25">
      <c r="A12" s="35" t="s">
        <v>10</v>
      </c>
      <c r="B12" s="18">
        <f t="shared" si="6"/>
        <v>3663</v>
      </c>
      <c r="C12" s="22">
        <v>86</v>
      </c>
      <c r="D12" s="22">
        <v>300</v>
      </c>
      <c r="E12" s="22">
        <v>293</v>
      </c>
      <c r="F12" s="22">
        <f t="shared" si="7"/>
        <v>679</v>
      </c>
      <c r="G12" s="36">
        <v>333</v>
      </c>
      <c r="H12" s="22">
        <v>336</v>
      </c>
      <c r="I12" s="22">
        <v>344</v>
      </c>
      <c r="J12" s="22">
        <v>287</v>
      </c>
      <c r="K12" s="22">
        <v>294</v>
      </c>
      <c r="L12" s="22">
        <v>258</v>
      </c>
      <c r="M12" s="22">
        <v>239</v>
      </c>
      <c r="N12" s="23">
        <f t="shared" si="8"/>
        <v>2091</v>
      </c>
      <c r="O12" s="22">
        <v>244</v>
      </c>
      <c r="P12" s="22">
        <v>253</v>
      </c>
      <c r="Q12" s="22">
        <v>274</v>
      </c>
      <c r="R12" s="22">
        <f t="shared" si="9"/>
        <v>771</v>
      </c>
      <c r="S12" s="36">
        <v>77</v>
      </c>
      <c r="T12" s="22">
        <v>42</v>
      </c>
      <c r="U12" s="23">
        <f t="shared" si="10"/>
        <v>119</v>
      </c>
      <c r="V12" s="37">
        <v>3</v>
      </c>
      <c r="AJ12" s="21" t="s">
        <v>37</v>
      </c>
      <c r="AK12" s="21">
        <v>7353</v>
      </c>
      <c r="AL12" s="21">
        <v>2489</v>
      </c>
      <c r="AM12" s="21">
        <v>4864</v>
      </c>
    </row>
    <row r="13" spans="1:39" s="21" customFormat="1" ht="15" x14ac:dyDescent="0.25">
      <c r="A13" s="35" t="s">
        <v>11</v>
      </c>
      <c r="B13" s="18">
        <f t="shared" si="6"/>
        <v>3064</v>
      </c>
      <c r="C13" s="22">
        <v>166</v>
      </c>
      <c r="D13" s="22">
        <v>258</v>
      </c>
      <c r="E13" s="22">
        <v>265</v>
      </c>
      <c r="F13" s="22">
        <f t="shared" si="7"/>
        <v>689</v>
      </c>
      <c r="G13" s="36">
        <v>288</v>
      </c>
      <c r="H13" s="22">
        <v>284</v>
      </c>
      <c r="I13" s="22">
        <v>294</v>
      </c>
      <c r="J13" s="22">
        <v>250</v>
      </c>
      <c r="K13" s="22">
        <v>239</v>
      </c>
      <c r="L13" s="22">
        <v>202</v>
      </c>
      <c r="M13" s="22">
        <v>186</v>
      </c>
      <c r="N13" s="23">
        <f t="shared" si="8"/>
        <v>1743</v>
      </c>
      <c r="O13" s="22">
        <v>187</v>
      </c>
      <c r="P13" s="22">
        <v>189</v>
      </c>
      <c r="Q13" s="22">
        <v>188</v>
      </c>
      <c r="R13" s="22">
        <f t="shared" si="9"/>
        <v>564</v>
      </c>
      <c r="S13" s="36">
        <v>35</v>
      </c>
      <c r="T13" s="22">
        <v>29</v>
      </c>
      <c r="U13" s="23">
        <f t="shared" si="10"/>
        <v>64</v>
      </c>
      <c r="V13" s="37">
        <v>4</v>
      </c>
      <c r="AJ13" s="21" t="s">
        <v>38</v>
      </c>
      <c r="AK13" s="21">
        <v>7055</v>
      </c>
      <c r="AL13" s="21">
        <v>2448</v>
      </c>
      <c r="AM13" s="21">
        <v>4607</v>
      </c>
    </row>
    <row r="14" spans="1:39" s="21" customFormat="1" ht="15" x14ac:dyDescent="0.25">
      <c r="A14" s="35" t="s">
        <v>12</v>
      </c>
      <c r="B14" s="18">
        <f t="shared" si="6"/>
        <v>4698</v>
      </c>
      <c r="C14" s="22">
        <v>382</v>
      </c>
      <c r="D14" s="22">
        <v>377</v>
      </c>
      <c r="E14" s="22">
        <v>380</v>
      </c>
      <c r="F14" s="22">
        <f t="shared" si="7"/>
        <v>1139</v>
      </c>
      <c r="G14" s="36">
        <v>418</v>
      </c>
      <c r="H14" s="22">
        <v>357</v>
      </c>
      <c r="I14" s="22">
        <v>404</v>
      </c>
      <c r="J14" s="22">
        <v>351</v>
      </c>
      <c r="K14" s="22">
        <v>332</v>
      </c>
      <c r="L14" s="22">
        <v>301</v>
      </c>
      <c r="M14" s="22">
        <v>294</v>
      </c>
      <c r="N14" s="23">
        <f t="shared" si="8"/>
        <v>2457</v>
      </c>
      <c r="O14" s="22">
        <v>268</v>
      </c>
      <c r="P14" s="22">
        <v>335</v>
      </c>
      <c r="Q14" s="22">
        <v>315</v>
      </c>
      <c r="R14" s="22">
        <f t="shared" si="9"/>
        <v>918</v>
      </c>
      <c r="S14" s="36">
        <v>97</v>
      </c>
      <c r="T14" s="22">
        <v>83</v>
      </c>
      <c r="U14" s="23">
        <f t="shared" si="10"/>
        <v>180</v>
      </c>
      <c r="V14" s="37">
        <v>4</v>
      </c>
      <c r="AJ14" s="21" t="s">
        <v>39</v>
      </c>
      <c r="AK14" s="21">
        <v>6635</v>
      </c>
      <c r="AL14" s="21">
        <v>2271</v>
      </c>
      <c r="AM14" s="21">
        <v>4364</v>
      </c>
    </row>
    <row r="15" spans="1:39" s="21" customFormat="1" ht="15" x14ac:dyDescent="0.25">
      <c r="A15" s="35" t="s">
        <v>13</v>
      </c>
      <c r="B15" s="18">
        <f t="shared" si="6"/>
        <v>2637</v>
      </c>
      <c r="C15" s="22">
        <v>167</v>
      </c>
      <c r="D15" s="22">
        <v>213</v>
      </c>
      <c r="E15" s="22">
        <v>208</v>
      </c>
      <c r="F15" s="22">
        <f t="shared" si="7"/>
        <v>588</v>
      </c>
      <c r="G15" s="36">
        <v>232</v>
      </c>
      <c r="H15" s="22">
        <v>212</v>
      </c>
      <c r="I15" s="22">
        <v>231</v>
      </c>
      <c r="J15" s="22">
        <v>191</v>
      </c>
      <c r="K15" s="22">
        <v>193</v>
      </c>
      <c r="L15" s="22">
        <v>183</v>
      </c>
      <c r="M15" s="22">
        <v>166</v>
      </c>
      <c r="N15" s="23">
        <f t="shared" si="8"/>
        <v>1408</v>
      </c>
      <c r="O15" s="22">
        <v>194</v>
      </c>
      <c r="P15" s="22">
        <v>173</v>
      </c>
      <c r="Q15" s="22">
        <v>187</v>
      </c>
      <c r="R15" s="22">
        <f t="shared" si="9"/>
        <v>554</v>
      </c>
      <c r="S15" s="36">
        <v>47</v>
      </c>
      <c r="T15" s="22">
        <v>33</v>
      </c>
      <c r="U15" s="23">
        <f t="shared" si="10"/>
        <v>80</v>
      </c>
      <c r="V15" s="37">
        <v>7</v>
      </c>
      <c r="AJ15" s="21" t="s">
        <v>40</v>
      </c>
      <c r="AK15" s="21">
        <v>5939</v>
      </c>
      <c r="AL15" s="21">
        <v>2057</v>
      </c>
      <c r="AM15" s="21">
        <v>3882</v>
      </c>
    </row>
    <row r="16" spans="1:39" s="21" customFormat="1" ht="15" x14ac:dyDescent="0.25">
      <c r="A16" s="35" t="s">
        <v>14</v>
      </c>
      <c r="B16" s="18">
        <f t="shared" si="6"/>
        <v>2077</v>
      </c>
      <c r="C16" s="22">
        <v>89</v>
      </c>
      <c r="D16" s="22">
        <v>197</v>
      </c>
      <c r="E16" s="22">
        <v>187</v>
      </c>
      <c r="F16" s="22">
        <f t="shared" si="7"/>
        <v>473</v>
      </c>
      <c r="G16" s="36">
        <v>171</v>
      </c>
      <c r="H16" s="22">
        <v>163</v>
      </c>
      <c r="I16" s="22">
        <v>192</v>
      </c>
      <c r="J16" s="22">
        <v>167</v>
      </c>
      <c r="K16" s="22">
        <v>150</v>
      </c>
      <c r="L16" s="22">
        <v>144</v>
      </c>
      <c r="M16" s="22">
        <v>150</v>
      </c>
      <c r="N16" s="23">
        <f t="shared" si="8"/>
        <v>1137</v>
      </c>
      <c r="O16" s="22">
        <v>150</v>
      </c>
      <c r="P16" s="22">
        <v>137</v>
      </c>
      <c r="Q16" s="22">
        <v>123</v>
      </c>
      <c r="R16" s="22">
        <f t="shared" si="9"/>
        <v>410</v>
      </c>
      <c r="S16" s="36">
        <v>25</v>
      </c>
      <c r="T16" s="22">
        <v>28</v>
      </c>
      <c r="U16" s="23">
        <f t="shared" si="10"/>
        <v>53</v>
      </c>
      <c r="V16" s="37">
        <v>4</v>
      </c>
      <c r="AJ16" s="21" t="s">
        <v>41</v>
      </c>
      <c r="AK16" s="21">
        <v>5525</v>
      </c>
      <c r="AL16" s="21">
        <v>1928</v>
      </c>
      <c r="AM16" s="21">
        <v>3597</v>
      </c>
    </row>
    <row r="17" spans="1:39" s="21" customFormat="1" ht="15" x14ac:dyDescent="0.25">
      <c r="A17" s="35" t="s">
        <v>15</v>
      </c>
      <c r="B17" s="18">
        <f t="shared" si="6"/>
        <v>2828</v>
      </c>
      <c r="C17" s="22">
        <v>146</v>
      </c>
      <c r="D17" s="22">
        <v>266</v>
      </c>
      <c r="E17" s="22">
        <v>271</v>
      </c>
      <c r="F17" s="22">
        <f t="shared" si="7"/>
        <v>683</v>
      </c>
      <c r="G17" s="36">
        <v>299</v>
      </c>
      <c r="H17" s="22">
        <v>249</v>
      </c>
      <c r="I17" s="22">
        <v>227</v>
      </c>
      <c r="J17" s="22">
        <v>265</v>
      </c>
      <c r="K17" s="22">
        <v>202</v>
      </c>
      <c r="L17" s="22">
        <v>212</v>
      </c>
      <c r="M17" s="22">
        <v>179</v>
      </c>
      <c r="N17" s="23">
        <f t="shared" si="8"/>
        <v>1633</v>
      </c>
      <c r="O17" s="22">
        <v>175</v>
      </c>
      <c r="P17" s="22">
        <v>157</v>
      </c>
      <c r="Q17" s="22">
        <v>152</v>
      </c>
      <c r="R17" s="22">
        <f t="shared" si="9"/>
        <v>484</v>
      </c>
      <c r="S17" s="36">
        <v>6</v>
      </c>
      <c r="T17" s="22">
        <v>11</v>
      </c>
      <c r="U17" s="23">
        <f t="shared" si="10"/>
        <v>17</v>
      </c>
      <c r="V17" s="37">
        <v>11</v>
      </c>
      <c r="AJ17" s="21" t="s">
        <v>42</v>
      </c>
      <c r="AK17" s="21">
        <v>5376</v>
      </c>
      <c r="AL17" s="21">
        <v>1917</v>
      </c>
      <c r="AM17" s="21">
        <v>3459</v>
      </c>
    </row>
    <row r="18" spans="1:39" s="21" customFormat="1" ht="15" customHeight="1" x14ac:dyDescent="0.25">
      <c r="A18" s="35" t="s">
        <v>16</v>
      </c>
      <c r="B18" s="18">
        <f t="shared" si="6"/>
        <v>1801</v>
      </c>
      <c r="C18" s="22">
        <v>98</v>
      </c>
      <c r="D18" s="22">
        <v>152</v>
      </c>
      <c r="E18" s="22">
        <v>186</v>
      </c>
      <c r="F18" s="22">
        <f t="shared" si="7"/>
        <v>436</v>
      </c>
      <c r="G18" s="36">
        <v>164</v>
      </c>
      <c r="H18" s="22">
        <v>157</v>
      </c>
      <c r="I18" s="22">
        <v>166</v>
      </c>
      <c r="J18" s="22">
        <v>160</v>
      </c>
      <c r="K18" s="22">
        <v>155</v>
      </c>
      <c r="L18" s="22">
        <v>115</v>
      </c>
      <c r="M18" s="22">
        <v>121</v>
      </c>
      <c r="N18" s="23">
        <f t="shared" si="8"/>
        <v>1038</v>
      </c>
      <c r="O18" s="22">
        <v>109</v>
      </c>
      <c r="P18" s="22">
        <v>94</v>
      </c>
      <c r="Q18" s="22">
        <v>107</v>
      </c>
      <c r="R18" s="22">
        <f t="shared" si="9"/>
        <v>310</v>
      </c>
      <c r="S18" s="36">
        <v>10</v>
      </c>
      <c r="T18" s="22">
        <v>7</v>
      </c>
      <c r="U18" s="23">
        <f t="shared" si="10"/>
        <v>17</v>
      </c>
      <c r="V18" s="37">
        <v>0</v>
      </c>
      <c r="AJ18" s="21" t="s">
        <v>43</v>
      </c>
      <c r="AK18" s="21">
        <v>5488</v>
      </c>
      <c r="AL18" s="21">
        <v>1845</v>
      </c>
      <c r="AM18" s="21">
        <v>3643</v>
      </c>
    </row>
    <row r="19" spans="1:39" s="21" customFormat="1" ht="15" customHeight="1" x14ac:dyDescent="0.25">
      <c r="A19" s="35" t="s">
        <v>17</v>
      </c>
      <c r="B19" s="18">
        <f t="shared" si="6"/>
        <v>2226</v>
      </c>
      <c r="C19" s="22">
        <v>163</v>
      </c>
      <c r="D19" s="22">
        <v>194</v>
      </c>
      <c r="E19" s="22">
        <v>223</v>
      </c>
      <c r="F19" s="22">
        <f t="shared" si="7"/>
        <v>580</v>
      </c>
      <c r="G19" s="36">
        <v>228</v>
      </c>
      <c r="H19" s="22">
        <v>216</v>
      </c>
      <c r="I19" s="22">
        <v>195</v>
      </c>
      <c r="J19" s="22">
        <v>202</v>
      </c>
      <c r="K19" s="22">
        <v>171</v>
      </c>
      <c r="L19" s="22">
        <v>138</v>
      </c>
      <c r="M19" s="22">
        <v>146</v>
      </c>
      <c r="N19" s="23">
        <f t="shared" si="8"/>
        <v>1296</v>
      </c>
      <c r="O19" s="22">
        <v>137</v>
      </c>
      <c r="P19" s="22">
        <v>88</v>
      </c>
      <c r="Q19" s="22">
        <v>108</v>
      </c>
      <c r="R19" s="22">
        <f t="shared" si="9"/>
        <v>333</v>
      </c>
      <c r="S19" s="36">
        <v>0</v>
      </c>
      <c r="T19" s="22">
        <v>8</v>
      </c>
      <c r="U19" s="23">
        <f t="shared" si="10"/>
        <v>8</v>
      </c>
      <c r="V19" s="37">
        <v>9</v>
      </c>
      <c r="AJ19" s="21" t="s">
        <v>44</v>
      </c>
      <c r="AK19" s="21">
        <v>5425</v>
      </c>
      <c r="AL19" s="21">
        <v>1737</v>
      </c>
      <c r="AM19" s="21">
        <v>3688</v>
      </c>
    </row>
    <row r="20" spans="1:39" s="21" customFormat="1" ht="15" customHeight="1" x14ac:dyDescent="0.25">
      <c r="A20" s="35" t="s">
        <v>18</v>
      </c>
      <c r="B20" s="18">
        <f t="shared" si="6"/>
        <v>283</v>
      </c>
      <c r="C20" s="22">
        <v>9</v>
      </c>
      <c r="D20" s="22">
        <v>32</v>
      </c>
      <c r="E20" s="22">
        <v>31</v>
      </c>
      <c r="F20" s="22">
        <f t="shared" si="7"/>
        <v>72</v>
      </c>
      <c r="G20" s="36">
        <v>36</v>
      </c>
      <c r="H20" s="22">
        <v>23</v>
      </c>
      <c r="I20" s="22">
        <v>30</v>
      </c>
      <c r="J20" s="22">
        <v>28</v>
      </c>
      <c r="K20" s="22">
        <v>16</v>
      </c>
      <c r="L20" s="22">
        <v>16</v>
      </c>
      <c r="M20" s="22">
        <v>18</v>
      </c>
      <c r="N20" s="23">
        <f t="shared" si="8"/>
        <v>167</v>
      </c>
      <c r="O20" s="22">
        <v>17</v>
      </c>
      <c r="P20" s="22">
        <v>9</v>
      </c>
      <c r="Q20" s="22">
        <v>18</v>
      </c>
      <c r="R20" s="22">
        <f t="shared" si="9"/>
        <v>44</v>
      </c>
      <c r="S20" s="36">
        <v>0</v>
      </c>
      <c r="T20" s="22">
        <v>0</v>
      </c>
      <c r="U20" s="23">
        <f t="shared" si="10"/>
        <v>0</v>
      </c>
      <c r="V20" s="37">
        <v>0</v>
      </c>
      <c r="AJ20" s="21" t="s">
        <v>45</v>
      </c>
      <c r="AK20" s="21">
        <v>2010</v>
      </c>
      <c r="AL20" s="21">
        <v>1182</v>
      </c>
      <c r="AM20" s="21">
        <v>828</v>
      </c>
    </row>
    <row r="21" spans="1:39" s="21" customFormat="1" ht="15" customHeight="1" x14ac:dyDescent="0.25">
      <c r="A21" s="35" t="s">
        <v>19</v>
      </c>
      <c r="B21" s="18">
        <f t="shared" si="6"/>
        <v>1229</v>
      </c>
      <c r="C21" s="22">
        <v>59</v>
      </c>
      <c r="D21" s="22">
        <v>114</v>
      </c>
      <c r="E21" s="22">
        <v>101</v>
      </c>
      <c r="F21" s="22">
        <f t="shared" si="7"/>
        <v>274</v>
      </c>
      <c r="G21" s="36">
        <v>100</v>
      </c>
      <c r="H21" s="22">
        <v>109</v>
      </c>
      <c r="I21" s="22">
        <v>115</v>
      </c>
      <c r="J21" s="22">
        <v>118</v>
      </c>
      <c r="K21" s="22">
        <v>101</v>
      </c>
      <c r="L21" s="22">
        <v>99</v>
      </c>
      <c r="M21" s="22">
        <v>77</v>
      </c>
      <c r="N21" s="23">
        <f t="shared" si="8"/>
        <v>719</v>
      </c>
      <c r="O21" s="22">
        <v>59</v>
      </c>
      <c r="P21" s="22">
        <v>70</v>
      </c>
      <c r="Q21" s="22">
        <v>62</v>
      </c>
      <c r="R21" s="22">
        <f t="shared" si="9"/>
        <v>191</v>
      </c>
      <c r="S21" s="36">
        <v>20</v>
      </c>
      <c r="T21" s="22">
        <v>25</v>
      </c>
      <c r="U21" s="23">
        <f t="shared" si="10"/>
        <v>45</v>
      </c>
      <c r="V21" s="37">
        <v>0</v>
      </c>
      <c r="AJ21" s="21" t="s">
        <v>46</v>
      </c>
      <c r="AK21" s="21">
        <v>1967</v>
      </c>
      <c r="AL21" s="21">
        <v>1263</v>
      </c>
      <c r="AM21" s="21">
        <v>704</v>
      </c>
    </row>
    <row r="22" spans="1:39" s="21" customFormat="1" ht="15" customHeight="1" x14ac:dyDescent="0.25">
      <c r="A22" s="35" t="s">
        <v>20</v>
      </c>
      <c r="B22" s="18">
        <f t="shared" si="6"/>
        <v>1444</v>
      </c>
      <c r="C22" s="22">
        <v>54</v>
      </c>
      <c r="D22" s="22">
        <v>136</v>
      </c>
      <c r="E22" s="22">
        <v>134</v>
      </c>
      <c r="F22" s="22">
        <f t="shared" si="7"/>
        <v>324</v>
      </c>
      <c r="G22" s="36">
        <v>115</v>
      </c>
      <c r="H22" s="22">
        <v>143</v>
      </c>
      <c r="I22" s="22">
        <v>110</v>
      </c>
      <c r="J22" s="22">
        <v>103</v>
      </c>
      <c r="K22" s="22">
        <v>106</v>
      </c>
      <c r="L22" s="22">
        <v>109</v>
      </c>
      <c r="M22" s="22">
        <v>91</v>
      </c>
      <c r="N22" s="23">
        <f t="shared" si="8"/>
        <v>777</v>
      </c>
      <c r="O22" s="22">
        <v>68</v>
      </c>
      <c r="P22" s="22">
        <v>94</v>
      </c>
      <c r="Q22" s="22">
        <v>95</v>
      </c>
      <c r="R22" s="22">
        <f t="shared" si="9"/>
        <v>257</v>
      </c>
      <c r="S22" s="36">
        <v>35</v>
      </c>
      <c r="T22" s="22">
        <v>51</v>
      </c>
      <c r="U22" s="23">
        <f t="shared" si="10"/>
        <v>86</v>
      </c>
      <c r="V22" s="37">
        <v>0</v>
      </c>
    </row>
    <row r="23" spans="1:39" s="21" customFormat="1" ht="15" customHeight="1" x14ac:dyDescent="0.25">
      <c r="A23" s="35" t="s">
        <v>21</v>
      </c>
      <c r="B23" s="18">
        <f t="shared" si="6"/>
        <v>1625</v>
      </c>
      <c r="C23" s="22">
        <v>63</v>
      </c>
      <c r="D23" s="22">
        <v>115</v>
      </c>
      <c r="E23" s="22">
        <v>151</v>
      </c>
      <c r="F23" s="22">
        <f t="shared" si="7"/>
        <v>329</v>
      </c>
      <c r="G23" s="36">
        <v>141</v>
      </c>
      <c r="H23" s="22">
        <v>126</v>
      </c>
      <c r="I23" s="22">
        <v>164</v>
      </c>
      <c r="J23" s="22">
        <v>126</v>
      </c>
      <c r="K23" s="22">
        <v>120</v>
      </c>
      <c r="L23" s="22">
        <v>125</v>
      </c>
      <c r="M23" s="22">
        <v>114</v>
      </c>
      <c r="N23" s="23">
        <f t="shared" si="8"/>
        <v>916</v>
      </c>
      <c r="O23" s="22">
        <v>84</v>
      </c>
      <c r="P23" s="22">
        <v>95</v>
      </c>
      <c r="Q23" s="22">
        <v>124</v>
      </c>
      <c r="R23" s="22">
        <f t="shared" si="9"/>
        <v>303</v>
      </c>
      <c r="S23" s="36">
        <v>45</v>
      </c>
      <c r="T23" s="22">
        <v>29</v>
      </c>
      <c r="U23" s="23">
        <f t="shared" si="10"/>
        <v>74</v>
      </c>
      <c r="V23" s="37">
        <v>3</v>
      </c>
    </row>
    <row r="24" spans="1:39" s="21" customFormat="1" ht="15" customHeight="1" x14ac:dyDescent="0.25">
      <c r="A24" s="35" t="s">
        <v>22</v>
      </c>
      <c r="B24" s="18">
        <f t="shared" si="6"/>
        <v>2582</v>
      </c>
      <c r="C24" s="22">
        <v>129</v>
      </c>
      <c r="D24" s="22">
        <v>220</v>
      </c>
      <c r="E24" s="22">
        <v>242</v>
      </c>
      <c r="F24" s="22">
        <f t="shared" si="7"/>
        <v>591</v>
      </c>
      <c r="G24" s="36">
        <v>240</v>
      </c>
      <c r="H24" s="22">
        <v>270</v>
      </c>
      <c r="I24" s="22">
        <v>218</v>
      </c>
      <c r="J24" s="22">
        <v>208</v>
      </c>
      <c r="K24" s="22">
        <v>234</v>
      </c>
      <c r="L24" s="22">
        <v>178</v>
      </c>
      <c r="M24" s="22">
        <v>154</v>
      </c>
      <c r="N24" s="23">
        <f t="shared" si="8"/>
        <v>1502</v>
      </c>
      <c r="O24" s="22">
        <v>134</v>
      </c>
      <c r="P24" s="22">
        <v>157</v>
      </c>
      <c r="Q24" s="22">
        <v>143</v>
      </c>
      <c r="R24" s="22">
        <f t="shared" si="9"/>
        <v>434</v>
      </c>
      <c r="S24" s="36">
        <v>27</v>
      </c>
      <c r="T24" s="22">
        <v>27</v>
      </c>
      <c r="U24" s="23">
        <f t="shared" si="10"/>
        <v>54</v>
      </c>
      <c r="V24" s="37">
        <v>1</v>
      </c>
    </row>
    <row r="25" spans="1:39" s="21" customFormat="1" ht="15" customHeight="1" x14ac:dyDescent="0.25">
      <c r="A25" s="35" t="s">
        <v>23</v>
      </c>
      <c r="B25" s="18">
        <f t="shared" si="6"/>
        <v>3467</v>
      </c>
      <c r="C25" s="22">
        <v>43</v>
      </c>
      <c r="D25" s="22">
        <v>277</v>
      </c>
      <c r="E25" s="22">
        <v>301</v>
      </c>
      <c r="F25" s="22">
        <f t="shared" si="7"/>
        <v>621</v>
      </c>
      <c r="G25" s="36">
        <v>304</v>
      </c>
      <c r="H25" s="22">
        <v>287</v>
      </c>
      <c r="I25" s="22">
        <v>282</v>
      </c>
      <c r="J25" s="22">
        <v>305</v>
      </c>
      <c r="K25" s="22">
        <v>329</v>
      </c>
      <c r="L25" s="22">
        <v>266</v>
      </c>
      <c r="M25" s="22">
        <v>240</v>
      </c>
      <c r="N25" s="23">
        <f t="shared" si="8"/>
        <v>2013</v>
      </c>
      <c r="O25" s="22">
        <v>195</v>
      </c>
      <c r="P25" s="22">
        <v>277</v>
      </c>
      <c r="Q25" s="22">
        <v>274</v>
      </c>
      <c r="R25" s="22">
        <f t="shared" si="9"/>
        <v>746</v>
      </c>
      <c r="S25" s="36">
        <v>40</v>
      </c>
      <c r="T25" s="22">
        <v>42</v>
      </c>
      <c r="U25" s="23">
        <f t="shared" si="10"/>
        <v>82</v>
      </c>
      <c r="V25" s="37">
        <v>5</v>
      </c>
    </row>
    <row r="26" spans="1:39" s="21" customFormat="1" ht="15" customHeight="1" x14ac:dyDescent="0.25">
      <c r="A26" s="35" t="s">
        <v>24</v>
      </c>
      <c r="B26" s="18">
        <f t="shared" si="6"/>
        <v>2191</v>
      </c>
      <c r="C26" s="22">
        <v>83</v>
      </c>
      <c r="D26" s="22">
        <v>176</v>
      </c>
      <c r="E26" s="22">
        <v>188</v>
      </c>
      <c r="F26" s="22">
        <f t="shared" si="7"/>
        <v>447</v>
      </c>
      <c r="G26" s="36">
        <v>194</v>
      </c>
      <c r="H26" s="22">
        <v>168</v>
      </c>
      <c r="I26" s="22">
        <v>184</v>
      </c>
      <c r="J26" s="22">
        <v>179</v>
      </c>
      <c r="K26" s="22">
        <v>169</v>
      </c>
      <c r="L26" s="22">
        <v>164</v>
      </c>
      <c r="M26" s="22">
        <v>158</v>
      </c>
      <c r="N26" s="23">
        <f t="shared" si="8"/>
        <v>1216</v>
      </c>
      <c r="O26" s="22">
        <v>152</v>
      </c>
      <c r="P26" s="22">
        <v>175</v>
      </c>
      <c r="Q26" s="22">
        <v>169</v>
      </c>
      <c r="R26" s="22">
        <f t="shared" si="9"/>
        <v>496</v>
      </c>
      <c r="S26" s="36">
        <v>15</v>
      </c>
      <c r="T26" s="22">
        <v>17</v>
      </c>
      <c r="U26" s="23">
        <f t="shared" si="10"/>
        <v>32</v>
      </c>
      <c r="V26" s="37">
        <v>0</v>
      </c>
    </row>
    <row r="27" spans="1:39" s="21" customFormat="1" ht="15" customHeight="1" x14ac:dyDescent="0.25">
      <c r="A27" s="35" t="s">
        <v>25</v>
      </c>
      <c r="B27" s="18">
        <f t="shared" si="6"/>
        <v>3086</v>
      </c>
      <c r="C27" s="22">
        <v>55</v>
      </c>
      <c r="D27" s="22">
        <v>224</v>
      </c>
      <c r="E27" s="22">
        <v>276</v>
      </c>
      <c r="F27" s="22">
        <f t="shared" si="7"/>
        <v>555</v>
      </c>
      <c r="G27" s="36">
        <v>307</v>
      </c>
      <c r="H27" s="22">
        <v>255</v>
      </c>
      <c r="I27" s="22">
        <v>242</v>
      </c>
      <c r="J27" s="22">
        <v>270</v>
      </c>
      <c r="K27" s="22">
        <v>254</v>
      </c>
      <c r="L27" s="22">
        <v>224</v>
      </c>
      <c r="M27" s="22">
        <v>233</v>
      </c>
      <c r="N27" s="23">
        <f t="shared" si="8"/>
        <v>1785</v>
      </c>
      <c r="O27" s="22">
        <v>220</v>
      </c>
      <c r="P27" s="22">
        <v>222</v>
      </c>
      <c r="Q27" s="22">
        <v>222</v>
      </c>
      <c r="R27" s="22">
        <f t="shared" si="9"/>
        <v>664</v>
      </c>
      <c r="S27" s="36">
        <v>41</v>
      </c>
      <c r="T27" s="22">
        <v>24</v>
      </c>
      <c r="U27" s="23">
        <f t="shared" si="10"/>
        <v>65</v>
      </c>
      <c r="V27" s="37">
        <v>17</v>
      </c>
    </row>
    <row r="28" spans="1:39" s="21" customFormat="1" ht="15" customHeight="1" x14ac:dyDescent="0.25">
      <c r="A28" s="35" t="s">
        <v>26</v>
      </c>
      <c r="B28" s="18">
        <f t="shared" si="6"/>
        <v>2464</v>
      </c>
      <c r="C28" s="22">
        <v>163</v>
      </c>
      <c r="D28" s="22">
        <v>209</v>
      </c>
      <c r="E28" s="22">
        <v>216</v>
      </c>
      <c r="F28" s="22">
        <f t="shared" si="7"/>
        <v>588</v>
      </c>
      <c r="G28" s="36">
        <v>172</v>
      </c>
      <c r="H28" s="22">
        <v>173</v>
      </c>
      <c r="I28" s="22">
        <v>248</v>
      </c>
      <c r="J28" s="22">
        <v>215</v>
      </c>
      <c r="K28" s="22">
        <v>185</v>
      </c>
      <c r="L28" s="22">
        <v>161</v>
      </c>
      <c r="M28" s="22">
        <v>143</v>
      </c>
      <c r="N28" s="23">
        <f t="shared" si="8"/>
        <v>1297</v>
      </c>
      <c r="O28" s="22">
        <v>149</v>
      </c>
      <c r="P28" s="22">
        <v>141</v>
      </c>
      <c r="Q28" s="22">
        <v>183</v>
      </c>
      <c r="R28" s="22">
        <f t="shared" si="9"/>
        <v>473</v>
      </c>
      <c r="S28" s="36">
        <v>32</v>
      </c>
      <c r="T28" s="22">
        <v>34</v>
      </c>
      <c r="U28" s="23">
        <f t="shared" si="10"/>
        <v>66</v>
      </c>
      <c r="V28" s="37">
        <v>40</v>
      </c>
    </row>
    <row r="29" spans="1:39" s="21" customFormat="1" ht="15" customHeight="1" x14ac:dyDescent="0.25">
      <c r="A29" s="38" t="s">
        <v>27</v>
      </c>
      <c r="B29" s="24">
        <f t="shared" si="6"/>
        <v>5183</v>
      </c>
      <c r="C29" s="25">
        <v>381</v>
      </c>
      <c r="D29" s="25">
        <v>415</v>
      </c>
      <c r="E29" s="25">
        <v>432</v>
      </c>
      <c r="F29" s="25">
        <f t="shared" si="7"/>
        <v>1228</v>
      </c>
      <c r="G29" s="39">
        <v>348</v>
      </c>
      <c r="H29" s="25">
        <v>387</v>
      </c>
      <c r="I29" s="25">
        <v>398</v>
      </c>
      <c r="J29" s="25">
        <v>422</v>
      </c>
      <c r="K29" s="25">
        <v>400</v>
      </c>
      <c r="L29" s="25">
        <v>348</v>
      </c>
      <c r="M29" s="25">
        <v>330</v>
      </c>
      <c r="N29" s="26">
        <f t="shared" si="8"/>
        <v>2633</v>
      </c>
      <c r="O29" s="25">
        <v>369</v>
      </c>
      <c r="P29" s="25">
        <v>351</v>
      </c>
      <c r="Q29" s="25">
        <v>309</v>
      </c>
      <c r="R29" s="25">
        <f t="shared" si="9"/>
        <v>1029</v>
      </c>
      <c r="S29" s="39">
        <v>151</v>
      </c>
      <c r="T29" s="25">
        <v>101</v>
      </c>
      <c r="U29" s="26">
        <f t="shared" si="10"/>
        <v>252</v>
      </c>
      <c r="V29" s="40">
        <v>41</v>
      </c>
      <c r="AH29" s="27"/>
    </row>
    <row r="30" spans="1:39" ht="13.5" x14ac:dyDescent="0.15">
      <c r="A30" s="3" t="s">
        <v>4</v>
      </c>
      <c r="B30" s="4"/>
      <c r="C30" s="1"/>
      <c r="D30" s="4"/>
      <c r="E30" s="4"/>
      <c r="F30" s="4"/>
      <c r="G30" s="4"/>
      <c r="H30" s="4"/>
      <c r="I30" s="4"/>
      <c r="J30" s="5"/>
      <c r="K30" s="9"/>
      <c r="V30" s="6" t="s">
        <v>5</v>
      </c>
    </row>
    <row r="31" spans="1:39" ht="22.5" customHeight="1" x14ac:dyDescent="0.25">
      <c r="A31" s="7"/>
      <c r="B31" s="2"/>
      <c r="C31" s="2"/>
      <c r="D31" s="2"/>
      <c r="E31" s="2"/>
      <c r="F31" s="2"/>
      <c r="G31" s="28"/>
      <c r="H31" s="2"/>
      <c r="I31" s="8"/>
      <c r="J31" s="2"/>
      <c r="K31" s="2"/>
    </row>
    <row r="32" spans="1:39" ht="22.5" customHeight="1" x14ac:dyDescent="0.15"/>
    <row r="33" spans="11:11" x14ac:dyDescent="0.15">
      <c r="K33" s="29"/>
    </row>
    <row r="64" spans="37:39" x14ac:dyDescent="0.15">
      <c r="AK64" s="9" t="s">
        <v>1</v>
      </c>
      <c r="AL64" s="9" t="s">
        <v>2</v>
      </c>
      <c r="AM64" s="9" t="s">
        <v>3</v>
      </c>
    </row>
    <row r="65" spans="35:39" ht="11.25" x14ac:dyDescent="0.2">
      <c r="AI65" s="21" t="s">
        <v>7</v>
      </c>
      <c r="AJ65" s="21"/>
      <c r="AK65" s="30">
        <f>U7</f>
        <v>3977</v>
      </c>
      <c r="AL65" s="30">
        <f>U8</f>
        <v>2445</v>
      </c>
      <c r="AM65" s="30">
        <f>U9</f>
        <v>1532</v>
      </c>
    </row>
    <row r="66" spans="35:39" ht="11.25" x14ac:dyDescent="0.2">
      <c r="AI66" s="21" t="s">
        <v>31</v>
      </c>
      <c r="AJ66" s="21"/>
      <c r="AK66" s="30">
        <f>R7</f>
        <v>16289</v>
      </c>
      <c r="AL66" s="30">
        <f>R8</f>
        <v>5499</v>
      </c>
      <c r="AM66" s="30">
        <f>R9</f>
        <v>10790</v>
      </c>
    </row>
    <row r="67" spans="35:39" ht="11.25" x14ac:dyDescent="0.2">
      <c r="AI67" s="21" t="s">
        <v>6</v>
      </c>
      <c r="AJ67" s="21"/>
      <c r="AK67" s="30">
        <f>N7</f>
        <v>47236</v>
      </c>
      <c r="AL67" s="30">
        <f>N8</f>
        <v>16218</v>
      </c>
      <c r="AM67" s="30">
        <f>N9</f>
        <v>31018</v>
      </c>
    </row>
    <row r="68" spans="35:39" ht="11.25" x14ac:dyDescent="0.2">
      <c r="AI68" s="21" t="s">
        <v>28</v>
      </c>
      <c r="AJ68" s="21"/>
      <c r="AK68" s="30">
        <f>F7</f>
        <v>20411</v>
      </c>
      <c r="AL68" s="30">
        <f>F8</f>
        <v>7896</v>
      </c>
      <c r="AM68" s="30">
        <f>F9</f>
        <v>12515</v>
      </c>
    </row>
  </sheetData>
  <mergeCells count="28">
    <mergeCell ref="I5:I6"/>
    <mergeCell ref="A1:V1"/>
    <mergeCell ref="A2:V2"/>
    <mergeCell ref="A4:A6"/>
    <mergeCell ref="B4:B6"/>
    <mergeCell ref="C4:F4"/>
    <mergeCell ref="G4:N4"/>
    <mergeCell ref="O4:R4"/>
    <mergeCell ref="S4:U4"/>
    <mergeCell ref="V4:V6"/>
    <mergeCell ref="C5:C6"/>
    <mergeCell ref="D5:D6"/>
    <mergeCell ref="E5:E6"/>
    <mergeCell ref="F5:F6"/>
    <mergeCell ref="G5:G6"/>
    <mergeCell ref="H5:H6"/>
    <mergeCell ref="U5:U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paperSize="9" scale="47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7.12</vt:lpstr>
      <vt:lpstr>'7.12'!Print_Area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2019-05-27T07:30:59Z</cp:lastPrinted>
  <dcterms:created xsi:type="dcterms:W3CDTF">2019-02-28T08:20:57Z</dcterms:created>
  <dcterms:modified xsi:type="dcterms:W3CDTF">2019-05-27T07:31:11Z</dcterms:modified>
</cp:coreProperties>
</file>