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4" sheetId="4" r:id="rId1"/>
  </sheets>
  <externalReferences>
    <externalReference r:id="rId2"/>
  </externalReferences>
  <definedNames>
    <definedName name="_xlnm.Print_Area" localSheetId="0">'7.4'!$A$1:$O$33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4" l="1"/>
  <c r="F30" i="4" l="1"/>
  <c r="B30" i="4"/>
  <c r="N30" i="4" s="1"/>
  <c r="F29" i="4"/>
  <c r="J29" i="4" s="1"/>
  <c r="B29" i="4"/>
  <c r="N29" i="4" s="1"/>
  <c r="N28" i="4"/>
  <c r="F28" i="4"/>
  <c r="J28" i="4" s="1"/>
  <c r="B28" i="4"/>
  <c r="F27" i="4"/>
  <c r="J27" i="4" s="1"/>
  <c r="B27" i="4"/>
  <c r="L27" i="4" s="1"/>
  <c r="N26" i="4"/>
  <c r="F26" i="4"/>
  <c r="J26" i="4" s="1"/>
  <c r="B26" i="4"/>
  <c r="N25" i="4"/>
  <c r="F25" i="4"/>
  <c r="B25" i="4"/>
  <c r="F24" i="4"/>
  <c r="J24" i="4" s="1"/>
  <c r="B24" i="4"/>
  <c r="N24" i="4" s="1"/>
  <c r="N23" i="4"/>
  <c r="F23" i="4"/>
  <c r="J23" i="4" s="1"/>
  <c r="B23" i="4"/>
  <c r="F22" i="4"/>
  <c r="B22" i="4"/>
  <c r="N22" i="4" s="1"/>
  <c r="F21" i="4"/>
  <c r="J21" i="4" s="1"/>
  <c r="B21" i="4"/>
  <c r="N21" i="4" s="1"/>
  <c r="N20" i="4"/>
  <c r="F20" i="4"/>
  <c r="J20" i="4" s="1"/>
  <c r="B20" i="4"/>
  <c r="F19" i="4"/>
  <c r="J19" i="4" s="1"/>
  <c r="B19" i="4"/>
  <c r="N18" i="4"/>
  <c r="F18" i="4"/>
  <c r="B18" i="4"/>
  <c r="N17" i="4"/>
  <c r="F17" i="4"/>
  <c r="J17" i="4" s="1"/>
  <c r="B17" i="4"/>
  <c r="F16" i="4"/>
  <c r="J16" i="4" s="1"/>
  <c r="B16" i="4"/>
  <c r="N16" i="4" s="1"/>
  <c r="N15" i="4"/>
  <c r="F15" i="4"/>
  <c r="J15" i="4" s="1"/>
  <c r="B15" i="4"/>
  <c r="F14" i="4"/>
  <c r="B14" i="4"/>
  <c r="N14" i="4" s="1"/>
  <c r="F13" i="4"/>
  <c r="J13" i="4" s="1"/>
  <c r="B13" i="4"/>
  <c r="N13" i="4" s="1"/>
  <c r="N12" i="4"/>
  <c r="F12" i="4"/>
  <c r="J12" i="4" s="1"/>
  <c r="B12" i="4"/>
  <c r="F11" i="4"/>
  <c r="J11" i="4" s="1"/>
  <c r="B11" i="4"/>
  <c r="I10" i="4"/>
  <c r="G10" i="4"/>
  <c r="G8" i="4" s="1"/>
  <c r="F8" i="4" s="1"/>
  <c r="D10" i="4"/>
  <c r="B10" i="4" s="1"/>
  <c r="C10" i="4"/>
  <c r="F9" i="4"/>
  <c r="J9" i="4" s="1"/>
  <c r="B9" i="4"/>
  <c r="N9" i="4" s="1"/>
  <c r="D8" i="4"/>
  <c r="C8" i="4"/>
  <c r="B8" i="4" s="1"/>
  <c r="L22" i="4" l="1"/>
  <c r="J22" i="4"/>
  <c r="L25" i="4"/>
  <c r="J25" i="4"/>
  <c r="F10" i="4"/>
  <c r="J10" i="4" s="1"/>
  <c r="L14" i="4"/>
  <c r="J14" i="4"/>
  <c r="L30" i="4"/>
  <c r="J30" i="4"/>
  <c r="L18" i="4"/>
  <c r="J18" i="4"/>
  <c r="L12" i="4"/>
  <c r="J8" i="4"/>
  <c r="L26" i="4"/>
  <c r="L17" i="4"/>
  <c r="L15" i="4"/>
  <c r="L28" i="4"/>
  <c r="L20" i="4"/>
  <c r="L23" i="4"/>
  <c r="L19" i="4"/>
  <c r="L11" i="4"/>
  <c r="N10" i="4"/>
  <c r="L10" i="4"/>
  <c r="N8" i="4"/>
  <c r="L9" i="4"/>
  <c r="N11" i="4"/>
  <c r="L16" i="4"/>
  <c r="N19" i="4"/>
  <c r="L24" i="4"/>
  <c r="N27" i="4"/>
  <c r="L13" i="4"/>
  <c r="L21" i="4"/>
  <c r="L29" i="4"/>
  <c r="L8" i="4" l="1"/>
</calcChain>
</file>

<file path=xl/sharedStrings.xml><?xml version="1.0" encoding="utf-8"?>
<sst xmlns="http://schemas.openxmlformats.org/spreadsheetml/2006/main" count="78" uniqueCount="71">
  <si>
    <t xml:space="preserve">  Locality</t>
  </si>
  <si>
    <t>wlcmuj</t>
  </si>
  <si>
    <t>Total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</si>
  <si>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</si>
  <si>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</si>
  <si>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</si>
  <si>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</si>
  <si>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</si>
  <si>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</si>
  <si>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</si>
  <si>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</si>
  <si>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</si>
  <si>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</si>
  <si>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</si>
  <si>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</si>
  <si>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</si>
  <si>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</si>
  <si>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</si>
  <si>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</si>
  <si>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</si>
  <si>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</si>
  <si>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</si>
  <si>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</si>
  <si>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 xml:space="preserve"> 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</si>
  <si>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</si>
  <si>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</si>
  <si>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</si>
  <si>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</si>
  <si>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</si>
  <si>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</si>
  <si>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</si>
  <si>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</si>
  <si>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</si>
  <si>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</si>
  <si>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</si>
  <si>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</si>
  <si>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</si>
  <si>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</si>
  <si>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</si>
  <si>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</si>
  <si>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</si>
  <si>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</si>
  <si>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</si>
  <si>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</si>
  <si>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</si>
  <si>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</si>
  <si>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</si>
  <si>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</si>
  <si>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</si>
  <si>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 xml:space="preserve">cnehirif </t>
  </si>
  <si>
    <t xml:space="preserve">cnehcnwa </t>
  </si>
  <si>
    <t xml:space="preserve"> Male</t>
  </si>
  <si>
    <t xml:space="preserve"> Female</t>
  </si>
  <si>
    <t>uscnijed</t>
  </si>
  <si>
    <t>cnwt</t>
  </si>
  <si>
    <t>cnidukWvwyik</t>
  </si>
  <si>
    <t xml:space="preserve"> cnusircawdum</t>
  </si>
  <si>
    <t xml:space="preserve">  cnidukWvwyik cnutwbcsin egcnusircawdum</t>
  </si>
  <si>
    <t>Student Enrolment</t>
  </si>
  <si>
    <t>Teachers</t>
  </si>
  <si>
    <t xml:space="preserve">Student Teacher Ratio </t>
  </si>
  <si>
    <t>iawfivedcnIrcmwt</t>
  </si>
  <si>
    <t>WvuniawfivedcnIrcmwt</t>
  </si>
  <si>
    <t>WvuniawfivedcnIrcmwt  cnia %</t>
  </si>
  <si>
    <t>Both  Sexes</t>
  </si>
  <si>
    <t>Trained</t>
  </si>
  <si>
    <t>Un-trained</t>
  </si>
  <si>
    <t xml:space="preserve"> % for untrained teachers </t>
  </si>
  <si>
    <t>Note: No untrained expatriate teachers</t>
  </si>
  <si>
    <t>2018 ,cnidukWvwyik iaWncnusircawdum ibit iawgunwtcnwt EvedumIluAwt egukwtuLotwa iaWaelWm : 7.4 ulwvWt</t>
  </si>
  <si>
    <t>Table 7.4 : TEACHERS AND STUDENTS OF EDUCATIONAL INSTITUTIONS, BY LOCALITY,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</si>
</sst>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Waheed"/>
    </font>
    <font>
      <sz val="10"/>
      <name val="Courier"/>
      <family val="3"/>
    </font>
    <font>
      <b/>
      <sz val="9"/>
      <name val="Arial"/>
      <family val="2"/>
    </font>
    <font>
      <b/>
      <sz val="10"/>
      <name val="A_Randhoo"/>
    </font>
    <font>
      <sz val="9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Randhoo"/>
    </font>
    <font>
      <b/>
      <sz val="10"/>
      <name val="Times New Roman"/>
      <family val="1"/>
    </font>
    <font>
      <b/>
      <sz val="9"/>
      <color theme="1"/>
      <name val="Arial"/>
      <family val="2"/>
    </font>
    <font>
      <b/>
      <sz val="12"/>
      <color rgb="FFFF0000"/>
      <name val="A_Randhoo"/>
    </font>
    <font>
      <b/>
      <sz val="11"/>
      <name val="A_Waheed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name val="A_Waheed"/>
    </font>
    <font>
      <i/>
      <sz val="10"/>
      <name val="Calibri"/>
      <family val="2"/>
      <scheme val="minor"/>
    </font>
    <font>
      <sz val="9"/>
      <name val="A_Waheed"/>
    </font>
    <font>
      <i/>
      <sz val="9"/>
      <name val="A_Wahe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167" fontId="7" fillId="0" borderId="0"/>
    <xf numFmtId="0" fontId="2" fillId="0" borderId="0"/>
    <xf numFmtId="0" fontId="2" fillId="0" borderId="0"/>
  </cellStyleXfs>
  <cellXfs count="100">
    <xf numFmtId="0" fontId="0" fillId="0" borderId="0" xfId="0"/>
    <xf numFmtId="164" fontId="5" fillId="2" borderId="1" xfId="0" applyNumberFormat="1" applyFont="1" applyFill="1" applyBorder="1" applyAlignment="1" applyProtection="1">
      <alignment horizontal="right" vertical="center"/>
    </xf>
    <xf numFmtId="164" fontId="5" fillId="2" borderId="1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Alignment="1" applyProtection="1">
      <alignment horizontal="left" vertical="center"/>
    </xf>
    <xf numFmtId="164" fontId="16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/>
    <xf numFmtId="164" fontId="13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/>
    <xf numFmtId="164" fontId="4" fillId="2" borderId="0" xfId="0" applyNumberFormat="1" applyFont="1" applyFill="1" applyAlignment="1"/>
    <xf numFmtId="164" fontId="4" fillId="2" borderId="1" xfId="0" applyNumberFormat="1" applyFont="1" applyFill="1" applyBorder="1" applyAlignment="1"/>
    <xf numFmtId="164" fontId="4" fillId="2" borderId="0" xfId="0" applyNumberFormat="1" applyFont="1" applyFill="1" applyBorder="1" applyAlignment="1"/>
    <xf numFmtId="164" fontId="6" fillId="2" borderId="2" xfId="0" applyNumberFormat="1" applyFont="1" applyFill="1" applyBorder="1" applyAlignment="1">
      <alignment vertical="center"/>
    </xf>
    <xf numFmtId="164" fontId="17" fillId="2" borderId="9" xfId="0" applyNumberFormat="1" applyFont="1" applyFill="1" applyBorder="1" applyAlignment="1" applyProtection="1">
      <alignment horizontal="center" vertical="center"/>
    </xf>
    <xf numFmtId="164" fontId="8" fillId="2" borderId="0" xfId="0" applyNumberFormat="1" applyFont="1" applyFill="1" applyAlignment="1"/>
    <xf numFmtId="164" fontId="6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 applyProtection="1">
      <alignment horizontal="right" vertical="center" wrapText="1"/>
    </xf>
    <xf numFmtId="164" fontId="6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right" wrapText="1"/>
    </xf>
    <xf numFmtId="164" fontId="6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 applyProtection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 applyProtection="1">
      <alignment horizontal="right" vertical="center"/>
    </xf>
    <xf numFmtId="164" fontId="8" fillId="2" borderId="0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 applyProtection="1">
      <alignment horizontal="left" vertical="center" indent="1"/>
    </xf>
    <xf numFmtId="164" fontId="17" fillId="2" borderId="0" xfId="0" applyNumberFormat="1" applyFont="1" applyFill="1" applyAlignment="1">
      <alignment horizontal="right" vertical="center" indent="1"/>
    </xf>
    <xf numFmtId="1" fontId="18" fillId="2" borderId="0" xfId="0" applyNumberFormat="1" applyFont="1" applyFill="1" applyAlignment="1"/>
    <xf numFmtId="1" fontId="19" fillId="2" borderId="0" xfId="0" applyNumberFormat="1" applyFont="1" applyFill="1" applyAlignment="1"/>
    <xf numFmtId="3" fontId="14" fillId="2" borderId="0" xfId="0" applyNumberFormat="1" applyFont="1" applyFill="1" applyBorder="1" applyAlignment="1" applyProtection="1">
      <alignment horizontal="center"/>
    </xf>
    <xf numFmtId="164" fontId="20" fillId="2" borderId="0" xfId="0" applyNumberFormat="1" applyFont="1" applyFill="1" applyAlignment="1" applyProtection="1">
      <alignment horizontal="left" vertical="center" indent="1"/>
    </xf>
    <xf numFmtId="164" fontId="21" fillId="2" borderId="0" xfId="0" applyNumberFormat="1" applyFont="1" applyFill="1" applyAlignment="1">
      <alignment horizontal="right" vertical="center" indent="1"/>
    </xf>
    <xf numFmtId="1" fontId="8" fillId="2" borderId="0" xfId="0" applyNumberFormat="1" applyFont="1" applyFill="1" applyBorder="1" applyAlignment="1"/>
    <xf numFmtId="1" fontId="8" fillId="2" borderId="0" xfId="0" applyNumberFormat="1" applyFont="1" applyFill="1" applyAlignment="1"/>
    <xf numFmtId="164" fontId="10" fillId="2" borderId="0" xfId="0" applyNumberFormat="1" applyFont="1" applyFill="1" applyAlignment="1"/>
    <xf numFmtId="164" fontId="20" fillId="2" borderId="1" xfId="0" applyNumberFormat="1" applyFont="1" applyFill="1" applyBorder="1" applyAlignment="1" applyProtection="1">
      <alignment horizontal="left" vertical="center" indent="1"/>
    </xf>
    <xf numFmtId="164" fontId="21" fillId="2" borderId="1" xfId="0" applyNumberFormat="1" applyFont="1" applyFill="1" applyBorder="1" applyAlignment="1">
      <alignment horizontal="right" vertical="center" indent="1"/>
    </xf>
    <xf numFmtId="164" fontId="22" fillId="2" borderId="0" xfId="0" applyNumberFormat="1" applyFont="1" applyFill="1" applyBorder="1" applyAlignment="1" applyProtection="1">
      <alignment horizontal="left" vertical="center" indent="1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20" fillId="2" borderId="0" xfId="0" applyNumberFormat="1" applyFont="1" applyFill="1" applyBorder="1" applyAlignment="1" applyProtection="1">
      <alignment horizontal="right" vertical="center"/>
    </xf>
    <xf numFmtId="3" fontId="20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 applyProtection="1">
      <alignment horizontal="right" vertical="center"/>
    </xf>
    <xf numFmtId="3" fontId="20" fillId="2" borderId="0" xfId="0" applyNumberFormat="1" applyFont="1" applyFill="1" applyBorder="1" applyAlignment="1">
      <alignment horizontal="right"/>
    </xf>
    <xf numFmtId="165" fontId="20" fillId="2" borderId="0" xfId="0" applyNumberFormat="1" applyFont="1" applyFill="1" applyBorder="1" applyAlignment="1">
      <alignment horizontal="right" vertical="center" indent="3"/>
    </xf>
    <xf numFmtId="165" fontId="20" fillId="2" borderId="0" xfId="0" applyNumberFormat="1" applyFont="1" applyFill="1" applyBorder="1" applyAlignment="1">
      <alignment horizontal="right" vertical="center"/>
    </xf>
    <xf numFmtId="165" fontId="20" fillId="2" borderId="0" xfId="0" applyNumberFormat="1" applyFont="1" applyFill="1" applyBorder="1" applyAlignment="1" applyProtection="1">
      <alignment horizontal="right" vertical="center"/>
    </xf>
    <xf numFmtId="164" fontId="21" fillId="2" borderId="0" xfId="0" applyNumberFormat="1" applyFont="1" applyFill="1" applyBorder="1" applyAlignment="1">
      <alignment horizontal="right" vertical="center" indent="1"/>
    </xf>
    <xf numFmtId="3" fontId="11" fillId="2" borderId="0" xfId="0" applyNumberFormat="1" applyFont="1" applyFill="1" applyBorder="1" applyAlignment="1" applyProtection="1">
      <alignment horizontal="right" vertical="center"/>
    </xf>
    <xf numFmtId="164" fontId="15" fillId="2" borderId="0" xfId="0" applyNumberFormat="1" applyFont="1" applyFill="1" applyBorder="1" applyAlignment="1">
      <alignment vertical="center"/>
    </xf>
    <xf numFmtId="164" fontId="23" fillId="2" borderId="0" xfId="0" applyNumberFormat="1" applyFont="1" applyFill="1" applyAlignment="1">
      <alignment horizontal="right"/>
    </xf>
    <xf numFmtId="164" fontId="23" fillId="2" borderId="0" xfId="0" applyNumberFormat="1" applyFont="1" applyFill="1" applyAlignment="1"/>
    <xf numFmtId="164" fontId="24" fillId="2" borderId="0" xfId="0" applyNumberFormat="1" applyFont="1" applyFill="1" applyAlignment="1" applyProtection="1">
      <alignment horizontal="right" vertical="center"/>
    </xf>
    <xf numFmtId="164" fontId="23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top"/>
    </xf>
    <xf numFmtId="164" fontId="11" fillId="2" borderId="2" xfId="0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 applyBorder="1" applyAlignment="1" applyProtection="1">
      <alignment horizontal="left" vertical="center"/>
    </xf>
    <xf numFmtId="164" fontId="11" fillId="2" borderId="1" xfId="0" applyNumberFormat="1" applyFont="1" applyFill="1" applyBorder="1" applyAlignment="1" applyProtection="1">
      <alignment horizontal="left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3" fontId="9" fillId="2" borderId="2" xfId="1" applyNumberFormat="1" applyFont="1" applyFill="1" applyBorder="1" applyAlignment="1">
      <alignment horizontal="right" vertical="center" indent="1"/>
    </xf>
    <xf numFmtId="3" fontId="9" fillId="2" borderId="0" xfId="1" applyNumberFormat="1" applyFont="1" applyFill="1" applyBorder="1" applyAlignment="1">
      <alignment horizontal="right" vertical="center" indent="1"/>
    </xf>
    <xf numFmtId="3" fontId="9" fillId="2" borderId="1" xfId="1" applyNumberFormat="1" applyFont="1" applyFill="1" applyBorder="1" applyAlignment="1">
      <alignment horizontal="right" vertical="center" indent="1"/>
    </xf>
    <xf numFmtId="164" fontId="3" fillId="2" borderId="9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vertical="center"/>
    </xf>
    <xf numFmtId="3" fontId="1" fillId="2" borderId="5" xfId="0" applyNumberFormat="1" applyFont="1" applyFill="1" applyBorder="1" applyAlignment="1" applyProtection="1">
      <alignment horizontal="right" vertical="center"/>
    </xf>
    <xf numFmtId="3" fontId="1" fillId="2" borderId="2" xfId="0" applyNumberFormat="1" applyFont="1" applyFill="1" applyBorder="1" applyAlignment="1" applyProtection="1">
      <alignment horizontal="right" vertical="center"/>
    </xf>
    <xf numFmtId="165" fontId="3" fillId="2" borderId="3" xfId="0" applyNumberFormat="1" applyFont="1" applyFill="1" applyBorder="1" applyAlignment="1">
      <alignment horizontal="right" vertical="center" indent="2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 applyProtection="1">
      <alignment horizontal="right" vertical="center"/>
    </xf>
    <xf numFmtId="1" fontId="3" fillId="2" borderId="0" xfId="0" applyNumberFormat="1" applyFont="1" applyFill="1" applyBorder="1" applyAlignment="1">
      <alignment vertical="center"/>
    </xf>
    <xf numFmtId="164" fontId="19" fillId="2" borderId="0" xfId="0" applyNumberFormat="1" applyFont="1" applyFill="1" applyAlignment="1"/>
    <xf numFmtId="165" fontId="20" fillId="2" borderId="0" xfId="0" applyNumberFormat="1" applyFont="1" applyFill="1" applyBorder="1" applyAlignment="1">
      <alignment vertical="center"/>
    </xf>
    <xf numFmtId="3" fontId="0" fillId="2" borderId="5" xfId="0" applyNumberFormat="1" applyFont="1" applyFill="1" applyBorder="1" applyAlignment="1" applyProtection="1">
      <alignment horizontal="right" vertical="center"/>
    </xf>
    <xf numFmtId="3" fontId="0" fillId="2" borderId="0" xfId="0" applyNumberFormat="1" applyFont="1" applyFill="1" applyBorder="1" applyAlignment="1" applyProtection="1">
      <alignment horizontal="right" vertical="center"/>
    </xf>
    <xf numFmtId="165" fontId="20" fillId="2" borderId="3" xfId="0" applyNumberFormat="1" applyFont="1" applyFill="1" applyBorder="1" applyAlignment="1">
      <alignment horizontal="right" vertical="center" indent="2"/>
    </xf>
    <xf numFmtId="165" fontId="20" fillId="2" borderId="0" xfId="0" applyNumberFormat="1" applyFont="1" applyFill="1" applyBorder="1" applyAlignment="1">
      <alignment horizontal="center" vertical="center"/>
    </xf>
    <xf numFmtId="164" fontId="18" fillId="2" borderId="0" xfId="0" applyNumberFormat="1" applyFont="1" applyFill="1" applyAlignment="1"/>
    <xf numFmtId="164" fontId="18" fillId="2" borderId="0" xfId="0" applyNumberFormat="1" applyFont="1" applyFill="1" applyBorder="1" applyAlignment="1"/>
    <xf numFmtId="3" fontId="3" fillId="2" borderId="1" xfId="0" applyNumberFormat="1" applyFont="1" applyFill="1" applyBorder="1" applyAlignment="1" applyProtection="1">
      <alignment horizontal="right" vertical="center"/>
    </xf>
    <xf numFmtId="3" fontId="20" fillId="2" borderId="1" xfId="0" applyNumberFormat="1" applyFont="1" applyFill="1" applyBorder="1" applyAlignment="1" applyProtection="1">
      <alignment horizontal="right" vertical="center"/>
    </xf>
    <xf numFmtId="165" fontId="20" fillId="2" borderId="1" xfId="0" applyNumberFormat="1" applyFont="1" applyFill="1" applyBorder="1" applyAlignment="1">
      <alignment vertical="center"/>
    </xf>
    <xf numFmtId="3" fontId="0" fillId="2" borderId="6" xfId="0" applyNumberFormat="1" applyFont="1" applyFill="1" applyBorder="1" applyAlignment="1" applyProtection="1">
      <alignment horizontal="right" vertical="center"/>
    </xf>
    <xf numFmtId="3" fontId="0" fillId="2" borderId="1" xfId="0" applyNumberFormat="1" applyFont="1" applyFill="1" applyBorder="1" applyAlignment="1" applyProtection="1">
      <alignment horizontal="right" vertical="center"/>
    </xf>
    <xf numFmtId="164" fontId="18" fillId="2" borderId="1" xfId="0" applyNumberFormat="1" applyFont="1" applyFill="1" applyBorder="1" applyAlignment="1"/>
    <xf numFmtId="165" fontId="20" fillId="2" borderId="4" xfId="0" applyNumberFormat="1" applyFont="1" applyFill="1" applyBorder="1" applyAlignment="1">
      <alignment horizontal="right" vertical="center" indent="2"/>
    </xf>
    <xf numFmtId="165" fontId="20" fillId="2" borderId="1" xfId="0" applyNumberFormat="1" applyFont="1" applyFill="1" applyBorder="1" applyAlignment="1">
      <alignment horizontal="center" vertical="center"/>
    </xf>
    <xf numFmtId="165" fontId="20" fillId="2" borderId="1" xfId="0" applyNumberFormat="1" applyFont="1" applyFill="1" applyBorder="1" applyAlignment="1" applyProtection="1">
      <alignment horizontal="right" vertical="center"/>
    </xf>
  </cellXfs>
  <cellStyles count="6">
    <cellStyle name="Normal" xfId="0" builtinId="0"/>
    <cellStyle name="Normal 10" xfId="5"/>
    <cellStyle name="Normal 2 2 2" xfId="2"/>
    <cellStyle name="Normal 37" xfId="4"/>
    <cellStyle name="Normal 8" xfId="3"/>
    <cellStyle name="Normal_II-15(Population)" xfId="1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L6" t="str">
            <v>Republic</v>
          </cell>
          <cell r="AM6" t="str">
            <v>Male'</v>
          </cell>
          <cell r="AN6" t="str">
            <v>Atolls</v>
          </cell>
        </row>
        <row r="7">
          <cell r="AK7" t="str">
            <v>Nurs.</v>
          </cell>
          <cell r="AL7">
            <v>5801</v>
          </cell>
          <cell r="AM7">
            <v>2627</v>
          </cell>
          <cell r="AN7">
            <v>3174</v>
          </cell>
        </row>
        <row r="8">
          <cell r="AK8" t="str">
            <v>LKG</v>
          </cell>
          <cell r="AL8">
            <v>7517</v>
          </cell>
          <cell r="AM8">
            <v>2709</v>
          </cell>
          <cell r="AN8">
            <v>4808</v>
          </cell>
        </row>
        <row r="9">
          <cell r="AK9" t="str">
            <v>UKG</v>
          </cell>
          <cell r="AL9">
            <v>7682</v>
          </cell>
          <cell r="AM9">
            <v>2636</v>
          </cell>
          <cell r="AN9">
            <v>5046</v>
          </cell>
        </row>
        <row r="10">
          <cell r="AK10" t="str">
            <v>Gr. 1</v>
          </cell>
          <cell r="AL10">
            <v>7325</v>
          </cell>
          <cell r="AM10">
            <v>2499</v>
          </cell>
          <cell r="AN10">
            <v>4826</v>
          </cell>
        </row>
        <row r="11">
          <cell r="AK11" t="str">
            <v>Gr. 2</v>
          </cell>
          <cell r="AL11">
            <v>7354</v>
          </cell>
          <cell r="AM11">
            <v>2499</v>
          </cell>
          <cell r="AN11">
            <v>4855</v>
          </cell>
        </row>
        <row r="12">
          <cell r="AK12" t="str">
            <v>Gr. 3</v>
          </cell>
          <cell r="AL12">
            <v>7137</v>
          </cell>
          <cell r="AM12">
            <v>2462</v>
          </cell>
          <cell r="AN12">
            <v>4675</v>
          </cell>
        </row>
        <row r="13">
          <cell r="AK13" t="str">
            <v>Gr. 4</v>
          </cell>
          <cell r="AL13">
            <v>6686</v>
          </cell>
          <cell r="AM13">
            <v>2287</v>
          </cell>
          <cell r="AN13">
            <v>4399</v>
          </cell>
        </row>
        <row r="14">
          <cell r="AK14" t="str">
            <v>Gr. 5</v>
          </cell>
          <cell r="AL14">
            <v>5955</v>
          </cell>
          <cell r="AM14">
            <v>2031</v>
          </cell>
          <cell r="AN14">
            <v>3924</v>
          </cell>
        </row>
        <row r="15">
          <cell r="AK15" t="str">
            <v>Gr. 6</v>
          </cell>
          <cell r="AL15">
            <v>5520</v>
          </cell>
          <cell r="AM15">
            <v>1862</v>
          </cell>
          <cell r="AN15">
            <v>3658</v>
          </cell>
        </row>
        <row r="16">
          <cell r="AK16" t="str">
            <v>Gr. 7</v>
          </cell>
          <cell r="AL16">
            <v>5349</v>
          </cell>
          <cell r="AM16">
            <v>1793</v>
          </cell>
          <cell r="AN16">
            <v>3556</v>
          </cell>
        </row>
        <row r="17">
          <cell r="AK17" t="str">
            <v>Gr. 8</v>
          </cell>
          <cell r="AL17">
            <v>5533</v>
          </cell>
          <cell r="AM17">
            <v>1788</v>
          </cell>
          <cell r="AN17">
            <v>3745</v>
          </cell>
        </row>
        <row r="18">
          <cell r="AK18" t="str">
            <v>Gr. 9</v>
          </cell>
          <cell r="AL18">
            <v>5585</v>
          </cell>
          <cell r="AM18">
            <v>1792</v>
          </cell>
          <cell r="AN18">
            <v>3793</v>
          </cell>
        </row>
        <row r="19">
          <cell r="AK19" t="str">
            <v>Gr. 10</v>
          </cell>
          <cell r="AL19">
            <v>5660</v>
          </cell>
          <cell r="AM19">
            <v>1755</v>
          </cell>
          <cell r="AN19">
            <v>3905</v>
          </cell>
        </row>
        <row r="20">
          <cell r="AK20" t="str">
            <v>Gr. 11</v>
          </cell>
          <cell r="AL20">
            <v>2063</v>
          </cell>
          <cell r="AM20">
            <v>1248</v>
          </cell>
          <cell r="AN20">
            <v>815</v>
          </cell>
        </row>
        <row r="21">
          <cell r="AK21" t="str">
            <v>Gr. 12</v>
          </cell>
          <cell r="AL21">
            <v>2128</v>
          </cell>
          <cell r="AM21">
            <v>1207</v>
          </cell>
          <cell r="AN21">
            <v>921</v>
          </cell>
        </row>
        <row r="64">
          <cell r="AL64" t="str">
            <v>Republic</v>
          </cell>
          <cell r="AM64" t="str">
            <v>Male'</v>
          </cell>
          <cell r="AN64" t="str">
            <v>Atolls</v>
          </cell>
        </row>
        <row r="65">
          <cell r="AJ65" t="str">
            <v>Higher Secondary</v>
          </cell>
          <cell r="AK65"/>
          <cell r="AL65">
            <v>3977</v>
          </cell>
          <cell r="AM65">
            <v>2445</v>
          </cell>
          <cell r="AN65">
            <v>1532</v>
          </cell>
        </row>
        <row r="66">
          <cell r="AJ66" t="str">
            <v>Secondary</v>
          </cell>
          <cell r="AK66"/>
          <cell r="AL66">
            <v>16289</v>
          </cell>
          <cell r="AM66">
            <v>5499</v>
          </cell>
          <cell r="AN66">
            <v>10790</v>
          </cell>
        </row>
        <row r="67">
          <cell r="AJ67" t="str">
            <v>Primary</v>
          </cell>
          <cell r="AK67"/>
          <cell r="AL67">
            <v>47236</v>
          </cell>
          <cell r="AM67">
            <v>16218</v>
          </cell>
          <cell r="AN67">
            <v>31018</v>
          </cell>
        </row>
        <row r="68">
          <cell r="AJ68" t="str">
            <v>Pre-Primary</v>
          </cell>
          <cell r="AK68"/>
          <cell r="AL68">
            <v>20411</v>
          </cell>
          <cell r="AM68">
            <v>7896</v>
          </cell>
          <cell r="AN68">
            <v>12515</v>
          </cell>
        </row>
      </sheetData>
      <sheetData sheetId="11">
        <row r="4">
          <cell r="F4" t="str">
            <v>Nurs.</v>
          </cell>
          <cell r="G4"/>
          <cell r="H4" t="str">
            <v>LKG</v>
          </cell>
          <cell r="I4"/>
          <cell r="J4" t="str">
            <v>UKG</v>
          </cell>
          <cell r="K4"/>
          <cell r="L4" t="str">
            <v>Gr. 1</v>
          </cell>
          <cell r="M4"/>
          <cell r="N4" t="str">
            <v>Gr. 2</v>
          </cell>
          <cell r="O4"/>
          <cell r="P4" t="str">
            <v>Gr. 3</v>
          </cell>
          <cell r="Q4"/>
          <cell r="R4" t="str">
            <v>Gr. 4</v>
          </cell>
          <cell r="S4"/>
          <cell r="T4" t="str">
            <v>Gr. 5</v>
          </cell>
          <cell r="U4"/>
          <cell r="V4" t="str">
            <v>Gr. 6</v>
          </cell>
          <cell r="W4"/>
          <cell r="X4" t="str">
            <v>Gr. 7</v>
          </cell>
          <cell r="Y4"/>
          <cell r="Z4" t="str">
            <v>Gr. 8</v>
          </cell>
          <cell r="AA4"/>
          <cell r="AB4" t="str">
            <v>Gr. 9</v>
          </cell>
          <cell r="AC4"/>
          <cell r="AD4" t="str">
            <v>Gr. 10</v>
          </cell>
          <cell r="AE4"/>
          <cell r="AF4" t="str">
            <v>Gr. 11</v>
          </cell>
          <cell r="AG4"/>
          <cell r="AH4" t="str">
            <v>Gr. 12</v>
          </cell>
          <cell r="AI4"/>
        </row>
        <row r="5">
          <cell r="F5" t="str">
            <v>M</v>
          </cell>
          <cell r="G5" t="str">
            <v>F</v>
          </cell>
          <cell r="H5" t="str">
            <v>M</v>
          </cell>
          <cell r="I5" t="str">
            <v>F</v>
          </cell>
          <cell r="J5" t="str">
            <v>M</v>
          </cell>
          <cell r="K5" t="str">
            <v>F</v>
          </cell>
          <cell r="L5" t="str">
            <v>M</v>
          </cell>
          <cell r="M5" t="str">
            <v>F</v>
          </cell>
          <cell r="N5" t="str">
            <v>M</v>
          </cell>
          <cell r="O5" t="str">
            <v>F</v>
          </cell>
          <cell r="P5" t="str">
            <v>M</v>
          </cell>
          <cell r="Q5" t="str">
            <v>F</v>
          </cell>
          <cell r="R5" t="str">
            <v>M</v>
          </cell>
          <cell r="S5" t="str">
            <v>F</v>
          </cell>
          <cell r="T5" t="str">
            <v>M</v>
          </cell>
          <cell r="U5" t="str">
            <v>F</v>
          </cell>
          <cell r="V5" t="str">
            <v>M</v>
          </cell>
          <cell r="W5" t="str">
            <v>F</v>
          </cell>
          <cell r="X5" t="str">
            <v>M</v>
          </cell>
          <cell r="Y5" t="str">
            <v>F</v>
          </cell>
          <cell r="Z5" t="str">
            <v>M</v>
          </cell>
          <cell r="AA5" t="str">
            <v>F</v>
          </cell>
          <cell r="AB5" t="str">
            <v>M</v>
          </cell>
          <cell r="AC5" t="str">
            <v>F</v>
          </cell>
          <cell r="AD5" t="str">
            <v>M</v>
          </cell>
          <cell r="AE5" t="str">
            <v>F</v>
          </cell>
          <cell r="AF5" t="str">
            <v>M</v>
          </cell>
          <cell r="AG5" t="str">
            <v>F</v>
          </cell>
          <cell r="AH5" t="str">
            <v>M</v>
          </cell>
          <cell r="AI5" t="str">
            <v>F</v>
          </cell>
        </row>
        <row r="6">
          <cell r="F6">
            <v>2759</v>
          </cell>
          <cell r="G6">
            <v>2673</v>
          </cell>
          <cell r="H6">
            <v>3829</v>
          </cell>
          <cell r="I6">
            <v>3549</v>
          </cell>
          <cell r="J6">
            <v>3994</v>
          </cell>
          <cell r="K6">
            <v>3607</v>
          </cell>
          <cell r="L6">
            <v>3991</v>
          </cell>
          <cell r="M6">
            <v>3550</v>
          </cell>
          <cell r="N6">
            <v>3717</v>
          </cell>
          <cell r="O6">
            <v>3471</v>
          </cell>
          <cell r="P6">
            <v>3712</v>
          </cell>
          <cell r="Q6">
            <v>3641</v>
          </cell>
          <cell r="R6">
            <v>3571</v>
          </cell>
          <cell r="S6">
            <v>3484</v>
          </cell>
          <cell r="T6">
            <v>3466</v>
          </cell>
          <cell r="U6">
            <v>3169</v>
          </cell>
          <cell r="V6">
            <v>3014</v>
          </cell>
          <cell r="W6">
            <v>2925</v>
          </cell>
          <cell r="X6">
            <v>2773</v>
          </cell>
          <cell r="Y6">
            <v>2752</v>
          </cell>
          <cell r="Z6">
            <v>2773</v>
          </cell>
          <cell r="AA6">
            <v>2603</v>
          </cell>
          <cell r="AB6">
            <v>2887</v>
          </cell>
          <cell r="AC6">
            <v>2601</v>
          </cell>
          <cell r="AD6">
            <v>2852</v>
          </cell>
          <cell r="AE6">
            <v>2573</v>
          </cell>
          <cell r="AF6">
            <v>880</v>
          </cell>
          <cell r="AG6">
            <v>1130</v>
          </cell>
          <cell r="AH6">
            <v>889</v>
          </cell>
          <cell r="AI6">
            <v>1078</v>
          </cell>
        </row>
        <row r="7">
          <cell r="B7" t="str">
            <v>Male'</v>
          </cell>
          <cell r="AL7">
            <v>36.469374567797672</v>
          </cell>
        </row>
        <row r="8">
          <cell r="B8" t="str">
            <v>Atolls</v>
          </cell>
          <cell r="AL8">
            <v>63.530625432202335</v>
          </cell>
        </row>
        <row r="9">
          <cell r="AL9">
            <v>4.3044518257360194</v>
          </cell>
        </row>
        <row r="10">
          <cell r="AL10">
            <v>6.4572445613358882</v>
          </cell>
        </row>
        <row r="11">
          <cell r="AL11">
            <v>4.1525433335978512</v>
          </cell>
        </row>
        <row r="12">
          <cell r="AL12">
            <v>3.4734897008309624</v>
          </cell>
        </row>
        <row r="13">
          <cell r="AL13">
            <v>5.3258663885456459</v>
          </cell>
        </row>
        <row r="14">
          <cell r="AL14">
            <v>2.9894230878235142</v>
          </cell>
          <cell r="BF14" t="str">
            <v>Nurs.</v>
          </cell>
          <cell r="BG14" t="str">
            <v>LKG</v>
          </cell>
          <cell r="BH14" t="str">
            <v>UKG</v>
          </cell>
          <cell r="BI14" t="str">
            <v>Gr. 1</v>
          </cell>
          <cell r="BJ14" t="str">
            <v>Gr. 2</v>
          </cell>
          <cell r="BK14" t="str">
            <v>Gr. 3</v>
          </cell>
          <cell r="BL14" t="str">
            <v>Gr. 4</v>
          </cell>
          <cell r="BM14" t="str">
            <v>Gr. 5</v>
          </cell>
          <cell r="BN14" t="str">
            <v>Gr. 6</v>
          </cell>
          <cell r="BO14" t="str">
            <v>Gr. 7</v>
          </cell>
          <cell r="BP14" t="str">
            <v>Gr. 8</v>
          </cell>
          <cell r="BQ14" t="str">
            <v>Gr. 9</v>
          </cell>
          <cell r="BR14" t="str">
            <v>Gr. 10</v>
          </cell>
          <cell r="BS14" t="str">
            <v>Gr. 11</v>
          </cell>
          <cell r="BT14" t="str">
            <v>Gr. 12</v>
          </cell>
        </row>
        <row r="15">
          <cell r="AL15">
            <v>2.3545816281416152</v>
          </cell>
          <cell r="BE15" t="str">
            <v>TOTAL</v>
          </cell>
          <cell r="BF15">
            <v>103.21735877291434</v>
          </cell>
          <cell r="BG15">
            <v>107.8895463510848</v>
          </cell>
          <cell r="BH15">
            <v>110.72913778763515</v>
          </cell>
          <cell r="BI15">
            <v>112.42253521126761</v>
          </cell>
          <cell r="BJ15">
            <v>107.08729472774417</v>
          </cell>
          <cell r="BK15">
            <v>101.95001373249109</v>
          </cell>
          <cell r="BL15">
            <v>102.4971297359357</v>
          </cell>
          <cell r="BM15">
            <v>109.37204165351847</v>
          </cell>
          <cell r="BN15">
            <v>103.04273504273505</v>
          </cell>
          <cell r="BO15">
            <v>100.76308139534885</v>
          </cell>
          <cell r="BP15">
            <v>106.53092585478294</v>
          </cell>
          <cell r="BQ15">
            <v>110.99577085736256</v>
          </cell>
          <cell r="BR15">
            <v>110.8433734939759</v>
          </cell>
          <cell r="BS15">
            <v>77.876106194690266</v>
          </cell>
          <cell r="BT15">
            <v>82.467532467532465</v>
          </cell>
        </row>
        <row r="16">
          <cell r="AL16">
            <v>3.2059493713935905</v>
          </cell>
        </row>
        <row r="17">
          <cell r="AL17">
            <v>2.041695480155536</v>
          </cell>
        </row>
        <row r="18">
          <cell r="AL18">
            <v>2.523494802235549</v>
          </cell>
          <cell r="BF18" t="str">
            <v>Nurs.</v>
          </cell>
          <cell r="BG18" t="str">
            <v>LKG</v>
          </cell>
          <cell r="BH18" t="str">
            <v>UKG</v>
          </cell>
          <cell r="BI18" t="str">
            <v>Gr. 1</v>
          </cell>
          <cell r="BJ18" t="str">
            <v>Gr. 2</v>
          </cell>
          <cell r="BK18" t="str">
            <v>Gr. 3</v>
          </cell>
          <cell r="BL18" t="str">
            <v>Gr. 4</v>
          </cell>
          <cell r="BM18" t="str">
            <v>Gr. 5</v>
          </cell>
          <cell r="BN18" t="str">
            <v>Gr. 6</v>
          </cell>
          <cell r="BO18" t="str">
            <v>Gr. 7</v>
          </cell>
          <cell r="BP18" t="str">
            <v>Gr. 8</v>
          </cell>
          <cell r="BQ18" t="str">
            <v>Gr. 9</v>
          </cell>
          <cell r="BR18" t="str">
            <v>Gr. 10</v>
          </cell>
          <cell r="BS18" t="str">
            <v>Gr. 11</v>
          </cell>
          <cell r="BT18" t="str">
            <v>Gr. 12</v>
          </cell>
        </row>
        <row r="19">
          <cell r="AL19">
            <v>0.32082166623210256</v>
          </cell>
          <cell r="BE19" t="str">
            <v>Male'</v>
          </cell>
          <cell r="BF19">
            <v>105.49273021001615</v>
          </cell>
          <cell r="BG19">
            <v>103.41685649202734</v>
          </cell>
          <cell r="BH19">
            <v>107.8538102643857</v>
          </cell>
          <cell r="BI19">
            <v>114.46384039900251</v>
          </cell>
          <cell r="BJ19">
            <v>108.43989769820972</v>
          </cell>
          <cell r="BK19">
            <v>97.383029341792223</v>
          </cell>
          <cell r="BL19">
            <v>102.64900662251655</v>
          </cell>
          <cell r="BM19">
            <v>105.70652173913044</v>
          </cell>
          <cell r="BN19">
            <v>98.360655737704917</v>
          </cell>
          <cell r="BO19">
            <v>107.98274002157497</v>
          </cell>
          <cell r="BP19">
            <v>104.37100213219617</v>
          </cell>
          <cell r="BQ19">
            <v>103.64238410596028</v>
          </cell>
          <cell r="BR19">
            <v>102.92056074766356</v>
          </cell>
          <cell r="BS19">
            <v>79.362670713201823</v>
          </cell>
          <cell r="BT19">
            <v>90.210843373493972</v>
          </cell>
        </row>
        <row r="20">
          <cell r="AL20">
            <v>1.393250274909025</v>
          </cell>
          <cell r="BE20" t="str">
            <v>Atolls</v>
          </cell>
          <cell r="BF20">
            <v>101.25435540069687</v>
          </cell>
          <cell r="BG20">
            <v>110.52867383512546</v>
          </cell>
          <cell r="BH20">
            <v>112.32227488151658</v>
          </cell>
          <cell r="BI20">
            <v>111.37622496804431</v>
          </cell>
          <cell r="BJ20">
            <v>106.39686684073106</v>
          </cell>
          <cell r="BK20">
            <v>104.36974789915968</v>
          </cell>
          <cell r="BL20">
            <v>102.41652021089631</v>
          </cell>
          <cell r="BM20">
            <v>111.33171912832928</v>
          </cell>
          <cell r="BN20">
            <v>105.61440677966101</v>
          </cell>
          <cell r="BO20">
            <v>97.095890410958901</v>
          </cell>
          <cell r="BP20">
            <v>107.74774774774775</v>
          </cell>
          <cell r="BQ20">
            <v>114.92625368731564</v>
          </cell>
          <cell r="BR20">
            <v>114.79324403028539</v>
          </cell>
          <cell r="BS20">
            <v>75.796178343949052</v>
          </cell>
          <cell r="BT20">
            <v>70.048309178743963</v>
          </cell>
        </row>
        <row r="21">
          <cell r="AL21">
            <v>1.6369840496083254</v>
          </cell>
        </row>
        <row r="22">
          <cell r="AL22">
            <v>1.8421738785412249</v>
          </cell>
        </row>
        <row r="23">
          <cell r="AL23">
            <v>2.9270725873190417</v>
          </cell>
        </row>
        <row r="24">
          <cell r="AL24">
            <v>3.9303488227091856</v>
          </cell>
          <cell r="CB24" t="str">
            <v>HA</v>
          </cell>
        </row>
        <row r="25">
          <cell r="AL25">
            <v>2.4838172110054302</v>
          </cell>
          <cell r="CB25" t="str">
            <v>HDh</v>
          </cell>
        </row>
        <row r="26">
          <cell r="AL26">
            <v>3.4984299010327513</v>
          </cell>
          <cell r="CB26" t="str">
            <v>Sh</v>
          </cell>
        </row>
        <row r="27">
          <cell r="AL27">
            <v>2.7933024226003562</v>
          </cell>
          <cell r="CB27" t="str">
            <v>N</v>
          </cell>
        </row>
        <row r="28">
          <cell r="AL28">
            <v>5.8756844384487197</v>
          </cell>
          <cell r="CB28" t="str">
            <v>R</v>
          </cell>
        </row>
        <row r="29">
          <cell r="CB29" t="str">
            <v>B</v>
          </cell>
        </row>
        <row r="30">
          <cell r="CB30" t="str">
            <v>Lh</v>
          </cell>
        </row>
        <row r="31">
          <cell r="CB31" t="str">
            <v>K</v>
          </cell>
        </row>
        <row r="32">
          <cell r="CB32" t="str">
            <v>AA</v>
          </cell>
        </row>
        <row r="33">
          <cell r="CB33" t="str">
            <v>ADh</v>
          </cell>
        </row>
        <row r="34">
          <cell r="CB34" t="str">
            <v>V</v>
          </cell>
        </row>
        <row r="35">
          <cell r="CB35" t="str">
            <v>M</v>
          </cell>
        </row>
        <row r="36">
          <cell r="CB36" t="str">
            <v>F</v>
          </cell>
        </row>
        <row r="37">
          <cell r="CB37" t="str">
            <v>Dh</v>
          </cell>
        </row>
        <row r="38">
          <cell r="CB38" t="str">
            <v>Th</v>
          </cell>
        </row>
        <row r="39">
          <cell r="CB39" t="str">
            <v>L</v>
          </cell>
        </row>
        <row r="40">
          <cell r="CB40" t="str">
            <v>GA</v>
          </cell>
        </row>
        <row r="41">
          <cell r="CB41" t="str">
            <v>GDh</v>
          </cell>
        </row>
        <row r="42">
          <cell r="CB42" t="str">
            <v>Gn</v>
          </cell>
        </row>
        <row r="43">
          <cell r="CB43" t="str">
            <v>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abSelected="1" zoomScaleNormal="100" workbookViewId="0">
      <selection activeCell="S30" sqref="S30"/>
    </sheetView>
  </sheetViews>
  <sheetFormatPr defaultColWidth="11.140625" defaultRowHeight="12.75" x14ac:dyDescent="0.2"/>
  <cols>
    <col min="1" max="1" width="10.7109375" style="58" customWidth="1"/>
    <col min="2" max="4" width="12.28515625" style="58" customWidth="1"/>
    <col min="5" max="5" width="0.85546875" style="58" customWidth="1"/>
    <col min="6" max="6" width="8" style="58" customWidth="1"/>
    <col min="7" max="7" width="15" style="58" customWidth="1"/>
    <col min="8" max="8" width="0.7109375" style="58" customWidth="1"/>
    <col min="9" max="9" width="16.42578125" style="58" customWidth="1"/>
    <col min="10" max="10" width="18.42578125" style="60" customWidth="1"/>
    <col min="11" max="11" width="1.42578125" style="58" customWidth="1"/>
    <col min="12" max="12" width="15.7109375" style="60" customWidth="1"/>
    <col min="13" max="13" width="1.7109375" style="60" customWidth="1"/>
    <col min="14" max="14" width="13.5703125" style="60" customWidth="1"/>
    <col min="15" max="15" width="17.28515625" style="6" customWidth="1"/>
    <col min="16" max="16" width="12.7109375" style="6" customWidth="1"/>
    <col min="17" max="17" width="11.7109375" style="6" customWidth="1"/>
    <col min="18" max="16384" width="11.140625" style="6"/>
  </cols>
  <sheetData>
    <row r="1" spans="1:28" ht="19.5" x14ac:dyDescent="0.2">
      <c r="A1" s="61" t="s">
        <v>69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8" customFormat="1" ht="19.5" x14ac:dyDescent="0.2">
      <c r="A2" s="62" t="s">
        <v>70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s="9" customFormat="1" x14ac:dyDescent="0.2">
      <c r="L3" s="10"/>
      <c r="M3" s="11"/>
    </row>
    <row r="4" spans="1:28" s="9" customFormat="1" ht="15" x14ac:dyDescent="0.2">
      <c r="A4" s="63" t="s">
        <v>0</v>
      </c>
      <c r="B4" s="66" t="s">
        <v>55</v>
      </c>
      <c r="C4" s="66"/>
      <c r="D4" s="66"/>
      <c r="E4" s="12"/>
      <c r="F4" s="67" t="s">
        <v>56</v>
      </c>
      <c r="G4" s="66"/>
      <c r="H4" s="66"/>
      <c r="I4" s="66"/>
      <c r="J4" s="68"/>
      <c r="K4" s="12"/>
      <c r="L4" s="66" t="s">
        <v>57</v>
      </c>
      <c r="M4" s="66"/>
      <c r="N4" s="66"/>
      <c r="O4" s="69" t="s">
        <v>54</v>
      </c>
    </row>
    <row r="5" spans="1:28" s="14" customFormat="1" ht="17.25" x14ac:dyDescent="0.2">
      <c r="A5" s="64"/>
      <c r="B5" s="72" t="s">
        <v>58</v>
      </c>
      <c r="C5" s="72"/>
      <c r="D5" s="72"/>
      <c r="E5" s="13"/>
      <c r="F5" s="73" t="s">
        <v>59</v>
      </c>
      <c r="G5" s="72"/>
      <c r="H5" s="72"/>
      <c r="I5" s="72"/>
      <c r="J5" s="74"/>
      <c r="K5" s="13"/>
      <c r="L5" s="75" t="s">
        <v>60</v>
      </c>
      <c r="M5" s="75"/>
      <c r="N5" s="75"/>
      <c r="O5" s="70"/>
      <c r="P5" s="9"/>
    </row>
    <row r="6" spans="1:28" s="21" customFormat="1" ht="30" x14ac:dyDescent="0.35">
      <c r="A6" s="64"/>
      <c r="B6" s="15" t="s">
        <v>53</v>
      </c>
      <c r="C6" s="16" t="s">
        <v>49</v>
      </c>
      <c r="D6" s="16" t="s">
        <v>50</v>
      </c>
      <c r="E6" s="16"/>
      <c r="F6" s="17" t="s">
        <v>1</v>
      </c>
      <c r="G6" s="15" t="s">
        <v>61</v>
      </c>
      <c r="H6" s="15"/>
      <c r="I6" s="15" t="s">
        <v>62</v>
      </c>
      <c r="J6" s="18" t="s">
        <v>63</v>
      </c>
      <c r="K6" s="19"/>
      <c r="L6" s="19" t="s">
        <v>1</v>
      </c>
      <c r="M6" s="19"/>
      <c r="N6" s="15" t="s">
        <v>61</v>
      </c>
      <c r="O6" s="70"/>
      <c r="P6" s="20"/>
    </row>
    <row r="7" spans="1:28" s="21" customFormat="1" ht="25.5" x14ac:dyDescent="0.2">
      <c r="A7" s="65"/>
      <c r="B7" s="22" t="s">
        <v>64</v>
      </c>
      <c r="C7" s="22" t="s">
        <v>51</v>
      </c>
      <c r="D7" s="22" t="s">
        <v>52</v>
      </c>
      <c r="E7" s="23"/>
      <c r="F7" s="24" t="s">
        <v>2</v>
      </c>
      <c r="G7" s="2" t="s">
        <v>65</v>
      </c>
      <c r="H7" s="2"/>
      <c r="I7" s="2" t="s">
        <v>66</v>
      </c>
      <c r="J7" s="25" t="s">
        <v>67</v>
      </c>
      <c r="K7" s="26"/>
      <c r="L7" s="1" t="s">
        <v>2</v>
      </c>
      <c r="M7" s="1"/>
      <c r="N7" s="1" t="s">
        <v>65</v>
      </c>
      <c r="O7" s="71"/>
      <c r="P7" s="20"/>
      <c r="Q7" s="27"/>
      <c r="R7" s="27"/>
      <c r="S7" s="27"/>
    </row>
    <row r="8" spans="1:28" s="14" customFormat="1" ht="17.25" x14ac:dyDescent="0.2">
      <c r="A8" s="28" t="s">
        <v>3</v>
      </c>
      <c r="B8" s="41">
        <f>SUM(C8:E8)</f>
        <v>88211</v>
      </c>
      <c r="C8" s="76">
        <f>C9+C10</f>
        <v>45319</v>
      </c>
      <c r="D8" s="76">
        <f>D9+D10</f>
        <v>42892</v>
      </c>
      <c r="E8" s="76"/>
      <c r="F8" s="77">
        <f t="shared" ref="F8:F30" si="0">SUM(G8:I8)</f>
        <v>9586</v>
      </c>
      <c r="G8" s="78">
        <f>SUM(G9:G10)</f>
        <v>9011</v>
      </c>
      <c r="H8" s="76"/>
      <c r="I8" s="76">
        <f>SUM(I9:I10)</f>
        <v>575</v>
      </c>
      <c r="J8" s="79">
        <f>I8/F8*100</f>
        <v>5.9983308992280406</v>
      </c>
      <c r="K8" s="80"/>
      <c r="L8" s="81">
        <f>B8/F8</f>
        <v>9.2020655122052997</v>
      </c>
      <c r="M8" s="81"/>
      <c r="N8" s="81">
        <f>B8/G8</f>
        <v>9.7892575740761298</v>
      </c>
      <c r="O8" s="29" t="s">
        <v>4</v>
      </c>
      <c r="P8" s="30"/>
      <c r="Q8" s="27"/>
      <c r="R8" s="27"/>
      <c r="S8" s="27"/>
    </row>
    <row r="9" spans="1:28" s="14" customFormat="1" ht="17.25" x14ac:dyDescent="0.25">
      <c r="A9" s="28" t="s">
        <v>5</v>
      </c>
      <c r="B9" s="41">
        <f>SUM(C9:E9)</f>
        <v>32170</v>
      </c>
      <c r="C9" s="41">
        <v>16369</v>
      </c>
      <c r="D9" s="41">
        <v>15801</v>
      </c>
      <c r="E9" s="82"/>
      <c r="F9" s="77">
        <f t="shared" si="0"/>
        <v>2692</v>
      </c>
      <c r="G9" s="44">
        <v>2651</v>
      </c>
      <c r="H9" s="83"/>
      <c r="I9" s="41">
        <v>41</v>
      </c>
      <c r="J9" s="79">
        <f t="shared" ref="J9:J30" si="1">I9/F9*100</f>
        <v>1.5230312035661218</v>
      </c>
      <c r="K9" s="80"/>
      <c r="L9" s="81">
        <f t="shared" ref="L9:L30" si="2">B9/F9</f>
        <v>11.950222882615156</v>
      </c>
      <c r="M9" s="81"/>
      <c r="N9" s="81">
        <f t="shared" ref="N9:N30" si="3">B9/G9</f>
        <v>12.135043379856658</v>
      </c>
      <c r="O9" s="29" t="s">
        <v>6</v>
      </c>
      <c r="P9" s="31"/>
      <c r="Q9" s="27"/>
      <c r="S9" s="27"/>
    </row>
    <row r="10" spans="1:28" s="14" customFormat="1" ht="17.25" x14ac:dyDescent="0.25">
      <c r="A10" s="28" t="s">
        <v>7</v>
      </c>
      <c r="B10" s="41">
        <f>SUM(C10:E10)</f>
        <v>56041</v>
      </c>
      <c r="C10" s="76">
        <f>SUM(C11:C30)</f>
        <v>28950</v>
      </c>
      <c r="D10" s="76">
        <f>SUM(D11:D30)</f>
        <v>27091</v>
      </c>
      <c r="E10" s="76"/>
      <c r="F10" s="77">
        <f t="shared" si="0"/>
        <v>6894</v>
      </c>
      <c r="G10" s="44">
        <f>SUM(G11:G30)</f>
        <v>6360</v>
      </c>
      <c r="H10" s="83"/>
      <c r="I10" s="76">
        <f>SUM(I11:I30)</f>
        <v>534</v>
      </c>
      <c r="J10" s="79">
        <f t="shared" si="1"/>
        <v>7.7458659704090511</v>
      </c>
      <c r="K10" s="80"/>
      <c r="L10" s="81">
        <f t="shared" si="2"/>
        <v>8.1289527125036258</v>
      </c>
      <c r="M10" s="81"/>
      <c r="N10" s="81">
        <f t="shared" si="3"/>
        <v>8.8114779874213838</v>
      </c>
      <c r="O10" s="29" t="s">
        <v>8</v>
      </c>
      <c r="P10" s="31"/>
      <c r="Q10" s="27"/>
      <c r="R10" s="32"/>
      <c r="S10" s="27"/>
    </row>
    <row r="11" spans="1:28" s="14" customFormat="1" ht="17.25" x14ac:dyDescent="0.25">
      <c r="A11" s="33" t="s">
        <v>9</v>
      </c>
      <c r="B11" s="41">
        <f>SUM(C11:E11)</f>
        <v>3797</v>
      </c>
      <c r="C11" s="42">
        <v>1994</v>
      </c>
      <c r="D11" s="42">
        <v>1803</v>
      </c>
      <c r="E11" s="84"/>
      <c r="F11" s="85">
        <f t="shared" si="0"/>
        <v>454</v>
      </c>
      <c r="G11" s="86">
        <v>397</v>
      </c>
      <c r="H11" s="83"/>
      <c r="I11" s="42">
        <v>57</v>
      </c>
      <c r="J11" s="87">
        <f t="shared" si="1"/>
        <v>12.555066079295155</v>
      </c>
      <c r="K11" s="88"/>
      <c r="L11" s="48">
        <f t="shared" si="2"/>
        <v>8.3634361233480181</v>
      </c>
      <c r="M11" s="48"/>
      <c r="N11" s="48">
        <f t="shared" si="3"/>
        <v>9.5642317380352644</v>
      </c>
      <c r="O11" s="34" t="s">
        <v>10</v>
      </c>
      <c r="P11" s="30"/>
      <c r="Q11" s="27"/>
      <c r="S11" s="27"/>
    </row>
    <row r="12" spans="1:28" s="14" customFormat="1" ht="17.25" x14ac:dyDescent="0.25">
      <c r="A12" s="33" t="s">
        <v>11</v>
      </c>
      <c r="B12" s="41">
        <f t="shared" ref="B12:B20" si="4">SUM(C12:E12)</f>
        <v>5696</v>
      </c>
      <c r="C12" s="42">
        <v>2940</v>
      </c>
      <c r="D12" s="42">
        <v>2756</v>
      </c>
      <c r="E12" s="84"/>
      <c r="F12" s="85">
        <f t="shared" si="0"/>
        <v>589</v>
      </c>
      <c r="G12" s="86">
        <v>529</v>
      </c>
      <c r="H12" s="83"/>
      <c r="I12" s="42">
        <v>60</v>
      </c>
      <c r="J12" s="87">
        <f t="shared" si="1"/>
        <v>10.186757215619695</v>
      </c>
      <c r="K12" s="88"/>
      <c r="L12" s="48">
        <f t="shared" si="2"/>
        <v>9.6706281833616305</v>
      </c>
      <c r="M12" s="48"/>
      <c r="N12" s="48">
        <f t="shared" si="3"/>
        <v>10.767485822306238</v>
      </c>
      <c r="O12" s="34" t="s">
        <v>12</v>
      </c>
      <c r="P12" s="30"/>
      <c r="Q12" s="27"/>
      <c r="S12" s="27"/>
    </row>
    <row r="13" spans="1:28" s="14" customFormat="1" ht="17.25" x14ac:dyDescent="0.25">
      <c r="A13" s="33" t="s">
        <v>13</v>
      </c>
      <c r="B13" s="41">
        <f t="shared" si="4"/>
        <v>3663</v>
      </c>
      <c r="C13" s="42">
        <v>1904</v>
      </c>
      <c r="D13" s="42">
        <v>1759</v>
      </c>
      <c r="E13" s="84"/>
      <c r="F13" s="85">
        <f t="shared" si="0"/>
        <v>437</v>
      </c>
      <c r="G13" s="86">
        <v>401</v>
      </c>
      <c r="H13" s="83"/>
      <c r="I13" s="42">
        <v>36</v>
      </c>
      <c r="J13" s="87">
        <f t="shared" si="1"/>
        <v>8.2379862700228834</v>
      </c>
      <c r="K13" s="88"/>
      <c r="L13" s="48">
        <f t="shared" si="2"/>
        <v>8.3821510297482842</v>
      </c>
      <c r="M13" s="48"/>
      <c r="N13" s="48">
        <f t="shared" si="3"/>
        <v>9.1346633416458847</v>
      </c>
      <c r="O13" s="34" t="s">
        <v>14</v>
      </c>
      <c r="P13" s="30"/>
      <c r="Q13" s="27"/>
      <c r="S13" s="27"/>
    </row>
    <row r="14" spans="1:28" s="14" customFormat="1" ht="17.25" x14ac:dyDescent="0.25">
      <c r="A14" s="33" t="s">
        <v>15</v>
      </c>
      <c r="B14" s="41">
        <f t="shared" si="4"/>
        <v>3064</v>
      </c>
      <c r="C14" s="42">
        <v>1564</v>
      </c>
      <c r="D14" s="42">
        <v>1500</v>
      </c>
      <c r="E14" s="84"/>
      <c r="F14" s="85">
        <f t="shared" si="0"/>
        <v>448</v>
      </c>
      <c r="G14" s="86">
        <v>425</v>
      </c>
      <c r="H14" s="83"/>
      <c r="I14" s="42">
        <v>23</v>
      </c>
      <c r="J14" s="87">
        <f t="shared" si="1"/>
        <v>5.1339285714285712</v>
      </c>
      <c r="K14" s="88"/>
      <c r="L14" s="48">
        <f t="shared" si="2"/>
        <v>6.8392857142857144</v>
      </c>
      <c r="M14" s="48"/>
      <c r="N14" s="48">
        <f t="shared" si="3"/>
        <v>7.209411764705882</v>
      </c>
      <c r="O14" s="34" t="s">
        <v>16</v>
      </c>
      <c r="P14" s="30"/>
      <c r="Q14" s="27"/>
      <c r="S14" s="27"/>
    </row>
    <row r="15" spans="1:28" s="14" customFormat="1" ht="17.25" x14ac:dyDescent="0.25">
      <c r="A15" s="33" t="s">
        <v>17</v>
      </c>
      <c r="B15" s="41">
        <f t="shared" si="4"/>
        <v>4698</v>
      </c>
      <c r="C15" s="42">
        <v>2439</v>
      </c>
      <c r="D15" s="42">
        <v>2259</v>
      </c>
      <c r="E15" s="84"/>
      <c r="F15" s="85">
        <f t="shared" si="0"/>
        <v>608</v>
      </c>
      <c r="G15" s="86">
        <v>566</v>
      </c>
      <c r="H15" s="83"/>
      <c r="I15" s="42">
        <v>42</v>
      </c>
      <c r="J15" s="87">
        <f t="shared" si="1"/>
        <v>6.9078947368421062</v>
      </c>
      <c r="K15" s="88"/>
      <c r="L15" s="48">
        <f t="shared" si="2"/>
        <v>7.7269736842105265</v>
      </c>
      <c r="M15" s="48"/>
      <c r="N15" s="48">
        <f t="shared" si="3"/>
        <v>8.3003533568904597</v>
      </c>
      <c r="O15" s="34" t="s">
        <v>18</v>
      </c>
      <c r="P15" s="30"/>
      <c r="Q15" s="27"/>
      <c r="S15" s="35"/>
    </row>
    <row r="16" spans="1:28" s="14" customFormat="1" ht="17.25" x14ac:dyDescent="0.25">
      <c r="A16" s="33" t="s">
        <v>19</v>
      </c>
      <c r="B16" s="41">
        <f t="shared" si="4"/>
        <v>2637</v>
      </c>
      <c r="C16" s="42">
        <v>1367</v>
      </c>
      <c r="D16" s="42">
        <v>1270</v>
      </c>
      <c r="E16" s="84"/>
      <c r="F16" s="85">
        <f t="shared" si="0"/>
        <v>412</v>
      </c>
      <c r="G16" s="86">
        <v>380</v>
      </c>
      <c r="H16" s="83"/>
      <c r="I16" s="42">
        <v>32</v>
      </c>
      <c r="J16" s="87">
        <f t="shared" si="1"/>
        <v>7.7669902912621351</v>
      </c>
      <c r="K16" s="88"/>
      <c r="L16" s="48">
        <f t="shared" si="2"/>
        <v>6.400485436893204</v>
      </c>
      <c r="M16" s="48"/>
      <c r="N16" s="48">
        <f t="shared" si="3"/>
        <v>6.939473684210526</v>
      </c>
      <c r="O16" s="34" t="s">
        <v>20</v>
      </c>
      <c r="P16" s="30"/>
      <c r="Q16" s="27"/>
      <c r="S16" s="35"/>
    </row>
    <row r="17" spans="1:20" s="14" customFormat="1" ht="17.25" x14ac:dyDescent="0.25">
      <c r="A17" s="33" t="s">
        <v>21</v>
      </c>
      <c r="B17" s="41">
        <f t="shared" si="4"/>
        <v>2077</v>
      </c>
      <c r="C17" s="42">
        <v>1015</v>
      </c>
      <c r="D17" s="42">
        <v>1062</v>
      </c>
      <c r="E17" s="84"/>
      <c r="F17" s="85">
        <f t="shared" si="0"/>
        <v>206</v>
      </c>
      <c r="G17" s="86">
        <v>186</v>
      </c>
      <c r="H17" s="83"/>
      <c r="I17" s="42">
        <v>20</v>
      </c>
      <c r="J17" s="87">
        <f t="shared" si="1"/>
        <v>9.7087378640776691</v>
      </c>
      <c r="K17" s="88"/>
      <c r="L17" s="48">
        <f t="shared" si="2"/>
        <v>10.08252427184466</v>
      </c>
      <c r="M17" s="48"/>
      <c r="N17" s="48">
        <f t="shared" si="3"/>
        <v>11.166666666666666</v>
      </c>
      <c r="O17" s="34" t="s">
        <v>22</v>
      </c>
      <c r="P17" s="30"/>
      <c r="Q17" s="27"/>
      <c r="S17" s="36"/>
    </row>
    <row r="18" spans="1:20" s="14" customFormat="1" ht="17.25" x14ac:dyDescent="0.25">
      <c r="A18" s="33" t="s">
        <v>24</v>
      </c>
      <c r="B18" s="41">
        <f t="shared" si="4"/>
        <v>2828</v>
      </c>
      <c r="C18" s="42">
        <v>1472</v>
      </c>
      <c r="D18" s="42">
        <v>1356</v>
      </c>
      <c r="E18" s="84"/>
      <c r="F18" s="85">
        <f t="shared" si="0"/>
        <v>300</v>
      </c>
      <c r="G18" s="86">
        <v>288</v>
      </c>
      <c r="H18" s="83"/>
      <c r="I18" s="42">
        <v>12</v>
      </c>
      <c r="J18" s="87">
        <f t="shared" si="1"/>
        <v>4</v>
      </c>
      <c r="K18" s="88"/>
      <c r="L18" s="48">
        <f t="shared" si="2"/>
        <v>9.4266666666666659</v>
      </c>
      <c r="M18" s="48"/>
      <c r="N18" s="48">
        <f t="shared" si="3"/>
        <v>9.8194444444444446</v>
      </c>
      <c r="O18" s="34" t="s">
        <v>25</v>
      </c>
      <c r="P18" s="30"/>
      <c r="Q18" s="27"/>
      <c r="S18" s="36"/>
    </row>
    <row r="19" spans="1:20" s="14" customFormat="1" ht="17.25" x14ac:dyDescent="0.25">
      <c r="A19" s="33" t="s">
        <v>26</v>
      </c>
      <c r="B19" s="41">
        <f t="shared" si="4"/>
        <v>1801</v>
      </c>
      <c r="C19" s="42">
        <v>951</v>
      </c>
      <c r="D19" s="42">
        <v>850</v>
      </c>
      <c r="E19" s="84"/>
      <c r="F19" s="85">
        <f t="shared" si="0"/>
        <v>259</v>
      </c>
      <c r="G19" s="86">
        <v>246</v>
      </c>
      <c r="H19" s="83"/>
      <c r="I19" s="42">
        <v>13</v>
      </c>
      <c r="J19" s="87">
        <f t="shared" si="1"/>
        <v>5.019305019305019</v>
      </c>
      <c r="K19" s="88"/>
      <c r="L19" s="48">
        <f t="shared" si="2"/>
        <v>6.9536679536679538</v>
      </c>
      <c r="M19" s="48"/>
      <c r="N19" s="48">
        <f t="shared" si="3"/>
        <v>7.321138211382114</v>
      </c>
      <c r="O19" s="34" t="s">
        <v>27</v>
      </c>
      <c r="P19" s="30"/>
      <c r="Q19" s="27"/>
      <c r="S19" s="36"/>
    </row>
    <row r="20" spans="1:20" s="14" customFormat="1" ht="17.25" x14ac:dyDescent="0.25">
      <c r="A20" s="33" t="s">
        <v>28</v>
      </c>
      <c r="B20" s="41">
        <f t="shared" si="4"/>
        <v>2226</v>
      </c>
      <c r="C20" s="42">
        <v>1170</v>
      </c>
      <c r="D20" s="42">
        <v>1056</v>
      </c>
      <c r="E20" s="84"/>
      <c r="F20" s="85">
        <f t="shared" si="0"/>
        <v>280</v>
      </c>
      <c r="G20" s="86">
        <v>258</v>
      </c>
      <c r="H20" s="83"/>
      <c r="I20" s="42">
        <v>22</v>
      </c>
      <c r="J20" s="87">
        <f t="shared" si="1"/>
        <v>7.8571428571428568</v>
      </c>
      <c r="K20" s="88"/>
      <c r="L20" s="48">
        <f t="shared" si="2"/>
        <v>7.95</v>
      </c>
      <c r="M20" s="48"/>
      <c r="N20" s="48">
        <f t="shared" si="3"/>
        <v>8.6279069767441854</v>
      </c>
      <c r="O20" s="34" t="s">
        <v>29</v>
      </c>
      <c r="P20" s="30"/>
      <c r="Q20" s="27"/>
      <c r="S20" s="36"/>
    </row>
    <row r="21" spans="1:20" s="14" customFormat="1" ht="17.25" x14ac:dyDescent="0.25">
      <c r="A21" s="33" t="s">
        <v>30</v>
      </c>
      <c r="B21" s="41">
        <f>SUM(C21:E21)</f>
        <v>283</v>
      </c>
      <c r="C21" s="42">
        <v>165</v>
      </c>
      <c r="D21" s="42">
        <v>118</v>
      </c>
      <c r="E21" s="84"/>
      <c r="F21" s="85">
        <f t="shared" si="0"/>
        <v>72</v>
      </c>
      <c r="G21" s="86">
        <v>66</v>
      </c>
      <c r="H21" s="83"/>
      <c r="I21" s="42">
        <v>6</v>
      </c>
      <c r="J21" s="87">
        <f t="shared" si="1"/>
        <v>8.3333333333333321</v>
      </c>
      <c r="K21" s="88"/>
      <c r="L21" s="48">
        <f t="shared" si="2"/>
        <v>3.9305555555555554</v>
      </c>
      <c r="M21" s="48"/>
      <c r="N21" s="48">
        <f t="shared" si="3"/>
        <v>4.2878787878787881</v>
      </c>
      <c r="O21" s="34" t="s">
        <v>31</v>
      </c>
      <c r="P21" s="30"/>
      <c r="Q21" s="27"/>
      <c r="S21" s="36"/>
    </row>
    <row r="22" spans="1:20" s="37" customFormat="1" ht="17.25" x14ac:dyDescent="0.2">
      <c r="A22" s="33" t="s">
        <v>32</v>
      </c>
      <c r="B22" s="41">
        <f t="shared" ref="B22:B28" si="5">SUM(C22:E22)</f>
        <v>1229</v>
      </c>
      <c r="C22" s="42">
        <v>640</v>
      </c>
      <c r="D22" s="42">
        <v>589</v>
      </c>
      <c r="E22" s="84"/>
      <c r="F22" s="85">
        <f t="shared" si="0"/>
        <v>176</v>
      </c>
      <c r="G22" s="86">
        <v>170</v>
      </c>
      <c r="H22" s="89"/>
      <c r="I22" s="42">
        <v>6</v>
      </c>
      <c r="J22" s="87">
        <f t="shared" si="1"/>
        <v>3.4090909090909087</v>
      </c>
      <c r="K22" s="88"/>
      <c r="L22" s="48">
        <f t="shared" si="2"/>
        <v>6.9829545454545459</v>
      </c>
      <c r="M22" s="48"/>
      <c r="N22" s="48">
        <f t="shared" si="3"/>
        <v>7.2294117647058824</v>
      </c>
      <c r="O22" s="34" t="s">
        <v>33</v>
      </c>
      <c r="P22" s="30"/>
      <c r="Q22" s="27"/>
      <c r="S22" s="36"/>
      <c r="T22" s="14"/>
    </row>
    <row r="23" spans="1:20" s="37" customFormat="1" ht="17.25" x14ac:dyDescent="0.2">
      <c r="A23" s="33" t="s">
        <v>34</v>
      </c>
      <c r="B23" s="41">
        <f t="shared" si="5"/>
        <v>1444</v>
      </c>
      <c r="C23" s="42">
        <v>728</v>
      </c>
      <c r="D23" s="42">
        <v>716</v>
      </c>
      <c r="E23" s="84"/>
      <c r="F23" s="85">
        <f t="shared" si="0"/>
        <v>162</v>
      </c>
      <c r="G23" s="86">
        <v>156</v>
      </c>
      <c r="H23" s="89"/>
      <c r="I23" s="42">
        <v>6</v>
      </c>
      <c r="J23" s="87">
        <f t="shared" si="1"/>
        <v>3.7037037037037033</v>
      </c>
      <c r="K23" s="88"/>
      <c r="L23" s="48">
        <f t="shared" si="2"/>
        <v>8.9135802469135808</v>
      </c>
      <c r="M23" s="48"/>
      <c r="N23" s="48">
        <f t="shared" si="3"/>
        <v>9.2564102564102573</v>
      </c>
      <c r="O23" s="34" t="s">
        <v>35</v>
      </c>
      <c r="P23" s="30" t="s">
        <v>23</v>
      </c>
      <c r="Q23" s="27"/>
      <c r="S23" s="36"/>
      <c r="T23" s="14"/>
    </row>
    <row r="24" spans="1:20" s="37" customFormat="1" ht="17.25" x14ac:dyDescent="0.2">
      <c r="A24" s="33" t="s">
        <v>36</v>
      </c>
      <c r="B24" s="41">
        <f t="shared" si="5"/>
        <v>1625</v>
      </c>
      <c r="C24" s="42">
        <v>784</v>
      </c>
      <c r="D24" s="42">
        <v>841</v>
      </c>
      <c r="E24" s="84"/>
      <c r="F24" s="85">
        <f t="shared" si="0"/>
        <v>209</v>
      </c>
      <c r="G24" s="86">
        <v>200</v>
      </c>
      <c r="H24" s="89"/>
      <c r="I24" s="42">
        <v>9</v>
      </c>
      <c r="J24" s="87">
        <f t="shared" si="1"/>
        <v>4.3062200956937797</v>
      </c>
      <c r="K24" s="88"/>
      <c r="L24" s="48">
        <f t="shared" si="2"/>
        <v>7.7751196172248802</v>
      </c>
      <c r="M24" s="48"/>
      <c r="N24" s="48">
        <f t="shared" si="3"/>
        <v>8.125</v>
      </c>
      <c r="O24" s="34" t="s">
        <v>37</v>
      </c>
      <c r="P24" s="30"/>
      <c r="Q24" s="27"/>
      <c r="S24" s="36"/>
      <c r="T24" s="14"/>
    </row>
    <row r="25" spans="1:20" s="37" customFormat="1" ht="17.25" x14ac:dyDescent="0.2">
      <c r="A25" s="33" t="s">
        <v>38</v>
      </c>
      <c r="B25" s="41">
        <f t="shared" si="5"/>
        <v>2582</v>
      </c>
      <c r="C25" s="42">
        <v>1324</v>
      </c>
      <c r="D25" s="42">
        <v>1258</v>
      </c>
      <c r="E25" s="84"/>
      <c r="F25" s="85">
        <f t="shared" si="0"/>
        <v>414</v>
      </c>
      <c r="G25" s="86">
        <v>385</v>
      </c>
      <c r="H25" s="89"/>
      <c r="I25" s="42">
        <v>29</v>
      </c>
      <c r="J25" s="87">
        <f t="shared" si="1"/>
        <v>7.004830917874397</v>
      </c>
      <c r="K25" s="88"/>
      <c r="L25" s="48">
        <f t="shared" si="2"/>
        <v>6.2367149758454108</v>
      </c>
      <c r="M25" s="48"/>
      <c r="N25" s="48">
        <f t="shared" si="3"/>
        <v>6.7064935064935067</v>
      </c>
      <c r="O25" s="34" t="s">
        <v>39</v>
      </c>
      <c r="P25" s="30"/>
      <c r="Q25" s="27"/>
      <c r="S25" s="36"/>
      <c r="T25" s="14"/>
    </row>
    <row r="26" spans="1:20" s="37" customFormat="1" ht="17.25" x14ac:dyDescent="0.2">
      <c r="A26" s="33" t="s">
        <v>22</v>
      </c>
      <c r="B26" s="41">
        <f t="shared" si="5"/>
        <v>3467</v>
      </c>
      <c r="C26" s="42">
        <v>1817</v>
      </c>
      <c r="D26" s="42">
        <v>1650</v>
      </c>
      <c r="E26" s="84"/>
      <c r="F26" s="85">
        <f t="shared" si="0"/>
        <v>392</v>
      </c>
      <c r="G26" s="86">
        <v>371</v>
      </c>
      <c r="H26" s="89"/>
      <c r="I26" s="42">
        <v>21</v>
      </c>
      <c r="J26" s="87">
        <f t="shared" si="1"/>
        <v>5.3571428571428568</v>
      </c>
      <c r="K26" s="88"/>
      <c r="L26" s="48">
        <f t="shared" si="2"/>
        <v>8.8443877551020407</v>
      </c>
      <c r="M26" s="48"/>
      <c r="N26" s="48">
        <f t="shared" si="3"/>
        <v>9.3450134770889495</v>
      </c>
      <c r="O26" s="34" t="s">
        <v>40</v>
      </c>
      <c r="P26" s="30"/>
      <c r="Q26" s="27"/>
      <c r="S26" s="36"/>
      <c r="T26" s="14"/>
    </row>
    <row r="27" spans="1:20" s="37" customFormat="1" ht="17.25" x14ac:dyDescent="0.2">
      <c r="A27" s="33" t="s">
        <v>41</v>
      </c>
      <c r="B27" s="41">
        <f t="shared" si="5"/>
        <v>2191</v>
      </c>
      <c r="C27" s="42">
        <v>1153</v>
      </c>
      <c r="D27" s="42">
        <v>1038</v>
      </c>
      <c r="E27" s="84"/>
      <c r="F27" s="85">
        <f t="shared" si="0"/>
        <v>287</v>
      </c>
      <c r="G27" s="86">
        <v>253</v>
      </c>
      <c r="H27" s="89"/>
      <c r="I27" s="42">
        <v>34</v>
      </c>
      <c r="J27" s="87">
        <f t="shared" si="1"/>
        <v>11.846689895470384</v>
      </c>
      <c r="K27" s="88"/>
      <c r="L27" s="48">
        <f t="shared" si="2"/>
        <v>7.6341463414634143</v>
      </c>
      <c r="M27" s="48"/>
      <c r="N27" s="48">
        <f t="shared" si="3"/>
        <v>8.6600790513833985</v>
      </c>
      <c r="O27" s="34" t="s">
        <v>42</v>
      </c>
      <c r="P27" s="30"/>
      <c r="Q27" s="27"/>
      <c r="S27" s="36"/>
      <c r="T27" s="14"/>
    </row>
    <row r="28" spans="1:20" s="37" customFormat="1" ht="17.25" x14ac:dyDescent="0.2">
      <c r="A28" s="33" t="s">
        <v>43</v>
      </c>
      <c r="B28" s="41">
        <f t="shared" si="5"/>
        <v>3086</v>
      </c>
      <c r="C28" s="42">
        <v>1655</v>
      </c>
      <c r="D28" s="42">
        <v>1431</v>
      </c>
      <c r="E28" s="84"/>
      <c r="F28" s="85">
        <f t="shared" si="0"/>
        <v>383</v>
      </c>
      <c r="G28" s="86">
        <v>346</v>
      </c>
      <c r="H28" s="89"/>
      <c r="I28" s="42">
        <v>37</v>
      </c>
      <c r="J28" s="87">
        <f t="shared" si="1"/>
        <v>9.660574412532636</v>
      </c>
      <c r="K28" s="88"/>
      <c r="L28" s="48">
        <f t="shared" si="2"/>
        <v>8.0574412532637076</v>
      </c>
      <c r="M28" s="48"/>
      <c r="N28" s="48">
        <f t="shared" si="3"/>
        <v>8.9190751445086711</v>
      </c>
      <c r="O28" s="34" t="s">
        <v>44</v>
      </c>
      <c r="P28" s="30"/>
      <c r="Q28" s="27"/>
      <c r="S28" s="36"/>
      <c r="T28" s="14"/>
    </row>
    <row r="29" spans="1:20" s="37" customFormat="1" ht="17.25" x14ac:dyDescent="0.2">
      <c r="A29" s="33" t="s">
        <v>45</v>
      </c>
      <c r="B29" s="41">
        <f>SUM(C29:E29)</f>
        <v>2464</v>
      </c>
      <c r="C29" s="42">
        <v>1246</v>
      </c>
      <c r="D29" s="42">
        <v>1218</v>
      </c>
      <c r="E29" s="84"/>
      <c r="F29" s="85">
        <f t="shared" si="0"/>
        <v>250</v>
      </c>
      <c r="G29" s="86">
        <v>211</v>
      </c>
      <c r="H29" s="90"/>
      <c r="I29" s="42">
        <v>39</v>
      </c>
      <c r="J29" s="87">
        <f t="shared" si="1"/>
        <v>15.6</v>
      </c>
      <c r="K29" s="88"/>
      <c r="L29" s="48">
        <f t="shared" si="2"/>
        <v>9.8559999999999999</v>
      </c>
      <c r="M29" s="48"/>
      <c r="N29" s="48">
        <f t="shared" si="3"/>
        <v>11.677725118483412</v>
      </c>
      <c r="O29" s="34" t="s">
        <v>15</v>
      </c>
      <c r="Q29" s="27"/>
      <c r="S29" s="36"/>
      <c r="T29" s="14"/>
    </row>
    <row r="30" spans="1:20" s="37" customFormat="1" ht="17.25" x14ac:dyDescent="0.2">
      <c r="A30" s="38" t="s">
        <v>14</v>
      </c>
      <c r="B30" s="91">
        <f>SUM(C30:E30)</f>
        <v>5183</v>
      </c>
      <c r="C30" s="92">
        <v>2622</v>
      </c>
      <c r="D30" s="92">
        <v>2561</v>
      </c>
      <c r="E30" s="93"/>
      <c r="F30" s="94">
        <f t="shared" si="0"/>
        <v>556</v>
      </c>
      <c r="G30" s="95">
        <v>526</v>
      </c>
      <c r="H30" s="96"/>
      <c r="I30" s="92">
        <v>30</v>
      </c>
      <c r="J30" s="97">
        <f t="shared" si="1"/>
        <v>5.3956834532374103</v>
      </c>
      <c r="K30" s="98"/>
      <c r="L30" s="99">
        <f t="shared" si="2"/>
        <v>9.321942446043165</v>
      </c>
      <c r="M30" s="99"/>
      <c r="N30" s="99">
        <f t="shared" si="3"/>
        <v>9.8536121673003798</v>
      </c>
      <c r="O30" s="39" t="s">
        <v>46</v>
      </c>
      <c r="P30" s="30"/>
      <c r="Q30" s="27"/>
      <c r="S30" s="36"/>
      <c r="T30" s="14"/>
    </row>
    <row r="31" spans="1:20" s="37" customFormat="1" ht="17.25" x14ac:dyDescent="0.25">
      <c r="A31" s="40" t="s">
        <v>68</v>
      </c>
      <c r="B31" s="41"/>
      <c r="C31" s="42"/>
      <c r="D31" s="42"/>
      <c r="E31" s="43"/>
      <c r="F31" s="44"/>
      <c r="G31" s="45"/>
      <c r="H31" s="42"/>
      <c r="I31" s="45"/>
      <c r="J31" s="46"/>
      <c r="K31" s="47"/>
      <c r="L31" s="48"/>
      <c r="M31" s="48"/>
      <c r="N31" s="48"/>
      <c r="O31" s="49"/>
      <c r="P31" s="30"/>
      <c r="S31" s="36"/>
      <c r="T31" s="14"/>
    </row>
    <row r="32" spans="1:20" s="37" customFormat="1" ht="14.25" x14ac:dyDescent="0.35">
      <c r="A32" s="3" t="s">
        <v>47</v>
      </c>
      <c r="C32" s="50"/>
      <c r="D32" s="50"/>
      <c r="E32" s="51"/>
      <c r="F32" s="51"/>
      <c r="G32" s="51"/>
      <c r="H32" s="51"/>
      <c r="I32" s="51"/>
      <c r="J32" s="52"/>
      <c r="K32" s="53"/>
      <c r="L32" s="52"/>
      <c r="M32" s="52"/>
      <c r="N32" s="54"/>
      <c r="O32" s="55" t="s">
        <v>48</v>
      </c>
    </row>
    <row r="33" spans="7:14" s="37" customFormat="1" ht="12" x14ac:dyDescent="0.2">
      <c r="J33" s="56"/>
      <c r="L33" s="56"/>
      <c r="M33" s="56"/>
      <c r="N33" s="57"/>
    </row>
    <row r="35" spans="7:14" x14ac:dyDescent="0.2">
      <c r="G35" s="59"/>
    </row>
  </sheetData>
  <mergeCells count="10">
    <mergeCell ref="A1:O1"/>
    <mergeCell ref="A2:O2"/>
    <mergeCell ref="A4:A7"/>
    <mergeCell ref="B4:D4"/>
    <mergeCell ref="F4:J4"/>
    <mergeCell ref="L4:N4"/>
    <mergeCell ref="O4:O7"/>
    <mergeCell ref="B5:D5"/>
    <mergeCell ref="F5:J5"/>
    <mergeCell ref="L5:N5"/>
  </mergeCells>
  <pageMargins left="0.7" right="0.7" top="0.75" bottom="0.75" header="0.3" footer="0.3"/>
  <pageSetup paperSize="9" scale="55" orientation="portrait" horizontalDpi="4294967295" verticalDpi="4294967295" r:id="rId1"/>
  <ignoredErrors>
    <ignoredError sqref="J8 L8:N3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2019-05-22T08:05:47Z</cp:lastPrinted>
  <dcterms:created xsi:type="dcterms:W3CDTF">2019-02-28T08:20:57Z</dcterms:created>
  <dcterms:modified xsi:type="dcterms:W3CDTF">2019-05-22T08:05:52Z</dcterms:modified>
</cp:coreProperties>
</file>