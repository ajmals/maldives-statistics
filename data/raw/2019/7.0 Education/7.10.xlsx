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 tabRatio="834"/>
  </bookViews>
  <sheets>
    <sheet name="7.10" sheetId="10" r:id="rId1"/>
  </sheets>
  <externalReferences>
    <externalReference r:id="rId2"/>
  </externalReferences>
  <definedNames>
    <definedName name="_xlnm.Print_Area" localSheetId="0">'7.10'!$A$1:$K$148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8" i="10" l="1"/>
  <c r="E128" i="10"/>
  <c r="B128" i="10"/>
  <c r="H127" i="10"/>
  <c r="E127" i="10"/>
  <c r="B127" i="10"/>
  <c r="H126" i="10"/>
  <c r="E126" i="10"/>
  <c r="AK26" i="10" s="1"/>
  <c r="B126" i="10"/>
  <c r="H125" i="10"/>
  <c r="E125" i="10"/>
  <c r="B125" i="10"/>
  <c r="H124" i="10"/>
  <c r="E124" i="10"/>
  <c r="B124" i="10"/>
  <c r="H123" i="10"/>
  <c r="E123" i="10"/>
  <c r="B123" i="10"/>
  <c r="H122" i="10"/>
  <c r="E122" i="10"/>
  <c r="B122" i="10"/>
  <c r="AK22" i="10" s="1"/>
  <c r="H121" i="10"/>
  <c r="E121" i="10"/>
  <c r="B121" i="10"/>
  <c r="AK21" i="10" s="1"/>
  <c r="H120" i="10"/>
  <c r="E120" i="10"/>
  <c r="B120" i="10"/>
  <c r="H119" i="10"/>
  <c r="E119" i="10"/>
  <c r="B119" i="10"/>
  <c r="H118" i="10"/>
  <c r="E118" i="10"/>
  <c r="AK18" i="10" s="1"/>
  <c r="B118" i="10"/>
  <c r="H117" i="10"/>
  <c r="E117" i="10"/>
  <c r="B117" i="10"/>
  <c r="H116" i="10"/>
  <c r="E116" i="10"/>
  <c r="B116" i="10"/>
  <c r="H115" i="10"/>
  <c r="E115" i="10"/>
  <c r="B115" i="10"/>
  <c r="H114" i="10"/>
  <c r="E114" i="10"/>
  <c r="B114" i="10"/>
  <c r="AK14" i="10" s="1"/>
  <c r="H113" i="10"/>
  <c r="E113" i="10"/>
  <c r="B113" i="10"/>
  <c r="AK13" i="10" s="1"/>
  <c r="H112" i="10"/>
  <c r="E112" i="10"/>
  <c r="B112" i="10"/>
  <c r="H111" i="10"/>
  <c r="E111" i="10"/>
  <c r="B111" i="10"/>
  <c r="H110" i="10"/>
  <c r="E110" i="10"/>
  <c r="AK10" i="10" s="1"/>
  <c r="B110" i="10"/>
  <c r="H109" i="10"/>
  <c r="E109" i="10"/>
  <c r="B109" i="10"/>
  <c r="B108" i="10" s="1"/>
  <c r="J108" i="10"/>
  <c r="J106" i="10" s="1"/>
  <c r="I108" i="10"/>
  <c r="H108" i="10" s="1"/>
  <c r="G108" i="10"/>
  <c r="E108" i="10" s="1"/>
  <c r="F108" i="10"/>
  <c r="H107" i="10"/>
  <c r="E107" i="10"/>
  <c r="AK7" i="10" s="1"/>
  <c r="B107" i="10"/>
  <c r="I106" i="10"/>
  <c r="H106" i="10" s="1"/>
  <c r="F106" i="10"/>
  <c r="D106" i="10"/>
  <c r="C106" i="10"/>
  <c r="B106" i="10" s="1"/>
  <c r="H103" i="10"/>
  <c r="AH28" i="10" s="1"/>
  <c r="E103" i="10"/>
  <c r="B103" i="10"/>
  <c r="H102" i="10"/>
  <c r="E102" i="10"/>
  <c r="B102" i="10"/>
  <c r="H101" i="10"/>
  <c r="E101" i="10"/>
  <c r="B101" i="10"/>
  <c r="AH26" i="10" s="1"/>
  <c r="H100" i="10"/>
  <c r="E100" i="10"/>
  <c r="B100" i="10"/>
  <c r="H99" i="10"/>
  <c r="E99" i="10"/>
  <c r="AH24" i="10" s="1"/>
  <c r="B99" i="10"/>
  <c r="H98" i="10"/>
  <c r="E98" i="10"/>
  <c r="B98" i="10"/>
  <c r="H97" i="10"/>
  <c r="E97" i="10"/>
  <c r="B97" i="10"/>
  <c r="H96" i="10"/>
  <c r="AH21" i="10" s="1"/>
  <c r="E96" i="10"/>
  <c r="B96" i="10"/>
  <c r="H95" i="10"/>
  <c r="AH20" i="10" s="1"/>
  <c r="E95" i="10"/>
  <c r="B95" i="10"/>
  <c r="H94" i="10"/>
  <c r="E94" i="10"/>
  <c r="B94" i="10"/>
  <c r="H93" i="10"/>
  <c r="E93" i="10"/>
  <c r="B93" i="10"/>
  <c r="AH18" i="10" s="1"/>
  <c r="H92" i="10"/>
  <c r="E92" i="10"/>
  <c r="B92" i="10"/>
  <c r="H91" i="10"/>
  <c r="E91" i="10"/>
  <c r="AH16" i="10" s="1"/>
  <c r="B91" i="10"/>
  <c r="H90" i="10"/>
  <c r="E90" i="10"/>
  <c r="B90" i="10"/>
  <c r="H89" i="10"/>
  <c r="E89" i="10"/>
  <c r="B89" i="10"/>
  <c r="H88" i="10"/>
  <c r="AH13" i="10" s="1"/>
  <c r="E88" i="10"/>
  <c r="B88" i="10"/>
  <c r="H87" i="10"/>
  <c r="AH12" i="10" s="1"/>
  <c r="E87" i="10"/>
  <c r="B87" i="10"/>
  <c r="H86" i="10"/>
  <c r="E86" i="10"/>
  <c r="B86" i="10"/>
  <c r="H85" i="10"/>
  <c r="E85" i="10"/>
  <c r="B85" i="10"/>
  <c r="B83" i="10" s="1"/>
  <c r="AH8" i="10" s="1"/>
  <c r="H84" i="10"/>
  <c r="E84" i="10"/>
  <c r="B84" i="10"/>
  <c r="J83" i="10"/>
  <c r="I83" i="10"/>
  <c r="H83" i="10" s="1"/>
  <c r="G83" i="10"/>
  <c r="G81" i="10" s="1"/>
  <c r="AJ6" i="10" s="1"/>
  <c r="F83" i="10"/>
  <c r="E83" i="10" s="1"/>
  <c r="H82" i="10"/>
  <c r="E82" i="10"/>
  <c r="B82" i="10"/>
  <c r="AH7" i="10" s="1"/>
  <c r="J81" i="10"/>
  <c r="D81" i="10"/>
  <c r="C81" i="10"/>
  <c r="H78" i="10"/>
  <c r="E78" i="10"/>
  <c r="B78" i="10"/>
  <c r="H77" i="10"/>
  <c r="E77" i="10"/>
  <c r="B77" i="10"/>
  <c r="H76" i="10"/>
  <c r="E76" i="10"/>
  <c r="B76" i="10"/>
  <c r="H75" i="10"/>
  <c r="E75" i="10"/>
  <c r="B75" i="10"/>
  <c r="H74" i="10"/>
  <c r="E74" i="10"/>
  <c r="B74" i="10"/>
  <c r="H73" i="10"/>
  <c r="E73" i="10"/>
  <c r="B73" i="10"/>
  <c r="H72" i="10"/>
  <c r="E72" i="10"/>
  <c r="B72" i="10"/>
  <c r="H71" i="10"/>
  <c r="E71" i="10"/>
  <c r="B71" i="10"/>
  <c r="H70" i="10"/>
  <c r="E70" i="10"/>
  <c r="B70" i="10"/>
  <c r="H69" i="10"/>
  <c r="E69" i="10"/>
  <c r="B69" i="10"/>
  <c r="H68" i="10"/>
  <c r="E68" i="10"/>
  <c r="B68" i="10"/>
  <c r="H67" i="10"/>
  <c r="E67" i="10"/>
  <c r="B67" i="10"/>
  <c r="H66" i="10"/>
  <c r="E66" i="10"/>
  <c r="B66" i="10"/>
  <c r="H65" i="10"/>
  <c r="E65" i="10"/>
  <c r="B65" i="10"/>
  <c r="H64" i="10"/>
  <c r="E64" i="10"/>
  <c r="B64" i="10"/>
  <c r="H63" i="10"/>
  <c r="E63" i="10"/>
  <c r="B63" i="10"/>
  <c r="H62" i="10"/>
  <c r="E62" i="10"/>
  <c r="B62" i="10"/>
  <c r="H61" i="10"/>
  <c r="E61" i="10"/>
  <c r="B61" i="10"/>
  <c r="H60" i="10"/>
  <c r="E60" i="10"/>
  <c r="B60" i="10"/>
  <c r="H59" i="10"/>
  <c r="E59" i="10"/>
  <c r="B59" i="10"/>
  <c r="B58" i="10" s="1"/>
  <c r="J58" i="10"/>
  <c r="I58" i="10"/>
  <c r="H58" i="10"/>
  <c r="G58" i="10"/>
  <c r="F58" i="10"/>
  <c r="E58" i="10"/>
  <c r="H57" i="10"/>
  <c r="E57" i="10"/>
  <c r="B57" i="10"/>
  <c r="J56" i="10"/>
  <c r="I56" i="10"/>
  <c r="H56" i="10" s="1"/>
  <c r="G56" i="10"/>
  <c r="E56" i="10" s="1"/>
  <c r="F56" i="10"/>
  <c r="D56" i="10"/>
  <c r="C56" i="10"/>
  <c r="B56" i="10"/>
  <c r="H53" i="10"/>
  <c r="E53" i="10"/>
  <c r="B53" i="10"/>
  <c r="AE28" i="10" s="1"/>
  <c r="H52" i="10"/>
  <c r="E52" i="10"/>
  <c r="AE27" i="10" s="1"/>
  <c r="B52" i="10"/>
  <c r="H51" i="10"/>
  <c r="E51" i="10"/>
  <c r="B51" i="10"/>
  <c r="H50" i="10"/>
  <c r="E50" i="10"/>
  <c r="B50" i="10"/>
  <c r="H49" i="10"/>
  <c r="E49" i="10"/>
  <c r="B49" i="10"/>
  <c r="H48" i="10"/>
  <c r="E48" i="10"/>
  <c r="B48" i="10"/>
  <c r="H47" i="10"/>
  <c r="E47" i="10"/>
  <c r="B47" i="10"/>
  <c r="H46" i="10"/>
  <c r="E46" i="10"/>
  <c r="B46" i="10"/>
  <c r="H45" i="10"/>
  <c r="E45" i="10"/>
  <c r="B45" i="10"/>
  <c r="H44" i="10"/>
  <c r="E44" i="10"/>
  <c r="B44" i="10"/>
  <c r="H43" i="10"/>
  <c r="E43" i="10"/>
  <c r="B43" i="10"/>
  <c r="H42" i="10"/>
  <c r="E42" i="10"/>
  <c r="B42" i="10"/>
  <c r="H41" i="10"/>
  <c r="E41" i="10"/>
  <c r="B41" i="10"/>
  <c r="H40" i="10"/>
  <c r="AE15" i="10" s="1"/>
  <c r="E40" i="10"/>
  <c r="B40" i="10"/>
  <c r="H39" i="10"/>
  <c r="E39" i="10"/>
  <c r="B39" i="10"/>
  <c r="H38" i="10"/>
  <c r="E38" i="10"/>
  <c r="B38" i="10"/>
  <c r="H37" i="10"/>
  <c r="E37" i="10"/>
  <c r="B37" i="10"/>
  <c r="H36" i="10"/>
  <c r="E36" i="10"/>
  <c r="B36" i="10"/>
  <c r="H35" i="10"/>
  <c r="E35" i="10"/>
  <c r="B35" i="10"/>
  <c r="H34" i="10"/>
  <c r="E34" i="10"/>
  <c r="B34" i="10"/>
  <c r="J33" i="10"/>
  <c r="J31" i="10" s="1"/>
  <c r="I33" i="10"/>
  <c r="H33" i="10" s="1"/>
  <c r="G33" i="10"/>
  <c r="G31" i="10" s="1"/>
  <c r="F33" i="10"/>
  <c r="E33" i="10" s="1"/>
  <c r="B33" i="10"/>
  <c r="H32" i="10"/>
  <c r="E32" i="10"/>
  <c r="B32" i="10"/>
  <c r="I31" i="10"/>
  <c r="H31" i="10" s="1"/>
  <c r="F31" i="10"/>
  <c r="D31" i="10"/>
  <c r="C31" i="10"/>
  <c r="B31" i="10" s="1"/>
  <c r="AM28" i="10"/>
  <c r="AL28" i="10"/>
  <c r="AK28" i="10"/>
  <c r="AJ28" i="10"/>
  <c r="AI28" i="10"/>
  <c r="AG28" i="10"/>
  <c r="AF28" i="10"/>
  <c r="H28" i="10"/>
  <c r="E28" i="10"/>
  <c r="D28" i="10"/>
  <c r="B28" i="10" s="1"/>
  <c r="C28" i="10"/>
  <c r="AM27" i="10"/>
  <c r="AL27" i="10"/>
  <c r="AK27" i="10"/>
  <c r="AJ27" i="10"/>
  <c r="AI27" i="10"/>
  <c r="AH27" i="10"/>
  <c r="AG27" i="10"/>
  <c r="AF27" i="10"/>
  <c r="H27" i="10"/>
  <c r="E27" i="10"/>
  <c r="D27" i="10"/>
  <c r="C27" i="10"/>
  <c r="B27" i="10"/>
  <c r="AM26" i="10"/>
  <c r="AL26" i="10"/>
  <c r="AJ26" i="10"/>
  <c r="AI26" i="10"/>
  <c r="AG26" i="10"/>
  <c r="AF26" i="10"/>
  <c r="H26" i="10"/>
  <c r="AE26" i="10" s="1"/>
  <c r="E26" i="10"/>
  <c r="D26" i="10"/>
  <c r="C26" i="10"/>
  <c r="B26" i="10" s="1"/>
  <c r="AM25" i="10"/>
  <c r="AL25" i="10"/>
  <c r="AK25" i="10"/>
  <c r="AJ25" i="10"/>
  <c r="AI25" i="10"/>
  <c r="AH25" i="10"/>
  <c r="AG25" i="10"/>
  <c r="AF25" i="10"/>
  <c r="H25" i="10"/>
  <c r="AE25" i="10" s="1"/>
  <c r="E25" i="10"/>
  <c r="D25" i="10"/>
  <c r="C25" i="10"/>
  <c r="B25" i="10" s="1"/>
  <c r="AM24" i="10"/>
  <c r="AL24" i="10"/>
  <c r="AK24" i="10"/>
  <c r="AJ24" i="10"/>
  <c r="AI24" i="10"/>
  <c r="AG24" i="10"/>
  <c r="AF24" i="10"/>
  <c r="AE24" i="10"/>
  <c r="H24" i="10"/>
  <c r="E24" i="10"/>
  <c r="D24" i="10"/>
  <c r="B24" i="10" s="1"/>
  <c r="C24" i="10"/>
  <c r="AM23" i="10"/>
  <c r="AL23" i="10"/>
  <c r="AK23" i="10"/>
  <c r="AJ23" i="10"/>
  <c r="AI23" i="10"/>
  <c r="AH23" i="10"/>
  <c r="AG23" i="10"/>
  <c r="AF23" i="10"/>
  <c r="H23" i="10"/>
  <c r="AE23" i="10" s="1"/>
  <c r="E23" i="10"/>
  <c r="D23" i="10"/>
  <c r="C23" i="10"/>
  <c r="B23" i="10"/>
  <c r="AM22" i="10"/>
  <c r="AL22" i="10"/>
  <c r="AJ22" i="10"/>
  <c r="AI22" i="10"/>
  <c r="AH22" i="10"/>
  <c r="AG22" i="10"/>
  <c r="AF22" i="10"/>
  <c r="H22" i="10"/>
  <c r="AE22" i="10" s="1"/>
  <c r="E22" i="10"/>
  <c r="D22" i="10"/>
  <c r="C22" i="10"/>
  <c r="B22" i="10" s="1"/>
  <c r="AM21" i="10"/>
  <c r="AL21" i="10"/>
  <c r="AJ21" i="10"/>
  <c r="AI21" i="10"/>
  <c r="AG21" i="10"/>
  <c r="AF21" i="10"/>
  <c r="H21" i="10"/>
  <c r="AE21" i="10" s="1"/>
  <c r="E21" i="10"/>
  <c r="D21" i="10"/>
  <c r="C21" i="10"/>
  <c r="B21" i="10" s="1"/>
  <c r="AM20" i="10"/>
  <c r="AL20" i="10"/>
  <c r="AK20" i="10"/>
  <c r="AJ20" i="10"/>
  <c r="AI20" i="10"/>
  <c r="AG20" i="10"/>
  <c r="AF20" i="10"/>
  <c r="AE20" i="10"/>
  <c r="H20" i="10"/>
  <c r="E20" i="10"/>
  <c r="D20" i="10"/>
  <c r="B20" i="10" s="1"/>
  <c r="C20" i="10"/>
  <c r="AM19" i="10"/>
  <c r="AL19" i="10"/>
  <c r="AK19" i="10"/>
  <c r="AJ19" i="10"/>
  <c r="AI19" i="10"/>
  <c r="AH19" i="10"/>
  <c r="AG19" i="10"/>
  <c r="AF19" i="10"/>
  <c r="AE19" i="10"/>
  <c r="H19" i="10"/>
  <c r="E19" i="10"/>
  <c r="D19" i="10"/>
  <c r="C19" i="10"/>
  <c r="B19" i="10"/>
  <c r="AM18" i="10"/>
  <c r="AL18" i="10"/>
  <c r="AJ18" i="10"/>
  <c r="AI18" i="10"/>
  <c r="AG18" i="10"/>
  <c r="AF18" i="10"/>
  <c r="H18" i="10"/>
  <c r="AE18" i="10" s="1"/>
  <c r="E18" i="10"/>
  <c r="D18" i="10"/>
  <c r="C18" i="10"/>
  <c r="B18" i="10" s="1"/>
  <c r="AM17" i="10"/>
  <c r="AL17" i="10"/>
  <c r="AK17" i="10"/>
  <c r="AJ17" i="10"/>
  <c r="AI17" i="10"/>
  <c r="AH17" i="10"/>
  <c r="AG17" i="10"/>
  <c r="AF17" i="10"/>
  <c r="H17" i="10"/>
  <c r="AE17" i="10" s="1"/>
  <c r="E17" i="10"/>
  <c r="D17" i="10"/>
  <c r="C17" i="10"/>
  <c r="B17" i="10" s="1"/>
  <c r="AM16" i="10"/>
  <c r="AL16" i="10"/>
  <c r="AK16" i="10"/>
  <c r="AJ16" i="10"/>
  <c r="AI16" i="10"/>
  <c r="AG16" i="10"/>
  <c r="AF16" i="10"/>
  <c r="AE16" i="10"/>
  <c r="H16" i="10"/>
  <c r="E16" i="10"/>
  <c r="D16" i="10"/>
  <c r="B16" i="10" s="1"/>
  <c r="C16" i="10"/>
  <c r="AM15" i="10"/>
  <c r="AL15" i="10"/>
  <c r="AK15" i="10"/>
  <c r="AJ15" i="10"/>
  <c r="AI15" i="10"/>
  <c r="AH15" i="10"/>
  <c r="AG15" i="10"/>
  <c r="AF15" i="10"/>
  <c r="H15" i="10"/>
  <c r="E15" i="10"/>
  <c r="D15" i="10"/>
  <c r="C15" i="10"/>
  <c r="B15" i="10"/>
  <c r="AM14" i="10"/>
  <c r="AL14" i="10"/>
  <c r="AJ14" i="10"/>
  <c r="AI14" i="10"/>
  <c r="AH14" i="10"/>
  <c r="AG14" i="10"/>
  <c r="AF14" i="10"/>
  <c r="H14" i="10"/>
  <c r="AE14" i="10" s="1"/>
  <c r="E14" i="10"/>
  <c r="D14" i="10"/>
  <c r="C14" i="10"/>
  <c r="B14" i="10" s="1"/>
  <c r="AM13" i="10"/>
  <c r="AL13" i="10"/>
  <c r="AJ13" i="10"/>
  <c r="AI13" i="10"/>
  <c r="AG13" i="10"/>
  <c r="AF13" i="10"/>
  <c r="H13" i="10"/>
  <c r="AE13" i="10" s="1"/>
  <c r="E13" i="10"/>
  <c r="D13" i="10"/>
  <c r="C13" i="10"/>
  <c r="B13" i="10" s="1"/>
  <c r="AM12" i="10"/>
  <c r="AL12" i="10"/>
  <c r="AK12" i="10"/>
  <c r="AJ12" i="10"/>
  <c r="AI12" i="10"/>
  <c r="AG12" i="10"/>
  <c r="AF12" i="10"/>
  <c r="AE12" i="10"/>
  <c r="H12" i="10"/>
  <c r="E12" i="10"/>
  <c r="D12" i="10"/>
  <c r="B12" i="10" s="1"/>
  <c r="C12" i="10"/>
  <c r="AM11" i="10"/>
  <c r="AL11" i="10"/>
  <c r="AK11" i="10"/>
  <c r="AJ11" i="10"/>
  <c r="AI11" i="10"/>
  <c r="AH11" i="10"/>
  <c r="AG11" i="10"/>
  <c r="AF11" i="10"/>
  <c r="AE11" i="10"/>
  <c r="H11" i="10"/>
  <c r="E11" i="10"/>
  <c r="D11" i="10"/>
  <c r="C11" i="10"/>
  <c r="B11" i="10"/>
  <c r="AM10" i="10"/>
  <c r="AL10" i="10"/>
  <c r="AJ10" i="10"/>
  <c r="AI10" i="10"/>
  <c r="AG10" i="10"/>
  <c r="AF10" i="10"/>
  <c r="H10" i="10"/>
  <c r="AE10" i="10" s="1"/>
  <c r="E10" i="10"/>
  <c r="D10" i="10"/>
  <c r="C10" i="10"/>
  <c r="B10" i="10" s="1"/>
  <c r="AM9" i="10"/>
  <c r="AL9" i="10"/>
  <c r="AK9" i="10"/>
  <c r="AJ9" i="10"/>
  <c r="AI9" i="10"/>
  <c r="AH9" i="10"/>
  <c r="AG9" i="10"/>
  <c r="AF9" i="10"/>
  <c r="H9" i="10"/>
  <c r="AE9" i="10" s="1"/>
  <c r="E9" i="10"/>
  <c r="D9" i="10"/>
  <c r="C9" i="10"/>
  <c r="B9" i="10" s="1"/>
  <c r="AM8" i="10"/>
  <c r="AL8" i="10"/>
  <c r="AJ8" i="10"/>
  <c r="J8" i="10"/>
  <c r="AG8" i="10" s="1"/>
  <c r="I8" i="10"/>
  <c r="AF8" i="10" s="1"/>
  <c r="H8" i="10"/>
  <c r="G8" i="10"/>
  <c r="D8" i="10" s="1"/>
  <c r="F8" i="10"/>
  <c r="E8" i="10" s="1"/>
  <c r="C8" i="10"/>
  <c r="B8" i="10" s="1"/>
  <c r="AM7" i="10"/>
  <c r="AL7" i="10"/>
  <c r="AJ7" i="10"/>
  <c r="AI7" i="10"/>
  <c r="AG7" i="10"/>
  <c r="AF7" i="10"/>
  <c r="H7" i="10"/>
  <c r="AE7" i="10" s="1"/>
  <c r="E7" i="10"/>
  <c r="D7" i="10"/>
  <c r="C7" i="10"/>
  <c r="B7" i="10" s="1"/>
  <c r="AL6" i="10"/>
  <c r="J6" i="10"/>
  <c r="AG6" i="10" s="1"/>
  <c r="I6" i="10"/>
  <c r="AF6" i="10" s="1"/>
  <c r="H6" i="10"/>
  <c r="G6" i="10"/>
  <c r="F6" i="10"/>
  <c r="E6" i="10" s="1"/>
  <c r="AK8" i="10" l="1"/>
  <c r="E31" i="10"/>
  <c r="AE6" i="10"/>
  <c r="AE8" i="10"/>
  <c r="I81" i="10"/>
  <c r="H81" i="10" s="1"/>
  <c r="AH10" i="10"/>
  <c r="B81" i="10"/>
  <c r="F81" i="10"/>
  <c r="G106" i="10"/>
  <c r="AI8" i="10"/>
  <c r="E106" i="10" l="1"/>
  <c r="AK6" i="10" s="1"/>
  <c r="AM6" i="10"/>
  <c r="C6" i="10"/>
  <c r="E81" i="10"/>
  <c r="D6" i="10"/>
  <c r="AH6" i="10"/>
  <c r="AI6" i="10"/>
  <c r="B6" i="10" l="1"/>
</calcChain>
</file>

<file path=xl/sharedStrings.xml><?xml version="1.0" encoding="utf-8"?>
<sst xmlns="http://schemas.openxmlformats.org/spreadsheetml/2006/main" count="244" uniqueCount="66">
  <si>
    <t xml:space="preserve">  Locality</t>
  </si>
  <si>
    <t>Total</t>
  </si>
  <si>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</si>
  <si>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</si>
  <si>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</si>
  <si>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</si>
  <si>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</si>
  <si>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</si>
  <si>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</si>
  <si>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</si>
  <si>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</si>
  <si>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</si>
  <si>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</si>
  <si>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</si>
  <si>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</si>
  <si>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</si>
  <si>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</si>
  <si>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</si>
  <si>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</si>
  <si>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</si>
  <si>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</si>
  <si>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</si>
  <si>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</si>
  <si>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</si>
  <si>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</si>
  <si>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</si>
  <si>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</si>
  <si>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Male</t>
  </si>
  <si>
    <t>Female</t>
  </si>
  <si>
    <t xml:space="preserve">Both Sexes </t>
  </si>
  <si>
    <t>Adh</t>
  </si>
  <si>
    <t>Pre-primary</t>
  </si>
  <si>
    <t>Grade 1</t>
  </si>
  <si>
    <t>primary</t>
  </si>
  <si>
    <t>lower secondary</t>
  </si>
  <si>
    <t>higher secondary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</si>
  <si>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</si>
  <si>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</si>
  <si>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</si>
  <si>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</si>
  <si>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</si>
  <si>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</si>
  <si>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</si>
  <si>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</si>
  <si>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</si>
  <si>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</si>
  <si>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</si>
  <si>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 xml:space="preserve">Special Classes </t>
  </si>
  <si>
    <t>Table 7.10 : STUDENT ENROLMENT IN MALE' AND ATOLLS, BY GRADE AND SEX, 2018</t>
  </si>
  <si>
    <t>ތާވަލް 7.10: މާލޭއާއި އަތޮޅުތަކުގެ މަދަރުސާތަކުގެ އެކި ފަންތީގައި ކިޔަވާކުދިންގެ އަދަދު، ގްރޭޑް އަދި ޖިންސް ވަކިން 2018</t>
  </si>
  <si>
    <t>Nurs.</t>
  </si>
  <si>
    <t>LKG</t>
  </si>
  <si>
    <t>UKG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</si>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</sst>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sz val="9"/>
      <name val="A_Randhoo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7" fontId="5" fillId="0" borderId="0"/>
    <xf numFmtId="0" fontId="3" fillId="0" borderId="0"/>
    <xf numFmtId="0" fontId="3" fillId="0" borderId="0"/>
    <xf numFmtId="164" fontId="5" fillId="0" borderId="0"/>
    <xf numFmtId="165" fontId="5" fillId="0" borderId="0"/>
    <xf numFmtId="164" fontId="5" fillId="0" borderId="0"/>
    <xf numFmtId="165" fontId="5" fillId="0" borderId="0"/>
  </cellStyleXfs>
  <cellXfs count="51">
    <xf numFmtId="0" fontId="0" fillId="0" borderId="0" xfId="0"/>
    <xf numFmtId="164" fontId="7" fillId="2" borderId="0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 applyProtection="1">
      <alignment horizontal="left" vertical="center"/>
    </xf>
    <xf numFmtId="164" fontId="0" fillId="2" borderId="0" xfId="0" applyNumberFormat="1" applyFill="1"/>
    <xf numFmtId="164" fontId="8" fillId="2" borderId="0" xfId="0" applyNumberFormat="1" applyFont="1" applyFill="1" applyAlignment="1" applyProtection="1">
      <alignment horizontal="left"/>
    </xf>
    <xf numFmtId="167" fontId="0" fillId="2" borderId="0" xfId="1" applyNumberFormat="1" applyFont="1" applyFill="1"/>
    <xf numFmtId="164" fontId="2" fillId="2" borderId="0" xfId="0" applyNumberFormat="1" applyFont="1" applyFill="1"/>
    <xf numFmtId="164" fontId="10" fillId="2" borderId="0" xfId="0" applyNumberFormat="1" applyFont="1" applyFill="1" applyAlignment="1" applyProtection="1">
      <alignment horizontal="left"/>
    </xf>
    <xf numFmtId="164" fontId="8" fillId="2" borderId="2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 applyAlignment="1" applyProtection="1">
      <alignment horizontal="left" vertical="center"/>
    </xf>
    <xf numFmtId="164" fontId="11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8" fillId="2" borderId="1" xfId="0" applyNumberFormat="1" applyFont="1" applyFill="1" applyBorder="1" applyAlignment="1" applyProtection="1">
      <alignment horizontal="right" vertical="top" wrapText="1"/>
    </xf>
    <xf numFmtId="164" fontId="8" fillId="2" borderId="6" xfId="0" applyNumberFormat="1" applyFont="1" applyFill="1" applyBorder="1" applyAlignment="1" applyProtection="1">
      <alignment horizontal="right" vertical="top" wrapText="1"/>
    </xf>
    <xf numFmtId="164" fontId="8" fillId="2" borderId="4" xfId="0" applyNumberFormat="1" applyFont="1" applyFill="1" applyBorder="1" applyAlignment="1" applyProtection="1">
      <alignment horizontal="right" vertical="top" wrapText="1"/>
    </xf>
    <xf numFmtId="37" fontId="8" fillId="2" borderId="0" xfId="1" applyNumberFormat="1" applyFont="1" applyFill="1" applyBorder="1" applyAlignment="1">
      <alignment vertical="center"/>
    </xf>
    <xf numFmtId="37" fontId="8" fillId="2" borderId="0" xfId="1" applyNumberFormat="1" applyFont="1" applyFill="1" applyBorder="1" applyAlignment="1">
      <alignment horizontal="right"/>
    </xf>
    <xf numFmtId="37" fontId="8" fillId="2" borderId="5" xfId="1" applyNumberFormat="1" applyFont="1" applyFill="1" applyBorder="1" applyAlignment="1">
      <alignment horizontal="right" vertical="center"/>
    </xf>
    <xf numFmtId="37" fontId="8" fillId="2" borderId="3" xfId="1" applyNumberFormat="1" applyFont="1" applyFill="1" applyBorder="1" applyAlignment="1">
      <alignment horizontal="right"/>
    </xf>
    <xf numFmtId="37" fontId="8" fillId="2" borderId="0" xfId="1" applyNumberFormat="1" applyFont="1" applyFill="1" applyBorder="1" applyAlignment="1" applyProtection="1">
      <alignment vertical="center"/>
    </xf>
    <xf numFmtId="37" fontId="9" fillId="2" borderId="0" xfId="1" applyNumberFormat="1" applyFont="1" applyFill="1" applyBorder="1" applyAlignment="1" applyProtection="1">
      <alignment vertical="center"/>
    </xf>
    <xf numFmtId="37" fontId="9" fillId="2" borderId="3" xfId="1" applyNumberFormat="1" applyFont="1" applyFill="1" applyBorder="1" applyAlignment="1" applyProtection="1">
      <alignment vertical="center"/>
    </xf>
    <xf numFmtId="164" fontId="9" fillId="2" borderId="0" xfId="0" applyNumberFormat="1" applyFont="1" applyFill="1" applyAlignment="1" applyProtection="1">
      <alignment horizontal="left" vertical="center"/>
    </xf>
    <xf numFmtId="37" fontId="8" fillId="2" borderId="0" xfId="1" applyNumberFormat="1" applyFont="1" applyFill="1" applyBorder="1" applyAlignment="1">
      <alignment horizontal="right" vertical="center"/>
    </xf>
    <xf numFmtId="37" fontId="8" fillId="2" borderId="0" xfId="1" applyNumberFormat="1" applyFont="1" applyFill="1" applyBorder="1" applyAlignment="1" applyProtection="1">
      <alignment horizontal="right" vertical="center"/>
    </xf>
    <xf numFmtId="37" fontId="8" fillId="2" borderId="3" xfId="1" applyNumberFormat="1" applyFont="1" applyFill="1" applyBorder="1" applyAlignment="1" applyProtection="1">
      <alignment horizontal="right" vertical="center"/>
    </xf>
    <xf numFmtId="37" fontId="8" fillId="2" borderId="1" xfId="1" applyNumberFormat="1" applyFont="1" applyFill="1" applyBorder="1" applyAlignment="1">
      <alignment horizontal="right" vertical="center"/>
    </xf>
    <xf numFmtId="37" fontId="8" fillId="2" borderId="1" xfId="1" applyNumberFormat="1" applyFont="1" applyFill="1" applyBorder="1" applyAlignment="1" applyProtection="1">
      <alignment horizontal="right" vertical="center"/>
    </xf>
    <xf numFmtId="37" fontId="8" fillId="2" borderId="4" xfId="1" applyNumberFormat="1" applyFont="1" applyFill="1" applyBorder="1" applyAlignment="1" applyProtection="1">
      <alignment horizontal="right" vertical="center"/>
    </xf>
    <xf numFmtId="37" fontId="8" fillId="2" borderId="6" xfId="1" applyNumberFormat="1" applyFont="1" applyFill="1" applyBorder="1" applyAlignment="1">
      <alignment horizontal="right" vertical="center"/>
    </xf>
    <xf numFmtId="37" fontId="9" fillId="2" borderId="1" xfId="1" applyNumberFormat="1" applyFont="1" applyFill="1" applyBorder="1" applyAlignment="1" applyProtection="1">
      <alignment vertical="center"/>
    </xf>
    <xf numFmtId="37" fontId="9" fillId="2" borderId="4" xfId="1" applyNumberFormat="1" applyFont="1" applyFill="1" applyBorder="1" applyAlignment="1" applyProtection="1">
      <alignment vertical="center"/>
    </xf>
    <xf numFmtId="164" fontId="8" fillId="2" borderId="7" xfId="0" applyNumberFormat="1" applyFont="1" applyFill="1" applyBorder="1" applyAlignment="1" applyProtection="1">
      <alignment horizontal="right" wrapText="1"/>
    </xf>
    <xf numFmtId="164" fontId="8" fillId="2" borderId="6" xfId="0" applyNumberFormat="1" applyFont="1" applyFill="1" applyBorder="1" applyAlignment="1" applyProtection="1">
      <alignment horizontal="right" wrapText="1"/>
    </xf>
    <xf numFmtId="164" fontId="8" fillId="2" borderId="1" xfId="0" applyNumberFormat="1" applyFont="1" applyFill="1" applyBorder="1" applyAlignment="1" applyProtection="1">
      <alignment horizontal="right" wrapText="1"/>
    </xf>
    <xf numFmtId="164" fontId="8" fillId="2" borderId="4" xfId="0" applyNumberFormat="1" applyFont="1" applyFill="1" applyBorder="1" applyAlignment="1" applyProtection="1">
      <alignment horizontal="right" wrapText="1"/>
    </xf>
    <xf numFmtId="164" fontId="8" fillId="2" borderId="7" xfId="0" applyNumberFormat="1" applyFont="1" applyFill="1" applyBorder="1" applyAlignment="1" applyProtection="1">
      <alignment horizontal="right" vertical="top" wrapText="1"/>
    </xf>
    <xf numFmtId="37" fontId="8" fillId="2" borderId="2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0" fillId="2" borderId="0" xfId="0" applyNumberFormat="1" applyFill="1" applyAlignment="1">
      <alignment horizontal="center"/>
    </xf>
    <xf numFmtId="164" fontId="8" fillId="2" borderId="2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 applyAlignment="1" applyProtection="1">
      <alignment horizontal="left" vertical="center"/>
    </xf>
    <xf numFmtId="3" fontId="8" fillId="2" borderId="7" xfId="0" applyNumberFormat="1" applyFont="1" applyFill="1" applyBorder="1" applyAlignment="1" applyProtection="1">
      <alignment horizontal="center" vertical="center"/>
    </xf>
    <xf numFmtId="3" fontId="8" fillId="2" borderId="10" xfId="0" applyNumberFormat="1" applyFont="1" applyFill="1" applyBorder="1" applyAlignment="1" applyProtection="1">
      <alignment horizontal="center" vertical="center"/>
    </xf>
    <xf numFmtId="3" fontId="8" fillId="2" borderId="11" xfId="0" applyNumberFormat="1" applyFont="1" applyFill="1" applyBorder="1" applyAlignment="1" applyProtection="1">
      <alignment horizontal="center" vertical="center"/>
    </xf>
    <xf numFmtId="164" fontId="8" fillId="2" borderId="7" xfId="0" applyNumberFormat="1" applyFont="1" applyFill="1" applyBorder="1" applyAlignment="1" applyProtection="1">
      <alignment horizontal="center" vertical="center"/>
    </xf>
    <xf numFmtId="164" fontId="8" fillId="2" borderId="10" xfId="0" applyNumberFormat="1" applyFont="1" applyFill="1" applyBorder="1" applyAlignment="1" applyProtection="1">
      <alignment horizontal="center" vertical="center"/>
    </xf>
    <xf numFmtId="164" fontId="8" fillId="2" borderId="11" xfId="0" applyNumberFormat="1" applyFont="1" applyFill="1" applyBorder="1" applyAlignment="1" applyProtection="1">
      <alignment horizontal="center" vertical="center"/>
    </xf>
    <xf numFmtId="164" fontId="0" fillId="2" borderId="0" xfId="0" applyNumberFormat="1" applyFill="1" applyAlignment="1">
      <alignment horizontal="center"/>
    </xf>
    <xf numFmtId="164" fontId="12" fillId="2" borderId="8" xfId="3" applyNumberFormat="1" applyFont="1" applyFill="1" applyBorder="1" applyAlignment="1">
      <alignment horizontal="center" vertical="center"/>
    </xf>
    <xf numFmtId="164" fontId="4" fillId="2" borderId="9" xfId="0" applyNumberFormat="1" applyFont="1" applyFill="1" applyBorder="1" applyAlignment="1" applyProtection="1">
      <alignment horizontal="center" vertical="center"/>
    </xf>
  </cellXfs>
  <cellStyles count="10">
    <cellStyle name="Comma" xfId="1" builtinId="3"/>
    <cellStyle name="Normal" xfId="0" builtinId="0"/>
    <cellStyle name="Normal 10" xfId="5"/>
    <cellStyle name="Normal 2 2 2" xfId="2"/>
    <cellStyle name="Normal 37" xfId="4"/>
    <cellStyle name="Normal 6" xfId="9"/>
    <cellStyle name="Normal 6 4" xfId="8"/>
    <cellStyle name="Normal 7" xfId="7"/>
    <cellStyle name="Normal 7 4" xfId="6"/>
    <cellStyle name="Normal 8" xfId="3"/>
  </cellStyles>
  <dxfs count="0"/>
  <tableStyles count="0" defaultTableStyle="TableStyleMedium2" defaultPivotStyle="PivotStyleLight16"/>
  <colors>
    <mruColors>
      <color rgb="FFFFFFEB"/>
      <color rgb="FFFFF1C9"/>
      <color rgb="FFFFE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557163533728745E-2"/>
          <c:y val="0.1457128264250292"/>
          <c:w val="0.91141138925881693"/>
          <c:h val="0.625118554072097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4F-B6E4-4ACC-88E0-878D2AC88F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0-B6E4-4ACC-88E0-878D2AC88F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1-B6E4-4ACC-88E0-878D2AC88F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2-B6E4-4ACC-88E0-878D2AC88F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3-B6E4-4ACC-88E0-878D2AC88F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4-B6E4-4ACC-88E0-878D2AC88F1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5-B6E4-4ACC-88E0-878D2AC88F12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6-B6E4-4ACC-88E0-878D2AC88F1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7-B6E4-4ACC-88E0-878D2AC88F12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8-B6E4-4ACC-88E0-878D2AC88F1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9-B6E4-4ACC-88E0-878D2AC88F12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A-B6E4-4ACC-88E0-878D2AC88F12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B-B6E4-4ACC-88E0-878D2AC88F12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C-B6E4-4ACC-88E0-878D2AC88F12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D-B6E4-4ACC-88E0-878D2AC88F12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C778-4C9E-8DD1-CDF18F592EB1}"/>
              </c:ext>
            </c:extLst>
          </c:dPt>
          <c:cat>
            <c:multiLvlStrRef>
              <c:f>'7.10'!$AD$128:$AE$159</c:f>
              <c:multiLvlStrCache>
                <c:ptCount val="32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M</c:v>
                  </c:pt>
                  <c:pt idx="9">
                    <c:v>F</c:v>
                  </c:pt>
                  <c:pt idx="10">
                    <c:v>M</c:v>
                  </c:pt>
                  <c:pt idx="11">
                    <c:v>F</c:v>
                  </c:pt>
                  <c:pt idx="12">
                    <c:v>M</c:v>
                  </c:pt>
                  <c:pt idx="13">
                    <c:v>F</c:v>
                  </c:pt>
                  <c:pt idx="14">
                    <c:v>M</c:v>
                  </c:pt>
                  <c:pt idx="15">
                    <c:v>F</c:v>
                  </c:pt>
                  <c:pt idx="16">
                    <c:v>M</c:v>
                  </c:pt>
                  <c:pt idx="17">
                    <c:v>F</c:v>
                  </c:pt>
                  <c:pt idx="18">
                    <c:v>M</c:v>
                  </c:pt>
                  <c:pt idx="19">
                    <c:v>F</c:v>
                  </c:pt>
                  <c:pt idx="20">
                    <c:v>M</c:v>
                  </c:pt>
                  <c:pt idx="21">
                    <c:v>F</c:v>
                  </c:pt>
                  <c:pt idx="22">
                    <c:v>M</c:v>
                  </c:pt>
                  <c:pt idx="23">
                    <c:v>F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F</c:v>
                  </c:pt>
                  <c:pt idx="28">
                    <c:v>M</c:v>
                  </c:pt>
                  <c:pt idx="29">
                    <c:v>F</c:v>
                  </c:pt>
                  <c:pt idx="30">
                    <c:v>M</c:v>
                  </c:pt>
                  <c:pt idx="31">
                    <c:v>F</c:v>
                  </c:pt>
                </c:lvl>
                <c:lvl>
                  <c:pt idx="0">
                    <c:v>Nurs.</c:v>
                  </c:pt>
                  <c:pt idx="2">
                    <c:v>LKG</c:v>
                  </c:pt>
                  <c:pt idx="4">
                    <c:v>UKG</c:v>
                  </c:pt>
                  <c:pt idx="6">
                    <c:v>Gr. 1</c:v>
                  </c:pt>
                  <c:pt idx="8">
                    <c:v>Gr. 2</c:v>
                  </c:pt>
                  <c:pt idx="10">
                    <c:v>Gr. 3</c:v>
                  </c:pt>
                  <c:pt idx="12">
                    <c:v>Gr. 4</c:v>
                  </c:pt>
                  <c:pt idx="14">
                    <c:v>Gr. 5</c:v>
                  </c:pt>
                  <c:pt idx="16">
                    <c:v>Gr. 6</c:v>
                  </c:pt>
                  <c:pt idx="18">
                    <c:v>Gr. 7</c:v>
                  </c:pt>
                  <c:pt idx="20">
                    <c:v>Gr. 8</c:v>
                  </c:pt>
                  <c:pt idx="22">
                    <c:v>Gr. 9</c:v>
                  </c:pt>
                  <c:pt idx="24">
                    <c:v>Gr. 10</c:v>
                  </c:pt>
                  <c:pt idx="26">
                    <c:v>Gr. 11</c:v>
                  </c:pt>
                  <c:pt idx="28">
                    <c:v>Gr. 12</c:v>
                  </c:pt>
                  <c:pt idx="30">
                    <c:v>Special</c:v>
                  </c:pt>
                </c:lvl>
              </c:multiLvlStrCache>
            </c:multiLvlStrRef>
          </c:cat>
          <c:val>
            <c:numRef>
              <c:f>'7.10'!$AF$128:$AF$159</c:f>
              <c:numCache>
                <c:formatCode>General_)</c:formatCode>
                <c:ptCount val="32"/>
                <c:pt idx="0">
                  <c:v>2759</c:v>
                </c:pt>
                <c:pt idx="1">
                  <c:v>2673</c:v>
                </c:pt>
                <c:pt idx="2">
                  <c:v>3829</c:v>
                </c:pt>
                <c:pt idx="3">
                  <c:v>3549</c:v>
                </c:pt>
                <c:pt idx="4">
                  <c:v>3994</c:v>
                </c:pt>
                <c:pt idx="5">
                  <c:v>3607</c:v>
                </c:pt>
                <c:pt idx="6">
                  <c:v>3991</c:v>
                </c:pt>
                <c:pt idx="7">
                  <c:v>3550</c:v>
                </c:pt>
                <c:pt idx="8">
                  <c:v>3717</c:v>
                </c:pt>
                <c:pt idx="9">
                  <c:v>3471</c:v>
                </c:pt>
                <c:pt idx="10">
                  <c:v>3712</c:v>
                </c:pt>
                <c:pt idx="11">
                  <c:v>3641</c:v>
                </c:pt>
                <c:pt idx="12">
                  <c:v>3571</c:v>
                </c:pt>
                <c:pt idx="13">
                  <c:v>3484</c:v>
                </c:pt>
                <c:pt idx="14">
                  <c:v>3466</c:v>
                </c:pt>
                <c:pt idx="15">
                  <c:v>3169</c:v>
                </c:pt>
                <c:pt idx="16">
                  <c:v>3014</c:v>
                </c:pt>
                <c:pt idx="17">
                  <c:v>2925</c:v>
                </c:pt>
                <c:pt idx="18">
                  <c:v>2773</c:v>
                </c:pt>
                <c:pt idx="19">
                  <c:v>2752</c:v>
                </c:pt>
                <c:pt idx="20">
                  <c:v>2773</c:v>
                </c:pt>
                <c:pt idx="21">
                  <c:v>2603</c:v>
                </c:pt>
                <c:pt idx="22">
                  <c:v>2887</c:v>
                </c:pt>
                <c:pt idx="23">
                  <c:v>2601</c:v>
                </c:pt>
                <c:pt idx="24">
                  <c:v>2852</c:v>
                </c:pt>
                <c:pt idx="25">
                  <c:v>2573</c:v>
                </c:pt>
                <c:pt idx="26">
                  <c:v>880</c:v>
                </c:pt>
                <c:pt idx="27">
                  <c:v>1130</c:v>
                </c:pt>
                <c:pt idx="28">
                  <c:v>889</c:v>
                </c:pt>
                <c:pt idx="29">
                  <c:v>1078</c:v>
                </c:pt>
                <c:pt idx="30">
                  <c:v>212</c:v>
                </c:pt>
                <c:pt idx="3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778-4C9E-8DD1-CDF18F592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8"/>
        <c:axId val="161598848"/>
        <c:axId val="161608832"/>
      </c:barChart>
      <c:catAx>
        <c:axId val="16159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8832"/>
        <c:crosses val="autoZero"/>
        <c:auto val="1"/>
        <c:lblAlgn val="ctr"/>
        <c:lblOffset val="100"/>
        <c:noMultiLvlLbl val="0"/>
      </c:catAx>
      <c:valAx>
        <c:axId val="161608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8848"/>
        <c:crosses val="autoZero"/>
        <c:crossBetween val="between"/>
      </c:valAx>
      <c:spPr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135356</xdr:colOff>
      <xdr:row>129</xdr:row>
      <xdr:rowOff>160419</xdr:rowOff>
    </xdr:from>
    <xdr:to>
      <xdr:col>9</xdr:col>
      <xdr:colOff>361950</xdr:colOff>
      <xdr:row>145</xdr:row>
      <xdr:rowOff>180974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385009</xdr:colOff>
      <xdr:row>130</xdr:row>
      <xdr:rowOff>52639</xdr:rowOff>
    </xdr:from>
    <xdr:to>
      <xdr:col>8</xdr:col>
      <xdr:colOff>385010</xdr:colOff>
      <xdr:row>131</xdr:row>
      <xdr:rowOff>122822</xdr:rowOff>
    </xdr:to>
    <xdr:sp macro="" textlink="">
      <xdr:nvSpPr>
        <xdr:cNvPr id="3" name="TextBox 2"/>
        <xdr:cNvSpPr txBox="1"/>
      </xdr:nvSpPr>
      <xdr:spPr>
        <a:xfrm>
          <a:off x="1223209" y="24903364"/>
          <a:ext cx="5086351" cy="26068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Figure 7.9: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Number of </a:t>
          </a:r>
          <a:r>
            <a:rPr lang="en-US" sz="1100" b="1">
              <a:latin typeface="Consolas" pitchFamily="49" charset="0"/>
              <a:cs typeface="Consolas" pitchFamily="49" charset="0"/>
            </a:rPr>
            <a:t>Students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enrolement by grade and sex,2018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0.44453</cdr:x>
      <cdr:y>0.91309</cdr:y>
    </cdr:from>
    <cdr:to>
      <cdr:x>0.53042</cdr:x>
      <cdr:y>0.99163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56150" y="2801856"/>
          <a:ext cx="590489" cy="2410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Grade</a:t>
          </a:r>
          <a:endParaRPr lang="en-US" sz="7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7.24"/>
      <sheetName val="7.25"/>
    </sheetNames>
    <sheetDataSet>
      <sheetData sheetId="0">
        <row r="51">
          <cell r="AJ51" t="str">
            <v xml:space="preserve"> Male</v>
          </cell>
          <cell r="AK51" t="str">
            <v xml:space="preserve"> Female</v>
          </cell>
        </row>
        <row r="52">
          <cell r="AI52" t="str">
            <v>Male'</v>
          </cell>
          <cell r="AJ52">
            <v>15939</v>
          </cell>
          <cell r="AK52">
            <v>15548</v>
          </cell>
        </row>
        <row r="53">
          <cell r="AI53" t="str">
            <v xml:space="preserve"> HA</v>
          </cell>
          <cell r="AJ53">
            <v>2007</v>
          </cell>
          <cell r="AK53">
            <v>1776</v>
          </cell>
        </row>
        <row r="54">
          <cell r="AI54" t="str">
            <v xml:space="preserve"> HDh</v>
          </cell>
          <cell r="AJ54">
            <v>2913</v>
          </cell>
          <cell r="AK54">
            <v>2733</v>
          </cell>
        </row>
        <row r="55">
          <cell r="AI55" t="str">
            <v xml:space="preserve"> Sh</v>
          </cell>
          <cell r="AJ55">
            <v>1922</v>
          </cell>
          <cell r="AK55">
            <v>1776</v>
          </cell>
        </row>
        <row r="56">
          <cell r="AI56" t="str">
            <v xml:space="preserve"> N</v>
          </cell>
          <cell r="AJ56">
            <v>1531</v>
          </cell>
          <cell r="AK56">
            <v>1446</v>
          </cell>
        </row>
        <row r="57">
          <cell r="AI57" t="str">
            <v xml:space="preserve"> R</v>
          </cell>
          <cell r="AJ57">
            <v>2443</v>
          </cell>
          <cell r="AK57">
            <v>2247</v>
          </cell>
        </row>
        <row r="58">
          <cell r="AI58" t="str">
            <v>B</v>
          </cell>
          <cell r="AJ58">
            <v>1324</v>
          </cell>
          <cell r="AK58">
            <v>1245</v>
          </cell>
        </row>
        <row r="59">
          <cell r="AI59" t="str">
            <v>Lh</v>
          </cell>
          <cell r="AJ59">
            <v>1019</v>
          </cell>
          <cell r="AK59">
            <v>1018</v>
          </cell>
        </row>
        <row r="60">
          <cell r="AI60" t="str">
            <v>K</v>
          </cell>
          <cell r="AJ60">
            <v>1474</v>
          </cell>
          <cell r="AK60">
            <v>1310</v>
          </cell>
        </row>
        <row r="61">
          <cell r="AI61" t="str">
            <v>AA</v>
          </cell>
          <cell r="AJ61">
            <v>915</v>
          </cell>
          <cell r="AK61">
            <v>856</v>
          </cell>
        </row>
        <row r="62">
          <cell r="AI62" t="str">
            <v>ADh</v>
          </cell>
          <cell r="AJ62">
            <v>1151</v>
          </cell>
          <cell r="AK62">
            <v>1073</v>
          </cell>
        </row>
        <row r="63">
          <cell r="AI63" t="str">
            <v>V</v>
          </cell>
          <cell r="AJ63">
            <v>186</v>
          </cell>
          <cell r="AK63">
            <v>156</v>
          </cell>
        </row>
        <row r="64">
          <cell r="AI64" t="str">
            <v>M</v>
          </cell>
          <cell r="AJ64">
            <v>635</v>
          </cell>
          <cell r="AK64">
            <v>594</v>
          </cell>
        </row>
        <row r="65">
          <cell r="AI65" t="str">
            <v>F</v>
          </cell>
          <cell r="AJ65">
            <v>718</v>
          </cell>
          <cell r="AK65">
            <v>704</v>
          </cell>
        </row>
        <row r="66">
          <cell r="AI66" t="str">
            <v>Dh</v>
          </cell>
          <cell r="AJ66">
            <v>865</v>
          </cell>
          <cell r="AK66">
            <v>862</v>
          </cell>
        </row>
        <row r="67">
          <cell r="AI67" t="str">
            <v>Th</v>
          </cell>
          <cell r="AJ67">
            <v>1342</v>
          </cell>
          <cell r="AK67">
            <v>1239</v>
          </cell>
        </row>
        <row r="68">
          <cell r="AI68" t="str">
            <v xml:space="preserve"> L</v>
          </cell>
          <cell r="AJ68">
            <v>1874</v>
          </cell>
          <cell r="AK68">
            <v>1723</v>
          </cell>
        </row>
        <row r="69">
          <cell r="AI69" t="str">
            <v>GA</v>
          </cell>
          <cell r="AJ69">
            <v>1071</v>
          </cell>
          <cell r="AK69">
            <v>1067</v>
          </cell>
        </row>
        <row r="70">
          <cell r="AI70" t="str">
            <v>GDh</v>
          </cell>
          <cell r="AJ70">
            <v>1651</v>
          </cell>
          <cell r="AK70">
            <v>1450</v>
          </cell>
        </row>
        <row r="71">
          <cell r="AI71" t="str">
            <v>Gn</v>
          </cell>
          <cell r="AJ71">
            <v>1244</v>
          </cell>
          <cell r="AK71">
            <v>1216</v>
          </cell>
        </row>
        <row r="72">
          <cell r="AI72" t="str">
            <v>S</v>
          </cell>
          <cell r="AJ72">
            <v>2769</v>
          </cell>
          <cell r="AK72">
            <v>2744</v>
          </cell>
        </row>
      </sheetData>
      <sheetData sheetId="1"/>
      <sheetData sheetId="2"/>
      <sheetData sheetId="3"/>
      <sheetData sheetId="4"/>
      <sheetData sheetId="5">
        <row r="7">
          <cell r="D7" t="str">
            <v>Trained</v>
          </cell>
        </row>
      </sheetData>
      <sheetData sheetId="6"/>
      <sheetData sheetId="7">
        <row r="7">
          <cell r="A7" t="str">
            <v>Republic</v>
          </cell>
        </row>
      </sheetData>
      <sheetData sheetId="8"/>
      <sheetData sheetId="9"/>
      <sheetData sheetId="10">
        <row r="6">
          <cell r="AL6" t="str">
            <v>Republic</v>
          </cell>
        </row>
      </sheetData>
      <sheetData sheetId="11">
        <row r="4">
          <cell r="F4" t="str">
            <v>Nurs.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159"/>
  <sheetViews>
    <sheetView tabSelected="1" topLeftCell="A109" zoomScaleNormal="100" workbookViewId="0">
      <selection activeCell="Q141" sqref="Q141"/>
    </sheetView>
  </sheetViews>
  <sheetFormatPr defaultColWidth="9.140625" defaultRowHeight="15" x14ac:dyDescent="0.25"/>
  <cols>
    <col min="1" max="1" width="12.5703125" style="3" customWidth="1"/>
    <col min="2" max="4" width="10.85546875" style="3" customWidth="1"/>
    <col min="5" max="5" width="11.140625" style="3" customWidth="1"/>
    <col min="6" max="10" width="10.85546875" style="3" customWidth="1"/>
    <col min="11" max="11" width="2.42578125" style="3" customWidth="1"/>
    <col min="12" max="29" width="10.5703125" style="3" customWidth="1"/>
    <col min="30" max="32" width="10.5703125" style="3" bestFit="1" customWidth="1"/>
    <col min="33" max="37" width="9.5703125" style="3" bestFit="1" customWidth="1"/>
    <col min="38" max="16384" width="9.140625" style="3"/>
  </cols>
  <sheetData>
    <row r="1" spans="1:39" x14ac:dyDescent="0.25"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39" ht="21.75" x14ac:dyDescent="0.25">
      <c r="A2" s="49" t="s">
        <v>49</v>
      </c>
      <c r="B2" s="49"/>
      <c r="C2" s="49"/>
      <c r="D2" s="49"/>
      <c r="E2" s="49"/>
      <c r="F2" s="49"/>
      <c r="G2" s="49"/>
      <c r="H2" s="49"/>
      <c r="I2" s="49"/>
      <c r="J2" s="49"/>
    </row>
    <row r="3" spans="1:39" x14ac:dyDescent="0.25">
      <c r="A3" s="50" t="s">
        <v>48</v>
      </c>
      <c r="B3" s="50"/>
      <c r="C3" s="50"/>
      <c r="D3" s="50"/>
      <c r="E3" s="50"/>
      <c r="F3" s="50"/>
      <c r="G3" s="50"/>
      <c r="H3" s="50"/>
      <c r="I3" s="50"/>
      <c r="J3" s="50"/>
    </row>
    <row r="4" spans="1:39" s="11" customFormat="1" x14ac:dyDescent="0.25">
      <c r="A4" s="40" t="s">
        <v>0</v>
      </c>
      <c r="B4" s="45" t="s">
        <v>1</v>
      </c>
      <c r="C4" s="45"/>
      <c r="D4" s="45"/>
      <c r="E4" s="46" t="s">
        <v>31</v>
      </c>
      <c r="F4" s="45"/>
      <c r="G4" s="47"/>
      <c r="H4" s="45" t="s">
        <v>32</v>
      </c>
      <c r="I4" s="45"/>
      <c r="J4" s="45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E4" s="48" t="s">
        <v>33</v>
      </c>
      <c r="AF4" s="48"/>
      <c r="AG4" s="48"/>
      <c r="AH4" s="3" t="s">
        <v>34</v>
      </c>
      <c r="AK4" s="3" t="s">
        <v>35</v>
      </c>
    </row>
    <row r="5" spans="1:39" x14ac:dyDescent="0.25">
      <c r="A5" s="41"/>
      <c r="B5" s="12" t="s">
        <v>29</v>
      </c>
      <c r="C5" s="12" t="s">
        <v>27</v>
      </c>
      <c r="D5" s="12" t="s">
        <v>28</v>
      </c>
      <c r="E5" s="13" t="s">
        <v>29</v>
      </c>
      <c r="F5" s="12" t="s">
        <v>27</v>
      </c>
      <c r="G5" s="14" t="s">
        <v>28</v>
      </c>
      <c r="H5" s="12" t="s">
        <v>29</v>
      </c>
      <c r="I5" s="12" t="s">
        <v>27</v>
      </c>
      <c r="J5" s="12" t="s">
        <v>28</v>
      </c>
      <c r="AE5" s="13" t="s">
        <v>29</v>
      </c>
      <c r="AF5" s="12" t="s">
        <v>27</v>
      </c>
      <c r="AG5" s="12" t="s">
        <v>28</v>
      </c>
      <c r="AH5" s="13" t="s">
        <v>29</v>
      </c>
      <c r="AI5" s="12" t="s">
        <v>27</v>
      </c>
      <c r="AJ5" s="12" t="s">
        <v>28</v>
      </c>
      <c r="AK5" s="13" t="s">
        <v>29</v>
      </c>
      <c r="AL5" s="12" t="s">
        <v>27</v>
      </c>
      <c r="AM5" s="12" t="s">
        <v>28</v>
      </c>
    </row>
    <row r="6" spans="1:39" x14ac:dyDescent="0.25">
      <c r="A6" s="4" t="s">
        <v>2</v>
      </c>
      <c r="B6" s="15">
        <f>SUM(C6:D6)</f>
        <v>88211</v>
      </c>
      <c r="C6" s="16">
        <f>F6+I6+C31+F31+I31+C56+F56+I56+C81+F81+I81+C106+F106+I106</f>
        <v>45319</v>
      </c>
      <c r="D6" s="16">
        <f t="shared" ref="D6:D28" si="0">G6+J6+D31+G31+J31+D56+G56+J56+D81+G81+J81+D106+G106+J106</f>
        <v>42892</v>
      </c>
      <c r="E6" s="17">
        <f>F6+G6</f>
        <v>20411</v>
      </c>
      <c r="F6" s="16">
        <f>F7+F8</f>
        <v>10582</v>
      </c>
      <c r="G6" s="18">
        <f>G7+G8</f>
        <v>9829</v>
      </c>
      <c r="H6" s="17">
        <f>I6+J6</f>
        <v>7541</v>
      </c>
      <c r="I6" s="16">
        <f>I7+I8</f>
        <v>3991</v>
      </c>
      <c r="J6" s="16">
        <f>J7+J8</f>
        <v>3550</v>
      </c>
      <c r="AE6" s="5">
        <f t="shared" ref="AE6:AG28" si="1">H6+B31+E31+H31+B56+E56+H56</f>
        <v>47236</v>
      </c>
      <c r="AF6" s="5">
        <f t="shared" si="1"/>
        <v>24244</v>
      </c>
      <c r="AG6" s="5">
        <f t="shared" si="1"/>
        <v>22992</v>
      </c>
      <c r="AH6" s="5">
        <f t="shared" ref="AH6:AJ28" si="2">B81+E81+H81</f>
        <v>16289</v>
      </c>
      <c r="AI6" s="5">
        <f t="shared" si="2"/>
        <v>8512</v>
      </c>
      <c r="AJ6" s="5">
        <f t="shared" si="2"/>
        <v>7777</v>
      </c>
      <c r="AK6" s="5">
        <f t="shared" ref="AK6:AM28" si="3">B106+E106</f>
        <v>3977</v>
      </c>
      <c r="AL6" s="5">
        <f t="shared" si="3"/>
        <v>1769</v>
      </c>
      <c r="AM6" s="5">
        <f t="shared" si="3"/>
        <v>2208</v>
      </c>
    </row>
    <row r="7" spans="1:39" x14ac:dyDescent="0.25">
      <c r="A7" s="4" t="s">
        <v>3</v>
      </c>
      <c r="B7" s="19">
        <f>SUM(C7:D7)</f>
        <v>32170</v>
      </c>
      <c r="C7" s="20">
        <f>F7+I7+C32+F32+I32+C57+F57+I57+C82+F82+I82+C107+F107+I107</f>
        <v>16369</v>
      </c>
      <c r="D7" s="20">
        <f t="shared" si="0"/>
        <v>15801</v>
      </c>
      <c r="E7" s="17">
        <f>F7+G7</f>
        <v>7896</v>
      </c>
      <c r="F7" s="20">
        <v>4055</v>
      </c>
      <c r="G7" s="21">
        <v>3841</v>
      </c>
      <c r="H7" s="17">
        <f>I7+J7</f>
        <v>2580</v>
      </c>
      <c r="I7" s="20">
        <v>1377</v>
      </c>
      <c r="J7" s="20">
        <v>1203</v>
      </c>
      <c r="AE7" s="5">
        <f t="shared" si="1"/>
        <v>16218</v>
      </c>
      <c r="AF7" s="5">
        <f t="shared" si="1"/>
        <v>8305</v>
      </c>
      <c r="AG7" s="5">
        <f t="shared" si="1"/>
        <v>7913</v>
      </c>
      <c r="AH7" s="5">
        <f t="shared" si="2"/>
        <v>5499</v>
      </c>
      <c r="AI7" s="5">
        <f t="shared" si="2"/>
        <v>2799</v>
      </c>
      <c r="AJ7" s="5">
        <f t="shared" si="2"/>
        <v>2700</v>
      </c>
      <c r="AK7" s="5">
        <f t="shared" si="3"/>
        <v>2445</v>
      </c>
      <c r="AL7" s="5">
        <f t="shared" si="3"/>
        <v>1122</v>
      </c>
      <c r="AM7" s="5">
        <f t="shared" si="3"/>
        <v>1323</v>
      </c>
    </row>
    <row r="8" spans="1:39" x14ac:dyDescent="0.25">
      <c r="A8" s="4" t="s">
        <v>4</v>
      </c>
      <c r="B8" s="19">
        <f>SUM(C8:D8)</f>
        <v>56041</v>
      </c>
      <c r="C8" s="16">
        <f>F8+I8+C33+F33+I33+C58+F58+I58+C83+F83+I83+C108+F108+I108</f>
        <v>28950</v>
      </c>
      <c r="D8" s="16">
        <f t="shared" si="0"/>
        <v>27091</v>
      </c>
      <c r="E8" s="17">
        <f>F8+G8</f>
        <v>12515</v>
      </c>
      <c r="F8" s="16">
        <f>SUM(F9:F28)</f>
        <v>6527</v>
      </c>
      <c r="G8" s="16">
        <f>SUM(G9:G28)</f>
        <v>5988</v>
      </c>
      <c r="H8" s="17">
        <f>I8+J8</f>
        <v>4961</v>
      </c>
      <c r="I8" s="16">
        <f>SUM(I9:I28)</f>
        <v>2614</v>
      </c>
      <c r="J8" s="16">
        <f>SUM(J9:J28)</f>
        <v>2347</v>
      </c>
      <c r="AE8" s="5">
        <f t="shared" si="1"/>
        <v>31018</v>
      </c>
      <c r="AF8" s="5">
        <f t="shared" si="1"/>
        <v>15939</v>
      </c>
      <c r="AG8" s="5">
        <f t="shared" si="1"/>
        <v>15079</v>
      </c>
      <c r="AH8" s="5">
        <f t="shared" si="2"/>
        <v>10790</v>
      </c>
      <c r="AI8" s="5">
        <f t="shared" si="2"/>
        <v>5713</v>
      </c>
      <c r="AJ8" s="5">
        <f t="shared" si="2"/>
        <v>5077</v>
      </c>
      <c r="AK8" s="5">
        <f t="shared" si="3"/>
        <v>1532</v>
      </c>
      <c r="AL8" s="5">
        <f t="shared" si="3"/>
        <v>647</v>
      </c>
      <c r="AM8" s="5">
        <f t="shared" si="3"/>
        <v>885</v>
      </c>
    </row>
    <row r="9" spans="1:39" x14ac:dyDescent="0.25">
      <c r="A9" s="22" t="s">
        <v>5</v>
      </c>
      <c r="B9" s="23">
        <f t="shared" ref="B9:B28" si="4">SUM(C9:D9)</f>
        <v>3797</v>
      </c>
      <c r="C9" s="24">
        <f t="shared" ref="C9:C28" si="5">F9+I9+C34+F34+I34+C59+F59+I59+C84+F84+I84+C109+F109+I109</f>
        <v>1994</v>
      </c>
      <c r="D9" s="25">
        <f t="shared" si="0"/>
        <v>1803</v>
      </c>
      <c r="E9" s="17">
        <f t="shared" ref="E9:E28" si="6">F9+G9</f>
        <v>826</v>
      </c>
      <c r="F9" s="20">
        <v>442</v>
      </c>
      <c r="G9" s="21">
        <v>384</v>
      </c>
      <c r="H9" s="17">
        <f t="shared" ref="H9:H28" si="7">I9+J9</f>
        <v>340</v>
      </c>
      <c r="I9" s="20">
        <v>179</v>
      </c>
      <c r="J9" s="20">
        <v>161</v>
      </c>
      <c r="AE9" s="5">
        <f t="shared" si="1"/>
        <v>2083</v>
      </c>
      <c r="AF9" s="5">
        <f t="shared" si="1"/>
        <v>1092</v>
      </c>
      <c r="AG9" s="5">
        <f t="shared" si="1"/>
        <v>991</v>
      </c>
      <c r="AH9" s="5">
        <f t="shared" si="2"/>
        <v>773</v>
      </c>
      <c r="AI9" s="5">
        <f t="shared" si="2"/>
        <v>416</v>
      </c>
      <c r="AJ9" s="5">
        <f t="shared" si="2"/>
        <v>357</v>
      </c>
      <c r="AK9" s="5">
        <f t="shared" si="3"/>
        <v>106</v>
      </c>
      <c r="AL9" s="5">
        <f t="shared" si="3"/>
        <v>36</v>
      </c>
      <c r="AM9" s="5">
        <f t="shared" si="3"/>
        <v>70</v>
      </c>
    </row>
    <row r="10" spans="1:39" x14ac:dyDescent="0.25">
      <c r="A10" s="22" t="s">
        <v>6</v>
      </c>
      <c r="B10" s="23">
        <f t="shared" si="4"/>
        <v>5696</v>
      </c>
      <c r="C10" s="24">
        <f t="shared" si="5"/>
        <v>2940</v>
      </c>
      <c r="D10" s="25">
        <f t="shared" si="0"/>
        <v>2756</v>
      </c>
      <c r="E10" s="17">
        <f t="shared" si="6"/>
        <v>1393</v>
      </c>
      <c r="F10" s="20">
        <v>719</v>
      </c>
      <c r="G10" s="21">
        <v>674</v>
      </c>
      <c r="H10" s="17">
        <f t="shared" si="7"/>
        <v>531</v>
      </c>
      <c r="I10" s="20">
        <v>285</v>
      </c>
      <c r="J10" s="20">
        <v>246</v>
      </c>
      <c r="AE10" s="5">
        <f t="shared" si="1"/>
        <v>3107</v>
      </c>
      <c r="AF10" s="5">
        <f t="shared" si="1"/>
        <v>1604</v>
      </c>
      <c r="AG10" s="5">
        <f t="shared" si="1"/>
        <v>1503</v>
      </c>
      <c r="AH10" s="5">
        <f t="shared" si="2"/>
        <v>1036</v>
      </c>
      <c r="AI10" s="5">
        <f t="shared" si="2"/>
        <v>544</v>
      </c>
      <c r="AJ10" s="5">
        <f t="shared" si="2"/>
        <v>492</v>
      </c>
      <c r="AK10" s="5">
        <f t="shared" si="3"/>
        <v>132</v>
      </c>
      <c r="AL10" s="5">
        <f t="shared" si="3"/>
        <v>53</v>
      </c>
      <c r="AM10" s="5">
        <f t="shared" si="3"/>
        <v>79</v>
      </c>
    </row>
    <row r="11" spans="1:39" x14ac:dyDescent="0.25">
      <c r="A11" s="22" t="s">
        <v>7</v>
      </c>
      <c r="B11" s="23">
        <f t="shared" si="4"/>
        <v>3663</v>
      </c>
      <c r="C11" s="24">
        <f t="shared" si="5"/>
        <v>1904</v>
      </c>
      <c r="D11" s="25">
        <f t="shared" si="0"/>
        <v>1759</v>
      </c>
      <c r="E11" s="17">
        <f t="shared" si="6"/>
        <v>679</v>
      </c>
      <c r="F11" s="20">
        <v>371</v>
      </c>
      <c r="G11" s="21">
        <v>308</v>
      </c>
      <c r="H11" s="17">
        <f t="shared" si="7"/>
        <v>333</v>
      </c>
      <c r="I11" s="20">
        <v>180</v>
      </c>
      <c r="J11" s="20">
        <v>153</v>
      </c>
      <c r="AE11" s="5">
        <f t="shared" si="1"/>
        <v>2091</v>
      </c>
      <c r="AF11" s="5">
        <f t="shared" si="1"/>
        <v>1044</v>
      </c>
      <c r="AG11" s="5">
        <f t="shared" si="1"/>
        <v>1047</v>
      </c>
      <c r="AH11" s="5">
        <f t="shared" si="2"/>
        <v>771</v>
      </c>
      <c r="AI11" s="5">
        <f t="shared" si="2"/>
        <v>431</v>
      </c>
      <c r="AJ11" s="5">
        <f t="shared" si="2"/>
        <v>340</v>
      </c>
      <c r="AK11" s="5">
        <f t="shared" si="3"/>
        <v>119</v>
      </c>
      <c r="AL11" s="5">
        <f t="shared" si="3"/>
        <v>56</v>
      </c>
      <c r="AM11" s="5">
        <f t="shared" si="3"/>
        <v>63</v>
      </c>
    </row>
    <row r="12" spans="1:39" x14ac:dyDescent="0.25">
      <c r="A12" s="22" t="s">
        <v>9</v>
      </c>
      <c r="B12" s="23">
        <f t="shared" si="4"/>
        <v>3064</v>
      </c>
      <c r="C12" s="24">
        <f t="shared" si="5"/>
        <v>1564</v>
      </c>
      <c r="D12" s="25">
        <f t="shared" si="0"/>
        <v>1500</v>
      </c>
      <c r="E12" s="17">
        <f t="shared" si="6"/>
        <v>689</v>
      </c>
      <c r="F12" s="20">
        <v>352</v>
      </c>
      <c r="G12" s="21">
        <v>337</v>
      </c>
      <c r="H12" s="17">
        <f t="shared" si="7"/>
        <v>288</v>
      </c>
      <c r="I12" s="20">
        <v>137</v>
      </c>
      <c r="J12" s="20">
        <v>151</v>
      </c>
      <c r="AE12" s="5">
        <f t="shared" si="1"/>
        <v>1743</v>
      </c>
      <c r="AF12" s="5">
        <f t="shared" si="1"/>
        <v>900</v>
      </c>
      <c r="AG12" s="5">
        <f t="shared" si="1"/>
        <v>843</v>
      </c>
      <c r="AH12" s="5">
        <f t="shared" si="2"/>
        <v>564</v>
      </c>
      <c r="AI12" s="5">
        <f t="shared" si="2"/>
        <v>284</v>
      </c>
      <c r="AJ12" s="5">
        <f t="shared" si="2"/>
        <v>280</v>
      </c>
      <c r="AK12" s="5">
        <f t="shared" si="3"/>
        <v>64</v>
      </c>
      <c r="AL12" s="5">
        <f t="shared" si="3"/>
        <v>25</v>
      </c>
      <c r="AM12" s="5">
        <f t="shared" si="3"/>
        <v>39</v>
      </c>
    </row>
    <row r="13" spans="1:39" x14ac:dyDescent="0.25">
      <c r="A13" s="22" t="s">
        <v>10</v>
      </c>
      <c r="B13" s="23">
        <f t="shared" si="4"/>
        <v>4698</v>
      </c>
      <c r="C13" s="24">
        <f t="shared" si="5"/>
        <v>2439</v>
      </c>
      <c r="D13" s="25">
        <f t="shared" si="0"/>
        <v>2259</v>
      </c>
      <c r="E13" s="17">
        <f t="shared" si="6"/>
        <v>1139</v>
      </c>
      <c r="F13" s="20">
        <v>586</v>
      </c>
      <c r="G13" s="21">
        <v>553</v>
      </c>
      <c r="H13" s="17">
        <f t="shared" si="7"/>
        <v>418</v>
      </c>
      <c r="I13" s="20">
        <v>216</v>
      </c>
      <c r="J13" s="20">
        <v>202</v>
      </c>
      <c r="AE13" s="5">
        <f t="shared" si="1"/>
        <v>2457</v>
      </c>
      <c r="AF13" s="5">
        <f t="shared" si="1"/>
        <v>1254</v>
      </c>
      <c r="AG13" s="5">
        <f t="shared" si="1"/>
        <v>1203</v>
      </c>
      <c r="AH13" s="5">
        <f t="shared" si="2"/>
        <v>918</v>
      </c>
      <c r="AI13" s="5">
        <f t="shared" si="2"/>
        <v>513</v>
      </c>
      <c r="AJ13" s="5">
        <f t="shared" si="2"/>
        <v>405</v>
      </c>
      <c r="AK13" s="5">
        <f t="shared" si="3"/>
        <v>180</v>
      </c>
      <c r="AL13" s="5">
        <f t="shared" si="3"/>
        <v>83</v>
      </c>
      <c r="AM13" s="5">
        <f t="shared" si="3"/>
        <v>97</v>
      </c>
    </row>
    <row r="14" spans="1:39" x14ac:dyDescent="0.25">
      <c r="A14" s="22" t="s">
        <v>11</v>
      </c>
      <c r="B14" s="23">
        <f t="shared" si="4"/>
        <v>2637</v>
      </c>
      <c r="C14" s="24">
        <f t="shared" si="5"/>
        <v>1367</v>
      </c>
      <c r="D14" s="25">
        <f t="shared" si="0"/>
        <v>1270</v>
      </c>
      <c r="E14" s="17">
        <f t="shared" si="6"/>
        <v>588</v>
      </c>
      <c r="F14" s="20">
        <v>294</v>
      </c>
      <c r="G14" s="21">
        <v>294</v>
      </c>
      <c r="H14" s="17">
        <f t="shared" si="7"/>
        <v>232</v>
      </c>
      <c r="I14" s="20">
        <v>120</v>
      </c>
      <c r="J14" s="20">
        <v>112</v>
      </c>
      <c r="AE14" s="5">
        <f t="shared" si="1"/>
        <v>1408</v>
      </c>
      <c r="AF14" s="5">
        <f t="shared" si="1"/>
        <v>744</v>
      </c>
      <c r="AG14" s="5">
        <f t="shared" si="1"/>
        <v>664</v>
      </c>
      <c r="AH14" s="5">
        <f t="shared" si="2"/>
        <v>554</v>
      </c>
      <c r="AI14" s="5">
        <f t="shared" si="2"/>
        <v>289</v>
      </c>
      <c r="AJ14" s="5">
        <f t="shared" si="2"/>
        <v>265</v>
      </c>
      <c r="AK14" s="5">
        <f t="shared" si="3"/>
        <v>80</v>
      </c>
      <c r="AL14" s="5">
        <f t="shared" si="3"/>
        <v>35</v>
      </c>
      <c r="AM14" s="5">
        <f t="shared" si="3"/>
        <v>45</v>
      </c>
    </row>
    <row r="15" spans="1:39" x14ac:dyDescent="0.25">
      <c r="A15" s="22" t="s">
        <v>12</v>
      </c>
      <c r="B15" s="23">
        <f t="shared" si="4"/>
        <v>2077</v>
      </c>
      <c r="C15" s="24">
        <f t="shared" si="5"/>
        <v>1015</v>
      </c>
      <c r="D15" s="25">
        <f t="shared" si="0"/>
        <v>1062</v>
      </c>
      <c r="E15" s="17">
        <f t="shared" si="6"/>
        <v>473</v>
      </c>
      <c r="F15" s="20">
        <v>236</v>
      </c>
      <c r="G15" s="21">
        <v>237</v>
      </c>
      <c r="H15" s="17">
        <f t="shared" si="7"/>
        <v>171</v>
      </c>
      <c r="I15" s="20">
        <v>85</v>
      </c>
      <c r="J15" s="20">
        <v>86</v>
      </c>
      <c r="AE15" s="5">
        <f t="shared" si="1"/>
        <v>1137</v>
      </c>
      <c r="AF15" s="5">
        <f t="shared" si="1"/>
        <v>553</v>
      </c>
      <c r="AG15" s="5">
        <f t="shared" si="1"/>
        <v>584</v>
      </c>
      <c r="AH15" s="5">
        <f t="shared" si="2"/>
        <v>410</v>
      </c>
      <c r="AI15" s="5">
        <f t="shared" si="2"/>
        <v>204</v>
      </c>
      <c r="AJ15" s="5">
        <f t="shared" si="2"/>
        <v>206</v>
      </c>
      <c r="AK15" s="5">
        <f t="shared" si="3"/>
        <v>53</v>
      </c>
      <c r="AL15" s="5">
        <f t="shared" si="3"/>
        <v>22</v>
      </c>
      <c r="AM15" s="5">
        <f t="shared" si="3"/>
        <v>31</v>
      </c>
    </row>
    <row r="16" spans="1:39" x14ac:dyDescent="0.25">
      <c r="A16" s="22" t="s">
        <v>14</v>
      </c>
      <c r="B16" s="23">
        <f t="shared" si="4"/>
        <v>2828</v>
      </c>
      <c r="C16" s="24">
        <f t="shared" si="5"/>
        <v>1472</v>
      </c>
      <c r="D16" s="25">
        <f t="shared" si="0"/>
        <v>1356</v>
      </c>
      <c r="E16" s="17">
        <f t="shared" si="6"/>
        <v>683</v>
      </c>
      <c r="F16" s="20">
        <v>352</v>
      </c>
      <c r="G16" s="21">
        <v>331</v>
      </c>
      <c r="H16" s="17">
        <f t="shared" si="7"/>
        <v>299</v>
      </c>
      <c r="I16" s="20">
        <v>154</v>
      </c>
      <c r="J16" s="20">
        <v>145</v>
      </c>
      <c r="AE16" s="5">
        <f t="shared" si="1"/>
        <v>1633</v>
      </c>
      <c r="AF16" s="5">
        <f t="shared" si="1"/>
        <v>854</v>
      </c>
      <c r="AG16" s="5">
        <f t="shared" si="1"/>
        <v>779</v>
      </c>
      <c r="AH16" s="5">
        <f t="shared" si="2"/>
        <v>484</v>
      </c>
      <c r="AI16" s="5">
        <f t="shared" si="2"/>
        <v>251</v>
      </c>
      <c r="AJ16" s="5">
        <f t="shared" si="2"/>
        <v>233</v>
      </c>
      <c r="AK16" s="5">
        <f t="shared" si="3"/>
        <v>17</v>
      </c>
      <c r="AL16" s="5">
        <f t="shared" si="3"/>
        <v>6</v>
      </c>
      <c r="AM16" s="5">
        <f t="shared" si="3"/>
        <v>11</v>
      </c>
    </row>
    <row r="17" spans="1:39" x14ac:dyDescent="0.25">
      <c r="A17" s="22" t="s">
        <v>15</v>
      </c>
      <c r="B17" s="23">
        <f t="shared" si="4"/>
        <v>1801</v>
      </c>
      <c r="C17" s="24">
        <f t="shared" si="5"/>
        <v>951</v>
      </c>
      <c r="D17" s="25">
        <f t="shared" si="0"/>
        <v>850</v>
      </c>
      <c r="E17" s="17">
        <f t="shared" si="6"/>
        <v>436</v>
      </c>
      <c r="F17" s="20">
        <v>241</v>
      </c>
      <c r="G17" s="21">
        <v>195</v>
      </c>
      <c r="H17" s="17">
        <f t="shared" si="7"/>
        <v>164</v>
      </c>
      <c r="I17" s="20">
        <v>85</v>
      </c>
      <c r="J17" s="20">
        <v>79</v>
      </c>
      <c r="AE17" s="5">
        <f t="shared" si="1"/>
        <v>1038</v>
      </c>
      <c r="AF17" s="5">
        <f t="shared" si="1"/>
        <v>543</v>
      </c>
      <c r="AG17" s="5">
        <f t="shared" si="1"/>
        <v>495</v>
      </c>
      <c r="AH17" s="5">
        <f t="shared" si="2"/>
        <v>310</v>
      </c>
      <c r="AI17" s="5">
        <f t="shared" si="2"/>
        <v>158</v>
      </c>
      <c r="AJ17" s="5">
        <f t="shared" si="2"/>
        <v>152</v>
      </c>
      <c r="AK17" s="5">
        <f t="shared" si="3"/>
        <v>17</v>
      </c>
      <c r="AL17" s="5">
        <f t="shared" si="3"/>
        <v>9</v>
      </c>
      <c r="AM17" s="5">
        <f t="shared" si="3"/>
        <v>8</v>
      </c>
    </row>
    <row r="18" spans="1:39" x14ac:dyDescent="0.25">
      <c r="A18" s="22" t="s">
        <v>30</v>
      </c>
      <c r="B18" s="23">
        <f t="shared" si="4"/>
        <v>2226</v>
      </c>
      <c r="C18" s="24">
        <f t="shared" si="5"/>
        <v>1170</v>
      </c>
      <c r="D18" s="25">
        <f t="shared" si="0"/>
        <v>1056</v>
      </c>
      <c r="E18" s="17">
        <f t="shared" si="6"/>
        <v>580</v>
      </c>
      <c r="F18" s="20">
        <v>299</v>
      </c>
      <c r="G18" s="21">
        <v>281</v>
      </c>
      <c r="H18" s="17">
        <f t="shared" si="7"/>
        <v>228</v>
      </c>
      <c r="I18" s="20">
        <v>131</v>
      </c>
      <c r="J18" s="20">
        <v>97</v>
      </c>
      <c r="AE18" s="5">
        <f t="shared" si="1"/>
        <v>1296</v>
      </c>
      <c r="AF18" s="5">
        <f t="shared" si="1"/>
        <v>683</v>
      </c>
      <c r="AG18" s="5">
        <f t="shared" si="1"/>
        <v>613</v>
      </c>
      <c r="AH18" s="5">
        <f t="shared" si="2"/>
        <v>333</v>
      </c>
      <c r="AI18" s="5">
        <f t="shared" si="2"/>
        <v>180</v>
      </c>
      <c r="AJ18" s="5">
        <f t="shared" si="2"/>
        <v>153</v>
      </c>
      <c r="AK18" s="5">
        <f t="shared" si="3"/>
        <v>8</v>
      </c>
      <c r="AL18" s="5">
        <f t="shared" si="3"/>
        <v>5</v>
      </c>
      <c r="AM18" s="5">
        <f t="shared" si="3"/>
        <v>3</v>
      </c>
    </row>
    <row r="19" spans="1:39" x14ac:dyDescent="0.25">
      <c r="A19" s="22" t="s">
        <v>17</v>
      </c>
      <c r="B19" s="23">
        <f t="shared" si="4"/>
        <v>283</v>
      </c>
      <c r="C19" s="24">
        <f t="shared" si="5"/>
        <v>165</v>
      </c>
      <c r="D19" s="25">
        <f t="shared" si="0"/>
        <v>118</v>
      </c>
      <c r="E19" s="17">
        <f t="shared" si="6"/>
        <v>72</v>
      </c>
      <c r="F19" s="20">
        <v>49</v>
      </c>
      <c r="G19" s="21">
        <v>23</v>
      </c>
      <c r="H19" s="17">
        <f t="shared" si="7"/>
        <v>36</v>
      </c>
      <c r="I19" s="20">
        <v>14</v>
      </c>
      <c r="J19" s="20">
        <v>22</v>
      </c>
      <c r="AE19" s="5">
        <f t="shared" si="1"/>
        <v>167</v>
      </c>
      <c r="AF19" s="5">
        <f t="shared" si="1"/>
        <v>90</v>
      </c>
      <c r="AG19" s="5">
        <f t="shared" si="1"/>
        <v>77</v>
      </c>
      <c r="AH19" s="5">
        <f t="shared" si="2"/>
        <v>44</v>
      </c>
      <c r="AI19" s="5">
        <f t="shared" si="2"/>
        <v>26</v>
      </c>
      <c r="AJ19" s="5">
        <f t="shared" si="2"/>
        <v>18</v>
      </c>
      <c r="AK19" s="5">
        <f t="shared" si="3"/>
        <v>0</v>
      </c>
      <c r="AL19" s="5">
        <f t="shared" si="3"/>
        <v>0</v>
      </c>
      <c r="AM19" s="5">
        <f t="shared" si="3"/>
        <v>0</v>
      </c>
    </row>
    <row r="20" spans="1:39" x14ac:dyDescent="0.25">
      <c r="A20" s="22" t="s">
        <v>18</v>
      </c>
      <c r="B20" s="23">
        <f t="shared" si="4"/>
        <v>1229</v>
      </c>
      <c r="C20" s="24">
        <f t="shared" si="5"/>
        <v>640</v>
      </c>
      <c r="D20" s="25">
        <f t="shared" si="0"/>
        <v>589</v>
      </c>
      <c r="E20" s="17">
        <f t="shared" si="6"/>
        <v>274</v>
      </c>
      <c r="F20" s="20">
        <v>138</v>
      </c>
      <c r="G20" s="21">
        <v>136</v>
      </c>
      <c r="H20" s="17">
        <f t="shared" si="7"/>
        <v>100</v>
      </c>
      <c r="I20" s="20">
        <v>58</v>
      </c>
      <c r="J20" s="20">
        <v>42</v>
      </c>
      <c r="AE20" s="5">
        <f t="shared" si="1"/>
        <v>719</v>
      </c>
      <c r="AF20" s="5">
        <f t="shared" si="1"/>
        <v>370</v>
      </c>
      <c r="AG20" s="5">
        <f t="shared" si="1"/>
        <v>349</v>
      </c>
      <c r="AH20" s="5">
        <f t="shared" si="2"/>
        <v>191</v>
      </c>
      <c r="AI20" s="5">
        <f t="shared" si="2"/>
        <v>107</v>
      </c>
      <c r="AJ20" s="5">
        <f t="shared" si="2"/>
        <v>84</v>
      </c>
      <c r="AK20" s="5">
        <f t="shared" si="3"/>
        <v>45</v>
      </c>
      <c r="AL20" s="5">
        <f t="shared" si="3"/>
        <v>25</v>
      </c>
      <c r="AM20" s="5">
        <f t="shared" si="3"/>
        <v>20</v>
      </c>
    </row>
    <row r="21" spans="1:39" x14ac:dyDescent="0.25">
      <c r="A21" s="22" t="s">
        <v>19</v>
      </c>
      <c r="B21" s="23">
        <f t="shared" si="4"/>
        <v>1444</v>
      </c>
      <c r="C21" s="24">
        <f t="shared" si="5"/>
        <v>728</v>
      </c>
      <c r="D21" s="25">
        <f t="shared" si="0"/>
        <v>716</v>
      </c>
      <c r="E21" s="17">
        <f t="shared" si="6"/>
        <v>324</v>
      </c>
      <c r="F21" s="20">
        <v>175</v>
      </c>
      <c r="G21" s="21">
        <v>149</v>
      </c>
      <c r="H21" s="17">
        <f t="shared" si="7"/>
        <v>115</v>
      </c>
      <c r="I21" s="20">
        <v>66</v>
      </c>
      <c r="J21" s="20">
        <v>49</v>
      </c>
      <c r="AE21" s="5">
        <f t="shared" si="1"/>
        <v>777</v>
      </c>
      <c r="AF21" s="5">
        <f t="shared" si="1"/>
        <v>377</v>
      </c>
      <c r="AG21" s="5">
        <f t="shared" si="1"/>
        <v>400</v>
      </c>
      <c r="AH21" s="5">
        <f t="shared" si="2"/>
        <v>257</v>
      </c>
      <c r="AI21" s="5">
        <f t="shared" si="2"/>
        <v>138</v>
      </c>
      <c r="AJ21" s="5">
        <f t="shared" si="2"/>
        <v>119</v>
      </c>
      <c r="AK21" s="5">
        <f t="shared" si="3"/>
        <v>86</v>
      </c>
      <c r="AL21" s="5">
        <f t="shared" si="3"/>
        <v>38</v>
      </c>
      <c r="AM21" s="5">
        <f t="shared" si="3"/>
        <v>48</v>
      </c>
    </row>
    <row r="22" spans="1:39" x14ac:dyDescent="0.25">
      <c r="A22" s="22" t="s">
        <v>20</v>
      </c>
      <c r="B22" s="23">
        <f t="shared" si="4"/>
        <v>1625</v>
      </c>
      <c r="C22" s="24">
        <f t="shared" si="5"/>
        <v>784</v>
      </c>
      <c r="D22" s="25">
        <f t="shared" si="0"/>
        <v>841</v>
      </c>
      <c r="E22" s="17">
        <f t="shared" si="6"/>
        <v>329</v>
      </c>
      <c r="F22" s="20">
        <v>166</v>
      </c>
      <c r="G22" s="21">
        <v>163</v>
      </c>
      <c r="H22" s="17">
        <f t="shared" si="7"/>
        <v>141</v>
      </c>
      <c r="I22" s="20">
        <v>68</v>
      </c>
      <c r="J22" s="20">
        <v>73</v>
      </c>
      <c r="AE22" s="5">
        <f t="shared" si="1"/>
        <v>916</v>
      </c>
      <c r="AF22" s="5">
        <f t="shared" si="1"/>
        <v>438</v>
      </c>
      <c r="AG22" s="5">
        <f t="shared" si="1"/>
        <v>478</v>
      </c>
      <c r="AH22" s="5">
        <f t="shared" si="2"/>
        <v>303</v>
      </c>
      <c r="AI22" s="5">
        <f t="shared" si="2"/>
        <v>153</v>
      </c>
      <c r="AJ22" s="5">
        <f t="shared" si="2"/>
        <v>150</v>
      </c>
      <c r="AK22" s="5">
        <f t="shared" si="3"/>
        <v>74</v>
      </c>
      <c r="AL22" s="5">
        <f t="shared" si="3"/>
        <v>26</v>
      </c>
      <c r="AM22" s="5">
        <f t="shared" si="3"/>
        <v>48</v>
      </c>
    </row>
    <row r="23" spans="1:39" x14ac:dyDescent="0.25">
      <c r="A23" s="22" t="s">
        <v>21</v>
      </c>
      <c r="B23" s="23">
        <f t="shared" si="4"/>
        <v>2582</v>
      </c>
      <c r="C23" s="24">
        <f t="shared" si="5"/>
        <v>1324</v>
      </c>
      <c r="D23" s="25">
        <f t="shared" si="0"/>
        <v>1258</v>
      </c>
      <c r="E23" s="17">
        <f t="shared" si="6"/>
        <v>591</v>
      </c>
      <c r="F23" s="20">
        <v>312</v>
      </c>
      <c r="G23" s="21">
        <v>279</v>
      </c>
      <c r="H23" s="17">
        <f t="shared" si="7"/>
        <v>240</v>
      </c>
      <c r="I23" s="20">
        <v>120</v>
      </c>
      <c r="J23" s="20">
        <v>120</v>
      </c>
      <c r="AE23" s="5">
        <f t="shared" si="1"/>
        <v>1502</v>
      </c>
      <c r="AF23" s="5">
        <f t="shared" si="1"/>
        <v>744</v>
      </c>
      <c r="AG23" s="5">
        <f t="shared" si="1"/>
        <v>758</v>
      </c>
      <c r="AH23" s="5">
        <f t="shared" si="2"/>
        <v>434</v>
      </c>
      <c r="AI23" s="5">
        <f t="shared" si="2"/>
        <v>242</v>
      </c>
      <c r="AJ23" s="5">
        <f t="shared" si="2"/>
        <v>192</v>
      </c>
      <c r="AK23" s="5">
        <f t="shared" si="3"/>
        <v>54</v>
      </c>
      <c r="AL23" s="5">
        <f t="shared" si="3"/>
        <v>26</v>
      </c>
      <c r="AM23" s="5">
        <f t="shared" si="3"/>
        <v>28</v>
      </c>
    </row>
    <row r="24" spans="1:39" x14ac:dyDescent="0.25">
      <c r="A24" s="22" t="s">
        <v>13</v>
      </c>
      <c r="B24" s="23">
        <f t="shared" si="4"/>
        <v>3467</v>
      </c>
      <c r="C24" s="24">
        <f t="shared" si="5"/>
        <v>1817</v>
      </c>
      <c r="D24" s="25">
        <f t="shared" si="0"/>
        <v>1650</v>
      </c>
      <c r="E24" s="17">
        <f t="shared" si="6"/>
        <v>621</v>
      </c>
      <c r="F24" s="20">
        <v>330</v>
      </c>
      <c r="G24" s="21">
        <v>291</v>
      </c>
      <c r="H24" s="17">
        <f t="shared" si="7"/>
        <v>304</v>
      </c>
      <c r="I24" s="20">
        <v>168</v>
      </c>
      <c r="J24" s="20">
        <v>136</v>
      </c>
      <c r="AE24" s="5">
        <f t="shared" si="1"/>
        <v>2013</v>
      </c>
      <c r="AF24" s="5">
        <f t="shared" si="1"/>
        <v>1052</v>
      </c>
      <c r="AG24" s="5">
        <f t="shared" si="1"/>
        <v>961</v>
      </c>
      <c r="AH24" s="5">
        <f t="shared" si="2"/>
        <v>746</v>
      </c>
      <c r="AI24" s="5">
        <f t="shared" si="2"/>
        <v>400</v>
      </c>
      <c r="AJ24" s="5">
        <f t="shared" si="2"/>
        <v>346</v>
      </c>
      <c r="AK24" s="5">
        <f t="shared" si="3"/>
        <v>82</v>
      </c>
      <c r="AL24" s="5">
        <f t="shared" si="3"/>
        <v>32</v>
      </c>
      <c r="AM24" s="5">
        <f t="shared" si="3"/>
        <v>50</v>
      </c>
    </row>
    <row r="25" spans="1:39" x14ac:dyDescent="0.25">
      <c r="A25" s="22" t="s">
        <v>22</v>
      </c>
      <c r="B25" s="23">
        <f t="shared" si="4"/>
        <v>2191</v>
      </c>
      <c r="C25" s="24">
        <f t="shared" si="5"/>
        <v>1153</v>
      </c>
      <c r="D25" s="25">
        <f t="shared" si="0"/>
        <v>1038</v>
      </c>
      <c r="E25" s="17">
        <f t="shared" si="6"/>
        <v>447</v>
      </c>
      <c r="F25" s="20">
        <v>235</v>
      </c>
      <c r="G25" s="21">
        <v>212</v>
      </c>
      <c r="H25" s="17">
        <f t="shared" si="7"/>
        <v>194</v>
      </c>
      <c r="I25" s="20">
        <v>106</v>
      </c>
      <c r="J25" s="20">
        <v>88</v>
      </c>
      <c r="AE25" s="5">
        <f t="shared" si="1"/>
        <v>1216</v>
      </c>
      <c r="AF25" s="5">
        <f t="shared" si="1"/>
        <v>636</v>
      </c>
      <c r="AG25" s="5">
        <f t="shared" si="1"/>
        <v>580</v>
      </c>
      <c r="AH25" s="5">
        <f t="shared" si="2"/>
        <v>496</v>
      </c>
      <c r="AI25" s="5">
        <f t="shared" si="2"/>
        <v>264</v>
      </c>
      <c r="AJ25" s="5">
        <f t="shared" si="2"/>
        <v>232</v>
      </c>
      <c r="AK25" s="5">
        <f t="shared" si="3"/>
        <v>32</v>
      </c>
      <c r="AL25" s="5">
        <f t="shared" si="3"/>
        <v>18</v>
      </c>
      <c r="AM25" s="5">
        <f t="shared" si="3"/>
        <v>14</v>
      </c>
    </row>
    <row r="26" spans="1:39" x14ac:dyDescent="0.25">
      <c r="A26" s="22" t="s">
        <v>23</v>
      </c>
      <c r="B26" s="23">
        <f t="shared" si="4"/>
        <v>3086</v>
      </c>
      <c r="C26" s="24">
        <f t="shared" si="5"/>
        <v>1655</v>
      </c>
      <c r="D26" s="25">
        <f t="shared" si="0"/>
        <v>1431</v>
      </c>
      <c r="E26" s="17">
        <f t="shared" si="6"/>
        <v>555</v>
      </c>
      <c r="F26" s="20">
        <v>312</v>
      </c>
      <c r="G26" s="21">
        <v>243</v>
      </c>
      <c r="H26" s="17">
        <f t="shared" si="7"/>
        <v>307</v>
      </c>
      <c r="I26" s="20">
        <v>173</v>
      </c>
      <c r="J26" s="20">
        <v>134</v>
      </c>
      <c r="AE26" s="5">
        <f t="shared" si="1"/>
        <v>1785</v>
      </c>
      <c r="AF26" s="5">
        <f t="shared" si="1"/>
        <v>949</v>
      </c>
      <c r="AG26" s="5">
        <f t="shared" si="1"/>
        <v>836</v>
      </c>
      <c r="AH26" s="5">
        <f t="shared" si="2"/>
        <v>664</v>
      </c>
      <c r="AI26" s="5">
        <f t="shared" si="2"/>
        <v>358</v>
      </c>
      <c r="AJ26" s="5">
        <f t="shared" si="2"/>
        <v>306</v>
      </c>
      <c r="AK26" s="5">
        <f t="shared" si="3"/>
        <v>65</v>
      </c>
      <c r="AL26" s="5">
        <f t="shared" si="3"/>
        <v>25</v>
      </c>
      <c r="AM26" s="5">
        <f t="shared" si="3"/>
        <v>40</v>
      </c>
    </row>
    <row r="27" spans="1:39" x14ac:dyDescent="0.25">
      <c r="A27" s="22" t="s">
        <v>24</v>
      </c>
      <c r="B27" s="23">
        <f t="shared" si="4"/>
        <v>2464</v>
      </c>
      <c r="C27" s="24">
        <f t="shared" si="5"/>
        <v>1246</v>
      </c>
      <c r="D27" s="25">
        <f t="shared" si="0"/>
        <v>1218</v>
      </c>
      <c r="E27" s="17">
        <f t="shared" si="6"/>
        <v>588</v>
      </c>
      <c r="F27" s="20">
        <v>297</v>
      </c>
      <c r="G27" s="21">
        <v>291</v>
      </c>
      <c r="H27" s="17">
        <f t="shared" si="7"/>
        <v>172</v>
      </c>
      <c r="I27" s="20">
        <v>90</v>
      </c>
      <c r="J27" s="20">
        <v>82</v>
      </c>
      <c r="AE27" s="5">
        <f t="shared" si="1"/>
        <v>1297</v>
      </c>
      <c r="AF27" s="5">
        <f t="shared" si="1"/>
        <v>664</v>
      </c>
      <c r="AG27" s="5">
        <f t="shared" si="1"/>
        <v>633</v>
      </c>
      <c r="AH27" s="5">
        <f t="shared" si="2"/>
        <v>473</v>
      </c>
      <c r="AI27" s="5">
        <f t="shared" si="2"/>
        <v>228</v>
      </c>
      <c r="AJ27" s="5">
        <f t="shared" si="2"/>
        <v>245</v>
      </c>
      <c r="AK27" s="5">
        <f t="shared" si="3"/>
        <v>66</v>
      </c>
      <c r="AL27" s="5">
        <f t="shared" si="3"/>
        <v>30</v>
      </c>
      <c r="AM27" s="5">
        <f t="shared" si="3"/>
        <v>36</v>
      </c>
    </row>
    <row r="28" spans="1:39" x14ac:dyDescent="0.25">
      <c r="A28" s="2" t="s">
        <v>8</v>
      </c>
      <c r="B28" s="26">
        <f t="shared" si="4"/>
        <v>5183</v>
      </c>
      <c r="C28" s="27">
        <f t="shared" si="5"/>
        <v>2622</v>
      </c>
      <c r="D28" s="28">
        <f t="shared" si="0"/>
        <v>2561</v>
      </c>
      <c r="E28" s="29">
        <f t="shared" si="6"/>
        <v>1228</v>
      </c>
      <c r="F28" s="30">
        <v>621</v>
      </c>
      <c r="G28" s="31">
        <v>607</v>
      </c>
      <c r="H28" s="29">
        <f t="shared" si="7"/>
        <v>348</v>
      </c>
      <c r="I28" s="30">
        <v>179</v>
      </c>
      <c r="J28" s="30">
        <v>169</v>
      </c>
      <c r="AE28" s="5">
        <f t="shared" si="1"/>
        <v>2633</v>
      </c>
      <c r="AF28" s="5">
        <f t="shared" si="1"/>
        <v>1348</v>
      </c>
      <c r="AG28" s="5">
        <f t="shared" si="1"/>
        <v>1285</v>
      </c>
      <c r="AH28" s="5">
        <f t="shared" si="2"/>
        <v>1029</v>
      </c>
      <c r="AI28" s="5">
        <f t="shared" si="2"/>
        <v>527</v>
      </c>
      <c r="AJ28" s="5">
        <f t="shared" si="2"/>
        <v>502</v>
      </c>
      <c r="AK28" s="5">
        <f t="shared" si="3"/>
        <v>252</v>
      </c>
      <c r="AL28" s="5">
        <f t="shared" si="3"/>
        <v>97</v>
      </c>
      <c r="AM28" s="5">
        <f t="shared" si="3"/>
        <v>155</v>
      </c>
    </row>
    <row r="29" spans="1:39" x14ac:dyDescent="0.25">
      <c r="A29" s="8" t="s">
        <v>0</v>
      </c>
      <c r="B29" s="45" t="s">
        <v>36</v>
      </c>
      <c r="C29" s="45"/>
      <c r="D29" s="47"/>
      <c r="E29" s="46" t="s">
        <v>37</v>
      </c>
      <c r="F29" s="45"/>
      <c r="G29" s="47"/>
      <c r="H29" s="45" t="s">
        <v>38</v>
      </c>
      <c r="I29" s="45"/>
      <c r="J29" s="45"/>
    </row>
    <row r="30" spans="1:39" x14ac:dyDescent="0.25">
      <c r="A30" s="9"/>
      <c r="B30" s="32" t="s">
        <v>29</v>
      </c>
      <c r="C30" s="32" t="s">
        <v>27</v>
      </c>
      <c r="D30" s="32" t="s">
        <v>28</v>
      </c>
      <c r="E30" s="33" t="s">
        <v>29</v>
      </c>
      <c r="F30" s="34" t="s">
        <v>27</v>
      </c>
      <c r="G30" s="35" t="s">
        <v>28</v>
      </c>
      <c r="H30" s="34" t="s">
        <v>29</v>
      </c>
      <c r="I30" s="34" t="s">
        <v>27</v>
      </c>
      <c r="J30" s="34" t="s">
        <v>28</v>
      </c>
    </row>
    <row r="31" spans="1:39" x14ac:dyDescent="0.25">
      <c r="A31" s="4" t="s">
        <v>2</v>
      </c>
      <c r="B31" s="15">
        <f>C31+D31</f>
        <v>7188</v>
      </c>
      <c r="C31" s="16">
        <f>C32+C33</f>
        <v>3717</v>
      </c>
      <c r="D31" s="16">
        <f>D32+D33</f>
        <v>3471</v>
      </c>
      <c r="E31" s="17">
        <f>F31+G31</f>
        <v>7353</v>
      </c>
      <c r="F31" s="16">
        <f>F32+F33</f>
        <v>3712</v>
      </c>
      <c r="G31" s="18">
        <f>G32+G33</f>
        <v>3641</v>
      </c>
      <c r="H31" s="17">
        <f>I31+J31</f>
        <v>7055</v>
      </c>
      <c r="I31" s="16">
        <f>I32+I33</f>
        <v>3571</v>
      </c>
      <c r="J31" s="16">
        <f>J32+J33</f>
        <v>3484</v>
      </c>
    </row>
    <row r="32" spans="1:39" x14ac:dyDescent="0.25">
      <c r="A32" s="4" t="s">
        <v>3</v>
      </c>
      <c r="B32" s="19">
        <f>SUM(C32:D32)</f>
        <v>2445</v>
      </c>
      <c r="C32" s="20">
        <v>1272</v>
      </c>
      <c r="D32" s="20">
        <v>1173</v>
      </c>
      <c r="E32" s="17">
        <f>F32+G32</f>
        <v>2489</v>
      </c>
      <c r="F32" s="20">
        <v>1228</v>
      </c>
      <c r="G32" s="21">
        <v>1261</v>
      </c>
      <c r="H32" s="17">
        <f>I32+J32</f>
        <v>2448</v>
      </c>
      <c r="I32" s="20">
        <v>1240</v>
      </c>
      <c r="J32" s="20">
        <v>1208</v>
      </c>
    </row>
    <row r="33" spans="1:10" x14ac:dyDescent="0.25">
      <c r="A33" s="4" t="s">
        <v>4</v>
      </c>
      <c r="B33" s="19">
        <f>SUM(B34:B53)</f>
        <v>4743</v>
      </c>
      <c r="C33" s="16">
        <v>2445</v>
      </c>
      <c r="D33" s="16">
        <v>2298</v>
      </c>
      <c r="E33" s="17">
        <f>F33+G33</f>
        <v>4864</v>
      </c>
      <c r="F33" s="16">
        <f>SUM(F34:F53)</f>
        <v>2484</v>
      </c>
      <c r="G33" s="16">
        <f>SUM(G34:G53)</f>
        <v>2380</v>
      </c>
      <c r="H33" s="17">
        <f>I33+J33</f>
        <v>4607</v>
      </c>
      <c r="I33" s="16">
        <f>SUM(I34:I53)</f>
        <v>2331</v>
      </c>
      <c r="J33" s="16">
        <f>SUM(J34:J53)</f>
        <v>2276</v>
      </c>
    </row>
    <row r="34" spans="1:10" x14ac:dyDescent="0.25">
      <c r="A34" s="22" t="s">
        <v>5</v>
      </c>
      <c r="B34" s="23">
        <f t="shared" ref="B34:B53" si="8">SUM(C34:D34)</f>
        <v>311</v>
      </c>
      <c r="C34" s="20">
        <v>154</v>
      </c>
      <c r="D34" s="20">
        <v>157</v>
      </c>
      <c r="E34" s="17">
        <f t="shared" ref="E34:E53" si="9">F34+G34</f>
        <v>320</v>
      </c>
      <c r="F34" s="20">
        <v>166</v>
      </c>
      <c r="G34" s="21">
        <v>154</v>
      </c>
      <c r="H34" s="17">
        <f t="shared" ref="H34:H53" si="10">I34+J34</f>
        <v>336</v>
      </c>
      <c r="I34" s="20">
        <v>185</v>
      </c>
      <c r="J34" s="20">
        <v>151</v>
      </c>
    </row>
    <row r="35" spans="1:10" x14ac:dyDescent="0.25">
      <c r="A35" s="22" t="s">
        <v>6</v>
      </c>
      <c r="B35" s="23">
        <f t="shared" si="8"/>
        <v>517</v>
      </c>
      <c r="C35" s="20">
        <v>273</v>
      </c>
      <c r="D35" s="20">
        <v>244</v>
      </c>
      <c r="E35" s="17">
        <f t="shared" si="9"/>
        <v>500</v>
      </c>
      <c r="F35" s="20">
        <v>252</v>
      </c>
      <c r="G35" s="21">
        <v>248</v>
      </c>
      <c r="H35" s="17">
        <f t="shared" si="10"/>
        <v>424</v>
      </c>
      <c r="I35" s="20">
        <v>201</v>
      </c>
      <c r="J35" s="20">
        <v>223</v>
      </c>
    </row>
    <row r="36" spans="1:10" x14ac:dyDescent="0.25">
      <c r="A36" s="22" t="s">
        <v>7</v>
      </c>
      <c r="B36" s="23">
        <f t="shared" si="8"/>
        <v>336</v>
      </c>
      <c r="C36" s="20">
        <v>174</v>
      </c>
      <c r="D36" s="20">
        <v>162</v>
      </c>
      <c r="E36" s="17">
        <f t="shared" si="9"/>
        <v>344</v>
      </c>
      <c r="F36" s="20">
        <v>168</v>
      </c>
      <c r="G36" s="21">
        <v>176</v>
      </c>
      <c r="H36" s="17">
        <f t="shared" si="10"/>
        <v>287</v>
      </c>
      <c r="I36" s="20">
        <v>142</v>
      </c>
      <c r="J36" s="20">
        <v>145</v>
      </c>
    </row>
    <row r="37" spans="1:10" x14ac:dyDescent="0.25">
      <c r="A37" s="22" t="s">
        <v>9</v>
      </c>
      <c r="B37" s="23">
        <f t="shared" si="8"/>
        <v>284</v>
      </c>
      <c r="C37" s="20">
        <v>155</v>
      </c>
      <c r="D37" s="20">
        <v>129</v>
      </c>
      <c r="E37" s="17">
        <f t="shared" si="9"/>
        <v>294</v>
      </c>
      <c r="F37" s="20">
        <v>155</v>
      </c>
      <c r="G37" s="21">
        <v>139</v>
      </c>
      <c r="H37" s="17">
        <f t="shared" si="10"/>
        <v>250</v>
      </c>
      <c r="I37" s="20">
        <v>123</v>
      </c>
      <c r="J37" s="20">
        <v>127</v>
      </c>
    </row>
    <row r="38" spans="1:10" x14ac:dyDescent="0.25">
      <c r="A38" s="22" t="s">
        <v>10</v>
      </c>
      <c r="B38" s="23">
        <f t="shared" si="8"/>
        <v>357</v>
      </c>
      <c r="C38" s="20">
        <v>185</v>
      </c>
      <c r="D38" s="20">
        <v>172</v>
      </c>
      <c r="E38" s="17">
        <f t="shared" si="9"/>
        <v>404</v>
      </c>
      <c r="F38" s="20">
        <v>202</v>
      </c>
      <c r="G38" s="21">
        <v>202</v>
      </c>
      <c r="H38" s="17">
        <f t="shared" si="10"/>
        <v>351</v>
      </c>
      <c r="I38" s="20">
        <v>171</v>
      </c>
      <c r="J38" s="20">
        <v>180</v>
      </c>
    </row>
    <row r="39" spans="1:10" x14ac:dyDescent="0.25">
      <c r="A39" s="22" t="s">
        <v>11</v>
      </c>
      <c r="B39" s="23">
        <f t="shared" si="8"/>
        <v>212</v>
      </c>
      <c r="C39" s="20">
        <v>118</v>
      </c>
      <c r="D39" s="20">
        <v>94</v>
      </c>
      <c r="E39" s="17">
        <f t="shared" si="9"/>
        <v>231</v>
      </c>
      <c r="F39" s="20">
        <v>111</v>
      </c>
      <c r="G39" s="21">
        <v>120</v>
      </c>
      <c r="H39" s="17">
        <f t="shared" si="10"/>
        <v>191</v>
      </c>
      <c r="I39" s="20">
        <v>104</v>
      </c>
      <c r="J39" s="20">
        <v>87</v>
      </c>
    </row>
    <row r="40" spans="1:10" x14ac:dyDescent="0.25">
      <c r="A40" s="22" t="s">
        <v>12</v>
      </c>
      <c r="B40" s="23">
        <f t="shared" si="8"/>
        <v>163</v>
      </c>
      <c r="C40" s="20">
        <v>76</v>
      </c>
      <c r="D40" s="20">
        <v>87</v>
      </c>
      <c r="E40" s="17">
        <f t="shared" si="9"/>
        <v>192</v>
      </c>
      <c r="F40" s="20">
        <v>102</v>
      </c>
      <c r="G40" s="21">
        <v>90</v>
      </c>
      <c r="H40" s="17">
        <f t="shared" si="10"/>
        <v>167</v>
      </c>
      <c r="I40" s="20">
        <v>81</v>
      </c>
      <c r="J40" s="20">
        <v>86</v>
      </c>
    </row>
    <row r="41" spans="1:10" x14ac:dyDescent="0.25">
      <c r="A41" s="22" t="s">
        <v>14</v>
      </c>
      <c r="B41" s="23">
        <f t="shared" si="8"/>
        <v>249</v>
      </c>
      <c r="C41" s="20">
        <v>128</v>
      </c>
      <c r="D41" s="20">
        <v>121</v>
      </c>
      <c r="E41" s="17">
        <f t="shared" si="9"/>
        <v>227</v>
      </c>
      <c r="F41" s="20">
        <v>124</v>
      </c>
      <c r="G41" s="21">
        <v>103</v>
      </c>
      <c r="H41" s="17">
        <f t="shared" si="10"/>
        <v>265</v>
      </c>
      <c r="I41" s="20">
        <v>134</v>
      </c>
      <c r="J41" s="20">
        <v>131</v>
      </c>
    </row>
    <row r="42" spans="1:10" x14ac:dyDescent="0.25">
      <c r="A42" s="22" t="s">
        <v>15</v>
      </c>
      <c r="B42" s="23">
        <f t="shared" si="8"/>
        <v>157</v>
      </c>
      <c r="C42" s="20">
        <v>77</v>
      </c>
      <c r="D42" s="20">
        <v>80</v>
      </c>
      <c r="E42" s="17">
        <f t="shared" si="9"/>
        <v>166</v>
      </c>
      <c r="F42" s="20">
        <v>91</v>
      </c>
      <c r="G42" s="21">
        <v>75</v>
      </c>
      <c r="H42" s="17">
        <f t="shared" si="10"/>
        <v>160</v>
      </c>
      <c r="I42" s="20">
        <v>83</v>
      </c>
      <c r="J42" s="20">
        <v>77</v>
      </c>
    </row>
    <row r="43" spans="1:10" x14ac:dyDescent="0.25">
      <c r="A43" s="22" t="s">
        <v>30</v>
      </c>
      <c r="B43" s="23">
        <f t="shared" si="8"/>
        <v>216</v>
      </c>
      <c r="C43" s="20">
        <v>119</v>
      </c>
      <c r="D43" s="20">
        <v>97</v>
      </c>
      <c r="E43" s="17">
        <f t="shared" si="9"/>
        <v>195</v>
      </c>
      <c r="F43" s="20">
        <v>96</v>
      </c>
      <c r="G43" s="21">
        <v>99</v>
      </c>
      <c r="H43" s="17">
        <f t="shared" si="10"/>
        <v>202</v>
      </c>
      <c r="I43" s="20">
        <v>113</v>
      </c>
      <c r="J43" s="20">
        <v>89</v>
      </c>
    </row>
    <row r="44" spans="1:10" x14ac:dyDescent="0.25">
      <c r="A44" s="22" t="s">
        <v>17</v>
      </c>
      <c r="B44" s="23">
        <f t="shared" si="8"/>
        <v>23</v>
      </c>
      <c r="C44" s="20">
        <v>10</v>
      </c>
      <c r="D44" s="20">
        <v>13</v>
      </c>
      <c r="E44" s="17">
        <f t="shared" si="9"/>
        <v>30</v>
      </c>
      <c r="F44" s="20">
        <v>18</v>
      </c>
      <c r="G44" s="21">
        <v>12</v>
      </c>
      <c r="H44" s="17">
        <f t="shared" si="10"/>
        <v>28</v>
      </c>
      <c r="I44" s="20">
        <v>14</v>
      </c>
      <c r="J44" s="20">
        <v>14</v>
      </c>
    </row>
    <row r="45" spans="1:10" x14ac:dyDescent="0.25">
      <c r="A45" s="22" t="s">
        <v>18</v>
      </c>
      <c r="B45" s="23">
        <f t="shared" si="8"/>
        <v>109</v>
      </c>
      <c r="C45" s="20">
        <v>55</v>
      </c>
      <c r="D45" s="20">
        <v>54</v>
      </c>
      <c r="E45" s="17">
        <f t="shared" si="9"/>
        <v>115</v>
      </c>
      <c r="F45" s="20">
        <v>54</v>
      </c>
      <c r="G45" s="21">
        <v>61</v>
      </c>
      <c r="H45" s="17">
        <f t="shared" si="10"/>
        <v>118</v>
      </c>
      <c r="I45" s="20">
        <v>70</v>
      </c>
      <c r="J45" s="20">
        <v>48</v>
      </c>
    </row>
    <row r="46" spans="1:10" x14ac:dyDescent="0.25">
      <c r="A46" s="22" t="s">
        <v>19</v>
      </c>
      <c r="B46" s="23">
        <f t="shared" si="8"/>
        <v>143</v>
      </c>
      <c r="C46" s="20">
        <v>44</v>
      </c>
      <c r="D46" s="20">
        <v>99</v>
      </c>
      <c r="E46" s="17">
        <f t="shared" si="9"/>
        <v>110</v>
      </c>
      <c r="F46" s="20">
        <v>57</v>
      </c>
      <c r="G46" s="21">
        <v>53</v>
      </c>
      <c r="H46" s="17">
        <f t="shared" si="10"/>
        <v>103</v>
      </c>
      <c r="I46" s="20">
        <v>50</v>
      </c>
      <c r="J46" s="20">
        <v>53</v>
      </c>
    </row>
    <row r="47" spans="1:10" x14ac:dyDescent="0.25">
      <c r="A47" s="22" t="s">
        <v>20</v>
      </c>
      <c r="B47" s="23">
        <f t="shared" si="8"/>
        <v>126</v>
      </c>
      <c r="C47" s="20">
        <v>58</v>
      </c>
      <c r="D47" s="20">
        <v>68</v>
      </c>
      <c r="E47" s="17">
        <f t="shared" si="9"/>
        <v>164</v>
      </c>
      <c r="F47" s="20">
        <v>79</v>
      </c>
      <c r="G47" s="21">
        <v>85</v>
      </c>
      <c r="H47" s="17">
        <f t="shared" si="10"/>
        <v>126</v>
      </c>
      <c r="I47" s="20">
        <v>62</v>
      </c>
      <c r="J47" s="20">
        <v>64</v>
      </c>
    </row>
    <row r="48" spans="1:10" x14ac:dyDescent="0.25">
      <c r="A48" s="22" t="s">
        <v>21</v>
      </c>
      <c r="B48" s="23">
        <f t="shared" si="8"/>
        <v>270</v>
      </c>
      <c r="C48" s="20">
        <v>141</v>
      </c>
      <c r="D48" s="20">
        <v>129</v>
      </c>
      <c r="E48" s="17">
        <f t="shared" si="9"/>
        <v>218</v>
      </c>
      <c r="F48" s="20">
        <v>109</v>
      </c>
      <c r="G48" s="21">
        <v>109</v>
      </c>
      <c r="H48" s="17">
        <f t="shared" si="10"/>
        <v>208</v>
      </c>
      <c r="I48" s="20">
        <v>101</v>
      </c>
      <c r="J48" s="20">
        <v>107</v>
      </c>
    </row>
    <row r="49" spans="1:34" x14ac:dyDescent="0.25">
      <c r="A49" s="22" t="s">
        <v>13</v>
      </c>
      <c r="B49" s="23">
        <f t="shared" si="8"/>
        <v>287</v>
      </c>
      <c r="C49" s="20">
        <v>150</v>
      </c>
      <c r="D49" s="20">
        <v>137</v>
      </c>
      <c r="E49" s="17">
        <f t="shared" si="9"/>
        <v>282</v>
      </c>
      <c r="F49" s="20">
        <v>147</v>
      </c>
      <c r="G49" s="21">
        <v>135</v>
      </c>
      <c r="H49" s="17">
        <f t="shared" si="10"/>
        <v>305</v>
      </c>
      <c r="I49" s="20">
        <v>155</v>
      </c>
      <c r="J49" s="20">
        <v>150</v>
      </c>
    </row>
    <row r="50" spans="1:34" x14ac:dyDescent="0.25">
      <c r="A50" s="22" t="s">
        <v>22</v>
      </c>
      <c r="B50" s="23">
        <f t="shared" si="8"/>
        <v>168</v>
      </c>
      <c r="C50" s="20">
        <v>89</v>
      </c>
      <c r="D50" s="20">
        <v>79</v>
      </c>
      <c r="E50" s="17">
        <f t="shared" si="9"/>
        <v>184</v>
      </c>
      <c r="F50" s="20">
        <v>99</v>
      </c>
      <c r="G50" s="21">
        <v>85</v>
      </c>
      <c r="H50" s="17">
        <f t="shared" si="10"/>
        <v>179</v>
      </c>
      <c r="I50" s="20">
        <v>92</v>
      </c>
      <c r="J50" s="20">
        <v>87</v>
      </c>
    </row>
    <row r="51" spans="1:34" x14ac:dyDescent="0.25">
      <c r="A51" s="22" t="s">
        <v>23</v>
      </c>
      <c r="B51" s="23">
        <f t="shared" si="8"/>
        <v>255</v>
      </c>
      <c r="C51" s="20">
        <v>124</v>
      </c>
      <c r="D51" s="20">
        <v>131</v>
      </c>
      <c r="E51" s="17">
        <f t="shared" si="9"/>
        <v>242</v>
      </c>
      <c r="F51" s="20">
        <v>132</v>
      </c>
      <c r="G51" s="21">
        <v>110</v>
      </c>
      <c r="H51" s="17">
        <f t="shared" si="10"/>
        <v>270</v>
      </c>
      <c r="I51" s="20">
        <v>139</v>
      </c>
      <c r="J51" s="20">
        <v>131</v>
      </c>
    </row>
    <row r="52" spans="1:34" x14ac:dyDescent="0.25">
      <c r="A52" s="22" t="s">
        <v>24</v>
      </c>
      <c r="B52" s="23">
        <f t="shared" si="8"/>
        <v>173</v>
      </c>
      <c r="C52" s="20">
        <v>100</v>
      </c>
      <c r="D52" s="20">
        <v>73</v>
      </c>
      <c r="E52" s="17">
        <f t="shared" si="9"/>
        <v>248</v>
      </c>
      <c r="F52" s="20">
        <v>134</v>
      </c>
      <c r="G52" s="21">
        <v>114</v>
      </c>
      <c r="H52" s="17">
        <f t="shared" si="10"/>
        <v>215</v>
      </c>
      <c r="I52" s="20">
        <v>102</v>
      </c>
      <c r="J52" s="20">
        <v>113</v>
      </c>
    </row>
    <row r="53" spans="1:34" x14ac:dyDescent="0.25">
      <c r="A53" s="2" t="s">
        <v>8</v>
      </c>
      <c r="B53" s="26">
        <f t="shared" si="8"/>
        <v>387</v>
      </c>
      <c r="C53" s="30">
        <v>215</v>
      </c>
      <c r="D53" s="30">
        <v>172</v>
      </c>
      <c r="E53" s="29">
        <f t="shared" si="9"/>
        <v>398</v>
      </c>
      <c r="F53" s="30">
        <v>188</v>
      </c>
      <c r="G53" s="31">
        <v>210</v>
      </c>
      <c r="H53" s="29">
        <f t="shared" si="10"/>
        <v>422</v>
      </c>
      <c r="I53" s="30">
        <v>209</v>
      </c>
      <c r="J53" s="30">
        <v>213</v>
      </c>
    </row>
    <row r="54" spans="1:34" x14ac:dyDescent="0.25">
      <c r="A54" s="8" t="s">
        <v>0</v>
      </c>
      <c r="B54" s="45" t="s">
        <v>39</v>
      </c>
      <c r="C54" s="45"/>
      <c r="D54" s="45"/>
      <c r="E54" s="46" t="s">
        <v>40</v>
      </c>
      <c r="F54" s="45"/>
      <c r="G54" s="47"/>
      <c r="H54" s="45" t="s">
        <v>41</v>
      </c>
      <c r="I54" s="45"/>
      <c r="J54" s="45"/>
    </row>
    <row r="55" spans="1:34" x14ac:dyDescent="0.25">
      <c r="A55" s="9"/>
      <c r="B55" s="36" t="s">
        <v>29</v>
      </c>
      <c r="C55" s="36" t="s">
        <v>27</v>
      </c>
      <c r="D55" s="36" t="s">
        <v>28</v>
      </c>
      <c r="E55" s="13" t="s">
        <v>29</v>
      </c>
      <c r="F55" s="12" t="s">
        <v>27</v>
      </c>
      <c r="G55" s="14" t="s">
        <v>28</v>
      </c>
      <c r="H55" s="12" t="s">
        <v>29</v>
      </c>
      <c r="I55" s="12" t="s">
        <v>27</v>
      </c>
      <c r="J55" s="12" t="s">
        <v>28</v>
      </c>
    </row>
    <row r="56" spans="1:34" s="6" customFormat="1" x14ac:dyDescent="0.25">
      <c r="A56" s="4" t="s">
        <v>2</v>
      </c>
      <c r="B56" s="15">
        <f>C56+D56</f>
        <v>6635</v>
      </c>
      <c r="C56" s="16">
        <f>C57+C58</f>
        <v>3466</v>
      </c>
      <c r="D56" s="16">
        <f>D57+D58</f>
        <v>3169</v>
      </c>
      <c r="E56" s="17">
        <f>F56+G56</f>
        <v>5939</v>
      </c>
      <c r="F56" s="16">
        <f>F57+F58</f>
        <v>3014</v>
      </c>
      <c r="G56" s="18">
        <f>G57+G58</f>
        <v>2925</v>
      </c>
      <c r="H56" s="17">
        <f>I56+J56</f>
        <v>5525</v>
      </c>
      <c r="I56" s="16">
        <f>I57+I58</f>
        <v>2773</v>
      </c>
      <c r="J56" s="16">
        <f>J57+J58</f>
        <v>2752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x14ac:dyDescent="0.25">
      <c r="A57" s="4" t="s">
        <v>3</v>
      </c>
      <c r="B57" s="19">
        <f>SUM(C57:D57)</f>
        <v>2271</v>
      </c>
      <c r="C57" s="20">
        <v>1167</v>
      </c>
      <c r="D57" s="20">
        <v>1104</v>
      </c>
      <c r="E57" s="17">
        <f>F57+G57</f>
        <v>2057</v>
      </c>
      <c r="F57" s="20">
        <v>1020</v>
      </c>
      <c r="G57" s="21">
        <v>1037</v>
      </c>
      <c r="H57" s="17">
        <f>I57+J57</f>
        <v>1928</v>
      </c>
      <c r="I57" s="20">
        <v>1001</v>
      </c>
      <c r="J57" s="20">
        <v>927</v>
      </c>
    </row>
    <row r="58" spans="1:34" s="6" customFormat="1" x14ac:dyDescent="0.25">
      <c r="A58" s="4" t="s">
        <v>4</v>
      </c>
      <c r="B58" s="19">
        <f>SUM(B59:B78)</f>
        <v>4364</v>
      </c>
      <c r="C58" s="16">
        <v>2299</v>
      </c>
      <c r="D58" s="16">
        <v>2065</v>
      </c>
      <c r="E58" s="17">
        <f>F58+G58</f>
        <v>3882</v>
      </c>
      <c r="F58" s="16">
        <f>SUM(F59:F78)</f>
        <v>1994</v>
      </c>
      <c r="G58" s="16">
        <f>SUM(G59:G78)</f>
        <v>1888</v>
      </c>
      <c r="H58" s="17">
        <f>I58+J58</f>
        <v>3597</v>
      </c>
      <c r="I58" s="16">
        <f>SUM(I59:I78)</f>
        <v>1772</v>
      </c>
      <c r="J58" s="16">
        <f>SUM(J59:J78)</f>
        <v>1825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x14ac:dyDescent="0.25">
      <c r="A59" s="22" t="s">
        <v>5</v>
      </c>
      <c r="B59" s="23">
        <f t="shared" ref="B59:B78" si="11">SUM(C59:D59)</f>
        <v>291</v>
      </c>
      <c r="C59" s="19">
        <v>158</v>
      </c>
      <c r="D59" s="19">
        <v>133</v>
      </c>
      <c r="E59" s="17">
        <f t="shared" ref="E59:E78" si="12">F59+G59</f>
        <v>243</v>
      </c>
      <c r="F59" s="20">
        <v>128</v>
      </c>
      <c r="G59" s="21">
        <v>115</v>
      </c>
      <c r="H59" s="17">
        <f t="shared" ref="H59:H78" si="13">I59+J59</f>
        <v>242</v>
      </c>
      <c r="I59" s="20">
        <v>122</v>
      </c>
      <c r="J59" s="20">
        <v>120</v>
      </c>
    </row>
    <row r="60" spans="1:34" x14ac:dyDescent="0.25">
      <c r="A60" s="22" t="s">
        <v>6</v>
      </c>
      <c r="B60" s="23">
        <f t="shared" si="11"/>
        <v>423</v>
      </c>
      <c r="C60" s="20">
        <v>221</v>
      </c>
      <c r="D60" s="20">
        <v>202</v>
      </c>
      <c r="E60" s="17">
        <f t="shared" si="12"/>
        <v>396</v>
      </c>
      <c r="F60" s="20">
        <v>212</v>
      </c>
      <c r="G60" s="21">
        <v>184</v>
      </c>
      <c r="H60" s="17">
        <f t="shared" si="13"/>
        <v>316</v>
      </c>
      <c r="I60" s="20">
        <v>160</v>
      </c>
      <c r="J60" s="20">
        <v>156</v>
      </c>
    </row>
    <row r="61" spans="1:34" x14ac:dyDescent="0.25">
      <c r="A61" s="22" t="s">
        <v>7</v>
      </c>
      <c r="B61" s="23">
        <f t="shared" si="11"/>
        <v>294</v>
      </c>
      <c r="C61" s="20">
        <v>148</v>
      </c>
      <c r="D61" s="20">
        <v>146</v>
      </c>
      <c r="E61" s="17">
        <f t="shared" si="12"/>
        <v>258</v>
      </c>
      <c r="F61" s="20">
        <v>123</v>
      </c>
      <c r="G61" s="21">
        <v>135</v>
      </c>
      <c r="H61" s="17">
        <f t="shared" si="13"/>
        <v>239</v>
      </c>
      <c r="I61" s="20">
        <v>109</v>
      </c>
      <c r="J61" s="20">
        <v>130</v>
      </c>
    </row>
    <row r="62" spans="1:34" x14ac:dyDescent="0.25">
      <c r="A62" s="22" t="s">
        <v>9</v>
      </c>
      <c r="B62" s="23">
        <f t="shared" si="11"/>
        <v>239</v>
      </c>
      <c r="C62" s="20">
        <v>134</v>
      </c>
      <c r="D62" s="20">
        <v>105</v>
      </c>
      <c r="E62" s="17">
        <f t="shared" si="12"/>
        <v>202</v>
      </c>
      <c r="F62" s="20">
        <v>101</v>
      </c>
      <c r="G62" s="21">
        <v>101</v>
      </c>
      <c r="H62" s="17">
        <f t="shared" si="13"/>
        <v>186</v>
      </c>
      <c r="I62" s="20">
        <v>95</v>
      </c>
      <c r="J62" s="20">
        <v>91</v>
      </c>
    </row>
    <row r="63" spans="1:34" x14ac:dyDescent="0.25">
      <c r="A63" s="22" t="s">
        <v>10</v>
      </c>
      <c r="B63" s="23">
        <f t="shared" si="11"/>
        <v>332</v>
      </c>
      <c r="C63" s="20">
        <v>186</v>
      </c>
      <c r="D63" s="20">
        <v>146</v>
      </c>
      <c r="E63" s="17">
        <f t="shared" si="12"/>
        <v>301</v>
      </c>
      <c r="F63" s="20">
        <v>154</v>
      </c>
      <c r="G63" s="21">
        <v>147</v>
      </c>
      <c r="H63" s="17">
        <f t="shared" si="13"/>
        <v>294</v>
      </c>
      <c r="I63" s="20">
        <v>140</v>
      </c>
      <c r="J63" s="20">
        <v>154</v>
      </c>
    </row>
    <row r="64" spans="1:34" x14ac:dyDescent="0.25">
      <c r="A64" s="22" t="s">
        <v>11</v>
      </c>
      <c r="B64" s="23">
        <f t="shared" si="11"/>
        <v>193</v>
      </c>
      <c r="C64" s="20">
        <v>101</v>
      </c>
      <c r="D64" s="20">
        <v>92</v>
      </c>
      <c r="E64" s="17">
        <f t="shared" si="12"/>
        <v>183</v>
      </c>
      <c r="F64" s="20">
        <v>102</v>
      </c>
      <c r="G64" s="21">
        <v>81</v>
      </c>
      <c r="H64" s="17">
        <f t="shared" si="13"/>
        <v>166</v>
      </c>
      <c r="I64" s="20">
        <v>88</v>
      </c>
      <c r="J64" s="20">
        <v>78</v>
      </c>
    </row>
    <row r="65" spans="1:10" x14ac:dyDescent="0.25">
      <c r="A65" s="22" t="s">
        <v>12</v>
      </c>
      <c r="B65" s="23">
        <f t="shared" si="11"/>
        <v>150</v>
      </c>
      <c r="C65" s="20">
        <v>68</v>
      </c>
      <c r="D65" s="20">
        <v>82</v>
      </c>
      <c r="E65" s="17">
        <f t="shared" si="12"/>
        <v>144</v>
      </c>
      <c r="F65" s="20">
        <v>76</v>
      </c>
      <c r="G65" s="21">
        <v>68</v>
      </c>
      <c r="H65" s="17">
        <f t="shared" si="13"/>
        <v>150</v>
      </c>
      <c r="I65" s="20">
        <v>65</v>
      </c>
      <c r="J65" s="20">
        <v>85</v>
      </c>
    </row>
    <row r="66" spans="1:10" x14ac:dyDescent="0.25">
      <c r="A66" s="22" t="s">
        <v>14</v>
      </c>
      <c r="B66" s="23">
        <f t="shared" si="11"/>
        <v>202</v>
      </c>
      <c r="C66" s="20">
        <v>112</v>
      </c>
      <c r="D66" s="20">
        <v>90</v>
      </c>
      <c r="E66" s="17">
        <f t="shared" si="12"/>
        <v>212</v>
      </c>
      <c r="F66" s="20">
        <v>111</v>
      </c>
      <c r="G66" s="21">
        <v>101</v>
      </c>
      <c r="H66" s="17">
        <f t="shared" si="13"/>
        <v>179</v>
      </c>
      <c r="I66" s="20">
        <v>91</v>
      </c>
      <c r="J66" s="20">
        <v>88</v>
      </c>
    </row>
    <row r="67" spans="1:10" x14ac:dyDescent="0.25">
      <c r="A67" s="22" t="s">
        <v>15</v>
      </c>
      <c r="B67" s="23">
        <f t="shared" si="11"/>
        <v>155</v>
      </c>
      <c r="C67" s="20">
        <v>87</v>
      </c>
      <c r="D67" s="20">
        <v>68</v>
      </c>
      <c r="E67" s="17">
        <f t="shared" si="12"/>
        <v>115</v>
      </c>
      <c r="F67" s="20">
        <v>50</v>
      </c>
      <c r="G67" s="21">
        <v>65</v>
      </c>
      <c r="H67" s="17">
        <f t="shared" si="13"/>
        <v>121</v>
      </c>
      <c r="I67" s="20">
        <v>70</v>
      </c>
      <c r="J67" s="20">
        <v>51</v>
      </c>
    </row>
    <row r="68" spans="1:10" x14ac:dyDescent="0.25">
      <c r="A68" s="22" t="s">
        <v>30</v>
      </c>
      <c r="B68" s="23">
        <f t="shared" si="11"/>
        <v>171</v>
      </c>
      <c r="C68" s="20">
        <v>83</v>
      </c>
      <c r="D68" s="20">
        <v>88</v>
      </c>
      <c r="E68" s="17">
        <f t="shared" si="12"/>
        <v>138</v>
      </c>
      <c r="F68" s="20">
        <v>74</v>
      </c>
      <c r="G68" s="21">
        <v>64</v>
      </c>
      <c r="H68" s="17">
        <f t="shared" si="13"/>
        <v>146</v>
      </c>
      <c r="I68" s="20">
        <v>67</v>
      </c>
      <c r="J68" s="20">
        <v>79</v>
      </c>
    </row>
    <row r="69" spans="1:10" x14ac:dyDescent="0.25">
      <c r="A69" s="22" t="s">
        <v>17</v>
      </c>
      <c r="B69" s="23">
        <f t="shared" si="11"/>
        <v>16</v>
      </c>
      <c r="C69" s="20">
        <v>11</v>
      </c>
      <c r="D69" s="20">
        <v>5</v>
      </c>
      <c r="E69" s="17">
        <f t="shared" si="12"/>
        <v>16</v>
      </c>
      <c r="F69" s="20">
        <v>9</v>
      </c>
      <c r="G69" s="21">
        <v>7</v>
      </c>
      <c r="H69" s="17">
        <f t="shared" si="13"/>
        <v>18</v>
      </c>
      <c r="I69" s="20">
        <v>14</v>
      </c>
      <c r="J69" s="20">
        <v>4</v>
      </c>
    </row>
    <row r="70" spans="1:10" x14ac:dyDescent="0.25">
      <c r="A70" s="22" t="s">
        <v>18</v>
      </c>
      <c r="B70" s="23">
        <f t="shared" si="11"/>
        <v>101</v>
      </c>
      <c r="C70" s="20">
        <v>47</v>
      </c>
      <c r="D70" s="20">
        <v>54</v>
      </c>
      <c r="E70" s="17">
        <f t="shared" si="12"/>
        <v>99</v>
      </c>
      <c r="F70" s="20">
        <v>48</v>
      </c>
      <c r="G70" s="21">
        <v>51</v>
      </c>
      <c r="H70" s="17">
        <f t="shared" si="13"/>
        <v>77</v>
      </c>
      <c r="I70" s="20">
        <v>38</v>
      </c>
      <c r="J70" s="20">
        <v>39</v>
      </c>
    </row>
    <row r="71" spans="1:10" x14ac:dyDescent="0.25">
      <c r="A71" s="22" t="s">
        <v>19</v>
      </c>
      <c r="B71" s="23">
        <f t="shared" si="11"/>
        <v>106</v>
      </c>
      <c r="C71" s="20">
        <v>59</v>
      </c>
      <c r="D71" s="20">
        <v>47</v>
      </c>
      <c r="E71" s="17">
        <f t="shared" si="12"/>
        <v>109</v>
      </c>
      <c r="F71" s="20">
        <v>63</v>
      </c>
      <c r="G71" s="21">
        <v>46</v>
      </c>
      <c r="H71" s="17">
        <f t="shared" si="13"/>
        <v>91</v>
      </c>
      <c r="I71" s="20">
        <v>38</v>
      </c>
      <c r="J71" s="20">
        <v>53</v>
      </c>
    </row>
    <row r="72" spans="1:10" x14ac:dyDescent="0.25">
      <c r="A72" s="22" t="s">
        <v>20</v>
      </c>
      <c r="B72" s="23">
        <f t="shared" si="11"/>
        <v>120</v>
      </c>
      <c r="C72" s="20">
        <v>62</v>
      </c>
      <c r="D72" s="20">
        <v>58</v>
      </c>
      <c r="E72" s="17">
        <f t="shared" si="12"/>
        <v>125</v>
      </c>
      <c r="F72" s="20">
        <v>54</v>
      </c>
      <c r="G72" s="21">
        <v>71</v>
      </c>
      <c r="H72" s="17">
        <f t="shared" si="13"/>
        <v>114</v>
      </c>
      <c r="I72" s="20">
        <v>55</v>
      </c>
      <c r="J72" s="20">
        <v>59</v>
      </c>
    </row>
    <row r="73" spans="1:10" x14ac:dyDescent="0.25">
      <c r="A73" s="22" t="s">
        <v>21</v>
      </c>
      <c r="B73" s="23">
        <f t="shared" si="11"/>
        <v>234</v>
      </c>
      <c r="C73" s="20">
        <v>118</v>
      </c>
      <c r="D73" s="20">
        <v>116</v>
      </c>
      <c r="E73" s="17">
        <f t="shared" si="12"/>
        <v>178</v>
      </c>
      <c r="F73" s="20">
        <v>85</v>
      </c>
      <c r="G73" s="21">
        <v>93</v>
      </c>
      <c r="H73" s="17">
        <f t="shared" si="13"/>
        <v>154</v>
      </c>
      <c r="I73" s="20">
        <v>70</v>
      </c>
      <c r="J73" s="20">
        <v>84</v>
      </c>
    </row>
    <row r="74" spans="1:10" x14ac:dyDescent="0.25">
      <c r="A74" s="22" t="s">
        <v>13</v>
      </c>
      <c r="B74" s="23">
        <f t="shared" si="11"/>
        <v>329</v>
      </c>
      <c r="C74" s="20">
        <v>176</v>
      </c>
      <c r="D74" s="20">
        <v>153</v>
      </c>
      <c r="E74" s="17">
        <f t="shared" si="12"/>
        <v>266</v>
      </c>
      <c r="F74" s="20">
        <v>134</v>
      </c>
      <c r="G74" s="21">
        <v>132</v>
      </c>
      <c r="H74" s="17">
        <f t="shared" si="13"/>
        <v>240</v>
      </c>
      <c r="I74" s="20">
        <v>122</v>
      </c>
      <c r="J74" s="20">
        <v>118</v>
      </c>
    </row>
    <row r="75" spans="1:10" x14ac:dyDescent="0.25">
      <c r="A75" s="22" t="s">
        <v>22</v>
      </c>
      <c r="B75" s="23">
        <f t="shared" si="11"/>
        <v>169</v>
      </c>
      <c r="C75" s="20">
        <v>90</v>
      </c>
      <c r="D75" s="20">
        <v>79</v>
      </c>
      <c r="E75" s="17">
        <f t="shared" si="12"/>
        <v>164</v>
      </c>
      <c r="F75" s="20">
        <v>86</v>
      </c>
      <c r="G75" s="21">
        <v>78</v>
      </c>
      <c r="H75" s="17">
        <f t="shared" si="13"/>
        <v>158</v>
      </c>
      <c r="I75" s="20">
        <v>74</v>
      </c>
      <c r="J75" s="20">
        <v>84</v>
      </c>
    </row>
    <row r="76" spans="1:10" x14ac:dyDescent="0.25">
      <c r="A76" s="22" t="s">
        <v>23</v>
      </c>
      <c r="B76" s="23">
        <f t="shared" si="11"/>
        <v>254</v>
      </c>
      <c r="C76" s="20">
        <v>135</v>
      </c>
      <c r="D76" s="20">
        <v>119</v>
      </c>
      <c r="E76" s="17">
        <f t="shared" si="12"/>
        <v>224</v>
      </c>
      <c r="F76" s="20">
        <v>124</v>
      </c>
      <c r="G76" s="21">
        <v>100</v>
      </c>
      <c r="H76" s="17">
        <f t="shared" si="13"/>
        <v>233</v>
      </c>
      <c r="I76" s="20">
        <v>122</v>
      </c>
      <c r="J76" s="20">
        <v>111</v>
      </c>
    </row>
    <row r="77" spans="1:10" x14ac:dyDescent="0.25">
      <c r="A77" s="22" t="s">
        <v>24</v>
      </c>
      <c r="B77" s="23">
        <f t="shared" si="11"/>
        <v>185</v>
      </c>
      <c r="C77" s="20">
        <v>92</v>
      </c>
      <c r="D77" s="20">
        <v>93</v>
      </c>
      <c r="E77" s="17">
        <f t="shared" si="12"/>
        <v>161</v>
      </c>
      <c r="F77" s="20">
        <v>73</v>
      </c>
      <c r="G77" s="21">
        <v>88</v>
      </c>
      <c r="H77" s="17">
        <f t="shared" si="13"/>
        <v>143</v>
      </c>
      <c r="I77" s="20">
        <v>73</v>
      </c>
      <c r="J77" s="20">
        <v>70</v>
      </c>
    </row>
    <row r="78" spans="1:10" x14ac:dyDescent="0.25">
      <c r="A78" s="2" t="s">
        <v>8</v>
      </c>
      <c r="B78" s="26">
        <f t="shared" si="11"/>
        <v>400</v>
      </c>
      <c r="C78" s="20">
        <v>211</v>
      </c>
      <c r="D78" s="20">
        <v>189</v>
      </c>
      <c r="E78" s="29">
        <f t="shared" si="12"/>
        <v>348</v>
      </c>
      <c r="F78" s="20">
        <v>187</v>
      </c>
      <c r="G78" s="21">
        <v>161</v>
      </c>
      <c r="H78" s="29">
        <f t="shared" si="13"/>
        <v>330</v>
      </c>
      <c r="I78" s="20">
        <v>159</v>
      </c>
      <c r="J78" s="20">
        <v>171</v>
      </c>
    </row>
    <row r="79" spans="1:10" x14ac:dyDescent="0.25">
      <c r="A79" s="8" t="s">
        <v>0</v>
      </c>
      <c r="B79" s="42" t="s">
        <v>42</v>
      </c>
      <c r="C79" s="42"/>
      <c r="D79" s="42"/>
      <c r="E79" s="43" t="s">
        <v>43</v>
      </c>
      <c r="F79" s="42"/>
      <c r="G79" s="44"/>
      <c r="H79" s="42" t="s">
        <v>44</v>
      </c>
      <c r="I79" s="42"/>
      <c r="J79" s="42"/>
    </row>
    <row r="80" spans="1:10" x14ac:dyDescent="0.25">
      <c r="A80" s="9"/>
      <c r="B80" s="12" t="s">
        <v>29</v>
      </c>
      <c r="C80" s="12" t="s">
        <v>27</v>
      </c>
      <c r="D80" s="12" t="s">
        <v>28</v>
      </c>
      <c r="E80" s="13" t="s">
        <v>29</v>
      </c>
      <c r="F80" s="12" t="s">
        <v>27</v>
      </c>
      <c r="G80" s="14" t="s">
        <v>28</v>
      </c>
      <c r="H80" s="12" t="s">
        <v>29</v>
      </c>
      <c r="I80" s="12" t="s">
        <v>27</v>
      </c>
      <c r="J80" s="12" t="s">
        <v>28</v>
      </c>
    </row>
    <row r="81" spans="1:34" s="6" customFormat="1" x14ac:dyDescent="0.25">
      <c r="A81" s="4" t="s">
        <v>2</v>
      </c>
      <c r="B81" s="15">
        <f>C81+D81</f>
        <v>5376</v>
      </c>
      <c r="C81" s="16">
        <f>C82+C83</f>
        <v>2773</v>
      </c>
      <c r="D81" s="16">
        <f>D82+D83</f>
        <v>2603</v>
      </c>
      <c r="E81" s="17">
        <f>F81+G81</f>
        <v>5488</v>
      </c>
      <c r="F81" s="16">
        <f>F82+F83</f>
        <v>2887</v>
      </c>
      <c r="G81" s="18">
        <f>G82+G83</f>
        <v>2601</v>
      </c>
      <c r="H81" s="17">
        <f>I81+J81</f>
        <v>5425</v>
      </c>
      <c r="I81" s="16">
        <f>I82+I83</f>
        <v>2852</v>
      </c>
      <c r="J81" s="16">
        <f>J82+J83</f>
        <v>2573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s="6" customFormat="1" x14ac:dyDescent="0.25">
      <c r="A82" s="4" t="s">
        <v>3</v>
      </c>
      <c r="B82" s="19">
        <f>SUM(C82:D82)</f>
        <v>1917</v>
      </c>
      <c r="C82" s="20">
        <v>979</v>
      </c>
      <c r="D82" s="20">
        <v>938</v>
      </c>
      <c r="E82" s="17">
        <f>F82+G82</f>
        <v>1845</v>
      </c>
      <c r="F82" s="20">
        <v>939</v>
      </c>
      <c r="G82" s="21">
        <v>906</v>
      </c>
      <c r="H82" s="17">
        <f>I82+J82</f>
        <v>1737</v>
      </c>
      <c r="I82" s="20">
        <v>881</v>
      </c>
      <c r="J82" s="20">
        <v>856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s="6" customFormat="1" x14ac:dyDescent="0.25">
      <c r="A83" s="4" t="s">
        <v>4</v>
      </c>
      <c r="B83" s="19">
        <f>SUM(B84:B103)</f>
        <v>3459</v>
      </c>
      <c r="C83" s="16">
        <v>1794</v>
      </c>
      <c r="D83" s="16">
        <v>1665</v>
      </c>
      <c r="E83" s="17">
        <f>F83+G83</f>
        <v>3643</v>
      </c>
      <c r="F83" s="16">
        <f>SUM(F84:F103)</f>
        <v>1948</v>
      </c>
      <c r="G83" s="16">
        <f>SUM(G84:G103)</f>
        <v>1695</v>
      </c>
      <c r="H83" s="17">
        <f>I83+J83</f>
        <v>3688</v>
      </c>
      <c r="I83" s="16">
        <f>SUM(I84:I103)</f>
        <v>1971</v>
      </c>
      <c r="J83" s="16">
        <f>SUM(J84:J103)</f>
        <v>1717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x14ac:dyDescent="0.25">
      <c r="A84" s="22" t="s">
        <v>5</v>
      </c>
      <c r="B84" s="23">
        <f t="shared" ref="B84:B103" si="14">SUM(C84:D84)</f>
        <v>224</v>
      </c>
      <c r="C84" s="20">
        <v>119</v>
      </c>
      <c r="D84" s="20">
        <v>105</v>
      </c>
      <c r="E84" s="17">
        <f t="shared" ref="E84:E103" si="15">F84+G84</f>
        <v>266</v>
      </c>
      <c r="F84" s="20">
        <v>142</v>
      </c>
      <c r="G84" s="21">
        <v>124</v>
      </c>
      <c r="H84" s="17">
        <f t="shared" ref="H84:H103" si="16">I84+J84</f>
        <v>283</v>
      </c>
      <c r="I84" s="20">
        <v>155</v>
      </c>
      <c r="J84" s="20">
        <v>128</v>
      </c>
    </row>
    <row r="85" spans="1:34" x14ac:dyDescent="0.25">
      <c r="A85" s="22" t="s">
        <v>6</v>
      </c>
      <c r="B85" s="23">
        <f t="shared" si="14"/>
        <v>324</v>
      </c>
      <c r="C85" s="20">
        <v>166</v>
      </c>
      <c r="D85" s="20">
        <v>158</v>
      </c>
      <c r="E85" s="17">
        <f t="shared" si="15"/>
        <v>360</v>
      </c>
      <c r="F85" s="20">
        <v>198</v>
      </c>
      <c r="G85" s="21">
        <v>162</v>
      </c>
      <c r="H85" s="17">
        <f t="shared" si="16"/>
        <v>352</v>
      </c>
      <c r="I85" s="20">
        <v>180</v>
      </c>
      <c r="J85" s="20">
        <v>172</v>
      </c>
    </row>
    <row r="86" spans="1:34" x14ac:dyDescent="0.25">
      <c r="A86" s="22" t="s">
        <v>7</v>
      </c>
      <c r="B86" s="23">
        <f t="shared" si="14"/>
        <v>244</v>
      </c>
      <c r="C86" s="20">
        <v>120</v>
      </c>
      <c r="D86" s="20">
        <v>124</v>
      </c>
      <c r="E86" s="17">
        <f t="shared" si="15"/>
        <v>253</v>
      </c>
      <c r="F86" s="20">
        <v>146</v>
      </c>
      <c r="G86" s="21">
        <v>107</v>
      </c>
      <c r="H86" s="17">
        <f t="shared" si="16"/>
        <v>274</v>
      </c>
      <c r="I86" s="20">
        <v>165</v>
      </c>
      <c r="J86" s="20">
        <v>109</v>
      </c>
    </row>
    <row r="87" spans="1:34" x14ac:dyDescent="0.25">
      <c r="A87" s="22" t="s">
        <v>9</v>
      </c>
      <c r="B87" s="23">
        <f t="shared" si="14"/>
        <v>187</v>
      </c>
      <c r="C87" s="20">
        <v>88</v>
      </c>
      <c r="D87" s="20">
        <v>99</v>
      </c>
      <c r="E87" s="17">
        <f t="shared" si="15"/>
        <v>189</v>
      </c>
      <c r="F87" s="20">
        <v>99</v>
      </c>
      <c r="G87" s="21">
        <v>90</v>
      </c>
      <c r="H87" s="17">
        <f t="shared" si="16"/>
        <v>188</v>
      </c>
      <c r="I87" s="20">
        <v>97</v>
      </c>
      <c r="J87" s="20">
        <v>91</v>
      </c>
    </row>
    <row r="88" spans="1:34" x14ac:dyDescent="0.25">
      <c r="A88" s="22" t="s">
        <v>10</v>
      </c>
      <c r="B88" s="23">
        <f t="shared" si="14"/>
        <v>268</v>
      </c>
      <c r="C88" s="20">
        <v>163</v>
      </c>
      <c r="D88" s="20">
        <v>105</v>
      </c>
      <c r="E88" s="17">
        <f t="shared" si="15"/>
        <v>335</v>
      </c>
      <c r="F88" s="20">
        <v>175</v>
      </c>
      <c r="G88" s="21">
        <v>160</v>
      </c>
      <c r="H88" s="17">
        <f t="shared" si="16"/>
        <v>315</v>
      </c>
      <c r="I88" s="20">
        <v>175</v>
      </c>
      <c r="J88" s="20">
        <v>140</v>
      </c>
    </row>
    <row r="89" spans="1:34" x14ac:dyDescent="0.25">
      <c r="A89" s="22" t="s">
        <v>11</v>
      </c>
      <c r="B89" s="23">
        <f t="shared" si="14"/>
        <v>194</v>
      </c>
      <c r="C89" s="20">
        <v>100</v>
      </c>
      <c r="D89" s="20">
        <v>94</v>
      </c>
      <c r="E89" s="17">
        <f t="shared" si="15"/>
        <v>173</v>
      </c>
      <c r="F89" s="20">
        <v>90</v>
      </c>
      <c r="G89" s="21">
        <v>83</v>
      </c>
      <c r="H89" s="17">
        <f t="shared" si="16"/>
        <v>187</v>
      </c>
      <c r="I89" s="20">
        <v>99</v>
      </c>
      <c r="J89" s="20">
        <v>88</v>
      </c>
    </row>
    <row r="90" spans="1:34" x14ac:dyDescent="0.25">
      <c r="A90" s="22" t="s">
        <v>12</v>
      </c>
      <c r="B90" s="23">
        <f t="shared" si="14"/>
        <v>150</v>
      </c>
      <c r="C90" s="20">
        <v>71</v>
      </c>
      <c r="D90" s="20">
        <v>79</v>
      </c>
      <c r="E90" s="17">
        <f t="shared" si="15"/>
        <v>137</v>
      </c>
      <c r="F90" s="20">
        <v>76</v>
      </c>
      <c r="G90" s="21">
        <v>61</v>
      </c>
      <c r="H90" s="17">
        <f t="shared" si="16"/>
        <v>123</v>
      </c>
      <c r="I90" s="20">
        <v>57</v>
      </c>
      <c r="J90" s="20">
        <v>66</v>
      </c>
    </row>
    <row r="91" spans="1:34" x14ac:dyDescent="0.25">
      <c r="A91" s="22" t="s">
        <v>14</v>
      </c>
      <c r="B91" s="23">
        <f t="shared" si="14"/>
        <v>175</v>
      </c>
      <c r="C91" s="20">
        <v>91</v>
      </c>
      <c r="D91" s="20">
        <v>84</v>
      </c>
      <c r="E91" s="17">
        <f t="shared" si="15"/>
        <v>157</v>
      </c>
      <c r="F91" s="20">
        <v>86</v>
      </c>
      <c r="G91" s="21">
        <v>71</v>
      </c>
      <c r="H91" s="17">
        <f t="shared" si="16"/>
        <v>152</v>
      </c>
      <c r="I91" s="20">
        <v>74</v>
      </c>
      <c r="J91" s="20">
        <v>78</v>
      </c>
    </row>
    <row r="92" spans="1:34" x14ac:dyDescent="0.25">
      <c r="A92" s="22" t="s">
        <v>15</v>
      </c>
      <c r="B92" s="23">
        <f t="shared" si="14"/>
        <v>109</v>
      </c>
      <c r="C92" s="20">
        <v>53</v>
      </c>
      <c r="D92" s="20">
        <v>56</v>
      </c>
      <c r="E92" s="17">
        <f t="shared" si="15"/>
        <v>94</v>
      </c>
      <c r="F92" s="20">
        <v>48</v>
      </c>
      <c r="G92" s="21">
        <v>46</v>
      </c>
      <c r="H92" s="17">
        <f t="shared" si="16"/>
        <v>107</v>
      </c>
      <c r="I92" s="20">
        <v>57</v>
      </c>
      <c r="J92" s="20">
        <v>50</v>
      </c>
    </row>
    <row r="93" spans="1:34" x14ac:dyDescent="0.25">
      <c r="A93" s="22" t="s">
        <v>30</v>
      </c>
      <c r="B93" s="23">
        <f t="shared" si="14"/>
        <v>137</v>
      </c>
      <c r="C93" s="20">
        <v>81</v>
      </c>
      <c r="D93" s="20">
        <v>56</v>
      </c>
      <c r="E93" s="17">
        <f t="shared" si="15"/>
        <v>88</v>
      </c>
      <c r="F93" s="20">
        <v>45</v>
      </c>
      <c r="G93" s="21">
        <v>43</v>
      </c>
      <c r="H93" s="17">
        <f t="shared" si="16"/>
        <v>108</v>
      </c>
      <c r="I93" s="20">
        <v>54</v>
      </c>
      <c r="J93" s="20">
        <v>54</v>
      </c>
    </row>
    <row r="94" spans="1:34" x14ac:dyDescent="0.25">
      <c r="A94" s="22" t="s">
        <v>17</v>
      </c>
      <c r="B94" s="23">
        <f t="shared" si="14"/>
        <v>17</v>
      </c>
      <c r="C94" s="20">
        <v>13</v>
      </c>
      <c r="D94" s="20">
        <v>4</v>
      </c>
      <c r="E94" s="17">
        <f t="shared" si="15"/>
        <v>9</v>
      </c>
      <c r="F94" s="20">
        <v>6</v>
      </c>
      <c r="G94" s="21">
        <v>3</v>
      </c>
      <c r="H94" s="17">
        <f t="shared" si="16"/>
        <v>18</v>
      </c>
      <c r="I94" s="20">
        <v>7</v>
      </c>
      <c r="J94" s="20">
        <v>11</v>
      </c>
    </row>
    <row r="95" spans="1:34" x14ac:dyDescent="0.25">
      <c r="A95" s="22" t="s">
        <v>18</v>
      </c>
      <c r="B95" s="23">
        <f t="shared" si="14"/>
        <v>59</v>
      </c>
      <c r="C95" s="20">
        <v>30</v>
      </c>
      <c r="D95" s="20">
        <v>29</v>
      </c>
      <c r="E95" s="17">
        <f t="shared" si="15"/>
        <v>70</v>
      </c>
      <c r="F95" s="20">
        <v>39</v>
      </c>
      <c r="G95" s="21">
        <v>31</v>
      </c>
      <c r="H95" s="17">
        <f t="shared" si="16"/>
        <v>62</v>
      </c>
      <c r="I95" s="20">
        <v>38</v>
      </c>
      <c r="J95" s="20">
        <v>24</v>
      </c>
    </row>
    <row r="96" spans="1:34" x14ac:dyDescent="0.25">
      <c r="A96" s="22" t="s">
        <v>19</v>
      </c>
      <c r="B96" s="23">
        <f t="shared" si="14"/>
        <v>68</v>
      </c>
      <c r="C96" s="20">
        <v>34</v>
      </c>
      <c r="D96" s="20">
        <v>34</v>
      </c>
      <c r="E96" s="17">
        <f t="shared" si="15"/>
        <v>94</v>
      </c>
      <c r="F96" s="20">
        <v>53</v>
      </c>
      <c r="G96" s="21">
        <v>41</v>
      </c>
      <c r="H96" s="17">
        <f t="shared" si="16"/>
        <v>95</v>
      </c>
      <c r="I96" s="20">
        <v>51</v>
      </c>
      <c r="J96" s="20">
        <v>44</v>
      </c>
    </row>
    <row r="97" spans="1:34" x14ac:dyDescent="0.25">
      <c r="A97" s="22" t="s">
        <v>20</v>
      </c>
      <c r="B97" s="23">
        <f t="shared" si="14"/>
        <v>84</v>
      </c>
      <c r="C97" s="20">
        <v>39</v>
      </c>
      <c r="D97" s="20">
        <v>45</v>
      </c>
      <c r="E97" s="17">
        <f t="shared" si="15"/>
        <v>95</v>
      </c>
      <c r="F97" s="20">
        <v>56</v>
      </c>
      <c r="G97" s="21">
        <v>39</v>
      </c>
      <c r="H97" s="17">
        <f t="shared" si="16"/>
        <v>124</v>
      </c>
      <c r="I97" s="20">
        <v>58</v>
      </c>
      <c r="J97" s="20">
        <v>66</v>
      </c>
    </row>
    <row r="98" spans="1:34" x14ac:dyDescent="0.25">
      <c r="A98" s="22" t="s">
        <v>21</v>
      </c>
      <c r="B98" s="23">
        <f t="shared" si="14"/>
        <v>134</v>
      </c>
      <c r="C98" s="20">
        <v>75</v>
      </c>
      <c r="D98" s="20">
        <v>59</v>
      </c>
      <c r="E98" s="17">
        <f t="shared" si="15"/>
        <v>157</v>
      </c>
      <c r="F98" s="20">
        <v>91</v>
      </c>
      <c r="G98" s="21">
        <v>66</v>
      </c>
      <c r="H98" s="17">
        <f t="shared" si="16"/>
        <v>143</v>
      </c>
      <c r="I98" s="20">
        <v>76</v>
      </c>
      <c r="J98" s="20">
        <v>67</v>
      </c>
    </row>
    <row r="99" spans="1:34" x14ac:dyDescent="0.25">
      <c r="A99" s="22" t="s">
        <v>13</v>
      </c>
      <c r="B99" s="23">
        <f t="shared" si="14"/>
        <v>195</v>
      </c>
      <c r="C99" s="20">
        <v>105</v>
      </c>
      <c r="D99" s="20">
        <v>90</v>
      </c>
      <c r="E99" s="17">
        <f t="shared" si="15"/>
        <v>277</v>
      </c>
      <c r="F99" s="20">
        <v>150</v>
      </c>
      <c r="G99" s="21">
        <v>127</v>
      </c>
      <c r="H99" s="17">
        <f t="shared" si="16"/>
        <v>274</v>
      </c>
      <c r="I99" s="20">
        <v>145</v>
      </c>
      <c r="J99" s="20">
        <v>129</v>
      </c>
    </row>
    <row r="100" spans="1:34" x14ac:dyDescent="0.25">
      <c r="A100" s="22" t="s">
        <v>22</v>
      </c>
      <c r="B100" s="23">
        <f t="shared" si="14"/>
        <v>152</v>
      </c>
      <c r="C100" s="20">
        <v>77</v>
      </c>
      <c r="D100" s="20">
        <v>75</v>
      </c>
      <c r="E100" s="17">
        <f t="shared" si="15"/>
        <v>175</v>
      </c>
      <c r="F100" s="20">
        <v>91</v>
      </c>
      <c r="G100" s="21">
        <v>84</v>
      </c>
      <c r="H100" s="17">
        <f t="shared" si="16"/>
        <v>169</v>
      </c>
      <c r="I100" s="20">
        <v>96</v>
      </c>
      <c r="J100" s="20">
        <v>73</v>
      </c>
    </row>
    <row r="101" spans="1:34" x14ac:dyDescent="0.25">
      <c r="A101" s="22" t="s">
        <v>23</v>
      </c>
      <c r="B101" s="23">
        <f t="shared" si="14"/>
        <v>220</v>
      </c>
      <c r="C101" s="20">
        <v>121</v>
      </c>
      <c r="D101" s="20">
        <v>99</v>
      </c>
      <c r="E101" s="17">
        <f t="shared" si="15"/>
        <v>222</v>
      </c>
      <c r="F101" s="20">
        <v>111</v>
      </c>
      <c r="G101" s="21">
        <v>111</v>
      </c>
      <c r="H101" s="17">
        <f t="shared" si="16"/>
        <v>222</v>
      </c>
      <c r="I101" s="20">
        <v>126</v>
      </c>
      <c r="J101" s="20">
        <v>96</v>
      </c>
    </row>
    <row r="102" spans="1:34" x14ac:dyDescent="0.25">
      <c r="A102" s="22" t="s">
        <v>24</v>
      </c>
      <c r="B102" s="23">
        <f t="shared" si="14"/>
        <v>149</v>
      </c>
      <c r="C102" s="20">
        <v>75</v>
      </c>
      <c r="D102" s="20">
        <v>74</v>
      </c>
      <c r="E102" s="17">
        <f t="shared" si="15"/>
        <v>141</v>
      </c>
      <c r="F102" s="20">
        <v>70</v>
      </c>
      <c r="G102" s="21">
        <v>71</v>
      </c>
      <c r="H102" s="17">
        <f t="shared" si="16"/>
        <v>183</v>
      </c>
      <c r="I102" s="20">
        <v>83</v>
      </c>
      <c r="J102" s="20">
        <v>100</v>
      </c>
    </row>
    <row r="103" spans="1:34" x14ac:dyDescent="0.25">
      <c r="A103" s="2" t="s">
        <v>8</v>
      </c>
      <c r="B103" s="26">
        <f t="shared" si="14"/>
        <v>369</v>
      </c>
      <c r="C103" s="30">
        <v>173</v>
      </c>
      <c r="D103" s="30">
        <v>196</v>
      </c>
      <c r="E103" s="29">
        <f t="shared" si="15"/>
        <v>351</v>
      </c>
      <c r="F103" s="30">
        <v>176</v>
      </c>
      <c r="G103" s="31">
        <v>175</v>
      </c>
      <c r="H103" s="29">
        <f t="shared" si="16"/>
        <v>309</v>
      </c>
      <c r="I103" s="30">
        <v>178</v>
      </c>
      <c r="J103" s="30">
        <v>131</v>
      </c>
    </row>
    <row r="104" spans="1:34" x14ac:dyDescent="0.25">
      <c r="A104" s="8" t="s">
        <v>0</v>
      </c>
      <c r="B104" s="45" t="s">
        <v>45</v>
      </c>
      <c r="C104" s="45"/>
      <c r="D104" s="45"/>
      <c r="E104" s="46" t="s">
        <v>46</v>
      </c>
      <c r="F104" s="45"/>
      <c r="G104" s="47"/>
      <c r="H104" s="45" t="s">
        <v>47</v>
      </c>
      <c r="I104" s="45"/>
      <c r="J104" s="45"/>
    </row>
    <row r="105" spans="1:34" x14ac:dyDescent="0.25">
      <c r="A105" s="9"/>
      <c r="B105" s="34" t="s">
        <v>29</v>
      </c>
      <c r="C105" s="34" t="s">
        <v>27</v>
      </c>
      <c r="D105" s="34" t="s">
        <v>28</v>
      </c>
      <c r="E105" s="33" t="s">
        <v>29</v>
      </c>
      <c r="F105" s="34" t="s">
        <v>27</v>
      </c>
      <c r="G105" s="35" t="s">
        <v>28</v>
      </c>
      <c r="H105" s="34" t="s">
        <v>29</v>
      </c>
      <c r="I105" s="34" t="s">
        <v>27</v>
      </c>
      <c r="J105" s="34" t="s">
        <v>28</v>
      </c>
    </row>
    <row r="106" spans="1:34" s="6" customFormat="1" x14ac:dyDescent="0.25">
      <c r="A106" s="4" t="s">
        <v>2</v>
      </c>
      <c r="B106" s="37">
        <f>C106+D106</f>
        <v>2010</v>
      </c>
      <c r="C106" s="16">
        <f>C107+C108</f>
        <v>880</v>
      </c>
      <c r="D106" s="16">
        <f>D107+D108</f>
        <v>1130</v>
      </c>
      <c r="E106" s="17">
        <f>F106+G106</f>
        <v>1967</v>
      </c>
      <c r="F106" s="16">
        <f>F107+F108</f>
        <v>889</v>
      </c>
      <c r="G106" s="18">
        <f>G107+G108</f>
        <v>1078</v>
      </c>
      <c r="H106" s="17">
        <f>I106+J106</f>
        <v>298</v>
      </c>
      <c r="I106" s="16">
        <f>I107+I108</f>
        <v>212</v>
      </c>
      <c r="J106" s="16">
        <f>J107+J108</f>
        <v>86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s="6" customFormat="1" x14ac:dyDescent="0.25">
      <c r="A107" s="4" t="s">
        <v>3</v>
      </c>
      <c r="B107" s="19">
        <f>SUM(C107:D107)</f>
        <v>1182</v>
      </c>
      <c r="C107" s="20">
        <v>523</v>
      </c>
      <c r="D107" s="20">
        <v>659</v>
      </c>
      <c r="E107" s="17">
        <f>F107+G107</f>
        <v>1263</v>
      </c>
      <c r="F107" s="20">
        <v>599</v>
      </c>
      <c r="G107" s="21">
        <v>664</v>
      </c>
      <c r="H107" s="17">
        <f>I107+J107</f>
        <v>112</v>
      </c>
      <c r="I107" s="20">
        <v>88</v>
      </c>
      <c r="J107" s="20">
        <v>24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s="6" customFormat="1" x14ac:dyDescent="0.25">
      <c r="A108" s="4" t="s">
        <v>4</v>
      </c>
      <c r="B108" s="19">
        <f>SUM(B109:B128)</f>
        <v>828</v>
      </c>
      <c r="C108" s="16">
        <v>357</v>
      </c>
      <c r="D108" s="16">
        <v>471</v>
      </c>
      <c r="E108" s="17">
        <f>F108+G108</f>
        <v>704</v>
      </c>
      <c r="F108" s="16">
        <f>SUM(F109:F128)</f>
        <v>290</v>
      </c>
      <c r="G108" s="16">
        <f>SUM(G109:G128)</f>
        <v>414</v>
      </c>
      <c r="H108" s="17">
        <f>I108+J108</f>
        <v>186</v>
      </c>
      <c r="I108" s="16">
        <f>SUM(I109:I128)</f>
        <v>124</v>
      </c>
      <c r="J108" s="16">
        <f>SUM(J109:J128)</f>
        <v>62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x14ac:dyDescent="0.25">
      <c r="A109" s="22" t="s">
        <v>5</v>
      </c>
      <c r="B109" s="23">
        <f t="shared" ref="B109:B128" si="17">SUM(C109:D109)</f>
        <v>58</v>
      </c>
      <c r="C109" s="20">
        <v>19</v>
      </c>
      <c r="D109" s="20">
        <v>39</v>
      </c>
      <c r="E109" s="17">
        <f t="shared" ref="E109:E128" si="18">F109+G109</f>
        <v>48</v>
      </c>
      <c r="F109" s="20">
        <v>17</v>
      </c>
      <c r="G109" s="21">
        <v>31</v>
      </c>
      <c r="H109" s="17">
        <f t="shared" ref="H109:H128" si="19">I109+J109</f>
        <v>9</v>
      </c>
      <c r="I109" s="20">
        <v>8</v>
      </c>
      <c r="J109" s="20">
        <v>1</v>
      </c>
    </row>
    <row r="110" spans="1:34" x14ac:dyDescent="0.25">
      <c r="A110" s="22" t="s">
        <v>6</v>
      </c>
      <c r="B110" s="23">
        <f t="shared" si="17"/>
        <v>67</v>
      </c>
      <c r="C110" s="20">
        <v>26</v>
      </c>
      <c r="D110" s="20">
        <v>41</v>
      </c>
      <c r="E110" s="17">
        <f t="shared" si="18"/>
        <v>65</v>
      </c>
      <c r="F110" s="20">
        <v>27</v>
      </c>
      <c r="G110" s="21">
        <v>38</v>
      </c>
      <c r="H110" s="17">
        <f t="shared" si="19"/>
        <v>28</v>
      </c>
      <c r="I110" s="20">
        <v>20</v>
      </c>
      <c r="J110" s="20">
        <v>8</v>
      </c>
    </row>
    <row r="111" spans="1:34" x14ac:dyDescent="0.25">
      <c r="A111" s="22" t="s">
        <v>7</v>
      </c>
      <c r="B111" s="23">
        <f t="shared" si="17"/>
        <v>77</v>
      </c>
      <c r="C111" s="20">
        <v>40</v>
      </c>
      <c r="D111" s="20">
        <v>37</v>
      </c>
      <c r="E111" s="17">
        <f t="shared" si="18"/>
        <v>42</v>
      </c>
      <c r="F111" s="20">
        <v>16</v>
      </c>
      <c r="G111" s="21">
        <v>26</v>
      </c>
      <c r="H111" s="17">
        <f t="shared" si="19"/>
        <v>3</v>
      </c>
      <c r="I111" s="20">
        <v>2</v>
      </c>
      <c r="J111" s="20">
        <v>1</v>
      </c>
    </row>
    <row r="112" spans="1:34" x14ac:dyDescent="0.25">
      <c r="A112" s="22" t="s">
        <v>9</v>
      </c>
      <c r="B112" s="23">
        <f t="shared" si="17"/>
        <v>35</v>
      </c>
      <c r="C112" s="20">
        <v>15</v>
      </c>
      <c r="D112" s="20">
        <v>20</v>
      </c>
      <c r="E112" s="17">
        <f t="shared" si="18"/>
        <v>29</v>
      </c>
      <c r="F112" s="20">
        <v>10</v>
      </c>
      <c r="G112" s="21">
        <v>19</v>
      </c>
      <c r="H112" s="17">
        <f t="shared" si="19"/>
        <v>4</v>
      </c>
      <c r="I112" s="20">
        <v>3</v>
      </c>
      <c r="J112" s="20">
        <v>1</v>
      </c>
    </row>
    <row r="113" spans="1:32" x14ac:dyDescent="0.25">
      <c r="A113" s="22" t="s">
        <v>10</v>
      </c>
      <c r="B113" s="23">
        <f t="shared" si="17"/>
        <v>97</v>
      </c>
      <c r="C113" s="20">
        <v>50</v>
      </c>
      <c r="D113" s="20">
        <v>47</v>
      </c>
      <c r="E113" s="17">
        <f t="shared" si="18"/>
        <v>83</v>
      </c>
      <c r="F113" s="20">
        <v>33</v>
      </c>
      <c r="G113" s="21">
        <v>50</v>
      </c>
      <c r="H113" s="17">
        <f t="shared" si="19"/>
        <v>4</v>
      </c>
      <c r="I113" s="20">
        <v>3</v>
      </c>
      <c r="J113" s="20">
        <v>1</v>
      </c>
    </row>
    <row r="114" spans="1:32" x14ac:dyDescent="0.25">
      <c r="A114" s="22" t="s">
        <v>11</v>
      </c>
      <c r="B114" s="23">
        <f t="shared" si="17"/>
        <v>47</v>
      </c>
      <c r="C114" s="20">
        <v>18</v>
      </c>
      <c r="D114" s="20">
        <v>29</v>
      </c>
      <c r="E114" s="17">
        <f t="shared" si="18"/>
        <v>33</v>
      </c>
      <c r="F114" s="20">
        <v>17</v>
      </c>
      <c r="G114" s="21">
        <v>16</v>
      </c>
      <c r="H114" s="17">
        <f t="shared" si="19"/>
        <v>7</v>
      </c>
      <c r="I114" s="20">
        <v>5</v>
      </c>
      <c r="J114" s="20">
        <v>2</v>
      </c>
    </row>
    <row r="115" spans="1:32" x14ac:dyDescent="0.25">
      <c r="A115" s="22" t="s">
        <v>12</v>
      </c>
      <c r="B115" s="23">
        <f t="shared" si="17"/>
        <v>25</v>
      </c>
      <c r="C115" s="20">
        <v>13</v>
      </c>
      <c r="D115" s="20">
        <v>12</v>
      </c>
      <c r="E115" s="17">
        <f t="shared" si="18"/>
        <v>28</v>
      </c>
      <c r="F115" s="20">
        <v>9</v>
      </c>
      <c r="G115" s="21">
        <v>19</v>
      </c>
      <c r="H115" s="17">
        <f t="shared" si="19"/>
        <v>4</v>
      </c>
      <c r="I115" s="20">
        <v>0</v>
      </c>
      <c r="J115" s="20">
        <v>4</v>
      </c>
    </row>
    <row r="116" spans="1:32" x14ac:dyDescent="0.25">
      <c r="A116" s="22" t="s">
        <v>14</v>
      </c>
      <c r="B116" s="23">
        <f t="shared" si="17"/>
        <v>6</v>
      </c>
      <c r="C116" s="20">
        <v>4</v>
      </c>
      <c r="D116" s="20">
        <v>2</v>
      </c>
      <c r="E116" s="17">
        <f t="shared" si="18"/>
        <v>11</v>
      </c>
      <c r="F116" s="20">
        <v>2</v>
      </c>
      <c r="G116" s="21">
        <v>9</v>
      </c>
      <c r="H116" s="17">
        <f t="shared" si="19"/>
        <v>11</v>
      </c>
      <c r="I116" s="20">
        <v>9</v>
      </c>
      <c r="J116" s="20">
        <v>2</v>
      </c>
    </row>
    <row r="117" spans="1:32" x14ac:dyDescent="0.25">
      <c r="A117" s="22" t="s">
        <v>15</v>
      </c>
      <c r="B117" s="23">
        <f t="shared" si="17"/>
        <v>10</v>
      </c>
      <c r="C117" s="20">
        <v>5</v>
      </c>
      <c r="D117" s="20">
        <v>5</v>
      </c>
      <c r="E117" s="17">
        <f t="shared" si="18"/>
        <v>7</v>
      </c>
      <c r="F117" s="20">
        <v>4</v>
      </c>
      <c r="G117" s="21">
        <v>3</v>
      </c>
      <c r="H117" s="17">
        <f t="shared" si="19"/>
        <v>0</v>
      </c>
      <c r="I117" s="20">
        <v>0</v>
      </c>
      <c r="J117" s="20">
        <v>0</v>
      </c>
    </row>
    <row r="118" spans="1:32" x14ac:dyDescent="0.25">
      <c r="A118" s="22" t="s">
        <v>16</v>
      </c>
      <c r="B118" s="23">
        <f t="shared" si="17"/>
        <v>0</v>
      </c>
      <c r="C118" s="20">
        <v>0</v>
      </c>
      <c r="D118" s="20">
        <v>0</v>
      </c>
      <c r="E118" s="17">
        <f t="shared" si="18"/>
        <v>8</v>
      </c>
      <c r="F118" s="20">
        <v>5</v>
      </c>
      <c r="G118" s="21">
        <v>3</v>
      </c>
      <c r="H118" s="17">
        <f t="shared" si="19"/>
        <v>9</v>
      </c>
      <c r="I118" s="20">
        <v>3</v>
      </c>
      <c r="J118" s="20">
        <v>6</v>
      </c>
    </row>
    <row r="119" spans="1:32" x14ac:dyDescent="0.25">
      <c r="A119" s="22" t="s">
        <v>17</v>
      </c>
      <c r="B119" s="23">
        <f t="shared" si="17"/>
        <v>0</v>
      </c>
      <c r="C119" s="20">
        <v>0</v>
      </c>
      <c r="D119" s="20">
        <v>0</v>
      </c>
      <c r="E119" s="17">
        <f t="shared" si="18"/>
        <v>0</v>
      </c>
      <c r="F119" s="20">
        <v>0</v>
      </c>
      <c r="G119" s="21">
        <v>0</v>
      </c>
      <c r="H119" s="17">
        <f t="shared" si="19"/>
        <v>0</v>
      </c>
      <c r="I119" s="20">
        <v>0</v>
      </c>
      <c r="J119" s="20">
        <v>0</v>
      </c>
    </row>
    <row r="120" spans="1:32" x14ac:dyDescent="0.25">
      <c r="A120" s="22" t="s">
        <v>18</v>
      </c>
      <c r="B120" s="23">
        <f t="shared" si="17"/>
        <v>20</v>
      </c>
      <c r="C120" s="20">
        <v>11</v>
      </c>
      <c r="D120" s="20">
        <v>9</v>
      </c>
      <c r="E120" s="17">
        <f t="shared" si="18"/>
        <v>25</v>
      </c>
      <c r="F120" s="20">
        <v>14</v>
      </c>
      <c r="G120" s="21">
        <v>11</v>
      </c>
      <c r="H120" s="17">
        <f t="shared" si="19"/>
        <v>0</v>
      </c>
      <c r="I120" s="20">
        <v>0</v>
      </c>
      <c r="J120" s="20">
        <v>0</v>
      </c>
    </row>
    <row r="121" spans="1:32" x14ac:dyDescent="0.25">
      <c r="A121" s="22" t="s">
        <v>19</v>
      </c>
      <c r="B121" s="23">
        <f t="shared" si="17"/>
        <v>35</v>
      </c>
      <c r="C121" s="20">
        <v>17</v>
      </c>
      <c r="D121" s="20">
        <v>18</v>
      </c>
      <c r="E121" s="17">
        <f t="shared" si="18"/>
        <v>51</v>
      </c>
      <c r="F121" s="20">
        <v>21</v>
      </c>
      <c r="G121" s="21">
        <v>30</v>
      </c>
      <c r="H121" s="17">
        <f t="shared" si="19"/>
        <v>0</v>
      </c>
      <c r="I121" s="20">
        <v>0</v>
      </c>
      <c r="J121" s="20">
        <v>0</v>
      </c>
    </row>
    <row r="122" spans="1:32" x14ac:dyDescent="0.25">
      <c r="A122" s="22" t="s">
        <v>20</v>
      </c>
      <c r="B122" s="23">
        <f t="shared" si="17"/>
        <v>45</v>
      </c>
      <c r="C122" s="20">
        <v>14</v>
      </c>
      <c r="D122" s="20">
        <v>31</v>
      </c>
      <c r="E122" s="17">
        <f t="shared" si="18"/>
        <v>29</v>
      </c>
      <c r="F122" s="20">
        <v>12</v>
      </c>
      <c r="G122" s="21">
        <v>17</v>
      </c>
      <c r="H122" s="17">
        <f t="shared" si="19"/>
        <v>3</v>
      </c>
      <c r="I122" s="20">
        <v>1</v>
      </c>
      <c r="J122" s="20">
        <v>2</v>
      </c>
    </row>
    <row r="123" spans="1:32" x14ac:dyDescent="0.25">
      <c r="A123" s="22" t="s">
        <v>21</v>
      </c>
      <c r="B123" s="23">
        <f t="shared" si="17"/>
        <v>27</v>
      </c>
      <c r="C123" s="20">
        <v>11</v>
      </c>
      <c r="D123" s="20">
        <v>16</v>
      </c>
      <c r="E123" s="17">
        <f t="shared" si="18"/>
        <v>27</v>
      </c>
      <c r="F123" s="20">
        <v>15</v>
      </c>
      <c r="G123" s="21">
        <v>12</v>
      </c>
      <c r="H123" s="17">
        <f t="shared" si="19"/>
        <v>1</v>
      </c>
      <c r="I123" s="20">
        <v>0</v>
      </c>
      <c r="J123" s="20">
        <v>1</v>
      </c>
    </row>
    <row r="124" spans="1:32" x14ac:dyDescent="0.25">
      <c r="A124" s="22" t="s">
        <v>13</v>
      </c>
      <c r="B124" s="23">
        <f t="shared" si="17"/>
        <v>40</v>
      </c>
      <c r="C124" s="20">
        <v>19</v>
      </c>
      <c r="D124" s="20">
        <v>21</v>
      </c>
      <c r="E124" s="17">
        <f t="shared" si="18"/>
        <v>42</v>
      </c>
      <c r="F124" s="20">
        <v>13</v>
      </c>
      <c r="G124" s="21">
        <v>29</v>
      </c>
      <c r="H124" s="17">
        <f t="shared" si="19"/>
        <v>5</v>
      </c>
      <c r="I124" s="20">
        <v>3</v>
      </c>
      <c r="J124" s="20">
        <v>2</v>
      </c>
    </row>
    <row r="125" spans="1:32" x14ac:dyDescent="0.25">
      <c r="A125" s="22" t="s">
        <v>22</v>
      </c>
      <c r="B125" s="23">
        <f t="shared" si="17"/>
        <v>15</v>
      </c>
      <c r="C125" s="20">
        <v>7</v>
      </c>
      <c r="D125" s="20">
        <v>8</v>
      </c>
      <c r="E125" s="17">
        <f t="shared" si="18"/>
        <v>17</v>
      </c>
      <c r="F125" s="20">
        <v>11</v>
      </c>
      <c r="G125" s="21">
        <v>6</v>
      </c>
      <c r="H125" s="17">
        <f t="shared" si="19"/>
        <v>0</v>
      </c>
      <c r="I125" s="20">
        <v>0</v>
      </c>
      <c r="J125" s="20">
        <v>0</v>
      </c>
    </row>
    <row r="126" spans="1:32" x14ac:dyDescent="0.25">
      <c r="A126" s="22" t="s">
        <v>23</v>
      </c>
      <c r="B126" s="23">
        <f t="shared" si="17"/>
        <v>41</v>
      </c>
      <c r="C126" s="20">
        <v>19</v>
      </c>
      <c r="D126" s="20">
        <v>22</v>
      </c>
      <c r="E126" s="17">
        <f t="shared" si="18"/>
        <v>24</v>
      </c>
      <c r="F126" s="20">
        <v>6</v>
      </c>
      <c r="G126" s="21">
        <v>18</v>
      </c>
      <c r="H126" s="17">
        <f t="shared" si="19"/>
        <v>17</v>
      </c>
      <c r="I126" s="20">
        <v>11</v>
      </c>
      <c r="J126" s="20">
        <v>6</v>
      </c>
    </row>
    <row r="127" spans="1:32" x14ac:dyDescent="0.25">
      <c r="A127" s="22" t="s">
        <v>24</v>
      </c>
      <c r="B127" s="23">
        <f t="shared" si="17"/>
        <v>32</v>
      </c>
      <c r="C127" s="20">
        <v>13</v>
      </c>
      <c r="D127" s="20">
        <v>19</v>
      </c>
      <c r="E127" s="17">
        <f t="shared" si="18"/>
        <v>34</v>
      </c>
      <c r="F127" s="20">
        <v>17</v>
      </c>
      <c r="G127" s="21">
        <v>17</v>
      </c>
      <c r="H127" s="17">
        <f t="shared" si="19"/>
        <v>40</v>
      </c>
      <c r="I127" s="20">
        <v>27</v>
      </c>
      <c r="J127" s="20">
        <v>13</v>
      </c>
    </row>
    <row r="128" spans="1:32" x14ac:dyDescent="0.25">
      <c r="A128" s="2" t="s">
        <v>8</v>
      </c>
      <c r="B128" s="26">
        <f t="shared" si="17"/>
        <v>151</v>
      </c>
      <c r="C128" s="30">
        <v>56</v>
      </c>
      <c r="D128" s="30">
        <v>95</v>
      </c>
      <c r="E128" s="29">
        <f t="shared" si="18"/>
        <v>101</v>
      </c>
      <c r="F128" s="30">
        <v>41</v>
      </c>
      <c r="G128" s="31">
        <v>60</v>
      </c>
      <c r="H128" s="29">
        <f t="shared" si="19"/>
        <v>41</v>
      </c>
      <c r="I128" s="30">
        <v>29</v>
      </c>
      <c r="J128" s="30">
        <v>12</v>
      </c>
      <c r="AD128" s="3" t="s">
        <v>50</v>
      </c>
      <c r="AE128" s="3" t="s">
        <v>18</v>
      </c>
      <c r="AF128" s="3">
        <v>2759</v>
      </c>
    </row>
    <row r="129" spans="1:32" x14ac:dyDescent="0.25">
      <c r="A129" s="7" t="s">
        <v>25</v>
      </c>
      <c r="B129" s="38"/>
      <c r="C129" s="38"/>
      <c r="D129" s="38"/>
      <c r="E129" s="38"/>
      <c r="F129" s="38"/>
      <c r="G129" s="38"/>
      <c r="H129" s="38"/>
      <c r="I129" s="38"/>
      <c r="J129" s="1" t="s">
        <v>26</v>
      </c>
      <c r="AE129" s="3" t="s">
        <v>19</v>
      </c>
      <c r="AF129" s="3">
        <v>2673</v>
      </c>
    </row>
    <row r="130" spans="1:32" x14ac:dyDescent="0.25">
      <c r="AD130" s="3" t="s">
        <v>51</v>
      </c>
      <c r="AE130" s="3" t="s">
        <v>18</v>
      </c>
      <c r="AF130" s="3">
        <v>3829</v>
      </c>
    </row>
    <row r="131" spans="1:32" x14ac:dyDescent="0.25">
      <c r="AE131" s="3" t="s">
        <v>19</v>
      </c>
      <c r="AF131" s="3">
        <v>3549</v>
      </c>
    </row>
    <row r="132" spans="1:32" x14ac:dyDescent="0.25">
      <c r="AD132" s="3" t="s">
        <v>52</v>
      </c>
      <c r="AE132" s="3" t="s">
        <v>18</v>
      </c>
      <c r="AF132" s="3">
        <v>3994</v>
      </c>
    </row>
    <row r="133" spans="1:32" x14ac:dyDescent="0.25">
      <c r="AE133" s="3" t="s">
        <v>19</v>
      </c>
      <c r="AF133" s="3">
        <v>3607</v>
      </c>
    </row>
    <row r="134" spans="1:32" x14ac:dyDescent="0.25">
      <c r="AD134" s="3" t="s">
        <v>53</v>
      </c>
      <c r="AE134" s="3" t="s">
        <v>18</v>
      </c>
      <c r="AF134" s="3">
        <v>3991</v>
      </c>
    </row>
    <row r="135" spans="1:32" x14ac:dyDescent="0.25">
      <c r="AE135" s="3" t="s">
        <v>19</v>
      </c>
      <c r="AF135" s="3">
        <v>3550</v>
      </c>
    </row>
    <row r="136" spans="1:32" x14ac:dyDescent="0.25">
      <c r="AD136" s="3" t="s">
        <v>54</v>
      </c>
      <c r="AE136" s="3" t="s">
        <v>18</v>
      </c>
      <c r="AF136" s="3">
        <v>3717</v>
      </c>
    </row>
    <row r="137" spans="1:32" x14ac:dyDescent="0.25">
      <c r="AE137" s="3" t="s">
        <v>19</v>
      </c>
      <c r="AF137" s="3">
        <v>3471</v>
      </c>
    </row>
    <row r="138" spans="1:32" x14ac:dyDescent="0.25">
      <c r="AD138" s="3" t="s">
        <v>55</v>
      </c>
      <c r="AE138" s="3" t="s">
        <v>18</v>
      </c>
      <c r="AF138" s="3">
        <v>3712</v>
      </c>
    </row>
    <row r="139" spans="1:32" x14ac:dyDescent="0.25">
      <c r="AE139" s="3" t="s">
        <v>19</v>
      </c>
      <c r="AF139" s="3">
        <v>3641</v>
      </c>
    </row>
    <row r="140" spans="1:32" x14ac:dyDescent="0.25">
      <c r="AD140" s="3" t="s">
        <v>56</v>
      </c>
      <c r="AE140" s="3" t="s">
        <v>18</v>
      </c>
      <c r="AF140" s="3">
        <v>3571</v>
      </c>
    </row>
    <row r="141" spans="1:32" x14ac:dyDescent="0.25">
      <c r="AE141" s="3" t="s">
        <v>19</v>
      </c>
      <c r="AF141" s="3">
        <v>3484</v>
      </c>
    </row>
    <row r="142" spans="1:32" x14ac:dyDescent="0.25">
      <c r="AD142" s="3" t="s">
        <v>57</v>
      </c>
      <c r="AE142" s="3" t="s">
        <v>18</v>
      </c>
      <c r="AF142" s="3">
        <v>3466</v>
      </c>
    </row>
    <row r="143" spans="1:32" x14ac:dyDescent="0.25">
      <c r="AE143" s="3" t="s">
        <v>19</v>
      </c>
      <c r="AF143" s="3">
        <v>3169</v>
      </c>
    </row>
    <row r="144" spans="1:32" x14ac:dyDescent="0.25">
      <c r="AD144" s="3" t="s">
        <v>58</v>
      </c>
      <c r="AE144" s="3" t="s">
        <v>18</v>
      </c>
      <c r="AF144" s="3">
        <v>3014</v>
      </c>
    </row>
    <row r="145" spans="30:32" x14ac:dyDescent="0.25">
      <c r="AE145" s="3" t="s">
        <v>19</v>
      </c>
      <c r="AF145" s="3">
        <v>2925</v>
      </c>
    </row>
    <row r="146" spans="30:32" x14ac:dyDescent="0.25">
      <c r="AD146" s="3" t="s">
        <v>59</v>
      </c>
      <c r="AE146" s="3" t="s">
        <v>18</v>
      </c>
      <c r="AF146" s="3">
        <v>2773</v>
      </c>
    </row>
    <row r="147" spans="30:32" x14ac:dyDescent="0.25">
      <c r="AE147" s="3" t="s">
        <v>19</v>
      </c>
      <c r="AF147" s="3">
        <v>2752</v>
      </c>
    </row>
    <row r="148" spans="30:32" x14ac:dyDescent="0.25">
      <c r="AD148" s="3" t="s">
        <v>60</v>
      </c>
      <c r="AE148" s="3" t="s">
        <v>18</v>
      </c>
      <c r="AF148" s="3">
        <v>2773</v>
      </c>
    </row>
    <row r="149" spans="30:32" x14ac:dyDescent="0.25">
      <c r="AE149" s="3" t="s">
        <v>19</v>
      </c>
      <c r="AF149" s="3">
        <v>2603</v>
      </c>
    </row>
    <row r="150" spans="30:32" x14ac:dyDescent="0.25">
      <c r="AD150" s="3" t="s">
        <v>61</v>
      </c>
      <c r="AE150" s="3" t="s">
        <v>18</v>
      </c>
      <c r="AF150" s="3">
        <v>2887</v>
      </c>
    </row>
    <row r="151" spans="30:32" x14ac:dyDescent="0.25">
      <c r="AE151" s="3" t="s">
        <v>19</v>
      </c>
      <c r="AF151" s="3">
        <v>2601</v>
      </c>
    </row>
    <row r="152" spans="30:32" x14ac:dyDescent="0.25">
      <c r="AD152" s="3" t="s">
        <v>62</v>
      </c>
      <c r="AE152" s="3" t="s">
        <v>18</v>
      </c>
      <c r="AF152" s="3">
        <v>2852</v>
      </c>
    </row>
    <row r="153" spans="30:32" x14ac:dyDescent="0.25">
      <c r="AE153" s="3" t="s">
        <v>19</v>
      </c>
      <c r="AF153" s="3">
        <v>2573</v>
      </c>
    </row>
    <row r="154" spans="30:32" x14ac:dyDescent="0.25">
      <c r="AD154" s="3" t="s">
        <v>63</v>
      </c>
      <c r="AE154" s="3" t="s">
        <v>18</v>
      </c>
      <c r="AF154" s="3">
        <v>880</v>
      </c>
    </row>
    <row r="155" spans="30:32" x14ac:dyDescent="0.25">
      <c r="AE155" s="3" t="s">
        <v>19</v>
      </c>
      <c r="AF155" s="3">
        <v>1130</v>
      </c>
    </row>
    <row r="156" spans="30:32" x14ac:dyDescent="0.25">
      <c r="AD156" s="3" t="s">
        <v>64</v>
      </c>
      <c r="AE156" s="3" t="s">
        <v>18</v>
      </c>
      <c r="AF156" s="3">
        <v>889</v>
      </c>
    </row>
    <row r="157" spans="30:32" x14ac:dyDescent="0.25">
      <c r="AE157" s="3" t="s">
        <v>19</v>
      </c>
      <c r="AF157" s="3">
        <v>1078</v>
      </c>
    </row>
    <row r="158" spans="30:32" x14ac:dyDescent="0.25">
      <c r="AD158" s="3" t="s">
        <v>65</v>
      </c>
      <c r="AE158" s="3" t="s">
        <v>18</v>
      </c>
      <c r="AF158" s="3">
        <v>212</v>
      </c>
    </row>
    <row r="159" spans="30:32" x14ac:dyDescent="0.25">
      <c r="AE159" s="3" t="s">
        <v>19</v>
      </c>
      <c r="AF159" s="3">
        <v>86</v>
      </c>
    </row>
  </sheetData>
  <mergeCells count="19">
    <mergeCell ref="A2:J2"/>
    <mergeCell ref="A3:J3"/>
    <mergeCell ref="A4:A5"/>
    <mergeCell ref="B4:D4"/>
    <mergeCell ref="E4:G4"/>
    <mergeCell ref="H4:J4"/>
    <mergeCell ref="AE4:AG4"/>
    <mergeCell ref="B29:D29"/>
    <mergeCell ref="E29:G29"/>
    <mergeCell ref="H29:J29"/>
    <mergeCell ref="B54:D54"/>
    <mergeCell ref="E54:G54"/>
    <mergeCell ref="H54:J54"/>
    <mergeCell ref="B79:D79"/>
    <mergeCell ref="E79:G79"/>
    <mergeCell ref="H79:J79"/>
    <mergeCell ref="B104:D104"/>
    <mergeCell ref="E104:G104"/>
    <mergeCell ref="H104:J104"/>
  </mergeCells>
  <pageMargins left="0.7" right="0.7" top="0.75" bottom="0.75" header="0.3" footer="0.3"/>
  <pageSetup paperSize="9" scale="77" orientation="portrait" horizontalDpi="4294967295" verticalDpi="4294967295" r:id="rId1"/>
  <rowBreaks count="2" manualBreakCount="2">
    <brk id="53" max="10" man="1"/>
    <brk id="10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7.10</vt:lpstr>
      <vt:lpstr>'7.10'!Print_Area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2019-05-27T07:27:05Z</cp:lastPrinted>
  <dcterms:created xsi:type="dcterms:W3CDTF">2019-02-28T08:20:57Z</dcterms:created>
  <dcterms:modified xsi:type="dcterms:W3CDTF">2019-05-27T07:28:17Z</dcterms:modified>
</cp:coreProperties>
</file>