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/>
  </bookViews>
  <sheets>
    <sheet name="7.8" sheetId="8" r:id="rId1"/>
  </sheets>
  <externalReferences>
    <externalReference r:id="rId2"/>
  </externalReferences>
  <definedNames>
    <definedName name="_xlnm.Print_Area" localSheetId="0">'7.8'!$A$1:$L$33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8" l="1"/>
  <c r="J27" i="8" s="1"/>
  <c r="B19" i="8"/>
  <c r="J19" i="8" s="1"/>
  <c r="C10" i="8"/>
  <c r="B30" i="8"/>
  <c r="J30" i="8" s="1"/>
  <c r="B29" i="8"/>
  <c r="J29" i="8" s="1"/>
  <c r="B28" i="8"/>
  <c r="J28" i="8" s="1"/>
  <c r="B26" i="8"/>
  <c r="J26" i="8" s="1"/>
  <c r="B25" i="8"/>
  <c r="J25" i="8" s="1"/>
  <c r="B24" i="8"/>
  <c r="J24" i="8" s="1"/>
  <c r="B23" i="8"/>
  <c r="J23" i="8" s="1"/>
  <c r="B22" i="8"/>
  <c r="J22" i="8" s="1"/>
  <c r="B21" i="8"/>
  <c r="J21" i="8" s="1"/>
  <c r="B20" i="8"/>
  <c r="J20" i="8" s="1"/>
  <c r="B18" i="8"/>
  <c r="J18" i="8" s="1"/>
  <c r="B17" i="8"/>
  <c r="J17" i="8" s="1"/>
  <c r="B16" i="8"/>
  <c r="J16" i="8" s="1"/>
  <c r="B15" i="8"/>
  <c r="J15" i="8" s="1"/>
  <c r="B14" i="8"/>
  <c r="J14" i="8" s="1"/>
  <c r="B13" i="8"/>
  <c r="J13" i="8" s="1"/>
  <c r="B12" i="8"/>
  <c r="J12" i="8" s="1"/>
  <c r="I10" i="8"/>
  <c r="I8" i="8" s="1"/>
  <c r="H10" i="8"/>
  <c r="G10" i="8"/>
  <c r="G8" i="8" s="1"/>
  <c r="F10" i="8"/>
  <c r="F8" i="8" s="1"/>
  <c r="D10" i="8"/>
  <c r="D8" i="8" s="1"/>
  <c r="B9" i="8"/>
  <c r="J9" i="8" s="1"/>
  <c r="H8" i="8"/>
  <c r="C8" i="8" l="1"/>
  <c r="B8" i="8" s="1"/>
  <c r="J8" i="8" s="1"/>
  <c r="B10" i="8"/>
  <c r="J10" i="8" s="1"/>
  <c r="B11" i="8"/>
  <c r="J11" i="8" s="1"/>
</calcChain>
</file>

<file path=xl/sharedStrings.xml><?xml version="1.0" encoding="utf-8"?>
<sst xmlns="http://schemas.openxmlformats.org/spreadsheetml/2006/main" count="80" uniqueCount="72">
  <si>
    <t xml:space="preserve">  Locality</t>
  </si>
  <si>
    <t>Total</t>
  </si>
  <si>
    <t>Republic</t>
  </si>
  <si>
    <t>ejcaWriLum</t>
  </si>
  <si>
    <t>Male'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</si>
  <si>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</si>
  <si>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</si>
  <si>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</si>
  <si>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</si>
  <si>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</si>
  <si>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</si>
  <si>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</si>
  <si>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</si>
  <si>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</si>
  <si>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</si>
  <si>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</si>
  <si>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</si>
  <si>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</si>
  <si>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</si>
  <si>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</si>
  <si>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</si>
  <si>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</si>
  <si>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</si>
  <si>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</si>
  <si>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</si>
  <si>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</si>
  <si>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</si>
  <si>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</si>
  <si>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</si>
  <si>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</si>
  <si>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</si>
  <si>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</si>
  <si>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</si>
  <si>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</si>
  <si>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</si>
  <si>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</si>
  <si>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</si>
  <si>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</si>
  <si>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</si>
  <si>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</si>
  <si>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</si>
  <si>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</si>
  <si>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</si>
  <si>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</si>
  <si>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Source: Ministry of Education</t>
  </si>
  <si>
    <t>cnwxEkuaiDea cfoa IrcTcsinim :ctWrwf ivcaed utWmUluAwm</t>
  </si>
  <si>
    <t>Teachers</t>
  </si>
  <si>
    <t>Trained</t>
  </si>
  <si>
    <t>Note: No untrained expatriate teachers</t>
  </si>
  <si>
    <t>cnIsEdib</t>
  </si>
  <si>
    <t>cnusircawdum</t>
  </si>
  <si>
    <t>Untrained</t>
  </si>
  <si>
    <t>Expatriate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</si>
  <si>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</si>
  <si>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</si>
  <si>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</si>
  <si>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</si>
  <si>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</si>
  <si>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</si>
  <si>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</si>
  <si>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</si>
  <si>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</si>
  <si>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</si>
  <si>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</si>
  <si>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</si>
  <si>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</si>
  <si>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</si>
  <si>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</si>
  <si>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</si>
  <si>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ބިދޭސީ ޓީޗަރުންގެ ތެރޭގައި ތަމްރީނު ލިބިފައިނުވާ ޓީޗަރުންނެއް ނެތް</t>
  </si>
  <si>
    <t>TABLE 7.8: LOCAL AND EXPATRIATE TEACHERS SERVING IN SCHOOLS OF MALE' AND ATOLLS BY LOCALITY, 2018</t>
  </si>
  <si>
    <t>2018 ,cnusircawdum IsEdib idwa ihevid WviretctWkwrwH iawgukwtWswrudwm egukwtuLotwa iaWaelWm : 7.8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</si>
</sst>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General_)"/>
    <numFmt numFmtId="167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name val="A_Randhoo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_Waheed"/>
    </font>
    <font>
      <sz val="10"/>
      <name val="Courier"/>
      <family val="3"/>
    </font>
    <font>
      <b/>
      <sz val="9"/>
      <name val="Arial"/>
      <family val="2"/>
    </font>
    <font>
      <sz val="9"/>
      <name val="A_Randhoo"/>
    </font>
    <font>
      <b/>
      <sz val="9"/>
      <name val="Calibri"/>
      <family val="2"/>
      <scheme val="minor"/>
    </font>
    <font>
      <b/>
      <sz val="9"/>
      <name val="A_Waheed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_Waheed"/>
    </font>
    <font>
      <b/>
      <sz val="9"/>
      <name val="Times New Roman"/>
      <family val="1"/>
    </font>
    <font>
      <b/>
      <sz val="10"/>
      <color rgb="FFFF0000"/>
      <name val="Arial"/>
      <family val="2"/>
    </font>
    <font>
      <b/>
      <sz val="10"/>
      <name val="A_Utheem"/>
    </font>
    <font>
      <b/>
      <sz val="10"/>
      <name val="Faruma"/>
    </font>
    <font>
      <sz val="12"/>
      <name val="A_Utheem"/>
    </font>
    <font>
      <sz val="10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9"/>
      <name val="Faruma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6">
    <xf numFmtId="0" fontId="0" fillId="0" borderId="0"/>
    <xf numFmtId="0" fontId="7" fillId="0" borderId="0"/>
    <xf numFmtId="167" fontId="7" fillId="0" borderId="0"/>
    <xf numFmtId="164" fontId="7" fillId="0" borderId="0"/>
    <xf numFmtId="0" fontId="2" fillId="0" borderId="0"/>
    <xf numFmtId="0" fontId="2" fillId="0" borderId="0"/>
  </cellStyleXfs>
  <cellXfs count="65">
    <xf numFmtId="0" fontId="0" fillId="0" borderId="0" xfId="0"/>
    <xf numFmtId="164" fontId="9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164" fontId="20" fillId="2" borderId="0" xfId="2" applyNumberFormat="1" applyFont="1" applyFill="1" applyAlignment="1">
      <alignment horizontal="center" vertical="center"/>
    </xf>
    <xf numFmtId="164" fontId="2" fillId="2" borderId="0" xfId="2" applyNumberFormat="1" applyFont="1" applyFill="1" applyAlignment="1">
      <alignment horizontal="center" vertical="center"/>
    </xf>
    <xf numFmtId="164" fontId="2" fillId="2" borderId="0" xfId="2" applyNumberFormat="1" applyFont="1" applyFill="1" applyAlignment="1">
      <alignment horizontal="center" vertical="top"/>
    </xf>
    <xf numFmtId="164" fontId="5" fillId="2" borderId="1" xfId="2" applyNumberFormat="1" applyFont="1" applyFill="1" applyBorder="1" applyAlignment="1">
      <alignment horizontal="center" vertical="top"/>
    </xf>
    <xf numFmtId="164" fontId="2" fillId="2" borderId="0" xfId="2" applyNumberFormat="1" applyFont="1" applyFill="1" applyBorder="1" applyAlignment="1">
      <alignment horizontal="center" vertical="top"/>
    </xf>
    <xf numFmtId="164" fontId="4" fillId="2" borderId="0" xfId="2" applyNumberFormat="1" applyFont="1" applyFill="1" applyBorder="1" applyAlignment="1">
      <alignment horizontal="center" vertical="center"/>
    </xf>
    <xf numFmtId="164" fontId="23" fillId="2" borderId="0" xfId="2" applyNumberFormat="1" applyFont="1" applyFill="1" applyAlignment="1">
      <alignment horizontal="right" vertical="center"/>
    </xf>
    <xf numFmtId="164" fontId="2" fillId="2" borderId="0" xfId="2" applyNumberFormat="1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 applyProtection="1">
      <alignment horizontal="left" vertical="center"/>
    </xf>
    <xf numFmtId="164" fontId="22" fillId="2" borderId="0" xfId="0" applyNumberFormat="1" applyFont="1" applyFill="1" applyBorder="1" applyAlignment="1">
      <alignment horizontal="right" vertical="center"/>
    </xf>
    <xf numFmtId="164" fontId="22" fillId="2" borderId="0" xfId="0" applyNumberFormat="1" applyFont="1" applyFill="1" applyBorder="1" applyAlignment="1">
      <alignment horizontal="center" vertical="center"/>
    </xf>
    <xf numFmtId="164" fontId="2" fillId="2" borderId="0" xfId="2" applyNumberFormat="1" applyFont="1" applyFill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5" fillId="2" borderId="0" xfId="2" applyNumberFormat="1" applyFont="1" applyFill="1" applyBorder="1" applyAlignment="1">
      <alignment horizontal="right" vertical="center"/>
    </xf>
    <xf numFmtId="164" fontId="4" fillId="2" borderId="0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5" fillId="2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10" fillId="2" borderId="2" xfId="2" applyNumberFormat="1" applyFont="1" applyFill="1" applyBorder="1" applyAlignment="1" applyProtection="1">
      <alignment horizontal="left" vertical="center"/>
    </xf>
    <xf numFmtId="3" fontId="16" fillId="2" borderId="2" xfId="2" applyNumberFormat="1" applyFont="1" applyFill="1" applyBorder="1" applyAlignment="1">
      <alignment vertical="center"/>
    </xf>
    <xf numFmtId="3" fontId="16" fillId="2" borderId="2" xfId="2" applyNumberFormat="1" applyFont="1" applyFill="1" applyBorder="1" applyAlignment="1">
      <alignment horizontal="right" vertical="center"/>
    </xf>
    <xf numFmtId="3" fontId="16" fillId="2" borderId="0" xfId="2" applyNumberFormat="1" applyFont="1" applyFill="1" applyBorder="1" applyAlignment="1">
      <alignment horizontal="center" vertical="center"/>
    </xf>
    <xf numFmtId="3" fontId="5" fillId="2" borderId="0" xfId="2" applyNumberFormat="1" applyFont="1" applyFill="1" applyBorder="1" applyAlignment="1">
      <alignment vertical="center"/>
    </xf>
    <xf numFmtId="3" fontId="17" fillId="2" borderId="0" xfId="2" applyNumberFormat="1" applyFont="1" applyFill="1" applyBorder="1" applyAlignment="1">
      <alignment horizontal="right" vertical="center"/>
    </xf>
    <xf numFmtId="3" fontId="24" fillId="2" borderId="0" xfId="2" applyNumberFormat="1" applyFont="1" applyFill="1" applyBorder="1" applyAlignment="1">
      <alignment horizontal="center" vertical="center"/>
    </xf>
    <xf numFmtId="3" fontId="17" fillId="2" borderId="0" xfId="2" applyNumberFormat="1" applyFont="1" applyFill="1" applyBorder="1" applyAlignment="1">
      <alignment horizontal="center" vertical="center"/>
    </xf>
    <xf numFmtId="164" fontId="19" fillId="2" borderId="0" xfId="3" applyFont="1" applyFill="1" applyBorder="1" applyAlignment="1">
      <alignment horizontal="center" vertical="center"/>
    </xf>
    <xf numFmtId="3" fontId="16" fillId="2" borderId="0" xfId="2" applyNumberFormat="1" applyFont="1" applyFill="1" applyBorder="1" applyAlignment="1">
      <alignment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4" fillId="2" borderId="0" xfId="3" applyFont="1" applyFill="1" applyBorder="1" applyAlignment="1" applyProtection="1">
      <alignment horizontal="left" vertical="center"/>
    </xf>
    <xf numFmtId="3" fontId="14" fillId="2" borderId="0" xfId="3" applyNumberFormat="1" applyFont="1" applyFill="1" applyBorder="1" applyAlignment="1">
      <alignment horizontal="right" vertical="center"/>
    </xf>
    <xf numFmtId="3" fontId="15" fillId="2" borderId="0" xfId="3" applyNumberFormat="1" applyFont="1" applyFill="1" applyBorder="1" applyAlignment="1">
      <alignment horizontal="right" vertical="center"/>
    </xf>
    <xf numFmtId="164" fontId="12" fillId="2" borderId="1" xfId="2" applyNumberFormat="1" applyFont="1" applyFill="1" applyBorder="1" applyAlignment="1" applyProtection="1">
      <alignment horizontal="left" vertical="center"/>
    </xf>
    <xf numFmtId="3" fontId="5" fillId="2" borderId="1" xfId="2" applyNumberFormat="1" applyFont="1" applyFill="1" applyBorder="1" applyAlignment="1">
      <alignment vertical="center"/>
    </xf>
    <xf numFmtId="3" fontId="17" fillId="2" borderId="1" xfId="2" applyNumberFormat="1" applyFont="1" applyFill="1" applyBorder="1" applyAlignment="1">
      <alignment horizontal="right" vertical="center"/>
    </xf>
    <xf numFmtId="3" fontId="24" fillId="2" borderId="1" xfId="2" applyNumberFormat="1" applyFont="1" applyFill="1" applyBorder="1" applyAlignment="1">
      <alignment horizontal="center" vertical="center"/>
    </xf>
    <xf numFmtId="3" fontId="17" fillId="2" borderId="1" xfId="2" applyNumberFormat="1" applyFont="1" applyFill="1" applyBorder="1" applyAlignment="1">
      <alignment horizontal="center" vertical="center"/>
    </xf>
    <xf numFmtId="164" fontId="18" fillId="2" borderId="1" xfId="0" applyNumberFormat="1" applyFont="1" applyFill="1" applyBorder="1" applyAlignment="1">
      <alignment horizontal="right" vertical="center"/>
    </xf>
    <xf numFmtId="164" fontId="25" fillId="2" borderId="0" xfId="2" applyNumberFormat="1" applyFont="1" applyFill="1" applyAlignment="1">
      <alignment horizontal="left" vertical="center"/>
    </xf>
    <xf numFmtId="164" fontId="26" fillId="2" borderId="0" xfId="2" applyNumberFormat="1" applyFont="1" applyFill="1" applyAlignment="1">
      <alignment horizontal="right"/>
    </xf>
    <xf numFmtId="164" fontId="13" fillId="2" borderId="0" xfId="2" applyNumberFormat="1" applyFont="1" applyFill="1" applyAlignment="1">
      <alignment horizontal="left" vertical="center"/>
    </xf>
    <xf numFmtId="41" fontId="19" fillId="2" borderId="0" xfId="0" applyNumberFormat="1" applyFont="1" applyFill="1" applyBorder="1" applyAlignment="1" applyProtection="1">
      <alignment horizontal="center" vertical="center"/>
    </xf>
    <xf numFmtId="41" fontId="14" fillId="2" borderId="0" xfId="0" applyNumberFormat="1" applyFont="1" applyFill="1" applyBorder="1" applyAlignment="1" applyProtection="1">
      <alignment horizontal="center" vertical="center"/>
    </xf>
    <xf numFmtId="41" fontId="15" fillId="2" borderId="0" xfId="0" applyNumberFormat="1" applyFont="1" applyFill="1" applyBorder="1" applyAlignment="1" applyProtection="1">
      <alignment horizontal="center" vertical="center"/>
    </xf>
    <xf numFmtId="164" fontId="2" fillId="2" borderId="0" xfId="2" applyNumberFormat="1" applyFont="1" applyFill="1" applyAlignment="1">
      <alignment horizontal="left" vertical="center"/>
    </xf>
    <xf numFmtId="164" fontId="19" fillId="2" borderId="0" xfId="3" applyFont="1" applyFill="1" applyBorder="1" applyAlignment="1" applyProtection="1">
      <alignment horizontal="center" vertical="center"/>
    </xf>
    <xf numFmtId="164" fontId="19" fillId="2" borderId="0" xfId="3" applyFont="1" applyFill="1" applyBorder="1" applyAlignment="1">
      <alignment horizontal="center" vertical="center"/>
    </xf>
    <xf numFmtId="164" fontId="14" fillId="2" borderId="0" xfId="3" applyFont="1" applyFill="1" applyBorder="1" applyAlignment="1">
      <alignment horizontal="center" vertical="center"/>
    </xf>
    <xf numFmtId="41" fontId="19" fillId="2" borderId="0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top"/>
    </xf>
    <xf numFmtId="164" fontId="22" fillId="2" borderId="2" xfId="0" applyNumberFormat="1" applyFont="1" applyFill="1" applyBorder="1" applyAlignment="1">
      <alignment horizontal="center" vertical="center"/>
    </xf>
    <xf numFmtId="164" fontId="21" fillId="2" borderId="2" xfId="0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3" fontId="16" fillId="2" borderId="0" xfId="2" applyNumberFormat="1" applyFont="1" applyFill="1" applyBorder="1" applyAlignment="1">
      <alignment horizontal="right" vertical="center"/>
    </xf>
    <xf numFmtId="3" fontId="27" fillId="2" borderId="0" xfId="2" applyNumberFormat="1" applyFont="1" applyFill="1" applyBorder="1" applyAlignment="1">
      <alignment horizontal="center" vertical="center"/>
    </xf>
  </cellXfs>
  <cellStyles count="6">
    <cellStyle name="Normal" xfId="0" builtinId="0"/>
    <cellStyle name="Normal 10" xfId="5"/>
    <cellStyle name="Normal 2 2 2" xfId="1"/>
    <cellStyle name="Normal 37" xfId="4"/>
    <cellStyle name="Normal 8" xfId="2"/>
    <cellStyle name="Normal_education" xfId="3"/>
  </cellStyles>
  <dxfs count="0"/>
  <tableStyles count="0" defaultTableStyle="TableStyleMedium2" defaultPivotStyle="PivotStyleLight16"/>
  <colors>
    <mruColors>
      <color rgb="FFFFE59B"/>
      <color rgb="FFFFF1C9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AL6" t="str">
            <v>Republic</v>
          </cell>
          <cell r="AM6" t="str">
            <v>Male'</v>
          </cell>
          <cell r="AN6" t="str">
            <v>Atolls</v>
          </cell>
        </row>
        <row r="7">
          <cell r="AK7" t="str">
            <v>Nurs.</v>
          </cell>
          <cell r="AL7">
            <v>5801</v>
          </cell>
          <cell r="AM7">
            <v>2627</v>
          </cell>
          <cell r="AN7">
            <v>3174</v>
          </cell>
        </row>
        <row r="8">
          <cell r="AK8" t="str">
            <v>LKG</v>
          </cell>
          <cell r="AL8">
            <v>7517</v>
          </cell>
          <cell r="AM8">
            <v>2709</v>
          </cell>
          <cell r="AN8">
            <v>4808</v>
          </cell>
        </row>
        <row r="9">
          <cell r="AK9" t="str">
            <v>UKG</v>
          </cell>
          <cell r="AL9">
            <v>7682</v>
          </cell>
          <cell r="AM9">
            <v>2636</v>
          </cell>
          <cell r="AN9">
            <v>5046</v>
          </cell>
        </row>
        <row r="10">
          <cell r="AK10" t="str">
            <v>Gr. 1</v>
          </cell>
          <cell r="AL10">
            <v>7325</v>
          </cell>
          <cell r="AM10">
            <v>2499</v>
          </cell>
          <cell r="AN10">
            <v>4826</v>
          </cell>
        </row>
        <row r="11">
          <cell r="AK11" t="str">
            <v>Gr. 2</v>
          </cell>
          <cell r="AL11">
            <v>7354</v>
          </cell>
          <cell r="AM11">
            <v>2499</v>
          </cell>
          <cell r="AN11">
            <v>4855</v>
          </cell>
        </row>
        <row r="12">
          <cell r="AK12" t="str">
            <v>Gr. 3</v>
          </cell>
          <cell r="AL12">
            <v>7137</v>
          </cell>
          <cell r="AM12">
            <v>2462</v>
          </cell>
          <cell r="AN12">
            <v>4675</v>
          </cell>
        </row>
        <row r="13">
          <cell r="AK13" t="str">
            <v>Gr. 4</v>
          </cell>
          <cell r="AL13">
            <v>6686</v>
          </cell>
          <cell r="AM13">
            <v>2287</v>
          </cell>
          <cell r="AN13">
            <v>4399</v>
          </cell>
        </row>
        <row r="14">
          <cell r="AK14" t="str">
            <v>Gr. 5</v>
          </cell>
          <cell r="AL14">
            <v>5955</v>
          </cell>
          <cell r="AM14">
            <v>2031</v>
          </cell>
          <cell r="AN14">
            <v>3924</v>
          </cell>
        </row>
        <row r="15">
          <cell r="AK15" t="str">
            <v>Gr. 6</v>
          </cell>
          <cell r="AL15">
            <v>5520</v>
          </cell>
          <cell r="AM15">
            <v>1862</v>
          </cell>
          <cell r="AN15">
            <v>3658</v>
          </cell>
        </row>
        <row r="16">
          <cell r="AK16" t="str">
            <v>Gr. 7</v>
          </cell>
          <cell r="AL16">
            <v>5349</v>
          </cell>
          <cell r="AM16">
            <v>1793</v>
          </cell>
          <cell r="AN16">
            <v>3556</v>
          </cell>
        </row>
        <row r="17">
          <cell r="AK17" t="str">
            <v>Gr. 8</v>
          </cell>
          <cell r="AL17">
            <v>5533</v>
          </cell>
          <cell r="AM17">
            <v>1788</v>
          </cell>
          <cell r="AN17">
            <v>3745</v>
          </cell>
        </row>
        <row r="18">
          <cell r="AK18" t="str">
            <v>Gr. 9</v>
          </cell>
          <cell r="AL18">
            <v>5585</v>
          </cell>
          <cell r="AM18">
            <v>1792</v>
          </cell>
          <cell r="AN18">
            <v>3793</v>
          </cell>
        </row>
        <row r="19">
          <cell r="AK19" t="str">
            <v>Gr. 10</v>
          </cell>
          <cell r="AL19">
            <v>5660</v>
          </cell>
          <cell r="AM19">
            <v>1755</v>
          </cell>
          <cell r="AN19">
            <v>3905</v>
          </cell>
        </row>
        <row r="20">
          <cell r="AK20" t="str">
            <v>Gr. 11</v>
          </cell>
          <cell r="AL20">
            <v>2063</v>
          </cell>
          <cell r="AM20">
            <v>1248</v>
          </cell>
          <cell r="AN20">
            <v>815</v>
          </cell>
        </row>
        <row r="21">
          <cell r="AK21" t="str">
            <v>Gr. 12</v>
          </cell>
          <cell r="AL21">
            <v>2128</v>
          </cell>
          <cell r="AM21">
            <v>1207</v>
          </cell>
          <cell r="AN21">
            <v>921</v>
          </cell>
        </row>
        <row r="64">
          <cell r="AL64" t="str">
            <v>Republic</v>
          </cell>
          <cell r="AM64" t="str">
            <v>Male'</v>
          </cell>
          <cell r="AN64" t="str">
            <v>Atolls</v>
          </cell>
        </row>
        <row r="65">
          <cell r="AJ65" t="str">
            <v>Higher Secondary</v>
          </cell>
          <cell r="AK65"/>
          <cell r="AL65">
            <v>3977</v>
          </cell>
          <cell r="AM65">
            <v>2445</v>
          </cell>
          <cell r="AN65">
            <v>1532</v>
          </cell>
        </row>
        <row r="66">
          <cell r="AJ66" t="str">
            <v>Secondary</v>
          </cell>
          <cell r="AK66"/>
          <cell r="AL66">
            <v>16289</v>
          </cell>
          <cell r="AM66">
            <v>5499</v>
          </cell>
          <cell r="AN66">
            <v>10790</v>
          </cell>
        </row>
        <row r="67">
          <cell r="AJ67" t="str">
            <v>Primary</v>
          </cell>
          <cell r="AK67"/>
          <cell r="AL67">
            <v>47236</v>
          </cell>
          <cell r="AM67">
            <v>16218</v>
          </cell>
          <cell r="AN67">
            <v>31018</v>
          </cell>
        </row>
        <row r="68">
          <cell r="AJ68" t="str">
            <v>Pre-Primary</v>
          </cell>
          <cell r="AK68"/>
          <cell r="AL68">
            <v>20411</v>
          </cell>
          <cell r="AM68">
            <v>7896</v>
          </cell>
          <cell r="AN68">
            <v>12515</v>
          </cell>
        </row>
      </sheetData>
      <sheetData sheetId="11">
        <row r="4">
          <cell r="F4" t="str">
            <v>Nurs.</v>
          </cell>
          <cell r="G4"/>
          <cell r="H4" t="str">
            <v>LKG</v>
          </cell>
          <cell r="I4"/>
          <cell r="J4" t="str">
            <v>UKG</v>
          </cell>
          <cell r="K4"/>
          <cell r="L4" t="str">
            <v>Gr. 1</v>
          </cell>
          <cell r="M4"/>
          <cell r="N4" t="str">
            <v>Gr. 2</v>
          </cell>
          <cell r="O4"/>
          <cell r="P4" t="str">
            <v>Gr. 3</v>
          </cell>
          <cell r="Q4"/>
          <cell r="R4" t="str">
            <v>Gr. 4</v>
          </cell>
          <cell r="S4"/>
          <cell r="T4" t="str">
            <v>Gr. 5</v>
          </cell>
          <cell r="U4"/>
          <cell r="V4" t="str">
            <v>Gr. 6</v>
          </cell>
          <cell r="W4"/>
          <cell r="X4" t="str">
            <v>Gr. 7</v>
          </cell>
          <cell r="Y4"/>
          <cell r="Z4" t="str">
            <v>Gr. 8</v>
          </cell>
          <cell r="AA4"/>
          <cell r="AB4" t="str">
            <v>Gr. 9</v>
          </cell>
          <cell r="AC4"/>
          <cell r="AD4" t="str">
            <v>Gr. 10</v>
          </cell>
          <cell r="AE4"/>
          <cell r="AF4" t="str">
            <v>Gr. 11</v>
          </cell>
          <cell r="AG4"/>
          <cell r="AH4" t="str">
            <v>Gr. 12</v>
          </cell>
          <cell r="AI4"/>
        </row>
        <row r="5">
          <cell r="F5" t="str">
            <v>M</v>
          </cell>
          <cell r="G5" t="str">
            <v>F</v>
          </cell>
          <cell r="H5" t="str">
            <v>M</v>
          </cell>
          <cell r="I5" t="str">
            <v>F</v>
          </cell>
          <cell r="J5" t="str">
            <v>M</v>
          </cell>
          <cell r="K5" t="str">
            <v>F</v>
          </cell>
          <cell r="L5" t="str">
            <v>M</v>
          </cell>
          <cell r="M5" t="str">
            <v>F</v>
          </cell>
          <cell r="N5" t="str">
            <v>M</v>
          </cell>
          <cell r="O5" t="str">
            <v>F</v>
          </cell>
          <cell r="P5" t="str">
            <v>M</v>
          </cell>
          <cell r="Q5" t="str">
            <v>F</v>
          </cell>
          <cell r="R5" t="str">
            <v>M</v>
          </cell>
          <cell r="S5" t="str">
            <v>F</v>
          </cell>
          <cell r="T5" t="str">
            <v>M</v>
          </cell>
          <cell r="U5" t="str">
            <v>F</v>
          </cell>
          <cell r="V5" t="str">
            <v>M</v>
          </cell>
          <cell r="W5" t="str">
            <v>F</v>
          </cell>
          <cell r="X5" t="str">
            <v>M</v>
          </cell>
          <cell r="Y5" t="str">
            <v>F</v>
          </cell>
          <cell r="Z5" t="str">
            <v>M</v>
          </cell>
          <cell r="AA5" t="str">
            <v>F</v>
          </cell>
          <cell r="AB5" t="str">
            <v>M</v>
          </cell>
          <cell r="AC5" t="str">
            <v>F</v>
          </cell>
          <cell r="AD5" t="str">
            <v>M</v>
          </cell>
          <cell r="AE5" t="str">
            <v>F</v>
          </cell>
          <cell r="AF5" t="str">
            <v>M</v>
          </cell>
          <cell r="AG5" t="str">
            <v>F</v>
          </cell>
          <cell r="AH5" t="str">
            <v>M</v>
          </cell>
          <cell r="AI5" t="str">
            <v>F</v>
          </cell>
        </row>
        <row r="6">
          <cell r="F6">
            <v>2759</v>
          </cell>
          <cell r="G6">
            <v>2673</v>
          </cell>
          <cell r="H6">
            <v>3829</v>
          </cell>
          <cell r="I6">
            <v>3549</v>
          </cell>
          <cell r="J6">
            <v>3994</v>
          </cell>
          <cell r="K6">
            <v>3607</v>
          </cell>
          <cell r="L6">
            <v>3991</v>
          </cell>
          <cell r="M6">
            <v>3550</v>
          </cell>
          <cell r="N6">
            <v>3717</v>
          </cell>
          <cell r="O6">
            <v>3471</v>
          </cell>
          <cell r="P6">
            <v>3712</v>
          </cell>
          <cell r="Q6">
            <v>3641</v>
          </cell>
          <cell r="R6">
            <v>3571</v>
          </cell>
          <cell r="S6">
            <v>3484</v>
          </cell>
          <cell r="T6">
            <v>3466</v>
          </cell>
          <cell r="U6">
            <v>3169</v>
          </cell>
          <cell r="V6">
            <v>3014</v>
          </cell>
          <cell r="W6">
            <v>2925</v>
          </cell>
          <cell r="X6">
            <v>2773</v>
          </cell>
          <cell r="Y6">
            <v>2752</v>
          </cell>
          <cell r="Z6">
            <v>2773</v>
          </cell>
          <cell r="AA6">
            <v>2603</v>
          </cell>
          <cell r="AB6">
            <v>2887</v>
          </cell>
          <cell r="AC6">
            <v>2601</v>
          </cell>
          <cell r="AD6">
            <v>2852</v>
          </cell>
          <cell r="AE6">
            <v>2573</v>
          </cell>
          <cell r="AF6">
            <v>880</v>
          </cell>
          <cell r="AG6">
            <v>1130</v>
          </cell>
          <cell r="AH6">
            <v>889</v>
          </cell>
          <cell r="AI6">
            <v>1078</v>
          </cell>
        </row>
        <row r="7">
          <cell r="B7" t="str">
            <v>Male'</v>
          </cell>
          <cell r="AL7">
            <v>36.469374567797672</v>
          </cell>
        </row>
        <row r="8">
          <cell r="B8" t="str">
            <v>Atolls</v>
          </cell>
          <cell r="AL8">
            <v>63.530625432202335</v>
          </cell>
        </row>
        <row r="9">
          <cell r="AL9">
            <v>4.3044518257360194</v>
          </cell>
        </row>
        <row r="10">
          <cell r="AL10">
            <v>6.4572445613358882</v>
          </cell>
        </row>
        <row r="11">
          <cell r="AL11">
            <v>4.1525433335978512</v>
          </cell>
        </row>
        <row r="12">
          <cell r="AL12">
            <v>3.4734897008309624</v>
          </cell>
        </row>
        <row r="13">
          <cell r="AL13">
            <v>5.3258663885456459</v>
          </cell>
        </row>
        <row r="14">
          <cell r="AL14">
            <v>2.9894230878235142</v>
          </cell>
          <cell r="BF14" t="str">
            <v>Nurs.</v>
          </cell>
          <cell r="BG14" t="str">
            <v>LKG</v>
          </cell>
          <cell r="BH14" t="str">
            <v>UKG</v>
          </cell>
          <cell r="BI14" t="str">
            <v>Gr. 1</v>
          </cell>
          <cell r="BJ14" t="str">
            <v>Gr. 2</v>
          </cell>
          <cell r="BK14" t="str">
            <v>Gr. 3</v>
          </cell>
          <cell r="BL14" t="str">
            <v>Gr. 4</v>
          </cell>
          <cell r="BM14" t="str">
            <v>Gr. 5</v>
          </cell>
          <cell r="BN14" t="str">
            <v>Gr. 6</v>
          </cell>
          <cell r="BO14" t="str">
            <v>Gr. 7</v>
          </cell>
          <cell r="BP14" t="str">
            <v>Gr. 8</v>
          </cell>
          <cell r="BQ14" t="str">
            <v>Gr. 9</v>
          </cell>
          <cell r="BR14" t="str">
            <v>Gr. 10</v>
          </cell>
          <cell r="BS14" t="str">
            <v>Gr. 11</v>
          </cell>
          <cell r="BT14" t="str">
            <v>Gr. 12</v>
          </cell>
        </row>
        <row r="15">
          <cell r="AL15">
            <v>2.3545816281416152</v>
          </cell>
          <cell r="BE15" t="str">
            <v>TOTAL</v>
          </cell>
          <cell r="BF15">
            <v>103.21735877291434</v>
          </cell>
          <cell r="BG15">
            <v>107.8895463510848</v>
          </cell>
          <cell r="BH15">
            <v>110.72913778763515</v>
          </cell>
          <cell r="BI15">
            <v>112.42253521126761</v>
          </cell>
          <cell r="BJ15">
            <v>107.08729472774417</v>
          </cell>
          <cell r="BK15">
            <v>101.95001373249109</v>
          </cell>
          <cell r="BL15">
            <v>102.4971297359357</v>
          </cell>
          <cell r="BM15">
            <v>109.37204165351847</v>
          </cell>
          <cell r="BN15">
            <v>103.04273504273505</v>
          </cell>
          <cell r="BO15">
            <v>100.76308139534885</v>
          </cell>
          <cell r="BP15">
            <v>106.53092585478294</v>
          </cell>
          <cell r="BQ15">
            <v>110.99577085736256</v>
          </cell>
          <cell r="BR15">
            <v>110.8433734939759</v>
          </cell>
          <cell r="BS15">
            <v>77.876106194690266</v>
          </cell>
          <cell r="BT15">
            <v>82.467532467532465</v>
          </cell>
        </row>
        <row r="16">
          <cell r="AL16">
            <v>3.2059493713935905</v>
          </cell>
        </row>
        <row r="17">
          <cell r="AL17">
            <v>2.041695480155536</v>
          </cell>
        </row>
        <row r="18">
          <cell r="AL18">
            <v>2.523494802235549</v>
          </cell>
          <cell r="BF18" t="str">
            <v>Nurs.</v>
          </cell>
          <cell r="BG18" t="str">
            <v>LKG</v>
          </cell>
          <cell r="BH18" t="str">
            <v>UKG</v>
          </cell>
          <cell r="BI18" t="str">
            <v>Gr. 1</v>
          </cell>
          <cell r="BJ18" t="str">
            <v>Gr. 2</v>
          </cell>
          <cell r="BK18" t="str">
            <v>Gr. 3</v>
          </cell>
          <cell r="BL18" t="str">
            <v>Gr. 4</v>
          </cell>
          <cell r="BM18" t="str">
            <v>Gr. 5</v>
          </cell>
          <cell r="BN18" t="str">
            <v>Gr. 6</v>
          </cell>
          <cell r="BO18" t="str">
            <v>Gr. 7</v>
          </cell>
          <cell r="BP18" t="str">
            <v>Gr. 8</v>
          </cell>
          <cell r="BQ18" t="str">
            <v>Gr. 9</v>
          </cell>
          <cell r="BR18" t="str">
            <v>Gr. 10</v>
          </cell>
          <cell r="BS18" t="str">
            <v>Gr. 11</v>
          </cell>
          <cell r="BT18" t="str">
            <v>Gr. 12</v>
          </cell>
        </row>
        <row r="19">
          <cell r="AL19">
            <v>0.32082166623210256</v>
          </cell>
          <cell r="BE19" t="str">
            <v>Male'</v>
          </cell>
          <cell r="BF19">
            <v>105.49273021001615</v>
          </cell>
          <cell r="BG19">
            <v>103.41685649202734</v>
          </cell>
          <cell r="BH19">
            <v>107.8538102643857</v>
          </cell>
          <cell r="BI19">
            <v>114.46384039900251</v>
          </cell>
          <cell r="BJ19">
            <v>108.43989769820972</v>
          </cell>
          <cell r="BK19">
            <v>97.383029341792223</v>
          </cell>
          <cell r="BL19">
            <v>102.64900662251655</v>
          </cell>
          <cell r="BM19">
            <v>105.70652173913044</v>
          </cell>
          <cell r="BN19">
            <v>98.360655737704917</v>
          </cell>
          <cell r="BO19">
            <v>107.98274002157497</v>
          </cell>
          <cell r="BP19">
            <v>104.37100213219617</v>
          </cell>
          <cell r="BQ19">
            <v>103.64238410596028</v>
          </cell>
          <cell r="BR19">
            <v>102.92056074766356</v>
          </cell>
          <cell r="BS19">
            <v>79.362670713201823</v>
          </cell>
          <cell r="BT19">
            <v>90.210843373493972</v>
          </cell>
        </row>
        <row r="20">
          <cell r="AL20">
            <v>1.393250274909025</v>
          </cell>
          <cell r="BE20" t="str">
            <v>Atolls</v>
          </cell>
          <cell r="BF20">
            <v>101.25435540069687</v>
          </cell>
          <cell r="BG20">
            <v>110.52867383512546</v>
          </cell>
          <cell r="BH20">
            <v>112.32227488151658</v>
          </cell>
          <cell r="BI20">
            <v>111.37622496804431</v>
          </cell>
          <cell r="BJ20">
            <v>106.39686684073106</v>
          </cell>
          <cell r="BK20">
            <v>104.36974789915968</v>
          </cell>
          <cell r="BL20">
            <v>102.41652021089631</v>
          </cell>
          <cell r="BM20">
            <v>111.33171912832928</v>
          </cell>
          <cell r="BN20">
            <v>105.61440677966101</v>
          </cell>
          <cell r="BO20">
            <v>97.095890410958901</v>
          </cell>
          <cell r="BP20">
            <v>107.74774774774775</v>
          </cell>
          <cell r="BQ20">
            <v>114.92625368731564</v>
          </cell>
          <cell r="BR20">
            <v>114.79324403028539</v>
          </cell>
          <cell r="BS20">
            <v>75.796178343949052</v>
          </cell>
          <cell r="BT20">
            <v>70.048309178743963</v>
          </cell>
        </row>
        <row r="21">
          <cell r="AL21">
            <v>1.6369840496083254</v>
          </cell>
        </row>
        <row r="22">
          <cell r="AL22">
            <v>1.8421738785412249</v>
          </cell>
        </row>
        <row r="23">
          <cell r="AL23">
            <v>2.9270725873190417</v>
          </cell>
        </row>
        <row r="24">
          <cell r="AL24">
            <v>3.9303488227091856</v>
          </cell>
          <cell r="CB24" t="str">
            <v>HA</v>
          </cell>
        </row>
        <row r="25">
          <cell r="AL25">
            <v>2.4838172110054302</v>
          </cell>
          <cell r="CB25" t="str">
            <v>HDh</v>
          </cell>
        </row>
        <row r="26">
          <cell r="AL26">
            <v>3.4984299010327513</v>
          </cell>
          <cell r="CB26" t="str">
            <v>Sh</v>
          </cell>
        </row>
        <row r="27">
          <cell r="AL27">
            <v>2.7933024226003562</v>
          </cell>
          <cell r="CB27" t="str">
            <v>N</v>
          </cell>
        </row>
        <row r="28">
          <cell r="AL28">
            <v>5.8756844384487197</v>
          </cell>
          <cell r="CB28" t="str">
            <v>R</v>
          </cell>
        </row>
        <row r="29">
          <cell r="CB29" t="str">
            <v>B</v>
          </cell>
        </row>
        <row r="30">
          <cell r="CB30" t="str">
            <v>Lh</v>
          </cell>
        </row>
        <row r="31">
          <cell r="CB31" t="str">
            <v>K</v>
          </cell>
        </row>
        <row r="32">
          <cell r="CB32" t="str">
            <v>AA</v>
          </cell>
        </row>
        <row r="33">
          <cell r="CB33" t="str">
            <v>ADh</v>
          </cell>
        </row>
        <row r="34">
          <cell r="CB34" t="str">
            <v>V</v>
          </cell>
        </row>
        <row r="35">
          <cell r="CB35" t="str">
            <v>M</v>
          </cell>
        </row>
        <row r="36">
          <cell r="CB36" t="str">
            <v>F</v>
          </cell>
        </row>
        <row r="37">
          <cell r="CB37" t="str">
            <v>Dh</v>
          </cell>
        </row>
        <row r="38">
          <cell r="CB38" t="str">
            <v>Th</v>
          </cell>
        </row>
        <row r="39">
          <cell r="CB39" t="str">
            <v>L</v>
          </cell>
        </row>
        <row r="40">
          <cell r="CB40" t="str">
            <v>GA</v>
          </cell>
        </row>
        <row r="41">
          <cell r="CB41" t="str">
            <v>GDh</v>
          </cell>
        </row>
        <row r="42">
          <cell r="CB42" t="str">
            <v>Gn</v>
          </cell>
        </row>
        <row r="43">
          <cell r="CB43" t="str">
            <v>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"/>
  <sheetViews>
    <sheetView tabSelected="1" zoomScaleNormal="100" workbookViewId="0">
      <selection activeCell="P21" sqref="P21"/>
    </sheetView>
  </sheetViews>
  <sheetFormatPr defaultColWidth="9.140625" defaultRowHeight="12.75" x14ac:dyDescent="0.25"/>
  <cols>
    <col min="1" max="1" width="11.42578125" style="52" customWidth="1"/>
    <col min="2" max="2" width="11.5703125" style="8" customWidth="1"/>
    <col min="3" max="4" width="13" style="8" customWidth="1"/>
    <col min="5" max="5" width="2.140625" style="8" customWidth="1"/>
    <col min="6" max="7" width="13.7109375" style="8" customWidth="1"/>
    <col min="8" max="9" width="14.5703125" style="8" customWidth="1"/>
    <col min="10" max="10" width="15.5703125" style="8" customWidth="1"/>
    <col min="11" max="11" width="16.85546875" style="8" customWidth="1"/>
    <col min="12" max="12" width="2" style="8" customWidth="1"/>
    <col min="13" max="16384" width="9.140625" style="8"/>
  </cols>
  <sheetData>
    <row r="1" spans="1:19" ht="20.25" customHeight="1" x14ac:dyDescent="0.25">
      <c r="A1" s="58" t="s">
        <v>71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7"/>
    </row>
    <row r="2" spans="1:19" s="9" customFormat="1" ht="16.5" customHeight="1" x14ac:dyDescent="0.25">
      <c r="A2" s="59" t="s">
        <v>70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9" s="9" customFormat="1" ht="5.2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M3" s="11"/>
      <c r="P3" s="11"/>
      <c r="Q3" s="11"/>
    </row>
    <row r="4" spans="1:19" ht="18.75" x14ac:dyDescent="0.25">
      <c r="A4" s="12"/>
      <c r="B4" s="12"/>
      <c r="C4" s="60" t="s">
        <v>53</v>
      </c>
      <c r="D4" s="60"/>
      <c r="E4" s="12"/>
      <c r="F4" s="61" t="s">
        <v>54</v>
      </c>
      <c r="G4" s="61"/>
      <c r="H4" s="2" t="s">
        <v>55</v>
      </c>
      <c r="I4" s="2" t="s">
        <v>56</v>
      </c>
      <c r="J4" s="4" t="s">
        <v>49</v>
      </c>
      <c r="K4" s="13"/>
      <c r="M4" s="14"/>
      <c r="P4" s="14"/>
      <c r="Q4" s="14"/>
    </row>
    <row r="5" spans="1:19" ht="17.25" customHeight="1" x14ac:dyDescent="0.25">
      <c r="A5" s="15" t="s">
        <v>0</v>
      </c>
      <c r="B5" s="16" t="s">
        <v>57</v>
      </c>
      <c r="C5" s="62" t="s">
        <v>47</v>
      </c>
      <c r="D5" s="62"/>
      <c r="E5" s="12"/>
      <c r="F5" s="62" t="s">
        <v>51</v>
      </c>
      <c r="G5" s="62"/>
      <c r="H5" s="2" t="s">
        <v>50</v>
      </c>
      <c r="I5" s="2" t="s">
        <v>50</v>
      </c>
      <c r="J5" s="17" t="s">
        <v>58</v>
      </c>
      <c r="K5" s="18"/>
      <c r="M5" s="14"/>
      <c r="N5" s="14"/>
      <c r="O5" s="14"/>
      <c r="P5" s="14"/>
      <c r="Q5" s="14"/>
    </row>
    <row r="6" spans="1:19" ht="18.75" x14ac:dyDescent="0.25">
      <c r="A6" s="19"/>
      <c r="B6" s="20" t="s">
        <v>1</v>
      </c>
      <c r="C6" s="2" t="s">
        <v>59</v>
      </c>
      <c r="D6" s="2" t="s">
        <v>60</v>
      </c>
      <c r="E6" s="21"/>
      <c r="F6" s="2" t="s">
        <v>59</v>
      </c>
      <c r="G6" s="2" t="s">
        <v>60</v>
      </c>
      <c r="H6" s="20" t="s">
        <v>61</v>
      </c>
      <c r="I6" s="20" t="s">
        <v>62</v>
      </c>
      <c r="J6" s="22" t="s">
        <v>52</v>
      </c>
      <c r="K6" s="16" t="s">
        <v>63</v>
      </c>
      <c r="M6" s="14"/>
      <c r="N6" s="14"/>
      <c r="O6" s="14"/>
      <c r="P6" s="14"/>
      <c r="Q6" s="14"/>
      <c r="R6" s="14"/>
      <c r="S6" s="14"/>
    </row>
    <row r="7" spans="1:19" ht="12.75" customHeight="1" x14ac:dyDescent="0.25">
      <c r="A7" s="23"/>
      <c r="B7" s="21"/>
      <c r="C7" s="20" t="s">
        <v>64</v>
      </c>
      <c r="D7" s="20" t="s">
        <v>65</v>
      </c>
      <c r="E7" s="21"/>
      <c r="F7" s="20" t="s">
        <v>64</v>
      </c>
      <c r="G7" s="20" t="s">
        <v>65</v>
      </c>
      <c r="H7" s="20" t="s">
        <v>66</v>
      </c>
      <c r="I7" s="20" t="s">
        <v>46</v>
      </c>
      <c r="J7" s="24" t="s">
        <v>67</v>
      </c>
      <c r="K7" s="25"/>
      <c r="M7" s="20"/>
      <c r="N7" s="20"/>
      <c r="O7" s="14"/>
      <c r="P7" s="14"/>
      <c r="Q7" s="14"/>
      <c r="R7" s="14"/>
      <c r="S7" s="14"/>
    </row>
    <row r="8" spans="1:19" ht="15" x14ac:dyDescent="0.25">
      <c r="A8" s="26" t="s">
        <v>2</v>
      </c>
      <c r="B8" s="27">
        <f>SUM(C8:G8)</f>
        <v>9586</v>
      </c>
      <c r="C8" s="28">
        <f>SUM(C9:C10)</f>
        <v>7987</v>
      </c>
      <c r="D8" s="28">
        <f>SUM(D9:D10)</f>
        <v>1024</v>
      </c>
      <c r="E8" s="28"/>
      <c r="F8" s="28">
        <f>SUM(F9:F10)</f>
        <v>212</v>
      </c>
      <c r="G8" s="28">
        <f>SUM(G9:G10)</f>
        <v>363</v>
      </c>
      <c r="H8" s="28">
        <f>SUM(H9:H10)</f>
        <v>2167</v>
      </c>
      <c r="I8" s="28">
        <f>SUM(I9:I10)</f>
        <v>7075</v>
      </c>
      <c r="J8" s="29">
        <f>H8/B8*100</f>
        <v>22.605883580221157</v>
      </c>
      <c r="K8" s="5" t="s">
        <v>3</v>
      </c>
      <c r="M8" s="53"/>
      <c r="N8" s="54"/>
      <c r="O8" s="54"/>
      <c r="P8" s="55"/>
      <c r="Q8" s="55"/>
      <c r="R8" s="55"/>
      <c r="S8" s="14"/>
    </row>
    <row r="9" spans="1:19" ht="14.25" x14ac:dyDescent="0.25">
      <c r="A9" s="15" t="s">
        <v>4</v>
      </c>
      <c r="B9" s="30">
        <f t="shared" ref="B9:B30" si="0">SUM(C9:G9)</f>
        <v>2692</v>
      </c>
      <c r="C9" s="63">
        <v>2586</v>
      </c>
      <c r="D9" s="63">
        <v>65</v>
      </c>
      <c r="E9" s="64"/>
      <c r="F9" s="63">
        <v>15</v>
      </c>
      <c r="G9" s="63">
        <v>26</v>
      </c>
      <c r="H9" s="63">
        <v>402</v>
      </c>
      <c r="I9" s="63">
        <v>2151</v>
      </c>
      <c r="J9" s="29">
        <f>H9/B9*100</f>
        <v>14.933135215453195</v>
      </c>
      <c r="K9" s="6" t="s">
        <v>5</v>
      </c>
      <c r="M9" s="53"/>
      <c r="N9" s="34"/>
      <c r="O9" s="34"/>
      <c r="P9" s="34"/>
      <c r="Q9" s="34"/>
      <c r="R9" s="34"/>
      <c r="S9" s="14"/>
    </row>
    <row r="10" spans="1:19" ht="14.25" x14ac:dyDescent="0.25">
      <c r="A10" s="15" t="s">
        <v>6</v>
      </c>
      <c r="B10" s="35">
        <f t="shared" si="0"/>
        <v>6894</v>
      </c>
      <c r="C10" s="35">
        <f>SUM(C11:C30)</f>
        <v>5401</v>
      </c>
      <c r="D10" s="35">
        <f>SUM(D11:D30)</f>
        <v>959</v>
      </c>
      <c r="E10" s="35"/>
      <c r="F10" s="35">
        <f>SUM(F11:F30)</f>
        <v>197</v>
      </c>
      <c r="G10" s="35">
        <f>SUM(G11:G30)</f>
        <v>337</v>
      </c>
      <c r="H10" s="35">
        <f>SUM(H11:H30)</f>
        <v>1765</v>
      </c>
      <c r="I10" s="35">
        <f>SUM(I11:I30)</f>
        <v>4924</v>
      </c>
      <c r="J10" s="29">
        <f>H10/B10*100</f>
        <v>25.601972729910067</v>
      </c>
      <c r="K10" s="6" t="s">
        <v>7</v>
      </c>
      <c r="M10" s="53"/>
      <c r="N10" s="34"/>
      <c r="O10" s="34"/>
      <c r="P10" s="34"/>
      <c r="Q10" s="34"/>
      <c r="R10" s="34"/>
      <c r="S10" s="14"/>
    </row>
    <row r="11" spans="1:19" ht="14.25" x14ac:dyDescent="0.25">
      <c r="A11" s="36" t="s">
        <v>8</v>
      </c>
      <c r="B11" s="30">
        <f t="shared" si="0"/>
        <v>454</v>
      </c>
      <c r="C11" s="31">
        <v>295</v>
      </c>
      <c r="D11" s="31">
        <v>102</v>
      </c>
      <c r="E11" s="32"/>
      <c r="F11" s="31">
        <v>32</v>
      </c>
      <c r="G11" s="31">
        <v>25</v>
      </c>
      <c r="H11" s="31">
        <v>132</v>
      </c>
      <c r="I11" s="31">
        <v>343</v>
      </c>
      <c r="J11" s="33">
        <f>H11/B11*100</f>
        <v>29.074889867841406</v>
      </c>
      <c r="K11" s="3" t="s">
        <v>9</v>
      </c>
      <c r="M11" s="37"/>
      <c r="N11" s="38"/>
      <c r="O11" s="38"/>
      <c r="P11" s="38"/>
      <c r="Q11" s="38"/>
      <c r="R11" s="38"/>
      <c r="S11" s="14"/>
    </row>
    <row r="12" spans="1:19" ht="14.25" x14ac:dyDescent="0.25">
      <c r="A12" s="36" t="s">
        <v>10</v>
      </c>
      <c r="B12" s="30">
        <f t="shared" si="0"/>
        <v>589</v>
      </c>
      <c r="C12" s="31">
        <v>413</v>
      </c>
      <c r="D12" s="31">
        <v>116</v>
      </c>
      <c r="E12" s="32"/>
      <c r="F12" s="31">
        <v>13</v>
      </c>
      <c r="G12" s="31">
        <v>47</v>
      </c>
      <c r="H12" s="31">
        <v>143</v>
      </c>
      <c r="I12" s="31">
        <v>463</v>
      </c>
      <c r="J12" s="33">
        <f t="shared" ref="J12:J30" si="1">H12/B12*100</f>
        <v>24.27843803056027</v>
      </c>
      <c r="K12" s="3" t="s">
        <v>11</v>
      </c>
      <c r="M12" s="37"/>
      <c r="N12" s="38"/>
      <c r="O12" s="38"/>
      <c r="P12" s="38"/>
      <c r="Q12" s="38"/>
      <c r="R12" s="38"/>
      <c r="S12" s="14"/>
    </row>
    <row r="13" spans="1:19" ht="14.25" x14ac:dyDescent="0.25">
      <c r="A13" s="36" t="s">
        <v>12</v>
      </c>
      <c r="B13" s="30">
        <f t="shared" si="0"/>
        <v>437</v>
      </c>
      <c r="C13" s="31">
        <v>353</v>
      </c>
      <c r="D13" s="31">
        <v>48</v>
      </c>
      <c r="E13" s="32"/>
      <c r="F13" s="31">
        <v>14</v>
      </c>
      <c r="G13" s="31">
        <v>22</v>
      </c>
      <c r="H13" s="31">
        <v>146</v>
      </c>
      <c r="I13" s="31">
        <v>276</v>
      </c>
      <c r="J13" s="33">
        <f t="shared" si="1"/>
        <v>33.409610983981693</v>
      </c>
      <c r="K13" s="3" t="s">
        <v>13</v>
      </c>
      <c r="M13" s="37"/>
      <c r="N13" s="38"/>
      <c r="O13" s="38"/>
      <c r="P13" s="38"/>
      <c r="Q13" s="38"/>
      <c r="R13" s="38"/>
      <c r="S13" s="14"/>
    </row>
    <row r="14" spans="1:19" ht="14.25" x14ac:dyDescent="0.25">
      <c r="A14" s="36" t="s">
        <v>14</v>
      </c>
      <c r="B14" s="30">
        <f t="shared" si="0"/>
        <v>448</v>
      </c>
      <c r="C14" s="31">
        <v>355</v>
      </c>
      <c r="D14" s="31">
        <v>70</v>
      </c>
      <c r="E14" s="32"/>
      <c r="F14" s="31">
        <v>7</v>
      </c>
      <c r="G14" s="31">
        <v>16</v>
      </c>
      <c r="H14" s="31">
        <v>106</v>
      </c>
      <c r="I14" s="31">
        <v>287</v>
      </c>
      <c r="J14" s="33">
        <f t="shared" si="1"/>
        <v>23.660714285714285</v>
      </c>
      <c r="K14" s="3" t="s">
        <v>15</v>
      </c>
      <c r="M14" s="37"/>
      <c r="N14" s="39"/>
      <c r="O14" s="39"/>
      <c r="P14" s="39"/>
      <c r="Q14" s="39"/>
      <c r="R14" s="39"/>
      <c r="S14" s="14"/>
    </row>
    <row r="15" spans="1:19" ht="14.25" x14ac:dyDescent="0.25">
      <c r="A15" s="36" t="s">
        <v>16</v>
      </c>
      <c r="B15" s="30">
        <f t="shared" si="0"/>
        <v>608</v>
      </c>
      <c r="C15" s="31">
        <v>410</v>
      </c>
      <c r="D15" s="31">
        <v>156</v>
      </c>
      <c r="E15" s="32"/>
      <c r="F15" s="31">
        <v>19</v>
      </c>
      <c r="G15" s="31">
        <v>23</v>
      </c>
      <c r="H15" s="31">
        <v>181</v>
      </c>
      <c r="I15" s="31">
        <v>444</v>
      </c>
      <c r="J15" s="33">
        <f t="shared" si="1"/>
        <v>29.769736842105267</v>
      </c>
      <c r="K15" s="3" t="s">
        <v>17</v>
      </c>
      <c r="M15" s="37"/>
      <c r="N15" s="39"/>
      <c r="O15" s="39"/>
      <c r="P15" s="39"/>
      <c r="Q15" s="39"/>
      <c r="R15" s="39"/>
      <c r="S15" s="14"/>
    </row>
    <row r="16" spans="1:19" ht="14.25" x14ac:dyDescent="0.25">
      <c r="A16" s="36" t="s">
        <v>18</v>
      </c>
      <c r="B16" s="30">
        <f t="shared" si="0"/>
        <v>412</v>
      </c>
      <c r="C16" s="31">
        <v>298</v>
      </c>
      <c r="D16" s="31">
        <v>82</v>
      </c>
      <c r="E16" s="32"/>
      <c r="F16" s="31">
        <v>4</v>
      </c>
      <c r="G16" s="31">
        <v>28</v>
      </c>
      <c r="H16" s="31">
        <v>100</v>
      </c>
      <c r="I16" s="31">
        <v>252</v>
      </c>
      <c r="J16" s="33">
        <f t="shared" si="1"/>
        <v>24.271844660194176</v>
      </c>
      <c r="K16" s="3" t="s">
        <v>19</v>
      </c>
      <c r="M16" s="37"/>
      <c r="N16" s="39"/>
      <c r="O16" s="39"/>
      <c r="P16" s="39"/>
      <c r="Q16" s="39"/>
      <c r="R16" s="39"/>
      <c r="S16" s="14"/>
    </row>
    <row r="17" spans="1:19" ht="14.25" x14ac:dyDescent="0.25">
      <c r="A17" s="36" t="s">
        <v>20</v>
      </c>
      <c r="B17" s="30">
        <f t="shared" si="0"/>
        <v>206</v>
      </c>
      <c r="C17" s="31">
        <v>177</v>
      </c>
      <c r="D17" s="31">
        <v>9</v>
      </c>
      <c r="E17" s="32"/>
      <c r="F17" s="31">
        <v>7</v>
      </c>
      <c r="G17" s="31">
        <v>13</v>
      </c>
      <c r="H17" s="31">
        <v>41</v>
      </c>
      <c r="I17" s="31">
        <v>155</v>
      </c>
      <c r="J17" s="33">
        <f t="shared" si="1"/>
        <v>19.902912621359224</v>
      </c>
      <c r="K17" s="3" t="s">
        <v>21</v>
      </c>
      <c r="M17" s="37"/>
      <c r="N17" s="39"/>
      <c r="O17" s="39"/>
      <c r="P17" s="39"/>
      <c r="Q17" s="39"/>
      <c r="R17" s="39"/>
      <c r="S17" s="14"/>
    </row>
    <row r="18" spans="1:19" ht="14.25" x14ac:dyDescent="0.25">
      <c r="A18" s="36" t="s">
        <v>22</v>
      </c>
      <c r="B18" s="30">
        <f t="shared" si="0"/>
        <v>300</v>
      </c>
      <c r="C18" s="31">
        <v>243</v>
      </c>
      <c r="D18" s="31">
        <v>45</v>
      </c>
      <c r="E18" s="32"/>
      <c r="F18" s="31">
        <v>0</v>
      </c>
      <c r="G18" s="31">
        <v>12</v>
      </c>
      <c r="H18" s="31">
        <v>85</v>
      </c>
      <c r="I18" s="31">
        <v>223</v>
      </c>
      <c r="J18" s="33">
        <f t="shared" si="1"/>
        <v>28.333333333333332</v>
      </c>
      <c r="K18" s="3" t="s">
        <v>23</v>
      </c>
      <c r="M18" s="37"/>
      <c r="N18" s="39"/>
      <c r="O18" s="39"/>
      <c r="P18" s="39"/>
      <c r="Q18" s="39"/>
      <c r="R18" s="39"/>
      <c r="S18" s="14"/>
    </row>
    <row r="19" spans="1:19" ht="14.25" x14ac:dyDescent="0.25">
      <c r="A19" s="36" t="s">
        <v>24</v>
      </c>
      <c r="B19" s="30">
        <f t="shared" si="0"/>
        <v>259</v>
      </c>
      <c r="C19" s="31">
        <v>203</v>
      </c>
      <c r="D19" s="31">
        <v>43</v>
      </c>
      <c r="E19" s="32"/>
      <c r="F19" s="31">
        <v>1</v>
      </c>
      <c r="G19" s="31">
        <v>12</v>
      </c>
      <c r="H19" s="31">
        <v>57</v>
      </c>
      <c r="I19" s="31">
        <v>159</v>
      </c>
      <c r="J19" s="33">
        <f t="shared" si="1"/>
        <v>22.007722007722009</v>
      </c>
      <c r="K19" s="3" t="s">
        <v>25</v>
      </c>
      <c r="M19" s="37"/>
      <c r="N19" s="39"/>
      <c r="O19" s="39"/>
      <c r="P19" s="39"/>
      <c r="Q19" s="39"/>
      <c r="R19" s="39"/>
      <c r="S19" s="14"/>
    </row>
    <row r="20" spans="1:19" ht="14.25" x14ac:dyDescent="0.25">
      <c r="A20" s="36" t="s">
        <v>68</v>
      </c>
      <c r="B20" s="30">
        <f t="shared" si="0"/>
        <v>280</v>
      </c>
      <c r="C20" s="31">
        <v>212</v>
      </c>
      <c r="D20" s="31">
        <v>46</v>
      </c>
      <c r="E20" s="32"/>
      <c r="F20" s="31">
        <v>4</v>
      </c>
      <c r="G20" s="31">
        <v>18</v>
      </c>
      <c r="H20" s="31">
        <v>86</v>
      </c>
      <c r="I20" s="31">
        <v>198</v>
      </c>
      <c r="J20" s="33">
        <f t="shared" si="1"/>
        <v>30.714285714285715</v>
      </c>
      <c r="K20" s="3" t="s">
        <v>26</v>
      </c>
      <c r="M20" s="37"/>
      <c r="N20" s="39"/>
      <c r="O20" s="39"/>
      <c r="P20" s="39"/>
      <c r="Q20" s="39"/>
      <c r="R20" s="39"/>
      <c r="S20" s="14"/>
    </row>
    <row r="21" spans="1:19" ht="14.25" x14ac:dyDescent="0.25">
      <c r="A21" s="36" t="s">
        <v>27</v>
      </c>
      <c r="B21" s="30">
        <f t="shared" si="0"/>
        <v>72</v>
      </c>
      <c r="C21" s="31">
        <v>59</v>
      </c>
      <c r="D21" s="31">
        <v>7</v>
      </c>
      <c r="E21" s="32"/>
      <c r="F21" s="31">
        <v>2</v>
      </c>
      <c r="G21" s="31">
        <v>4</v>
      </c>
      <c r="H21" s="31">
        <v>22</v>
      </c>
      <c r="I21" s="31">
        <v>50</v>
      </c>
      <c r="J21" s="33">
        <f t="shared" si="1"/>
        <v>30.555555555555557</v>
      </c>
      <c r="K21" s="3" t="s">
        <v>28</v>
      </c>
      <c r="M21" s="37"/>
      <c r="N21" s="39"/>
      <c r="O21" s="39"/>
      <c r="P21" s="39"/>
      <c r="Q21" s="39"/>
      <c r="R21" s="39"/>
      <c r="S21" s="14"/>
    </row>
    <row r="22" spans="1:19" ht="14.25" x14ac:dyDescent="0.25">
      <c r="A22" s="36" t="s">
        <v>29</v>
      </c>
      <c r="B22" s="30">
        <f t="shared" si="0"/>
        <v>176</v>
      </c>
      <c r="C22" s="31">
        <v>147</v>
      </c>
      <c r="D22" s="31">
        <v>23</v>
      </c>
      <c r="E22" s="32"/>
      <c r="F22" s="31">
        <v>1</v>
      </c>
      <c r="G22" s="31">
        <v>5</v>
      </c>
      <c r="H22" s="31">
        <v>53</v>
      </c>
      <c r="I22" s="31">
        <v>125</v>
      </c>
      <c r="J22" s="33">
        <f t="shared" si="1"/>
        <v>30.113636363636363</v>
      </c>
      <c r="K22" s="3" t="s">
        <v>30</v>
      </c>
      <c r="M22" s="37"/>
      <c r="N22" s="39"/>
      <c r="O22" s="39"/>
      <c r="P22" s="39"/>
      <c r="Q22" s="39"/>
      <c r="R22" s="39"/>
      <c r="S22" s="14"/>
    </row>
    <row r="23" spans="1:19" ht="14.25" x14ac:dyDescent="0.25">
      <c r="A23" s="36" t="s">
        <v>31</v>
      </c>
      <c r="B23" s="30">
        <f t="shared" si="0"/>
        <v>162</v>
      </c>
      <c r="C23" s="31">
        <v>142</v>
      </c>
      <c r="D23" s="31">
        <v>14</v>
      </c>
      <c r="E23" s="32"/>
      <c r="F23" s="31">
        <v>4</v>
      </c>
      <c r="G23" s="31">
        <v>2</v>
      </c>
      <c r="H23" s="31">
        <v>32</v>
      </c>
      <c r="I23" s="31">
        <v>129</v>
      </c>
      <c r="J23" s="33">
        <f t="shared" si="1"/>
        <v>19.753086419753085</v>
      </c>
      <c r="K23" s="3" t="s">
        <v>32</v>
      </c>
      <c r="M23" s="37"/>
      <c r="N23" s="39"/>
      <c r="O23" s="39"/>
      <c r="P23" s="39"/>
      <c r="Q23" s="39"/>
      <c r="R23" s="39"/>
      <c r="S23" s="14"/>
    </row>
    <row r="24" spans="1:19" ht="14.25" x14ac:dyDescent="0.25">
      <c r="A24" s="36" t="s">
        <v>33</v>
      </c>
      <c r="B24" s="30">
        <f t="shared" si="0"/>
        <v>209</v>
      </c>
      <c r="C24" s="31">
        <v>167</v>
      </c>
      <c r="D24" s="31">
        <v>33</v>
      </c>
      <c r="E24" s="32"/>
      <c r="F24" s="31">
        <v>1</v>
      </c>
      <c r="G24" s="31">
        <v>8</v>
      </c>
      <c r="H24" s="31">
        <v>49</v>
      </c>
      <c r="I24" s="31">
        <v>158</v>
      </c>
      <c r="J24" s="33">
        <f t="shared" si="1"/>
        <v>23.444976076555022</v>
      </c>
      <c r="K24" s="3" t="s">
        <v>34</v>
      </c>
      <c r="M24" s="37"/>
      <c r="N24" s="39"/>
      <c r="O24" s="39"/>
      <c r="P24" s="39"/>
      <c r="Q24" s="39"/>
      <c r="R24" s="39"/>
      <c r="S24" s="14"/>
    </row>
    <row r="25" spans="1:19" ht="14.25" x14ac:dyDescent="0.25">
      <c r="A25" s="36" t="s">
        <v>35</v>
      </c>
      <c r="B25" s="30">
        <f t="shared" si="0"/>
        <v>414</v>
      </c>
      <c r="C25" s="31">
        <v>349</v>
      </c>
      <c r="D25" s="31">
        <v>36</v>
      </c>
      <c r="E25" s="32"/>
      <c r="F25" s="31">
        <v>2</v>
      </c>
      <c r="G25" s="31">
        <v>27</v>
      </c>
      <c r="H25" s="31">
        <v>105</v>
      </c>
      <c r="I25" s="31">
        <v>235</v>
      </c>
      <c r="J25" s="33">
        <f t="shared" si="1"/>
        <v>25.362318840579711</v>
      </c>
      <c r="K25" s="3" t="s">
        <v>36</v>
      </c>
      <c r="M25" s="37"/>
      <c r="N25" s="39"/>
      <c r="O25" s="39"/>
      <c r="P25" s="39"/>
      <c r="Q25" s="39"/>
      <c r="R25" s="39"/>
      <c r="S25" s="14"/>
    </row>
    <row r="26" spans="1:19" ht="14.25" x14ac:dyDescent="0.25">
      <c r="A26" s="36" t="s">
        <v>21</v>
      </c>
      <c r="B26" s="30">
        <f t="shared" si="0"/>
        <v>392</v>
      </c>
      <c r="C26" s="31">
        <v>337</v>
      </c>
      <c r="D26" s="31">
        <v>34</v>
      </c>
      <c r="E26" s="32"/>
      <c r="F26" s="31">
        <v>3</v>
      </c>
      <c r="G26" s="31">
        <v>18</v>
      </c>
      <c r="H26" s="31">
        <v>114</v>
      </c>
      <c r="I26" s="31">
        <v>271</v>
      </c>
      <c r="J26" s="33">
        <f t="shared" si="1"/>
        <v>29.081632653061224</v>
      </c>
      <c r="K26" s="3" t="s">
        <v>37</v>
      </c>
      <c r="M26" s="37"/>
      <c r="N26" s="39"/>
      <c r="O26" s="39"/>
      <c r="P26" s="39"/>
      <c r="Q26" s="39"/>
      <c r="R26" s="39"/>
      <c r="S26" s="14"/>
    </row>
    <row r="27" spans="1:19" ht="14.25" x14ac:dyDescent="0.25">
      <c r="A27" s="36" t="s">
        <v>38</v>
      </c>
      <c r="B27" s="30">
        <f t="shared" si="0"/>
        <v>287</v>
      </c>
      <c r="C27" s="31">
        <v>229</v>
      </c>
      <c r="D27" s="31">
        <v>24</v>
      </c>
      <c r="E27" s="32"/>
      <c r="F27" s="31">
        <v>19</v>
      </c>
      <c r="G27" s="31">
        <v>15</v>
      </c>
      <c r="H27" s="31">
        <v>82</v>
      </c>
      <c r="I27" s="31">
        <v>207</v>
      </c>
      <c r="J27" s="33">
        <f t="shared" si="1"/>
        <v>28.571428571428569</v>
      </c>
      <c r="K27" s="3" t="s">
        <v>39</v>
      </c>
      <c r="M27" s="37"/>
      <c r="N27" s="39"/>
      <c r="O27" s="39"/>
      <c r="P27" s="39"/>
      <c r="Q27" s="39"/>
      <c r="R27" s="39"/>
      <c r="S27" s="14"/>
    </row>
    <row r="28" spans="1:19" ht="14.25" x14ac:dyDescent="0.25">
      <c r="A28" s="36" t="s">
        <v>40</v>
      </c>
      <c r="B28" s="30">
        <f t="shared" si="0"/>
        <v>383</v>
      </c>
      <c r="C28" s="31">
        <v>327</v>
      </c>
      <c r="D28" s="31">
        <v>19</v>
      </c>
      <c r="E28" s="32"/>
      <c r="F28" s="31">
        <v>25</v>
      </c>
      <c r="G28" s="31">
        <v>12</v>
      </c>
      <c r="H28" s="31">
        <v>100</v>
      </c>
      <c r="I28" s="31">
        <v>278</v>
      </c>
      <c r="J28" s="33">
        <f t="shared" si="1"/>
        <v>26.109660574412537</v>
      </c>
      <c r="K28" s="3" t="s">
        <v>41</v>
      </c>
      <c r="M28" s="37"/>
      <c r="N28" s="39"/>
      <c r="O28" s="39"/>
      <c r="P28" s="39"/>
      <c r="Q28" s="39"/>
      <c r="R28" s="39"/>
      <c r="S28" s="14"/>
    </row>
    <row r="29" spans="1:19" ht="14.25" x14ac:dyDescent="0.25">
      <c r="A29" s="36" t="s">
        <v>42</v>
      </c>
      <c r="B29" s="30">
        <f t="shared" si="0"/>
        <v>250</v>
      </c>
      <c r="C29" s="31">
        <v>178</v>
      </c>
      <c r="D29" s="31">
        <v>33</v>
      </c>
      <c r="E29" s="32"/>
      <c r="F29" s="31">
        <v>22</v>
      </c>
      <c r="G29" s="31">
        <v>17</v>
      </c>
      <c r="H29" s="31">
        <v>14</v>
      </c>
      <c r="I29" s="31">
        <v>210</v>
      </c>
      <c r="J29" s="33">
        <f t="shared" si="1"/>
        <v>5.6000000000000005</v>
      </c>
      <c r="K29" s="3" t="s">
        <v>14</v>
      </c>
      <c r="M29" s="37"/>
      <c r="N29" s="39"/>
      <c r="O29" s="39"/>
      <c r="P29" s="39"/>
      <c r="Q29" s="39"/>
      <c r="R29" s="39"/>
      <c r="S29" s="14"/>
    </row>
    <row r="30" spans="1:19" ht="14.25" x14ac:dyDescent="0.25">
      <c r="A30" s="40" t="s">
        <v>13</v>
      </c>
      <c r="B30" s="41">
        <f t="shared" si="0"/>
        <v>556</v>
      </c>
      <c r="C30" s="42">
        <v>507</v>
      </c>
      <c r="D30" s="42">
        <v>19</v>
      </c>
      <c r="E30" s="43"/>
      <c r="F30" s="42">
        <v>17</v>
      </c>
      <c r="G30" s="42">
        <v>13</v>
      </c>
      <c r="H30" s="42">
        <v>117</v>
      </c>
      <c r="I30" s="42">
        <v>461</v>
      </c>
      <c r="J30" s="44">
        <f t="shared" si="1"/>
        <v>21.043165467625897</v>
      </c>
      <c r="K30" s="45" t="s">
        <v>43</v>
      </c>
      <c r="M30" s="37"/>
      <c r="N30" s="39"/>
      <c r="O30" s="39"/>
      <c r="P30" s="39"/>
      <c r="Q30" s="39"/>
      <c r="R30" s="39"/>
      <c r="S30" s="14"/>
    </row>
    <row r="31" spans="1:19" ht="17.25" x14ac:dyDescent="0.45">
      <c r="A31" s="46" t="s">
        <v>48</v>
      </c>
      <c r="J31" s="35"/>
      <c r="K31" s="47" t="s">
        <v>69</v>
      </c>
      <c r="M31" s="37"/>
      <c r="N31" s="39"/>
      <c r="O31" s="39"/>
      <c r="P31" s="39"/>
      <c r="Q31" s="39"/>
      <c r="R31" s="39"/>
      <c r="S31" s="14"/>
    </row>
    <row r="32" spans="1:19" ht="15" x14ac:dyDescent="0.25">
      <c r="A32" s="48" t="s">
        <v>44</v>
      </c>
      <c r="J32" s="35"/>
      <c r="K32" s="1" t="s">
        <v>45</v>
      </c>
      <c r="M32" s="37"/>
      <c r="N32" s="39"/>
      <c r="O32" s="39"/>
      <c r="P32" s="39"/>
      <c r="Q32" s="39"/>
      <c r="R32" s="39"/>
      <c r="S32" s="14"/>
    </row>
    <row r="33" spans="2:19" s="8" customFormat="1" x14ac:dyDescent="0.25">
      <c r="M33" s="37"/>
      <c r="N33" s="39"/>
      <c r="O33" s="39"/>
      <c r="P33" s="39"/>
      <c r="Q33" s="39"/>
      <c r="R33" s="39"/>
      <c r="S33" s="14"/>
    </row>
    <row r="34" spans="2:19" s="8" customFormat="1" x14ac:dyDescent="0.25">
      <c r="M34" s="14"/>
      <c r="N34" s="14"/>
      <c r="O34" s="14"/>
      <c r="P34" s="14"/>
      <c r="Q34" s="14"/>
      <c r="R34" s="14"/>
      <c r="S34" s="14"/>
    </row>
    <row r="35" spans="2:19" s="8" customFormat="1" x14ac:dyDescent="0.25">
      <c r="M35" s="14"/>
      <c r="N35" s="14"/>
      <c r="O35" s="14"/>
      <c r="P35" s="14"/>
      <c r="Q35" s="14"/>
      <c r="R35" s="14"/>
      <c r="S35" s="14"/>
    </row>
    <row r="36" spans="2:19" s="8" customFormat="1" x14ac:dyDescent="0.25">
      <c r="M36" s="14"/>
      <c r="N36" s="14"/>
      <c r="O36" s="14"/>
      <c r="P36" s="14"/>
      <c r="Q36" s="14"/>
      <c r="R36" s="14"/>
      <c r="S36" s="14"/>
    </row>
    <row r="37" spans="2:19" s="8" customFormat="1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M37" s="14"/>
      <c r="N37" s="14"/>
      <c r="O37" s="14"/>
      <c r="P37" s="14"/>
      <c r="Q37" s="14"/>
      <c r="R37" s="14"/>
      <c r="S37" s="14"/>
    </row>
    <row r="38" spans="2:19" s="8" customFormat="1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  <c r="M38" s="14"/>
      <c r="N38" s="14"/>
      <c r="O38" s="14"/>
      <c r="P38" s="14"/>
      <c r="Q38" s="14"/>
      <c r="R38" s="14"/>
      <c r="S38" s="14"/>
    </row>
    <row r="39" spans="2:19" s="8" customFormat="1" x14ac:dyDescent="0.25">
      <c r="B39" s="56"/>
      <c r="C39" s="56"/>
      <c r="D39" s="57"/>
      <c r="E39" s="57"/>
      <c r="F39" s="14"/>
      <c r="G39" s="14"/>
      <c r="H39" s="14"/>
      <c r="I39" s="14"/>
      <c r="J39" s="14"/>
      <c r="K39" s="14"/>
      <c r="M39" s="14"/>
      <c r="N39" s="14"/>
      <c r="O39" s="14"/>
      <c r="P39" s="14"/>
      <c r="Q39" s="14"/>
      <c r="R39" s="14"/>
      <c r="S39" s="14"/>
    </row>
    <row r="40" spans="2:19" s="8" customFormat="1" x14ac:dyDescent="0.25">
      <c r="B40" s="56"/>
      <c r="C40" s="56"/>
      <c r="D40" s="57"/>
      <c r="E40" s="57"/>
      <c r="F40" s="14"/>
      <c r="G40" s="14"/>
      <c r="H40" s="14"/>
      <c r="I40" s="14"/>
      <c r="J40" s="14"/>
      <c r="K40" s="14"/>
      <c r="M40" s="14"/>
      <c r="N40" s="14"/>
      <c r="O40" s="14"/>
      <c r="P40" s="14"/>
      <c r="Q40" s="14"/>
      <c r="R40" s="14"/>
      <c r="S40" s="14"/>
    </row>
    <row r="41" spans="2:19" s="8" customFormat="1" x14ac:dyDescent="0.25">
      <c r="B41" s="56"/>
      <c r="C41" s="56"/>
      <c r="D41" s="57"/>
      <c r="E41" s="57"/>
      <c r="F41" s="14"/>
      <c r="G41" s="14"/>
      <c r="H41" s="14"/>
      <c r="I41" s="14"/>
      <c r="J41" s="14"/>
      <c r="K41" s="14"/>
      <c r="M41" s="14"/>
      <c r="N41" s="14"/>
      <c r="O41" s="14"/>
      <c r="P41" s="14"/>
      <c r="Q41" s="14"/>
      <c r="R41" s="14"/>
      <c r="S41" s="14"/>
    </row>
    <row r="42" spans="2:19" s="8" customFormat="1" x14ac:dyDescent="0.25">
      <c r="B42" s="56"/>
      <c r="C42" s="56"/>
      <c r="D42" s="57"/>
      <c r="E42" s="57"/>
      <c r="F42" s="14"/>
      <c r="G42" s="14"/>
      <c r="H42" s="14"/>
      <c r="I42" s="14"/>
      <c r="J42" s="14"/>
      <c r="K42" s="14"/>
      <c r="M42" s="14"/>
      <c r="N42" s="14"/>
      <c r="O42" s="14"/>
      <c r="P42" s="14"/>
      <c r="Q42" s="14"/>
      <c r="R42" s="14"/>
      <c r="S42" s="14"/>
    </row>
    <row r="43" spans="2:19" s="8" customFormat="1" x14ac:dyDescent="0.25">
      <c r="B43" s="49"/>
      <c r="C43" s="49"/>
      <c r="D43" s="49"/>
      <c r="E43" s="49"/>
      <c r="F43" s="14"/>
      <c r="G43" s="14"/>
      <c r="H43" s="14"/>
      <c r="I43" s="14"/>
      <c r="J43" s="14"/>
      <c r="K43" s="14"/>
      <c r="M43" s="14"/>
      <c r="N43" s="14"/>
      <c r="O43" s="14"/>
      <c r="P43" s="14"/>
      <c r="Q43" s="14"/>
      <c r="R43" s="14"/>
      <c r="S43" s="14"/>
    </row>
    <row r="44" spans="2:19" s="8" customFormat="1" x14ac:dyDescent="0.25">
      <c r="B44" s="50"/>
      <c r="C44" s="50"/>
      <c r="D44" s="50"/>
      <c r="E44" s="50"/>
      <c r="F44" s="14"/>
      <c r="G44" s="14"/>
      <c r="H44" s="14"/>
      <c r="I44" s="14"/>
      <c r="J44" s="14"/>
      <c r="K44" s="14"/>
    </row>
    <row r="45" spans="2:19" s="8" customFormat="1" x14ac:dyDescent="0.25">
      <c r="B45" s="50"/>
      <c r="C45" s="50"/>
      <c r="D45" s="50"/>
      <c r="E45" s="50"/>
      <c r="F45" s="14"/>
      <c r="G45" s="14"/>
      <c r="H45" s="14"/>
      <c r="I45" s="14"/>
      <c r="J45" s="14"/>
      <c r="K45" s="14"/>
    </row>
    <row r="46" spans="2:19" s="8" customFormat="1" x14ac:dyDescent="0.25">
      <c r="B46" s="50"/>
      <c r="C46" s="50"/>
      <c r="D46" s="50"/>
      <c r="E46" s="50"/>
      <c r="F46" s="14"/>
      <c r="G46" s="14"/>
      <c r="H46" s="14"/>
      <c r="I46" s="14"/>
      <c r="J46" s="14"/>
      <c r="K46" s="14"/>
    </row>
    <row r="47" spans="2:19" s="8" customFormat="1" x14ac:dyDescent="0.25">
      <c r="B47" s="51"/>
      <c r="C47" s="51"/>
      <c r="D47" s="51"/>
      <c r="E47" s="51"/>
      <c r="F47" s="14"/>
      <c r="G47" s="14"/>
      <c r="H47" s="14"/>
      <c r="I47" s="14"/>
      <c r="J47" s="14"/>
      <c r="K47" s="14"/>
    </row>
    <row r="48" spans="2:19" s="8" customFormat="1" x14ac:dyDescent="0.25">
      <c r="B48" s="51"/>
      <c r="C48" s="51"/>
      <c r="D48" s="51"/>
      <c r="E48" s="51"/>
      <c r="F48" s="14"/>
      <c r="G48" s="14"/>
      <c r="H48" s="14"/>
      <c r="I48" s="14"/>
      <c r="J48" s="14"/>
      <c r="K48" s="14"/>
    </row>
    <row r="49" spans="2:11" s="8" customFormat="1" x14ac:dyDescent="0.25">
      <c r="B49" s="51"/>
      <c r="C49" s="51"/>
      <c r="D49" s="51"/>
      <c r="E49" s="51"/>
      <c r="F49" s="14"/>
      <c r="G49" s="14"/>
      <c r="H49" s="14"/>
      <c r="I49" s="14"/>
      <c r="J49" s="14"/>
      <c r="K49" s="14"/>
    </row>
    <row r="50" spans="2:11" s="8" customFormat="1" x14ac:dyDescent="0.25">
      <c r="B50" s="51"/>
      <c r="C50" s="51"/>
      <c r="D50" s="51"/>
      <c r="E50" s="51"/>
      <c r="F50" s="14"/>
      <c r="G50" s="14"/>
      <c r="H50" s="14"/>
      <c r="I50" s="14"/>
      <c r="J50" s="14"/>
      <c r="K50" s="14"/>
    </row>
    <row r="51" spans="2:11" s="8" customFormat="1" x14ac:dyDescent="0.25">
      <c r="B51" s="51"/>
      <c r="C51" s="51"/>
      <c r="D51" s="51"/>
      <c r="E51" s="51"/>
      <c r="F51" s="14"/>
      <c r="G51" s="14"/>
      <c r="H51" s="14"/>
      <c r="I51" s="14"/>
      <c r="J51" s="14"/>
      <c r="K51" s="14"/>
    </row>
    <row r="52" spans="2:11" s="8" customFormat="1" x14ac:dyDescent="0.25">
      <c r="B52" s="51"/>
      <c r="C52" s="51"/>
      <c r="D52" s="51"/>
      <c r="E52" s="51"/>
      <c r="F52" s="14"/>
      <c r="G52" s="14"/>
      <c r="H52" s="14"/>
      <c r="I52" s="14"/>
      <c r="J52" s="14"/>
      <c r="K52" s="14"/>
    </row>
    <row r="53" spans="2:11" s="8" customFormat="1" x14ac:dyDescent="0.25">
      <c r="B53" s="51"/>
      <c r="C53" s="51"/>
      <c r="D53" s="51"/>
      <c r="E53" s="51"/>
      <c r="F53" s="14"/>
      <c r="G53" s="14"/>
      <c r="H53" s="14"/>
      <c r="I53" s="14"/>
      <c r="J53" s="14"/>
      <c r="K53" s="14"/>
    </row>
    <row r="54" spans="2:11" s="8" customFormat="1" x14ac:dyDescent="0.25">
      <c r="B54" s="51"/>
      <c r="C54" s="51"/>
      <c r="D54" s="51"/>
      <c r="E54" s="51"/>
      <c r="F54" s="14"/>
      <c r="G54" s="14"/>
      <c r="H54" s="14"/>
      <c r="I54" s="14"/>
      <c r="J54" s="14"/>
      <c r="K54" s="14"/>
    </row>
    <row r="55" spans="2:11" s="8" customFormat="1" x14ac:dyDescent="0.25">
      <c r="B55" s="51"/>
      <c r="C55" s="51"/>
      <c r="D55" s="51"/>
      <c r="E55" s="51"/>
      <c r="F55" s="14"/>
      <c r="G55" s="14"/>
      <c r="H55" s="14"/>
      <c r="I55" s="14"/>
      <c r="J55" s="14"/>
      <c r="K55" s="14"/>
    </row>
    <row r="56" spans="2:11" s="8" customFormat="1" x14ac:dyDescent="0.25">
      <c r="B56" s="51"/>
      <c r="C56" s="51"/>
      <c r="D56" s="51"/>
      <c r="E56" s="51"/>
      <c r="F56" s="14"/>
      <c r="G56" s="14"/>
      <c r="H56" s="14"/>
      <c r="I56" s="14"/>
      <c r="J56" s="14"/>
      <c r="K56" s="14"/>
    </row>
    <row r="57" spans="2:11" s="8" customFormat="1" x14ac:dyDescent="0.25">
      <c r="B57" s="51"/>
      <c r="C57" s="51"/>
      <c r="D57" s="51"/>
      <c r="E57" s="51"/>
      <c r="F57" s="14"/>
      <c r="G57" s="14"/>
      <c r="H57" s="14"/>
      <c r="I57" s="14"/>
      <c r="J57" s="14"/>
      <c r="K57" s="14"/>
    </row>
    <row r="58" spans="2:11" s="8" customFormat="1" x14ac:dyDescent="0.25">
      <c r="B58" s="51"/>
      <c r="C58" s="51"/>
      <c r="D58" s="51"/>
      <c r="E58" s="51"/>
      <c r="F58" s="14"/>
      <c r="G58" s="14"/>
      <c r="H58" s="14"/>
      <c r="I58" s="14"/>
      <c r="J58" s="14"/>
      <c r="K58" s="14"/>
    </row>
    <row r="59" spans="2:11" s="8" customFormat="1" x14ac:dyDescent="0.25">
      <c r="B59" s="51"/>
      <c r="C59" s="51"/>
      <c r="D59" s="51"/>
      <c r="E59" s="51"/>
      <c r="F59" s="14"/>
      <c r="G59" s="14"/>
      <c r="H59" s="14"/>
      <c r="I59" s="14"/>
      <c r="J59" s="14"/>
      <c r="K59" s="14"/>
    </row>
    <row r="60" spans="2:11" s="8" customFormat="1" x14ac:dyDescent="0.25">
      <c r="B60" s="51"/>
      <c r="C60" s="51"/>
      <c r="D60" s="51"/>
      <c r="E60" s="51"/>
      <c r="F60" s="14"/>
      <c r="G60" s="14"/>
      <c r="H60" s="14"/>
      <c r="I60" s="14"/>
      <c r="J60" s="14"/>
      <c r="K60" s="14"/>
    </row>
    <row r="61" spans="2:11" s="8" customFormat="1" x14ac:dyDescent="0.25">
      <c r="B61" s="51"/>
      <c r="C61" s="51"/>
      <c r="D61" s="51"/>
      <c r="E61" s="51"/>
      <c r="F61" s="14"/>
      <c r="G61" s="14"/>
      <c r="H61" s="14"/>
      <c r="I61" s="14"/>
      <c r="J61" s="14"/>
      <c r="K61" s="14"/>
    </row>
    <row r="62" spans="2:11" s="8" customFormat="1" x14ac:dyDescent="0.25">
      <c r="B62" s="51"/>
      <c r="C62" s="51"/>
      <c r="D62" s="51"/>
      <c r="E62" s="51"/>
      <c r="F62" s="14"/>
      <c r="G62" s="14"/>
      <c r="H62" s="14"/>
      <c r="I62" s="14"/>
      <c r="J62" s="14"/>
      <c r="K62" s="14"/>
    </row>
    <row r="63" spans="2:11" s="8" customFormat="1" x14ac:dyDescent="0.25">
      <c r="B63" s="51"/>
      <c r="C63" s="51"/>
      <c r="D63" s="51"/>
      <c r="E63" s="51"/>
      <c r="F63" s="14"/>
      <c r="G63" s="14"/>
      <c r="H63" s="14"/>
      <c r="I63" s="14"/>
      <c r="J63" s="14"/>
      <c r="K63" s="14"/>
    </row>
    <row r="64" spans="2:11" s="8" customFormat="1" x14ac:dyDescent="0.25">
      <c r="B64" s="51"/>
      <c r="C64" s="51"/>
      <c r="D64" s="51"/>
      <c r="E64" s="51"/>
      <c r="F64" s="14"/>
      <c r="G64" s="14"/>
      <c r="H64" s="14"/>
      <c r="I64" s="14"/>
      <c r="J64" s="14"/>
      <c r="K64" s="14"/>
    </row>
    <row r="65" spans="2:11" s="8" customFormat="1" x14ac:dyDescent="0.25">
      <c r="B65" s="51"/>
      <c r="C65" s="51"/>
      <c r="D65" s="51"/>
      <c r="E65" s="51"/>
      <c r="F65" s="14"/>
      <c r="G65" s="14"/>
      <c r="H65" s="14"/>
      <c r="I65" s="14"/>
      <c r="J65" s="14"/>
      <c r="K65" s="14"/>
    </row>
    <row r="66" spans="2:11" s="8" customFormat="1" x14ac:dyDescent="0.25">
      <c r="B66" s="51"/>
      <c r="C66" s="51"/>
      <c r="D66" s="51"/>
      <c r="E66" s="51"/>
      <c r="F66" s="14"/>
      <c r="G66" s="14"/>
      <c r="H66" s="14"/>
      <c r="I66" s="14"/>
      <c r="J66" s="14"/>
      <c r="K66" s="14"/>
    </row>
    <row r="67" spans="2:11" s="8" customForma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spans="2:11" s="8" customForma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</row>
  </sheetData>
  <mergeCells count="11">
    <mergeCell ref="A1:K1"/>
    <mergeCell ref="A2:K2"/>
    <mergeCell ref="C4:D4"/>
    <mergeCell ref="F4:G4"/>
    <mergeCell ref="C5:D5"/>
    <mergeCell ref="F5:G5"/>
    <mergeCell ref="M8:M10"/>
    <mergeCell ref="N8:O8"/>
    <mergeCell ref="P8:R8"/>
    <mergeCell ref="B39:C42"/>
    <mergeCell ref="D39:E42"/>
  </mergeCells>
  <pageMargins left="0.7" right="0.7" top="0.75" bottom="0.75" header="0.3" footer="0.3"/>
  <pageSetup paperSize="9" scale="58" orientation="portrait" horizontalDpi="4294967295" verticalDpi="4294967295" r:id="rId1"/>
  <ignoredErrors>
    <ignoredError sqref="B9:B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</vt:lpstr>
      <vt:lpstr>'7.8'!Print_Area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2019-05-23T06:57:18Z</cp:lastPrinted>
  <dcterms:created xsi:type="dcterms:W3CDTF">2019-02-28T08:20:57Z</dcterms:created>
  <dcterms:modified xsi:type="dcterms:W3CDTF">2019-05-23T07:30:27Z</dcterms:modified>
</cp:coreProperties>
</file>