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0" sheetId="1" r:id="rId1"/>
  </sheets>
  <externalReferences>
    <externalReference r:id="rId2"/>
    <externalReference r:id="rId3"/>
  </externalReferences>
  <definedNames>
    <definedName name="_xlnm.Print_Area" localSheetId="0">'11.10'!$A$1:$M$56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9" i="1" l="1"/>
  <c r="K49" i="1"/>
  <c r="I49" i="1"/>
  <c r="H49" i="1"/>
  <c r="G49" i="1"/>
  <c r="E49" i="1"/>
  <c r="D49" i="1"/>
  <c r="C49" i="1"/>
  <c r="B49" i="1"/>
  <c r="L46" i="1"/>
  <c r="L8" i="1" s="1"/>
  <c r="L7" i="1" s="1"/>
  <c r="K46" i="1"/>
  <c r="I46" i="1"/>
  <c r="H46" i="1"/>
  <c r="G46" i="1"/>
  <c r="E46" i="1"/>
  <c r="D46" i="1"/>
  <c r="C46" i="1"/>
  <c r="B46" i="1"/>
  <c r="B8" i="1" s="1"/>
  <c r="B7" i="1" s="1"/>
  <c r="L9" i="1"/>
  <c r="K9" i="1"/>
  <c r="I9" i="1"/>
  <c r="I8" i="1" s="1"/>
  <c r="I7" i="1" s="1"/>
  <c r="H9" i="1"/>
  <c r="G9" i="1"/>
  <c r="E9" i="1"/>
  <c r="E8" i="1" s="1"/>
  <c r="E7" i="1" s="1"/>
  <c r="D9" i="1"/>
  <c r="C9" i="1"/>
  <c r="C8" i="1" s="1"/>
  <c r="C7" i="1" s="1"/>
  <c r="B9" i="1"/>
  <c r="K8" i="1"/>
  <c r="K7" i="1" s="1"/>
  <c r="H8" i="1"/>
  <c r="H7" i="1" s="1"/>
  <c r="G8" i="1"/>
  <c r="G7" i="1" s="1"/>
  <c r="D8" i="1"/>
  <c r="D7" i="1" s="1"/>
</calcChain>
</file>

<file path=xl/sharedStrings.xml><?xml version="1.0" encoding="utf-8"?>
<sst xmlns="http://schemas.openxmlformats.org/spreadsheetml/2006/main" count="128" uniqueCount="120">
  <si>
    <t>2018 ,cliaem iaWlwdum unulufua iaWncnurwjcniswf irukurutwfurutwd cnurwhwfuTOb egukwtcniawlrwaea ikeaikea cSwrwdnwbegiawv ImWvcqwaclwniawb  : 11.10 ulwvWt</t>
  </si>
  <si>
    <t>Table 11.10 :  AIR TRANSPORT MOVEMENTS AT VELANA INTERNATIONAL AIRPORT BY AIRLINE, CROSS-CLASSIFIED BY PASSENGER, CARGO AND MAIL, 2018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</si>
  <si>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</si>
  <si>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</si>
  <si>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</si>
  <si>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</si>
  <si>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</si>
  <si>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</si>
  <si>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</si>
  <si>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</si>
  <si>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</si>
  <si>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</si>
  <si>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</si>
  <si>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</si>
  <si>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</si>
  <si>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</si>
  <si>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</si>
  <si>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</si>
  <si>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</si>
  <si>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</si>
  <si>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</si>
  <si>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</si>
  <si>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</si>
  <si>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</si>
  <si>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</si>
  <si>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</si>
  <si>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</si>
  <si>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</si>
  <si>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</si>
  <si>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</si>
  <si>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</si>
  <si>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</si>
  <si>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</si>
  <si>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</si>
  <si>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</si>
  <si>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</si>
  <si>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</si>
  <si>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</si>
  <si>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Alitalia</t>
  </si>
  <si>
    <t>އެލިޓާލިއާ</t>
  </si>
  <si>
    <t>HongKong Airways</t>
  </si>
  <si>
    <t>czEvrwaea cgcnokcnoh</t>
  </si>
  <si>
    <t>Condor</t>
  </si>
  <si>
    <t>ODcnok</t>
  </si>
  <si>
    <t>British Airways</t>
  </si>
  <si>
    <t>czEvrwaea cxiTircb</t>
  </si>
  <si>
    <t>Air Asia Thailand</t>
  </si>
  <si>
    <t>rwaea cnWmOa</t>
  </si>
  <si>
    <t>Fly Dubai</t>
  </si>
  <si>
    <t>ފްލަދުބައި</t>
  </si>
  <si>
    <t>Aeroflot</t>
  </si>
  <si>
    <t>cTolcfOriaea</t>
  </si>
  <si>
    <t>Oman Air</t>
  </si>
  <si>
    <t xml:space="preserve"> cscviDclOm Wgem</t>
  </si>
  <si>
    <t>Austrian Airlines</t>
  </si>
  <si>
    <t>cscniawlrwaea cnwaircTcsoa</t>
  </si>
  <si>
    <t>Saudi Arabian Airlines</t>
  </si>
  <si>
    <t>ސައުދީ އަރަބިއަން އެއަރލައިންސް</t>
  </si>
  <si>
    <t>Spice jet</t>
  </si>
  <si>
    <t>ސްޕައިސްޖެޓް</t>
  </si>
  <si>
    <t>Indigo</t>
  </si>
  <si>
    <t xml:space="preserve"> iawlcf WnWaiDirem</t>
  </si>
  <si>
    <t>Bangkok Airways</t>
  </si>
  <si>
    <t>czEvrwaea ckokcneb</t>
  </si>
  <si>
    <t xml:space="preserve">Maldivian </t>
  </si>
  <si>
    <t>މޯލްޑިވިއަން</t>
  </si>
  <si>
    <t>Turkish Airlines</t>
  </si>
  <si>
    <t>ޓޭރކިޝް އެއަރލައިންސް</t>
  </si>
  <si>
    <t>Cathay Pacific</t>
  </si>
  <si>
    <t>ކެތީ ޕެސަފިކް</t>
  </si>
  <si>
    <t>Air Asia</t>
  </si>
  <si>
    <t>އެއަރ އޭޝިޔާ</t>
  </si>
  <si>
    <t>China Southern Airlines</t>
  </si>
  <si>
    <t>cscniawlrwaea cnwdws WniawC</t>
  </si>
  <si>
    <t>Etihad Airways</t>
  </si>
  <si>
    <t>އެއްތިހާދު އެއަރވޭޒް</t>
  </si>
  <si>
    <t>Edelweiss</t>
  </si>
  <si>
    <t>cziawvcleDea</t>
  </si>
  <si>
    <t>Korean Air</t>
  </si>
  <si>
    <t>ކޮރިއަން އެއަރ</t>
  </si>
  <si>
    <t>Tiger Airways</t>
  </si>
  <si>
    <t>ޓައިގާ އެއރްވޭސް</t>
  </si>
  <si>
    <t xml:space="preserve">Neos </t>
  </si>
  <si>
    <t>ނިއޯސް</t>
  </si>
  <si>
    <t>Beijing Capital Airlines</t>
  </si>
  <si>
    <t>ބެއިޖިންގް ކެޕިޓަލް</t>
  </si>
  <si>
    <t>Silk Air</t>
  </si>
  <si>
    <t>ސިލްކް އެއަރ</t>
  </si>
  <si>
    <t>Air Asia X</t>
  </si>
  <si>
    <t>އެއަރ އޭޝިއާ އެކްސް</t>
  </si>
  <si>
    <t>Go Air</t>
  </si>
  <si>
    <t>ގޯ އެއަރ</t>
  </si>
  <si>
    <t>Air France</t>
  </si>
  <si>
    <t>މަހަން އެއަރލއިންސް</t>
  </si>
  <si>
    <t>Lufthansa</t>
  </si>
  <si>
    <t>ލުފްތަންސާ</t>
  </si>
  <si>
    <t>Fits Aviation (Cargo)</t>
  </si>
  <si>
    <t>(OgWk) cnwxEaivEa cscTif</t>
  </si>
  <si>
    <t>International Charter</t>
  </si>
  <si>
    <t xml:space="preserve"> cawtuTiawlcf rWTrWC ImWvcqwlwniawb</t>
  </si>
  <si>
    <t>Sichuan Airlines</t>
  </si>
  <si>
    <t>ސިޗުއަން އެއަރލައިންސް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</si>
  <si>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</si>
  <si>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</si>
  <si>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</si>
  <si>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</si>
  <si>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</si>
  <si>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 cDcneliawa</t>
  </si>
  <si>
    <t>Flyme</t>
  </si>
  <si>
    <t>ފްލައިމީ</t>
  </si>
  <si>
    <t xml:space="preserve">Trans Maldivian Airways </t>
  </si>
  <si>
    <t xml:space="preserve">   csEvrwaea cnwaiviDclOm  cscnWrcT</t>
  </si>
  <si>
    <t>Island Aviation (Sea Planes)</t>
  </si>
  <si>
    <t>(cnElcpIs) cnwxEaivEa cDcneliawa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</si>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</sst>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9" formatCode="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10"/>
      <name val="A_Randhoo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10"/>
      <name val="A_Reethi"/>
    </font>
    <font>
      <sz val="10"/>
      <name val="A_Haleem Sameydhaan Rasmee"/>
      <family val="2"/>
      <charset val="2"/>
    </font>
    <font>
      <sz val="9"/>
      <name val="Aammu HimaThedhu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2">
    <xf numFmtId="0" fontId="0" fillId="0" borderId="0"/>
    <xf numFmtId="164" fontId="2" fillId="0" borderId="0"/>
    <xf numFmtId="0" fontId="6" fillId="0" borderId="0"/>
    <xf numFmtId="40" fontId="15" fillId="0" borderId="0" applyFont="0" applyFill="0" applyBorder="0" applyAlignment="0" applyProtection="0"/>
    <xf numFmtId="0" fontId="6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</cellStyleXfs>
  <cellXfs count="93">
    <xf numFmtId="0" fontId="0" fillId="0" borderId="0" xfId="0"/>
    <xf numFmtId="164" fontId="0" fillId="2" borderId="0" xfId="0" applyNumberFormat="1" applyFill="1"/>
    <xf numFmtId="164" fontId="4" fillId="2" borderId="1" xfId="1" applyNumberFormat="1" applyFont="1" applyFill="1" applyBorder="1" applyAlignment="1" applyProtection="1">
      <alignment horizontal="center" vertical="center"/>
    </xf>
    <xf numFmtId="164" fontId="0" fillId="2" borderId="0" xfId="0" applyNumberFormat="1" applyFill="1" applyBorder="1"/>
    <xf numFmtId="164" fontId="5" fillId="2" borderId="0" xfId="1" applyNumberFormat="1" applyFont="1" applyFill="1" applyBorder="1" applyAlignment="1" applyProtection="1">
      <alignment horizontal="left" vertical="center"/>
    </xf>
    <xf numFmtId="0" fontId="7" fillId="2" borderId="0" xfId="2" applyFont="1" applyFill="1" applyAlignment="1">
      <alignment vertical="center"/>
    </xf>
    <xf numFmtId="164" fontId="8" fillId="2" borderId="1" xfId="1" applyNumberFormat="1" applyFont="1" applyFill="1" applyBorder="1" applyAlignment="1" applyProtection="1">
      <alignment horizontal="left" vertical="center"/>
    </xf>
    <xf numFmtId="164" fontId="9" fillId="2" borderId="1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164" fontId="11" fillId="2" borderId="0" xfId="1" applyNumberFormat="1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 applyProtection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0" fontId="12" fillId="2" borderId="0" xfId="2" applyFont="1" applyFill="1" applyBorder="1" applyAlignment="1">
      <alignment vertical="center"/>
    </xf>
    <xf numFmtId="164" fontId="8" fillId="2" borderId="0" xfId="1" applyNumberFormat="1" applyFont="1" applyFill="1" applyBorder="1" applyAlignment="1" applyProtection="1">
      <alignment horizontal="lef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 wrapText="1"/>
    </xf>
    <xf numFmtId="0" fontId="10" fillId="2" borderId="0" xfId="2" applyFont="1" applyFill="1" applyBorder="1" applyAlignment="1">
      <alignment horizontal="right"/>
    </xf>
    <xf numFmtId="164" fontId="13" fillId="2" borderId="0" xfId="0" applyNumberFormat="1" applyFont="1" applyFill="1"/>
    <xf numFmtId="164" fontId="8" fillId="2" borderId="1" xfId="1" applyNumberFormat="1" applyFont="1" applyFill="1" applyBorder="1" applyAlignment="1">
      <alignment vertical="center"/>
    </xf>
    <xf numFmtId="164" fontId="8" fillId="2" borderId="1" xfId="1" applyNumberFormat="1" applyFont="1" applyFill="1" applyBorder="1" applyAlignment="1" applyProtection="1">
      <alignment horizontal="right" vertical="center"/>
    </xf>
    <xf numFmtId="0" fontId="14" fillId="2" borderId="1" xfId="2" applyFont="1" applyFill="1" applyBorder="1" applyAlignment="1"/>
    <xf numFmtId="164" fontId="14" fillId="2" borderId="0" xfId="1" applyNumberFormat="1" applyFont="1" applyFill="1" applyBorder="1" applyAlignment="1">
      <alignment vertical="center"/>
    </xf>
    <xf numFmtId="38" fontId="14" fillId="2" borderId="0" xfId="3" applyNumberFormat="1" applyFont="1" applyFill="1" applyBorder="1" applyAlignment="1">
      <alignment horizontal="right" vertical="center" wrapText="1"/>
    </xf>
    <xf numFmtId="0" fontId="10" fillId="2" borderId="0" xfId="2" applyFont="1" applyFill="1" applyAlignment="1">
      <alignment horizontal="right"/>
    </xf>
    <xf numFmtId="38" fontId="14" fillId="2" borderId="0" xfId="3" applyNumberFormat="1" applyFont="1" applyFill="1" applyBorder="1" applyAlignment="1">
      <alignment horizontal="right" vertical="top" wrapText="1"/>
    </xf>
    <xf numFmtId="164" fontId="14" fillId="2" borderId="0" xfId="1" applyNumberFormat="1" applyFont="1" applyFill="1" applyAlignment="1" applyProtection="1">
      <alignment horizontal="left" vertical="center"/>
    </xf>
    <xf numFmtId="38" fontId="14" fillId="2" borderId="2" xfId="3" applyNumberFormat="1" applyFont="1" applyFill="1" applyBorder="1" applyAlignment="1" applyProtection="1">
      <alignment horizontal="right" vertical="center" wrapText="1"/>
    </xf>
    <xf numFmtId="0" fontId="10" fillId="2" borderId="0" xfId="2" applyFont="1" applyFill="1" applyAlignment="1">
      <alignment horizontal="right" wrapText="1"/>
    </xf>
    <xf numFmtId="164" fontId="16" fillId="2" borderId="0" xfId="0" applyNumberFormat="1" applyFont="1" applyFill="1" applyAlignment="1" applyProtection="1">
      <alignment horizontal="left" vertical="center"/>
    </xf>
    <xf numFmtId="38" fontId="16" fillId="2" borderId="2" xfId="3" applyNumberFormat="1" applyFont="1" applyFill="1" applyBorder="1" applyAlignment="1">
      <alignment horizontal="right" vertical="center" wrapText="1"/>
    </xf>
    <xf numFmtId="38" fontId="16" fillId="2" borderId="2" xfId="3" applyNumberFormat="1" applyFont="1" applyFill="1" applyBorder="1" applyAlignment="1">
      <alignment horizontal="right" vertical="center"/>
    </xf>
    <xf numFmtId="0" fontId="17" fillId="2" borderId="0" xfId="2" applyFont="1" applyFill="1" applyAlignment="1">
      <alignment horizontal="right"/>
    </xf>
    <xf numFmtId="38" fontId="16" fillId="2" borderId="2" xfId="3" applyNumberFormat="1" applyFont="1" applyFill="1" applyBorder="1" applyAlignment="1" applyProtection="1">
      <alignment horizontal="right" vertical="center" wrapText="1"/>
    </xf>
    <xf numFmtId="38" fontId="16" fillId="2" borderId="2" xfId="3" applyNumberFormat="1" applyFont="1" applyFill="1" applyBorder="1" applyAlignment="1" applyProtection="1">
      <alignment horizontal="right" vertical="center"/>
    </xf>
    <xf numFmtId="0" fontId="18" fillId="2" borderId="0" xfId="2" applyFont="1" applyFill="1" applyAlignment="1">
      <alignment horizontal="right"/>
    </xf>
    <xf numFmtId="0" fontId="17" fillId="2" borderId="0" xfId="2" applyFont="1" applyFill="1" applyBorder="1" applyAlignment="1">
      <alignment horizontal="right"/>
    </xf>
    <xf numFmtId="0" fontId="19" fillId="2" borderId="0" xfId="2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 applyAlignment="1">
      <alignment horizontal="left" vertical="center"/>
    </xf>
    <xf numFmtId="0" fontId="17" fillId="2" borderId="0" xfId="0" applyNumberFormat="1" applyFont="1" applyFill="1" applyAlignment="1">
      <alignment horizontal="right"/>
    </xf>
    <xf numFmtId="164" fontId="16" fillId="2" borderId="0" xfId="1" applyNumberFormat="1" applyFont="1" applyFill="1" applyAlignment="1" applyProtection="1">
      <alignment horizontal="left" vertical="center"/>
    </xf>
    <xf numFmtId="0" fontId="19" fillId="2" borderId="0" xfId="0" applyNumberFormat="1" applyFont="1" applyFill="1" applyAlignment="1">
      <alignment horizontal="right"/>
    </xf>
    <xf numFmtId="164" fontId="16" fillId="2" borderId="0" xfId="0" applyNumberFormat="1" applyFont="1" applyFill="1" applyAlignment="1" applyProtection="1">
      <alignment vertical="center"/>
    </xf>
    <xf numFmtId="0" fontId="19" fillId="2" borderId="0" xfId="0" applyNumberFormat="1" applyFont="1" applyFill="1" applyAlignment="1">
      <alignment horizontal="right" vertical="center"/>
    </xf>
    <xf numFmtId="0" fontId="17" fillId="2" borderId="0" xfId="0" applyNumberFormat="1" applyFont="1" applyFill="1" applyAlignment="1">
      <alignment horizontal="right" vertical="center"/>
    </xf>
    <xf numFmtId="164" fontId="16" fillId="2" borderId="0" xfId="1" applyNumberFormat="1" applyFont="1" applyFill="1" applyAlignment="1" applyProtection="1">
      <alignment vertical="center"/>
    </xf>
    <xf numFmtId="0" fontId="20" fillId="2" borderId="0" xfId="2" applyFont="1" applyFill="1" applyAlignment="1">
      <alignment horizontal="right"/>
    </xf>
    <xf numFmtId="38" fontId="16" fillId="2" borderId="3" xfId="3" applyNumberFormat="1" applyFont="1" applyFill="1" applyBorder="1" applyAlignment="1">
      <alignment horizontal="right" vertical="center"/>
    </xf>
    <xf numFmtId="38" fontId="16" fillId="2" borderId="3" xfId="3" applyNumberFormat="1" applyFont="1" applyFill="1" applyBorder="1" applyAlignment="1">
      <alignment horizontal="right" vertical="center" wrapText="1"/>
    </xf>
    <xf numFmtId="38" fontId="16" fillId="2" borderId="0" xfId="3" applyNumberFormat="1" applyFont="1" applyFill="1" applyBorder="1" applyAlignment="1">
      <alignment horizontal="right" vertical="center" wrapText="1"/>
    </xf>
    <xf numFmtId="38" fontId="16" fillId="2" borderId="0" xfId="3" applyNumberFormat="1" applyFont="1" applyFill="1" applyBorder="1" applyAlignment="1" applyProtection="1">
      <alignment horizontal="right" vertical="center"/>
    </xf>
    <xf numFmtId="38" fontId="16" fillId="2" borderId="0" xfId="3" applyNumberFormat="1" applyFont="1" applyFill="1" applyBorder="1" applyAlignment="1" applyProtection="1">
      <alignment horizontal="right" vertical="center" wrapText="1"/>
    </xf>
    <xf numFmtId="0" fontId="20" fillId="2" borderId="0" xfId="2" applyFont="1" applyFill="1" applyBorder="1" applyAlignment="1">
      <alignment horizontal="right"/>
    </xf>
    <xf numFmtId="164" fontId="14" fillId="2" borderId="0" xfId="1" applyNumberFormat="1" applyFont="1" applyFill="1" applyBorder="1" applyAlignment="1" applyProtection="1">
      <alignment horizontal="left" vertical="center"/>
    </xf>
    <xf numFmtId="38" fontId="14" fillId="2" borderId="0" xfId="3" applyNumberFormat="1" applyFont="1" applyFill="1" applyBorder="1" applyAlignment="1" applyProtection="1">
      <alignment horizontal="right" vertical="center"/>
    </xf>
    <xf numFmtId="164" fontId="16" fillId="2" borderId="0" xfId="1" applyNumberFormat="1" applyFont="1" applyFill="1" applyBorder="1" applyAlignment="1" applyProtection="1">
      <alignment horizontal="left" vertical="center"/>
    </xf>
    <xf numFmtId="38" fontId="14" fillId="2" borderId="0" xfId="3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 applyProtection="1">
      <alignment horizontal="right"/>
    </xf>
    <xf numFmtId="164" fontId="10" fillId="2" borderId="0" xfId="1" applyNumberFormat="1" applyFont="1" applyFill="1" applyBorder="1" applyAlignment="1">
      <alignment horizontal="right"/>
    </xf>
    <xf numFmtId="164" fontId="16" fillId="2" borderId="4" xfId="0" applyNumberFormat="1" applyFont="1" applyFill="1" applyBorder="1" applyAlignment="1" applyProtection="1">
      <alignment horizontal="left" vertical="center" indent="1"/>
    </xf>
    <xf numFmtId="38" fontId="16" fillId="2" borderId="4" xfId="3" applyNumberFormat="1" applyFont="1" applyFill="1" applyBorder="1" applyAlignment="1">
      <alignment horizontal="right" vertical="center"/>
    </xf>
    <xf numFmtId="38" fontId="16" fillId="2" borderId="4" xfId="3" applyNumberFormat="1" applyFont="1" applyFill="1" applyBorder="1" applyAlignment="1">
      <alignment horizontal="right" vertical="center" wrapText="1"/>
    </xf>
    <xf numFmtId="0" fontId="17" fillId="2" borderId="5" xfId="2" applyFont="1" applyFill="1" applyBorder="1" applyAlignment="1">
      <alignment horizontal="right"/>
    </xf>
    <xf numFmtId="164" fontId="16" fillId="2" borderId="2" xfId="0" applyNumberFormat="1" applyFont="1" applyFill="1" applyBorder="1" applyAlignment="1" applyProtection="1">
      <alignment horizontal="left" vertical="center" indent="1"/>
    </xf>
    <xf numFmtId="0" fontId="19" fillId="2" borderId="6" xfId="2" applyFont="1" applyFill="1" applyBorder="1" applyAlignment="1">
      <alignment horizontal="right"/>
    </xf>
    <xf numFmtId="38" fontId="16" fillId="2" borderId="2" xfId="3" applyNumberFormat="1" applyFont="1" applyFill="1" applyBorder="1" applyAlignment="1" applyProtection="1">
      <alignment horizontal="left" vertical="center" indent="1"/>
    </xf>
    <xf numFmtId="38" fontId="17" fillId="2" borderId="6" xfId="3" applyNumberFormat="1" applyFont="1" applyFill="1" applyBorder="1" applyAlignment="1">
      <alignment horizontal="right"/>
    </xf>
    <xf numFmtId="38" fontId="16" fillId="2" borderId="7" xfId="3" applyNumberFormat="1" applyFont="1" applyFill="1" applyBorder="1" applyAlignment="1" applyProtection="1">
      <alignment horizontal="left" vertical="center" indent="1"/>
    </xf>
    <xf numFmtId="38" fontId="16" fillId="2" borderId="7" xfId="3" applyNumberFormat="1" applyFont="1" applyFill="1" applyBorder="1" applyAlignment="1" applyProtection="1">
      <alignment horizontal="right" vertical="center" wrapText="1"/>
      <protection locked="0"/>
    </xf>
    <xf numFmtId="38" fontId="16" fillId="2" borderId="7" xfId="3" applyNumberFormat="1" applyFont="1" applyFill="1" applyBorder="1" applyAlignment="1" applyProtection="1">
      <alignment horizontal="right" vertical="center"/>
    </xf>
    <xf numFmtId="38" fontId="16" fillId="2" borderId="7" xfId="3" applyNumberFormat="1" applyFont="1" applyFill="1" applyBorder="1" applyAlignment="1" applyProtection="1">
      <alignment horizontal="right" vertical="center" wrapText="1"/>
    </xf>
    <xf numFmtId="38" fontId="17" fillId="2" borderId="8" xfId="3" applyNumberFormat="1" applyFont="1" applyFill="1" applyBorder="1" applyAlignment="1">
      <alignment horizontal="right"/>
    </xf>
    <xf numFmtId="38" fontId="21" fillId="2" borderId="0" xfId="3" applyNumberFormat="1" applyFont="1" applyFill="1" applyAlignment="1">
      <alignment vertical="center"/>
    </xf>
    <xf numFmtId="38" fontId="12" fillId="2" borderId="0" xfId="3" applyNumberFormat="1" applyFont="1" applyFill="1" applyAlignment="1">
      <alignment vertical="center"/>
    </xf>
    <xf numFmtId="38" fontId="22" fillId="2" borderId="0" xfId="3" applyNumberFormat="1" applyFont="1" applyFill="1"/>
    <xf numFmtId="164" fontId="23" fillId="2" borderId="0" xfId="1" applyNumberFormat="1" applyFont="1" applyFill="1" applyBorder="1" applyAlignment="1" applyProtection="1">
      <alignment horizontal="left" vertical="center"/>
    </xf>
    <xf numFmtId="164" fontId="24" fillId="2" borderId="0" xfId="1" applyNumberFormat="1" applyFont="1" applyFill="1" applyBorder="1" applyAlignment="1" applyProtection="1">
      <alignment horizontal="right" vertical="center"/>
    </xf>
    <xf numFmtId="37" fontId="24" fillId="2" borderId="0" xfId="1" applyNumberFormat="1" applyFont="1" applyFill="1" applyBorder="1" applyAlignment="1" applyProtection="1">
      <alignment horizontal="right" vertical="center"/>
    </xf>
    <xf numFmtId="37" fontId="12" fillId="2" borderId="0" xfId="1" applyNumberFormat="1" applyFont="1" applyFill="1" applyBorder="1" applyAlignment="1" applyProtection="1">
      <alignment horizontal="right" vertical="center"/>
    </xf>
    <xf numFmtId="37" fontId="25" fillId="2" borderId="0" xfId="1" applyNumberFormat="1" applyFont="1" applyFill="1" applyBorder="1" applyAlignment="1" applyProtection="1">
      <alignment horizontal="right" vertical="center"/>
    </xf>
    <xf numFmtId="0" fontId="25" fillId="2" borderId="0" xfId="2" applyFont="1" applyFill="1" applyAlignment="1">
      <alignment vertical="center"/>
    </xf>
    <xf numFmtId="164" fontId="17" fillId="2" borderId="0" xfId="1" applyNumberFormat="1" applyFont="1" applyFill="1" applyBorder="1" applyAlignment="1">
      <alignment horizontal="right"/>
    </xf>
    <xf numFmtId="164" fontId="23" fillId="2" borderId="0" xfId="1" applyNumberFormat="1" applyFont="1" applyFill="1" applyAlignment="1" applyProtection="1">
      <alignment horizontal="left" vertical="center"/>
    </xf>
    <xf numFmtId="37" fontId="24" fillId="2" borderId="0" xfId="1" applyNumberFormat="1" applyFont="1" applyFill="1" applyAlignment="1" applyProtection="1">
      <alignment vertical="center"/>
    </xf>
    <xf numFmtId="37" fontId="12" fillId="2" borderId="0" xfId="1" applyNumberFormat="1" applyFont="1" applyFill="1" applyAlignment="1" applyProtection="1">
      <alignment vertical="center"/>
    </xf>
    <xf numFmtId="0" fontId="25" fillId="2" borderId="0" xfId="4" applyFont="1" applyFill="1" applyAlignment="1">
      <alignment vertical="center"/>
    </xf>
    <xf numFmtId="0" fontId="18" fillId="2" borderId="4" xfId="0" applyNumberFormat="1" applyFont="1" applyFill="1" applyBorder="1" applyAlignment="1">
      <alignment horizontal="right" vertical="center"/>
    </xf>
    <xf numFmtId="164" fontId="12" fillId="2" borderId="0" xfId="1" applyNumberFormat="1" applyFont="1" applyFill="1" applyAlignment="1">
      <alignment vertical="center"/>
    </xf>
    <xf numFmtId="164" fontId="12" fillId="2" borderId="0" xfId="1" applyNumberFormat="1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164" fontId="4" fillId="2" borderId="0" xfId="1" applyNumberFormat="1" applyFont="1" applyFill="1" applyBorder="1" applyAlignment="1" applyProtection="1">
      <alignment horizontal="center" vertical="center"/>
    </xf>
  </cellXfs>
  <cellStyles count="12">
    <cellStyle name="Comma 2" xfId="3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4"/>
    <cellStyle name="Normal_IX-9(Trans &amp; Comm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/>
          <cell r="D5" t="str">
            <v>Domestic Flights</v>
          </cell>
          <cell r="E5"/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73"/>
  <sheetViews>
    <sheetView tabSelected="1" topLeftCell="A10" zoomScaleNormal="100" workbookViewId="0">
      <selection activeCell="P10" sqref="P10"/>
    </sheetView>
  </sheetViews>
  <sheetFormatPr defaultColWidth="9.140625" defaultRowHeight="15"/>
  <cols>
    <col min="1" max="1" width="23.57031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8554687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9.7109375" style="1" customWidth="1"/>
    <col min="14" max="14" width="9.140625" style="1"/>
    <col min="15" max="15" width="18.140625" style="1" bestFit="1" customWidth="1"/>
    <col min="16" max="16384" width="9.140625" style="1"/>
  </cols>
  <sheetData>
    <row r="1" spans="1:15" ht="19.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5" ht="15.75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1:15" s="3" customFormat="1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 ht="15.75">
      <c r="A4" s="4"/>
      <c r="B4" s="5"/>
      <c r="C4" s="6" t="s">
        <v>2</v>
      </c>
      <c r="D4" s="7"/>
      <c r="E4" s="8" t="s">
        <v>3</v>
      </c>
      <c r="F4" s="9"/>
      <c r="G4" s="6" t="s">
        <v>4</v>
      </c>
      <c r="H4" s="7"/>
      <c r="I4" s="8" t="s">
        <v>5</v>
      </c>
      <c r="J4" s="9"/>
      <c r="K4" s="10" t="s">
        <v>6</v>
      </c>
      <c r="L4" s="11" t="s">
        <v>7</v>
      </c>
      <c r="M4" s="12"/>
    </row>
    <row r="5" spans="1:15" ht="31.5">
      <c r="A5" s="13" t="s">
        <v>8</v>
      </c>
      <c r="B5" s="14" t="s">
        <v>9</v>
      </c>
      <c r="C5" s="14" t="s">
        <v>10</v>
      </c>
      <c r="D5" s="15" t="s">
        <v>11</v>
      </c>
      <c r="E5" s="16" t="s">
        <v>12</v>
      </c>
      <c r="F5" s="14"/>
      <c r="G5" s="14" t="s">
        <v>13</v>
      </c>
      <c r="H5" s="14" t="s">
        <v>14</v>
      </c>
      <c r="I5" s="14" t="s">
        <v>12</v>
      </c>
      <c r="J5" s="14"/>
      <c r="K5" s="14" t="s">
        <v>13</v>
      </c>
      <c r="L5" s="15" t="s">
        <v>14</v>
      </c>
      <c r="M5" s="17" t="s">
        <v>15</v>
      </c>
      <c r="O5" s="18"/>
    </row>
    <row r="6" spans="1:15">
      <c r="A6" s="19"/>
      <c r="B6" s="20" t="s">
        <v>16</v>
      </c>
      <c r="C6" s="20" t="s">
        <v>17</v>
      </c>
      <c r="D6" s="20" t="s">
        <v>18</v>
      </c>
      <c r="E6" s="20" t="s">
        <v>19</v>
      </c>
      <c r="F6" s="20"/>
      <c r="G6" s="20" t="s">
        <v>17</v>
      </c>
      <c r="H6" s="20" t="s">
        <v>18</v>
      </c>
      <c r="I6" s="20" t="s">
        <v>19</v>
      </c>
      <c r="J6" s="20"/>
      <c r="K6" s="20" t="s">
        <v>17</v>
      </c>
      <c r="L6" s="20" t="s">
        <v>18</v>
      </c>
      <c r="M6" s="21"/>
    </row>
    <row r="7" spans="1:15" ht="17.25">
      <c r="A7" s="22" t="s">
        <v>20</v>
      </c>
      <c r="B7" s="23">
        <f>SUM(B8+B49)</f>
        <v>159242</v>
      </c>
      <c r="C7" s="23">
        <f>SUM(C8+C49)</f>
        <v>2860948</v>
      </c>
      <c r="D7" s="23">
        <f>SUM(D8+D49)</f>
        <v>2842910</v>
      </c>
      <c r="E7" s="23">
        <f>SUM(E8+E49)</f>
        <v>130768</v>
      </c>
      <c r="F7" s="23"/>
      <c r="G7" s="23">
        <f>SUM(G8+G49)</f>
        <v>45313076.519999996</v>
      </c>
      <c r="H7" s="23">
        <f>SUM(H8+H49)</f>
        <v>13677211.490000002</v>
      </c>
      <c r="I7" s="23">
        <f>SUM(I8+I49)</f>
        <v>14212791.519999998</v>
      </c>
      <c r="J7" s="23"/>
      <c r="K7" s="23">
        <f>SUM(K8+K49)</f>
        <v>379316.7699999999</v>
      </c>
      <c r="L7" s="23">
        <f>SUM(L8+L49)</f>
        <v>83623.33</v>
      </c>
      <c r="M7" s="24" t="s">
        <v>21</v>
      </c>
    </row>
    <row r="8" spans="1:15" ht="17.25">
      <c r="A8" s="22" t="s">
        <v>22</v>
      </c>
      <c r="B8" s="25">
        <f>SUM(B9+B46+B48)</f>
        <v>23820</v>
      </c>
      <c r="C8" s="23">
        <f>SUM(C9+C46+C48)</f>
        <v>1811908</v>
      </c>
      <c r="D8" s="23">
        <f>SUM(D9+D46+D48)</f>
        <v>1789065</v>
      </c>
      <c r="E8" s="23">
        <f>SUM(E9+E46+E48)</f>
        <v>130768</v>
      </c>
      <c r="F8" s="23"/>
      <c r="G8" s="23">
        <f>SUM(G9+G46+G48)</f>
        <v>45065063.759999998</v>
      </c>
      <c r="H8" s="23">
        <f>SUM(H9+H46+H48)</f>
        <v>13133065.740000002</v>
      </c>
      <c r="I8" s="23">
        <f>SUM(I9+I46+I48)</f>
        <v>14074142.409999998</v>
      </c>
      <c r="J8" s="23"/>
      <c r="K8" s="23">
        <f>SUM(K9+K46+K48)</f>
        <v>376710.9599999999</v>
      </c>
      <c r="L8" s="23">
        <f>SUM(L9+L46+L48)</f>
        <v>18893.310000000001</v>
      </c>
      <c r="M8" s="24" t="s">
        <v>23</v>
      </c>
    </row>
    <row r="9" spans="1:15" ht="17.25">
      <c r="A9" s="26" t="s">
        <v>24</v>
      </c>
      <c r="B9" s="27">
        <f>SUM(B10:B45)</f>
        <v>22280</v>
      </c>
      <c r="C9" s="27">
        <f>SUM(C10:C45)</f>
        <v>1809919</v>
      </c>
      <c r="D9" s="27">
        <f>SUM(D10:D45)</f>
        <v>1786115</v>
      </c>
      <c r="E9" s="27">
        <f>SUM(E10:E45)</f>
        <v>130755</v>
      </c>
      <c r="F9" s="27"/>
      <c r="G9" s="27">
        <f>SUM(G10:G45)</f>
        <v>45065063.759999998</v>
      </c>
      <c r="H9" s="27">
        <f>SUM(H10:H45)</f>
        <v>13133065.740000002</v>
      </c>
      <c r="I9" s="27">
        <f>SUM(I10:I45)</f>
        <v>14074142.409999998</v>
      </c>
      <c r="J9" s="27"/>
      <c r="K9" s="27">
        <f>SUM(K10:K45)</f>
        <v>376710.9599999999</v>
      </c>
      <c r="L9" s="27">
        <f>SUM(L10:L45)</f>
        <v>18893.310000000001</v>
      </c>
      <c r="M9" s="28" t="s">
        <v>25</v>
      </c>
    </row>
    <row r="10" spans="1:15" ht="17.25">
      <c r="A10" s="29" t="s">
        <v>26</v>
      </c>
      <c r="B10" s="30">
        <v>2288</v>
      </c>
      <c r="C10" s="30">
        <v>281810</v>
      </c>
      <c r="D10" s="30">
        <v>239526</v>
      </c>
      <c r="E10" s="30">
        <v>1</v>
      </c>
      <c r="F10" s="31"/>
      <c r="G10" s="30">
        <v>11964781.32</v>
      </c>
      <c r="H10" s="31">
        <v>1759349.4</v>
      </c>
      <c r="I10" s="30">
        <v>3231988.89</v>
      </c>
      <c r="J10" s="31"/>
      <c r="K10" s="30">
        <v>21119.59</v>
      </c>
      <c r="L10" s="30">
        <v>334.00000000000006</v>
      </c>
      <c r="M10" s="32" t="s">
        <v>27</v>
      </c>
    </row>
    <row r="11" spans="1:15" ht="17.25">
      <c r="A11" s="29" t="s">
        <v>28</v>
      </c>
      <c r="B11" s="30">
        <v>732</v>
      </c>
      <c r="C11" s="30">
        <v>74570</v>
      </c>
      <c r="D11" s="30">
        <v>86397</v>
      </c>
      <c r="E11" s="33">
        <v>0</v>
      </c>
      <c r="F11" s="34"/>
      <c r="G11" s="30">
        <v>4218531.8</v>
      </c>
      <c r="H11" s="30">
        <v>883355.1</v>
      </c>
      <c r="I11" s="30">
        <v>10223.9</v>
      </c>
      <c r="J11" s="34"/>
      <c r="K11" s="30">
        <v>171487.49999999997</v>
      </c>
      <c r="L11" s="30">
        <v>3886.7700000000004</v>
      </c>
      <c r="M11" s="32" t="s">
        <v>29</v>
      </c>
    </row>
    <row r="12" spans="1:15" ht="17.25">
      <c r="A12" s="29" t="s">
        <v>30</v>
      </c>
      <c r="B12" s="30">
        <v>3236</v>
      </c>
      <c r="C12" s="30">
        <v>352786</v>
      </c>
      <c r="D12" s="30">
        <v>365788</v>
      </c>
      <c r="E12" s="30">
        <v>35590</v>
      </c>
      <c r="F12" s="34"/>
      <c r="G12" s="30">
        <v>10487696.66</v>
      </c>
      <c r="H12" s="30">
        <v>2569345.0399999996</v>
      </c>
      <c r="I12" s="30">
        <v>2843038.47</v>
      </c>
      <c r="J12" s="34"/>
      <c r="K12" s="30">
        <v>6462.8899999999985</v>
      </c>
      <c r="L12" s="30">
        <v>12639.240000000002</v>
      </c>
      <c r="M12" s="32" t="s">
        <v>31</v>
      </c>
    </row>
    <row r="13" spans="1:15" ht="17.25">
      <c r="A13" s="29" t="s">
        <v>32</v>
      </c>
      <c r="B13" s="30">
        <v>1124</v>
      </c>
      <c r="C13" s="30">
        <v>58690</v>
      </c>
      <c r="D13" s="30">
        <v>55637</v>
      </c>
      <c r="E13" s="30">
        <v>22</v>
      </c>
      <c r="F13" s="34"/>
      <c r="G13" s="30">
        <v>1616084.9000000001</v>
      </c>
      <c r="H13" s="30">
        <v>5895.5</v>
      </c>
      <c r="I13" s="33">
        <v>281</v>
      </c>
      <c r="J13" s="34"/>
      <c r="K13" s="33">
        <v>2665.5599999999995</v>
      </c>
      <c r="L13" s="30">
        <v>674.29999999999984</v>
      </c>
      <c r="M13" s="32" t="s">
        <v>33</v>
      </c>
    </row>
    <row r="14" spans="1:15" ht="17.25">
      <c r="A14" s="29" t="s">
        <v>34</v>
      </c>
      <c r="B14" s="30">
        <v>1574</v>
      </c>
      <c r="C14" s="30">
        <v>140210</v>
      </c>
      <c r="D14" s="30">
        <v>147156</v>
      </c>
      <c r="E14" s="33">
        <v>0</v>
      </c>
      <c r="F14" s="34"/>
      <c r="G14" s="30">
        <v>1823961.3799999997</v>
      </c>
      <c r="H14" s="30">
        <v>3143738.9799999995</v>
      </c>
      <c r="I14" s="30">
        <v>374042.48</v>
      </c>
      <c r="J14" s="34"/>
      <c r="K14" s="30">
        <v>13729.039999999999</v>
      </c>
      <c r="L14" s="30">
        <v>13.7</v>
      </c>
      <c r="M14" s="32" t="s">
        <v>35</v>
      </c>
    </row>
    <row r="15" spans="1:15" ht="17.25">
      <c r="A15" s="29" t="s">
        <v>36</v>
      </c>
      <c r="B15" s="30">
        <v>802</v>
      </c>
      <c r="C15" s="30">
        <v>63203</v>
      </c>
      <c r="D15" s="30">
        <v>60799</v>
      </c>
      <c r="E15" s="30">
        <v>31</v>
      </c>
      <c r="F15" s="31"/>
      <c r="G15" s="30">
        <v>813566.66999999993</v>
      </c>
      <c r="H15" s="30">
        <v>0</v>
      </c>
      <c r="I15" s="30">
        <v>1069814.5</v>
      </c>
      <c r="J15" s="31"/>
      <c r="K15" s="30">
        <v>9017</v>
      </c>
      <c r="L15" s="30">
        <v>0</v>
      </c>
      <c r="M15" s="32" t="s">
        <v>37</v>
      </c>
    </row>
    <row r="16" spans="1:15" ht="18.75">
      <c r="A16" s="29" t="s">
        <v>38</v>
      </c>
      <c r="B16" s="30">
        <v>184</v>
      </c>
      <c r="C16" s="30">
        <v>17966</v>
      </c>
      <c r="D16" s="30">
        <v>16751</v>
      </c>
      <c r="E16" s="30">
        <v>0</v>
      </c>
      <c r="F16" s="31"/>
      <c r="G16" s="30">
        <v>8496.7000000000007</v>
      </c>
      <c r="H16" s="30">
        <v>0</v>
      </c>
      <c r="I16" s="30">
        <v>0</v>
      </c>
      <c r="J16" s="31"/>
      <c r="K16" s="30">
        <v>20</v>
      </c>
      <c r="L16" s="30">
        <v>0</v>
      </c>
      <c r="M16" s="35" t="s">
        <v>39</v>
      </c>
    </row>
    <row r="17" spans="1:15" ht="17.25">
      <c r="A17" s="29" t="s">
        <v>40</v>
      </c>
      <c r="B17" s="30">
        <v>254</v>
      </c>
      <c r="C17" s="30">
        <v>25420</v>
      </c>
      <c r="D17" s="30">
        <v>24986</v>
      </c>
      <c r="E17" s="30">
        <v>0</v>
      </c>
      <c r="F17" s="31"/>
      <c r="G17" s="30">
        <v>124460.7</v>
      </c>
      <c r="H17" s="30">
        <v>228535</v>
      </c>
      <c r="I17" s="30">
        <v>1017005</v>
      </c>
      <c r="J17" s="31"/>
      <c r="K17" s="30">
        <v>1123.3</v>
      </c>
      <c r="L17" s="30">
        <v>62.5</v>
      </c>
      <c r="M17" s="36" t="s">
        <v>41</v>
      </c>
    </row>
    <row r="18" spans="1:15" ht="17.25">
      <c r="A18" s="29" t="s">
        <v>42</v>
      </c>
      <c r="B18" s="30">
        <v>126</v>
      </c>
      <c r="C18" s="30">
        <v>13875</v>
      </c>
      <c r="D18" s="30">
        <v>13837</v>
      </c>
      <c r="E18" s="30">
        <v>0</v>
      </c>
      <c r="F18" s="31"/>
      <c r="G18" s="30">
        <v>141647.60000000003</v>
      </c>
      <c r="H18" s="30">
        <v>3923</v>
      </c>
      <c r="I18" s="30">
        <v>170986.6</v>
      </c>
      <c r="J18" s="31"/>
      <c r="K18" s="30">
        <v>1977.9000000000003</v>
      </c>
      <c r="L18" s="30">
        <v>0</v>
      </c>
      <c r="M18" s="32" t="s">
        <v>43</v>
      </c>
    </row>
    <row r="19" spans="1:15" ht="17.25">
      <c r="A19" s="29" t="s">
        <v>44</v>
      </c>
      <c r="B19" s="30">
        <v>128</v>
      </c>
      <c r="C19" s="30">
        <v>14311</v>
      </c>
      <c r="D19" s="30">
        <v>14838</v>
      </c>
      <c r="E19" s="30">
        <v>0</v>
      </c>
      <c r="F19" s="31"/>
      <c r="G19" s="30">
        <v>90634.4</v>
      </c>
      <c r="H19" s="30">
        <v>18885</v>
      </c>
      <c r="I19" s="30">
        <v>558315.5</v>
      </c>
      <c r="J19" s="31"/>
      <c r="K19" s="30">
        <v>1429</v>
      </c>
      <c r="L19" s="30">
        <v>0</v>
      </c>
      <c r="M19" s="36" t="s">
        <v>45</v>
      </c>
    </row>
    <row r="20" spans="1:15" ht="17.25">
      <c r="A20" s="29" t="s">
        <v>46</v>
      </c>
      <c r="B20" s="30">
        <v>732</v>
      </c>
      <c r="C20" s="30">
        <v>51414</v>
      </c>
      <c r="D20" s="30">
        <v>49258</v>
      </c>
      <c r="E20" s="30">
        <v>0</v>
      </c>
      <c r="F20" s="31"/>
      <c r="G20" s="30">
        <v>0</v>
      </c>
      <c r="H20" s="30">
        <v>0</v>
      </c>
      <c r="I20" s="30">
        <v>0</v>
      </c>
      <c r="J20" s="31"/>
      <c r="K20" s="30">
        <v>0</v>
      </c>
      <c r="L20" s="30">
        <v>0</v>
      </c>
      <c r="M20" s="32" t="s">
        <v>47</v>
      </c>
    </row>
    <row r="21" spans="1:15" ht="18.75">
      <c r="A21" s="29" t="s">
        <v>48</v>
      </c>
      <c r="B21" s="30">
        <v>100</v>
      </c>
      <c r="C21" s="30">
        <v>4549</v>
      </c>
      <c r="D21" s="30">
        <v>4319</v>
      </c>
      <c r="E21" s="30">
        <v>1586</v>
      </c>
      <c r="F21" s="31"/>
      <c r="G21" s="30">
        <v>33238.9</v>
      </c>
      <c r="H21" s="30">
        <v>9337.380000000001</v>
      </c>
      <c r="I21" s="30">
        <v>0</v>
      </c>
      <c r="J21" s="31"/>
      <c r="K21" s="30">
        <v>0</v>
      </c>
      <c r="L21" s="30">
        <v>0</v>
      </c>
      <c r="M21" s="37" t="s">
        <v>49</v>
      </c>
    </row>
    <row r="22" spans="1:15" ht="17.25">
      <c r="A22" s="29" t="s">
        <v>50</v>
      </c>
      <c r="B22" s="30">
        <v>392</v>
      </c>
      <c r="C22" s="30">
        <v>48637</v>
      </c>
      <c r="D22" s="30">
        <v>48256</v>
      </c>
      <c r="E22" s="30">
        <v>0</v>
      </c>
      <c r="F22" s="31"/>
      <c r="G22" s="30">
        <v>151139.81</v>
      </c>
      <c r="H22" s="30">
        <v>88806</v>
      </c>
      <c r="I22" s="30">
        <v>1412290.1</v>
      </c>
      <c r="J22" s="31"/>
      <c r="K22" s="30">
        <v>637.40000000000009</v>
      </c>
      <c r="L22" s="30">
        <v>133.30000000000001</v>
      </c>
      <c r="M22" s="36" t="s">
        <v>51</v>
      </c>
    </row>
    <row r="23" spans="1:15" ht="17.25">
      <c r="A23" s="38" t="s">
        <v>52</v>
      </c>
      <c r="B23" s="30">
        <v>128</v>
      </c>
      <c r="C23" s="30">
        <v>3841</v>
      </c>
      <c r="D23" s="30">
        <v>3231</v>
      </c>
      <c r="E23" s="30">
        <v>244</v>
      </c>
      <c r="F23" s="31"/>
      <c r="G23" s="30">
        <v>85034.8</v>
      </c>
      <c r="H23" s="30">
        <v>337</v>
      </c>
      <c r="I23" s="30">
        <v>16510</v>
      </c>
      <c r="J23" s="31"/>
      <c r="K23" s="30">
        <v>0</v>
      </c>
      <c r="L23" s="30">
        <v>0</v>
      </c>
      <c r="M23" s="36" t="s">
        <v>53</v>
      </c>
    </row>
    <row r="24" spans="1:15" ht="17.25">
      <c r="A24" s="29" t="s">
        <v>54</v>
      </c>
      <c r="B24" s="30">
        <v>86</v>
      </c>
      <c r="C24" s="30">
        <v>6711</v>
      </c>
      <c r="D24" s="30">
        <v>6829</v>
      </c>
      <c r="E24" s="30">
        <v>0</v>
      </c>
      <c r="F24" s="31"/>
      <c r="G24" s="30">
        <v>46507.8</v>
      </c>
      <c r="H24" s="30">
        <v>0</v>
      </c>
      <c r="I24" s="30">
        <v>1729.78</v>
      </c>
      <c r="J24" s="31"/>
      <c r="K24" s="30">
        <v>1.2</v>
      </c>
      <c r="L24" s="30">
        <v>0</v>
      </c>
      <c r="M24" s="32" t="s">
        <v>55</v>
      </c>
    </row>
    <row r="25" spans="1:15" ht="18.75">
      <c r="A25" s="29" t="s">
        <v>56</v>
      </c>
      <c r="B25" s="30">
        <v>430</v>
      </c>
      <c r="C25" s="30">
        <v>16477</v>
      </c>
      <c r="D25" s="30">
        <v>16753</v>
      </c>
      <c r="E25" s="30">
        <v>27988</v>
      </c>
      <c r="F25" s="31"/>
      <c r="G25" s="30">
        <v>376386</v>
      </c>
      <c r="H25" s="30">
        <v>181589</v>
      </c>
      <c r="I25" s="30">
        <v>216258.5</v>
      </c>
      <c r="J25" s="31"/>
      <c r="K25" s="30">
        <v>728.9</v>
      </c>
      <c r="L25" s="30">
        <v>3.7</v>
      </c>
      <c r="M25" s="35" t="s">
        <v>57</v>
      </c>
    </row>
    <row r="26" spans="1:15" ht="18.75">
      <c r="A26" s="29" t="s">
        <v>58</v>
      </c>
      <c r="B26" s="30">
        <v>798</v>
      </c>
      <c r="C26" s="30">
        <v>26326</v>
      </c>
      <c r="D26" s="30">
        <v>24928</v>
      </c>
      <c r="E26" s="30">
        <v>0</v>
      </c>
      <c r="F26" s="31"/>
      <c r="G26" s="30">
        <v>74001.3</v>
      </c>
      <c r="H26" s="30">
        <v>0</v>
      </c>
      <c r="I26" s="30">
        <v>0</v>
      </c>
      <c r="J26" s="31"/>
      <c r="K26" s="30">
        <v>0</v>
      </c>
      <c r="L26" s="30">
        <v>0</v>
      </c>
      <c r="M26" s="35" t="s">
        <v>59</v>
      </c>
    </row>
    <row r="27" spans="1:15" ht="17.25">
      <c r="A27" s="29" t="s">
        <v>60</v>
      </c>
      <c r="B27" s="30">
        <v>188</v>
      </c>
      <c r="C27" s="30">
        <v>8452</v>
      </c>
      <c r="D27" s="30">
        <v>7720</v>
      </c>
      <c r="E27" s="30">
        <v>0</v>
      </c>
      <c r="F27" s="31"/>
      <c r="G27" s="30">
        <v>65217.4</v>
      </c>
      <c r="H27" s="30">
        <v>0</v>
      </c>
      <c r="I27" s="30">
        <v>0</v>
      </c>
      <c r="J27" s="31"/>
      <c r="K27" s="30">
        <v>0</v>
      </c>
      <c r="L27" s="30">
        <v>0</v>
      </c>
      <c r="M27" s="32" t="s">
        <v>61</v>
      </c>
    </row>
    <row r="28" spans="1:15" ht="17.25">
      <c r="A28" s="39" t="s">
        <v>62</v>
      </c>
      <c r="B28" s="30">
        <v>730</v>
      </c>
      <c r="C28" s="30">
        <v>25157</v>
      </c>
      <c r="D28" s="30">
        <v>21631</v>
      </c>
      <c r="E28" s="30">
        <v>0</v>
      </c>
      <c r="F28" s="31"/>
      <c r="G28" s="30">
        <v>424714.99999999994</v>
      </c>
      <c r="H28" s="30">
        <v>3</v>
      </c>
      <c r="I28" s="33">
        <v>0</v>
      </c>
      <c r="J28" s="34"/>
      <c r="K28" s="30">
        <v>3164.27</v>
      </c>
      <c r="L28" s="33">
        <v>0</v>
      </c>
      <c r="M28" s="32" t="s">
        <v>63</v>
      </c>
      <c r="O28" s="40"/>
    </row>
    <row r="29" spans="1:15" ht="18.75">
      <c r="A29" s="41" t="s">
        <v>64</v>
      </c>
      <c r="B29" s="34">
        <v>1552</v>
      </c>
      <c r="C29" s="34">
        <v>83057</v>
      </c>
      <c r="D29" s="33">
        <v>83817</v>
      </c>
      <c r="E29" s="33">
        <v>153</v>
      </c>
      <c r="F29" s="34"/>
      <c r="G29" s="33">
        <v>915319.10000000009</v>
      </c>
      <c r="H29" s="33">
        <v>20582.8</v>
      </c>
      <c r="I29" s="33">
        <v>114740</v>
      </c>
      <c r="J29" s="34"/>
      <c r="K29" s="33">
        <v>43.3</v>
      </c>
      <c r="L29" s="33">
        <v>193.5</v>
      </c>
      <c r="M29" s="35" t="s">
        <v>65</v>
      </c>
      <c r="O29" s="42"/>
    </row>
    <row r="30" spans="1:15" ht="17.25">
      <c r="A30" s="29" t="s">
        <v>66</v>
      </c>
      <c r="B30" s="30">
        <v>1390</v>
      </c>
      <c r="C30" s="30">
        <v>57785</v>
      </c>
      <c r="D30" s="30">
        <v>62386</v>
      </c>
      <c r="E30" s="30">
        <v>64987</v>
      </c>
      <c r="F30" s="31"/>
      <c r="G30" s="30">
        <v>3485815.1500000004</v>
      </c>
      <c r="H30" s="30">
        <v>1414304</v>
      </c>
      <c r="I30" s="30">
        <v>364104.56</v>
      </c>
      <c r="J30" s="31"/>
      <c r="K30" s="30">
        <v>12164.53</v>
      </c>
      <c r="L30" s="30">
        <v>928.1</v>
      </c>
      <c r="M30" s="40" t="s">
        <v>67</v>
      </c>
    </row>
    <row r="31" spans="1:15" ht="18.75">
      <c r="A31" s="43" t="s">
        <v>68</v>
      </c>
      <c r="B31" s="31">
        <v>424</v>
      </c>
      <c r="C31" s="31">
        <v>37335</v>
      </c>
      <c r="D31" s="30">
        <v>41803</v>
      </c>
      <c r="E31" s="31">
        <v>0</v>
      </c>
      <c r="F31" s="31"/>
      <c r="G31" s="31">
        <v>809053.52000000014</v>
      </c>
      <c r="H31" s="31">
        <v>695362</v>
      </c>
      <c r="I31" s="31">
        <v>1369188.1</v>
      </c>
      <c r="J31" s="31"/>
      <c r="K31" s="31">
        <v>18289.55</v>
      </c>
      <c r="L31" s="31">
        <v>0</v>
      </c>
      <c r="M31" s="44" t="s">
        <v>69</v>
      </c>
      <c r="O31" s="45"/>
    </row>
    <row r="32" spans="1:15" ht="18.75">
      <c r="A32" s="43" t="s">
        <v>70</v>
      </c>
      <c r="B32" s="31">
        <v>730</v>
      </c>
      <c r="C32" s="31">
        <v>53667</v>
      </c>
      <c r="D32" s="30">
        <v>54236</v>
      </c>
      <c r="E32" s="31">
        <v>0</v>
      </c>
      <c r="F32" s="31"/>
      <c r="G32" s="31">
        <v>506698.41000000003</v>
      </c>
      <c r="H32" s="31">
        <v>35479</v>
      </c>
      <c r="I32" s="31">
        <v>1587</v>
      </c>
      <c r="J32" s="31"/>
      <c r="K32" s="31">
        <v>0</v>
      </c>
      <c r="L32" s="31">
        <v>0</v>
      </c>
      <c r="M32" s="44" t="s">
        <v>71</v>
      </c>
      <c r="O32" s="45"/>
    </row>
    <row r="33" spans="1:15" ht="15.75">
      <c r="A33" s="43" t="s">
        <v>72</v>
      </c>
      <c r="B33" s="31">
        <v>330</v>
      </c>
      <c r="C33" s="31">
        <v>31060</v>
      </c>
      <c r="D33" s="30">
        <v>30302</v>
      </c>
      <c r="E33" s="31">
        <v>0</v>
      </c>
      <c r="F33" s="31"/>
      <c r="G33" s="31">
        <v>1447380.7</v>
      </c>
      <c r="H33" s="31">
        <v>86838</v>
      </c>
      <c r="I33" s="31">
        <v>91787</v>
      </c>
      <c r="J33" s="31"/>
      <c r="K33" s="31">
        <v>0</v>
      </c>
      <c r="L33" s="31">
        <v>0</v>
      </c>
      <c r="M33" s="45" t="s">
        <v>73</v>
      </c>
      <c r="O33" s="45"/>
    </row>
    <row r="34" spans="1:15" ht="18.75">
      <c r="A34" s="46" t="s">
        <v>74</v>
      </c>
      <c r="B34" s="31">
        <v>968</v>
      </c>
      <c r="C34" s="31">
        <v>59614</v>
      </c>
      <c r="D34" s="30">
        <v>66201</v>
      </c>
      <c r="E34" s="31">
        <v>0</v>
      </c>
      <c r="F34" s="31"/>
      <c r="G34" s="31">
        <v>415826.44000000006</v>
      </c>
      <c r="H34" s="31">
        <v>1547632.0400000003</v>
      </c>
      <c r="I34" s="31">
        <v>121774.03</v>
      </c>
      <c r="J34" s="31"/>
      <c r="K34" s="31">
        <v>6552.1200000000008</v>
      </c>
      <c r="L34" s="31">
        <v>17.399999999999999</v>
      </c>
      <c r="M34" s="35" t="s">
        <v>75</v>
      </c>
    </row>
    <row r="35" spans="1:15" ht="17.25">
      <c r="A35" s="43" t="s">
        <v>76</v>
      </c>
      <c r="B35" s="31">
        <v>148</v>
      </c>
      <c r="C35" s="31">
        <v>19038</v>
      </c>
      <c r="D35" s="30">
        <v>18845</v>
      </c>
      <c r="E35" s="31">
        <v>0</v>
      </c>
      <c r="F35" s="31"/>
      <c r="G35" s="31">
        <v>391523.26</v>
      </c>
      <c r="H35" s="31">
        <v>0</v>
      </c>
      <c r="I35" s="31">
        <v>85408</v>
      </c>
      <c r="J35" s="31"/>
      <c r="K35" s="31">
        <v>116</v>
      </c>
      <c r="L35" s="31">
        <v>0</v>
      </c>
      <c r="M35" s="47" t="s">
        <v>77</v>
      </c>
    </row>
    <row r="36" spans="1:15" ht="18.75">
      <c r="A36" s="43" t="s">
        <v>78</v>
      </c>
      <c r="B36" s="31">
        <v>314</v>
      </c>
      <c r="C36" s="31">
        <v>32908</v>
      </c>
      <c r="D36" s="30">
        <v>30801</v>
      </c>
      <c r="E36" s="31">
        <v>153</v>
      </c>
      <c r="F36" s="31"/>
      <c r="G36" s="31">
        <v>1833033.6999999997</v>
      </c>
      <c r="H36" s="31">
        <v>110397</v>
      </c>
      <c r="I36" s="31">
        <v>79872.5</v>
      </c>
      <c r="J36" s="31"/>
      <c r="K36" s="31">
        <v>0</v>
      </c>
      <c r="L36" s="31">
        <v>0</v>
      </c>
      <c r="M36" s="35" t="s">
        <v>79</v>
      </c>
    </row>
    <row r="37" spans="1:15" ht="18.75">
      <c r="A37" s="43" t="s">
        <v>80</v>
      </c>
      <c r="B37" s="31">
        <v>408</v>
      </c>
      <c r="C37" s="31">
        <v>27146</v>
      </c>
      <c r="D37" s="30">
        <v>29715</v>
      </c>
      <c r="E37" s="31">
        <v>0</v>
      </c>
      <c r="F37" s="31"/>
      <c r="G37" s="31">
        <v>27251.4</v>
      </c>
      <c r="H37" s="31">
        <v>668.6</v>
      </c>
      <c r="I37" s="31">
        <v>0</v>
      </c>
      <c r="J37" s="31"/>
      <c r="K37" s="31">
        <v>5819.2999999999993</v>
      </c>
      <c r="L37" s="31">
        <v>0</v>
      </c>
      <c r="M37" s="35" t="s">
        <v>81</v>
      </c>
    </row>
    <row r="38" spans="1:15" ht="18.75">
      <c r="A38" s="43" t="s">
        <v>82</v>
      </c>
      <c r="B38" s="31">
        <v>180</v>
      </c>
      <c r="C38" s="31">
        <v>25368</v>
      </c>
      <c r="D38" s="30">
        <v>26050</v>
      </c>
      <c r="E38" s="31">
        <v>0</v>
      </c>
      <c r="F38" s="31"/>
      <c r="G38" s="31">
        <v>190831.84999999998</v>
      </c>
      <c r="H38" s="31">
        <v>6578.5</v>
      </c>
      <c r="I38" s="31">
        <v>333974</v>
      </c>
      <c r="J38" s="31"/>
      <c r="K38" s="31">
        <v>1.7</v>
      </c>
      <c r="L38" s="31">
        <v>0</v>
      </c>
      <c r="M38" s="35" t="s">
        <v>83</v>
      </c>
    </row>
    <row r="39" spans="1:15" ht="18.75">
      <c r="A39" s="43" t="s">
        <v>84</v>
      </c>
      <c r="B39" s="48">
        <v>274</v>
      </c>
      <c r="C39" s="48">
        <v>31758</v>
      </c>
      <c r="D39" s="49">
        <v>31468</v>
      </c>
      <c r="E39" s="48">
        <v>0</v>
      </c>
      <c r="F39" s="48"/>
      <c r="G39" s="48">
        <v>699646.7</v>
      </c>
      <c r="H39" s="48">
        <v>110</v>
      </c>
      <c r="I39" s="48">
        <v>308263</v>
      </c>
      <c r="J39" s="48"/>
      <c r="K39" s="48">
        <v>0</v>
      </c>
      <c r="L39" s="48">
        <v>0</v>
      </c>
      <c r="M39" s="35" t="s">
        <v>85</v>
      </c>
    </row>
    <row r="40" spans="1:15" ht="18.75">
      <c r="A40" s="43" t="s">
        <v>86</v>
      </c>
      <c r="B40" s="48">
        <v>906</v>
      </c>
      <c r="C40" s="48">
        <v>59398</v>
      </c>
      <c r="D40" s="49">
        <v>48594</v>
      </c>
      <c r="E40" s="48">
        <v>0</v>
      </c>
      <c r="F40" s="48"/>
      <c r="G40" s="48">
        <v>514553.02</v>
      </c>
      <c r="H40" s="48">
        <v>5402.3</v>
      </c>
      <c r="I40" s="48">
        <v>0</v>
      </c>
      <c r="J40" s="48"/>
      <c r="K40" s="48">
        <v>100067.20999999999</v>
      </c>
      <c r="L40" s="48">
        <v>6.8</v>
      </c>
      <c r="M40" s="35" t="s">
        <v>87</v>
      </c>
    </row>
    <row r="41" spans="1:15" ht="18.75">
      <c r="A41" s="43" t="s">
        <v>88</v>
      </c>
      <c r="B41" s="48">
        <v>204</v>
      </c>
      <c r="C41" s="48">
        <v>24969</v>
      </c>
      <c r="D41" s="49">
        <v>21568</v>
      </c>
      <c r="E41" s="48">
        <v>0</v>
      </c>
      <c r="F41" s="48"/>
      <c r="G41" s="48">
        <v>795701.3</v>
      </c>
      <c r="H41" s="48">
        <v>0</v>
      </c>
      <c r="I41" s="48">
        <v>66384</v>
      </c>
      <c r="J41" s="48"/>
      <c r="K41" s="48">
        <v>0</v>
      </c>
      <c r="L41" s="48">
        <v>0</v>
      </c>
      <c r="M41" s="35" t="s">
        <v>89</v>
      </c>
    </row>
    <row r="42" spans="1:15" ht="18.75">
      <c r="A42" s="43" t="s">
        <v>90</v>
      </c>
      <c r="B42" s="48">
        <v>162</v>
      </c>
      <c r="C42" s="48">
        <v>8720</v>
      </c>
      <c r="D42" s="49">
        <v>8500</v>
      </c>
      <c r="E42" s="48">
        <v>0</v>
      </c>
      <c r="F42" s="48"/>
      <c r="G42" s="48">
        <v>0</v>
      </c>
      <c r="H42" s="48">
        <v>0</v>
      </c>
      <c r="I42" s="48">
        <v>0</v>
      </c>
      <c r="J42" s="48"/>
      <c r="K42" s="48">
        <v>0</v>
      </c>
      <c r="L42" s="48">
        <v>0</v>
      </c>
      <c r="M42" s="35" t="s">
        <v>91</v>
      </c>
    </row>
    <row r="43" spans="1:15" ht="18.75">
      <c r="A43" s="43" t="s">
        <v>92</v>
      </c>
      <c r="B43" s="48">
        <v>110</v>
      </c>
      <c r="C43" s="48">
        <v>13886</v>
      </c>
      <c r="D43" s="49">
        <v>13181</v>
      </c>
      <c r="E43" s="48">
        <v>0</v>
      </c>
      <c r="F43" s="48"/>
      <c r="G43" s="48">
        <v>55907.469999999987</v>
      </c>
      <c r="H43" s="48">
        <v>151588.1</v>
      </c>
      <c r="I43" s="48">
        <v>42041</v>
      </c>
      <c r="J43" s="48"/>
      <c r="K43" s="48">
        <v>0</v>
      </c>
      <c r="L43" s="48">
        <v>0</v>
      </c>
      <c r="M43" s="35" t="s">
        <v>93</v>
      </c>
    </row>
    <row r="44" spans="1:15" ht="18.75">
      <c r="A44" s="43" t="s">
        <v>94</v>
      </c>
      <c r="B44" s="48">
        <v>92</v>
      </c>
      <c r="C44" s="48">
        <v>9805</v>
      </c>
      <c r="D44" s="49">
        <v>10008</v>
      </c>
      <c r="E44" s="48">
        <v>0</v>
      </c>
      <c r="F44" s="48"/>
      <c r="G44" s="48">
        <v>134921.09999999998</v>
      </c>
      <c r="H44" s="48">
        <v>0</v>
      </c>
      <c r="I44" s="48">
        <v>1779</v>
      </c>
      <c r="J44" s="48"/>
      <c r="K44" s="48">
        <v>93.7</v>
      </c>
      <c r="L44" s="48">
        <v>0</v>
      </c>
      <c r="M44" s="35" t="s">
        <v>95</v>
      </c>
    </row>
    <row r="45" spans="1:15" ht="17.25">
      <c r="A45" s="38" t="s">
        <v>96</v>
      </c>
      <c r="B45" s="50">
        <v>56</v>
      </c>
      <c r="C45" s="51">
        <v>0</v>
      </c>
      <c r="D45" s="51">
        <v>0</v>
      </c>
      <c r="E45" s="51">
        <v>0</v>
      </c>
      <c r="F45" s="51"/>
      <c r="G45" s="50">
        <v>295497.5</v>
      </c>
      <c r="H45" s="50">
        <v>165024</v>
      </c>
      <c r="I45" s="52">
        <v>170755.5</v>
      </c>
      <c r="J45" s="51"/>
      <c r="K45" s="52">
        <v>0</v>
      </c>
      <c r="L45" s="52">
        <v>0</v>
      </c>
      <c r="M45" s="53" t="s">
        <v>97</v>
      </c>
    </row>
    <row r="46" spans="1:15" ht="17.25">
      <c r="A46" s="54" t="s">
        <v>98</v>
      </c>
      <c r="B46" s="55">
        <f>SUM(B47:B47)</f>
        <v>0</v>
      </c>
      <c r="C46" s="55">
        <f>SUM(C47:C47)</f>
        <v>0</v>
      </c>
      <c r="D46" s="55">
        <f>SUM(D47:D47)</f>
        <v>0</v>
      </c>
      <c r="E46" s="55">
        <f>SUM(E47:E47)</f>
        <v>0</v>
      </c>
      <c r="F46" s="55"/>
      <c r="G46" s="55">
        <f>SUM(G47:G47)</f>
        <v>0</v>
      </c>
      <c r="H46" s="55">
        <f>SUM(H47:H47)</f>
        <v>0</v>
      </c>
      <c r="I46" s="55">
        <f>SUM(I47:I47)</f>
        <v>0</v>
      </c>
      <c r="J46" s="55"/>
      <c r="K46" s="55">
        <f>SUM(K47:K47)</f>
        <v>0</v>
      </c>
      <c r="L46" s="55">
        <f>SUM(L47:L47)</f>
        <v>0</v>
      </c>
      <c r="M46" s="17" t="s">
        <v>99</v>
      </c>
    </row>
    <row r="47" spans="1:15" ht="15.75" hidden="1" customHeight="1">
      <c r="A47" s="56" t="s">
        <v>100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37" t="s">
        <v>101</v>
      </c>
      <c r="O47" s="36"/>
    </row>
    <row r="48" spans="1:15" ht="17.25">
      <c r="A48" s="54" t="s">
        <v>102</v>
      </c>
      <c r="B48" s="57">
        <v>1540</v>
      </c>
      <c r="C48" s="57">
        <v>1989</v>
      </c>
      <c r="D48" s="23">
        <v>2950</v>
      </c>
      <c r="E48" s="57">
        <v>13</v>
      </c>
      <c r="F48" s="57"/>
      <c r="G48" s="57">
        <v>0</v>
      </c>
      <c r="H48" s="57">
        <v>0</v>
      </c>
      <c r="I48" s="57">
        <v>0</v>
      </c>
      <c r="J48" s="57"/>
      <c r="K48" s="57">
        <v>0</v>
      </c>
      <c r="L48" s="57">
        <v>0</v>
      </c>
      <c r="M48" s="58" t="s">
        <v>103</v>
      </c>
    </row>
    <row r="49" spans="1:58" ht="17.25">
      <c r="A49" s="54" t="s">
        <v>104</v>
      </c>
      <c r="B49" s="55">
        <f>SUM(B50:B54)</f>
        <v>135422</v>
      </c>
      <c r="C49" s="55">
        <f>SUM(C50:C54)</f>
        <v>1049040</v>
      </c>
      <c r="D49" s="55">
        <f>SUM(D50:D54)</f>
        <v>1053845</v>
      </c>
      <c r="E49" s="55">
        <f>SUM(E50:E54)</f>
        <v>0</v>
      </c>
      <c r="F49" s="55"/>
      <c r="G49" s="55">
        <f>SUM(G50:G54)</f>
        <v>248012.76</v>
      </c>
      <c r="H49" s="55">
        <f>SUM(H50:H54)</f>
        <v>544145.75</v>
      </c>
      <c r="I49" s="55">
        <f>SUM(I50:I54)</f>
        <v>138649.10999999999</v>
      </c>
      <c r="J49" s="55"/>
      <c r="K49" s="55">
        <f>SUM(K50:K54)</f>
        <v>2605.81</v>
      </c>
      <c r="L49" s="55">
        <f>SUM(L50:L54)</f>
        <v>64730.020000000004</v>
      </c>
      <c r="M49" s="59" t="s">
        <v>105</v>
      </c>
    </row>
    <row r="50" spans="1:58" ht="21" customHeight="1">
      <c r="A50" s="60" t="s">
        <v>106</v>
      </c>
      <c r="B50" s="61">
        <v>22574</v>
      </c>
      <c r="C50" s="61">
        <v>395457</v>
      </c>
      <c r="D50" s="62">
        <v>404403</v>
      </c>
      <c r="E50" s="61">
        <v>0</v>
      </c>
      <c r="F50" s="61"/>
      <c r="G50" s="61">
        <v>248012.76</v>
      </c>
      <c r="H50" s="61">
        <v>543678.75</v>
      </c>
      <c r="I50" s="61">
        <v>138649.10999999999</v>
      </c>
      <c r="J50" s="61"/>
      <c r="K50" s="61">
        <v>2605.81</v>
      </c>
      <c r="L50" s="61">
        <v>64730.020000000004</v>
      </c>
      <c r="M50" s="63" t="s">
        <v>107</v>
      </c>
    </row>
    <row r="51" spans="1:58" ht="21" customHeight="1">
      <c r="A51" s="64" t="s">
        <v>108</v>
      </c>
      <c r="B51" s="31">
        <v>7770</v>
      </c>
      <c r="C51" s="31">
        <v>163254</v>
      </c>
      <c r="D51" s="30">
        <v>169967</v>
      </c>
      <c r="E51" s="31">
        <v>0</v>
      </c>
      <c r="F51" s="31"/>
      <c r="G51" s="31">
        <v>0</v>
      </c>
      <c r="H51" s="31">
        <v>467</v>
      </c>
      <c r="I51" s="31">
        <v>0</v>
      </c>
      <c r="J51" s="31"/>
      <c r="K51" s="31">
        <v>0</v>
      </c>
      <c r="L51" s="31">
        <v>0</v>
      </c>
      <c r="M51" s="65" t="s">
        <v>109</v>
      </c>
    </row>
    <row r="52" spans="1:58" ht="21" customHeight="1">
      <c r="A52" s="66" t="s">
        <v>110</v>
      </c>
      <c r="B52" s="31">
        <v>87144</v>
      </c>
      <c r="C52" s="31">
        <v>410407</v>
      </c>
      <c r="D52" s="30">
        <v>402011</v>
      </c>
      <c r="E52" s="31">
        <v>0</v>
      </c>
      <c r="F52" s="31"/>
      <c r="G52" s="31">
        <v>0</v>
      </c>
      <c r="H52" s="31">
        <v>0</v>
      </c>
      <c r="I52" s="31">
        <v>0</v>
      </c>
      <c r="J52" s="31"/>
      <c r="K52" s="31">
        <v>0</v>
      </c>
      <c r="L52" s="31">
        <v>0</v>
      </c>
      <c r="M52" s="67" t="s">
        <v>111</v>
      </c>
    </row>
    <row r="53" spans="1:58" ht="21" customHeight="1">
      <c r="A53" s="64" t="s">
        <v>112</v>
      </c>
      <c r="B53" s="48">
        <v>17886</v>
      </c>
      <c r="C53" s="48">
        <v>79922</v>
      </c>
      <c r="D53" s="49">
        <v>77464</v>
      </c>
      <c r="E53" s="48">
        <v>0</v>
      </c>
      <c r="F53" s="48"/>
      <c r="G53" s="48">
        <v>0</v>
      </c>
      <c r="H53" s="48">
        <v>0</v>
      </c>
      <c r="I53" s="48">
        <v>0</v>
      </c>
      <c r="J53" s="48"/>
      <c r="K53" s="48">
        <v>0</v>
      </c>
      <c r="L53" s="48">
        <v>0</v>
      </c>
      <c r="M53" s="63" t="s">
        <v>113</v>
      </c>
    </row>
    <row r="54" spans="1:58" s="74" customFormat="1" ht="21" customHeight="1">
      <c r="A54" s="68" t="s">
        <v>114</v>
      </c>
      <c r="B54" s="69">
        <v>48</v>
      </c>
      <c r="C54" s="70">
        <v>0</v>
      </c>
      <c r="D54" s="71">
        <v>0</v>
      </c>
      <c r="E54" s="70">
        <v>0</v>
      </c>
      <c r="F54" s="70"/>
      <c r="G54" s="70">
        <v>0</v>
      </c>
      <c r="H54" s="70">
        <v>0</v>
      </c>
      <c r="I54" s="70">
        <v>0</v>
      </c>
      <c r="J54" s="70"/>
      <c r="K54" s="70">
        <v>0</v>
      </c>
      <c r="L54" s="70">
        <v>0</v>
      </c>
      <c r="M54" s="72" t="s">
        <v>115</v>
      </c>
      <c r="N54" s="73"/>
      <c r="O54" s="73"/>
      <c r="P54" s="73"/>
      <c r="Q54" s="73"/>
      <c r="BF54" s="75"/>
    </row>
    <row r="55" spans="1:58" ht="18" customHeight="1">
      <c r="A55" s="76" t="s">
        <v>116</v>
      </c>
      <c r="B55" s="77"/>
      <c r="C55" s="78"/>
      <c r="D55" s="78"/>
      <c r="E55" s="79"/>
      <c r="F55" s="79"/>
      <c r="G55" s="79"/>
      <c r="H55" s="80"/>
      <c r="I55" s="80"/>
      <c r="J55" s="80"/>
      <c r="K55" s="81"/>
      <c r="M55" s="82" t="s">
        <v>117</v>
      </c>
    </row>
    <row r="56" spans="1:58" ht="15.75" customHeight="1">
      <c r="A56" s="83" t="s">
        <v>118</v>
      </c>
      <c r="B56" s="83"/>
      <c r="C56" s="84"/>
      <c r="D56" s="84"/>
      <c r="E56" s="85"/>
      <c r="F56" s="85"/>
      <c r="G56" s="85"/>
      <c r="H56" s="86"/>
      <c r="I56" s="86"/>
      <c r="J56" s="86"/>
      <c r="L56" s="86"/>
      <c r="M56" s="87" t="s">
        <v>119</v>
      </c>
    </row>
    <row r="57" spans="1:58">
      <c r="A57" s="88"/>
      <c r="B57" s="88"/>
      <c r="C57" s="88"/>
      <c r="D57" s="88"/>
      <c r="E57" s="89"/>
      <c r="F57" s="89"/>
      <c r="G57" s="88"/>
      <c r="H57" s="88"/>
      <c r="I57" s="89"/>
      <c r="J57" s="89"/>
      <c r="K57" s="88"/>
      <c r="L57" s="88"/>
      <c r="M57" s="90"/>
    </row>
    <row r="58" spans="1:58">
      <c r="A58" s="88"/>
      <c r="B58" s="88"/>
      <c r="C58" s="88"/>
      <c r="D58" s="88"/>
      <c r="E58" s="89"/>
      <c r="F58" s="89"/>
      <c r="G58" s="88"/>
      <c r="H58" s="88"/>
      <c r="I58" s="89"/>
      <c r="J58" s="89"/>
      <c r="K58" s="88"/>
      <c r="L58" s="88"/>
      <c r="M58" s="90"/>
    </row>
    <row r="59" spans="1:58">
      <c r="A59" s="88"/>
      <c r="B59" s="88"/>
      <c r="C59" s="88"/>
      <c r="D59" s="88"/>
      <c r="E59" s="89"/>
      <c r="F59" s="89"/>
      <c r="G59" s="88"/>
      <c r="H59" s="88"/>
      <c r="I59" s="89"/>
      <c r="J59" s="89"/>
      <c r="K59" s="88"/>
      <c r="L59" s="88"/>
      <c r="M59" s="90"/>
    </row>
    <row r="60" spans="1:58">
      <c r="A60" s="88"/>
      <c r="B60" s="88"/>
      <c r="C60" s="88"/>
      <c r="D60" s="88"/>
      <c r="E60" s="89"/>
      <c r="F60" s="89"/>
      <c r="G60" s="88"/>
      <c r="H60" s="88"/>
      <c r="I60" s="89"/>
      <c r="J60" s="89"/>
      <c r="K60" s="88"/>
      <c r="L60" s="88"/>
      <c r="M60" s="90"/>
    </row>
    <row r="61" spans="1:58">
      <c r="A61" s="88"/>
      <c r="B61" s="88"/>
      <c r="C61" s="88"/>
      <c r="D61" s="88"/>
      <c r="E61" s="89"/>
      <c r="F61" s="89"/>
      <c r="G61" s="88"/>
      <c r="H61" s="88"/>
      <c r="I61" s="89"/>
      <c r="J61" s="89"/>
      <c r="K61" s="88"/>
      <c r="L61" s="88"/>
      <c r="M61" s="90"/>
    </row>
    <row r="62" spans="1:58">
      <c r="A62" s="88"/>
      <c r="B62" s="88"/>
      <c r="C62" s="88"/>
      <c r="D62" s="88"/>
      <c r="E62" s="89"/>
      <c r="F62" s="89"/>
      <c r="G62" s="88"/>
      <c r="H62" s="88"/>
      <c r="I62" s="89"/>
      <c r="J62" s="89"/>
      <c r="K62" s="88"/>
      <c r="L62" s="88"/>
      <c r="M62" s="90"/>
    </row>
    <row r="63" spans="1:58">
      <c r="A63" s="88"/>
      <c r="B63" s="88"/>
      <c r="C63" s="88"/>
      <c r="D63" s="88"/>
      <c r="E63" s="89"/>
      <c r="F63" s="89"/>
      <c r="G63" s="88"/>
      <c r="H63" s="88"/>
      <c r="I63" s="89"/>
      <c r="J63" s="89"/>
      <c r="K63" s="88"/>
      <c r="L63" s="88"/>
      <c r="M63" s="90"/>
    </row>
    <row r="64" spans="1:58">
      <c r="A64" s="88"/>
      <c r="B64" s="88"/>
      <c r="C64" s="88"/>
      <c r="D64" s="88"/>
      <c r="E64" s="89"/>
      <c r="F64" s="89"/>
      <c r="G64" s="88"/>
      <c r="H64" s="88"/>
      <c r="I64" s="89"/>
      <c r="J64" s="89"/>
      <c r="K64" s="88"/>
      <c r="L64" s="88"/>
      <c r="M64" s="90"/>
    </row>
    <row r="65" spans="1:13">
      <c r="A65" s="88"/>
      <c r="B65" s="88"/>
      <c r="C65" s="88"/>
      <c r="D65" s="88"/>
      <c r="E65" s="89"/>
      <c r="F65" s="89"/>
      <c r="G65" s="88"/>
      <c r="H65" s="88"/>
      <c r="I65" s="89"/>
      <c r="J65" s="89"/>
      <c r="K65" s="88"/>
      <c r="L65" s="88"/>
      <c r="M65" s="90"/>
    </row>
    <row r="66" spans="1:13">
      <c r="A66" s="88"/>
      <c r="B66" s="88"/>
      <c r="C66" s="88"/>
      <c r="D66" s="88"/>
      <c r="E66" s="89"/>
      <c r="F66" s="89"/>
      <c r="G66" s="88"/>
      <c r="H66" s="88"/>
      <c r="I66" s="89"/>
      <c r="J66" s="89"/>
      <c r="K66" s="88"/>
      <c r="L66" s="88"/>
      <c r="M66" s="90"/>
    </row>
    <row r="67" spans="1:13">
      <c r="A67" s="88"/>
      <c r="B67" s="88"/>
      <c r="C67" s="88"/>
      <c r="D67" s="88"/>
      <c r="E67" s="89"/>
      <c r="F67" s="89"/>
      <c r="G67" s="88"/>
      <c r="H67" s="88"/>
      <c r="I67" s="89"/>
      <c r="J67" s="89"/>
      <c r="K67" s="88"/>
      <c r="L67" s="88"/>
      <c r="M67" s="90"/>
    </row>
    <row r="68" spans="1:13">
      <c r="A68" s="88"/>
      <c r="B68" s="88"/>
      <c r="C68" s="88"/>
      <c r="D68" s="88"/>
      <c r="E68" s="89"/>
      <c r="F68" s="89"/>
      <c r="G68" s="88"/>
      <c r="H68" s="88"/>
      <c r="I68" s="89"/>
      <c r="J68" s="89"/>
      <c r="K68" s="88"/>
      <c r="L68" s="88"/>
      <c r="M68" s="90"/>
    </row>
    <row r="69" spans="1:13">
      <c r="A69" s="88"/>
      <c r="B69" s="88"/>
      <c r="C69" s="88"/>
      <c r="D69" s="88"/>
      <c r="E69" s="89"/>
      <c r="F69" s="89"/>
      <c r="G69" s="88"/>
      <c r="H69" s="88"/>
      <c r="I69" s="89"/>
      <c r="J69" s="89"/>
      <c r="K69" s="88"/>
      <c r="L69" s="88"/>
      <c r="M69" s="90"/>
    </row>
    <row r="70" spans="1:13">
      <c r="A70" s="88"/>
      <c r="B70" s="88"/>
      <c r="C70" s="88"/>
      <c r="D70" s="88"/>
      <c r="E70" s="89"/>
      <c r="F70" s="89"/>
      <c r="G70" s="88"/>
      <c r="H70" s="88"/>
      <c r="I70" s="89"/>
      <c r="J70" s="89"/>
      <c r="K70" s="88"/>
      <c r="L70" s="88"/>
      <c r="M70" s="90"/>
    </row>
    <row r="71" spans="1:13">
      <c r="A71" s="88"/>
      <c r="B71" s="88"/>
      <c r="C71" s="88"/>
      <c r="D71" s="88"/>
      <c r="E71" s="89"/>
      <c r="F71" s="89"/>
      <c r="G71" s="88"/>
      <c r="H71" s="88"/>
      <c r="I71" s="89"/>
      <c r="J71" s="89"/>
      <c r="K71" s="88"/>
      <c r="L71" s="88"/>
      <c r="M71" s="90"/>
    </row>
    <row r="72" spans="1:13">
      <c r="A72" s="88"/>
      <c r="B72" s="88"/>
      <c r="C72" s="88"/>
      <c r="D72" s="88"/>
      <c r="E72" s="89"/>
      <c r="F72" s="89"/>
      <c r="G72" s="88"/>
      <c r="H72" s="88"/>
      <c r="I72" s="89"/>
      <c r="J72" s="89"/>
      <c r="K72" s="88"/>
      <c r="L72" s="88"/>
      <c r="M72" s="90"/>
    </row>
    <row r="73" spans="1:13">
      <c r="A73" s="88"/>
      <c r="B73" s="88"/>
      <c r="C73" s="88"/>
      <c r="D73" s="88"/>
      <c r="E73" s="89"/>
      <c r="F73" s="89"/>
      <c r="G73" s="88"/>
      <c r="H73" s="88"/>
      <c r="I73" s="89"/>
      <c r="J73" s="89"/>
      <c r="K73" s="88"/>
      <c r="L73" s="88"/>
      <c r="M73" s="90"/>
    </row>
  </sheetData>
  <mergeCells count="2">
    <mergeCell ref="A1:M1"/>
    <mergeCell ref="A2:M2"/>
  </mergeCells>
  <pageMargins left="0.7" right="0.7" top="0.75" bottom="0.75" header="0.3" footer="0.3"/>
  <pageSetup paperSize="9" scale="5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11.10</vt:lpstr>
      <vt:lpstr>'11.10'!Print_Area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2019-05-13T05:14:45Z</cp:lastPrinted>
  <dcterms:created xsi:type="dcterms:W3CDTF">2019-03-24T03:32:16Z</dcterms:created>
  <dcterms:modified xsi:type="dcterms:W3CDTF">2019-05-13T05:14:53Z</dcterms:modified>
</cp:coreProperties>
</file>