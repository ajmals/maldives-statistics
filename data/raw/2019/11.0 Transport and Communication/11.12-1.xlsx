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 11.12" sheetId="2" r:id="rId1"/>
  </sheets>
  <externalReferences>
    <externalReference r:id="rId2"/>
    <externalReference r:id="rId3"/>
  </externalReferences>
  <definedNames>
    <definedName name="_xlnm.Print_Area" localSheetId="0">' 11.12'!$A$1:$N$22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2" l="1"/>
  <c r="L8" i="2" s="1"/>
  <c r="K14" i="2"/>
  <c r="I14" i="2"/>
  <c r="H14" i="2"/>
  <c r="G14" i="2"/>
  <c r="E14" i="2"/>
  <c r="D14" i="2"/>
  <c r="C14" i="2"/>
  <c r="B14" i="2"/>
  <c r="B8" i="2" s="1"/>
  <c r="L10" i="2"/>
  <c r="K10" i="2"/>
  <c r="I10" i="2"/>
  <c r="H10" i="2"/>
  <c r="H9" i="2" s="1"/>
  <c r="H8" i="2" s="1"/>
  <c r="G10" i="2"/>
  <c r="G9" i="2" s="1"/>
  <c r="E10" i="2"/>
  <c r="D10" i="2"/>
  <c r="D9" i="2" s="1"/>
  <c r="D8" i="2" s="1"/>
  <c r="C10" i="2"/>
  <c r="C9" i="2" s="1"/>
  <c r="C8" i="2" s="1"/>
  <c r="B10" i="2"/>
  <c r="L9" i="2"/>
  <c r="K9" i="2"/>
  <c r="I9" i="2"/>
  <c r="I8" i="2" s="1"/>
  <c r="E9" i="2"/>
  <c r="E8" i="2" s="1"/>
  <c r="B9" i="2"/>
  <c r="K8" i="2"/>
  <c r="G8" i="2" l="1"/>
</calcChain>
</file>

<file path=xl/sharedStrings.xml><?xml version="1.0" encoding="utf-8"?>
<sst xmlns="http://schemas.openxmlformats.org/spreadsheetml/2006/main" count="56" uniqueCount="48">
  <si>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</si>
  <si>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</si>
  <si>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</si>
  <si>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</si>
  <si>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</si>
  <si>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</si>
  <si>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</si>
  <si>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</si>
  <si>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</si>
  <si>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</si>
  <si>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</si>
  <si>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</si>
  <si>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</si>
  <si>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</si>
  <si>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</si>
  <si>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</si>
  <si>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</si>
  <si>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</si>
  <si>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</si>
  <si>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</si>
  <si>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</si>
  <si>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</si>
  <si>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</si>
  <si>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</si>
  <si>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</si>
  <si>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</si>
  <si>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</si>
  <si>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</si>
  <si>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</si>
  <si>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</si>
  <si>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</si>
  <si>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</si>
  <si>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</si>
  <si>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</si>
  <si>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</si>
  <si>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</si>
  <si>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</si>
  <si>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2018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</si>
  <si>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2018                 </t>
  </si>
  <si>
    <t>cscniawlrwaea cnwkcnwlIrcs</t>
  </si>
  <si>
    <t>Island Aviation (Non-Scheduled)</t>
  </si>
  <si>
    <t xml:space="preserve">(cDclwauDex cnon) cnwxEaivEacDcneliawa </t>
  </si>
  <si>
    <t>Villa (Non-Scheduled)</t>
  </si>
  <si>
    <t xml:space="preserve">(cDclwauDex cnon) Wliv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</si>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</sst>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10"/>
      <name val="A_Randhoo"/>
    </font>
    <font>
      <b/>
      <sz val="9"/>
      <name val="A_Randhoo"/>
    </font>
    <font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54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0" fontId="6" fillId="2" borderId="0" xfId="2" applyFont="1" applyFill="1" applyAlignment="1">
      <alignment vertical="center"/>
    </xf>
    <xf numFmtId="164" fontId="7" fillId="2" borderId="1" xfId="1" applyNumberFormat="1" applyFont="1" applyFill="1" applyBorder="1" applyAlignment="1" applyProtection="1">
      <alignment horizontal="left" vertical="center"/>
    </xf>
    <xf numFmtId="164" fontId="8" fillId="2" borderId="1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0" fontId="11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left" vertical="center"/>
    </xf>
    <xf numFmtId="164" fontId="9" fillId="2" borderId="0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 applyProtection="1">
      <alignment horizontal="right" vertical="center"/>
    </xf>
    <xf numFmtId="38" fontId="14" fillId="2" borderId="2" xfId="3" applyNumberFormat="1" applyFont="1" applyFill="1" applyBorder="1" applyAlignment="1">
      <alignment horizontal="right" vertical="center"/>
    </xf>
    <xf numFmtId="38" fontId="14" fillId="2" borderId="0" xfId="3" applyNumberFormat="1" applyFont="1" applyFill="1" applyBorder="1" applyAlignment="1" applyProtection="1">
      <alignment horizontal="right" vertical="center"/>
    </xf>
    <xf numFmtId="164" fontId="12" fillId="2" borderId="0" xfId="1" applyNumberFormat="1" applyFont="1" applyFill="1" applyBorder="1" applyAlignment="1" applyProtection="1">
      <alignment horizontal="left" vertical="center"/>
    </xf>
    <xf numFmtId="164" fontId="14" fillId="2" borderId="0" xfId="1" applyNumberFormat="1" applyFont="1" applyFill="1" applyBorder="1" applyAlignment="1" applyProtection="1">
      <alignment horizontal="left" vertical="center"/>
    </xf>
    <xf numFmtId="38" fontId="12" fillId="2" borderId="0" xfId="3" applyNumberFormat="1" applyFont="1" applyFill="1" applyBorder="1" applyAlignment="1">
      <alignment horizontal="right" vertical="center"/>
    </xf>
    <xf numFmtId="37" fontId="11" fillId="2" borderId="0" xfId="1" applyNumberFormat="1" applyFont="1" applyFill="1" applyBorder="1" applyAlignment="1" applyProtection="1">
      <alignment horizontal="right" vertical="center"/>
    </xf>
    <xf numFmtId="164" fontId="17" fillId="2" borderId="0" xfId="1" applyNumberFormat="1" applyFont="1" applyFill="1" applyAlignment="1" applyProtection="1">
      <alignment horizontal="left" vertical="center"/>
    </xf>
    <xf numFmtId="37" fontId="11" fillId="2" borderId="0" xfId="1" applyNumberFormat="1" applyFont="1" applyFill="1" applyAlignment="1" applyProtection="1">
      <alignment vertical="center"/>
    </xf>
    <xf numFmtId="0" fontId="18" fillId="2" borderId="0" xfId="4" applyFont="1" applyFill="1" applyAlignment="1">
      <alignment vertical="center"/>
    </xf>
    <xf numFmtId="0" fontId="16" fillId="2" borderId="3" xfId="0" applyNumberFormat="1" applyFont="1" applyFill="1" applyBorder="1" applyAlignment="1">
      <alignment horizontal="right" vertical="center"/>
    </xf>
    <xf numFmtId="164" fontId="19" fillId="2" borderId="0" xfId="0" applyNumberFormat="1" applyFont="1" applyFill="1"/>
    <xf numFmtId="164" fontId="6" fillId="2" borderId="1" xfId="1" applyNumberFormat="1" applyFont="1" applyFill="1" applyBorder="1" applyAlignment="1" applyProtection="1">
      <alignment horizontal="center" vertical="center"/>
    </xf>
    <xf numFmtId="164" fontId="19" fillId="2" borderId="0" xfId="0" applyNumberFormat="1" applyFont="1" applyFill="1" applyBorder="1"/>
    <xf numFmtId="164" fontId="10" fillId="2" borderId="1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 wrapText="1"/>
    </xf>
    <xf numFmtId="0" fontId="10" fillId="2" borderId="0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vertical="center"/>
    </xf>
    <xf numFmtId="164" fontId="12" fillId="2" borderId="0" xfId="1" applyNumberFormat="1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right" vertical="center"/>
    </xf>
    <xf numFmtId="164" fontId="14" fillId="2" borderId="0" xfId="1" applyNumberFormat="1" applyFont="1" applyFill="1" applyBorder="1" applyAlignment="1">
      <alignment horizontal="left" vertical="center"/>
    </xf>
    <xf numFmtId="38" fontId="14" fillId="2" borderId="0" xfId="3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 applyAlignment="1" applyProtection="1">
      <alignment horizontal="right" vertical="center"/>
    </xf>
    <xf numFmtId="0" fontId="15" fillId="2" borderId="1" xfId="2" applyFont="1" applyFill="1" applyBorder="1" applyAlignment="1">
      <alignment horizontal="right" vertical="center"/>
    </xf>
    <xf numFmtId="164" fontId="21" fillId="2" borderId="0" xfId="1" applyNumberFormat="1" applyFont="1" applyFill="1" applyAlignment="1" applyProtection="1">
      <alignment horizontal="left" vertical="center"/>
    </xf>
    <xf numFmtId="164" fontId="2" fillId="2" borderId="0" xfId="0" applyNumberFormat="1" applyFont="1" applyFill="1"/>
    <xf numFmtId="164" fontId="7" fillId="2" borderId="1" xfId="1" applyNumberFormat="1" applyFont="1" applyFill="1" applyBorder="1" applyAlignment="1" applyProtection="1">
      <alignment vertical="center"/>
    </xf>
    <xf numFmtId="38" fontId="12" fillId="2" borderId="2" xfId="3" applyNumberFormat="1" applyFont="1" applyFill="1" applyBorder="1" applyAlignment="1">
      <alignment horizontal="right" vertical="center"/>
    </xf>
    <xf numFmtId="0" fontId="15" fillId="2" borderId="0" xfId="2" applyFont="1" applyFill="1" applyBorder="1" applyAlignment="1">
      <alignment horizontal="right" vertical="center"/>
    </xf>
    <xf numFmtId="38" fontId="12" fillId="2" borderId="2" xfId="3" applyNumberFormat="1" applyFont="1" applyFill="1" applyBorder="1" applyAlignment="1">
      <alignment horizontal="right"/>
    </xf>
    <xf numFmtId="38" fontId="12" fillId="2" borderId="2" xfId="3" applyNumberFormat="1" applyFont="1" applyFill="1" applyBorder="1" applyAlignment="1" applyProtection="1">
      <alignment horizontal="right" vertical="center"/>
    </xf>
    <xf numFmtId="38" fontId="14" fillId="2" borderId="0" xfId="3" applyNumberFormat="1" applyFont="1" applyFill="1" applyAlignment="1">
      <alignment horizontal="right" vertical="center"/>
    </xf>
    <xf numFmtId="38" fontId="14" fillId="2" borderId="0" xfId="3" applyNumberFormat="1" applyFont="1" applyFill="1" applyBorder="1" applyAlignment="1" applyProtection="1">
      <alignment horizontal="right" vertical="center"/>
      <protection locked="0"/>
    </xf>
    <xf numFmtId="38" fontId="14" fillId="2" borderId="0" xfId="3" applyNumberFormat="1" applyFont="1" applyFill="1" applyAlignment="1">
      <alignment horizontal="right"/>
    </xf>
    <xf numFmtId="164" fontId="14" fillId="2" borderId="1" xfId="0" applyNumberFormat="1" applyFont="1" applyFill="1" applyBorder="1" applyAlignment="1" applyProtection="1">
      <alignment horizontal="left" vertical="center"/>
    </xf>
    <xf numFmtId="38" fontId="14" fillId="2" borderId="4" xfId="3" applyNumberFormat="1" applyFont="1" applyFill="1" applyBorder="1" applyAlignment="1" applyProtection="1">
      <alignment horizontal="right" vertical="center"/>
      <protection locked="0"/>
    </xf>
    <xf numFmtId="38" fontId="14" fillId="2" borderId="4" xfId="3" applyNumberFormat="1" applyFont="1" applyFill="1" applyBorder="1" applyAlignment="1">
      <alignment horizontal="right" vertical="center"/>
    </xf>
    <xf numFmtId="164" fontId="17" fillId="2" borderId="0" xfId="0" applyNumberFormat="1" applyFont="1" applyFill="1" applyBorder="1" applyAlignment="1" applyProtection="1">
      <alignment horizontal="left" vertical="center"/>
    </xf>
    <xf numFmtId="0" fontId="16" fillId="2" borderId="0" xfId="2" applyFont="1" applyFill="1" applyBorder="1" applyAlignment="1">
      <alignment horizontal="right" vertical="center"/>
    </xf>
    <xf numFmtId="164" fontId="18" fillId="2" borderId="0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center" vertical="center"/>
    </xf>
    <xf numFmtId="164" fontId="20" fillId="2" borderId="0" xfId="1" applyNumberFormat="1" applyFont="1" applyFill="1" applyBorder="1" applyAlignment="1" applyProtection="1">
      <alignment horizontal="center" vertical="center"/>
    </xf>
    <xf numFmtId="164" fontId="17" fillId="2" borderId="0" xfId="1" applyNumberFormat="1" applyFont="1" applyFill="1" applyBorder="1" applyAlignment="1" applyProtection="1">
      <alignment horizontal="left" vertical="center"/>
    </xf>
  </cellXfs>
  <cellStyles count="12">
    <cellStyle name="Comma 2" xfId="3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4"/>
    <cellStyle name="Normal_IX-9(Trans &amp; Comm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/>
          <cell r="D5" t="str">
            <v>Domestic Flights</v>
          </cell>
          <cell r="E5"/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21"/>
  <sheetViews>
    <sheetView tabSelected="1" zoomScaleNormal="100" workbookViewId="0">
      <selection activeCell="L25" sqref="L25"/>
    </sheetView>
  </sheetViews>
  <sheetFormatPr defaultColWidth="9.140625" defaultRowHeight="15"/>
  <cols>
    <col min="1" max="1" width="26.85546875" style="21" bestFit="1" customWidth="1"/>
    <col min="2" max="2" width="14.85546875" style="21" customWidth="1"/>
    <col min="3" max="3" width="12.28515625" style="21" customWidth="1"/>
    <col min="4" max="4" width="13.85546875" style="21" customWidth="1"/>
    <col min="5" max="5" width="15.140625" style="21" customWidth="1"/>
    <col min="6" max="6" width="3" style="21" customWidth="1"/>
    <col min="7" max="7" width="11.28515625" style="21" customWidth="1"/>
    <col min="8" max="8" width="12.85546875" style="21" customWidth="1"/>
    <col min="9" max="9" width="16.7109375" style="21" customWidth="1"/>
    <col min="10" max="10" width="2.7109375" style="21" customWidth="1"/>
    <col min="11" max="12" width="11.42578125" style="21" customWidth="1"/>
    <col min="13" max="13" width="38.85546875" style="21" customWidth="1"/>
    <col min="14" max="14" width="2.7109375" style="21" customWidth="1"/>
    <col min="15" max="17" width="10.140625" style="21" customWidth="1"/>
    <col min="18" max="16384" width="9.140625" style="21"/>
  </cols>
  <sheetData>
    <row r="2" spans="1:13" ht="19.5">
      <c r="A2" s="51" t="s">
        <v>37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>
      <c r="A3" s="52" t="s">
        <v>38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s="23" customForma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>
      <c r="A5" s="1"/>
      <c r="B5" s="2"/>
      <c r="C5" s="3" t="s">
        <v>0</v>
      </c>
      <c r="D5" s="4"/>
      <c r="E5" s="24" t="s">
        <v>1</v>
      </c>
      <c r="F5" s="5"/>
      <c r="G5" s="37" t="s">
        <v>2</v>
      </c>
      <c r="H5" s="4"/>
      <c r="I5" s="24" t="s">
        <v>3</v>
      </c>
      <c r="J5" s="5"/>
      <c r="K5" s="3" t="s">
        <v>4</v>
      </c>
      <c r="L5" s="24" t="s">
        <v>5</v>
      </c>
      <c r="M5" s="6"/>
    </row>
    <row r="6" spans="1:13">
      <c r="A6" s="7" t="s">
        <v>6</v>
      </c>
      <c r="B6" s="5" t="s">
        <v>7</v>
      </c>
      <c r="C6" s="5" t="s">
        <v>8</v>
      </c>
      <c r="D6" s="25" t="s">
        <v>9</v>
      </c>
      <c r="E6" s="5" t="s">
        <v>10</v>
      </c>
      <c r="F6" s="5"/>
      <c r="G6" s="5" t="s">
        <v>11</v>
      </c>
      <c r="H6" s="5" t="s">
        <v>12</v>
      </c>
      <c r="I6" s="26" t="s">
        <v>10</v>
      </c>
      <c r="J6" s="5"/>
      <c r="K6" s="5" t="s">
        <v>11</v>
      </c>
      <c r="L6" s="25" t="s">
        <v>12</v>
      </c>
      <c r="M6" s="27" t="s">
        <v>13</v>
      </c>
    </row>
    <row r="7" spans="1:13">
      <c r="A7" s="9"/>
      <c r="B7" s="10" t="s">
        <v>14</v>
      </c>
      <c r="C7" s="10" t="s">
        <v>15</v>
      </c>
      <c r="D7" s="10" t="s">
        <v>16</v>
      </c>
      <c r="E7" s="10" t="s">
        <v>17</v>
      </c>
      <c r="F7" s="10"/>
      <c r="G7" s="10" t="s">
        <v>15</v>
      </c>
      <c r="H7" s="10" t="s">
        <v>16</v>
      </c>
      <c r="I7" s="10" t="s">
        <v>17</v>
      </c>
      <c r="J7" s="10"/>
      <c r="K7" s="10" t="s">
        <v>15</v>
      </c>
      <c r="L7" s="10" t="s">
        <v>16</v>
      </c>
      <c r="M7" s="28"/>
    </row>
    <row r="8" spans="1:13" ht="15.75">
      <c r="A8" s="29" t="s">
        <v>18</v>
      </c>
      <c r="B8" s="15">
        <f>SUM(B9+B14)</f>
        <v>21528</v>
      </c>
      <c r="C8" s="15">
        <f>SUM(C9+C14)</f>
        <v>77960</v>
      </c>
      <c r="D8" s="15">
        <f>SUM(D9+D14)</f>
        <v>78139</v>
      </c>
      <c r="E8" s="15">
        <f>SUM(E9+E14)</f>
        <v>6556</v>
      </c>
      <c r="F8" s="15"/>
      <c r="G8" s="15">
        <f>SUM(G14+G9)</f>
        <v>567716.19999999995</v>
      </c>
      <c r="H8" s="15">
        <f>SUM(H14+H9)</f>
        <v>30695.7</v>
      </c>
      <c r="I8" s="15">
        <f>SUM(I14+I9)</f>
        <v>11382</v>
      </c>
      <c r="J8" s="15"/>
      <c r="K8" s="15">
        <f>SUM(K14+K9)</f>
        <v>20706.900000000001</v>
      </c>
      <c r="L8" s="15">
        <f>SUM(L14+L9)</f>
        <v>748</v>
      </c>
      <c r="M8" s="30" t="s">
        <v>19</v>
      </c>
    </row>
    <row r="9" spans="1:13" ht="15.75">
      <c r="A9" s="29" t="s">
        <v>20</v>
      </c>
      <c r="B9" s="15">
        <f>SUM(B10+B12+B13)</f>
        <v>518</v>
      </c>
      <c r="C9" s="15">
        <f>SUM(C10+C12+C13)</f>
        <v>19078</v>
      </c>
      <c r="D9" s="15">
        <f>SUM(D10+D12+D13)</f>
        <v>18975</v>
      </c>
      <c r="E9" s="15">
        <f>SUM(E10+E12+E13)</f>
        <v>16</v>
      </c>
      <c r="F9" s="15"/>
      <c r="G9" s="15">
        <f>SUM(G10+G12+G13)</f>
        <v>315264</v>
      </c>
      <c r="H9" s="15">
        <f>SUM(H10+H12+H13)</f>
        <v>3905.4</v>
      </c>
      <c r="I9" s="15">
        <f>SUM(I10+I12+I13)</f>
        <v>0</v>
      </c>
      <c r="J9" s="15"/>
      <c r="K9" s="15">
        <f>SUM(K10+K12+K13)</f>
        <v>0</v>
      </c>
      <c r="L9" s="15">
        <f>SUM(L10+L12+L13)</f>
        <v>0</v>
      </c>
      <c r="M9" s="30" t="s">
        <v>21</v>
      </c>
    </row>
    <row r="10" spans="1:13" ht="15.75">
      <c r="A10" s="29" t="s">
        <v>22</v>
      </c>
      <c r="B10" s="38">
        <f>B11</f>
        <v>344</v>
      </c>
      <c r="C10" s="38">
        <f>C11</f>
        <v>18055</v>
      </c>
      <c r="D10" s="38">
        <f>D11</f>
        <v>18201</v>
      </c>
      <c r="E10" s="38">
        <f>E11</f>
        <v>0</v>
      </c>
      <c r="F10" s="38"/>
      <c r="G10" s="38">
        <f>G11</f>
        <v>313346</v>
      </c>
      <c r="H10" s="38">
        <f>H11</f>
        <v>3905.4</v>
      </c>
      <c r="I10" s="38">
        <f>I11</f>
        <v>0</v>
      </c>
      <c r="J10" s="38"/>
      <c r="K10" s="38">
        <f>K11</f>
        <v>0</v>
      </c>
      <c r="L10" s="38">
        <f>L11</f>
        <v>0</v>
      </c>
      <c r="M10" s="30" t="s">
        <v>23</v>
      </c>
    </row>
    <row r="11" spans="1:13" ht="15.75">
      <c r="A11" s="31" t="s">
        <v>24</v>
      </c>
      <c r="B11" s="11">
        <v>344</v>
      </c>
      <c r="C11" s="11">
        <v>18055</v>
      </c>
      <c r="D11" s="11">
        <v>18201</v>
      </c>
      <c r="E11" s="11">
        <v>0</v>
      </c>
      <c r="F11" s="11"/>
      <c r="G11" s="11">
        <v>313346</v>
      </c>
      <c r="H11" s="11">
        <v>3905.4</v>
      </c>
      <c r="I11" s="11">
        <v>0</v>
      </c>
      <c r="J11" s="11"/>
      <c r="K11" s="11">
        <v>0</v>
      </c>
      <c r="L11" s="11">
        <v>0</v>
      </c>
      <c r="M11" s="39" t="s">
        <v>39</v>
      </c>
    </row>
    <row r="12" spans="1:13" ht="15.75">
      <c r="A12" s="29" t="s">
        <v>25</v>
      </c>
      <c r="B12" s="38">
        <v>0</v>
      </c>
      <c r="C12" s="38">
        <v>0</v>
      </c>
      <c r="D12" s="38">
        <v>0</v>
      </c>
      <c r="E12" s="38">
        <v>0</v>
      </c>
      <c r="F12" s="38"/>
      <c r="G12" s="38">
        <v>0</v>
      </c>
      <c r="H12" s="38">
        <v>0</v>
      </c>
      <c r="I12" s="38">
        <v>0</v>
      </c>
      <c r="J12" s="38"/>
      <c r="K12" s="38">
        <v>0</v>
      </c>
      <c r="L12" s="38">
        <v>0</v>
      </c>
      <c r="M12" s="30" t="s">
        <v>26</v>
      </c>
    </row>
    <row r="13" spans="1:13" ht="15.75">
      <c r="A13" s="13" t="s">
        <v>27</v>
      </c>
      <c r="B13" s="38">
        <v>174</v>
      </c>
      <c r="C13" s="38">
        <v>1023</v>
      </c>
      <c r="D13" s="40">
        <v>774</v>
      </c>
      <c r="E13" s="38">
        <v>16</v>
      </c>
      <c r="F13" s="38"/>
      <c r="G13" s="38">
        <v>1918</v>
      </c>
      <c r="H13" s="38">
        <v>0</v>
      </c>
      <c r="I13" s="38">
        <v>0</v>
      </c>
      <c r="J13" s="38"/>
      <c r="K13" s="38">
        <v>0</v>
      </c>
      <c r="L13" s="38">
        <v>0</v>
      </c>
      <c r="M13" s="33" t="s">
        <v>28</v>
      </c>
    </row>
    <row r="14" spans="1:13" ht="15.75">
      <c r="A14" s="13" t="s">
        <v>29</v>
      </c>
      <c r="B14" s="41">
        <f>SUM(B15:B18)</f>
        <v>21010</v>
      </c>
      <c r="C14" s="41">
        <f>SUM(C15:C18)</f>
        <v>58882</v>
      </c>
      <c r="D14" s="41">
        <f>SUM(D15:D18)</f>
        <v>59164</v>
      </c>
      <c r="E14" s="41">
        <f>SUM(E15:E18)</f>
        <v>6540</v>
      </c>
      <c r="F14" s="41"/>
      <c r="G14" s="41">
        <f>SUM(G15:G18)</f>
        <v>252452.2</v>
      </c>
      <c r="H14" s="41">
        <f>SUM(H15:H18)</f>
        <v>26790.3</v>
      </c>
      <c r="I14" s="41">
        <f>SUM(I15:I18)</f>
        <v>11382</v>
      </c>
      <c r="J14" s="41"/>
      <c r="K14" s="41">
        <f>SUM(K15:K18)</f>
        <v>20706.900000000001</v>
      </c>
      <c r="L14" s="41">
        <f>SUM(L15:L18)</f>
        <v>748</v>
      </c>
      <c r="M14" s="8" t="s">
        <v>30</v>
      </c>
    </row>
    <row r="15" spans="1:13" ht="15.75">
      <c r="A15" s="14" t="s">
        <v>35</v>
      </c>
      <c r="B15" s="42">
        <v>3592</v>
      </c>
      <c r="C15" s="42">
        <v>56826</v>
      </c>
      <c r="D15" s="42">
        <v>56617</v>
      </c>
      <c r="E15" s="42">
        <v>5444</v>
      </c>
      <c r="F15" s="43"/>
      <c r="G15" s="42">
        <v>250934.2</v>
      </c>
      <c r="H15" s="42">
        <v>21786.3</v>
      </c>
      <c r="I15" s="42">
        <v>11293</v>
      </c>
      <c r="J15" s="12"/>
      <c r="K15" s="44">
        <v>20627.900000000001</v>
      </c>
      <c r="L15" s="44">
        <v>748</v>
      </c>
      <c r="M15" s="39" t="s">
        <v>36</v>
      </c>
    </row>
    <row r="16" spans="1:13" ht="15.75">
      <c r="A16" s="14" t="s">
        <v>40</v>
      </c>
      <c r="B16" s="42">
        <v>52</v>
      </c>
      <c r="C16" s="42">
        <v>331</v>
      </c>
      <c r="D16" s="42">
        <v>611</v>
      </c>
      <c r="E16" s="42">
        <v>220</v>
      </c>
      <c r="F16" s="43"/>
      <c r="G16" s="42">
        <v>1518</v>
      </c>
      <c r="H16" s="42">
        <v>5004</v>
      </c>
      <c r="I16" s="42">
        <v>89</v>
      </c>
      <c r="J16" s="12"/>
      <c r="K16" s="44">
        <v>79</v>
      </c>
      <c r="L16" s="44">
        <v>0</v>
      </c>
      <c r="M16" s="39" t="s">
        <v>41</v>
      </c>
    </row>
    <row r="17" spans="1:13" ht="15.75">
      <c r="A17" s="14" t="s">
        <v>42</v>
      </c>
      <c r="B17" s="42">
        <v>98</v>
      </c>
      <c r="C17" s="42">
        <v>1725</v>
      </c>
      <c r="D17" s="42">
        <v>1936</v>
      </c>
      <c r="E17" s="42">
        <v>876</v>
      </c>
      <c r="F17" s="43"/>
      <c r="G17" s="42">
        <v>0</v>
      </c>
      <c r="H17" s="42">
        <v>0</v>
      </c>
      <c r="I17" s="42">
        <v>0</v>
      </c>
      <c r="J17" s="12"/>
      <c r="K17" s="44">
        <v>0</v>
      </c>
      <c r="L17" s="44">
        <v>0</v>
      </c>
      <c r="M17" s="39" t="s">
        <v>43</v>
      </c>
    </row>
    <row r="18" spans="1:13" s="36" customFormat="1" ht="15.75">
      <c r="A18" s="45" t="s">
        <v>31</v>
      </c>
      <c r="B18" s="46">
        <v>17268</v>
      </c>
      <c r="C18" s="47">
        <v>0</v>
      </c>
      <c r="D18" s="47">
        <v>0</v>
      </c>
      <c r="E18" s="47">
        <v>0</v>
      </c>
      <c r="F18" s="47"/>
      <c r="G18" s="47">
        <v>0</v>
      </c>
      <c r="H18" s="47">
        <v>0</v>
      </c>
      <c r="I18" s="47">
        <v>0</v>
      </c>
      <c r="J18" s="47"/>
      <c r="K18" s="47">
        <v>0</v>
      </c>
      <c r="L18" s="47">
        <v>0</v>
      </c>
      <c r="M18" s="34" t="s">
        <v>32</v>
      </c>
    </row>
    <row r="19" spans="1:13" s="36" customFormat="1" ht="18.75">
      <c r="A19" s="48" t="s">
        <v>44</v>
      </c>
      <c r="B19" s="43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49" t="s">
        <v>45</v>
      </c>
    </row>
    <row r="20" spans="1:13">
      <c r="A20" s="53" t="s">
        <v>46</v>
      </c>
      <c r="B20" s="53"/>
      <c r="C20" s="53"/>
      <c r="D20" s="53"/>
      <c r="E20" s="53"/>
      <c r="F20" s="53"/>
      <c r="G20" s="53"/>
      <c r="H20" s="16"/>
      <c r="I20" s="16"/>
      <c r="J20" s="16"/>
      <c r="K20" s="16"/>
      <c r="L20" s="16"/>
      <c r="M20" s="50" t="s">
        <v>47</v>
      </c>
    </row>
    <row r="21" spans="1:13" ht="18.75">
      <c r="A21" s="17" t="s">
        <v>33</v>
      </c>
      <c r="B21" s="35"/>
      <c r="C21" s="18"/>
      <c r="D21" s="18"/>
      <c r="E21" s="18"/>
      <c r="F21" s="18"/>
      <c r="G21" s="18"/>
      <c r="H21" s="19"/>
      <c r="I21" s="19"/>
      <c r="J21" s="19"/>
      <c r="K21" s="36"/>
      <c r="L21" s="36"/>
      <c r="M21" s="20" t="s">
        <v>34</v>
      </c>
    </row>
  </sheetData>
  <mergeCells count="3">
    <mergeCell ref="A2:M2"/>
    <mergeCell ref="A3:M3"/>
    <mergeCell ref="A20:G20"/>
  </mergeCells>
  <pageMargins left="0.7" right="0.7" top="0.75" bottom="0.75" header="0.3" footer="0.3"/>
  <pageSetup paperSize="9" scale="6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11.12</vt:lpstr>
      <vt:lpstr>' 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2019-05-13T05:17:40Z</cp:lastPrinted>
  <dcterms:created xsi:type="dcterms:W3CDTF">2019-03-24T03:32:16Z</dcterms:created>
  <dcterms:modified xsi:type="dcterms:W3CDTF">2019-05-13T05:17:48Z</dcterms:modified>
</cp:coreProperties>
</file>