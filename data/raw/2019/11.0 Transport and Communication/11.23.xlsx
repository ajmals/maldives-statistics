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 11.23" sheetId="8" r:id="rId1"/>
  </sheets>
  <definedNames>
    <definedName name="_xlnm.Print_Area" localSheetId="0">' 11.23'!$A$1:$H$21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8" l="1"/>
  <c r="B18" i="8"/>
  <c r="B17" i="8"/>
  <c r="B16" i="8"/>
  <c r="B15" i="8"/>
  <c r="B14" i="8"/>
  <c r="B13" i="8"/>
  <c r="B12" i="8"/>
  <c r="B11" i="8"/>
  <c r="B10" i="8"/>
  <c r="B9" i="8"/>
  <c r="B8" i="8"/>
  <c r="F7" i="8"/>
  <c r="E7" i="8"/>
  <c r="D7" i="8"/>
  <c r="C7" i="8"/>
  <c r="B7" i="8" s="1"/>
</calcChain>
</file>

<file path=xl/sharedStrings.xml><?xml version="1.0" encoding="utf-8"?>
<sst xmlns="http://schemas.openxmlformats.org/spreadsheetml/2006/main" count="40" uniqueCount="38">
  <si>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</si>
  <si>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</si>
  <si>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</si>
  <si>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</si>
  <si>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</si>
  <si>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</si>
  <si>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</si>
  <si>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</si>
  <si>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</si>
  <si>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</si>
  <si>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</si>
  <si>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</si>
  <si>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</si>
  <si>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</si>
  <si>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</si>
  <si>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</si>
  <si>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</si>
  <si>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</si>
  <si>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</si>
  <si>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</si>
  <si>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</si>
  <si>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</si>
  <si>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</si>
  <si>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</si>
  <si>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</si>
  <si>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</si>
  <si>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</si>
  <si>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</si>
  <si>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</si>
  <si>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</si>
  <si>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</si>
  <si>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</si>
  <si>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Inward</t>
  </si>
  <si>
    <t>Outward</t>
  </si>
  <si>
    <t xml:space="preserve"> Total </t>
  </si>
  <si>
    <t xml:space="preserve">(in Kg) </t>
  </si>
  <si>
    <t>Table  11.23 :  MAIL HANDLED AT VELANA INTERNATIONAL AIRPORT  BY MONTH, 2018</t>
  </si>
  <si>
    <t>ތާވަލު 11.23: މަސްމަހުގެ ގޮތުން ވެލާނާ އިންޓަރނޭޝަނަލް އެއަރޕޯޓުން އުފުލުނު މެއިލް،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</si>
</sst>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_(* #,##0_);_(* \(#,##0\);_(* &quot;-&quot;??_);_(@_)"/>
    <numFmt numFmtId="166" formatCode="#,##0.0_);[Red]\(#,##0.0\)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sz val="9"/>
      <name val="Faruma"/>
    </font>
    <font>
      <b/>
      <sz val="11"/>
      <name val="Faruma"/>
    </font>
    <font>
      <i/>
      <sz val="10"/>
      <name val="Calibri"/>
      <family val="2"/>
      <scheme val="minor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40" fontId="7" fillId="0" borderId="0" applyFont="0" applyFill="0" applyBorder="0" applyAlignment="0" applyProtection="0"/>
    <xf numFmtId="0" fontId="15" fillId="0" borderId="0"/>
    <xf numFmtId="0" fontId="3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63">
    <xf numFmtId="0" fontId="0" fillId="0" borderId="0" xfId="0"/>
    <xf numFmtId="164" fontId="6" fillId="2" borderId="0" xfId="1" applyNumberFormat="1" applyFont="1" applyFill="1" applyBorder="1" applyAlignment="1" applyProtection="1">
      <alignment horizontal="left" vertical="center"/>
    </xf>
    <xf numFmtId="164" fontId="11" fillId="2" borderId="0" xfId="1" applyNumberFormat="1" applyFont="1" applyFill="1" applyAlignment="1" applyProtection="1">
      <alignment horizontal="left" vertical="center"/>
    </xf>
    <xf numFmtId="37" fontId="12" fillId="2" borderId="0" xfId="1" applyNumberFormat="1" applyFont="1" applyFill="1" applyAlignment="1" applyProtection="1">
      <alignment vertical="center"/>
    </xf>
    <xf numFmtId="164" fontId="13" fillId="2" borderId="0" xfId="0" applyNumberFormat="1" applyFont="1" applyFill="1"/>
    <xf numFmtId="164" fontId="13" fillId="2" borderId="0" xfId="0" applyNumberFormat="1" applyFont="1" applyFill="1" applyBorder="1"/>
    <xf numFmtId="164" fontId="4" fillId="2" borderId="0" xfId="1" applyNumberFormat="1" applyFont="1" applyFill="1" applyBorder="1" applyAlignment="1" applyProtection="1">
      <alignment horizontal="right" vertical="center"/>
    </xf>
    <xf numFmtId="0" fontId="5" fillId="2" borderId="0" xfId="3" applyFont="1" applyFill="1" applyBorder="1" applyAlignment="1">
      <alignment horizontal="right"/>
    </xf>
    <xf numFmtId="164" fontId="12" fillId="2" borderId="0" xfId="1" applyNumberFormat="1" applyFont="1" applyFill="1" applyBorder="1" applyAlignment="1" applyProtection="1">
      <alignment horizontal="left" vertical="center"/>
    </xf>
    <xf numFmtId="0" fontId="9" fillId="2" borderId="0" xfId="3" applyFont="1" applyFill="1" applyBorder="1" applyAlignment="1">
      <alignment horizontal="right"/>
    </xf>
    <xf numFmtId="164" fontId="12" fillId="2" borderId="1" xfId="1" applyNumberFormat="1" applyFont="1" applyFill="1" applyBorder="1" applyAlignment="1" applyProtection="1">
      <alignment horizontal="left" vertical="center"/>
    </xf>
    <xf numFmtId="0" fontId="9" fillId="2" borderId="1" xfId="3" applyFont="1" applyFill="1" applyBorder="1" applyAlignment="1">
      <alignment horizontal="right"/>
    </xf>
    <xf numFmtId="164" fontId="4" fillId="2" borderId="6" xfId="1" applyNumberFormat="1" applyFont="1" applyFill="1" applyBorder="1" applyAlignment="1" applyProtection="1">
      <alignment horizontal="left" vertical="center"/>
    </xf>
    <xf numFmtId="0" fontId="10" fillId="2" borderId="0" xfId="0" applyNumberFormat="1" applyFont="1" applyFill="1" applyBorder="1" applyAlignment="1">
      <alignment horizontal="right" vertical="center"/>
    </xf>
    <xf numFmtId="37" fontId="12" fillId="2" borderId="0" xfId="1" applyNumberFormat="1" applyFont="1" applyFill="1" applyBorder="1" applyAlignment="1" applyProtection="1">
      <alignment vertical="center"/>
    </xf>
    <xf numFmtId="164" fontId="8" fillId="2" borderId="0" xfId="0" applyNumberFormat="1" applyFont="1" applyFill="1" applyBorder="1"/>
    <xf numFmtId="164" fontId="6" fillId="2" borderId="6" xfId="1" applyNumberFormat="1" applyFont="1" applyFill="1" applyBorder="1" applyAlignment="1" applyProtection="1">
      <alignment horizontal="left" vertical="center"/>
    </xf>
    <xf numFmtId="164" fontId="6" fillId="2" borderId="0" xfId="1" applyNumberFormat="1" applyFont="1" applyFill="1" applyBorder="1" applyAlignment="1" applyProtection="1">
      <alignment vertical="center"/>
    </xf>
    <xf numFmtId="164" fontId="16" fillId="2" borderId="0" xfId="0" applyNumberFormat="1" applyFont="1" applyFill="1" applyAlignment="1">
      <alignment vertical="center"/>
    </xf>
    <xf numFmtId="164" fontId="17" fillId="2" borderId="0" xfId="0" applyNumberFormat="1" applyFont="1" applyFill="1" applyAlignment="1"/>
    <xf numFmtId="164" fontId="8" fillId="2" borderId="0" xfId="0" applyNumberFormat="1" applyFont="1" applyFill="1"/>
    <xf numFmtId="164" fontId="14" fillId="2" borderId="0" xfId="1" applyNumberFormat="1" applyFont="1" applyFill="1" applyAlignment="1" applyProtection="1">
      <alignment vertical="center"/>
    </xf>
    <xf numFmtId="164" fontId="4" fillId="2" borderId="0" xfId="1" applyNumberFormat="1" applyFont="1" applyFill="1" applyBorder="1" applyAlignment="1" applyProtection="1">
      <alignment vertical="center" wrapText="1"/>
    </xf>
    <xf numFmtId="164" fontId="6" fillId="2" borderId="0" xfId="1" applyNumberFormat="1" applyFont="1" applyFill="1" applyBorder="1" applyAlignment="1" applyProtection="1">
      <alignment horizontal="right" vertical="center"/>
    </xf>
    <xf numFmtId="164" fontId="4" fillId="2" borderId="17" xfId="1" applyNumberFormat="1" applyFont="1" applyFill="1" applyBorder="1" applyAlignment="1" applyProtection="1">
      <alignment horizontal="right" vertical="center"/>
    </xf>
    <xf numFmtId="164" fontId="4" fillId="2" borderId="18" xfId="1" applyNumberFormat="1" applyFont="1" applyFill="1" applyBorder="1" applyAlignment="1" applyProtection="1">
      <alignment horizontal="right" vertical="center"/>
    </xf>
    <xf numFmtId="166" fontId="4" fillId="2" borderId="8" xfId="2" applyNumberFormat="1" applyFont="1" applyFill="1" applyBorder="1" applyAlignment="1" applyProtection="1">
      <alignment horizontal="right" vertical="center"/>
    </xf>
    <xf numFmtId="166" fontId="4" fillId="2" borderId="11" xfId="2" applyNumberFormat="1" applyFont="1" applyFill="1" applyBorder="1" applyAlignment="1" applyProtection="1">
      <alignment horizontal="right" vertical="center"/>
    </xf>
    <xf numFmtId="166" fontId="4" fillId="2" borderId="9" xfId="2" applyNumberFormat="1" applyFont="1" applyFill="1" applyBorder="1" applyAlignment="1" applyProtection="1">
      <alignment horizontal="right" vertical="center"/>
    </xf>
    <xf numFmtId="166" fontId="4" fillId="2" borderId="15" xfId="2" applyNumberFormat="1" applyFont="1" applyFill="1" applyBorder="1" applyAlignment="1" applyProtection="1">
      <alignment horizontal="right" vertical="center"/>
    </xf>
    <xf numFmtId="166" fontId="4" fillId="2" borderId="0" xfId="2" applyNumberFormat="1" applyFont="1" applyFill="1" applyBorder="1" applyAlignment="1" applyProtection="1">
      <alignment horizontal="right" vertical="center"/>
    </xf>
    <xf numFmtId="166" fontId="4" fillId="2" borderId="10" xfId="2" applyNumberFormat="1" applyFont="1" applyFill="1" applyBorder="1" applyAlignment="1" applyProtection="1">
      <alignment horizontal="right" vertical="center"/>
    </xf>
    <xf numFmtId="166" fontId="12" fillId="2" borderId="2" xfId="2" applyNumberFormat="1" applyFont="1" applyFill="1" applyBorder="1" applyAlignment="1">
      <alignment horizontal="right"/>
    </xf>
    <xf numFmtId="166" fontId="12" fillId="2" borderId="5" xfId="2" applyNumberFormat="1" applyFont="1" applyFill="1" applyBorder="1" applyAlignment="1">
      <alignment horizontal="right"/>
    </xf>
    <xf numFmtId="166" fontId="12" fillId="2" borderId="13" xfId="2" applyNumberFormat="1" applyFont="1" applyFill="1" applyBorder="1" applyAlignment="1" applyProtection="1">
      <alignment horizontal="right" vertical="center"/>
      <protection locked="0"/>
    </xf>
    <xf numFmtId="166" fontId="12" fillId="2" borderId="5" xfId="2" applyNumberFormat="1" applyFont="1" applyFill="1" applyBorder="1" applyAlignment="1" applyProtection="1">
      <alignment horizontal="right" vertical="center"/>
      <protection locked="0"/>
    </xf>
    <xf numFmtId="166" fontId="12" fillId="2" borderId="0" xfId="2" applyNumberFormat="1" applyFont="1" applyFill="1" applyBorder="1" applyAlignment="1" applyProtection="1">
      <alignment horizontal="right" vertical="center"/>
      <protection locked="0"/>
    </xf>
    <xf numFmtId="166" fontId="4" fillId="2" borderId="19" xfId="2" applyNumberFormat="1" applyFont="1" applyFill="1" applyBorder="1" applyAlignment="1" applyProtection="1">
      <alignment horizontal="right" vertical="center"/>
    </xf>
    <xf numFmtId="166" fontId="12" fillId="2" borderId="3" xfId="2" applyNumberFormat="1" applyFont="1" applyFill="1" applyBorder="1" applyAlignment="1">
      <alignment horizontal="right"/>
    </xf>
    <xf numFmtId="166" fontId="12" fillId="2" borderId="20" xfId="2" applyNumberFormat="1" applyFont="1" applyFill="1" applyBorder="1" applyAlignment="1">
      <alignment horizontal="right"/>
    </xf>
    <xf numFmtId="166" fontId="12" fillId="2" borderId="21" xfId="2" applyNumberFormat="1" applyFont="1" applyFill="1" applyBorder="1" applyAlignment="1" applyProtection="1">
      <alignment horizontal="right" vertical="center"/>
      <protection locked="0"/>
    </xf>
    <xf numFmtId="166" fontId="12" fillId="2" borderId="20" xfId="2" applyNumberFormat="1" applyFont="1" applyFill="1" applyBorder="1" applyAlignment="1" applyProtection="1">
      <alignment horizontal="right" vertical="center"/>
      <protection locked="0"/>
    </xf>
    <xf numFmtId="166" fontId="12" fillId="2" borderId="0" xfId="2" applyNumberFormat="1" applyFont="1" applyFill="1" applyBorder="1" applyAlignment="1">
      <alignment horizontal="right"/>
    </xf>
    <xf numFmtId="166" fontId="12" fillId="2" borderId="14" xfId="2" applyNumberFormat="1" applyFont="1" applyFill="1" applyBorder="1" applyAlignment="1" applyProtection="1">
      <alignment horizontal="right" vertical="center"/>
      <protection locked="0"/>
    </xf>
    <xf numFmtId="166" fontId="4" fillId="2" borderId="22" xfId="2" applyNumberFormat="1" applyFont="1" applyFill="1" applyBorder="1" applyAlignment="1" applyProtection="1">
      <alignment horizontal="right" vertical="center"/>
    </xf>
    <xf numFmtId="166" fontId="12" fillId="2" borderId="12" xfId="2" applyNumberFormat="1" applyFont="1" applyFill="1" applyBorder="1" applyAlignment="1">
      <alignment horizontal="right"/>
    </xf>
    <xf numFmtId="166" fontId="12" fillId="2" borderId="23" xfId="2" applyNumberFormat="1" applyFont="1" applyFill="1" applyBorder="1" applyAlignment="1">
      <alignment horizontal="right"/>
    </xf>
    <xf numFmtId="166" fontId="12" fillId="2" borderId="24" xfId="2" applyNumberFormat="1" applyFont="1" applyFill="1" applyBorder="1" applyAlignment="1" applyProtection="1">
      <alignment horizontal="right" vertical="center"/>
    </xf>
    <xf numFmtId="166" fontId="12" fillId="2" borderId="23" xfId="2" applyNumberFormat="1" applyFont="1" applyFill="1" applyBorder="1" applyAlignment="1" applyProtection="1">
      <alignment horizontal="right" vertical="center"/>
    </xf>
    <xf numFmtId="166" fontId="12" fillId="2" borderId="0" xfId="2" applyNumberFormat="1" applyFont="1" applyFill="1" applyBorder="1" applyAlignment="1" applyProtection="1">
      <alignment horizontal="right" vertical="center"/>
    </xf>
    <xf numFmtId="0" fontId="16" fillId="2" borderId="4" xfId="0" applyNumberFormat="1" applyFont="1" applyFill="1" applyBorder="1" applyAlignment="1">
      <alignment horizontal="right" vertical="center"/>
    </xf>
    <xf numFmtId="164" fontId="18" fillId="2" borderId="0" xfId="1" applyNumberFormat="1" applyFont="1" applyFill="1" applyBorder="1" applyAlignment="1">
      <alignment vertical="center"/>
    </xf>
    <xf numFmtId="0" fontId="3" fillId="2" borderId="0" xfId="4" applyFont="1" applyFill="1" applyAlignment="1">
      <alignment vertical="center"/>
    </xf>
    <xf numFmtId="0" fontId="3" fillId="2" borderId="0" xfId="4" applyFont="1" applyFill="1" applyBorder="1" applyAlignment="1">
      <alignment vertical="center"/>
    </xf>
    <xf numFmtId="164" fontId="17" fillId="2" borderId="0" xfId="0" applyNumberFormat="1" applyFont="1" applyFill="1" applyAlignment="1">
      <alignment horizontal="center"/>
    </xf>
    <xf numFmtId="164" fontId="14" fillId="2" borderId="0" xfId="1" applyNumberFormat="1" applyFont="1" applyFill="1" applyAlignment="1" applyProtection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164" fontId="4" fillId="2" borderId="0" xfId="1" applyNumberFormat="1" applyFont="1" applyFill="1" applyBorder="1" applyAlignment="1" applyProtection="1">
      <alignment horizontal="center" vertical="center"/>
    </xf>
    <xf numFmtId="164" fontId="4" fillId="2" borderId="6" xfId="1" applyNumberFormat="1" applyFont="1" applyFill="1" applyBorder="1" applyAlignment="1" applyProtection="1">
      <alignment horizontal="center" vertical="center" wrapText="1"/>
    </xf>
    <xf numFmtId="164" fontId="4" fillId="2" borderId="16" xfId="1" applyNumberFormat="1" applyFont="1" applyFill="1" applyBorder="1" applyAlignment="1" applyProtection="1">
      <alignment horizontal="center" vertical="center" wrapText="1"/>
    </xf>
    <xf numFmtId="164" fontId="4" fillId="2" borderId="7" xfId="1" applyNumberFormat="1" applyFont="1" applyFill="1" applyBorder="1" applyAlignment="1" applyProtection="1">
      <alignment horizontal="center" vertical="center" wrapText="1"/>
    </xf>
    <xf numFmtId="0" fontId="5" fillId="2" borderId="6" xfId="3" applyFont="1" applyFill="1" applyBorder="1" applyAlignment="1">
      <alignment horizontal="right" vertical="center"/>
    </xf>
    <xf numFmtId="0" fontId="5" fillId="2" borderId="1" xfId="3" applyFont="1" applyFill="1" applyBorder="1" applyAlignment="1">
      <alignment horizontal="right"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8 (Trans &amp; Comm)" xfId="4"/>
    <cellStyle name="Normal_X-5 (Electricity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L22"/>
  <sheetViews>
    <sheetView tabSelected="1" zoomScaleNormal="100" workbookViewId="0">
      <selection activeCell="M13" sqref="M13"/>
    </sheetView>
  </sheetViews>
  <sheetFormatPr defaultColWidth="9.140625" defaultRowHeight="15" x14ac:dyDescent="0.25"/>
  <cols>
    <col min="1" max="1" width="12.140625" style="4" customWidth="1"/>
    <col min="2" max="7" width="14.5703125" style="4" customWidth="1"/>
    <col min="8" max="8" width="4.140625" style="4" customWidth="1"/>
    <col min="9" max="10" width="14.5703125" style="4" customWidth="1"/>
    <col min="11" max="11" width="9.140625" style="4"/>
    <col min="12" max="12" width="8.85546875" style="4" customWidth="1"/>
    <col min="13" max="16384" width="9.140625" style="4"/>
  </cols>
  <sheetData>
    <row r="2" spans="1:12" ht="23.25" customHeight="1" x14ac:dyDescent="0.55000000000000004">
      <c r="A2" s="54" t="s">
        <v>37</v>
      </c>
      <c r="B2" s="54"/>
      <c r="C2" s="54"/>
      <c r="D2" s="54"/>
      <c r="E2" s="54"/>
      <c r="F2" s="54"/>
      <c r="G2" s="54"/>
      <c r="H2" s="19"/>
      <c r="I2" s="19"/>
      <c r="J2" s="19"/>
      <c r="K2" s="20"/>
      <c r="L2" s="17"/>
    </row>
    <row r="3" spans="1:12" ht="15" customHeight="1" x14ac:dyDescent="0.25">
      <c r="A3" s="55" t="s">
        <v>36</v>
      </c>
      <c r="B3" s="55"/>
      <c r="C3" s="55"/>
      <c r="D3" s="55"/>
      <c r="E3" s="55"/>
      <c r="F3" s="55"/>
      <c r="G3" s="55"/>
      <c r="H3" s="21"/>
      <c r="I3" s="21"/>
      <c r="J3" s="21"/>
      <c r="K3" s="20"/>
      <c r="L3" s="17"/>
    </row>
    <row r="4" spans="1:12" x14ac:dyDescent="0.25">
      <c r="A4" s="56" t="s">
        <v>35</v>
      </c>
      <c r="B4" s="56"/>
      <c r="C4" s="56"/>
      <c r="D4" s="56"/>
      <c r="E4" s="56"/>
      <c r="F4" s="56"/>
      <c r="G4" s="56"/>
      <c r="H4" s="57"/>
      <c r="I4" s="57"/>
      <c r="J4" s="57"/>
      <c r="K4" s="20"/>
      <c r="L4" s="17"/>
    </row>
    <row r="5" spans="1:12" ht="15" customHeight="1" x14ac:dyDescent="0.25">
      <c r="A5" s="16"/>
      <c r="B5" s="16"/>
      <c r="C5" s="58" t="s">
        <v>2</v>
      </c>
      <c r="D5" s="58"/>
      <c r="E5" s="59" t="s">
        <v>6</v>
      </c>
      <c r="F5" s="60"/>
      <c r="G5" s="61" t="s">
        <v>7</v>
      </c>
      <c r="H5" s="22"/>
      <c r="I5" s="22"/>
      <c r="J5" s="5"/>
      <c r="K5" s="15"/>
      <c r="L5" s="17"/>
    </row>
    <row r="6" spans="1:12" ht="15" customHeight="1" x14ac:dyDescent="0.25">
      <c r="A6" s="1" t="s">
        <v>5</v>
      </c>
      <c r="B6" s="23" t="s">
        <v>34</v>
      </c>
      <c r="C6" s="24" t="s">
        <v>32</v>
      </c>
      <c r="D6" s="24" t="s">
        <v>33</v>
      </c>
      <c r="E6" s="25" t="s">
        <v>32</v>
      </c>
      <c r="F6" s="24" t="s">
        <v>33</v>
      </c>
      <c r="G6" s="62"/>
      <c r="H6" s="6"/>
      <c r="I6" s="5"/>
      <c r="J6" s="5"/>
      <c r="K6" s="15"/>
      <c r="L6" s="17"/>
    </row>
    <row r="7" spans="1:12" ht="17.25" x14ac:dyDescent="0.4">
      <c r="A7" s="12" t="s">
        <v>0</v>
      </c>
      <c r="B7" s="26">
        <f t="shared" ref="B7:B19" si="0">SUM(C7:H7)</f>
        <v>462940.10000000003</v>
      </c>
      <c r="C7" s="27">
        <f>SUM(C8:C19)</f>
        <v>376710.96</v>
      </c>
      <c r="D7" s="28">
        <f>SUM(D8:D19)</f>
        <v>18893.310000000001</v>
      </c>
      <c r="E7" s="29">
        <f>SUM(E8:E19)</f>
        <v>2605.81</v>
      </c>
      <c r="F7" s="28">
        <f>SUM(F8:F19)</f>
        <v>64730.020000000004</v>
      </c>
      <c r="G7" s="7" t="s">
        <v>1</v>
      </c>
      <c r="H7" s="30"/>
      <c r="I7" s="5"/>
      <c r="J7" s="5"/>
      <c r="K7" s="15"/>
      <c r="L7" s="17"/>
    </row>
    <row r="8" spans="1:12" ht="17.25" x14ac:dyDescent="0.4">
      <c r="A8" s="8" t="s">
        <v>8</v>
      </c>
      <c r="B8" s="31">
        <f t="shared" si="0"/>
        <v>38272.300000000003</v>
      </c>
      <c r="C8" s="32">
        <v>29247.200000000001</v>
      </c>
      <c r="D8" s="33">
        <v>1621.0699999999997</v>
      </c>
      <c r="E8" s="34">
        <v>288.59999999999997</v>
      </c>
      <c r="F8" s="35">
        <v>7115.4300000000012</v>
      </c>
      <c r="G8" s="9" t="s">
        <v>9</v>
      </c>
      <c r="H8" s="36"/>
      <c r="I8" s="5"/>
      <c r="J8" s="5"/>
      <c r="K8" s="15"/>
      <c r="L8" s="17"/>
    </row>
    <row r="9" spans="1:12" ht="17.25" x14ac:dyDescent="0.4">
      <c r="A9" s="8" t="s">
        <v>10</v>
      </c>
      <c r="B9" s="31">
        <f t="shared" si="0"/>
        <v>25119.019999999997</v>
      </c>
      <c r="C9" s="32">
        <v>19645.78</v>
      </c>
      <c r="D9" s="33">
        <v>1306.9400000000003</v>
      </c>
      <c r="E9" s="34">
        <v>160.80000000000001</v>
      </c>
      <c r="F9" s="35">
        <v>4005.5</v>
      </c>
      <c r="G9" s="9" t="s">
        <v>11</v>
      </c>
      <c r="H9" s="36"/>
      <c r="I9" s="5"/>
      <c r="J9" s="5"/>
      <c r="K9" s="15"/>
      <c r="L9" s="17"/>
    </row>
    <row r="10" spans="1:12" ht="17.25" x14ac:dyDescent="0.4">
      <c r="A10" s="8" t="s">
        <v>12</v>
      </c>
      <c r="B10" s="31">
        <f t="shared" si="0"/>
        <v>36283.47</v>
      </c>
      <c r="C10" s="32">
        <v>29315.620000000003</v>
      </c>
      <c r="D10" s="33">
        <v>1397.0000000000002</v>
      </c>
      <c r="E10" s="34">
        <v>253.94999999999996</v>
      </c>
      <c r="F10" s="35">
        <v>5316.9</v>
      </c>
      <c r="G10" s="9" t="s">
        <v>13</v>
      </c>
      <c r="H10" s="36"/>
      <c r="I10" s="5"/>
      <c r="J10" s="5"/>
      <c r="K10" s="15"/>
      <c r="L10" s="17"/>
    </row>
    <row r="11" spans="1:12" ht="17.25" x14ac:dyDescent="0.4">
      <c r="A11" s="8" t="s">
        <v>14</v>
      </c>
      <c r="B11" s="31">
        <f t="shared" si="0"/>
        <v>40979.160000000003</v>
      </c>
      <c r="C11" s="32">
        <v>31980.070000000003</v>
      </c>
      <c r="D11" s="33">
        <v>1574.5000000000002</v>
      </c>
      <c r="E11" s="34">
        <v>244.50000000000006</v>
      </c>
      <c r="F11" s="35">
        <v>7180.09</v>
      </c>
      <c r="G11" s="9" t="s">
        <v>15</v>
      </c>
      <c r="H11" s="36"/>
      <c r="I11" s="5"/>
      <c r="J11" s="5"/>
      <c r="K11" s="15"/>
      <c r="L11" s="17"/>
    </row>
    <row r="12" spans="1:12" ht="17.25" x14ac:dyDescent="0.4">
      <c r="A12" s="8" t="s">
        <v>16</v>
      </c>
      <c r="B12" s="31">
        <f t="shared" si="0"/>
        <v>41320.149999999994</v>
      </c>
      <c r="C12" s="32">
        <v>32062.819999999996</v>
      </c>
      <c r="D12" s="33">
        <v>2350.7000000000003</v>
      </c>
      <c r="E12" s="34">
        <v>475.63</v>
      </c>
      <c r="F12" s="35">
        <v>6430.9999999999991</v>
      </c>
      <c r="G12" s="9" t="s">
        <v>17</v>
      </c>
      <c r="H12" s="36"/>
      <c r="I12" s="5"/>
      <c r="J12" s="5"/>
      <c r="K12" s="15"/>
      <c r="L12" s="20"/>
    </row>
    <row r="13" spans="1:12" ht="17.25" x14ac:dyDescent="0.4">
      <c r="A13" s="8" t="s">
        <v>18</v>
      </c>
      <c r="B13" s="31">
        <f t="shared" si="0"/>
        <v>36642.299999999988</v>
      </c>
      <c r="C13" s="32">
        <v>28008.099999999995</v>
      </c>
      <c r="D13" s="33">
        <v>1725.6</v>
      </c>
      <c r="E13" s="34">
        <v>129.80000000000001</v>
      </c>
      <c r="F13" s="35">
        <v>6778.7999999999984</v>
      </c>
      <c r="G13" s="9" t="s">
        <v>19</v>
      </c>
      <c r="H13" s="36"/>
      <c r="I13" s="5"/>
      <c r="J13" s="5"/>
      <c r="K13" s="15"/>
      <c r="L13" s="20"/>
    </row>
    <row r="14" spans="1:12" ht="17.25" x14ac:dyDescent="0.4">
      <c r="A14" s="8" t="s">
        <v>20</v>
      </c>
      <c r="B14" s="31">
        <f t="shared" si="0"/>
        <v>40079.079999999994</v>
      </c>
      <c r="C14" s="32">
        <v>33062.369999999995</v>
      </c>
      <c r="D14" s="33">
        <v>1540.5000000000002</v>
      </c>
      <c r="E14" s="34">
        <v>210.31</v>
      </c>
      <c r="F14" s="35">
        <v>5265.9000000000015</v>
      </c>
      <c r="G14" s="9" t="s">
        <v>21</v>
      </c>
      <c r="H14" s="36"/>
      <c r="I14" s="5"/>
      <c r="J14" s="5"/>
      <c r="K14" s="15"/>
      <c r="L14" s="20"/>
    </row>
    <row r="15" spans="1:12" ht="17.25" x14ac:dyDescent="0.4">
      <c r="A15" s="8" t="s">
        <v>22</v>
      </c>
      <c r="B15" s="31">
        <f t="shared" si="0"/>
        <v>30595.099999999995</v>
      </c>
      <c r="C15" s="32">
        <v>25386.699999999997</v>
      </c>
      <c r="D15" s="33">
        <v>1149.0999999999999</v>
      </c>
      <c r="E15" s="34">
        <v>197.8</v>
      </c>
      <c r="F15" s="35">
        <v>3861.4999999999991</v>
      </c>
      <c r="G15" s="9" t="s">
        <v>23</v>
      </c>
      <c r="H15" s="36"/>
      <c r="I15" s="5"/>
      <c r="J15" s="5"/>
      <c r="K15" s="15"/>
      <c r="L15" s="20"/>
    </row>
    <row r="16" spans="1:12" ht="17.25" x14ac:dyDescent="0.4">
      <c r="A16" s="8" t="s">
        <v>24</v>
      </c>
      <c r="B16" s="31">
        <f t="shared" si="0"/>
        <v>38352.379999999997</v>
      </c>
      <c r="C16" s="32">
        <v>33377.78</v>
      </c>
      <c r="D16" s="33">
        <v>1149.1000000000001</v>
      </c>
      <c r="E16" s="34">
        <v>149.00000000000003</v>
      </c>
      <c r="F16" s="35">
        <v>3676.5000000000014</v>
      </c>
      <c r="G16" s="9" t="s">
        <v>25</v>
      </c>
      <c r="H16" s="36"/>
      <c r="I16" s="5"/>
      <c r="J16" s="5"/>
      <c r="K16" s="15"/>
      <c r="L16" s="20"/>
    </row>
    <row r="17" spans="1:12" ht="17.25" x14ac:dyDescent="0.4">
      <c r="A17" s="8" t="s">
        <v>26</v>
      </c>
      <c r="B17" s="37">
        <f t="shared" si="0"/>
        <v>47106.239999999998</v>
      </c>
      <c r="C17" s="38">
        <v>40313.160000000003</v>
      </c>
      <c r="D17" s="39">
        <v>1287.4999999999998</v>
      </c>
      <c r="E17" s="40">
        <v>174.87999999999997</v>
      </c>
      <c r="F17" s="41">
        <v>5330.6999999999989</v>
      </c>
      <c r="G17" s="9" t="s">
        <v>27</v>
      </c>
      <c r="H17" s="36"/>
      <c r="I17" s="5"/>
      <c r="J17" s="5"/>
      <c r="K17" s="15"/>
      <c r="L17" s="20"/>
    </row>
    <row r="18" spans="1:12" s="5" customFormat="1" ht="17.25" x14ac:dyDescent="0.4">
      <c r="A18" s="8" t="s">
        <v>28</v>
      </c>
      <c r="B18" s="30">
        <f t="shared" si="0"/>
        <v>44352.32</v>
      </c>
      <c r="C18" s="42">
        <v>38027.1</v>
      </c>
      <c r="D18" s="42">
        <v>1855.1</v>
      </c>
      <c r="E18" s="43">
        <v>228.72</v>
      </c>
      <c r="F18" s="36">
        <v>4241.3999999999987</v>
      </c>
      <c r="G18" s="9" t="s">
        <v>29</v>
      </c>
      <c r="H18" s="36"/>
      <c r="K18" s="15"/>
      <c r="L18" s="15"/>
    </row>
    <row r="19" spans="1:12" ht="17.25" x14ac:dyDescent="0.4">
      <c r="A19" s="10" t="s">
        <v>30</v>
      </c>
      <c r="B19" s="44">
        <f t="shared" si="0"/>
        <v>43838.58</v>
      </c>
      <c r="C19" s="45">
        <v>36284.26</v>
      </c>
      <c r="D19" s="46">
        <v>1936.2</v>
      </c>
      <c r="E19" s="47">
        <v>91.820000000000022</v>
      </c>
      <c r="F19" s="48">
        <v>5526.2999999999993</v>
      </c>
      <c r="G19" s="11" t="s">
        <v>31</v>
      </c>
      <c r="H19" s="49"/>
      <c r="I19" s="5"/>
      <c r="J19" s="5"/>
      <c r="K19" s="15"/>
      <c r="L19" s="20"/>
    </row>
    <row r="20" spans="1:12" ht="18.75" x14ac:dyDescent="0.25">
      <c r="A20" s="2" t="s">
        <v>3</v>
      </c>
      <c r="B20" s="2"/>
      <c r="C20" s="3"/>
      <c r="D20" s="3"/>
      <c r="E20" s="3"/>
      <c r="F20" s="3"/>
      <c r="G20" s="50" t="s">
        <v>4</v>
      </c>
      <c r="H20" s="14"/>
      <c r="I20" s="13"/>
      <c r="J20" s="5"/>
      <c r="K20" s="15"/>
      <c r="L20" s="20"/>
    </row>
    <row r="21" spans="1:12" x14ac:dyDescent="0.25">
      <c r="A21" s="51"/>
      <c r="B21" s="52"/>
      <c r="C21" s="52"/>
      <c r="D21" s="52"/>
      <c r="E21" s="52"/>
      <c r="F21" s="52"/>
      <c r="G21" s="52"/>
      <c r="H21" s="53"/>
      <c r="I21" s="53"/>
      <c r="J21" s="5"/>
      <c r="K21" s="5"/>
    </row>
    <row r="22" spans="1:12" ht="17.25" x14ac:dyDescent="0.25">
      <c r="A22" s="52"/>
      <c r="B22" s="52"/>
      <c r="C22" s="52"/>
      <c r="D22" s="52"/>
      <c r="E22" s="52"/>
      <c r="F22" s="52"/>
      <c r="G22" s="52"/>
      <c r="H22" s="52"/>
      <c r="I22" s="52"/>
      <c r="J22" s="18"/>
    </row>
  </sheetData>
  <mergeCells count="6">
    <mergeCell ref="A2:G2"/>
    <mergeCell ref="A3:G3"/>
    <mergeCell ref="A4:J4"/>
    <mergeCell ref="C5:D5"/>
    <mergeCell ref="E5:F5"/>
    <mergeCell ref="G5:G6"/>
  </mergeCells>
  <pageMargins left="0.7" right="0.7" top="0.75" bottom="0.75" header="0.3" footer="0.3"/>
  <pageSetup paperSize="9" scale="7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11.23</vt:lpstr>
      <vt:lpstr>' 11.23'!Print_Area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2019-03-24T05:45:15Z</cp:lastPrinted>
  <dcterms:created xsi:type="dcterms:W3CDTF">2019-03-24T03:32:16Z</dcterms:created>
  <dcterms:modified xsi:type="dcterms:W3CDTF">2019-05-13T06:29:52Z</dcterms:modified>
</cp:coreProperties>
</file>