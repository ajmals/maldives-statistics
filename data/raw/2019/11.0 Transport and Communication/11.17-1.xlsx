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17" sheetId="6" r:id="rId1"/>
  </sheets>
  <externalReferences>
    <externalReference r:id="rId2"/>
  </externalReferences>
  <definedNames>
    <definedName name="_xlnm.Print_Area" localSheetId="0">'11.17'!$A$1:$K$57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I29" i="6" l="1"/>
  <c r="AJ56" i="6" l="1"/>
  <c r="AI56" i="6"/>
  <c r="AJ55" i="6"/>
  <c r="AI55" i="6"/>
  <c r="AJ54" i="6"/>
  <c r="AI54" i="6"/>
  <c r="AJ53" i="6"/>
  <c r="AI53" i="6"/>
  <c r="AJ52" i="6"/>
  <c r="AI52" i="6"/>
  <c r="AJ51" i="6"/>
  <c r="AI51" i="6"/>
  <c r="AJ50" i="6"/>
  <c r="AI50" i="6"/>
  <c r="AJ49" i="6"/>
  <c r="AI49" i="6"/>
  <c r="AJ48" i="6"/>
  <c r="AI48" i="6"/>
  <c r="AJ47" i="6"/>
  <c r="AI47" i="6"/>
  <c r="AJ46" i="6"/>
  <c r="AI46" i="6"/>
  <c r="AJ45" i="6"/>
  <c r="AI45" i="6"/>
  <c r="AK40" i="6"/>
  <c r="AJ40" i="6"/>
  <c r="AI40" i="6"/>
  <c r="AK39" i="6"/>
  <c r="AJ39" i="6"/>
  <c r="AI39" i="6"/>
  <c r="AK38" i="6"/>
  <c r="AJ38" i="6"/>
  <c r="AI38" i="6"/>
  <c r="AK37" i="6"/>
  <c r="AJ37" i="6"/>
  <c r="AI37" i="6"/>
  <c r="AK36" i="6"/>
  <c r="AJ36" i="6"/>
  <c r="AI36" i="6"/>
  <c r="AK35" i="6"/>
  <c r="AJ35" i="6"/>
  <c r="AI35" i="6"/>
  <c r="AK34" i="6"/>
  <c r="AJ34" i="6"/>
  <c r="AI34" i="6"/>
  <c r="AK33" i="6"/>
  <c r="AJ33" i="6"/>
  <c r="AI33" i="6"/>
  <c r="AK32" i="6"/>
  <c r="AJ32" i="6"/>
  <c r="AI32" i="6"/>
  <c r="AK31" i="6"/>
  <c r="AJ31" i="6"/>
  <c r="AI31" i="6"/>
  <c r="AK30" i="6"/>
  <c r="AJ30" i="6"/>
  <c r="AI30" i="6"/>
  <c r="AK29" i="6"/>
  <c r="AJ29" i="6"/>
  <c r="G17" i="6"/>
  <c r="C17" i="6"/>
  <c r="B17" i="6" s="1"/>
  <c r="G16" i="6"/>
  <c r="C16" i="6"/>
  <c r="B16" i="6" s="1"/>
  <c r="G15" i="6"/>
  <c r="C15" i="6"/>
  <c r="B15" i="6"/>
  <c r="G14" i="6"/>
  <c r="C14" i="6"/>
  <c r="B14" i="6" s="1"/>
  <c r="G13" i="6"/>
  <c r="C13" i="6"/>
  <c r="G12" i="6"/>
  <c r="C12" i="6"/>
  <c r="B12" i="6" s="1"/>
  <c r="G11" i="6"/>
  <c r="C11" i="6"/>
  <c r="B11" i="6" s="1"/>
  <c r="G10" i="6"/>
  <c r="C10" i="6"/>
  <c r="G9" i="6"/>
  <c r="C9" i="6"/>
  <c r="B9" i="6"/>
  <c r="G8" i="6"/>
  <c r="C8" i="6"/>
  <c r="B8" i="6" s="1"/>
  <c r="G7" i="6"/>
  <c r="C7" i="6"/>
  <c r="B7" i="6" s="1"/>
  <c r="G6" i="6"/>
  <c r="C6" i="6"/>
  <c r="B6" i="6"/>
  <c r="I5" i="6"/>
  <c r="H5" i="6"/>
  <c r="G5" i="6"/>
  <c r="F5" i="6"/>
  <c r="E5" i="6"/>
  <c r="D5" i="6"/>
  <c r="C5" i="6" s="1"/>
  <c r="B5" i="6" s="1"/>
  <c r="B13" i="6" l="1"/>
  <c r="B10" i="6"/>
</calcChain>
</file>

<file path=xl/sharedStrings.xml><?xml version="1.0" encoding="utf-8"?>
<sst xmlns="http://schemas.openxmlformats.org/spreadsheetml/2006/main" count="73" uniqueCount="47">
  <si>
    <t>Total</t>
  </si>
  <si>
    <t>wlcmuj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</si>
  <si>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</si>
  <si>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</si>
  <si>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</si>
  <si>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</si>
  <si>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</si>
  <si>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</si>
  <si>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</si>
  <si>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</si>
  <si>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</si>
  <si>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</si>
  <si>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</si>
  <si>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</si>
  <si>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</si>
  <si>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</si>
  <si>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</si>
  <si>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</si>
  <si>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</si>
  <si>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</si>
  <si>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</si>
  <si>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</si>
  <si>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</si>
  <si>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</si>
  <si>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</si>
  <si>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</si>
  <si>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</si>
  <si>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</si>
  <si>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</si>
  <si>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</si>
  <si>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</si>
  <si>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</si>
  <si>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ތާވަލު 11.17: މަސްމަހުގެ ގޮތުން ބައިނަލް އަޤްވާމީ ވައިގެބަނދަރުން ދަތުރުކުރި ފްލައިޓްތައް، 2018</t>
  </si>
  <si>
    <t>Grand total</t>
  </si>
  <si>
    <t>Scheduled</t>
  </si>
  <si>
    <t>Chartered</t>
  </si>
  <si>
    <t>Non-Scheduled</t>
  </si>
  <si>
    <t>International</t>
  </si>
  <si>
    <t>Jan</t>
  </si>
  <si>
    <t>Feb</t>
  </si>
  <si>
    <t>Aug</t>
  </si>
  <si>
    <t>Sep</t>
  </si>
  <si>
    <t>Oct</t>
  </si>
  <si>
    <t>Nov</t>
  </si>
  <si>
    <t>Dec</t>
  </si>
  <si>
    <t>Domestic</t>
  </si>
  <si>
    <t>Table  11.17 :  AIRCRAFT MOVEMENT AT VELANA INTERNATIONAL AIRPORT BY MONTH,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</si>
</sst>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_(* #,##0_);_(* \(#,##0\);_(* &quot;-&quot;??_);_(@_)"/>
    <numFmt numFmtId="166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A_Randhoo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11"/>
      <name val="Calibri"/>
      <family val="2"/>
      <scheme val="minor"/>
    </font>
    <font>
      <b/>
      <sz val="11"/>
      <color theme="1"/>
      <name val="Faruma"/>
    </font>
    <font>
      <sz val="10"/>
      <name val="Garamond"/>
      <family val="1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12">
    <xf numFmtId="0" fontId="0" fillId="0" borderId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8" fillId="0" borderId="0"/>
    <xf numFmtId="165" fontId="2" fillId="0" borderId="0"/>
    <xf numFmtId="165" fontId="2" fillId="0" borderId="0"/>
    <xf numFmtId="166" fontId="2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</cellStyleXfs>
  <cellXfs count="55">
    <xf numFmtId="0" fontId="0" fillId="0" borderId="0" xfId="0"/>
    <xf numFmtId="164" fontId="0" fillId="2" borderId="0" xfId="0" applyNumberFormat="1" applyFill="1"/>
    <xf numFmtId="164" fontId="0" fillId="2" borderId="0" xfId="0" applyNumberFormat="1" applyFill="1" applyBorder="1"/>
    <xf numFmtId="164" fontId="5" fillId="2" borderId="0" xfId="1" applyNumberFormat="1" applyFont="1" applyFill="1" applyBorder="1" applyAlignment="1" applyProtection="1">
      <alignment horizontal="left" vertical="center"/>
    </xf>
    <xf numFmtId="164" fontId="7" fillId="2" borderId="0" xfId="0" applyNumberFormat="1" applyFont="1" applyFill="1"/>
    <xf numFmtId="164" fontId="13" fillId="2" borderId="0" xfId="1" applyNumberFormat="1" applyFont="1" applyFill="1" applyBorder="1" applyAlignment="1" applyProtection="1">
      <alignment horizontal="left" vertical="center"/>
    </xf>
    <xf numFmtId="164" fontId="13" fillId="2" borderId="0" xfId="1" applyNumberFormat="1" applyFont="1" applyFill="1" applyAlignment="1" applyProtection="1">
      <alignment horizontal="left" vertical="center"/>
    </xf>
    <xf numFmtId="0" fontId="15" fillId="2" borderId="0" xfId="3" applyFont="1" applyFill="1" applyAlignment="1">
      <alignment vertical="center"/>
    </xf>
    <xf numFmtId="0" fontId="12" fillId="2" borderId="3" xfId="0" applyNumberFormat="1" applyFont="1" applyFill="1" applyBorder="1" applyAlignment="1">
      <alignment horizontal="right" vertical="center"/>
    </xf>
    <xf numFmtId="0" fontId="6" fillId="2" borderId="0" xfId="4" applyFont="1" applyFill="1" applyBorder="1" applyAlignment="1">
      <alignment horizontal="right"/>
    </xf>
    <xf numFmtId="164" fontId="14" fillId="2" borderId="0" xfId="1" applyNumberFormat="1" applyFont="1" applyFill="1" applyBorder="1" applyAlignment="1" applyProtection="1">
      <alignment horizontal="left" vertical="center"/>
    </xf>
    <xf numFmtId="0" fontId="11" fillId="2" borderId="0" xfId="4" applyFont="1" applyFill="1" applyBorder="1" applyAlignment="1">
      <alignment horizontal="right"/>
    </xf>
    <xf numFmtId="164" fontId="14" fillId="2" borderId="1" xfId="1" applyNumberFormat="1" applyFont="1" applyFill="1" applyBorder="1" applyAlignment="1" applyProtection="1">
      <alignment horizontal="left" vertical="center"/>
    </xf>
    <xf numFmtId="0" fontId="11" fillId="2" borderId="1" xfId="4" applyFont="1" applyFill="1" applyBorder="1" applyAlignment="1">
      <alignment horizontal="right"/>
    </xf>
    <xf numFmtId="3" fontId="14" fillId="2" borderId="0" xfId="1" applyNumberFormat="1" applyFont="1" applyFill="1" applyBorder="1" applyAlignment="1" applyProtection="1">
      <alignment horizontal="right" vertical="center"/>
      <protection locked="0"/>
    </xf>
    <xf numFmtId="0" fontId="12" fillId="2" borderId="0" xfId="0" applyNumberFormat="1" applyFont="1" applyFill="1" applyBorder="1" applyAlignment="1">
      <alignment horizontal="right" vertical="center"/>
    </xf>
    <xf numFmtId="164" fontId="3" fillId="2" borderId="0" xfId="1" applyNumberFormat="1" applyFont="1" applyFill="1" applyBorder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164" fontId="5" fillId="2" borderId="12" xfId="1" applyNumberFormat="1" applyFont="1" applyFill="1" applyBorder="1" applyAlignment="1" applyProtection="1">
      <alignment horizontal="right" vertical="center"/>
    </xf>
    <xf numFmtId="164" fontId="5" fillId="2" borderId="4" xfId="1" applyNumberFormat="1" applyFont="1" applyFill="1" applyBorder="1" applyAlignment="1" applyProtection="1">
      <alignment horizontal="right" vertical="center"/>
    </xf>
    <xf numFmtId="164" fontId="5" fillId="2" borderId="13" xfId="1" applyNumberFormat="1" applyFont="1" applyFill="1" applyBorder="1" applyAlignment="1" applyProtection="1">
      <alignment horizontal="right" vertical="center" wrapText="1"/>
    </xf>
    <xf numFmtId="164" fontId="5" fillId="2" borderId="7" xfId="1" applyNumberFormat="1" applyFont="1" applyFill="1" applyBorder="1" applyAlignment="1" applyProtection="1">
      <alignment horizontal="right" vertical="center"/>
    </xf>
    <xf numFmtId="164" fontId="5" fillId="2" borderId="4" xfId="1" applyNumberFormat="1" applyFont="1" applyFill="1" applyBorder="1" applyAlignment="1" applyProtection="1">
      <alignment horizontal="right" vertical="center" wrapText="1"/>
    </xf>
    <xf numFmtId="3" fontId="5" fillId="2" borderId="0" xfId="1" applyNumberFormat="1" applyFont="1" applyFill="1" applyBorder="1" applyAlignment="1" applyProtection="1">
      <alignment horizontal="right" vertical="center"/>
    </xf>
    <xf numFmtId="3" fontId="5" fillId="2" borderId="14" xfId="1" applyNumberFormat="1" applyFont="1" applyFill="1" applyBorder="1" applyAlignment="1" applyProtection="1">
      <alignment horizontal="right" vertical="center"/>
    </xf>
    <xf numFmtId="3" fontId="5" fillId="2" borderId="3" xfId="1" applyNumberFormat="1" applyFont="1" applyFill="1" applyBorder="1" applyAlignment="1" applyProtection="1">
      <alignment horizontal="right" vertical="center"/>
    </xf>
    <xf numFmtId="3" fontId="5" fillId="2" borderId="15" xfId="1" applyNumberFormat="1" applyFont="1" applyFill="1" applyBorder="1" applyAlignment="1" applyProtection="1">
      <alignment horizontal="right" vertical="center"/>
    </xf>
    <xf numFmtId="3" fontId="5" fillId="2" borderId="8" xfId="1" applyNumberFormat="1" applyFont="1" applyFill="1" applyBorder="1" applyAlignment="1" applyProtection="1">
      <alignment horizontal="right" vertical="center"/>
    </xf>
    <xf numFmtId="3" fontId="5" fillId="2" borderId="16" xfId="1" applyNumberFormat="1" applyFont="1" applyFill="1" applyBorder="1" applyAlignment="1" applyProtection="1">
      <alignment horizontal="right" vertical="center"/>
    </xf>
    <xf numFmtId="3" fontId="14" fillId="2" borderId="2" xfId="1" applyNumberFormat="1" applyFont="1" applyFill="1" applyBorder="1" applyAlignment="1" applyProtection="1">
      <alignment horizontal="right" vertical="center"/>
      <protection locked="0"/>
    </xf>
    <xf numFmtId="3" fontId="14" fillId="2" borderId="17" xfId="1" applyNumberFormat="1" applyFont="1" applyFill="1" applyBorder="1" applyAlignment="1" applyProtection="1">
      <alignment horizontal="right" vertical="center"/>
      <protection locked="0"/>
    </xf>
    <xf numFmtId="3" fontId="5" fillId="2" borderId="6" xfId="1" applyNumberFormat="1" applyFont="1" applyFill="1" applyBorder="1" applyAlignment="1" applyProtection="1">
      <alignment horizontal="right" vertical="center"/>
    </xf>
    <xf numFmtId="3" fontId="5" fillId="2" borderId="1" xfId="1" applyNumberFormat="1" applyFont="1" applyFill="1" applyBorder="1" applyAlignment="1" applyProtection="1">
      <alignment horizontal="right" vertical="center"/>
    </xf>
    <xf numFmtId="3" fontId="5" fillId="2" borderId="12" xfId="1" applyNumberFormat="1" applyFont="1" applyFill="1" applyBorder="1" applyAlignment="1" applyProtection="1">
      <alignment horizontal="right" vertical="center"/>
    </xf>
    <xf numFmtId="3" fontId="14" fillId="2" borderId="4" xfId="1" applyNumberFormat="1" applyFont="1" applyFill="1" applyBorder="1" applyAlignment="1" applyProtection="1">
      <alignment horizontal="right" vertical="center"/>
      <protection locked="0"/>
    </xf>
    <xf numFmtId="3" fontId="14" fillId="2" borderId="13" xfId="1" applyNumberFormat="1" applyFont="1" applyFill="1" applyBorder="1" applyAlignment="1" applyProtection="1">
      <alignment horizontal="right" vertical="center"/>
      <protection locked="0"/>
    </xf>
    <xf numFmtId="3" fontId="5" fillId="2" borderId="7" xfId="1" applyNumberFormat="1" applyFont="1" applyFill="1" applyBorder="1" applyAlignment="1" applyProtection="1">
      <alignment horizontal="right" vertical="center"/>
    </xf>
    <xf numFmtId="37" fontId="14" fillId="2" borderId="0" xfId="1" applyNumberFormat="1" applyFont="1" applyFill="1" applyBorder="1" applyAlignment="1" applyProtection="1">
      <alignment vertical="center"/>
    </xf>
    <xf numFmtId="0" fontId="14" fillId="2" borderId="0" xfId="3" applyFont="1" applyFill="1" applyBorder="1" applyAlignment="1">
      <alignment vertical="center"/>
    </xf>
    <xf numFmtId="164" fontId="15" fillId="2" borderId="0" xfId="1" applyNumberFormat="1" applyFont="1" applyFill="1" applyBorder="1" applyAlignment="1"/>
    <xf numFmtId="164" fontId="10" fillId="2" borderId="0" xfId="0" applyNumberFormat="1" applyFont="1" applyFill="1" applyBorder="1"/>
    <xf numFmtId="164" fontId="0" fillId="2" borderId="0" xfId="0" applyNumberFormat="1" applyFill="1" applyAlignment="1">
      <alignment horizontal="right" vertical="center"/>
    </xf>
    <xf numFmtId="164" fontId="0" fillId="2" borderId="0" xfId="0" applyNumberFormat="1" applyFill="1" applyBorder="1" applyAlignment="1">
      <alignment horizontal="right" vertical="center"/>
    </xf>
    <xf numFmtId="0" fontId="17" fillId="2" borderId="9" xfId="0" applyNumberFormat="1" applyFont="1" applyFill="1" applyBorder="1" applyAlignment="1">
      <alignment horizontal="center" vertical="center"/>
    </xf>
    <xf numFmtId="0" fontId="17" fillId="2" borderId="0" xfId="0" applyNumberFormat="1" applyFont="1" applyFill="1" applyBorder="1" applyAlignment="1">
      <alignment horizontal="center" vertical="center"/>
    </xf>
    <xf numFmtId="164" fontId="16" fillId="2" borderId="1" xfId="1" applyNumberFormat="1" applyFont="1" applyFill="1" applyBorder="1" applyAlignment="1" applyProtection="1">
      <alignment horizontal="center" vertical="center"/>
    </xf>
    <xf numFmtId="164" fontId="5" fillId="2" borderId="5" xfId="1" applyNumberFormat="1" applyFont="1" applyFill="1" applyBorder="1" applyAlignment="1" applyProtection="1">
      <alignment horizontal="right" vertical="center" wrapText="1"/>
    </xf>
    <xf numFmtId="164" fontId="5" fillId="2" borderId="1" xfId="1" applyNumberFormat="1" applyFont="1" applyFill="1" applyBorder="1" applyAlignment="1" applyProtection="1">
      <alignment horizontal="right" vertical="center" wrapText="1"/>
    </xf>
    <xf numFmtId="0" fontId="6" fillId="2" borderId="5" xfId="4" applyFont="1" applyFill="1" applyBorder="1" applyAlignment="1">
      <alignment horizontal="right" vertical="center"/>
    </xf>
    <xf numFmtId="0" fontId="6" fillId="2" borderId="1" xfId="4" applyFont="1" applyFill="1" applyBorder="1" applyAlignment="1">
      <alignment horizontal="right" vertical="center"/>
    </xf>
    <xf numFmtId="164" fontId="8" fillId="2" borderId="5" xfId="1" applyNumberFormat="1" applyFont="1" applyFill="1" applyBorder="1" applyAlignment="1" applyProtection="1">
      <alignment horizontal="left" vertical="center"/>
    </xf>
    <xf numFmtId="164" fontId="8" fillId="2" borderId="1" xfId="1" applyNumberFormat="1" applyFont="1" applyFill="1" applyBorder="1" applyAlignment="1" applyProtection="1">
      <alignment horizontal="left" vertical="center"/>
    </xf>
    <xf numFmtId="164" fontId="5" fillId="2" borderId="10" xfId="1" applyNumberFormat="1" applyFont="1" applyFill="1" applyBorder="1" applyAlignment="1" applyProtection="1">
      <alignment horizontal="center" vertical="center"/>
    </xf>
    <xf numFmtId="164" fontId="5" fillId="2" borderId="5" xfId="1" applyNumberFormat="1" applyFont="1" applyFill="1" applyBorder="1" applyAlignment="1" applyProtection="1">
      <alignment horizontal="center" vertical="center"/>
    </xf>
    <xf numFmtId="164" fontId="5" fillId="2" borderId="11" xfId="1" applyNumberFormat="1" applyFont="1" applyFill="1" applyBorder="1" applyAlignment="1" applyProtection="1">
      <alignment horizontal="center" vertical="center"/>
    </xf>
  </cellXfs>
  <cellStyles count="12">
    <cellStyle name="Comma 2" xfId="2"/>
    <cellStyle name="Comma 4" xfId="7"/>
    <cellStyle name="Hyperlink 2" xfId="8"/>
    <cellStyle name="Normal" xfId="0" builtinId="0"/>
    <cellStyle name="Normal 2" xfId="1"/>
    <cellStyle name="Normal 2 3" xfId="10"/>
    <cellStyle name="Normal 3" xfId="5"/>
    <cellStyle name="Normal 3 2" xfId="11"/>
    <cellStyle name="Normal 4" xfId="6"/>
    <cellStyle name="Normal 5" xfId="9"/>
    <cellStyle name="Normal_IX-6(Trans &amp; Comm)" xfId="3"/>
    <cellStyle name="Normal_X-5 (Electricity)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 b="1" i="0" baseline="0">
                <a:effectLst/>
              </a:rPr>
              <a:t>Figure 11.13: Domestic aircraft  movements at at Ibrahim Nasir International airport, 2018 </a:t>
            </a:r>
            <a:endParaRPr lang="en-US" sz="1050">
              <a:effectLst/>
            </a:endParaRPr>
          </a:p>
        </c:rich>
      </c:tx>
      <c:layout>
        <c:manualLayout>
          <c:xMode val="edge"/>
          <c:yMode val="edge"/>
          <c:x val="0.16049844495990181"/>
          <c:y val="5.2085855435094169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'[1]11.17, 11.18 &amp;11.19'!$AA$81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'[1]11.17, 11.18 &amp;11.19'!$Z$82:$Z$93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&amp;11.19'!$AA$82:$AA$93</c:f>
              <c:numCache>
                <c:formatCode>General</c:formatCode>
                <c:ptCount val="12"/>
                <c:pt idx="0">
                  <c:v>2690</c:v>
                </c:pt>
                <c:pt idx="1">
                  <c:v>2652</c:v>
                </c:pt>
                <c:pt idx="2">
                  <c:v>2538</c:v>
                </c:pt>
                <c:pt idx="3">
                  <c:v>2388</c:v>
                </c:pt>
                <c:pt idx="4">
                  <c:v>2168</c:v>
                </c:pt>
                <c:pt idx="5">
                  <c:v>2230</c:v>
                </c:pt>
                <c:pt idx="6">
                  <c:v>2510</c:v>
                </c:pt>
                <c:pt idx="7">
                  <c:v>2890</c:v>
                </c:pt>
                <c:pt idx="8">
                  <c:v>2560</c:v>
                </c:pt>
                <c:pt idx="9">
                  <c:v>2504</c:v>
                </c:pt>
                <c:pt idx="10">
                  <c:v>2504</c:v>
                </c:pt>
                <c:pt idx="11">
                  <c:v>2710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0C-49C9-8689-CFB43F94081F}"/>
            </c:ext>
          </c:extLst>
        </c:ser>
        <c:ser>
          <c:idx val="1"/>
          <c:order val="1"/>
          <c:tx>
            <c:strRef>
              <c:f>'[1]11.17, 11.18 &amp;11.19'!$AB$81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'[1]11.17, 11.18 &amp;11.19'!$Z$82:$Z$93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&amp;11.19'!$AB$82:$AB$93</c:f>
              <c:numCache>
                <c:formatCode>General</c:formatCode>
                <c:ptCount val="12"/>
                <c:pt idx="0">
                  <c:v>9909</c:v>
                </c:pt>
                <c:pt idx="1">
                  <c:v>9985</c:v>
                </c:pt>
                <c:pt idx="2">
                  <c:v>9718</c:v>
                </c:pt>
                <c:pt idx="3">
                  <c:v>8909</c:v>
                </c:pt>
                <c:pt idx="4">
                  <c:v>7032</c:v>
                </c:pt>
                <c:pt idx="5">
                  <c:v>6447</c:v>
                </c:pt>
                <c:pt idx="6">
                  <c:v>8181</c:v>
                </c:pt>
                <c:pt idx="7">
                  <c:v>8720</c:v>
                </c:pt>
                <c:pt idx="8">
                  <c:v>7030</c:v>
                </c:pt>
                <c:pt idx="9">
                  <c:v>9231</c:v>
                </c:pt>
                <c:pt idx="10">
                  <c:v>9299</c:v>
                </c:pt>
                <c:pt idx="11">
                  <c:v>10569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0C-49C9-8689-CFB43F940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65102592"/>
        <c:axId val="65104128"/>
      </c:barChart>
      <c:catAx>
        <c:axId val="65102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5104128"/>
        <c:crosses val="autoZero"/>
        <c:auto val="1"/>
        <c:lblAlgn val="ctr"/>
        <c:lblOffset val="100"/>
        <c:noMultiLvlLbl val="0"/>
      </c:catAx>
      <c:valAx>
        <c:axId val="651041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6510259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581741020813611"/>
          <c:y val="0.23680636376467212"/>
          <c:w val="0.31138170067207172"/>
          <c:h val="5.1628589252895853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100" b="1" i="0" baseline="0">
                <a:effectLst/>
              </a:rPr>
              <a:t>Figure 11.12: International aircraft movements at Velana International airport, 2018 </a:t>
            </a:r>
            <a:endParaRPr lang="en-US" sz="700">
              <a:effectLst/>
            </a:endParaRPr>
          </a:p>
        </c:rich>
      </c:tx>
      <c:layout>
        <c:manualLayout>
          <c:xMode val="edge"/>
          <c:yMode val="edge"/>
          <c:x val="0.15698713475385942"/>
          <c:y val="3.980171828415119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3571225554871111E-2"/>
          <c:y val="0.17790155524102708"/>
          <c:w val="0.89587312365699012"/>
          <c:h val="0.730555897867839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'[1]11.17, 11.18 &amp;11.19'!$AA$65</c:f>
              <c:strCache>
                <c:ptCount val="1"/>
                <c:pt idx="0">
                  <c:v>Scheduled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'[1]11.17, 11.18 &amp;11.19'!$Z$66:$Z$77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&amp;11.19'!$AA$66:$AA$77</c:f>
              <c:numCache>
                <c:formatCode>General</c:formatCode>
                <c:ptCount val="12"/>
                <c:pt idx="0">
                  <c:v>2116</c:v>
                </c:pt>
                <c:pt idx="1">
                  <c:v>1980</c:v>
                </c:pt>
                <c:pt idx="2">
                  <c:v>1938</c:v>
                </c:pt>
                <c:pt idx="3">
                  <c:v>1726</c:v>
                </c:pt>
                <c:pt idx="4">
                  <c:v>1614</c:v>
                </c:pt>
                <c:pt idx="5">
                  <c:v>1612</c:v>
                </c:pt>
                <c:pt idx="6">
                  <c:v>1732</c:v>
                </c:pt>
                <c:pt idx="7">
                  <c:v>1666</c:v>
                </c:pt>
                <c:pt idx="8">
                  <c:v>1618</c:v>
                </c:pt>
                <c:pt idx="9">
                  <c:v>1856</c:v>
                </c:pt>
                <c:pt idx="10">
                  <c:v>2132</c:v>
                </c:pt>
                <c:pt idx="11">
                  <c:v>2290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C6-4075-A702-C6E3D898E736}"/>
            </c:ext>
          </c:extLst>
        </c:ser>
        <c:ser>
          <c:idx val="2"/>
          <c:order val="2"/>
          <c:tx>
            <c:strRef>
              <c:f>'[1]11.17, 11.18 &amp;11.19'!$AC$65</c:f>
              <c:strCache>
                <c:ptCount val="1"/>
                <c:pt idx="0">
                  <c:v>Non-Scheduled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'[1]11.17, 11.18 &amp;11.19'!$Z$66:$Z$77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'[1]11.17, 11.18 &amp;11.19'!$AC$66:$AC$77</c:f>
              <c:numCache>
                <c:formatCode>General</c:formatCode>
                <c:ptCount val="12"/>
                <c:pt idx="0">
                  <c:v>320</c:v>
                </c:pt>
                <c:pt idx="1">
                  <c:v>162</c:v>
                </c:pt>
                <c:pt idx="2">
                  <c:v>140</c:v>
                </c:pt>
                <c:pt idx="3">
                  <c:v>192</c:v>
                </c:pt>
                <c:pt idx="4">
                  <c:v>96</c:v>
                </c:pt>
                <c:pt idx="5">
                  <c:v>48</c:v>
                </c:pt>
                <c:pt idx="6">
                  <c:v>72</c:v>
                </c:pt>
                <c:pt idx="7">
                  <c:v>58</c:v>
                </c:pt>
                <c:pt idx="8">
                  <c:v>34</c:v>
                </c:pt>
                <c:pt idx="9">
                  <c:v>20</c:v>
                </c:pt>
                <c:pt idx="10">
                  <c:v>154</c:v>
                </c:pt>
                <c:pt idx="11">
                  <c:v>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C6-4075-A702-C6E3D898E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4"/>
        <c:axId val="65102592"/>
        <c:axId val="651041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'[1]11.17, 11.18 &amp;11.19'!$AB$65</c15:sqref>
                        </c15:formulaRef>
                      </c:ext>
                    </c:extLst>
                    <c:strCache>
                      <c:ptCount val="1"/>
                      <c:pt idx="0">
                        <c:v>Chartered</c:v>
                      </c:pt>
                    </c:strCache>
                  </c:strRef>
                </c:tx>
                <c:spPr>
                  <a:solidFill>
                    <a:srgbClr val="FAC090"/>
                  </a:solidFill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'[1]11.17, 11.18 &amp;11.19'!$Z$66:$Z$77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Feb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</c:v>
                      </c:pt>
                      <c:pt idx="8">
                        <c:v>Sep</c:v>
                      </c:pt>
                      <c:pt idx="9">
                        <c:v>Oct</c:v>
                      </c:pt>
                      <c:pt idx="10">
                        <c:v>Nov</c:v>
                      </c:pt>
                      <c:pt idx="11">
                        <c:v>Dec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'[1]11.17, 11.18 &amp;11.19'!$AB$66:$AB$77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2FC6-4075-A702-C6E3D898E736}"/>
                  </c:ext>
                </c:extLst>
              </c15:ser>
            </c15:filteredBarSeries>
          </c:ext>
        </c:extLst>
      </c:barChart>
      <c:catAx>
        <c:axId val="65102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65104128"/>
        <c:crosses val="autoZero"/>
        <c:auto val="1"/>
        <c:lblAlgn val="ctr"/>
        <c:lblOffset val="100"/>
        <c:noMultiLvlLbl val="0"/>
      </c:catAx>
      <c:valAx>
        <c:axId val="65104128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sz="900"/>
            </a:pPr>
            <a:endParaRPr lang="en-US"/>
          </a:p>
        </c:txPr>
        <c:crossAx val="65102592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t"/>
      <c:layout>
        <c:manualLayout>
          <c:xMode val="edge"/>
          <c:yMode val="edge"/>
          <c:x val="0.40934008744283451"/>
          <c:y val="0.21476779063409662"/>
          <c:w val="0.27913190830982315"/>
          <c:h val="7.3739041729491708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457199</xdr:colOff>
      <xdr:row>37</xdr:row>
      <xdr:rowOff>123824</xdr:rowOff>
    </xdr:from>
    <xdr:to>
      <xdr:col>9</xdr:col>
      <xdr:colOff>809624</xdr:colOff>
      <xdr:row>56</xdr:row>
      <xdr:rowOff>19050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514350</xdr:colOff>
      <xdr:row>39</xdr:row>
      <xdr:rowOff>142875</xdr:rowOff>
    </xdr:from>
    <xdr:ext cx="835742" cy="264560"/>
    <xdr:sp macro="" textlink="">
      <xdr:nvSpPr>
        <xdr:cNvPr id="3" name="TextBox 2"/>
        <xdr:cNvSpPr txBox="1"/>
      </xdr:nvSpPr>
      <xdr:spPr>
        <a:xfrm>
          <a:off x="514350" y="15763875"/>
          <a:ext cx="83574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In</a:t>
          </a:r>
          <a:r>
            <a:rPr lang="en-US" sz="1100" baseline="0"/>
            <a:t> numbers</a:t>
          </a:r>
          <a:endParaRPr lang="en-US" sz="1100"/>
        </a:p>
      </xdr:txBody>
    </xdr:sp>
    <xdr:clientData/>
  </xdr:oneCellAnchor>
  <xdr:twoCellAnchor>
    <xdr:from>
      <xdr:col>1</xdr:col>
      <xdr:colOff>524847</xdr:colOff>
      <xdr:row>21</xdr:row>
      <xdr:rowOff>77755</xdr:rowOff>
    </xdr:from>
    <xdr:to>
      <xdr:col>8</xdr:col>
      <xdr:colOff>787270</xdr:colOff>
      <xdr:row>21</xdr:row>
      <xdr:rowOff>77755</xdr:rowOff>
    </xdr:to>
    <xdr:sp macro="" textlink="">
      <xdr:nvSpPr>
        <xdr:cNvPr id="4" name="Line 4"/>
        <xdr:cNvSpPr>
          <a:spLocks noChangeShapeType="1"/>
        </xdr:cNvSpPr>
      </xdr:nvSpPr>
      <xdr:spPr bwMode="auto">
        <a:xfrm flipV="1">
          <a:off x="1305897" y="12565030"/>
          <a:ext cx="5386873" cy="0"/>
        </a:xfrm>
        <a:prstGeom prst="line">
          <a:avLst/>
        </a:prstGeom>
        <a:ln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0</xdr:col>
      <xdr:colOff>456424</xdr:colOff>
      <xdr:row>18</xdr:row>
      <xdr:rowOff>204496</xdr:rowOff>
    </xdr:from>
    <xdr:to>
      <xdr:col>9</xdr:col>
      <xdr:colOff>808849</xdr:colOff>
      <xdr:row>35</xdr:row>
      <xdr:rowOff>146765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496078</xdr:colOff>
      <xdr:row>19</xdr:row>
      <xdr:rowOff>202163</xdr:rowOff>
    </xdr:from>
    <xdr:to>
      <xdr:col>1</xdr:col>
      <xdr:colOff>573833</xdr:colOff>
      <xdr:row>20</xdr:row>
      <xdr:rowOff>153566</xdr:rowOff>
    </xdr:to>
    <xdr:sp macro="" textlink="">
      <xdr:nvSpPr>
        <xdr:cNvPr id="7" name="TextBox 6"/>
        <xdr:cNvSpPr txBox="1"/>
      </xdr:nvSpPr>
      <xdr:spPr>
        <a:xfrm>
          <a:off x="496078" y="4374113"/>
          <a:ext cx="858805" cy="18952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numbers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/>
      <sheetData sheetId="3">
        <row r="21">
          <cell r="AP21" t="str">
            <v>In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K87"/>
  <sheetViews>
    <sheetView tabSelected="1" zoomScaleNormal="100" workbookViewId="0">
      <selection activeCell="N22" sqref="N22"/>
    </sheetView>
  </sheetViews>
  <sheetFormatPr defaultColWidth="9.140625" defaultRowHeight="12.75" customHeight="1" x14ac:dyDescent="0.25"/>
  <cols>
    <col min="1" max="1" width="11.7109375" style="1" customWidth="1"/>
    <col min="2" max="2" width="10.5703125" style="1" customWidth="1"/>
    <col min="3" max="3" width="10.7109375" style="1" customWidth="1"/>
    <col min="4" max="4" width="10.28515625" style="1" customWidth="1"/>
    <col min="5" max="5" width="10.7109375" style="1" customWidth="1"/>
    <col min="6" max="6" width="13.140625" style="1" customWidth="1"/>
    <col min="7" max="8" width="10.7109375" style="1" customWidth="1"/>
    <col min="9" max="9" width="14.28515625" style="1" customWidth="1"/>
    <col min="10" max="10" width="16.28515625" style="1" customWidth="1"/>
    <col min="11" max="11" width="3.140625" style="1" customWidth="1"/>
    <col min="12" max="30" width="7.42578125" style="1" customWidth="1"/>
    <col min="31" max="16384" width="9.140625" style="1"/>
  </cols>
  <sheetData>
    <row r="1" spans="1:11" ht="21" x14ac:dyDescent="0.25">
      <c r="A1" s="43" t="s">
        <v>32</v>
      </c>
      <c r="B1" s="44"/>
      <c r="C1" s="44"/>
      <c r="D1" s="44"/>
      <c r="E1" s="44"/>
      <c r="F1" s="44"/>
      <c r="G1" s="44"/>
      <c r="H1" s="44"/>
      <c r="I1" s="44"/>
      <c r="J1" s="44"/>
    </row>
    <row r="2" spans="1:11" ht="15" x14ac:dyDescent="0.25">
      <c r="A2" s="45" t="s">
        <v>46</v>
      </c>
      <c r="B2" s="45"/>
      <c r="C2" s="45"/>
      <c r="D2" s="45"/>
      <c r="E2" s="45"/>
      <c r="F2" s="45"/>
      <c r="G2" s="45"/>
      <c r="H2" s="45"/>
      <c r="I2" s="45"/>
      <c r="J2" s="45"/>
    </row>
    <row r="3" spans="1:11" ht="15" x14ac:dyDescent="0.25">
      <c r="A3" s="50" t="s">
        <v>5</v>
      </c>
      <c r="B3" s="46" t="s">
        <v>33</v>
      </c>
      <c r="C3" s="52" t="s">
        <v>2</v>
      </c>
      <c r="D3" s="53"/>
      <c r="E3" s="53"/>
      <c r="F3" s="54"/>
      <c r="G3" s="53" t="s">
        <v>6</v>
      </c>
      <c r="H3" s="53"/>
      <c r="I3" s="53"/>
      <c r="J3" s="48" t="s">
        <v>7</v>
      </c>
    </row>
    <row r="4" spans="1:11" s="17" customFormat="1" ht="15" x14ac:dyDescent="0.25">
      <c r="A4" s="51"/>
      <c r="B4" s="47"/>
      <c r="C4" s="18" t="s">
        <v>0</v>
      </c>
      <c r="D4" s="19" t="s">
        <v>34</v>
      </c>
      <c r="E4" s="19" t="s">
        <v>35</v>
      </c>
      <c r="F4" s="20" t="s">
        <v>36</v>
      </c>
      <c r="G4" s="21" t="s">
        <v>0</v>
      </c>
      <c r="H4" s="19" t="s">
        <v>34</v>
      </c>
      <c r="I4" s="22" t="s">
        <v>36</v>
      </c>
      <c r="J4" s="49"/>
      <c r="K4" s="4"/>
    </row>
    <row r="5" spans="1:11" ht="17.25" x14ac:dyDescent="0.4">
      <c r="A5" s="3" t="s">
        <v>0</v>
      </c>
      <c r="B5" s="23">
        <f>SUM(C5+G5)</f>
        <v>159194</v>
      </c>
      <c r="C5" s="24">
        <f>SUM(D5+E5+F5)</f>
        <v>23820</v>
      </c>
      <c r="D5" s="25">
        <f>SUM(D6:D17)</f>
        <v>22280</v>
      </c>
      <c r="E5" s="25">
        <f>SUM(E6:E17)</f>
        <v>0</v>
      </c>
      <c r="F5" s="26">
        <f>SUM(F6:F17)</f>
        <v>1540</v>
      </c>
      <c r="G5" s="27">
        <f>SUM(H5+I5)</f>
        <v>135374</v>
      </c>
      <c r="H5" s="25">
        <f>SUM(H6:H17)</f>
        <v>30344</v>
      </c>
      <c r="I5" s="25">
        <f>SUM(I6:I17)</f>
        <v>105030</v>
      </c>
      <c r="J5" s="9" t="s">
        <v>1</v>
      </c>
    </row>
    <row r="6" spans="1:11" ht="17.25" x14ac:dyDescent="0.4">
      <c r="A6" s="10" t="s">
        <v>8</v>
      </c>
      <c r="B6" s="23">
        <f>SUM(C6+G6)</f>
        <v>15035</v>
      </c>
      <c r="C6" s="28">
        <f>SUM(D6+E6+F6)</f>
        <v>2436</v>
      </c>
      <c r="D6" s="29">
        <v>2116</v>
      </c>
      <c r="E6" s="29">
        <v>0</v>
      </c>
      <c r="F6" s="30">
        <v>320</v>
      </c>
      <c r="G6" s="31">
        <f>SUM(H6+I6)</f>
        <v>12599</v>
      </c>
      <c r="H6" s="29">
        <v>2690</v>
      </c>
      <c r="I6" s="29">
        <v>9909</v>
      </c>
      <c r="J6" s="11" t="s">
        <v>9</v>
      </c>
    </row>
    <row r="7" spans="1:11" ht="17.25" x14ac:dyDescent="0.4">
      <c r="A7" s="10" t="s">
        <v>10</v>
      </c>
      <c r="B7" s="23">
        <f t="shared" ref="B7:B17" si="0">SUM(C7+G7)</f>
        <v>14779</v>
      </c>
      <c r="C7" s="28">
        <f>SUM(D7+E7+F7)</f>
        <v>2142</v>
      </c>
      <c r="D7" s="29">
        <v>1980</v>
      </c>
      <c r="E7" s="29">
        <v>0</v>
      </c>
      <c r="F7" s="30">
        <v>162</v>
      </c>
      <c r="G7" s="31">
        <f t="shared" ref="G7:G17" si="1">SUM(H7+I7)</f>
        <v>12637</v>
      </c>
      <c r="H7" s="29">
        <v>2652</v>
      </c>
      <c r="I7" s="29">
        <v>9985</v>
      </c>
      <c r="J7" s="11" t="s">
        <v>11</v>
      </c>
    </row>
    <row r="8" spans="1:11" ht="17.25" x14ac:dyDescent="0.4">
      <c r="A8" s="10" t="s">
        <v>12</v>
      </c>
      <c r="B8" s="23">
        <f t="shared" si="0"/>
        <v>14334</v>
      </c>
      <c r="C8" s="28">
        <f t="shared" ref="C8:C17" si="2">SUM(D8+E8+F8)</f>
        <v>2078</v>
      </c>
      <c r="D8" s="29">
        <v>1938</v>
      </c>
      <c r="E8" s="29">
        <v>0</v>
      </c>
      <c r="F8" s="30">
        <v>140</v>
      </c>
      <c r="G8" s="31">
        <f t="shared" si="1"/>
        <v>12256</v>
      </c>
      <c r="H8" s="29">
        <v>2538</v>
      </c>
      <c r="I8" s="29">
        <v>9718</v>
      </c>
      <c r="J8" s="11" t="s">
        <v>13</v>
      </c>
    </row>
    <row r="9" spans="1:11" ht="17.25" x14ac:dyDescent="0.4">
      <c r="A9" s="10" t="s">
        <v>14</v>
      </c>
      <c r="B9" s="23">
        <f t="shared" si="0"/>
        <v>13215</v>
      </c>
      <c r="C9" s="28">
        <f t="shared" si="2"/>
        <v>1918</v>
      </c>
      <c r="D9" s="29">
        <v>1726</v>
      </c>
      <c r="E9" s="29">
        <v>0</v>
      </c>
      <c r="F9" s="30">
        <v>192</v>
      </c>
      <c r="G9" s="31">
        <f t="shared" si="1"/>
        <v>11297</v>
      </c>
      <c r="H9" s="29">
        <v>2388</v>
      </c>
      <c r="I9" s="29">
        <v>8909</v>
      </c>
      <c r="J9" s="11" t="s">
        <v>15</v>
      </c>
    </row>
    <row r="10" spans="1:11" ht="17.25" x14ac:dyDescent="0.4">
      <c r="A10" s="10" t="s">
        <v>16</v>
      </c>
      <c r="B10" s="23">
        <f t="shared" si="0"/>
        <v>10910</v>
      </c>
      <c r="C10" s="28">
        <f t="shared" si="2"/>
        <v>1710</v>
      </c>
      <c r="D10" s="29">
        <v>1614</v>
      </c>
      <c r="E10" s="29">
        <v>0</v>
      </c>
      <c r="F10" s="30">
        <v>96</v>
      </c>
      <c r="G10" s="31">
        <f t="shared" si="1"/>
        <v>9200</v>
      </c>
      <c r="H10" s="29">
        <v>2168</v>
      </c>
      <c r="I10" s="29">
        <v>7032</v>
      </c>
      <c r="J10" s="11" t="s">
        <v>17</v>
      </c>
    </row>
    <row r="11" spans="1:11" ht="17.25" x14ac:dyDescent="0.4">
      <c r="A11" s="10" t="s">
        <v>18</v>
      </c>
      <c r="B11" s="23">
        <f t="shared" si="0"/>
        <v>10337</v>
      </c>
      <c r="C11" s="28">
        <f t="shared" si="2"/>
        <v>1660</v>
      </c>
      <c r="D11" s="29">
        <v>1612</v>
      </c>
      <c r="E11" s="29">
        <v>0</v>
      </c>
      <c r="F11" s="30">
        <v>48</v>
      </c>
      <c r="G11" s="31">
        <f t="shared" si="1"/>
        <v>8677</v>
      </c>
      <c r="H11" s="29">
        <v>2230</v>
      </c>
      <c r="I11" s="29">
        <v>6447</v>
      </c>
      <c r="J11" s="11" t="s">
        <v>19</v>
      </c>
    </row>
    <row r="12" spans="1:11" ht="17.25" x14ac:dyDescent="0.4">
      <c r="A12" s="10" t="s">
        <v>20</v>
      </c>
      <c r="B12" s="23">
        <f t="shared" si="0"/>
        <v>12495</v>
      </c>
      <c r="C12" s="28">
        <f t="shared" si="2"/>
        <v>1804</v>
      </c>
      <c r="D12" s="29">
        <v>1732</v>
      </c>
      <c r="E12" s="29">
        <v>0</v>
      </c>
      <c r="F12" s="30">
        <v>72</v>
      </c>
      <c r="G12" s="31">
        <f t="shared" si="1"/>
        <v>10691</v>
      </c>
      <c r="H12" s="29">
        <v>2510</v>
      </c>
      <c r="I12" s="29">
        <v>8181</v>
      </c>
      <c r="J12" s="11" t="s">
        <v>21</v>
      </c>
    </row>
    <row r="13" spans="1:11" ht="17.25" x14ac:dyDescent="0.4">
      <c r="A13" s="10" t="s">
        <v>22</v>
      </c>
      <c r="B13" s="23">
        <f t="shared" si="0"/>
        <v>13334</v>
      </c>
      <c r="C13" s="28">
        <f t="shared" si="2"/>
        <v>1724</v>
      </c>
      <c r="D13" s="29">
        <v>1666</v>
      </c>
      <c r="E13" s="29">
        <v>0</v>
      </c>
      <c r="F13" s="30">
        <v>58</v>
      </c>
      <c r="G13" s="31">
        <f t="shared" si="1"/>
        <v>11610</v>
      </c>
      <c r="H13" s="29">
        <v>2890</v>
      </c>
      <c r="I13" s="29">
        <v>8720</v>
      </c>
      <c r="J13" s="11" t="s">
        <v>23</v>
      </c>
    </row>
    <row r="14" spans="1:11" ht="17.25" x14ac:dyDescent="0.4">
      <c r="A14" s="10" t="s">
        <v>24</v>
      </c>
      <c r="B14" s="23">
        <f t="shared" si="0"/>
        <v>11242</v>
      </c>
      <c r="C14" s="28">
        <f t="shared" si="2"/>
        <v>1652</v>
      </c>
      <c r="D14" s="29">
        <v>1618</v>
      </c>
      <c r="E14" s="29">
        <v>0</v>
      </c>
      <c r="F14" s="30">
        <v>34</v>
      </c>
      <c r="G14" s="31">
        <f t="shared" si="1"/>
        <v>9590</v>
      </c>
      <c r="H14" s="29">
        <v>2560</v>
      </c>
      <c r="I14" s="29">
        <v>7030</v>
      </c>
      <c r="J14" s="11" t="s">
        <v>25</v>
      </c>
    </row>
    <row r="15" spans="1:11" ht="17.25" x14ac:dyDescent="0.4">
      <c r="A15" s="10" t="s">
        <v>26</v>
      </c>
      <c r="B15" s="23">
        <f t="shared" si="0"/>
        <v>13611</v>
      </c>
      <c r="C15" s="28">
        <f t="shared" si="2"/>
        <v>1876</v>
      </c>
      <c r="D15" s="29">
        <v>1856</v>
      </c>
      <c r="E15" s="29">
        <v>0</v>
      </c>
      <c r="F15" s="30">
        <v>20</v>
      </c>
      <c r="G15" s="31">
        <f t="shared" si="1"/>
        <v>11735</v>
      </c>
      <c r="H15" s="29">
        <v>2504</v>
      </c>
      <c r="I15" s="29">
        <v>9231</v>
      </c>
      <c r="J15" s="11" t="s">
        <v>27</v>
      </c>
    </row>
    <row r="16" spans="1:11" ht="17.25" x14ac:dyDescent="0.4">
      <c r="A16" s="10" t="s">
        <v>28</v>
      </c>
      <c r="B16" s="23">
        <f t="shared" si="0"/>
        <v>14089</v>
      </c>
      <c r="C16" s="28">
        <f t="shared" si="2"/>
        <v>2286</v>
      </c>
      <c r="D16" s="29">
        <v>2132</v>
      </c>
      <c r="E16" s="29">
        <v>0</v>
      </c>
      <c r="F16" s="30">
        <v>154</v>
      </c>
      <c r="G16" s="31">
        <f t="shared" si="1"/>
        <v>11803</v>
      </c>
      <c r="H16" s="29">
        <v>2504</v>
      </c>
      <c r="I16" s="29">
        <v>9299</v>
      </c>
      <c r="J16" s="11" t="s">
        <v>29</v>
      </c>
    </row>
    <row r="17" spans="1:37" ht="17.25" x14ac:dyDescent="0.4">
      <c r="A17" s="12" t="s">
        <v>30</v>
      </c>
      <c r="B17" s="32">
        <f t="shared" si="0"/>
        <v>15813</v>
      </c>
      <c r="C17" s="33">
        <f t="shared" si="2"/>
        <v>2534</v>
      </c>
      <c r="D17" s="34">
        <v>2290</v>
      </c>
      <c r="E17" s="34">
        <v>0</v>
      </c>
      <c r="F17" s="35">
        <v>244</v>
      </c>
      <c r="G17" s="36">
        <f t="shared" si="1"/>
        <v>13279</v>
      </c>
      <c r="H17" s="34">
        <v>2710</v>
      </c>
      <c r="I17" s="34">
        <v>10569</v>
      </c>
      <c r="J17" s="13" t="s">
        <v>31</v>
      </c>
    </row>
    <row r="18" spans="1:37" ht="18.75" x14ac:dyDescent="0.4">
      <c r="A18" s="6" t="s">
        <v>3</v>
      </c>
      <c r="B18" s="5"/>
      <c r="C18" s="37"/>
      <c r="D18" s="37"/>
      <c r="E18" s="37"/>
      <c r="F18" s="37"/>
      <c r="G18" s="37"/>
      <c r="H18" s="38"/>
      <c r="I18" s="8"/>
      <c r="J18" s="8" t="s">
        <v>4</v>
      </c>
      <c r="L18" s="39"/>
      <c r="M18" s="39"/>
      <c r="N18" s="39"/>
      <c r="O18" s="39"/>
      <c r="P18" s="39"/>
      <c r="Q18" s="39"/>
      <c r="R18" s="39"/>
      <c r="S18" s="39"/>
      <c r="T18" s="39"/>
      <c r="U18" s="7"/>
    </row>
    <row r="19" spans="1:37" ht="19.5" x14ac:dyDescent="0.25">
      <c r="A19" s="40"/>
      <c r="B19" s="40"/>
      <c r="C19" s="16"/>
      <c r="D19" s="16"/>
      <c r="E19" s="16"/>
      <c r="F19" s="16"/>
      <c r="G19" s="16"/>
      <c r="H19" s="16"/>
      <c r="I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37" ht="18.75" x14ac:dyDescent="0.25">
      <c r="A20" s="6"/>
      <c r="B20" s="5"/>
      <c r="C20" s="37"/>
      <c r="D20" s="37"/>
      <c r="E20" s="37"/>
      <c r="F20" s="37"/>
      <c r="G20" s="37"/>
      <c r="H20" s="38"/>
      <c r="J20" s="15"/>
    </row>
    <row r="21" spans="1:37" ht="18.75" x14ac:dyDescent="0.25">
      <c r="A21" s="6"/>
      <c r="B21" s="5"/>
      <c r="C21" s="37"/>
      <c r="D21" s="37"/>
      <c r="E21" s="37"/>
      <c r="F21" s="37"/>
      <c r="G21" s="37"/>
      <c r="H21" s="38"/>
      <c r="J21" s="15"/>
    </row>
    <row r="22" spans="1:37" ht="15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37" s="41" customFormat="1" ht="15" x14ac:dyDescent="0.25">
      <c r="A23" s="10"/>
      <c r="B23" s="23"/>
      <c r="C23" s="23"/>
      <c r="D23" s="14"/>
      <c r="E23" s="14"/>
      <c r="F23" s="14"/>
      <c r="G23" s="23"/>
      <c r="H23" s="14"/>
      <c r="I23" s="14"/>
      <c r="J23" s="42"/>
      <c r="K23" s="42"/>
    </row>
    <row r="24" spans="1:37" ht="18.75" x14ac:dyDescent="0.25">
      <c r="A24" s="5"/>
      <c r="B24" s="5"/>
      <c r="C24" s="37"/>
      <c r="D24" s="37"/>
      <c r="E24" s="37"/>
      <c r="F24" s="37"/>
      <c r="G24" s="37"/>
      <c r="H24" s="38"/>
      <c r="I24" s="15"/>
      <c r="J24" s="2"/>
      <c r="K24" s="2"/>
    </row>
    <row r="25" spans="1:37" ht="15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37" ht="15" x14ac:dyDescent="0.25"/>
    <row r="27" spans="1:37" ht="15" x14ac:dyDescent="0.25">
      <c r="AH27" s="1" t="s">
        <v>37</v>
      </c>
    </row>
    <row r="28" spans="1:37" ht="12.75" customHeight="1" x14ac:dyDescent="0.25">
      <c r="AI28" s="1" t="s">
        <v>34</v>
      </c>
      <c r="AJ28" s="1" t="s">
        <v>35</v>
      </c>
      <c r="AK28" s="1" t="s">
        <v>36</v>
      </c>
    </row>
    <row r="29" spans="1:37" ht="12.75" customHeight="1" x14ac:dyDescent="0.25">
      <c r="AH29" s="10" t="s">
        <v>38</v>
      </c>
      <c r="AI29" s="29">
        <f>D6</f>
        <v>2116</v>
      </c>
      <c r="AJ29" s="29">
        <f t="shared" ref="AJ29:AK40" si="3">E6</f>
        <v>0</v>
      </c>
      <c r="AK29" s="29">
        <f t="shared" si="3"/>
        <v>320</v>
      </c>
    </row>
    <row r="30" spans="1:37" ht="12.75" customHeight="1" x14ac:dyDescent="0.25">
      <c r="AH30" s="10" t="s">
        <v>39</v>
      </c>
      <c r="AI30" s="29">
        <f t="shared" ref="AI30:AI40" si="4">D7</f>
        <v>1980</v>
      </c>
      <c r="AJ30" s="29">
        <f t="shared" si="3"/>
        <v>0</v>
      </c>
      <c r="AK30" s="29">
        <f t="shared" si="3"/>
        <v>162</v>
      </c>
    </row>
    <row r="31" spans="1:37" ht="12.75" customHeight="1" x14ac:dyDescent="0.25">
      <c r="AH31" s="10" t="s">
        <v>12</v>
      </c>
      <c r="AI31" s="29">
        <f t="shared" si="4"/>
        <v>1938</v>
      </c>
      <c r="AJ31" s="29">
        <f t="shared" si="3"/>
        <v>0</v>
      </c>
      <c r="AK31" s="29">
        <f t="shared" si="3"/>
        <v>140</v>
      </c>
    </row>
    <row r="32" spans="1:37" ht="12.75" customHeight="1" x14ac:dyDescent="0.25">
      <c r="AH32" s="10" t="s">
        <v>14</v>
      </c>
      <c r="AI32" s="29">
        <f t="shared" si="4"/>
        <v>1726</v>
      </c>
      <c r="AJ32" s="29">
        <f t="shared" si="3"/>
        <v>0</v>
      </c>
      <c r="AK32" s="29">
        <f t="shared" si="3"/>
        <v>192</v>
      </c>
    </row>
    <row r="33" spans="34:37" ht="12.75" customHeight="1" x14ac:dyDescent="0.25">
      <c r="AH33" s="10" t="s">
        <v>16</v>
      </c>
      <c r="AI33" s="29">
        <f t="shared" si="4"/>
        <v>1614</v>
      </c>
      <c r="AJ33" s="29">
        <f t="shared" si="3"/>
        <v>0</v>
      </c>
      <c r="AK33" s="29">
        <f t="shared" si="3"/>
        <v>96</v>
      </c>
    </row>
    <row r="34" spans="34:37" ht="12.75" customHeight="1" x14ac:dyDescent="0.25">
      <c r="AH34" s="10" t="s">
        <v>18</v>
      </c>
      <c r="AI34" s="29">
        <f t="shared" si="4"/>
        <v>1612</v>
      </c>
      <c r="AJ34" s="29">
        <f t="shared" si="3"/>
        <v>0</v>
      </c>
      <c r="AK34" s="29">
        <f t="shared" si="3"/>
        <v>48</v>
      </c>
    </row>
    <row r="35" spans="34:37" ht="12.75" customHeight="1" x14ac:dyDescent="0.25">
      <c r="AH35" s="10" t="s">
        <v>20</v>
      </c>
      <c r="AI35" s="29">
        <f t="shared" si="4"/>
        <v>1732</v>
      </c>
      <c r="AJ35" s="29">
        <f t="shared" si="3"/>
        <v>0</v>
      </c>
      <c r="AK35" s="29">
        <f t="shared" si="3"/>
        <v>72</v>
      </c>
    </row>
    <row r="36" spans="34:37" ht="12.75" customHeight="1" x14ac:dyDescent="0.25">
      <c r="AH36" s="10" t="s">
        <v>40</v>
      </c>
      <c r="AI36" s="29">
        <f t="shared" si="4"/>
        <v>1666</v>
      </c>
      <c r="AJ36" s="29">
        <f t="shared" si="3"/>
        <v>0</v>
      </c>
      <c r="AK36" s="29">
        <f t="shared" si="3"/>
        <v>58</v>
      </c>
    </row>
    <row r="37" spans="34:37" ht="12.75" customHeight="1" x14ac:dyDescent="0.25">
      <c r="AH37" s="10" t="s">
        <v>41</v>
      </c>
      <c r="AI37" s="29">
        <f t="shared" si="4"/>
        <v>1618</v>
      </c>
      <c r="AJ37" s="29">
        <f t="shared" si="3"/>
        <v>0</v>
      </c>
      <c r="AK37" s="29">
        <f t="shared" si="3"/>
        <v>34</v>
      </c>
    </row>
    <row r="38" spans="34:37" ht="12.75" customHeight="1" x14ac:dyDescent="0.25">
      <c r="AH38" s="10" t="s">
        <v>42</v>
      </c>
      <c r="AI38" s="29">
        <f t="shared" si="4"/>
        <v>1856</v>
      </c>
      <c r="AJ38" s="29">
        <f t="shared" si="3"/>
        <v>0</v>
      </c>
      <c r="AK38" s="29">
        <f t="shared" si="3"/>
        <v>20</v>
      </c>
    </row>
    <row r="39" spans="34:37" ht="12.75" customHeight="1" x14ac:dyDescent="0.25">
      <c r="AH39" s="10" t="s">
        <v>43</v>
      </c>
      <c r="AI39" s="29">
        <f t="shared" si="4"/>
        <v>2132</v>
      </c>
      <c r="AJ39" s="29">
        <f t="shared" si="3"/>
        <v>0</v>
      </c>
      <c r="AK39" s="29">
        <f t="shared" si="3"/>
        <v>154</v>
      </c>
    </row>
    <row r="40" spans="34:37" ht="12.75" customHeight="1" x14ac:dyDescent="0.25">
      <c r="AH40" s="12" t="s">
        <v>44</v>
      </c>
      <c r="AI40" s="29">
        <f t="shared" si="4"/>
        <v>2290</v>
      </c>
      <c r="AJ40" s="29">
        <f t="shared" si="3"/>
        <v>0</v>
      </c>
      <c r="AK40" s="29">
        <f t="shared" si="3"/>
        <v>244</v>
      </c>
    </row>
    <row r="43" spans="34:37" ht="12.75" customHeight="1" x14ac:dyDescent="0.25">
      <c r="AH43" s="1" t="s">
        <v>45</v>
      </c>
    </row>
    <row r="44" spans="34:37" ht="24" x14ac:dyDescent="0.25">
      <c r="AI44" s="19" t="s">
        <v>34</v>
      </c>
      <c r="AJ44" s="22" t="s">
        <v>36</v>
      </c>
    </row>
    <row r="45" spans="34:37" ht="15" x14ac:dyDescent="0.25">
      <c r="AH45" s="10" t="s">
        <v>38</v>
      </c>
      <c r="AI45" s="14">
        <f>H6</f>
        <v>2690</v>
      </c>
      <c r="AJ45" s="14">
        <f>I6</f>
        <v>9909</v>
      </c>
    </row>
    <row r="46" spans="34:37" ht="15" x14ac:dyDescent="0.25">
      <c r="AH46" s="10" t="s">
        <v>39</v>
      </c>
      <c r="AI46" s="14">
        <f t="shared" ref="AI46:AJ56" si="5">H7</f>
        <v>2652</v>
      </c>
      <c r="AJ46" s="14">
        <f t="shared" si="5"/>
        <v>9985</v>
      </c>
    </row>
    <row r="47" spans="34:37" ht="15" x14ac:dyDescent="0.25">
      <c r="AH47" s="10" t="s">
        <v>12</v>
      </c>
      <c r="AI47" s="14">
        <f t="shared" si="5"/>
        <v>2538</v>
      </c>
      <c r="AJ47" s="14">
        <f t="shared" si="5"/>
        <v>9718</v>
      </c>
    </row>
    <row r="48" spans="34:37" ht="15" x14ac:dyDescent="0.25">
      <c r="AH48" s="10" t="s">
        <v>14</v>
      </c>
      <c r="AI48" s="14">
        <f t="shared" si="5"/>
        <v>2388</v>
      </c>
      <c r="AJ48" s="14">
        <f t="shared" si="5"/>
        <v>8909</v>
      </c>
    </row>
    <row r="49" spans="34:36" ht="15" x14ac:dyDescent="0.25">
      <c r="AH49" s="10" t="s">
        <v>16</v>
      </c>
      <c r="AI49" s="14">
        <f t="shared" si="5"/>
        <v>2168</v>
      </c>
      <c r="AJ49" s="14">
        <f t="shared" si="5"/>
        <v>7032</v>
      </c>
    </row>
    <row r="50" spans="34:36" ht="15" x14ac:dyDescent="0.25">
      <c r="AH50" s="10" t="s">
        <v>18</v>
      </c>
      <c r="AI50" s="14">
        <f t="shared" si="5"/>
        <v>2230</v>
      </c>
      <c r="AJ50" s="14">
        <f t="shared" si="5"/>
        <v>6447</v>
      </c>
    </row>
    <row r="51" spans="34:36" ht="15" x14ac:dyDescent="0.25">
      <c r="AH51" s="10" t="s">
        <v>20</v>
      </c>
      <c r="AI51" s="14">
        <f t="shared" si="5"/>
        <v>2510</v>
      </c>
      <c r="AJ51" s="14">
        <f t="shared" si="5"/>
        <v>8181</v>
      </c>
    </row>
    <row r="52" spans="34:36" ht="15" x14ac:dyDescent="0.25">
      <c r="AH52" s="10" t="s">
        <v>40</v>
      </c>
      <c r="AI52" s="14">
        <f t="shared" si="5"/>
        <v>2890</v>
      </c>
      <c r="AJ52" s="14">
        <f t="shared" si="5"/>
        <v>8720</v>
      </c>
    </row>
    <row r="53" spans="34:36" ht="15" x14ac:dyDescent="0.25">
      <c r="AH53" s="10" t="s">
        <v>41</v>
      </c>
      <c r="AI53" s="14">
        <f t="shared" si="5"/>
        <v>2560</v>
      </c>
      <c r="AJ53" s="14">
        <f t="shared" si="5"/>
        <v>7030</v>
      </c>
    </row>
    <row r="54" spans="34:36" ht="15" x14ac:dyDescent="0.25">
      <c r="AH54" s="10" t="s">
        <v>42</v>
      </c>
      <c r="AI54" s="14">
        <f t="shared" si="5"/>
        <v>2504</v>
      </c>
      <c r="AJ54" s="14">
        <f t="shared" si="5"/>
        <v>9231</v>
      </c>
    </row>
    <row r="55" spans="34:36" ht="15" x14ac:dyDescent="0.25">
      <c r="AH55" s="10" t="s">
        <v>43</v>
      </c>
      <c r="AI55" s="14">
        <f t="shared" si="5"/>
        <v>2504</v>
      </c>
      <c r="AJ55" s="14">
        <f t="shared" si="5"/>
        <v>9299</v>
      </c>
    </row>
    <row r="56" spans="34:36" ht="15" x14ac:dyDescent="0.25">
      <c r="AH56" s="12" t="s">
        <v>44</v>
      </c>
      <c r="AI56" s="14">
        <f t="shared" si="5"/>
        <v>2710</v>
      </c>
      <c r="AJ56" s="14">
        <f t="shared" si="5"/>
        <v>10569</v>
      </c>
    </row>
    <row r="58" spans="34:36" ht="15" x14ac:dyDescent="0.25">
      <c r="AI58" s="14"/>
      <c r="AJ58" s="14"/>
    </row>
    <row r="59" spans="34:36" ht="15" x14ac:dyDescent="0.25">
      <c r="AI59" s="14"/>
      <c r="AJ59" s="14"/>
    </row>
    <row r="60" spans="34:36" ht="15" x14ac:dyDescent="0.25">
      <c r="AI60" s="14"/>
      <c r="AJ60" s="14"/>
    </row>
    <row r="61" spans="34:36" ht="15" x14ac:dyDescent="0.25">
      <c r="AI61" s="14"/>
      <c r="AJ61" s="14"/>
    </row>
    <row r="62" spans="34:36" ht="15" x14ac:dyDescent="0.25">
      <c r="AI62" s="14"/>
      <c r="AJ62" s="14"/>
    </row>
    <row r="63" spans="34:36" ht="15" customHeight="1" x14ac:dyDescent="0.25"/>
    <row r="64" spans="34:36" ht="1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paperSize="9" scale="66" orientation="portrait" horizontalDpi="4294967295" verticalDpi="4294967295" r:id="rId1"/>
  <ignoredErrors>
    <ignoredError sqref="G5" 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11.17</vt:lpstr>
      <vt:lpstr>'11.17'!Print_Area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2019-05-13T06:14:51Z</cp:lastPrinted>
  <dcterms:created xsi:type="dcterms:W3CDTF">2019-03-24T03:32:16Z</dcterms:created>
  <dcterms:modified xsi:type="dcterms:W3CDTF">2019-05-13T06:14:58Z</dcterms:modified>
</cp:coreProperties>
</file>