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 11.2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7" l="1"/>
  <c r="B18" i="7"/>
  <c r="B17" i="7"/>
  <c r="B16" i="7"/>
  <c r="B15" i="7"/>
  <c r="B14" i="7"/>
  <c r="B13" i="7"/>
  <c r="B12" i="7"/>
  <c r="B11" i="7"/>
  <c r="B10" i="7"/>
  <c r="B9" i="7"/>
  <c r="B8" i="7"/>
  <c r="H7" i="7"/>
  <c r="G7" i="7"/>
  <c r="F7" i="7"/>
  <c r="E7" i="7"/>
  <c r="D7" i="7"/>
  <c r="C7" i="7"/>
  <c r="B7" i="7" l="1"/>
</calcChain>
</file>

<file path=xl/sharedStrings.xml><?xml version="1.0" encoding="utf-8"?>
<sst xmlns="http://schemas.openxmlformats.org/spreadsheetml/2006/main" count="42" uniqueCount="39">
  <si>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</si>
  <si>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</si>
  <si>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</si>
  <si>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</si>
  <si>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</si>
  <si>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</si>
  <si>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</si>
  <si>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</si>
  <si>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</si>
  <si>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</si>
  <si>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</si>
  <si>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</si>
  <si>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</si>
  <si>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</si>
  <si>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</si>
  <si>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</si>
  <si>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</si>
  <si>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</si>
  <si>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</si>
  <si>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</si>
  <si>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</si>
  <si>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</si>
  <si>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</si>
  <si>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</si>
  <si>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</si>
  <si>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</si>
  <si>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</si>
  <si>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</si>
  <si>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</si>
  <si>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</si>
  <si>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</si>
  <si>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</si>
  <si>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</si>
  <si>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</si>
  <si>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</si>
  <si>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</si>
  <si>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</si>
  <si>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ތާވަލު 11.21: މަސްމަހުގެ ގޮތުން ވެލާނާ އިންޓަރނޭޝަނަލް އެއަރޕޯޓުގައި ފަސިންޖަރުންގެ ދަތުރުފަތުރު ހުރި ގޮތް، 2018</t>
  </si>
  <si>
    <t>Table  11.21 :  CARGO HANDLED AT VELANA  INTERNATIONAL AIRPORT BY MONTH,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</si>
</sst>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Faruma"/>
    </font>
    <font>
      <sz val="9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3">
    <xf numFmtId="0" fontId="0" fillId="0" borderId="0" xfId="0"/>
    <xf numFmtId="164" fontId="0" fillId="2" borderId="0" xfId="0" applyNumberFormat="1" applyFill="1"/>
    <xf numFmtId="164" fontId="4" fillId="2" borderId="0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 applyProtection="1">
      <alignment horizontal="left" vertical="center"/>
    </xf>
    <xf numFmtId="164" fontId="11" fillId="2" borderId="1" xfId="1" applyNumberFormat="1" applyFont="1" applyFill="1" applyBorder="1" applyAlignment="1" applyProtection="1">
      <alignment horizontal="left" vertical="center"/>
    </xf>
    <xf numFmtId="164" fontId="8" fillId="2" borderId="0" xfId="1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 applyProtection="1">
      <alignment horizontal="right" vertical="center" wrapText="1"/>
    </xf>
    <xf numFmtId="164" fontId="4" fillId="2" borderId="1" xfId="1" applyNumberFormat="1" applyFont="1" applyFill="1" applyBorder="1" applyAlignment="1" applyProtection="1">
      <alignment horizontal="right" vertical="center" wrapText="1"/>
    </xf>
    <xf numFmtId="164" fontId="6" fillId="2" borderId="3" xfId="1" applyNumberFormat="1" applyFont="1" applyFill="1" applyBorder="1" applyAlignment="1" applyProtection="1">
      <alignment horizontal="left" vertical="center"/>
    </xf>
    <xf numFmtId="164" fontId="6" fillId="2" borderId="1" xfId="1" applyNumberFormat="1" applyFont="1" applyFill="1" applyBorder="1" applyAlignment="1" applyProtection="1">
      <alignment horizontal="left" vertical="center"/>
    </xf>
    <xf numFmtId="164" fontId="0" fillId="2" borderId="0" xfId="0" applyNumberFormat="1" applyFill="1" applyAlignment="1">
      <alignment vertical="top"/>
    </xf>
    <xf numFmtId="164" fontId="10" fillId="2" borderId="0" xfId="1" applyNumberFormat="1" applyFont="1" applyFill="1" applyAlignment="1" applyProtection="1">
      <alignment horizontal="left" vertical="top"/>
    </xf>
    <xf numFmtId="0" fontId="9" fillId="2" borderId="2" xfId="0" applyNumberFormat="1" applyFont="1" applyFill="1" applyBorder="1" applyAlignment="1">
      <alignment horizontal="right" vertical="top"/>
    </xf>
    <xf numFmtId="0" fontId="13" fillId="2" borderId="2" xfId="0" applyNumberFormat="1" applyFont="1" applyFill="1" applyBorder="1" applyAlignment="1">
      <alignment horizontal="right" vertical="center"/>
    </xf>
    <xf numFmtId="0" fontId="6" fillId="2" borderId="0" xfId="3" applyFont="1" applyFill="1" applyAlignment="1">
      <alignment vertical="center"/>
    </xf>
    <xf numFmtId="164" fontId="6" fillId="2" borderId="1" xfId="1" applyNumberFormat="1" applyFont="1" applyFill="1" applyBorder="1" applyAlignment="1" applyProtection="1">
      <alignment horizontal="right" vertical="center" wrapText="1"/>
    </xf>
    <xf numFmtId="164" fontId="4" fillId="2" borderId="6" xfId="1" applyNumberFormat="1" applyFont="1" applyFill="1" applyBorder="1" applyAlignment="1" applyProtection="1">
      <alignment horizontal="right" vertical="center" wrapText="1"/>
    </xf>
    <xf numFmtId="38" fontId="4" fillId="2" borderId="0" xfId="2" applyNumberFormat="1" applyFont="1" applyFill="1" applyAlignment="1" applyProtection="1">
      <alignment horizontal="right" vertical="center"/>
    </xf>
    <xf numFmtId="38" fontId="4" fillId="2" borderId="0" xfId="2" applyNumberFormat="1" applyFont="1" applyFill="1" applyBorder="1" applyAlignment="1" applyProtection="1">
      <alignment horizontal="right" vertical="center" wrapText="1"/>
    </xf>
    <xf numFmtId="38" fontId="4" fillId="2" borderId="5" xfId="2" applyNumberFormat="1" applyFont="1" applyFill="1" applyBorder="1" applyAlignment="1" applyProtection="1">
      <alignment horizontal="right" vertical="center" wrapText="1"/>
    </xf>
    <xf numFmtId="38" fontId="4" fillId="2" borderId="3" xfId="2" applyNumberFormat="1" applyFont="1" applyFill="1" applyBorder="1" applyAlignment="1" applyProtection="1">
      <alignment horizontal="right" vertical="center" wrapText="1"/>
    </xf>
    <xf numFmtId="38" fontId="11" fillId="2" borderId="0" xfId="2" applyNumberFormat="1" applyFont="1" applyFill="1" applyBorder="1" applyAlignment="1" applyProtection="1">
      <alignment horizontal="right" vertical="center" wrapText="1"/>
      <protection locked="0"/>
    </xf>
    <xf numFmtId="38" fontId="11" fillId="2" borderId="0" xfId="2" applyNumberFormat="1" applyFont="1" applyFill="1" applyAlignment="1" applyProtection="1">
      <alignment horizontal="right" vertical="center" wrapText="1"/>
      <protection locked="0"/>
    </xf>
    <xf numFmtId="38" fontId="11" fillId="2" borderId="5" xfId="2" applyNumberFormat="1" applyFont="1" applyFill="1" applyBorder="1" applyAlignment="1" applyProtection="1">
      <alignment horizontal="right" vertical="center" wrapText="1"/>
      <protection locked="0"/>
    </xf>
    <xf numFmtId="38" fontId="11" fillId="2" borderId="0" xfId="1" applyNumberFormat="1" applyFont="1" applyFill="1" applyBorder="1" applyAlignment="1" applyProtection="1">
      <alignment horizontal="right" vertical="center" wrapText="1"/>
      <protection locked="0"/>
    </xf>
    <xf numFmtId="38" fontId="4" fillId="2" borderId="1" xfId="2" applyNumberFormat="1" applyFont="1" applyFill="1" applyBorder="1" applyAlignment="1" applyProtection="1">
      <alignment horizontal="right" vertical="center"/>
    </xf>
    <xf numFmtId="38" fontId="11" fillId="2" borderId="1" xfId="2" applyNumberFormat="1" applyFont="1" applyFill="1" applyBorder="1" applyAlignment="1" applyProtection="1">
      <alignment horizontal="right" vertical="center" wrapText="1"/>
    </xf>
    <xf numFmtId="38" fontId="11" fillId="2" borderId="6" xfId="2" applyNumberFormat="1" applyFont="1" applyFill="1" applyBorder="1" applyAlignment="1" applyProtection="1">
      <alignment horizontal="right" vertical="center" wrapText="1"/>
    </xf>
    <xf numFmtId="38" fontId="11" fillId="2" borderId="1" xfId="1" applyNumberFormat="1" applyFont="1" applyFill="1" applyBorder="1" applyAlignment="1" applyProtection="1">
      <alignment horizontal="right" vertical="center" wrapText="1"/>
    </xf>
    <xf numFmtId="164" fontId="10" fillId="2" borderId="0" xfId="1" applyNumberFormat="1" applyFont="1" applyFill="1" applyAlignment="1">
      <alignment vertical="center"/>
    </xf>
    <xf numFmtId="164" fontId="11" fillId="2" borderId="0" xfId="1" applyNumberFormat="1" applyFont="1" applyFill="1" applyAlignment="1">
      <alignment vertical="center"/>
    </xf>
    <xf numFmtId="164" fontId="11" fillId="2" borderId="0" xfId="1" applyNumberFormat="1" applyFont="1" applyFill="1" applyBorder="1" applyAlignment="1">
      <alignment vertical="center"/>
    </xf>
    <xf numFmtId="37" fontId="11" fillId="2" borderId="0" xfId="1" applyNumberFormat="1" applyFont="1" applyFill="1" applyAlignment="1" applyProtection="1">
      <alignment vertical="top"/>
    </xf>
    <xf numFmtId="164" fontId="6" fillId="2" borderId="0" xfId="1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5" fillId="2" borderId="3" xfId="1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center" vertical="center"/>
    </xf>
  </cellXfs>
  <cellStyles count="11">
    <cellStyle name="Comma 2" xfId="2"/>
    <cellStyle name="Comma 4" xfId="6"/>
    <cellStyle name="Hyperlink 2" xfId="7"/>
    <cellStyle name="Normal" xfId="0" builtinId="0"/>
    <cellStyle name="Normal 2" xfId="1"/>
    <cellStyle name="Normal 2 3" xfId="9"/>
    <cellStyle name="Normal 3" xfId="4"/>
    <cellStyle name="Normal 3 2" xfId="10"/>
    <cellStyle name="Normal 4" xfId="5"/>
    <cellStyle name="Normal 5" xfId="8"/>
    <cellStyle name="Normal_IX-7(Trans &amp; Comm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21"/>
  <sheetViews>
    <sheetView tabSelected="1" zoomScaleNormal="100" workbookViewId="0">
      <selection activeCell="O7" sqref="O7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2" spans="1:9" ht="21" x14ac:dyDescent="0.25">
      <c r="A2" s="42" t="s">
        <v>37</v>
      </c>
      <c r="B2" s="42"/>
      <c r="C2" s="42"/>
      <c r="D2" s="42"/>
      <c r="E2" s="42"/>
      <c r="F2" s="42"/>
      <c r="G2" s="42"/>
      <c r="H2" s="42"/>
      <c r="I2" s="42"/>
    </row>
    <row r="3" spans="1:9" x14ac:dyDescent="0.25">
      <c r="A3" s="37" t="s">
        <v>38</v>
      </c>
      <c r="B3" s="37"/>
      <c r="C3" s="37"/>
      <c r="D3" s="37"/>
      <c r="E3" s="37"/>
      <c r="F3" s="37"/>
      <c r="G3" s="37"/>
      <c r="H3" s="37"/>
    </row>
    <row r="4" spans="1:9" x14ac:dyDescent="0.25">
      <c r="A4" s="38" t="s">
        <v>34</v>
      </c>
      <c r="B4" s="38"/>
      <c r="C4" s="38"/>
      <c r="D4" s="38"/>
      <c r="E4" s="38"/>
      <c r="F4" s="38"/>
      <c r="G4" s="38"/>
      <c r="H4" s="18"/>
    </row>
    <row r="5" spans="1:9" x14ac:dyDescent="0.25">
      <c r="A5" s="12"/>
      <c r="B5" s="12"/>
      <c r="C5" s="39" t="s">
        <v>2</v>
      </c>
      <c r="D5" s="39"/>
      <c r="E5" s="39"/>
      <c r="F5" s="39" t="s">
        <v>6</v>
      </c>
      <c r="G5" s="39"/>
      <c r="H5" s="39"/>
      <c r="I5" s="40" t="s">
        <v>7</v>
      </c>
    </row>
    <row r="6" spans="1:9" x14ac:dyDescent="0.25">
      <c r="A6" s="13" t="s">
        <v>5</v>
      </c>
      <c r="B6" s="19" t="s">
        <v>32</v>
      </c>
      <c r="C6" s="11" t="s">
        <v>35</v>
      </c>
      <c r="D6" s="11" t="s">
        <v>36</v>
      </c>
      <c r="E6" s="4" t="s">
        <v>33</v>
      </c>
      <c r="F6" s="20" t="s">
        <v>35</v>
      </c>
      <c r="G6" s="10" t="s">
        <v>36</v>
      </c>
      <c r="H6" s="5" t="s">
        <v>33</v>
      </c>
      <c r="I6" s="41"/>
    </row>
    <row r="7" spans="1:9" ht="15.75" x14ac:dyDescent="0.25">
      <c r="A7" s="2" t="s">
        <v>0</v>
      </c>
      <c r="B7" s="21">
        <f>SUM(C7:H7)</f>
        <v>73203079.529999986</v>
      </c>
      <c r="C7" s="22">
        <f t="shared" ref="C7:H7" si="0">SUM(C8:C19)</f>
        <v>45065063.75999999</v>
      </c>
      <c r="D7" s="22">
        <f t="shared" si="0"/>
        <v>13133065.739999998</v>
      </c>
      <c r="E7" s="22">
        <f t="shared" si="0"/>
        <v>14074142.41</v>
      </c>
      <c r="F7" s="23">
        <f t="shared" si="0"/>
        <v>248012.76</v>
      </c>
      <c r="G7" s="24">
        <f t="shared" si="0"/>
        <v>544145.75</v>
      </c>
      <c r="H7" s="24">
        <f t="shared" si="0"/>
        <v>138649.10999999999</v>
      </c>
      <c r="I7" s="3" t="s">
        <v>1</v>
      </c>
    </row>
    <row r="8" spans="1:9" ht="15.75" x14ac:dyDescent="0.25">
      <c r="A8" s="6" t="s">
        <v>8</v>
      </c>
      <c r="B8" s="21">
        <f t="shared" ref="B8:B19" si="1">SUM(C8:H8)</f>
        <v>5986485.7599999998</v>
      </c>
      <c r="C8" s="25">
        <v>3669534.4699999997</v>
      </c>
      <c r="D8" s="26">
        <v>1123896.8900000001</v>
      </c>
      <c r="E8" s="25">
        <v>1115884.23</v>
      </c>
      <c r="F8" s="27">
        <v>13201.920000000002</v>
      </c>
      <c r="G8" s="25">
        <v>50760.2</v>
      </c>
      <c r="H8" s="28">
        <v>13208.050000000001</v>
      </c>
      <c r="I8" s="8" t="s">
        <v>9</v>
      </c>
    </row>
    <row r="9" spans="1:9" ht="15.75" x14ac:dyDescent="0.25">
      <c r="A9" s="6" t="s">
        <v>10</v>
      </c>
      <c r="B9" s="21">
        <f t="shared" si="1"/>
        <v>5629940.5800000019</v>
      </c>
      <c r="C9" s="25">
        <v>3206814.6100000008</v>
      </c>
      <c r="D9" s="26">
        <v>920816.0199999999</v>
      </c>
      <c r="E9" s="25">
        <v>1430154.9600000002</v>
      </c>
      <c r="F9" s="27">
        <v>15120.479999999994</v>
      </c>
      <c r="G9" s="25">
        <v>48989.149999999994</v>
      </c>
      <c r="H9" s="28">
        <v>8045.36</v>
      </c>
      <c r="I9" s="8" t="s">
        <v>11</v>
      </c>
    </row>
    <row r="10" spans="1:9" ht="15.75" x14ac:dyDescent="0.25">
      <c r="A10" s="6" t="s">
        <v>12</v>
      </c>
      <c r="B10" s="21">
        <f t="shared" si="1"/>
        <v>5980541.0200000023</v>
      </c>
      <c r="C10" s="25">
        <v>3417646.6900000009</v>
      </c>
      <c r="D10" s="26">
        <v>1054574.33</v>
      </c>
      <c r="E10" s="25">
        <v>1436885.95</v>
      </c>
      <c r="F10" s="27">
        <v>13755.660000000002</v>
      </c>
      <c r="G10" s="25">
        <v>43772.9</v>
      </c>
      <c r="H10" s="28">
        <v>13905.49</v>
      </c>
      <c r="I10" s="8" t="s">
        <v>13</v>
      </c>
    </row>
    <row r="11" spans="1:9" ht="15.75" x14ac:dyDescent="0.25">
      <c r="A11" s="6" t="s">
        <v>14</v>
      </c>
      <c r="B11" s="21">
        <f t="shared" si="1"/>
        <v>6237798.6999999993</v>
      </c>
      <c r="C11" s="25">
        <v>3299880.5099999993</v>
      </c>
      <c r="D11" s="26">
        <v>1781325.89</v>
      </c>
      <c r="E11" s="25">
        <v>1086382.46</v>
      </c>
      <c r="F11" s="27">
        <v>13373</v>
      </c>
      <c r="G11" s="25">
        <v>44178.099999999991</v>
      </c>
      <c r="H11" s="28">
        <v>12658.74</v>
      </c>
      <c r="I11" s="8" t="s">
        <v>29</v>
      </c>
    </row>
    <row r="12" spans="1:9" ht="15.75" x14ac:dyDescent="0.25">
      <c r="A12" s="6" t="s">
        <v>15</v>
      </c>
      <c r="B12" s="21">
        <f t="shared" si="1"/>
        <v>5441155.2500000009</v>
      </c>
      <c r="C12" s="25">
        <v>3679342.54</v>
      </c>
      <c r="D12" s="26">
        <v>961665.90000000014</v>
      </c>
      <c r="E12" s="25">
        <v>681706.04</v>
      </c>
      <c r="F12" s="27">
        <v>38580.37000000001</v>
      </c>
      <c r="G12" s="25">
        <v>63400.5</v>
      </c>
      <c r="H12" s="28">
        <v>16459.900000000001</v>
      </c>
      <c r="I12" s="8" t="s">
        <v>16</v>
      </c>
    </row>
    <row r="13" spans="1:9" ht="15.75" x14ac:dyDescent="0.25">
      <c r="A13" s="6" t="s">
        <v>17</v>
      </c>
      <c r="B13" s="21">
        <f t="shared" si="1"/>
        <v>4331638.6799999988</v>
      </c>
      <c r="C13" s="25">
        <v>3072644.0499999993</v>
      </c>
      <c r="D13" s="26">
        <v>447710.71999999997</v>
      </c>
      <c r="E13" s="25">
        <v>741669.76</v>
      </c>
      <c r="F13" s="27">
        <v>10173</v>
      </c>
      <c r="G13" s="25">
        <v>44918.799999999996</v>
      </c>
      <c r="H13" s="28">
        <v>14522.349999999995</v>
      </c>
      <c r="I13" s="8" t="s">
        <v>18</v>
      </c>
    </row>
    <row r="14" spans="1:9" ht="15.75" x14ac:dyDescent="0.25">
      <c r="A14" s="6" t="s">
        <v>19</v>
      </c>
      <c r="B14" s="21">
        <f t="shared" si="1"/>
        <v>6057627.379999998</v>
      </c>
      <c r="C14" s="25">
        <v>4253176.7799999993</v>
      </c>
      <c r="D14" s="26">
        <v>776323.92</v>
      </c>
      <c r="E14" s="25">
        <v>919215.00999999989</v>
      </c>
      <c r="F14" s="27">
        <v>60198.180000000008</v>
      </c>
      <c r="G14" s="25">
        <v>38468.6</v>
      </c>
      <c r="H14" s="28">
        <v>10244.89</v>
      </c>
      <c r="I14" s="8" t="s">
        <v>20</v>
      </c>
    </row>
    <row r="15" spans="1:9" ht="15.75" x14ac:dyDescent="0.25">
      <c r="A15" s="6" t="s">
        <v>21</v>
      </c>
      <c r="B15" s="21">
        <f t="shared" si="1"/>
        <v>6249847.1799999988</v>
      </c>
      <c r="C15" s="25">
        <v>4229222.96</v>
      </c>
      <c r="D15" s="26">
        <v>905905.09000000008</v>
      </c>
      <c r="E15" s="25">
        <v>1046217.81</v>
      </c>
      <c r="F15" s="27">
        <v>17058.88</v>
      </c>
      <c r="G15" s="25">
        <v>41916.300000000003</v>
      </c>
      <c r="H15" s="28">
        <v>9526.14</v>
      </c>
      <c r="I15" s="8" t="s">
        <v>30</v>
      </c>
    </row>
    <row r="16" spans="1:9" ht="15.75" x14ac:dyDescent="0.25">
      <c r="A16" s="6" t="s">
        <v>22</v>
      </c>
      <c r="B16" s="21">
        <f t="shared" si="1"/>
        <v>5561900.2899999991</v>
      </c>
      <c r="C16" s="25">
        <v>3501431</v>
      </c>
      <c r="D16" s="26">
        <v>1011368.4600000001</v>
      </c>
      <c r="E16" s="25">
        <v>985905.89999999991</v>
      </c>
      <c r="F16" s="27">
        <v>16526.43</v>
      </c>
      <c r="G16" s="25">
        <v>36445.599999999999</v>
      </c>
      <c r="H16" s="28">
        <v>10222.899999999998</v>
      </c>
      <c r="I16" s="8" t="s">
        <v>23</v>
      </c>
    </row>
    <row r="17" spans="1:9" ht="15.75" x14ac:dyDescent="0.25">
      <c r="A17" s="6" t="s">
        <v>24</v>
      </c>
      <c r="B17" s="21">
        <f t="shared" si="1"/>
        <v>6661101.6399999997</v>
      </c>
      <c r="C17" s="25">
        <v>3527372.6599999988</v>
      </c>
      <c r="D17" s="26">
        <v>1475425.2999999998</v>
      </c>
      <c r="E17" s="25">
        <v>1582926.2</v>
      </c>
      <c r="F17" s="27">
        <v>18665.5</v>
      </c>
      <c r="G17" s="25">
        <v>47362.400000000001</v>
      </c>
      <c r="H17" s="28">
        <v>9349.5800000000017</v>
      </c>
      <c r="I17" s="8" t="s">
        <v>31</v>
      </c>
    </row>
    <row r="18" spans="1:9" ht="15.75" x14ac:dyDescent="0.25">
      <c r="A18" s="6" t="s">
        <v>25</v>
      </c>
      <c r="B18" s="21">
        <f t="shared" si="1"/>
        <v>7462320.6399999997</v>
      </c>
      <c r="C18" s="25">
        <v>4112015.5399999996</v>
      </c>
      <c r="D18" s="26">
        <v>1687069.52</v>
      </c>
      <c r="E18" s="25">
        <v>1598426.48</v>
      </c>
      <c r="F18" s="27">
        <v>13494.700000000003</v>
      </c>
      <c r="G18" s="25">
        <v>39753.399999999994</v>
      </c>
      <c r="H18" s="28">
        <v>11560.999999999998</v>
      </c>
      <c r="I18" s="8" t="s">
        <v>26</v>
      </c>
    </row>
    <row r="19" spans="1:9" ht="15.75" x14ac:dyDescent="0.25">
      <c r="A19" s="7" t="s">
        <v>27</v>
      </c>
      <c r="B19" s="29">
        <f t="shared" si="1"/>
        <v>7602722.4099999992</v>
      </c>
      <c r="C19" s="30">
        <v>5095981.9499999993</v>
      </c>
      <c r="D19" s="30">
        <v>986983.7</v>
      </c>
      <c r="E19" s="30">
        <v>1448767.6099999999</v>
      </c>
      <c r="F19" s="31">
        <v>17864.639999999996</v>
      </c>
      <c r="G19" s="30">
        <v>44179.8</v>
      </c>
      <c r="H19" s="32">
        <v>8944.7099999999991</v>
      </c>
      <c r="I19" s="9" t="s">
        <v>28</v>
      </c>
    </row>
    <row r="20" spans="1:9" s="14" customFormat="1" ht="17.25" x14ac:dyDescent="0.25">
      <c r="A20" s="15" t="s">
        <v>3</v>
      </c>
      <c r="B20" s="33"/>
      <c r="C20" s="33"/>
      <c r="D20" s="34"/>
      <c r="E20" s="35"/>
      <c r="F20" s="34"/>
      <c r="G20" s="34"/>
      <c r="H20" s="35"/>
      <c r="I20" s="17" t="s">
        <v>4</v>
      </c>
    </row>
    <row r="21" spans="1:9" ht="18.75" x14ac:dyDescent="0.25">
      <c r="A21" s="14"/>
      <c r="B21" s="15"/>
      <c r="C21" s="36"/>
      <c r="D21" s="36"/>
      <c r="E21" s="36"/>
      <c r="F21" s="36"/>
      <c r="G21" s="36"/>
      <c r="H21" s="16"/>
      <c r="I21" s="14"/>
    </row>
  </sheetData>
  <mergeCells count="6">
    <mergeCell ref="A2:I2"/>
    <mergeCell ref="A3:H3"/>
    <mergeCell ref="A4:G4"/>
    <mergeCell ref="C5:E5"/>
    <mergeCell ref="F5:H5"/>
    <mergeCell ref="I5:I6"/>
  </mergeCells>
  <pageMargins left="0.7" right="0.7" top="0.75" bottom="0.75" header="0.3" footer="0.3"/>
  <pageSetup paperSize="9" scale="7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11.21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2019-05-13T06:26:02Z</cp:lastPrinted>
  <dcterms:created xsi:type="dcterms:W3CDTF">2019-03-24T03:32:16Z</dcterms:created>
  <dcterms:modified xsi:type="dcterms:W3CDTF">2019-05-13T06:26:41Z</dcterms:modified>
</cp:coreProperties>
</file>