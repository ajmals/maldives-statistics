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15" sheetId="4" r:id="rId1"/>
  </sheets>
  <externalReferences>
    <externalReference r:id="rId2"/>
    <externalReference r:id="rId3"/>
  </externalReferences>
  <definedNames>
    <definedName name="_xlnm.Print_Area" localSheetId="0">'11.15'!$A$1:$AB$38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0" i="4" l="1"/>
  <c r="AP29" i="4"/>
  <c r="AO29" i="4"/>
  <c r="AO27" i="4"/>
  <c r="AP26" i="4"/>
  <c r="AO26" i="4"/>
  <c r="AO25" i="4"/>
  <c r="AP24" i="4"/>
  <c r="AO24" i="4"/>
  <c r="AQ23" i="4"/>
  <c r="AP23" i="4"/>
  <c r="AO23" i="4"/>
  <c r="AO22" i="4"/>
  <c r="AA8" i="4"/>
  <c r="AQ30" i="4" s="1"/>
  <c r="Z8" i="4"/>
  <c r="AP30" i="4" s="1"/>
  <c r="X8" i="4"/>
  <c r="AQ29" i="4" s="1"/>
  <c r="W8" i="4"/>
  <c r="U8" i="4"/>
  <c r="AQ28" i="4" s="1"/>
  <c r="T8" i="4"/>
  <c r="AP28" i="4" s="1"/>
  <c r="R8" i="4"/>
  <c r="AQ27" i="4" s="1"/>
  <c r="Q8" i="4"/>
  <c r="AP27" i="4" s="1"/>
  <c r="O8" i="4"/>
  <c r="AQ26" i="4" s="1"/>
  <c r="N8" i="4"/>
  <c r="L8" i="4"/>
  <c r="AQ25" i="4" s="1"/>
  <c r="K8" i="4"/>
  <c r="AP25" i="4" s="1"/>
  <c r="I8" i="4"/>
  <c r="AQ24" i="4" s="1"/>
  <c r="H8" i="4"/>
  <c r="F8" i="4"/>
  <c r="E8" i="4"/>
  <c r="C8" i="4"/>
  <c r="AQ22" i="4" s="1"/>
  <c r="B8" i="4"/>
  <c r="AP22" i="4" s="1"/>
  <c r="AQ32" i="4" l="1"/>
  <c r="AP32" i="4"/>
  <c r="AR32" i="4" s="1"/>
</calcChain>
</file>

<file path=xl/sharedStrings.xml><?xml version="1.0" encoding="utf-8"?>
<sst xmlns="http://schemas.openxmlformats.org/spreadsheetml/2006/main" count="89" uniqueCount="55">
  <si>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</si>
  <si>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</si>
  <si>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</si>
  <si>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</si>
  <si>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</si>
  <si>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</si>
  <si>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</si>
  <si>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</si>
  <si>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</si>
  <si>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</si>
  <si>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</si>
  <si>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</si>
  <si>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</si>
  <si>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</si>
  <si>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</si>
  <si>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</si>
  <si>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</si>
  <si>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</si>
  <si>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</si>
  <si>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</si>
  <si>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</si>
  <si>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</si>
  <si>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</si>
  <si>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</si>
  <si>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</si>
  <si>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</si>
  <si>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</si>
  <si>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</si>
  <si>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</si>
  <si>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</si>
  <si>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</si>
  <si>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2018 ,ctogiruh urutwfurutwd egcnurwjcniswf iawgukwturwdnwb egiawv egEjcaWr cnutogeguhwmcswm  :11.15 ulwvWt</t>
  </si>
  <si>
    <t>Table 11.15 :  PASSENGER MOVEMENTS AT DOMESTIC AIRPORTS BY MONTH, 2018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</si>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</sst>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9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b/>
      <sz val="10.5"/>
      <name val="A_Randhoo Aa"/>
    </font>
    <font>
      <b/>
      <sz val="10.5"/>
      <name val="A_Reethi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</cellStyleXfs>
  <cellXfs count="4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7" fillId="2" borderId="0" xfId="2" applyNumberFormat="1" applyFont="1" applyFill="1" applyBorder="1" applyAlignment="1">
      <alignment horizontal="right" vertical="center"/>
    </xf>
    <xf numFmtId="164" fontId="8" fillId="2" borderId="0" xfId="0" applyNumberFormat="1" applyFont="1" applyFill="1"/>
    <xf numFmtId="164" fontId="9" fillId="2" borderId="0" xfId="2" applyNumberFormat="1" applyFont="1" applyFill="1" applyBorder="1" applyAlignment="1" applyProtection="1">
      <alignment horizontal="left" vertical="center"/>
    </xf>
    <xf numFmtId="164" fontId="11" fillId="2" borderId="0" xfId="2" applyNumberFormat="1" applyFont="1" applyFill="1" applyBorder="1" applyAlignment="1" applyProtection="1">
      <alignment horizontal="left" vertical="center"/>
    </xf>
    <xf numFmtId="164" fontId="14" fillId="2" borderId="0" xfId="2" applyNumberFormat="1" applyFont="1" applyFill="1" applyAlignment="1" applyProtection="1">
      <alignment horizontal="left" vertical="center"/>
    </xf>
    <xf numFmtId="0" fontId="13" fillId="2" borderId="3" xfId="0" applyNumberFormat="1" applyFont="1" applyFill="1" applyBorder="1" applyAlignment="1">
      <alignment horizontal="right" vertical="center"/>
    </xf>
    <xf numFmtId="164" fontId="11" fillId="2" borderId="1" xfId="2" applyNumberFormat="1" applyFont="1" applyFill="1" applyBorder="1" applyAlignment="1" applyProtection="1">
      <alignment horizontal="left" vertical="center"/>
    </xf>
    <xf numFmtId="164" fontId="2" fillId="2" borderId="0" xfId="0" applyNumberFormat="1" applyFont="1" applyFill="1"/>
    <xf numFmtId="0" fontId="13" fillId="2" borderId="0" xfId="0" applyNumberFormat="1" applyFont="1" applyFill="1" applyBorder="1" applyAlignment="1">
      <alignment horizontal="right" vertical="center"/>
    </xf>
    <xf numFmtId="164" fontId="15" fillId="2" borderId="5" xfId="2" applyNumberFormat="1" applyFont="1" applyFill="1" applyBorder="1" applyAlignment="1">
      <alignment horizontal="center" vertical="center"/>
    </xf>
    <xf numFmtId="164" fontId="16" fillId="2" borderId="5" xfId="2" applyNumberFormat="1" applyFont="1" applyFill="1" applyBorder="1" applyAlignment="1">
      <alignment horizontal="center" vertical="center"/>
    </xf>
    <xf numFmtId="164" fontId="17" fillId="2" borderId="0" xfId="2" applyNumberFormat="1" applyFont="1" applyFill="1" applyBorder="1" applyAlignment="1">
      <alignment horizontal="center" vertical="center" wrapText="1"/>
    </xf>
    <xf numFmtId="164" fontId="18" fillId="2" borderId="0" xfId="0" applyNumberFormat="1" applyFont="1" applyFill="1"/>
    <xf numFmtId="164" fontId="15" fillId="2" borderId="0" xfId="2" applyNumberFormat="1" applyFont="1" applyFill="1" applyBorder="1" applyAlignment="1">
      <alignment horizontal="right" vertical="center"/>
    </xf>
    <xf numFmtId="164" fontId="17" fillId="2" borderId="1" xfId="2" applyNumberFormat="1" applyFont="1" applyFill="1" applyBorder="1" applyAlignment="1">
      <alignment horizontal="right" vertical="center"/>
    </xf>
    <xf numFmtId="3" fontId="9" fillId="2" borderId="6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Border="1" applyAlignment="1">
      <alignment horizontal="right" vertical="center"/>
    </xf>
    <xf numFmtId="3" fontId="11" fillId="2" borderId="2" xfId="2" applyNumberFormat="1" applyFont="1" applyFill="1" applyBorder="1" applyAlignment="1">
      <alignment horizontal="right" vertical="center"/>
    </xf>
    <xf numFmtId="3" fontId="11" fillId="2" borderId="2" xfId="3" applyNumberFormat="1" applyFont="1" applyFill="1" applyBorder="1" applyAlignment="1">
      <alignment horizontal="right" vertical="center"/>
    </xf>
    <xf numFmtId="3" fontId="11" fillId="2" borderId="0" xfId="2" applyNumberFormat="1" applyFont="1" applyFill="1" applyBorder="1" applyAlignment="1">
      <alignment horizontal="right" vertical="center"/>
    </xf>
    <xf numFmtId="164" fontId="12" fillId="2" borderId="0" xfId="2" applyNumberFormat="1" applyFont="1" applyFill="1" applyBorder="1" applyAlignment="1">
      <alignment horizontal="right" vertical="center"/>
    </xf>
    <xf numFmtId="3" fontId="11" fillId="2" borderId="4" xfId="2" applyNumberFormat="1" applyFont="1" applyFill="1" applyBorder="1" applyAlignment="1">
      <alignment horizontal="right" vertical="center"/>
    </xf>
    <xf numFmtId="3" fontId="11" fillId="2" borderId="4" xfId="3" applyNumberFormat="1" applyFont="1" applyFill="1" applyBorder="1" applyAlignment="1">
      <alignment horizontal="right" vertical="center"/>
    </xf>
    <xf numFmtId="3" fontId="11" fillId="2" borderId="1" xfId="2" applyNumberFormat="1" applyFont="1" applyFill="1" applyBorder="1" applyAlignment="1">
      <alignment horizontal="right" vertical="center"/>
    </xf>
    <xf numFmtId="164" fontId="12" fillId="2" borderId="1" xfId="2" applyNumberFormat="1" applyFont="1" applyFill="1" applyBorder="1" applyAlignment="1">
      <alignment horizontal="right" vertical="center"/>
    </xf>
    <xf numFmtId="164" fontId="6" fillId="2" borderId="1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NumberFormat="1" applyFont="1" applyFill="1" applyAlignment="1" applyProtection="1">
      <alignment horizontal="left" vertical="center"/>
    </xf>
    <xf numFmtId="37" fontId="5" fillId="2" borderId="0" xfId="2" applyNumberFormat="1" applyFont="1" applyFill="1" applyAlignment="1" applyProtection="1">
      <alignment vertical="center"/>
    </xf>
    <xf numFmtId="164" fontId="12" fillId="2" borderId="0" xfId="2" applyNumberFormat="1" applyFont="1" applyFill="1" applyBorder="1" applyAlignment="1"/>
    <xf numFmtId="0" fontId="12" fillId="2" borderId="0" xfId="4" applyFont="1" applyFill="1" applyAlignment="1">
      <alignment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4" fillId="2" borderId="0" xfId="2" applyNumberFormat="1" applyFont="1" applyFill="1" applyBorder="1" applyAlignment="1">
      <alignment horizontal="center" vertical="center"/>
    </xf>
    <xf numFmtId="164" fontId="9" fillId="2" borderId="5" xfId="2" applyNumberFormat="1" applyFont="1" applyFill="1" applyBorder="1" applyAlignment="1">
      <alignment horizontal="left" vertical="center"/>
    </xf>
    <xf numFmtId="164" fontId="9" fillId="2" borderId="0" xfId="2" applyNumberFormat="1" applyFont="1" applyFill="1" applyBorder="1" applyAlignment="1">
      <alignment horizontal="left" vertical="center"/>
    </xf>
    <xf numFmtId="164" fontId="9" fillId="2" borderId="1" xfId="2" applyNumberFormat="1" applyFont="1" applyFill="1" applyBorder="1" applyAlignment="1">
      <alignment horizontal="left" vertical="center"/>
    </xf>
    <xf numFmtId="164" fontId="15" fillId="2" borderId="5" xfId="2" applyNumberFormat="1" applyFont="1" applyFill="1" applyBorder="1" applyAlignment="1">
      <alignment horizontal="center" vertical="center"/>
    </xf>
    <xf numFmtId="164" fontId="16" fillId="2" borderId="5" xfId="2" applyNumberFormat="1" applyFont="1" applyFill="1" applyBorder="1" applyAlignment="1">
      <alignment horizontal="center" vertical="center"/>
    </xf>
    <xf numFmtId="164" fontId="17" fillId="2" borderId="1" xfId="2" applyNumberFormat="1" applyFont="1" applyFill="1" applyBorder="1" applyAlignment="1">
      <alignment horizontal="center" vertical="center" wrapText="1"/>
    </xf>
    <xf numFmtId="164" fontId="7" fillId="2" borderId="5" xfId="2" applyNumberFormat="1" applyFont="1" applyFill="1" applyBorder="1" applyAlignment="1">
      <alignment horizontal="right" vertical="center"/>
    </xf>
    <xf numFmtId="164" fontId="7" fillId="2" borderId="0" xfId="2" applyNumberFormat="1" applyFont="1" applyFill="1" applyBorder="1" applyAlignment="1">
      <alignment horizontal="right" vertical="center"/>
    </xf>
    <xf numFmtId="164" fontId="7" fillId="2" borderId="1" xfId="2" applyNumberFormat="1" applyFont="1" applyFill="1" applyBorder="1" applyAlignment="1">
      <alignment horizontal="right" vertical="center"/>
    </xf>
  </cellXfs>
  <cellStyles count="12">
    <cellStyle name="Comma" xfId="1" builtinId="3"/>
    <cellStyle name="Comma 2" xfId="3"/>
    <cellStyle name="Comma 4" xfId="7"/>
    <cellStyle name="Hyperlink 2" xfId="8"/>
    <cellStyle name="Normal" xfId="0" builtinId="0"/>
    <cellStyle name="Normal 2" xfId="2"/>
    <cellStyle name="Normal 2 3" xfId="10"/>
    <cellStyle name="Normal 3" xfId="5"/>
    <cellStyle name="Normal 3 2" xfId="11"/>
    <cellStyle name="Normal 4" xfId="6"/>
    <cellStyle name="Normal 5" xfId="9"/>
    <cellStyle name="Normal_IX-6(Trans &amp; Comm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2018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'[1]11.15'!$AO$22:$AO$30</c:f>
              <c:strCache>
                <c:ptCount val="9"/>
                <c:pt idx="0">
                  <c:v>L.Kadhdhoo</c:v>
                </c:pt>
                <c:pt idx="1">
                  <c:v>GDh.Kaadedhdhoo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'[1]11.15'!$AP$22:$AP$30</c:f>
              <c:numCache>
                <c:formatCode>General</c:formatCode>
                <c:ptCount val="9"/>
                <c:pt idx="0">
                  <c:v>74880</c:v>
                </c:pt>
                <c:pt idx="1">
                  <c:v>35462</c:v>
                </c:pt>
                <c:pt idx="2">
                  <c:v>20244</c:v>
                </c:pt>
                <c:pt idx="3">
                  <c:v>105807</c:v>
                </c:pt>
                <c:pt idx="4">
                  <c:v>112756</c:v>
                </c:pt>
                <c:pt idx="5">
                  <c:v>42548</c:v>
                </c:pt>
                <c:pt idx="6">
                  <c:v>5977</c:v>
                </c:pt>
                <c:pt idx="7">
                  <c:v>36566</c:v>
                </c:pt>
                <c:pt idx="8">
                  <c:v>23329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'[1]11.15'!$AQ$21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'[1]11.15'!$AO$22:$AO$30</c:f>
              <c:strCache>
                <c:ptCount val="9"/>
                <c:pt idx="0">
                  <c:v>L.Kadhdhoo</c:v>
                </c:pt>
                <c:pt idx="1">
                  <c:v>GDh.Kaadedhdhoo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'[1]11.15'!$AQ$22:$AQ$30</c:f>
              <c:numCache>
                <c:formatCode>General</c:formatCode>
                <c:ptCount val="9"/>
                <c:pt idx="0">
                  <c:v>75166</c:v>
                </c:pt>
                <c:pt idx="1">
                  <c:v>35534</c:v>
                </c:pt>
                <c:pt idx="2">
                  <c:v>20569</c:v>
                </c:pt>
                <c:pt idx="3">
                  <c:v>102744</c:v>
                </c:pt>
                <c:pt idx="4">
                  <c:v>109970</c:v>
                </c:pt>
                <c:pt idx="5">
                  <c:v>42625</c:v>
                </c:pt>
                <c:pt idx="6">
                  <c:v>5342</c:v>
                </c:pt>
                <c:pt idx="7">
                  <c:v>35169</c:v>
                </c:pt>
                <c:pt idx="8">
                  <c:v>22713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245760"/>
        <c:axId val="66247296"/>
      </c:barChart>
      <c:catAx>
        <c:axId val="6624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66247296"/>
        <c:crosses val="autoZero"/>
        <c:auto val="1"/>
        <c:lblAlgn val="ctr"/>
        <c:lblOffset val="100"/>
        <c:noMultiLvlLbl val="0"/>
      </c:catAx>
      <c:valAx>
        <c:axId val="662472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662457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18184</xdr:rowOff>
    </xdr:from>
    <xdr:to>
      <xdr:col>23</xdr:col>
      <xdr:colOff>285750</xdr:colOff>
      <xdr:row>37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32"/>
  <sheetViews>
    <sheetView tabSelected="1" zoomScaleNormal="100" workbookViewId="0">
      <selection activeCell="AA28" sqref="AA28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18.7109375" style="1" customWidth="1"/>
    <col min="42" max="16384" width="9.140625" style="1"/>
  </cols>
  <sheetData>
    <row r="1" spans="1:29" ht="19.5" x14ac:dyDescent="0.25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29" ht="15.75" x14ac:dyDescent="0.25">
      <c r="A2" s="35" t="s">
        <v>32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 spans="1:29" s="2" customFormat="1" x14ac:dyDescent="0.25"/>
    <row r="4" spans="1:29" s="10" customFormat="1" ht="19.5" x14ac:dyDescent="0.15">
      <c r="A4" s="36" t="s">
        <v>8</v>
      </c>
      <c r="B4" s="39" t="s">
        <v>33</v>
      </c>
      <c r="C4" s="39"/>
      <c r="D4" s="12"/>
      <c r="E4" s="39" t="s">
        <v>34</v>
      </c>
      <c r="F4" s="39"/>
      <c r="G4" s="12"/>
      <c r="H4" s="40" t="s">
        <v>35</v>
      </c>
      <c r="I4" s="40"/>
      <c r="J4" s="13"/>
      <c r="K4" s="40" t="s">
        <v>36</v>
      </c>
      <c r="L4" s="40"/>
      <c r="M4" s="13"/>
      <c r="N4" s="40" t="s">
        <v>37</v>
      </c>
      <c r="O4" s="40"/>
      <c r="P4" s="13"/>
      <c r="Q4" s="40" t="s">
        <v>38</v>
      </c>
      <c r="R4" s="40"/>
      <c r="S4" s="13"/>
      <c r="T4" s="40" t="s">
        <v>39</v>
      </c>
      <c r="U4" s="40"/>
      <c r="V4" s="13"/>
      <c r="W4" s="40" t="s">
        <v>40</v>
      </c>
      <c r="X4" s="40"/>
      <c r="Y4" s="13"/>
      <c r="Z4" s="40" t="s">
        <v>41</v>
      </c>
      <c r="AA4" s="40"/>
      <c r="AB4" s="42" t="s">
        <v>9</v>
      </c>
    </row>
    <row r="5" spans="1:29" s="15" customFormat="1" ht="15" customHeight="1" x14ac:dyDescent="0.25">
      <c r="A5" s="37"/>
      <c r="B5" s="41" t="s">
        <v>42</v>
      </c>
      <c r="C5" s="41"/>
      <c r="D5" s="14"/>
      <c r="E5" s="41" t="s">
        <v>43</v>
      </c>
      <c r="F5" s="41"/>
      <c r="G5" s="14"/>
      <c r="H5" s="41" t="s">
        <v>44</v>
      </c>
      <c r="I5" s="41"/>
      <c r="J5" s="14"/>
      <c r="K5" s="41" t="s">
        <v>45</v>
      </c>
      <c r="L5" s="41"/>
      <c r="M5" s="14"/>
      <c r="N5" s="41" t="s">
        <v>46</v>
      </c>
      <c r="O5" s="41"/>
      <c r="P5" s="14"/>
      <c r="Q5" s="41" t="s">
        <v>47</v>
      </c>
      <c r="R5" s="41"/>
      <c r="S5" s="14"/>
      <c r="T5" s="41" t="s">
        <v>48</v>
      </c>
      <c r="U5" s="41"/>
      <c r="V5" s="14"/>
      <c r="W5" s="41" t="s">
        <v>49</v>
      </c>
      <c r="X5" s="41"/>
      <c r="Y5" s="14"/>
      <c r="Z5" s="41" t="s">
        <v>50</v>
      </c>
      <c r="AA5" s="41"/>
      <c r="AB5" s="43"/>
      <c r="AC5" s="4"/>
    </row>
    <row r="6" spans="1:29" s="15" customFormat="1" ht="15.75" x14ac:dyDescent="0.2">
      <c r="A6" s="37"/>
      <c r="B6" s="16" t="s">
        <v>0</v>
      </c>
      <c r="C6" s="16" t="s">
        <v>1</v>
      </c>
      <c r="D6" s="16"/>
      <c r="E6" s="16" t="s">
        <v>0</v>
      </c>
      <c r="F6" s="16" t="s">
        <v>1</v>
      </c>
      <c r="G6" s="16"/>
      <c r="H6" s="16" t="s">
        <v>0</v>
      </c>
      <c r="I6" s="16" t="s">
        <v>1</v>
      </c>
      <c r="J6" s="16"/>
      <c r="K6" s="16" t="s">
        <v>0</v>
      </c>
      <c r="L6" s="16" t="s">
        <v>1</v>
      </c>
      <c r="M6" s="16"/>
      <c r="N6" s="16" t="s">
        <v>0</v>
      </c>
      <c r="O6" s="16" t="s">
        <v>1</v>
      </c>
      <c r="P6" s="16"/>
      <c r="Q6" s="16" t="s">
        <v>0</v>
      </c>
      <c r="R6" s="16" t="s">
        <v>1</v>
      </c>
      <c r="S6" s="16"/>
      <c r="T6" s="16" t="s">
        <v>0</v>
      </c>
      <c r="U6" s="16" t="s">
        <v>1</v>
      </c>
      <c r="V6" s="16"/>
      <c r="W6" s="16" t="s">
        <v>0</v>
      </c>
      <c r="X6" s="16" t="s">
        <v>1</v>
      </c>
      <c r="Y6" s="16"/>
      <c r="Z6" s="16" t="s">
        <v>0</v>
      </c>
      <c r="AA6" s="16" t="s">
        <v>1</v>
      </c>
      <c r="AB6" s="43"/>
    </row>
    <row r="7" spans="1:29" s="15" customFormat="1" ht="14.25" x14ac:dyDescent="0.2">
      <c r="A7" s="38"/>
      <c r="B7" s="17" t="s">
        <v>2</v>
      </c>
      <c r="C7" s="17" t="s">
        <v>3</v>
      </c>
      <c r="D7" s="17"/>
      <c r="E7" s="17" t="s">
        <v>2</v>
      </c>
      <c r="F7" s="17" t="s">
        <v>3</v>
      </c>
      <c r="G7" s="17"/>
      <c r="H7" s="17" t="s">
        <v>2</v>
      </c>
      <c r="I7" s="17" t="s">
        <v>3</v>
      </c>
      <c r="J7" s="17"/>
      <c r="K7" s="17" t="s">
        <v>2</v>
      </c>
      <c r="L7" s="17" t="s">
        <v>3</v>
      </c>
      <c r="M7" s="17"/>
      <c r="N7" s="17" t="s">
        <v>2</v>
      </c>
      <c r="O7" s="17" t="s">
        <v>3</v>
      </c>
      <c r="P7" s="17"/>
      <c r="Q7" s="17" t="s">
        <v>2</v>
      </c>
      <c r="R7" s="17" t="s">
        <v>3</v>
      </c>
      <c r="S7" s="17"/>
      <c r="T7" s="17" t="s">
        <v>2</v>
      </c>
      <c r="U7" s="17" t="s">
        <v>3</v>
      </c>
      <c r="V7" s="17"/>
      <c r="W7" s="17" t="s">
        <v>2</v>
      </c>
      <c r="X7" s="17" t="s">
        <v>3</v>
      </c>
      <c r="Y7" s="17"/>
      <c r="Z7" s="17" t="s">
        <v>2</v>
      </c>
      <c r="AA7" s="17" t="s">
        <v>3</v>
      </c>
      <c r="AB7" s="44"/>
    </row>
    <row r="8" spans="1:29" s="10" customFormat="1" ht="15.75" x14ac:dyDescent="0.15">
      <c r="A8" s="5" t="s">
        <v>4</v>
      </c>
      <c r="B8" s="18">
        <f>SUM(B9:B20)</f>
        <v>74880</v>
      </c>
      <c r="C8" s="18">
        <f>SUM(C9:C20)</f>
        <v>75166</v>
      </c>
      <c r="D8" s="18"/>
      <c r="E8" s="18">
        <f>SUM(E9:E20)</f>
        <v>35462</v>
      </c>
      <c r="F8" s="18">
        <f>SUM(F9:F20)</f>
        <v>35534</v>
      </c>
      <c r="G8" s="18"/>
      <c r="H8" s="18">
        <f>SUM(H9:H20)</f>
        <v>20244</v>
      </c>
      <c r="I8" s="18">
        <f>SUM(I9:I20)</f>
        <v>20569</v>
      </c>
      <c r="J8" s="18"/>
      <c r="K8" s="18">
        <f>SUM(K9:K20)</f>
        <v>105807</v>
      </c>
      <c r="L8" s="18">
        <f>SUM(L9:L20)</f>
        <v>102744</v>
      </c>
      <c r="M8" s="18"/>
      <c r="N8" s="18">
        <f>SUM(N9:N20)</f>
        <v>112756</v>
      </c>
      <c r="O8" s="18">
        <f>SUM(O9:O20)</f>
        <v>109970</v>
      </c>
      <c r="P8" s="18"/>
      <c r="Q8" s="18">
        <f>SUM(Q9:Q20)</f>
        <v>42548</v>
      </c>
      <c r="R8" s="18">
        <f>SUM(R9:R20)</f>
        <v>42625</v>
      </c>
      <c r="S8" s="18"/>
      <c r="T8" s="18">
        <f>SUM(T9:T20)</f>
        <v>5977</v>
      </c>
      <c r="U8" s="18">
        <f>SUM(U9:U20)</f>
        <v>5342</v>
      </c>
      <c r="V8" s="18"/>
      <c r="W8" s="18">
        <f>SUM(W9:W20)</f>
        <v>36566</v>
      </c>
      <c r="X8" s="18">
        <f>SUM(X9:X20)</f>
        <v>35169</v>
      </c>
      <c r="Y8" s="19"/>
      <c r="Z8" s="18">
        <f>SUM(Z9:Z20)</f>
        <v>23329</v>
      </c>
      <c r="AA8" s="18">
        <f>SUM(AA9:AA20)</f>
        <v>22713</v>
      </c>
      <c r="AB8" s="3" t="s">
        <v>5</v>
      </c>
    </row>
    <row r="9" spans="1:29" s="10" customFormat="1" ht="15.75" x14ac:dyDescent="0.15">
      <c r="A9" s="6" t="s">
        <v>10</v>
      </c>
      <c r="B9" s="20">
        <v>6791</v>
      </c>
      <c r="C9" s="20">
        <v>7053</v>
      </c>
      <c r="D9" s="20"/>
      <c r="E9" s="21">
        <v>3495</v>
      </c>
      <c r="F9" s="21">
        <v>3729</v>
      </c>
      <c r="G9" s="21"/>
      <c r="H9" s="20">
        <v>1599</v>
      </c>
      <c r="I9" s="20">
        <v>1388</v>
      </c>
      <c r="J9" s="20"/>
      <c r="K9" s="20">
        <v>9257</v>
      </c>
      <c r="L9" s="20">
        <v>9317</v>
      </c>
      <c r="M9" s="20"/>
      <c r="N9" s="20">
        <v>10095</v>
      </c>
      <c r="O9" s="20">
        <v>10274</v>
      </c>
      <c r="P9" s="20"/>
      <c r="Q9" s="20">
        <v>4296</v>
      </c>
      <c r="R9" s="20">
        <v>4371</v>
      </c>
      <c r="S9" s="20"/>
      <c r="T9" s="20">
        <v>744</v>
      </c>
      <c r="U9" s="20">
        <v>506</v>
      </c>
      <c r="V9" s="20"/>
      <c r="W9" s="20">
        <v>2857</v>
      </c>
      <c r="X9" s="20">
        <v>2789</v>
      </c>
      <c r="Y9" s="22"/>
      <c r="Z9" s="22">
        <v>1871</v>
      </c>
      <c r="AA9" s="22">
        <v>2008</v>
      </c>
      <c r="AB9" s="23" t="s">
        <v>11</v>
      </c>
    </row>
    <row r="10" spans="1:29" s="10" customFormat="1" ht="15.75" x14ac:dyDescent="0.15">
      <c r="A10" s="6" t="s">
        <v>12</v>
      </c>
      <c r="B10" s="20">
        <v>6407</v>
      </c>
      <c r="C10" s="20">
        <v>6232</v>
      </c>
      <c r="D10" s="20"/>
      <c r="E10" s="21">
        <v>2554</v>
      </c>
      <c r="F10" s="21">
        <v>2335</v>
      </c>
      <c r="G10" s="21"/>
      <c r="H10" s="20">
        <v>1223</v>
      </c>
      <c r="I10" s="20">
        <v>1162</v>
      </c>
      <c r="J10" s="20"/>
      <c r="K10" s="20">
        <v>8027</v>
      </c>
      <c r="L10" s="20">
        <v>7571</v>
      </c>
      <c r="M10" s="20"/>
      <c r="N10" s="20">
        <v>9394</v>
      </c>
      <c r="O10" s="20">
        <v>9504</v>
      </c>
      <c r="P10" s="20"/>
      <c r="Q10" s="20">
        <v>4072</v>
      </c>
      <c r="R10" s="20">
        <v>3893</v>
      </c>
      <c r="S10" s="20"/>
      <c r="T10" s="20">
        <v>744</v>
      </c>
      <c r="U10" s="20">
        <v>506</v>
      </c>
      <c r="V10" s="20"/>
      <c r="W10" s="20">
        <v>3489</v>
      </c>
      <c r="X10" s="20">
        <v>3097</v>
      </c>
      <c r="Y10" s="22"/>
      <c r="Z10" s="22">
        <v>2734</v>
      </c>
      <c r="AA10" s="22">
        <v>2514</v>
      </c>
      <c r="AB10" s="23" t="s">
        <v>13</v>
      </c>
    </row>
    <row r="11" spans="1:29" s="10" customFormat="1" ht="15.75" x14ac:dyDescent="0.15">
      <c r="A11" s="6" t="s">
        <v>14</v>
      </c>
      <c r="B11" s="20">
        <v>6155</v>
      </c>
      <c r="C11" s="20">
        <v>6776</v>
      </c>
      <c r="D11" s="20"/>
      <c r="E11" s="21">
        <v>2920</v>
      </c>
      <c r="F11" s="21">
        <v>3025</v>
      </c>
      <c r="G11" s="21"/>
      <c r="H11" s="20">
        <v>1704</v>
      </c>
      <c r="I11" s="20">
        <v>1820</v>
      </c>
      <c r="J11" s="20"/>
      <c r="K11" s="20">
        <v>8265</v>
      </c>
      <c r="L11" s="20">
        <v>8441</v>
      </c>
      <c r="M11" s="20"/>
      <c r="N11" s="20">
        <v>9397</v>
      </c>
      <c r="O11" s="20">
        <v>9215</v>
      </c>
      <c r="P11" s="20"/>
      <c r="Q11" s="20">
        <v>4168</v>
      </c>
      <c r="R11" s="20">
        <v>4302</v>
      </c>
      <c r="S11" s="20"/>
      <c r="T11" s="20">
        <v>369</v>
      </c>
      <c r="U11" s="20">
        <v>355</v>
      </c>
      <c r="V11" s="20"/>
      <c r="W11" s="20">
        <v>2528</v>
      </c>
      <c r="X11" s="20">
        <v>2396</v>
      </c>
      <c r="Y11" s="22"/>
      <c r="Z11" s="22">
        <v>1940</v>
      </c>
      <c r="AA11" s="22">
        <v>1741</v>
      </c>
      <c r="AB11" s="23" t="s">
        <v>15</v>
      </c>
    </row>
    <row r="12" spans="1:29" s="10" customFormat="1" ht="15.75" x14ac:dyDescent="0.15">
      <c r="A12" s="6" t="s">
        <v>16</v>
      </c>
      <c r="B12" s="20">
        <v>6992</v>
      </c>
      <c r="C12" s="20">
        <v>6809</v>
      </c>
      <c r="D12" s="20"/>
      <c r="E12" s="21">
        <v>2930</v>
      </c>
      <c r="F12" s="21">
        <v>2840</v>
      </c>
      <c r="G12" s="21"/>
      <c r="H12" s="20">
        <v>1681</v>
      </c>
      <c r="I12" s="20">
        <v>1487</v>
      </c>
      <c r="J12" s="20"/>
      <c r="K12" s="20">
        <v>7852</v>
      </c>
      <c r="L12" s="20">
        <v>7663</v>
      </c>
      <c r="M12" s="20"/>
      <c r="N12" s="20">
        <v>8121</v>
      </c>
      <c r="O12" s="20">
        <v>8400</v>
      </c>
      <c r="P12" s="20"/>
      <c r="Q12" s="20">
        <v>3318</v>
      </c>
      <c r="R12" s="20">
        <v>3305</v>
      </c>
      <c r="S12" s="20"/>
      <c r="T12" s="20">
        <v>359</v>
      </c>
      <c r="U12" s="20">
        <v>353</v>
      </c>
      <c r="V12" s="20"/>
      <c r="W12" s="20">
        <v>2238</v>
      </c>
      <c r="X12" s="20">
        <v>2201</v>
      </c>
      <c r="Y12" s="22"/>
      <c r="Z12" s="22">
        <v>1803</v>
      </c>
      <c r="AA12" s="22">
        <v>1901</v>
      </c>
      <c r="AB12" s="23" t="s">
        <v>51</v>
      </c>
    </row>
    <row r="13" spans="1:29" s="10" customFormat="1" ht="15.75" x14ac:dyDescent="0.15">
      <c r="A13" s="6" t="s">
        <v>17</v>
      </c>
      <c r="B13" s="20">
        <v>4897</v>
      </c>
      <c r="C13" s="20">
        <v>5048</v>
      </c>
      <c r="D13" s="20"/>
      <c r="E13" s="21">
        <v>2398</v>
      </c>
      <c r="F13" s="21">
        <v>2189</v>
      </c>
      <c r="G13" s="21"/>
      <c r="H13" s="20">
        <v>1500</v>
      </c>
      <c r="I13" s="20">
        <v>1348</v>
      </c>
      <c r="J13" s="20"/>
      <c r="K13" s="20">
        <v>7494</v>
      </c>
      <c r="L13" s="20">
        <v>7532</v>
      </c>
      <c r="M13" s="20"/>
      <c r="N13" s="20">
        <v>6501</v>
      </c>
      <c r="O13" s="20">
        <v>7163</v>
      </c>
      <c r="P13" s="20"/>
      <c r="Q13" s="20">
        <v>2507</v>
      </c>
      <c r="R13" s="20">
        <v>2606</v>
      </c>
      <c r="S13" s="20"/>
      <c r="T13" s="20">
        <v>368</v>
      </c>
      <c r="U13" s="20">
        <v>300</v>
      </c>
      <c r="V13" s="20"/>
      <c r="W13" s="20">
        <v>2512</v>
      </c>
      <c r="X13" s="20">
        <v>2456</v>
      </c>
      <c r="Y13" s="22"/>
      <c r="Z13" s="22">
        <v>1331</v>
      </c>
      <c r="AA13" s="22">
        <v>1481</v>
      </c>
      <c r="AB13" s="23" t="s">
        <v>18</v>
      </c>
    </row>
    <row r="14" spans="1:29" s="10" customFormat="1" ht="15.75" x14ac:dyDescent="0.15">
      <c r="A14" s="6" t="s">
        <v>19</v>
      </c>
      <c r="B14" s="20">
        <v>4936</v>
      </c>
      <c r="C14" s="20">
        <v>5287</v>
      </c>
      <c r="D14" s="20"/>
      <c r="E14" s="21">
        <v>2542</v>
      </c>
      <c r="F14" s="21">
        <v>2709</v>
      </c>
      <c r="G14" s="21"/>
      <c r="H14" s="20">
        <v>1487</v>
      </c>
      <c r="I14" s="20">
        <v>1612</v>
      </c>
      <c r="J14" s="20"/>
      <c r="K14" s="20">
        <v>8348</v>
      </c>
      <c r="L14" s="20">
        <v>7935</v>
      </c>
      <c r="M14" s="20"/>
      <c r="N14" s="20">
        <v>7602</v>
      </c>
      <c r="O14" s="20">
        <v>7245</v>
      </c>
      <c r="P14" s="20"/>
      <c r="Q14" s="20">
        <v>2959</v>
      </c>
      <c r="R14" s="20">
        <v>2980</v>
      </c>
      <c r="S14" s="20"/>
      <c r="T14" s="20">
        <v>479</v>
      </c>
      <c r="U14" s="20">
        <v>470</v>
      </c>
      <c r="V14" s="20"/>
      <c r="W14" s="20">
        <v>3117</v>
      </c>
      <c r="X14" s="20">
        <v>2784</v>
      </c>
      <c r="Y14" s="22"/>
      <c r="Z14" s="22">
        <v>1378</v>
      </c>
      <c r="AA14" s="22">
        <v>1377</v>
      </c>
      <c r="AB14" s="23" t="s">
        <v>20</v>
      </c>
    </row>
    <row r="15" spans="1:29" s="10" customFormat="1" ht="15.75" x14ac:dyDescent="0.15">
      <c r="A15" s="6" t="s">
        <v>21</v>
      </c>
      <c r="B15" s="20">
        <v>5691</v>
      </c>
      <c r="C15" s="20">
        <v>5233</v>
      </c>
      <c r="D15" s="20"/>
      <c r="E15" s="21">
        <v>2686</v>
      </c>
      <c r="F15" s="21">
        <v>2730</v>
      </c>
      <c r="G15" s="21"/>
      <c r="H15" s="20">
        <v>1532</v>
      </c>
      <c r="I15" s="20">
        <v>1703</v>
      </c>
      <c r="J15" s="20"/>
      <c r="K15" s="20">
        <v>9471</v>
      </c>
      <c r="L15" s="20">
        <v>8826</v>
      </c>
      <c r="M15" s="20"/>
      <c r="N15" s="20">
        <v>10163</v>
      </c>
      <c r="O15" s="20">
        <v>9573</v>
      </c>
      <c r="P15" s="20"/>
      <c r="Q15" s="20">
        <v>3142</v>
      </c>
      <c r="R15" s="20">
        <v>3086</v>
      </c>
      <c r="S15" s="20"/>
      <c r="T15" s="20">
        <v>424</v>
      </c>
      <c r="U15" s="20">
        <v>451</v>
      </c>
      <c r="V15" s="20"/>
      <c r="W15" s="20">
        <v>3549</v>
      </c>
      <c r="X15" s="20">
        <v>3204</v>
      </c>
      <c r="Y15" s="22"/>
      <c r="Z15" s="22">
        <v>1596</v>
      </c>
      <c r="AA15" s="22">
        <v>1596</v>
      </c>
      <c r="AB15" s="23" t="s">
        <v>22</v>
      </c>
    </row>
    <row r="16" spans="1:29" s="10" customFormat="1" ht="15.75" x14ac:dyDescent="0.15">
      <c r="A16" s="6" t="s">
        <v>23</v>
      </c>
      <c r="B16" s="20">
        <v>6854</v>
      </c>
      <c r="C16" s="20">
        <v>6821</v>
      </c>
      <c r="D16" s="20"/>
      <c r="E16" s="21">
        <v>3655</v>
      </c>
      <c r="F16" s="21">
        <v>3635</v>
      </c>
      <c r="G16" s="21"/>
      <c r="H16" s="20">
        <v>1994</v>
      </c>
      <c r="I16" s="20">
        <v>1995</v>
      </c>
      <c r="J16" s="20"/>
      <c r="K16" s="20">
        <v>9992</v>
      </c>
      <c r="L16" s="20">
        <v>10293</v>
      </c>
      <c r="M16" s="20"/>
      <c r="N16" s="20">
        <v>11861</v>
      </c>
      <c r="O16" s="20">
        <v>11871</v>
      </c>
      <c r="P16" s="20"/>
      <c r="Q16" s="20">
        <v>3622</v>
      </c>
      <c r="R16" s="20">
        <v>3624</v>
      </c>
      <c r="S16" s="20"/>
      <c r="T16" s="20">
        <v>673</v>
      </c>
      <c r="U16" s="20">
        <v>579</v>
      </c>
      <c r="V16" s="20"/>
      <c r="W16" s="20">
        <v>3564</v>
      </c>
      <c r="X16" s="20">
        <v>3436</v>
      </c>
      <c r="Y16" s="22"/>
      <c r="Z16" s="22">
        <v>2111</v>
      </c>
      <c r="AA16" s="22">
        <v>2130</v>
      </c>
      <c r="AB16" s="23" t="s">
        <v>52</v>
      </c>
    </row>
    <row r="17" spans="1:44" s="10" customFormat="1" ht="15.75" x14ac:dyDescent="0.15">
      <c r="A17" s="6" t="s">
        <v>24</v>
      </c>
      <c r="B17" s="20">
        <v>6357</v>
      </c>
      <c r="C17" s="20">
        <v>6040</v>
      </c>
      <c r="D17" s="20"/>
      <c r="E17" s="21">
        <v>3233</v>
      </c>
      <c r="F17" s="21">
        <v>3447</v>
      </c>
      <c r="G17" s="21"/>
      <c r="H17" s="20">
        <v>1967</v>
      </c>
      <c r="I17" s="20">
        <v>1764</v>
      </c>
      <c r="J17" s="20"/>
      <c r="K17" s="20">
        <v>8648</v>
      </c>
      <c r="L17" s="20">
        <v>8103</v>
      </c>
      <c r="M17" s="20"/>
      <c r="N17" s="20">
        <v>9462</v>
      </c>
      <c r="O17" s="20">
        <v>8970</v>
      </c>
      <c r="P17" s="20"/>
      <c r="Q17" s="20">
        <v>3312</v>
      </c>
      <c r="R17" s="20">
        <v>3220</v>
      </c>
      <c r="S17" s="20"/>
      <c r="T17" s="20">
        <v>479</v>
      </c>
      <c r="U17" s="20">
        <v>473</v>
      </c>
      <c r="V17" s="20"/>
      <c r="W17" s="20">
        <v>2581</v>
      </c>
      <c r="X17" s="20">
        <v>2886</v>
      </c>
      <c r="Y17" s="22"/>
      <c r="Z17" s="22">
        <v>1701</v>
      </c>
      <c r="AA17" s="22">
        <v>1700</v>
      </c>
      <c r="AB17" s="23" t="s">
        <v>25</v>
      </c>
    </row>
    <row r="18" spans="1:44" s="10" customFormat="1" ht="15.75" x14ac:dyDescent="0.15">
      <c r="A18" s="6" t="s">
        <v>26</v>
      </c>
      <c r="B18" s="20">
        <v>5852</v>
      </c>
      <c r="C18" s="20">
        <v>6151</v>
      </c>
      <c r="D18" s="20"/>
      <c r="E18" s="21">
        <v>2012</v>
      </c>
      <c r="F18" s="21">
        <v>2225</v>
      </c>
      <c r="G18" s="21"/>
      <c r="H18" s="20">
        <v>1154</v>
      </c>
      <c r="I18" s="20">
        <v>1357</v>
      </c>
      <c r="J18" s="20"/>
      <c r="K18" s="20">
        <v>9301</v>
      </c>
      <c r="L18" s="20">
        <v>8660</v>
      </c>
      <c r="M18" s="20"/>
      <c r="N18" s="20">
        <v>10457</v>
      </c>
      <c r="O18" s="20">
        <v>9892</v>
      </c>
      <c r="P18" s="20"/>
      <c r="Q18" s="20">
        <v>3190</v>
      </c>
      <c r="R18" s="20">
        <v>3079</v>
      </c>
      <c r="S18" s="20"/>
      <c r="T18" s="20">
        <v>309</v>
      </c>
      <c r="U18" s="20">
        <v>357</v>
      </c>
      <c r="V18" s="20"/>
      <c r="W18" s="20">
        <v>3557</v>
      </c>
      <c r="X18" s="20">
        <v>3420</v>
      </c>
      <c r="Y18" s="22"/>
      <c r="Z18" s="22">
        <v>2025</v>
      </c>
      <c r="AA18" s="22">
        <v>1824</v>
      </c>
      <c r="AB18" s="23" t="s">
        <v>53</v>
      </c>
    </row>
    <row r="19" spans="1:44" s="10" customFormat="1" ht="15.75" x14ac:dyDescent="0.15">
      <c r="A19" s="6" t="s">
        <v>27</v>
      </c>
      <c r="B19" s="20">
        <v>6186</v>
      </c>
      <c r="C19" s="20">
        <v>6605</v>
      </c>
      <c r="D19" s="20"/>
      <c r="E19" s="21">
        <v>2958</v>
      </c>
      <c r="F19" s="21">
        <v>2957</v>
      </c>
      <c r="G19" s="21"/>
      <c r="H19" s="20">
        <v>1677</v>
      </c>
      <c r="I19" s="20">
        <v>2104</v>
      </c>
      <c r="J19" s="20"/>
      <c r="K19" s="20">
        <v>8976</v>
      </c>
      <c r="L19" s="20">
        <v>9107</v>
      </c>
      <c r="M19" s="20"/>
      <c r="N19" s="20">
        <v>9231</v>
      </c>
      <c r="O19" s="20">
        <v>8806</v>
      </c>
      <c r="P19" s="20"/>
      <c r="Q19" s="20">
        <v>3183</v>
      </c>
      <c r="R19" s="20">
        <v>3720</v>
      </c>
      <c r="S19" s="20"/>
      <c r="T19" s="20">
        <v>411</v>
      </c>
      <c r="U19" s="20">
        <v>435</v>
      </c>
      <c r="V19" s="20"/>
      <c r="W19" s="20">
        <v>3304</v>
      </c>
      <c r="X19" s="20">
        <v>3615</v>
      </c>
      <c r="Y19" s="22"/>
      <c r="Z19" s="22">
        <v>2124</v>
      </c>
      <c r="AA19" s="22">
        <v>1971</v>
      </c>
      <c r="AB19" s="23" t="s">
        <v>28</v>
      </c>
    </row>
    <row r="20" spans="1:44" s="10" customFormat="1" ht="15.75" x14ac:dyDescent="0.15">
      <c r="A20" s="9" t="s">
        <v>29</v>
      </c>
      <c r="B20" s="24">
        <v>7762</v>
      </c>
      <c r="C20" s="24">
        <v>7111</v>
      </c>
      <c r="D20" s="24"/>
      <c r="E20" s="25">
        <v>4079</v>
      </c>
      <c r="F20" s="25">
        <v>3713</v>
      </c>
      <c r="G20" s="25"/>
      <c r="H20" s="24">
        <v>2726</v>
      </c>
      <c r="I20" s="24">
        <v>2829</v>
      </c>
      <c r="J20" s="24"/>
      <c r="K20" s="24">
        <v>10176</v>
      </c>
      <c r="L20" s="24">
        <v>9296</v>
      </c>
      <c r="M20" s="24"/>
      <c r="N20" s="24">
        <v>10472</v>
      </c>
      <c r="O20" s="24">
        <v>9057</v>
      </c>
      <c r="P20" s="24"/>
      <c r="Q20" s="24">
        <v>4779</v>
      </c>
      <c r="R20" s="24">
        <v>4439</v>
      </c>
      <c r="S20" s="24"/>
      <c r="T20" s="24">
        <v>618</v>
      </c>
      <c r="U20" s="24">
        <v>557</v>
      </c>
      <c r="V20" s="24"/>
      <c r="W20" s="24">
        <v>3270</v>
      </c>
      <c r="X20" s="24">
        <v>2885</v>
      </c>
      <c r="Y20" s="26"/>
      <c r="Z20" s="26">
        <v>2715</v>
      </c>
      <c r="AA20" s="26">
        <v>2470</v>
      </c>
      <c r="AB20" s="27" t="s">
        <v>30</v>
      </c>
    </row>
    <row r="21" spans="1:44" ht="18.75" x14ac:dyDescent="0.25">
      <c r="A21" s="7" t="s">
        <v>6</v>
      </c>
      <c r="AB21" s="8" t="s">
        <v>7</v>
      </c>
      <c r="AO21" s="10"/>
      <c r="AP21" s="28" t="s">
        <v>2</v>
      </c>
      <c r="AQ21" s="28" t="s">
        <v>3</v>
      </c>
    </row>
    <row r="22" spans="1:44" ht="15" customHeight="1" x14ac:dyDescent="0.25">
      <c r="AN22" s="29"/>
      <c r="AO22" s="29" t="str">
        <f>B5</f>
        <v>L.Kadhdhoo</v>
      </c>
      <c r="AP22" s="1">
        <f>B8</f>
        <v>74880</v>
      </c>
      <c r="AQ22" s="1">
        <f>C8</f>
        <v>75166</v>
      </c>
    </row>
    <row r="23" spans="1:44" s="10" customFormat="1" ht="17.25" x14ac:dyDescent="0.4">
      <c r="B23" s="30"/>
      <c r="C23" s="31"/>
      <c r="D23" s="31"/>
      <c r="E23" s="31"/>
      <c r="F23" s="32"/>
      <c r="G23" s="32"/>
      <c r="R23" s="33"/>
      <c r="S23" s="33"/>
      <c r="U23" s="33"/>
      <c r="V23" s="33"/>
      <c r="X23" s="33"/>
      <c r="Y23" s="33"/>
      <c r="Z23" s="33"/>
      <c r="AA23" s="33"/>
      <c r="AB23" s="33"/>
      <c r="AE23" s="33"/>
      <c r="AM23" s="1"/>
      <c r="AN23" s="29"/>
      <c r="AO23" s="29" t="str">
        <f>E5</f>
        <v>GDh.Kaadedhdhoo</v>
      </c>
      <c r="AP23" s="1">
        <f>E8</f>
        <v>35462</v>
      </c>
      <c r="AQ23" s="1">
        <f>F8</f>
        <v>35534</v>
      </c>
    </row>
    <row r="24" spans="1:44" ht="18.75" x14ac:dyDescent="0.25">
      <c r="A24" s="6"/>
      <c r="Q24" s="11"/>
      <c r="T24" s="11"/>
      <c r="W24" s="11"/>
      <c r="AO24" s="10" t="str">
        <f>H5</f>
        <v xml:space="preserve">Gn.Fuvahmulah </v>
      </c>
      <c r="AP24" s="1">
        <f>H8</f>
        <v>20244</v>
      </c>
      <c r="AQ24" s="1">
        <f>I8</f>
        <v>20569</v>
      </c>
    </row>
    <row r="25" spans="1:44" s="10" customFormat="1" ht="17.25" x14ac:dyDescent="0.4">
      <c r="B25" s="30"/>
      <c r="C25" s="31"/>
      <c r="D25" s="31"/>
      <c r="E25" s="31"/>
      <c r="F25" s="32"/>
      <c r="G25" s="32"/>
      <c r="R25" s="33"/>
      <c r="S25" s="33"/>
      <c r="U25" s="33"/>
      <c r="V25" s="33"/>
      <c r="X25" s="33"/>
      <c r="Y25" s="33"/>
      <c r="Z25" s="33"/>
      <c r="AA25" s="33"/>
      <c r="AB25" s="33"/>
      <c r="AE25" s="33"/>
      <c r="AO25" s="1" t="str">
        <f>K5</f>
        <v>ADh.Maamigili</v>
      </c>
      <c r="AP25" s="1">
        <f>K8</f>
        <v>105807</v>
      </c>
      <c r="AQ25" s="1">
        <f>L8</f>
        <v>102744</v>
      </c>
    </row>
    <row r="26" spans="1:44" ht="18.75" x14ac:dyDescent="0.25">
      <c r="A26" s="6"/>
      <c r="Q26" s="11"/>
      <c r="T26" s="11"/>
      <c r="W26" s="11"/>
      <c r="AO26" s="1" t="str">
        <f>N5</f>
        <v>B.Dharavandhoo</v>
      </c>
      <c r="AP26" s="1">
        <f>N8</f>
        <v>112756</v>
      </c>
      <c r="AQ26" s="1">
        <f>O8</f>
        <v>109970</v>
      </c>
    </row>
    <row r="27" spans="1:44" x14ac:dyDescent="0.25">
      <c r="AO27" s="1" t="str">
        <f>Q5</f>
        <v>GA. Koodoo</v>
      </c>
      <c r="AP27" s="1">
        <f>Q8</f>
        <v>42548</v>
      </c>
      <c r="AQ27" s="1">
        <f>R8</f>
        <v>42625</v>
      </c>
    </row>
    <row r="28" spans="1:44" x14ac:dyDescent="0.25">
      <c r="AO28" s="1" t="s">
        <v>54</v>
      </c>
      <c r="AP28" s="1">
        <f>T8</f>
        <v>5977</v>
      </c>
      <c r="AQ28" s="1">
        <f>U8</f>
        <v>5342</v>
      </c>
    </row>
    <row r="29" spans="1:44" ht="17.25" x14ac:dyDescent="0.4">
      <c r="D29" s="31"/>
      <c r="E29" s="31"/>
      <c r="F29" s="32"/>
      <c r="G29" s="32"/>
      <c r="AO29" s="1" t="str">
        <f>W5</f>
        <v xml:space="preserve">R.Ifuru  </v>
      </c>
      <c r="AP29" s="1">
        <f>W8</f>
        <v>36566</v>
      </c>
      <c r="AQ29" s="1">
        <f>X8</f>
        <v>35169</v>
      </c>
    </row>
    <row r="30" spans="1:44" x14ac:dyDescent="0.25">
      <c r="AO30" s="1" t="str">
        <f>Z5</f>
        <v>Dh.kudahuvadhoo</v>
      </c>
      <c r="AP30" s="1">
        <f>Z8</f>
        <v>23329</v>
      </c>
      <c r="AQ30" s="1">
        <f>AA8</f>
        <v>22713</v>
      </c>
    </row>
    <row r="32" spans="1:44" x14ac:dyDescent="0.25">
      <c r="AP32" s="1">
        <f>SUM(AP22:AP30)</f>
        <v>457569</v>
      </c>
      <c r="AQ32" s="1">
        <f>SUM(AQ22:AQ30)</f>
        <v>449832</v>
      </c>
      <c r="AR32" s="1">
        <f>SUM(AP32:AQ32)</f>
        <v>907401</v>
      </c>
    </row>
  </sheetData>
  <mergeCells count="2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</mergeCells>
  <pageMargins left="0.7" right="0.7" top="0.75" bottom="0.75" header="0.3" footer="0.3"/>
  <pageSetup paperSize="9" scale="5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11.15</vt:lpstr>
      <vt:lpstr>'11.15'!Print_Area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2019-05-13T06:09:29Z</cp:lastPrinted>
  <dcterms:created xsi:type="dcterms:W3CDTF">2019-03-24T03:32:16Z</dcterms:created>
  <dcterms:modified xsi:type="dcterms:W3CDTF">2019-05-13T06:09:37Z</dcterms:modified>
</cp:coreProperties>
</file>