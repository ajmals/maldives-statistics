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24" sheetId="9" r:id="rId1"/>
  </sheets>
  <externalReferences>
    <externalReference r:id="rId2"/>
    <externalReference r:id="rId3"/>
  </externalReferences>
  <definedNames>
    <definedName name="_xlnm.Print_Area" localSheetId="0">'11.24'!$A$1:$AA$25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6" i="9" l="1"/>
  <c r="Y6" i="9"/>
  <c r="X6" i="9"/>
  <c r="W6" i="9"/>
  <c r="V6" i="9"/>
  <c r="U6" i="9"/>
  <c r="T6" i="9"/>
  <c r="S6" i="9"/>
  <c r="R6" i="9"/>
  <c r="Q6" i="9"/>
  <c r="O6" i="9"/>
  <c r="N6" i="9"/>
  <c r="L6" i="9"/>
  <c r="K6" i="9"/>
  <c r="I6" i="9"/>
  <c r="H6" i="9"/>
  <c r="F6" i="9"/>
  <c r="E6" i="9"/>
  <c r="C6" i="9"/>
  <c r="B6" i="9"/>
</calcChain>
</file>

<file path=xl/sharedStrings.xml><?xml version="1.0" encoding="utf-8"?>
<sst xmlns="http://schemas.openxmlformats.org/spreadsheetml/2006/main" count="67" uniqueCount="49">
  <si>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</si>
  <si>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</si>
  <si>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</si>
  <si>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</si>
  <si>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</si>
  <si>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</si>
  <si>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</si>
  <si>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</si>
  <si>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</si>
  <si>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</si>
  <si>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</si>
  <si>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</si>
  <si>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</si>
  <si>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</si>
  <si>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</si>
  <si>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</si>
  <si>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</si>
  <si>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</si>
  <si>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</si>
  <si>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</si>
  <si>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</si>
  <si>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</si>
  <si>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</si>
  <si>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</si>
  <si>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</si>
  <si>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</si>
  <si>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</si>
  <si>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</si>
  <si>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</si>
  <si>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</si>
  <si>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</si>
  <si>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</si>
  <si>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L.Kadhdhoo</t>
  </si>
  <si>
    <t>GDh.Kaadedhdhoo</t>
  </si>
  <si>
    <t xml:space="preserve">Gn.Fuvahmulah </t>
  </si>
  <si>
    <t>ADh.Maamigili</t>
  </si>
  <si>
    <t>GA. Koodoo</t>
  </si>
  <si>
    <t>ތާވަލު 11.24: މަސްމަހުގެ ގޮތުން ރާއްޖޭގެ ވައިގެބަނދަރުތަކުގައި އުފުލުނު މުދާ، 2018</t>
  </si>
  <si>
    <t>Table 11.24:  CARGO HANDLED AT DOMESTIC AIRPORTS BY MONTH, 2018</t>
  </si>
  <si>
    <t xml:space="preserve"> ( in kg )</t>
  </si>
  <si>
    <t>HDh.Hanimaadhoo</t>
  </si>
  <si>
    <r>
      <t>B.Dharavandhoo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</si>
  <si>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THA. Thimarafushi  </t>
    </r>
    <r>
      <rPr>
        <b/>
        <vertAlign val="superscript"/>
        <sz val="9"/>
        <rFont val="Calibri"/>
        <family val="2"/>
        <scheme val="minor"/>
      </rPr>
      <t xml:space="preserve">2_/ </t>
    </r>
  </si>
  <si>
    <r>
      <t xml:space="preserve">Raa. Ifuru  </t>
    </r>
    <r>
      <rPr>
        <b/>
        <vertAlign val="superscript"/>
        <sz val="9"/>
        <rFont val="Calibri"/>
        <family val="2"/>
        <scheme val="minor"/>
      </rPr>
      <t xml:space="preserve">3_/ </t>
    </r>
  </si>
  <si>
    <r>
      <t xml:space="preserve">Dh.Kudahuvadhoo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</si>
  <si>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>Note:</t>
    </r>
    <r>
      <rPr>
        <i/>
        <vertAlign val="superscript"/>
        <sz val="9"/>
        <rFont val="Calibri"/>
        <family val="2"/>
        <scheme val="minor"/>
      </rPr>
      <t xml:space="preserve"> 1_/ </t>
    </r>
    <r>
      <rPr>
        <i/>
        <sz val="9"/>
        <rFont val="Calibri"/>
        <family val="2"/>
        <scheme val="minor"/>
      </rPr>
      <t>B.Dharavandhoo  started flight operations during the month of October 2012</t>
    </r>
  </si>
  <si>
    <t>2_/ THA. Thimarafushi   started flight operations during the month of January 2014</t>
  </si>
  <si>
    <t>3_/ Raa Ifuru   started flight operations during the month of May 2015</t>
  </si>
  <si>
    <t>4_/ Dh. Dhaalu   started flight operations during the month ofOctober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</si>
</sst>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_(* #,##0_);_(* \(#,##0\);_(* &quot;-&quot;??_);_(@_)"/>
    <numFmt numFmtId="169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Faruma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b/>
      <vertAlign val="superscript"/>
      <sz val="9"/>
      <name val="Calibri"/>
      <family val="2"/>
      <scheme val="minor"/>
    </font>
    <font>
      <sz val="9"/>
      <name val="Faruma"/>
    </font>
    <font>
      <b/>
      <sz val="11"/>
      <name val="Faruma"/>
    </font>
    <font>
      <sz val="9"/>
      <color theme="1"/>
      <name val="Faruma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theme="1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2">
    <xf numFmtId="0" fontId="0" fillId="0" borderId="0"/>
    <xf numFmtId="164" fontId="2" fillId="0" borderId="0"/>
    <xf numFmtId="40" fontId="6" fillId="0" borderId="0" applyFont="0" applyFill="0" applyBorder="0" applyAlignment="0" applyProtection="0"/>
    <xf numFmtId="0" fontId="3" fillId="0" borderId="0"/>
    <xf numFmtId="0" fontId="15" fillId="0" borderId="0"/>
    <xf numFmtId="165" fontId="2" fillId="0" borderId="0"/>
    <xf numFmtId="165" fontId="2" fillId="0" borderId="0"/>
    <xf numFmtId="169" fontId="2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60">
    <xf numFmtId="0" fontId="0" fillId="0" borderId="0" xfId="0"/>
    <xf numFmtId="164" fontId="0" fillId="2" borderId="0" xfId="0" applyNumberFormat="1" applyFill="1" applyBorder="1"/>
    <xf numFmtId="0" fontId="8" fillId="2" borderId="0" xfId="0" applyNumberFormat="1" applyFont="1" applyFill="1" applyBorder="1" applyAlignment="1">
      <alignment horizontal="right" vertical="center"/>
    </xf>
    <xf numFmtId="164" fontId="9" fillId="2" borderId="0" xfId="1" applyNumberFormat="1" applyFont="1" applyFill="1" applyBorder="1"/>
    <xf numFmtId="37" fontId="11" fillId="2" borderId="0" xfId="1" applyNumberFormat="1" applyFont="1" applyFill="1" applyBorder="1" applyAlignment="1" applyProtection="1">
      <alignment vertical="center"/>
    </xf>
    <xf numFmtId="164" fontId="0" fillId="2" borderId="1" xfId="0" applyNumberFormat="1" applyFill="1" applyBorder="1"/>
    <xf numFmtId="164" fontId="4" fillId="2" borderId="18" xfId="1" applyNumberFormat="1" applyFont="1" applyFill="1" applyBorder="1" applyAlignment="1">
      <alignment horizontal="center" vertical="center" wrapText="1"/>
    </xf>
    <xf numFmtId="164" fontId="4" fillId="2" borderId="21" xfId="1" applyNumberFormat="1" applyFont="1" applyFill="1" applyBorder="1" applyAlignment="1">
      <alignment horizontal="center" vertical="center" wrapText="1"/>
    </xf>
    <xf numFmtId="164" fontId="4" fillId="2" borderId="13" xfId="1" applyNumberFormat="1" applyFont="1" applyFill="1" applyBorder="1" applyAlignment="1">
      <alignment horizontal="right" vertical="center"/>
    </xf>
    <xf numFmtId="164" fontId="4" fillId="2" borderId="14" xfId="1" applyNumberFormat="1" applyFont="1" applyFill="1" applyBorder="1" applyAlignment="1">
      <alignment horizontal="right" vertical="center"/>
    </xf>
    <xf numFmtId="164" fontId="4" fillId="2" borderId="22" xfId="1" applyNumberFormat="1" applyFont="1" applyFill="1" applyBorder="1" applyAlignment="1">
      <alignment horizontal="right" vertical="center"/>
    </xf>
    <xf numFmtId="164" fontId="4" fillId="2" borderId="23" xfId="1" applyNumberFormat="1" applyFont="1" applyFill="1" applyBorder="1" applyAlignment="1">
      <alignment horizontal="right" vertical="center"/>
    </xf>
    <xf numFmtId="164" fontId="4" fillId="2" borderId="15" xfId="1" applyNumberFormat="1" applyFont="1" applyFill="1" applyBorder="1" applyAlignment="1">
      <alignment horizontal="right" vertical="center"/>
    </xf>
    <xf numFmtId="164" fontId="4" fillId="2" borderId="14" xfId="1" applyNumberFormat="1" applyFont="1" applyFill="1" applyBorder="1" applyAlignment="1">
      <alignment horizontal="right" vertical="center" wrapText="1"/>
    </xf>
    <xf numFmtId="164" fontId="4" fillId="2" borderId="15" xfId="1" applyNumberFormat="1" applyFont="1" applyFill="1" applyBorder="1" applyAlignment="1">
      <alignment horizontal="right" vertical="center" wrapText="1"/>
    </xf>
    <xf numFmtId="164" fontId="4" fillId="2" borderId="3" xfId="1" applyNumberFormat="1" applyFont="1" applyFill="1" applyBorder="1" applyAlignment="1" applyProtection="1">
      <alignment horizontal="left" vertical="center"/>
    </xf>
    <xf numFmtId="38" fontId="4" fillId="2" borderId="3" xfId="2" applyNumberFormat="1" applyFont="1" applyFill="1" applyBorder="1" applyAlignment="1">
      <alignment horizontal="right" vertical="center"/>
    </xf>
    <xf numFmtId="38" fontId="4" fillId="2" borderId="4" xfId="2" applyNumberFormat="1" applyFont="1" applyFill="1" applyBorder="1" applyAlignment="1">
      <alignment horizontal="right" vertical="center"/>
    </xf>
    <xf numFmtId="38" fontId="4" fillId="2" borderId="24" xfId="2" applyNumberFormat="1" applyFont="1" applyFill="1" applyBorder="1" applyAlignment="1">
      <alignment horizontal="right" vertical="center"/>
    </xf>
    <xf numFmtId="38" fontId="4" fillId="2" borderId="25" xfId="2" applyNumberFormat="1" applyFont="1" applyFill="1" applyBorder="1" applyAlignment="1">
      <alignment horizontal="right" vertical="center"/>
    </xf>
    <xf numFmtId="38" fontId="4" fillId="2" borderId="11" xfId="2" applyNumberFormat="1" applyFont="1" applyFill="1" applyBorder="1" applyAlignment="1">
      <alignment horizontal="right" vertical="center"/>
    </xf>
    <xf numFmtId="38" fontId="11" fillId="2" borderId="1" xfId="2" applyNumberFormat="1" applyFont="1" applyFill="1" applyBorder="1" applyAlignment="1">
      <alignment horizontal="right" vertical="center"/>
    </xf>
    <xf numFmtId="38" fontId="11" fillId="2" borderId="5" xfId="2" applyNumberFormat="1" applyFont="1" applyFill="1" applyBorder="1" applyAlignment="1">
      <alignment horizontal="right" vertical="center"/>
    </xf>
    <xf numFmtId="38" fontId="11" fillId="2" borderId="26" xfId="2" applyNumberFormat="1" applyFont="1" applyFill="1" applyBorder="1" applyAlignment="1">
      <alignment horizontal="right" vertical="center"/>
    </xf>
    <xf numFmtId="38" fontId="11" fillId="2" borderId="27" xfId="2" applyNumberFormat="1" applyFont="1" applyFill="1" applyBorder="1" applyAlignment="1">
      <alignment horizontal="right" vertical="center"/>
    </xf>
    <xf numFmtId="38" fontId="11" fillId="2" borderId="9" xfId="2" applyNumberFormat="1" applyFont="1" applyFill="1" applyBorder="1" applyAlignment="1">
      <alignment horizontal="right" vertical="center"/>
    </xf>
    <xf numFmtId="38" fontId="11" fillId="2" borderId="6" xfId="2" applyNumberFormat="1" applyFont="1" applyFill="1" applyBorder="1" applyAlignment="1">
      <alignment horizontal="right" vertical="center"/>
    </xf>
    <xf numFmtId="38" fontId="11" fillId="2" borderId="7" xfId="2" applyNumberFormat="1" applyFont="1" applyFill="1" applyBorder="1" applyAlignment="1">
      <alignment horizontal="right" vertical="center"/>
    </xf>
    <xf numFmtId="38" fontId="11" fillId="2" borderId="28" xfId="2" applyNumberFormat="1" applyFont="1" applyFill="1" applyBorder="1" applyAlignment="1">
      <alignment horizontal="right" vertical="center"/>
    </xf>
    <xf numFmtId="38" fontId="11" fillId="2" borderId="29" xfId="2" applyNumberFormat="1" applyFont="1" applyFill="1" applyBorder="1" applyAlignment="1">
      <alignment horizontal="right" vertical="center"/>
    </xf>
    <xf numFmtId="38" fontId="11" fillId="2" borderId="10" xfId="2" applyNumberFormat="1" applyFont="1" applyFill="1" applyBorder="1" applyAlignment="1">
      <alignment horizontal="right" vertical="center"/>
    </xf>
    <xf numFmtId="164" fontId="11" fillId="2" borderId="1" xfId="1" applyNumberFormat="1" applyFont="1" applyFill="1" applyBorder="1" applyAlignment="1" applyProtection="1">
      <alignment horizontal="left" vertical="center" indent="1"/>
    </xf>
    <xf numFmtId="164" fontId="11" fillId="2" borderId="6" xfId="1" applyNumberFormat="1" applyFont="1" applyFill="1" applyBorder="1" applyAlignment="1" applyProtection="1">
      <alignment horizontal="left" vertical="center" indent="1"/>
    </xf>
    <xf numFmtId="164" fontId="10" fillId="2" borderId="0" xfId="1" applyNumberFormat="1" applyFont="1" applyFill="1" applyBorder="1" applyAlignment="1" applyProtection="1">
      <alignment horizontal="left" vertical="center"/>
    </xf>
    <xf numFmtId="164" fontId="18" fillId="2" borderId="1" xfId="0" applyNumberFormat="1" applyFont="1" applyFill="1" applyBorder="1" applyAlignment="1">
      <alignment horizontal="center"/>
    </xf>
    <xf numFmtId="164" fontId="13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12" xfId="1" applyNumberFormat="1" applyFont="1" applyFill="1" applyBorder="1" applyAlignment="1">
      <alignment horizontal="left" vertical="center"/>
    </xf>
    <xf numFmtId="164" fontId="4" fillId="2" borderId="6" xfId="1" applyNumberFormat="1" applyFont="1" applyFill="1" applyBorder="1" applyAlignment="1">
      <alignment horizontal="left" vertical="center"/>
    </xf>
    <xf numFmtId="164" fontId="4" fillId="2" borderId="17" xfId="1" applyNumberFormat="1" applyFont="1" applyFill="1" applyBorder="1" applyAlignment="1">
      <alignment horizontal="center" vertical="center" wrapText="1"/>
    </xf>
    <xf numFmtId="164" fontId="4" fillId="2" borderId="19" xfId="1" applyNumberFormat="1" applyFont="1" applyFill="1" applyBorder="1" applyAlignment="1">
      <alignment horizontal="center" vertical="center" wrapText="1"/>
    </xf>
    <xf numFmtId="164" fontId="4" fillId="2" borderId="20" xfId="1" applyNumberFormat="1" applyFont="1" applyFill="1" applyBorder="1" applyAlignment="1">
      <alignment horizontal="center" vertical="center" wrapText="1"/>
    </xf>
    <xf numFmtId="164" fontId="4" fillId="2" borderId="21" xfId="1" applyNumberFormat="1" applyFont="1" applyFill="1" applyBorder="1" applyAlignment="1">
      <alignment horizontal="center" vertical="center" wrapText="1"/>
    </xf>
    <xf numFmtId="164" fontId="4" fillId="2" borderId="18" xfId="1" applyNumberFormat="1" applyFont="1" applyFill="1" applyBorder="1" applyAlignment="1">
      <alignment horizontal="center" vertical="center" wrapText="1"/>
    </xf>
    <xf numFmtId="164" fontId="10" fillId="2" borderId="30" xfId="1" applyNumberFormat="1" applyFont="1" applyFill="1" applyBorder="1" applyAlignment="1" applyProtection="1">
      <alignment horizontal="left" vertical="center"/>
    </xf>
    <xf numFmtId="37" fontId="11" fillId="2" borderId="30" xfId="1" applyNumberFormat="1" applyFont="1" applyFill="1" applyBorder="1" applyAlignment="1" applyProtection="1">
      <alignment vertical="center"/>
    </xf>
    <xf numFmtId="0" fontId="12" fillId="2" borderId="30" xfId="3" applyFont="1" applyFill="1" applyBorder="1" applyAlignment="1">
      <alignment vertical="center"/>
    </xf>
    <xf numFmtId="0" fontId="8" fillId="2" borderId="30" xfId="0" applyNumberFormat="1" applyFont="1" applyFill="1" applyBorder="1" applyAlignment="1">
      <alignment horizontal="right" vertical="center"/>
    </xf>
    <xf numFmtId="164" fontId="0" fillId="2" borderId="2" xfId="0" applyNumberFormat="1" applyFill="1" applyBorder="1"/>
    <xf numFmtId="0" fontId="12" fillId="2" borderId="0" xfId="3" applyFont="1" applyFill="1" applyBorder="1" applyAlignment="1">
      <alignment vertical="center"/>
    </xf>
    <xf numFmtId="164" fontId="19" fillId="2" borderId="0" xfId="0" applyNumberFormat="1" applyFont="1" applyFill="1" applyBorder="1" applyAlignment="1">
      <alignment vertical="center"/>
    </xf>
    <xf numFmtId="164" fontId="11" fillId="2" borderId="0" xfId="1" applyNumberFormat="1" applyFont="1" applyFill="1" applyBorder="1"/>
    <xf numFmtId="0" fontId="17" fillId="2" borderId="0" xfId="0" applyNumberFormat="1" applyFont="1" applyFill="1" applyBorder="1" applyAlignment="1">
      <alignment horizontal="right" vertical="center"/>
    </xf>
    <xf numFmtId="0" fontId="5" fillId="2" borderId="8" xfId="4" applyFont="1" applyFill="1" applyBorder="1" applyAlignment="1">
      <alignment horizontal="right" vertical="center"/>
    </xf>
    <xf numFmtId="0" fontId="5" fillId="2" borderId="7" xfId="4" applyFont="1" applyFill="1" applyBorder="1" applyAlignment="1">
      <alignment horizontal="right" vertical="center"/>
    </xf>
    <xf numFmtId="0" fontId="5" fillId="2" borderId="4" xfId="4" applyFont="1" applyFill="1" applyBorder="1" applyAlignment="1">
      <alignment horizontal="right"/>
    </xf>
    <xf numFmtId="0" fontId="7" fillId="2" borderId="5" xfId="4" applyFont="1" applyFill="1" applyBorder="1" applyAlignment="1">
      <alignment horizontal="right" vertical="center" indent="1"/>
    </xf>
    <xf numFmtId="0" fontId="7" fillId="2" borderId="7" xfId="4" applyFont="1" applyFill="1" applyBorder="1" applyAlignment="1">
      <alignment horizontal="right" vertical="center" indent="1"/>
    </xf>
    <xf numFmtId="0" fontId="17" fillId="2" borderId="16" xfId="0" applyNumberFormat="1" applyFont="1" applyFill="1" applyBorder="1" applyAlignment="1">
      <alignment horizontal="right" vertical="center"/>
    </xf>
    <xf numFmtId="164" fontId="0" fillId="2" borderId="5" xfId="0" applyNumberFormat="1" applyFill="1" applyBorder="1"/>
  </cellXfs>
  <cellStyles count="12">
    <cellStyle name="Comma 2" xfId="2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6(Trans &amp; Comm)" xfId="3"/>
    <cellStyle name="Normal_X-5 (Electricity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1.%20TRANSPORT%20&amp;%20COMMUNICATIO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>
        <row r="21">
          <cell r="AP21" t="str">
            <v>In</v>
          </cell>
          <cell r="AQ21" t="str">
            <v>Out</v>
          </cell>
        </row>
        <row r="22">
          <cell r="AO22" t="str">
            <v>L.Kadhdhoo</v>
          </cell>
          <cell r="AP22">
            <v>74880</v>
          </cell>
          <cell r="AQ22">
            <v>75166</v>
          </cell>
        </row>
        <row r="23">
          <cell r="AO23" t="str">
            <v>GDh.Kaadedhdhoo</v>
          </cell>
          <cell r="AP23">
            <v>35462</v>
          </cell>
          <cell r="AQ23">
            <v>35534</v>
          </cell>
        </row>
        <row r="24">
          <cell r="AO24" t="str">
            <v xml:space="preserve">Gn.Fuvahmulah </v>
          </cell>
          <cell r="AP24">
            <v>20244</v>
          </cell>
          <cell r="AQ24">
            <v>20569</v>
          </cell>
        </row>
        <row r="25">
          <cell r="AO25" t="str">
            <v>ADh.Maamigili</v>
          </cell>
          <cell r="AP25">
            <v>105807</v>
          </cell>
          <cell r="AQ25">
            <v>102744</v>
          </cell>
        </row>
        <row r="26">
          <cell r="AO26" t="str">
            <v>B.Dharavandhoo</v>
          </cell>
          <cell r="AP26">
            <v>112756</v>
          </cell>
          <cell r="AQ26">
            <v>109970</v>
          </cell>
        </row>
        <row r="27">
          <cell r="AO27" t="str">
            <v>GA. Koodoo</v>
          </cell>
          <cell r="AP27">
            <v>42548</v>
          </cell>
          <cell r="AQ27">
            <v>42625</v>
          </cell>
        </row>
        <row r="28">
          <cell r="AO28" t="str">
            <v xml:space="preserve">THA. Thimarafushi  </v>
          </cell>
          <cell r="AP28">
            <v>5977</v>
          </cell>
          <cell r="AQ28">
            <v>5342</v>
          </cell>
        </row>
        <row r="29">
          <cell r="AO29" t="str">
            <v xml:space="preserve">R.Ifuru  </v>
          </cell>
          <cell r="AP29">
            <v>36566</v>
          </cell>
          <cell r="AQ29">
            <v>35169</v>
          </cell>
        </row>
        <row r="30">
          <cell r="AO30" t="str">
            <v>Dh.kudahuvadhoo</v>
          </cell>
          <cell r="AP30">
            <v>23329</v>
          </cell>
          <cell r="AQ30">
            <v>22713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3"/>
      <sheetName val="11.4"/>
      <sheetName val="11.5"/>
      <sheetName val="11.6"/>
      <sheetName val="11.7"/>
      <sheetName val="11.8"/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  <sheetName val="11.26"/>
      <sheetName val="11.27"/>
      <sheetName val="11.28"/>
      <sheetName val="11.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2004</v>
          </cell>
          <cell r="C4">
            <v>2005</v>
          </cell>
          <cell r="D4">
            <v>2006</v>
          </cell>
          <cell r="E4">
            <v>2007</v>
          </cell>
          <cell r="F4">
            <v>2008</v>
          </cell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  <cell r="M4">
            <v>2015</v>
          </cell>
          <cell r="N4">
            <v>2016</v>
          </cell>
          <cell r="O4">
            <v>2017</v>
          </cell>
        </row>
        <row r="6">
          <cell r="A6" t="str">
            <v>Within Male'</v>
          </cell>
          <cell r="B6">
            <v>88909</v>
          </cell>
          <cell r="C6">
            <v>95166</v>
          </cell>
          <cell r="D6">
            <v>174803</v>
          </cell>
          <cell r="E6">
            <v>129489</v>
          </cell>
          <cell r="F6">
            <v>168627.20000000001</v>
          </cell>
          <cell r="G6">
            <v>123358</v>
          </cell>
          <cell r="H6">
            <v>151787</v>
          </cell>
          <cell r="I6">
            <v>223608</v>
          </cell>
          <cell r="J6">
            <v>189064</v>
          </cell>
          <cell r="K6">
            <v>148673</v>
          </cell>
          <cell r="L6">
            <v>108094</v>
          </cell>
          <cell r="M6">
            <v>89080</v>
          </cell>
          <cell r="N6">
            <v>61497</v>
          </cell>
          <cell r="O6">
            <v>72159</v>
          </cell>
        </row>
        <row r="7">
          <cell r="A7" t="str">
            <v>From Male' to Atolls</v>
          </cell>
          <cell r="B7">
            <v>87524</v>
          </cell>
          <cell r="C7">
            <v>97700</v>
          </cell>
          <cell r="D7">
            <v>104143</v>
          </cell>
          <cell r="E7">
            <v>96974</v>
          </cell>
          <cell r="F7">
            <v>103039</v>
          </cell>
          <cell r="G7">
            <v>80981</v>
          </cell>
          <cell r="H7">
            <v>104458</v>
          </cell>
          <cell r="I7">
            <v>104832</v>
          </cell>
          <cell r="J7">
            <v>139737</v>
          </cell>
          <cell r="K7">
            <v>121983</v>
          </cell>
          <cell r="L7">
            <v>146950</v>
          </cell>
          <cell r="M7">
            <v>270848</v>
          </cell>
          <cell r="N7">
            <v>435013</v>
          </cell>
          <cell r="O7">
            <v>38520</v>
          </cell>
        </row>
        <row r="10">
          <cell r="A10" t="str">
            <v>From Atolls to Male'</v>
          </cell>
          <cell r="B10">
            <v>16027</v>
          </cell>
          <cell r="C10">
            <v>15274</v>
          </cell>
          <cell r="D10">
            <v>14173</v>
          </cell>
          <cell r="E10">
            <v>14029</v>
          </cell>
          <cell r="F10">
            <v>22917</v>
          </cell>
          <cell r="G10">
            <v>13434</v>
          </cell>
          <cell r="H10">
            <v>17478</v>
          </cell>
          <cell r="I10">
            <v>9512</v>
          </cell>
          <cell r="J10">
            <v>8582</v>
          </cell>
          <cell r="K10">
            <v>6498</v>
          </cell>
          <cell r="L10">
            <v>6932</v>
          </cell>
          <cell r="M10">
            <v>13066</v>
          </cell>
          <cell r="N10">
            <v>10569</v>
          </cell>
          <cell r="O10">
            <v>16585</v>
          </cell>
        </row>
        <row r="11">
          <cell r="A11" t="str">
            <v>From Foreign to the Atolls</v>
          </cell>
          <cell r="B11">
            <v>88198</v>
          </cell>
          <cell r="C11">
            <v>31857</v>
          </cell>
          <cell r="D11">
            <v>30434</v>
          </cell>
          <cell r="E11">
            <v>19033</v>
          </cell>
          <cell r="F11">
            <v>19412</v>
          </cell>
          <cell r="G11">
            <v>27483</v>
          </cell>
          <cell r="H11">
            <v>41953</v>
          </cell>
          <cell r="I11">
            <v>41065</v>
          </cell>
          <cell r="J11">
            <v>28831</v>
          </cell>
          <cell r="K11">
            <v>37952</v>
          </cell>
          <cell r="L11">
            <v>41258</v>
          </cell>
          <cell r="M11">
            <v>211219</v>
          </cell>
          <cell r="N11">
            <v>414809</v>
          </cell>
          <cell r="O11">
            <v>467689</v>
          </cell>
        </row>
        <row r="12">
          <cell r="A12" t="str">
            <v>From Atolls to Foreign</v>
          </cell>
          <cell r="B12">
            <v>23892</v>
          </cell>
          <cell r="C12">
            <v>16987</v>
          </cell>
          <cell r="D12">
            <v>20427</v>
          </cell>
          <cell r="E12">
            <v>17130</v>
          </cell>
          <cell r="F12">
            <v>22910</v>
          </cell>
          <cell r="G12">
            <v>15190</v>
          </cell>
          <cell r="H12">
            <v>14826</v>
          </cell>
          <cell r="I12">
            <v>1193</v>
          </cell>
          <cell r="J12">
            <v>13649</v>
          </cell>
          <cell r="K12">
            <v>10262</v>
          </cell>
          <cell r="L12">
            <v>8291</v>
          </cell>
          <cell r="M12">
            <v>7165</v>
          </cell>
          <cell r="N12">
            <v>3850</v>
          </cell>
          <cell r="O12">
            <v>7136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69"/>
  <sheetViews>
    <sheetView tabSelected="1" zoomScaleNormal="100" zoomScaleSheetLayoutView="30" workbookViewId="0">
      <selection activeCell="AE37" sqref="AE37"/>
    </sheetView>
  </sheetViews>
  <sheetFormatPr defaultColWidth="9.140625" defaultRowHeight="15" x14ac:dyDescent="0.25"/>
  <cols>
    <col min="1" max="1" width="12" style="5" customWidth="1"/>
    <col min="2" max="3" width="9.42578125" style="5" customWidth="1"/>
    <col min="4" max="4" width="1.42578125" style="5" customWidth="1"/>
    <col min="5" max="6" width="9.42578125" style="5" customWidth="1"/>
    <col min="7" max="7" width="1.28515625" style="5" customWidth="1"/>
    <col min="8" max="9" width="9.42578125" style="5" customWidth="1"/>
    <col min="10" max="10" width="1.140625" style="5" customWidth="1"/>
    <col min="11" max="11" width="9.42578125" style="5" bestFit="1" customWidth="1"/>
    <col min="12" max="12" width="9.5703125" style="5" customWidth="1"/>
    <col min="13" max="13" width="1.140625" style="5" hidden="1" customWidth="1"/>
    <col min="14" max="15" width="9.28515625" style="5" hidden="1" customWidth="1"/>
    <col min="16" max="16" width="1.140625" style="5" customWidth="1"/>
    <col min="17" max="18" width="9.28515625" style="5" bestFit="1" customWidth="1"/>
    <col min="19" max="26" width="9.28515625" style="5" customWidth="1"/>
    <col min="27" max="27" width="12.28515625" style="59" customWidth="1"/>
    <col min="28" max="101" width="9.140625" style="1"/>
    <col min="102" max="16384" width="9.140625" style="5"/>
  </cols>
  <sheetData>
    <row r="1" spans="1:27" ht="21" x14ac:dyDescent="0.55000000000000004">
      <c r="A1" s="34" t="s">
        <v>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x14ac:dyDescent="0.25">
      <c r="A2" s="35" t="s">
        <v>38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x14ac:dyDescent="0.25">
      <c r="A3" s="36" t="s">
        <v>39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spans="1:27" ht="14.25" customHeight="1" x14ac:dyDescent="0.25">
      <c r="A4" s="37" t="s">
        <v>6</v>
      </c>
      <c r="B4" s="39" t="s">
        <v>32</v>
      </c>
      <c r="C4" s="39"/>
      <c r="D4" s="6"/>
      <c r="E4" s="40" t="s">
        <v>33</v>
      </c>
      <c r="F4" s="41"/>
      <c r="G4" s="7"/>
      <c r="H4" s="39" t="s">
        <v>40</v>
      </c>
      <c r="I4" s="39"/>
      <c r="J4" s="6"/>
      <c r="K4" s="40" t="s">
        <v>34</v>
      </c>
      <c r="L4" s="41"/>
      <c r="M4" s="7"/>
      <c r="N4" s="39" t="s">
        <v>35</v>
      </c>
      <c r="O4" s="39"/>
      <c r="P4" s="6"/>
      <c r="Q4" s="40" t="s">
        <v>41</v>
      </c>
      <c r="R4" s="41"/>
      <c r="S4" s="42" t="s">
        <v>36</v>
      </c>
      <c r="T4" s="43"/>
      <c r="U4" s="40" t="s">
        <v>42</v>
      </c>
      <c r="V4" s="41"/>
      <c r="W4" s="42" t="s">
        <v>43</v>
      </c>
      <c r="X4" s="43"/>
      <c r="Y4" s="40" t="s">
        <v>44</v>
      </c>
      <c r="Z4" s="39"/>
      <c r="AA4" s="53" t="s">
        <v>7</v>
      </c>
    </row>
    <row r="5" spans="1:27" ht="13.5" customHeight="1" x14ac:dyDescent="0.25">
      <c r="A5" s="38"/>
      <c r="B5" s="8" t="s">
        <v>0</v>
      </c>
      <c r="C5" s="8" t="s">
        <v>1</v>
      </c>
      <c r="D5" s="9"/>
      <c r="E5" s="10" t="s">
        <v>0</v>
      </c>
      <c r="F5" s="11" t="s">
        <v>1</v>
      </c>
      <c r="G5" s="12"/>
      <c r="H5" s="8" t="s">
        <v>0</v>
      </c>
      <c r="I5" s="8" t="s">
        <v>1</v>
      </c>
      <c r="J5" s="13"/>
      <c r="K5" s="10" t="s">
        <v>0</v>
      </c>
      <c r="L5" s="11" t="s">
        <v>1</v>
      </c>
      <c r="M5" s="14"/>
      <c r="N5" s="8" t="s">
        <v>0</v>
      </c>
      <c r="O5" s="8" t="s">
        <v>1</v>
      </c>
      <c r="P5" s="13"/>
      <c r="Q5" s="10" t="s">
        <v>0</v>
      </c>
      <c r="R5" s="11" t="s">
        <v>1</v>
      </c>
      <c r="S5" s="12" t="s">
        <v>0</v>
      </c>
      <c r="T5" s="9" t="s">
        <v>1</v>
      </c>
      <c r="U5" s="10" t="s">
        <v>0</v>
      </c>
      <c r="V5" s="11" t="s">
        <v>1</v>
      </c>
      <c r="W5" s="12" t="s">
        <v>0</v>
      </c>
      <c r="X5" s="9" t="s">
        <v>1</v>
      </c>
      <c r="Y5" s="10" t="s">
        <v>0</v>
      </c>
      <c r="Z5" s="8" t="s">
        <v>1</v>
      </c>
      <c r="AA5" s="54"/>
    </row>
    <row r="6" spans="1:27" ht="17.25" x14ac:dyDescent="0.4">
      <c r="A6" s="15" t="s">
        <v>2</v>
      </c>
      <c r="B6" s="16">
        <f>SUM(B7:B18)</f>
        <v>52576.5</v>
      </c>
      <c r="C6" s="16">
        <f>SUM(C7:C18)</f>
        <v>54401.2</v>
      </c>
      <c r="D6" s="17"/>
      <c r="E6" s="18">
        <f>SUM(E7:E18)</f>
        <v>102986</v>
      </c>
      <c r="F6" s="19">
        <f>SUM(F7:F18)</f>
        <v>86471</v>
      </c>
      <c r="G6" s="20"/>
      <c r="H6" s="16">
        <f>SUM(H7:H18)</f>
        <v>85565.3</v>
      </c>
      <c r="I6" s="16">
        <f>SUM(I7:I18)</f>
        <v>5958.95</v>
      </c>
      <c r="J6" s="17"/>
      <c r="K6" s="18">
        <f>SUM(K7:K18)</f>
        <v>26584</v>
      </c>
      <c r="L6" s="19">
        <f>SUM(L7:L18)</f>
        <v>6544</v>
      </c>
      <c r="M6" s="20"/>
      <c r="N6" s="16">
        <f t="shared" ref="N6:O6" si="0">SUM(N7:N18)</f>
        <v>0</v>
      </c>
      <c r="O6" s="16">
        <f t="shared" si="0"/>
        <v>0</v>
      </c>
      <c r="P6" s="17"/>
      <c r="Q6" s="18">
        <f t="shared" ref="Q6:U6" si="1">SUM(Q7:Q18)</f>
        <v>39216</v>
      </c>
      <c r="R6" s="19">
        <f t="shared" si="1"/>
        <v>6281</v>
      </c>
      <c r="S6" s="20">
        <f t="shared" si="1"/>
        <v>107536</v>
      </c>
      <c r="T6" s="17">
        <f t="shared" si="1"/>
        <v>11754.9</v>
      </c>
      <c r="U6" s="18">
        <f t="shared" si="1"/>
        <v>6729</v>
      </c>
      <c r="V6" s="19">
        <f>SUM(V7:V18)</f>
        <v>3563</v>
      </c>
      <c r="W6" s="20">
        <f>SUM(W7:W18)</f>
        <v>16063</v>
      </c>
      <c r="X6" s="17">
        <f>SUM(X7:X18)</f>
        <v>2066.69</v>
      </c>
      <c r="Y6" s="18">
        <f>SUM(Y7:Y18)</f>
        <v>9219.8000000000011</v>
      </c>
      <c r="Z6" s="16">
        <f t="shared" ref="Z6" si="2">SUM(Z7:Z18)</f>
        <v>25268.120000000003</v>
      </c>
      <c r="AA6" s="55" t="s">
        <v>3</v>
      </c>
    </row>
    <row r="7" spans="1:27" ht="15.75" x14ac:dyDescent="0.25">
      <c r="A7" s="31" t="s">
        <v>8</v>
      </c>
      <c r="B7" s="21">
        <v>4868</v>
      </c>
      <c r="C7" s="21">
        <v>4899</v>
      </c>
      <c r="D7" s="22"/>
      <c r="E7" s="23">
        <v>6320</v>
      </c>
      <c r="F7" s="24">
        <v>6717</v>
      </c>
      <c r="G7" s="25"/>
      <c r="H7" s="21">
        <v>7147.3</v>
      </c>
      <c r="I7" s="21">
        <v>270</v>
      </c>
      <c r="J7" s="22"/>
      <c r="K7" s="23">
        <v>1455</v>
      </c>
      <c r="L7" s="24">
        <v>988</v>
      </c>
      <c r="M7" s="25"/>
      <c r="N7" s="21">
        <v>0</v>
      </c>
      <c r="O7" s="21">
        <v>0</v>
      </c>
      <c r="P7" s="22"/>
      <c r="Q7" s="23">
        <v>5508</v>
      </c>
      <c r="R7" s="24">
        <v>122</v>
      </c>
      <c r="S7" s="25">
        <v>10703</v>
      </c>
      <c r="T7" s="22">
        <v>153</v>
      </c>
      <c r="U7" s="23">
        <v>379</v>
      </c>
      <c r="V7" s="24">
        <v>146</v>
      </c>
      <c r="W7" s="25">
        <v>1142</v>
      </c>
      <c r="X7" s="22">
        <v>180</v>
      </c>
      <c r="Y7" s="23">
        <v>1510.9</v>
      </c>
      <c r="Z7" s="21">
        <v>2510.6999999999998</v>
      </c>
      <c r="AA7" s="56" t="s">
        <v>9</v>
      </c>
    </row>
    <row r="8" spans="1:27" ht="15.75" x14ac:dyDescent="0.25">
      <c r="A8" s="31" t="s">
        <v>10</v>
      </c>
      <c r="B8" s="21">
        <v>6547</v>
      </c>
      <c r="C8" s="21">
        <v>3199</v>
      </c>
      <c r="D8" s="22"/>
      <c r="E8" s="23">
        <v>6403</v>
      </c>
      <c r="F8" s="24">
        <v>7592</v>
      </c>
      <c r="G8" s="25"/>
      <c r="H8" s="21">
        <v>4411</v>
      </c>
      <c r="I8" s="21">
        <v>138</v>
      </c>
      <c r="J8" s="22"/>
      <c r="K8" s="23">
        <v>1933</v>
      </c>
      <c r="L8" s="24">
        <v>1262</v>
      </c>
      <c r="M8" s="25"/>
      <c r="N8" s="21">
        <v>0</v>
      </c>
      <c r="O8" s="21">
        <v>0</v>
      </c>
      <c r="P8" s="22"/>
      <c r="Q8" s="23">
        <v>2367</v>
      </c>
      <c r="R8" s="24">
        <v>484</v>
      </c>
      <c r="S8" s="25">
        <v>10298</v>
      </c>
      <c r="T8" s="22">
        <v>303.10000000000002</v>
      </c>
      <c r="U8" s="23">
        <v>206</v>
      </c>
      <c r="V8" s="24">
        <v>266</v>
      </c>
      <c r="W8" s="25">
        <v>1771</v>
      </c>
      <c r="X8" s="22">
        <v>112</v>
      </c>
      <c r="Y8" s="23">
        <v>903</v>
      </c>
      <c r="Z8" s="21">
        <v>1908</v>
      </c>
      <c r="AA8" s="56" t="s">
        <v>11</v>
      </c>
    </row>
    <row r="9" spans="1:27" ht="15.75" x14ac:dyDescent="0.25">
      <c r="A9" s="31" t="s">
        <v>12</v>
      </c>
      <c r="B9" s="21">
        <v>4304.5</v>
      </c>
      <c r="C9" s="21">
        <v>5257</v>
      </c>
      <c r="D9" s="22"/>
      <c r="E9" s="23">
        <v>7470</v>
      </c>
      <c r="F9" s="24">
        <v>7039</v>
      </c>
      <c r="G9" s="25"/>
      <c r="H9" s="21">
        <v>6010</v>
      </c>
      <c r="I9" s="21">
        <v>497.55</v>
      </c>
      <c r="J9" s="22"/>
      <c r="K9" s="23">
        <v>2439</v>
      </c>
      <c r="L9" s="24">
        <v>358</v>
      </c>
      <c r="M9" s="25"/>
      <c r="N9" s="21">
        <v>0</v>
      </c>
      <c r="O9" s="21">
        <v>0</v>
      </c>
      <c r="P9" s="22"/>
      <c r="Q9" s="23">
        <v>2513</v>
      </c>
      <c r="R9" s="24">
        <v>472</v>
      </c>
      <c r="S9" s="25">
        <v>14134</v>
      </c>
      <c r="T9" s="22">
        <v>2379</v>
      </c>
      <c r="U9" s="23">
        <v>351</v>
      </c>
      <c r="V9" s="24">
        <v>19</v>
      </c>
      <c r="W9" s="25">
        <v>925</v>
      </c>
      <c r="X9" s="22">
        <v>227</v>
      </c>
      <c r="Y9" s="23">
        <v>1258.3</v>
      </c>
      <c r="Z9" s="21">
        <v>1872.9</v>
      </c>
      <c r="AA9" s="56" t="s">
        <v>13</v>
      </c>
    </row>
    <row r="10" spans="1:27" ht="15.75" x14ac:dyDescent="0.25">
      <c r="A10" s="31" t="s">
        <v>14</v>
      </c>
      <c r="B10" s="21">
        <v>3506</v>
      </c>
      <c r="C10" s="21">
        <v>2835.4</v>
      </c>
      <c r="D10" s="22"/>
      <c r="E10" s="23">
        <v>8016</v>
      </c>
      <c r="F10" s="24">
        <v>8872</v>
      </c>
      <c r="G10" s="25"/>
      <c r="H10" s="21">
        <v>7106</v>
      </c>
      <c r="I10" s="21">
        <v>1036</v>
      </c>
      <c r="J10" s="22"/>
      <c r="K10" s="23">
        <v>1835</v>
      </c>
      <c r="L10" s="24">
        <v>291</v>
      </c>
      <c r="M10" s="25"/>
      <c r="N10" s="21">
        <v>0</v>
      </c>
      <c r="O10" s="21">
        <v>0</v>
      </c>
      <c r="P10" s="22"/>
      <c r="Q10" s="23">
        <v>3030</v>
      </c>
      <c r="R10" s="24">
        <v>735</v>
      </c>
      <c r="S10" s="25">
        <v>8412</v>
      </c>
      <c r="T10" s="22">
        <v>1579</v>
      </c>
      <c r="U10" s="23">
        <v>962</v>
      </c>
      <c r="V10" s="24">
        <v>526</v>
      </c>
      <c r="W10" s="25">
        <v>2219</v>
      </c>
      <c r="X10" s="22">
        <v>164</v>
      </c>
      <c r="Y10" s="23">
        <v>423</v>
      </c>
      <c r="Z10" s="21">
        <v>1381.9</v>
      </c>
      <c r="AA10" s="56" t="s">
        <v>15</v>
      </c>
    </row>
    <row r="11" spans="1:27" ht="15.75" x14ac:dyDescent="0.25">
      <c r="A11" s="31" t="s">
        <v>16</v>
      </c>
      <c r="B11" s="21">
        <v>5864</v>
      </c>
      <c r="C11" s="21">
        <v>7106.8</v>
      </c>
      <c r="D11" s="22"/>
      <c r="E11" s="23">
        <v>11032</v>
      </c>
      <c r="F11" s="24">
        <v>4150</v>
      </c>
      <c r="G11" s="25"/>
      <c r="H11" s="21">
        <v>8381</v>
      </c>
      <c r="I11" s="21">
        <v>339.5</v>
      </c>
      <c r="J11" s="22"/>
      <c r="K11" s="23">
        <v>3764</v>
      </c>
      <c r="L11" s="24">
        <v>928</v>
      </c>
      <c r="M11" s="25"/>
      <c r="N11" s="21">
        <v>0</v>
      </c>
      <c r="O11" s="21">
        <v>0</v>
      </c>
      <c r="P11" s="22"/>
      <c r="Q11" s="23">
        <v>1785</v>
      </c>
      <c r="R11" s="24">
        <v>782</v>
      </c>
      <c r="S11" s="25">
        <v>10304</v>
      </c>
      <c r="T11" s="22">
        <v>1397.3</v>
      </c>
      <c r="U11" s="23">
        <v>763</v>
      </c>
      <c r="V11" s="24">
        <v>1037</v>
      </c>
      <c r="W11" s="25">
        <v>1663</v>
      </c>
      <c r="X11" s="22">
        <v>62</v>
      </c>
      <c r="Y11" s="23">
        <v>1433</v>
      </c>
      <c r="Z11" s="21">
        <v>3842</v>
      </c>
      <c r="AA11" s="56" t="s">
        <v>17</v>
      </c>
    </row>
    <row r="12" spans="1:27" ht="15.75" x14ac:dyDescent="0.25">
      <c r="A12" s="31" t="s">
        <v>18</v>
      </c>
      <c r="B12" s="21">
        <v>6165</v>
      </c>
      <c r="C12" s="21">
        <v>6065</v>
      </c>
      <c r="D12" s="22"/>
      <c r="E12" s="23">
        <v>8559</v>
      </c>
      <c r="F12" s="24">
        <v>4617</v>
      </c>
      <c r="G12" s="25"/>
      <c r="H12" s="21">
        <v>7332</v>
      </c>
      <c r="I12" s="21">
        <v>340</v>
      </c>
      <c r="J12" s="22"/>
      <c r="K12" s="23">
        <v>2082</v>
      </c>
      <c r="L12" s="24">
        <v>258</v>
      </c>
      <c r="M12" s="25"/>
      <c r="N12" s="21">
        <v>0</v>
      </c>
      <c r="O12" s="21">
        <v>0</v>
      </c>
      <c r="P12" s="22"/>
      <c r="Q12" s="23">
        <v>1645</v>
      </c>
      <c r="R12" s="24">
        <v>991</v>
      </c>
      <c r="S12" s="25">
        <v>8353</v>
      </c>
      <c r="T12" s="22">
        <v>701</v>
      </c>
      <c r="U12" s="23">
        <v>787</v>
      </c>
      <c r="V12" s="24">
        <v>89</v>
      </c>
      <c r="W12" s="25">
        <v>2976</v>
      </c>
      <c r="X12" s="22">
        <v>0</v>
      </c>
      <c r="Y12" s="23">
        <v>812</v>
      </c>
      <c r="Z12" s="21">
        <v>955</v>
      </c>
      <c r="AA12" s="56" t="s">
        <v>19</v>
      </c>
    </row>
    <row r="13" spans="1:27" ht="15.75" x14ac:dyDescent="0.25">
      <c r="A13" s="31" t="s">
        <v>20</v>
      </c>
      <c r="B13" s="21">
        <v>3816</v>
      </c>
      <c r="C13" s="21">
        <v>4877</v>
      </c>
      <c r="D13" s="22"/>
      <c r="E13" s="23">
        <v>7428</v>
      </c>
      <c r="F13" s="24">
        <v>10118</v>
      </c>
      <c r="G13" s="25"/>
      <c r="H13" s="21">
        <v>7035</v>
      </c>
      <c r="I13" s="21">
        <v>1532</v>
      </c>
      <c r="J13" s="22"/>
      <c r="K13" s="23">
        <v>2764</v>
      </c>
      <c r="L13" s="24">
        <v>290</v>
      </c>
      <c r="M13" s="25"/>
      <c r="N13" s="21">
        <v>0</v>
      </c>
      <c r="O13" s="21">
        <v>0</v>
      </c>
      <c r="P13" s="22"/>
      <c r="Q13" s="23">
        <v>4069</v>
      </c>
      <c r="R13" s="24">
        <v>360</v>
      </c>
      <c r="S13" s="25">
        <v>8419</v>
      </c>
      <c r="T13" s="22">
        <v>1154</v>
      </c>
      <c r="U13" s="23">
        <v>354</v>
      </c>
      <c r="V13" s="24">
        <v>142</v>
      </c>
      <c r="W13" s="25">
        <v>1372</v>
      </c>
      <c r="X13" s="22">
        <v>161.69</v>
      </c>
      <c r="Y13" s="23">
        <v>614</v>
      </c>
      <c r="Z13" s="21">
        <v>2339.1999999999998</v>
      </c>
      <c r="AA13" s="56" t="s">
        <v>21</v>
      </c>
    </row>
    <row r="14" spans="1:27" ht="15.75" x14ac:dyDescent="0.25">
      <c r="A14" s="31" t="s">
        <v>22</v>
      </c>
      <c r="B14" s="21">
        <v>6019</v>
      </c>
      <c r="C14" s="21">
        <v>5207</v>
      </c>
      <c r="D14" s="22"/>
      <c r="E14" s="23">
        <v>8895</v>
      </c>
      <c r="F14" s="24">
        <v>6451</v>
      </c>
      <c r="G14" s="25"/>
      <c r="H14" s="21">
        <v>5828</v>
      </c>
      <c r="I14" s="21">
        <v>553</v>
      </c>
      <c r="J14" s="22"/>
      <c r="K14" s="23">
        <v>2915</v>
      </c>
      <c r="L14" s="24">
        <v>426</v>
      </c>
      <c r="M14" s="25"/>
      <c r="N14" s="21">
        <v>0</v>
      </c>
      <c r="O14" s="21">
        <v>0</v>
      </c>
      <c r="P14" s="22"/>
      <c r="Q14" s="23">
        <v>3993</v>
      </c>
      <c r="R14" s="24">
        <v>337</v>
      </c>
      <c r="S14" s="25">
        <v>7719</v>
      </c>
      <c r="T14" s="22">
        <v>835.2</v>
      </c>
      <c r="U14" s="23">
        <v>1087</v>
      </c>
      <c r="V14" s="24">
        <v>108</v>
      </c>
      <c r="W14" s="25">
        <v>328</v>
      </c>
      <c r="X14" s="22">
        <v>477</v>
      </c>
      <c r="Y14" s="23">
        <v>519</v>
      </c>
      <c r="Z14" s="21">
        <v>1200</v>
      </c>
      <c r="AA14" s="56" t="s">
        <v>23</v>
      </c>
    </row>
    <row r="15" spans="1:27" ht="15.75" x14ac:dyDescent="0.25">
      <c r="A15" s="31" t="s">
        <v>24</v>
      </c>
      <c r="B15" s="21">
        <v>2930</v>
      </c>
      <c r="C15" s="21">
        <v>3931</v>
      </c>
      <c r="D15" s="22"/>
      <c r="E15" s="23">
        <v>9978</v>
      </c>
      <c r="F15" s="24">
        <v>3921</v>
      </c>
      <c r="G15" s="25"/>
      <c r="H15" s="21">
        <v>4491</v>
      </c>
      <c r="I15" s="21">
        <v>601</v>
      </c>
      <c r="J15" s="22"/>
      <c r="K15" s="23">
        <v>2751</v>
      </c>
      <c r="L15" s="24">
        <v>297</v>
      </c>
      <c r="M15" s="25"/>
      <c r="N15" s="21">
        <v>0</v>
      </c>
      <c r="O15" s="21">
        <v>0</v>
      </c>
      <c r="P15" s="22"/>
      <c r="Q15" s="23">
        <v>2571</v>
      </c>
      <c r="R15" s="24">
        <v>358</v>
      </c>
      <c r="S15" s="25">
        <v>6010</v>
      </c>
      <c r="T15" s="22">
        <v>630</v>
      </c>
      <c r="U15" s="23">
        <v>505</v>
      </c>
      <c r="V15" s="24">
        <v>264</v>
      </c>
      <c r="W15" s="25">
        <v>1345</v>
      </c>
      <c r="X15" s="22">
        <v>252</v>
      </c>
      <c r="Y15" s="23">
        <v>788.5</v>
      </c>
      <c r="Z15" s="21">
        <v>3014.4</v>
      </c>
      <c r="AA15" s="56" t="s">
        <v>25</v>
      </c>
    </row>
    <row r="16" spans="1:27" ht="15.75" x14ac:dyDescent="0.25">
      <c r="A16" s="31" t="s">
        <v>26</v>
      </c>
      <c r="B16" s="21">
        <v>3400</v>
      </c>
      <c r="C16" s="21">
        <v>5813</v>
      </c>
      <c r="D16" s="22"/>
      <c r="E16" s="23">
        <v>11739</v>
      </c>
      <c r="F16" s="24">
        <v>6259</v>
      </c>
      <c r="G16" s="25"/>
      <c r="H16" s="21">
        <v>8425</v>
      </c>
      <c r="I16" s="21">
        <v>315.39999999999998</v>
      </c>
      <c r="J16" s="22"/>
      <c r="K16" s="23">
        <v>2085</v>
      </c>
      <c r="L16" s="24">
        <v>448</v>
      </c>
      <c r="M16" s="25"/>
      <c r="N16" s="21">
        <v>0</v>
      </c>
      <c r="O16" s="21">
        <v>0</v>
      </c>
      <c r="P16" s="22"/>
      <c r="Q16" s="23">
        <v>5899</v>
      </c>
      <c r="R16" s="24">
        <v>346</v>
      </c>
      <c r="S16" s="25">
        <v>7896</v>
      </c>
      <c r="T16" s="22">
        <v>1863</v>
      </c>
      <c r="U16" s="23">
        <v>673</v>
      </c>
      <c r="V16" s="24">
        <v>590</v>
      </c>
      <c r="W16" s="25">
        <v>382</v>
      </c>
      <c r="X16" s="22">
        <v>14</v>
      </c>
      <c r="Y16" s="23">
        <v>413</v>
      </c>
      <c r="Z16" s="21">
        <v>3104.22</v>
      </c>
      <c r="AA16" s="56" t="s">
        <v>27</v>
      </c>
    </row>
    <row r="17" spans="1:101" ht="15.75" x14ac:dyDescent="0.25">
      <c r="A17" s="31" t="s">
        <v>28</v>
      </c>
      <c r="B17" s="21">
        <v>2943</v>
      </c>
      <c r="C17" s="21">
        <v>3052</v>
      </c>
      <c r="D17" s="22"/>
      <c r="E17" s="23">
        <v>8306</v>
      </c>
      <c r="F17" s="24">
        <v>7049</v>
      </c>
      <c r="G17" s="25"/>
      <c r="H17" s="21">
        <v>7556</v>
      </c>
      <c r="I17" s="21">
        <v>248</v>
      </c>
      <c r="J17" s="22"/>
      <c r="K17" s="23">
        <v>1255</v>
      </c>
      <c r="L17" s="24">
        <v>346</v>
      </c>
      <c r="M17" s="25"/>
      <c r="N17" s="21">
        <v>0</v>
      </c>
      <c r="O17" s="21">
        <v>0</v>
      </c>
      <c r="P17" s="22"/>
      <c r="Q17" s="23">
        <v>2936</v>
      </c>
      <c r="R17" s="24">
        <v>437</v>
      </c>
      <c r="S17" s="25">
        <v>6856</v>
      </c>
      <c r="T17" s="22">
        <v>328</v>
      </c>
      <c r="U17" s="23">
        <v>464</v>
      </c>
      <c r="V17" s="24">
        <v>88</v>
      </c>
      <c r="W17" s="25">
        <v>897</v>
      </c>
      <c r="X17" s="22">
        <v>179</v>
      </c>
      <c r="Y17" s="23">
        <v>148</v>
      </c>
      <c r="Z17" s="21">
        <v>2508</v>
      </c>
      <c r="AA17" s="56" t="s">
        <v>29</v>
      </c>
    </row>
    <row r="18" spans="1:101" ht="15.75" x14ac:dyDescent="0.25">
      <c r="A18" s="32" t="s">
        <v>30</v>
      </c>
      <c r="B18" s="26">
        <v>2214</v>
      </c>
      <c r="C18" s="26">
        <v>2159</v>
      </c>
      <c r="D18" s="27"/>
      <c r="E18" s="28">
        <v>8840</v>
      </c>
      <c r="F18" s="29">
        <v>13686</v>
      </c>
      <c r="G18" s="30"/>
      <c r="H18" s="26">
        <v>11843</v>
      </c>
      <c r="I18" s="26">
        <v>88.5</v>
      </c>
      <c r="J18" s="27"/>
      <c r="K18" s="28">
        <v>1306</v>
      </c>
      <c r="L18" s="29">
        <v>652</v>
      </c>
      <c r="M18" s="30"/>
      <c r="N18" s="26">
        <v>0</v>
      </c>
      <c r="O18" s="26">
        <v>0</v>
      </c>
      <c r="P18" s="27"/>
      <c r="Q18" s="28">
        <v>2900</v>
      </c>
      <c r="R18" s="29">
        <v>857</v>
      </c>
      <c r="S18" s="30">
        <v>8432</v>
      </c>
      <c r="T18" s="27">
        <v>432.3</v>
      </c>
      <c r="U18" s="28">
        <v>198</v>
      </c>
      <c r="V18" s="29">
        <v>288</v>
      </c>
      <c r="W18" s="30">
        <v>1043</v>
      </c>
      <c r="X18" s="27">
        <v>238</v>
      </c>
      <c r="Y18" s="28">
        <v>397.1</v>
      </c>
      <c r="Z18" s="26">
        <v>631.79999999999995</v>
      </c>
      <c r="AA18" s="57" t="s">
        <v>31</v>
      </c>
    </row>
    <row r="19" spans="1:101" s="48" customFormat="1" ht="18.75" x14ac:dyDescent="0.25">
      <c r="A19" s="44" t="s">
        <v>45</v>
      </c>
      <c r="B19" s="44"/>
      <c r="C19" s="45"/>
      <c r="D19" s="45"/>
      <c r="E19" s="45"/>
      <c r="F19" s="45"/>
      <c r="G19" s="45"/>
      <c r="H19" s="45"/>
      <c r="I19" s="45"/>
      <c r="J19" s="45"/>
      <c r="K19" s="46"/>
      <c r="L19" s="46"/>
      <c r="M19" s="46"/>
      <c r="N19" s="46"/>
      <c r="O19" s="47"/>
      <c r="P19" s="46"/>
      <c r="Q19" s="46"/>
      <c r="R19" s="47"/>
      <c r="S19" s="47"/>
      <c r="T19" s="47"/>
      <c r="U19" s="47"/>
      <c r="V19" s="47"/>
      <c r="W19" s="47"/>
      <c r="X19" s="47"/>
      <c r="Y19" s="47"/>
      <c r="Z19" s="47"/>
      <c r="AA19" s="58" t="s">
        <v>5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</row>
    <row r="20" spans="1:101" s="1" customFormat="1" ht="18.75" x14ac:dyDescent="0.25">
      <c r="A20" s="33" t="s">
        <v>46</v>
      </c>
      <c r="B20" s="33"/>
      <c r="C20" s="4"/>
      <c r="D20" s="4"/>
      <c r="E20" s="4"/>
      <c r="F20" s="4"/>
      <c r="G20" s="4"/>
      <c r="H20" s="4"/>
      <c r="I20" s="4"/>
      <c r="J20" s="4"/>
      <c r="K20" s="49"/>
      <c r="L20" s="49"/>
      <c r="M20" s="49"/>
      <c r="N20" s="49"/>
      <c r="O20" s="2"/>
      <c r="P20" s="49"/>
      <c r="Q20" s="49"/>
      <c r="R20" s="2"/>
      <c r="S20" s="2"/>
      <c r="T20" s="2"/>
      <c r="U20" s="2"/>
      <c r="V20" s="2"/>
      <c r="W20" s="2"/>
      <c r="X20" s="2"/>
      <c r="Y20" s="2"/>
      <c r="Z20" s="2"/>
      <c r="AA20" s="50"/>
    </row>
    <row r="21" spans="1:101" s="1" customFormat="1" ht="18.75" x14ac:dyDescent="0.25">
      <c r="A21" s="33" t="s">
        <v>47</v>
      </c>
      <c r="B21" s="33"/>
      <c r="C21" s="4"/>
      <c r="D21" s="4"/>
      <c r="E21" s="4"/>
      <c r="F21" s="4"/>
      <c r="G21" s="4"/>
      <c r="H21" s="4"/>
      <c r="I21" s="4"/>
      <c r="J21" s="4"/>
      <c r="K21" s="49"/>
      <c r="L21" s="49"/>
      <c r="M21" s="49"/>
      <c r="N21" s="49"/>
      <c r="O21" s="2"/>
      <c r="P21" s="49"/>
      <c r="Q21" s="49"/>
      <c r="R21" s="2"/>
      <c r="S21" s="2"/>
      <c r="T21" s="2"/>
      <c r="U21" s="2"/>
      <c r="V21" s="2"/>
      <c r="W21" s="2"/>
      <c r="X21" s="2"/>
      <c r="Y21" s="2"/>
      <c r="Z21" s="2"/>
      <c r="AA21" s="50"/>
    </row>
    <row r="22" spans="1:101" s="1" customFormat="1" ht="17.25" x14ac:dyDescent="0.25">
      <c r="A22" s="33" t="s">
        <v>48</v>
      </c>
      <c r="B22" s="51"/>
      <c r="C22" s="51"/>
      <c r="D22" s="51"/>
      <c r="E22" s="51"/>
      <c r="F22" s="51"/>
      <c r="G22" s="51"/>
      <c r="H22" s="51"/>
      <c r="I22" s="51"/>
      <c r="J22" s="51"/>
      <c r="K22" s="3"/>
      <c r="L22" s="3"/>
      <c r="M22" s="3"/>
      <c r="P22" s="3"/>
      <c r="AA22" s="52"/>
    </row>
    <row r="23" spans="1:101" s="1" customFormat="1" ht="14.25" customHeight="1" x14ac:dyDescent="0.25">
      <c r="A23" s="33" t="s">
        <v>4</v>
      </c>
      <c r="B23" s="51"/>
      <c r="C23" s="51"/>
      <c r="D23" s="51"/>
      <c r="E23" s="51"/>
      <c r="F23" s="51"/>
      <c r="G23" s="51"/>
      <c r="H23" s="51"/>
      <c r="I23" s="51"/>
      <c r="J23" s="51"/>
      <c r="K23" s="3"/>
      <c r="L23" s="3"/>
      <c r="M23" s="3"/>
      <c r="P23" s="3"/>
    </row>
    <row r="24" spans="1:101" s="1" customFormat="1" ht="6" customHeight="1" x14ac:dyDescent="0.25"/>
    <row r="25" spans="1:101" s="1" customFormat="1" x14ac:dyDescent="0.25"/>
    <row r="26" spans="1:101" s="1" customFormat="1" x14ac:dyDescent="0.25"/>
    <row r="27" spans="1:101" s="1" customFormat="1" x14ac:dyDescent="0.25"/>
    <row r="28" spans="1:101" s="1" customFormat="1" x14ac:dyDescent="0.25"/>
    <row r="29" spans="1:101" s="1" customFormat="1" x14ac:dyDescent="0.25"/>
    <row r="30" spans="1:101" s="1" customFormat="1" x14ac:dyDescent="0.25"/>
    <row r="31" spans="1:101" s="1" customFormat="1" x14ac:dyDescent="0.25"/>
    <row r="32" spans="1:101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</sheetData>
  <mergeCells count="15">
    <mergeCell ref="A1:AA1"/>
    <mergeCell ref="A2:AA2"/>
    <mergeCell ref="A3:AA3"/>
    <mergeCell ref="A4:A5"/>
    <mergeCell ref="B4:C4"/>
    <mergeCell ref="E4:F4"/>
    <mergeCell ref="H4:I4"/>
    <mergeCell ref="K4:L4"/>
    <mergeCell ref="N4:O4"/>
    <mergeCell ref="Q4:R4"/>
    <mergeCell ref="S4:T4"/>
    <mergeCell ref="U4:V4"/>
    <mergeCell ref="W4:X4"/>
    <mergeCell ref="Y4:Z4"/>
    <mergeCell ref="AA4:AA5"/>
  </mergeCells>
  <pageMargins left="0.7" right="0.7" top="0.75" bottom="0.75" header="0.3" footer="0.3"/>
  <pageSetup paperSize="9" scale="4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11.24</vt:lpstr>
      <vt:lpstr>'11.24'!Print_Area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2019-05-13T06:45:13Z</cp:lastPrinted>
  <dcterms:created xsi:type="dcterms:W3CDTF">2019-03-24T03:32:16Z</dcterms:created>
  <dcterms:modified xsi:type="dcterms:W3CDTF">2019-05-13T06:45:23Z</dcterms:modified>
</cp:coreProperties>
</file>