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26" sheetId="11" r:id="rId1"/>
  </sheets>
  <definedNames>
    <definedName name="_xlnm.Print_Area" localSheetId="0">'11.26'!$A$1:$M$69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5" i="11" l="1"/>
  <c r="B44" i="11"/>
  <c r="B43" i="11"/>
  <c r="B42" i="11"/>
  <c r="B41" i="11"/>
  <c r="B40" i="11"/>
  <c r="B39" i="11"/>
  <c r="B38" i="11"/>
  <c r="B37" i="11"/>
  <c r="B36" i="11"/>
  <c r="B35" i="11"/>
  <c r="B34" i="11"/>
  <c r="L33" i="11"/>
  <c r="K33" i="11"/>
  <c r="J33" i="11"/>
  <c r="I33" i="11"/>
  <c r="H33" i="11"/>
  <c r="G33" i="11"/>
  <c r="F33" i="11"/>
  <c r="E33" i="11"/>
  <c r="D33" i="11"/>
  <c r="C33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L8" i="11"/>
  <c r="K8" i="11"/>
  <c r="J8" i="11"/>
  <c r="I8" i="11"/>
  <c r="H8" i="11"/>
  <c r="G8" i="11"/>
  <c r="F8" i="11"/>
  <c r="E8" i="11"/>
  <c r="D8" i="11"/>
  <c r="C8" i="11"/>
  <c r="B33" i="11" l="1"/>
  <c r="B8" i="11"/>
</calcChain>
</file>

<file path=xl/sharedStrings.xml><?xml version="1.0" encoding="utf-8"?>
<sst xmlns="http://schemas.openxmlformats.org/spreadsheetml/2006/main" count="88" uniqueCount="37">
  <si>
    <t>Total</t>
  </si>
  <si>
    <t>Month</t>
  </si>
  <si>
    <t>May</t>
  </si>
  <si>
    <t>Jan</t>
  </si>
  <si>
    <t>Feb</t>
  </si>
  <si>
    <t>Aug</t>
  </si>
  <si>
    <t>Sep</t>
  </si>
  <si>
    <t>Oct</t>
  </si>
  <si>
    <t>Nov</t>
  </si>
  <si>
    <t>Dec</t>
  </si>
  <si>
    <t>Male'</t>
  </si>
  <si>
    <t>Mar</t>
  </si>
  <si>
    <t>Apr</t>
  </si>
  <si>
    <t>Jun</t>
  </si>
  <si>
    <t>Jul</t>
  </si>
  <si>
    <t>Ferry service</t>
  </si>
  <si>
    <t>Bus service</t>
  </si>
  <si>
    <t>Source: Maldives Transport and Contracting Company</t>
  </si>
  <si>
    <t xml:space="preserve"> Hulhumale</t>
  </si>
  <si>
    <t>Villigili Ferry</t>
  </si>
  <si>
    <t>Villigili</t>
  </si>
  <si>
    <t>Hulhumale' Ferry</t>
  </si>
  <si>
    <t>Hulhumale' Premium Ferry</t>
  </si>
  <si>
    <t>Thilafushi</t>
  </si>
  <si>
    <t xml:space="preserve">Thilafushi </t>
  </si>
  <si>
    <t>Airport Bus</t>
  </si>
  <si>
    <t>Hulhumale'N1 &amp; N2</t>
  </si>
  <si>
    <r>
      <t>Bus service</t>
    </r>
    <r>
      <rPr>
        <b/>
        <vertAlign val="superscript"/>
        <sz val="11"/>
        <color theme="1"/>
        <rFont val="Calibri"/>
        <family val="2"/>
        <scheme val="minor"/>
      </rPr>
      <t>2_/</t>
    </r>
  </si>
  <si>
    <r>
      <t>Hulhumale' Premium Ferry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</si>
  <si>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t>Note:</t>
  </si>
  <si>
    <r>
      <rPr>
        <i/>
        <vertAlign val="superscript"/>
        <sz val="10"/>
        <rFont val="Calibri"/>
        <family val="2"/>
        <scheme val="minor"/>
      </rPr>
      <t>1_/</t>
    </r>
    <r>
      <rPr>
        <i/>
        <sz val="10"/>
        <rFont val="Calibri"/>
        <family val="2"/>
        <scheme val="minor"/>
      </rPr>
      <t xml:space="preserve"> : Premium Air Conditioned Ferry Service between Male' and Hulhumale'.</t>
    </r>
  </si>
  <si>
    <r>
      <rPr>
        <i/>
        <vertAlign val="superscript"/>
        <sz val="10"/>
        <rFont val="Calibri"/>
        <family val="2"/>
        <scheme val="minor"/>
      </rPr>
      <t>2_/:</t>
    </r>
    <r>
      <rPr>
        <i/>
        <sz val="10"/>
        <rFont val="Calibri"/>
        <family val="2"/>
        <scheme val="minor"/>
      </rPr>
      <t xml:space="preserve"> Metro Bus- Serves Hulhumale’ along its main transport routes and between Hulhumale’ and Velana International Airport (VIA). </t>
    </r>
  </si>
  <si>
    <t>Table 11.26: Monthly passanger movement by mode of transport, 2018</t>
  </si>
  <si>
    <t>Table 11.26: Monthly passanger movement by mode of transport, 2017</t>
  </si>
  <si>
    <t>Hulhumale'N1 &amp; N2 bus</t>
  </si>
  <si>
    <t>Thilafushi ferry</t>
  </si>
  <si>
    <t>ތާވަލު 11.26: އެކި މަސްމަހު އެމް.ޓީ.ސީ.ސީ ދަތުރުފަތުރުގެ ޚިދުމަތް ބޭނުންކުރި ޕަސިންޖަރުންގެ އަދަދު،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</si>
</sst>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i/>
      <vertAlign val="superscript"/>
      <sz val="10"/>
      <name val="Calibri"/>
      <family val="2"/>
      <scheme val="minor"/>
    </font>
    <font>
      <u/>
      <sz val="10"/>
      <color indexed="12"/>
      <name val="Arial"/>
      <family val="2"/>
    </font>
    <font>
      <b/>
      <sz val="14"/>
      <name val="Faruma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4" fillId="0" borderId="0" applyFont="0" applyFill="0" applyBorder="0" applyAlignment="0" applyProtection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47">
    <xf numFmtId="0" fontId="0" fillId="0" borderId="0" xfId="0"/>
    <xf numFmtId="0" fontId="0" fillId="2" borderId="0" xfId="0" applyFill="1"/>
    <xf numFmtId="165" fontId="0" fillId="2" borderId="0" xfId="1" applyNumberFormat="1" applyFont="1" applyFill="1" applyBorder="1"/>
    <xf numFmtId="0" fontId="0" fillId="2" borderId="0" xfId="0" applyFill="1" applyBorder="1" applyAlignment="1">
      <alignment horizontal="left" indent="1"/>
    </xf>
    <xf numFmtId="165" fontId="6" fillId="2" borderId="0" xfId="0" applyNumberFormat="1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wrapText="1"/>
    </xf>
    <xf numFmtId="165" fontId="0" fillId="2" borderId="4" xfId="1" applyNumberFormat="1" applyFont="1" applyFill="1" applyBorder="1"/>
    <xf numFmtId="165" fontId="0" fillId="2" borderId="6" xfId="1" applyNumberFormat="1" applyFont="1" applyFill="1" applyBorder="1"/>
    <xf numFmtId="165" fontId="6" fillId="2" borderId="4" xfId="0" applyNumberFormat="1" applyFont="1" applyFill="1" applyBorder="1" applyAlignment="1">
      <alignment horizontal="right" vertical="center" wrapText="1"/>
    </xf>
    <xf numFmtId="0" fontId="7" fillId="2" borderId="0" xfId="0" applyFont="1" applyFill="1"/>
    <xf numFmtId="0" fontId="8" fillId="2" borderId="0" xfId="0" applyFont="1" applyFill="1"/>
    <xf numFmtId="0" fontId="0" fillId="2" borderId="1" xfId="0" applyFill="1" applyBorder="1" applyAlignment="1">
      <alignment horizontal="left" indent="1"/>
    </xf>
    <xf numFmtId="165" fontId="6" fillId="2" borderId="1" xfId="0" applyNumberFormat="1" applyFont="1" applyFill="1" applyBorder="1" applyAlignment="1">
      <alignment horizontal="right" vertical="center" wrapText="1"/>
    </xf>
    <xf numFmtId="165" fontId="0" fillId="2" borderId="8" xfId="1" applyNumberFormat="1" applyFont="1" applyFill="1" applyBorder="1"/>
    <xf numFmtId="165" fontId="0" fillId="2" borderId="10" xfId="1" applyNumberFormat="1" applyFont="1" applyFill="1" applyBorder="1"/>
    <xf numFmtId="165" fontId="0" fillId="2" borderId="1" xfId="1" applyNumberFormat="1" applyFont="1" applyFill="1" applyBorder="1"/>
    <xf numFmtId="165" fontId="6" fillId="2" borderId="10" xfId="0" applyNumberFormat="1" applyFont="1" applyFill="1" applyBorder="1" applyAlignment="1">
      <alignment horizontal="right" vertical="center" wrapText="1"/>
    </xf>
    <xf numFmtId="165" fontId="6" fillId="2" borderId="6" xfId="0" applyNumberFormat="1" applyFont="1" applyFill="1" applyBorder="1" applyAlignment="1">
      <alignment horizontal="right" vertical="center" wrapText="1"/>
    </xf>
    <xf numFmtId="0" fontId="6" fillId="2" borderId="8" xfId="0" applyFont="1" applyFill="1" applyBorder="1" applyAlignment="1">
      <alignment horizontal="right" vertical="center" wrapText="1"/>
    </xf>
    <xf numFmtId="0" fontId="6" fillId="2" borderId="10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5" fillId="2" borderId="0" xfId="0" applyFont="1" applyFill="1"/>
    <xf numFmtId="3" fontId="0" fillId="2" borderId="0" xfId="0" applyNumberFormat="1" applyFill="1"/>
    <xf numFmtId="0" fontId="13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right" vertical="center" wrapText="1"/>
    </xf>
    <xf numFmtId="0" fontId="6" fillId="2" borderId="8" xfId="0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right" vertical="center" wrapText="1"/>
    </xf>
    <xf numFmtId="0" fontId="6" fillId="2" borderId="4" xfId="0" applyFont="1" applyFill="1" applyBorder="1" applyAlignment="1">
      <alignment horizontal="right" vertical="center" wrapText="1"/>
    </xf>
    <xf numFmtId="0" fontId="6" fillId="2" borderId="10" xfId="0" applyFont="1" applyFill="1" applyBorder="1" applyAlignment="1">
      <alignment horizontal="right" vertical="center" wrapText="1"/>
    </xf>
  </cellXfs>
  <cellStyles count="11">
    <cellStyle name="Comma" xfId="1" builtinId="3"/>
    <cellStyle name="Comma 2" xfId="3"/>
    <cellStyle name="Comma 4" xfId="6"/>
    <cellStyle name="Hyperlink 2" xfId="7"/>
    <cellStyle name="Normal" xfId="0" builtinId="0"/>
    <cellStyle name="Normal 2" xfId="2"/>
    <cellStyle name="Normal 2 3" xfId="9"/>
    <cellStyle name="Normal 3" xfId="4"/>
    <cellStyle name="Normal 3 2" xfId="10"/>
    <cellStyle name="Normal 4" xfId="5"/>
    <cellStyle name="Normal 5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980628259756091E-2"/>
          <c:y val="0.14290109690045971"/>
          <c:w val="0.90344742441404724"/>
          <c:h val="0.636932623306479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1.9930607265640108E-3"/>
                  <c:y val="1.91767936522385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060-4075-BA20-F15BEEDFB672}"/>
                </c:ext>
              </c:extLst>
            </c:dLbl>
            <c:dLbl>
              <c:idx val="5"/>
              <c:layout>
                <c:manualLayout>
                  <c:x val="1.341339537557121E-3"/>
                  <c:y val="2.30303581994447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060-4075-BA20-F15BEEDFB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'11.26'!$AF$59:$AG$68</c:f>
              <c:multiLvlStrCache>
                <c:ptCount val="10"/>
                <c:lvl>
                  <c:pt idx="0">
                    <c:v>Male'</c:v>
                  </c:pt>
                  <c:pt idx="1">
                    <c:v> Hulhumale</c:v>
                  </c:pt>
                  <c:pt idx="2">
                    <c:v>Male'</c:v>
                  </c:pt>
                  <c:pt idx="3">
                    <c:v> Hulhumale</c:v>
                  </c:pt>
                  <c:pt idx="4">
                    <c:v>Male'</c:v>
                  </c:pt>
                  <c:pt idx="5">
                    <c:v>Villigili</c:v>
                  </c:pt>
                  <c:pt idx="6">
                    <c:v>Male'</c:v>
                  </c:pt>
                  <c:pt idx="7">
                    <c:v>Thilafushi </c:v>
                  </c:pt>
                  <c:pt idx="8">
                    <c:v>Hulhumale'N1 &amp; N2 bus</c:v>
                  </c:pt>
                  <c:pt idx="9">
                    <c:v>Airport Bus</c:v>
                  </c:pt>
                </c:lvl>
                <c:lvl>
                  <c:pt idx="0">
                    <c:v>Hulhumale' Ferry</c:v>
                  </c:pt>
                  <c:pt idx="2">
                    <c:v>Hulhumale' Premium Ferry</c:v>
                  </c:pt>
                  <c:pt idx="4">
                    <c:v>Villigili Ferry</c:v>
                  </c:pt>
                  <c:pt idx="6">
                    <c:v>Thilafushi ferry</c:v>
                  </c:pt>
                  <c:pt idx="8">
                    <c:v>Bus service</c:v>
                  </c:pt>
                </c:lvl>
              </c:multiLvlStrCache>
            </c:multiLvlStrRef>
          </c:cat>
          <c:val>
            <c:numRef>
              <c:f>'11.26'!$AH$59:$AH$68</c:f>
              <c:numCache>
                <c:formatCode>#,##0</c:formatCode>
                <c:ptCount val="10"/>
                <c:pt idx="0">
                  <c:v>2351368</c:v>
                </c:pt>
                <c:pt idx="1">
                  <c:v>2326923</c:v>
                </c:pt>
                <c:pt idx="2">
                  <c:v>1036556</c:v>
                </c:pt>
                <c:pt idx="3">
                  <c:v>1041369</c:v>
                </c:pt>
                <c:pt idx="4">
                  <c:v>2831281</c:v>
                </c:pt>
                <c:pt idx="5">
                  <c:v>2846760</c:v>
                </c:pt>
                <c:pt idx="6">
                  <c:v>327601</c:v>
                </c:pt>
                <c:pt idx="7">
                  <c:v>324403</c:v>
                </c:pt>
                <c:pt idx="8">
                  <c:v>1237551</c:v>
                </c:pt>
                <c:pt idx="9">
                  <c:v>1017032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0-4075-BA20-F15BEEDFB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-27"/>
        <c:axId val="986579024"/>
        <c:axId val="986596496"/>
      </c:barChart>
      <c:catAx>
        <c:axId val="98657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596496"/>
        <c:crosses val="autoZero"/>
        <c:auto val="1"/>
        <c:lblAlgn val="ctr"/>
        <c:lblOffset val="100"/>
        <c:noMultiLvlLbl val="0"/>
      </c:catAx>
      <c:valAx>
        <c:axId val="98659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57902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219074</xdr:colOff>
      <xdr:row>49</xdr:row>
      <xdr:rowOff>161926</xdr:rowOff>
    </xdr:from>
    <xdr:to>
      <xdr:col>11</xdr:col>
      <xdr:colOff>85725</xdr:colOff>
      <xdr:row>67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0.23388</cdr:x>
      <cdr:y>0.02581</cdr:y>
    </cdr:from>
    <cdr:to>
      <cdr:x>0.8</cdr:x>
      <cdr:y>0.10108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38351" y="114301"/>
          <a:ext cx="4933950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j-lt"/>
              <a:ea typeface="+mn-ea"/>
              <a:cs typeface="+mn-cs"/>
            </a:rPr>
            <a:t>Figure </a:t>
          </a:r>
          <a:r>
            <a:rPr lang="en-US" sz="1200" b="1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11.14: Passenger 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j-lt"/>
              <a:ea typeface="+mn-ea"/>
              <a:cs typeface="+mn-cs"/>
            </a:rPr>
            <a:t>movement by type  of transport service, 2018</a:t>
          </a:r>
          <a:endParaRPr lang="en-US" sz="1200" b="1">
            <a:solidFill>
              <a:schemeClr val="tx1">
                <a:lumMod val="75000"/>
                <a:lumOff val="25000"/>
              </a:schemeClr>
            </a:solidFill>
            <a:effectLst/>
            <a:latin typeface="+mj-lt"/>
          </a:endParaRPr>
        </a:p>
        <a:p xmlns:a="http://schemas.openxmlformats.org/drawingml/2006/main">
          <a:endParaRPr lang="en-US" sz="1200">
            <a:latin typeface="+mj-lt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Q68"/>
  <sheetViews>
    <sheetView tabSelected="1" zoomScaleNormal="100" workbookViewId="0">
      <selection activeCell="Q14" sqref="Q14"/>
    </sheetView>
  </sheetViews>
  <sheetFormatPr defaultRowHeight="15" x14ac:dyDescent="0.25"/>
  <cols>
    <col min="1" max="1" width="9.140625" style="1"/>
    <col min="2" max="2" width="12" style="1" customWidth="1"/>
    <col min="3" max="12" width="14" style="1" customWidth="1"/>
    <col min="13" max="13" width="5.28515625" style="1" customWidth="1"/>
    <col min="14" max="28" width="7.140625" style="1" customWidth="1"/>
    <col min="29" max="31" width="5.85546875" style="1" customWidth="1"/>
    <col min="32" max="32" width="10.5703125" style="1" customWidth="1"/>
    <col min="33" max="33" width="12.7109375" style="1" customWidth="1"/>
    <col min="34" max="34" width="16" style="1" customWidth="1"/>
    <col min="35" max="35" width="5.85546875" style="1" customWidth="1"/>
    <col min="36" max="16384" width="9.140625" style="1"/>
  </cols>
  <sheetData>
    <row r="1" spans="1:43" ht="25.5" x14ac:dyDescent="0.25">
      <c r="A1" s="24" t="s">
        <v>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</row>
    <row r="2" spans="1:43" x14ac:dyDescent="0.25">
      <c r="A2" s="39" t="s">
        <v>32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4" spans="1:43" x14ac:dyDescent="0.25">
      <c r="A4" s="41" t="s">
        <v>1</v>
      </c>
      <c r="B4" s="44" t="s">
        <v>0</v>
      </c>
      <c r="C4" s="32">
        <v>2018</v>
      </c>
      <c r="D4" s="32"/>
      <c r="E4" s="32"/>
      <c r="F4" s="32"/>
      <c r="G4" s="32"/>
      <c r="H4" s="32"/>
      <c r="I4" s="32"/>
      <c r="J4" s="32"/>
      <c r="K4" s="32"/>
      <c r="L4" s="32"/>
    </row>
    <row r="5" spans="1:43" ht="17.25" x14ac:dyDescent="0.25">
      <c r="A5" s="42"/>
      <c r="B5" s="45"/>
      <c r="C5" s="34" t="s">
        <v>15</v>
      </c>
      <c r="D5" s="34"/>
      <c r="E5" s="34"/>
      <c r="F5" s="34"/>
      <c r="G5" s="34"/>
      <c r="H5" s="34"/>
      <c r="I5" s="34"/>
      <c r="J5" s="35"/>
      <c r="K5" s="34" t="s">
        <v>27</v>
      </c>
      <c r="L5" s="34"/>
    </row>
    <row r="6" spans="1:43" x14ac:dyDescent="0.25">
      <c r="A6" s="42"/>
      <c r="B6" s="45"/>
      <c r="C6" s="25" t="s">
        <v>21</v>
      </c>
      <c r="D6" s="26"/>
      <c r="E6" s="27" t="s">
        <v>28</v>
      </c>
      <c r="F6" s="26"/>
      <c r="G6" s="27" t="s">
        <v>19</v>
      </c>
      <c r="H6" s="26"/>
      <c r="I6" s="27" t="s">
        <v>23</v>
      </c>
      <c r="J6" s="26"/>
      <c r="K6" s="36" t="s">
        <v>26</v>
      </c>
      <c r="L6" s="28" t="s">
        <v>25</v>
      </c>
    </row>
    <row r="7" spans="1:43" x14ac:dyDescent="0.25">
      <c r="A7" s="43"/>
      <c r="B7" s="46"/>
      <c r="C7" s="20" t="s">
        <v>10</v>
      </c>
      <c r="D7" s="19" t="s">
        <v>18</v>
      </c>
      <c r="E7" s="18" t="s">
        <v>10</v>
      </c>
      <c r="F7" s="19" t="s">
        <v>18</v>
      </c>
      <c r="G7" s="18" t="s">
        <v>10</v>
      </c>
      <c r="H7" s="19" t="s">
        <v>20</v>
      </c>
      <c r="I7" s="20" t="s">
        <v>10</v>
      </c>
      <c r="J7" s="19" t="s">
        <v>24</v>
      </c>
      <c r="K7" s="37"/>
      <c r="L7" s="30"/>
    </row>
    <row r="8" spans="1:43" x14ac:dyDescent="0.25">
      <c r="A8" s="5" t="s">
        <v>0</v>
      </c>
      <c r="B8" s="8">
        <f>SUM(C8:L8)</f>
        <v>15340844</v>
      </c>
      <c r="C8" s="4">
        <f>SUM(C9:C20)</f>
        <v>2351368</v>
      </c>
      <c r="D8" s="8">
        <f t="shared" ref="D8:L8" si="0">SUM(D9:D20)</f>
        <v>2326923</v>
      </c>
      <c r="E8" s="17">
        <f t="shared" si="0"/>
        <v>1036556</v>
      </c>
      <c r="F8" s="8">
        <f t="shared" si="0"/>
        <v>1041369</v>
      </c>
      <c r="G8" s="17">
        <f t="shared" si="0"/>
        <v>2831281</v>
      </c>
      <c r="H8" s="8">
        <f t="shared" si="0"/>
        <v>2846760</v>
      </c>
      <c r="I8" s="4">
        <f t="shared" si="0"/>
        <v>327601</v>
      </c>
      <c r="J8" s="8">
        <f t="shared" si="0"/>
        <v>324403</v>
      </c>
      <c r="K8" s="4">
        <f t="shared" si="0"/>
        <v>1237551</v>
      </c>
      <c r="L8" s="4">
        <f t="shared" si="0"/>
        <v>1017032</v>
      </c>
    </row>
    <row r="9" spans="1:43" x14ac:dyDescent="0.25">
      <c r="A9" s="3" t="s">
        <v>3</v>
      </c>
      <c r="B9" s="8">
        <f>SUM(C9:L9)</f>
        <v>1547775</v>
      </c>
      <c r="C9" s="2">
        <v>323346</v>
      </c>
      <c r="D9" s="6">
        <v>325467</v>
      </c>
      <c r="E9" s="7">
        <v>65267</v>
      </c>
      <c r="F9" s="6">
        <v>66771</v>
      </c>
      <c r="G9" s="7">
        <v>243305</v>
      </c>
      <c r="H9" s="6">
        <v>247723</v>
      </c>
      <c r="I9" s="2">
        <v>27497</v>
      </c>
      <c r="J9" s="6">
        <v>27649</v>
      </c>
      <c r="K9" s="2">
        <v>123988</v>
      </c>
      <c r="L9" s="2">
        <v>96762</v>
      </c>
    </row>
    <row r="10" spans="1:43" x14ac:dyDescent="0.25">
      <c r="A10" s="3" t="s">
        <v>4</v>
      </c>
      <c r="B10" s="8">
        <f t="shared" ref="B10:B20" si="1">SUM(C10:L10)</f>
        <v>1371633</v>
      </c>
      <c r="C10" s="2">
        <v>280164</v>
      </c>
      <c r="D10" s="6">
        <v>280973</v>
      </c>
      <c r="E10" s="7">
        <v>53888</v>
      </c>
      <c r="F10" s="6">
        <v>53503</v>
      </c>
      <c r="G10" s="7">
        <v>227883</v>
      </c>
      <c r="H10" s="6">
        <v>228332</v>
      </c>
      <c r="I10" s="2">
        <v>25013</v>
      </c>
      <c r="J10" s="6">
        <v>25321</v>
      </c>
      <c r="K10" s="2">
        <v>111021</v>
      </c>
      <c r="L10" s="2">
        <v>85535</v>
      </c>
    </row>
    <row r="11" spans="1:43" x14ac:dyDescent="0.25">
      <c r="A11" s="3" t="s">
        <v>11</v>
      </c>
      <c r="B11" s="8">
        <f t="shared" si="1"/>
        <v>1610366</v>
      </c>
      <c r="C11" s="2">
        <v>329778</v>
      </c>
      <c r="D11" s="6">
        <v>326080</v>
      </c>
      <c r="E11" s="7">
        <v>68512</v>
      </c>
      <c r="F11" s="6">
        <v>64886</v>
      </c>
      <c r="G11" s="7">
        <v>260917</v>
      </c>
      <c r="H11" s="6">
        <v>261372</v>
      </c>
      <c r="I11" s="2">
        <v>29204</v>
      </c>
      <c r="J11" s="6">
        <v>28859</v>
      </c>
      <c r="K11" s="2">
        <v>143593</v>
      </c>
      <c r="L11" s="2">
        <v>97165</v>
      </c>
    </row>
    <row r="12" spans="1:43" x14ac:dyDescent="0.25">
      <c r="A12" s="3" t="s">
        <v>12</v>
      </c>
      <c r="B12" s="8">
        <f t="shared" si="1"/>
        <v>1539819</v>
      </c>
      <c r="C12" s="2">
        <v>293580</v>
      </c>
      <c r="D12" s="6">
        <v>285952</v>
      </c>
      <c r="E12" s="7">
        <v>84391</v>
      </c>
      <c r="F12" s="6">
        <v>81541</v>
      </c>
      <c r="G12" s="7">
        <v>256828</v>
      </c>
      <c r="H12" s="6">
        <v>257820</v>
      </c>
      <c r="I12" s="2">
        <v>28355</v>
      </c>
      <c r="J12" s="6">
        <v>28582</v>
      </c>
      <c r="K12" s="2">
        <v>131674</v>
      </c>
      <c r="L12" s="2">
        <v>91096</v>
      </c>
    </row>
    <row r="13" spans="1:43" x14ac:dyDescent="0.25">
      <c r="A13" s="3" t="s">
        <v>2</v>
      </c>
      <c r="B13" s="8">
        <f t="shared" si="1"/>
        <v>1404250</v>
      </c>
      <c r="C13" s="2">
        <v>237014</v>
      </c>
      <c r="D13" s="6">
        <v>232463</v>
      </c>
      <c r="E13" s="7">
        <v>107244</v>
      </c>
      <c r="F13" s="6">
        <v>108486</v>
      </c>
      <c r="G13" s="7">
        <v>230992</v>
      </c>
      <c r="H13" s="6">
        <v>230178</v>
      </c>
      <c r="I13" s="2">
        <v>27200</v>
      </c>
      <c r="J13" s="6">
        <v>27448</v>
      </c>
      <c r="K13" s="2">
        <v>112034</v>
      </c>
      <c r="L13" s="2">
        <v>91191</v>
      </c>
    </row>
    <row r="14" spans="1:43" ht="15" customHeight="1" x14ac:dyDescent="0.25">
      <c r="A14" s="3" t="s">
        <v>13</v>
      </c>
      <c r="B14" s="8">
        <f t="shared" si="1"/>
        <v>1408300</v>
      </c>
      <c r="C14" s="2">
        <v>226547</v>
      </c>
      <c r="D14" s="6">
        <v>224822</v>
      </c>
      <c r="E14" s="7">
        <v>133719</v>
      </c>
      <c r="F14" s="6">
        <v>135840</v>
      </c>
      <c r="G14" s="7">
        <v>218113</v>
      </c>
      <c r="H14" s="6">
        <v>214391</v>
      </c>
      <c r="I14" s="2">
        <v>24590</v>
      </c>
      <c r="J14" s="6">
        <v>23541</v>
      </c>
      <c r="K14" s="2">
        <v>115745</v>
      </c>
      <c r="L14" s="2">
        <v>90992</v>
      </c>
    </row>
    <row r="15" spans="1:43" x14ac:dyDescent="0.25">
      <c r="A15" s="3" t="s">
        <v>14</v>
      </c>
      <c r="B15" s="8">
        <f t="shared" si="1"/>
        <v>1531271</v>
      </c>
      <c r="C15" s="2">
        <v>230619</v>
      </c>
      <c r="D15" s="6">
        <v>223754</v>
      </c>
      <c r="E15" s="7">
        <v>144351</v>
      </c>
      <c r="F15" s="6">
        <v>145691</v>
      </c>
      <c r="G15" s="7">
        <v>249605</v>
      </c>
      <c r="H15" s="6">
        <v>244954</v>
      </c>
      <c r="I15" s="2">
        <v>27532</v>
      </c>
      <c r="J15" s="6">
        <v>27255</v>
      </c>
      <c r="K15" s="2">
        <v>139286</v>
      </c>
      <c r="L15" s="2">
        <v>98224</v>
      </c>
    </row>
    <row r="16" spans="1:43" ht="15" customHeight="1" x14ac:dyDescent="0.25">
      <c r="A16" s="3" t="s">
        <v>5</v>
      </c>
      <c r="B16" s="8">
        <f t="shared" si="1"/>
        <v>1532565</v>
      </c>
      <c r="C16" s="2">
        <v>230091</v>
      </c>
      <c r="D16" s="6">
        <v>225105</v>
      </c>
      <c r="E16" s="7">
        <v>148854</v>
      </c>
      <c r="F16" s="6">
        <v>151815</v>
      </c>
      <c r="G16" s="7">
        <v>246748</v>
      </c>
      <c r="H16" s="6">
        <v>249117</v>
      </c>
      <c r="I16" s="2">
        <v>26794</v>
      </c>
      <c r="J16" s="6">
        <v>26457</v>
      </c>
      <c r="K16" s="2">
        <v>132832</v>
      </c>
      <c r="L16" s="2">
        <v>94752</v>
      </c>
    </row>
    <row r="17" spans="1:12" x14ac:dyDescent="0.25">
      <c r="A17" s="3" t="s">
        <v>6</v>
      </c>
      <c r="B17" s="8">
        <f t="shared" si="1"/>
        <v>1010915</v>
      </c>
      <c r="C17" s="2">
        <v>110544</v>
      </c>
      <c r="D17" s="6">
        <v>110306</v>
      </c>
      <c r="E17" s="7">
        <v>54055</v>
      </c>
      <c r="F17" s="6">
        <v>56537</v>
      </c>
      <c r="G17" s="7">
        <v>224698</v>
      </c>
      <c r="H17" s="6">
        <v>230010</v>
      </c>
      <c r="I17" s="2">
        <v>26733</v>
      </c>
      <c r="J17" s="6">
        <v>25604</v>
      </c>
      <c r="K17" s="2">
        <v>89611</v>
      </c>
      <c r="L17" s="2">
        <v>82817</v>
      </c>
    </row>
    <row r="18" spans="1:12" x14ac:dyDescent="0.25">
      <c r="A18" s="3" t="s">
        <v>7</v>
      </c>
      <c r="B18" s="8">
        <f t="shared" si="1"/>
        <v>859441</v>
      </c>
      <c r="C18" s="2">
        <v>76512</v>
      </c>
      <c r="D18" s="6">
        <v>78591</v>
      </c>
      <c r="E18" s="7">
        <v>21093</v>
      </c>
      <c r="F18" s="6">
        <v>21187</v>
      </c>
      <c r="G18" s="7">
        <v>232790</v>
      </c>
      <c r="H18" s="6">
        <v>236129</v>
      </c>
      <c r="I18" s="2">
        <v>28912</v>
      </c>
      <c r="J18" s="6">
        <v>28270</v>
      </c>
      <c r="K18" s="2">
        <v>61986</v>
      </c>
      <c r="L18" s="2">
        <v>73971</v>
      </c>
    </row>
    <row r="19" spans="1:12" x14ac:dyDescent="0.25">
      <c r="A19" s="3" t="s">
        <v>8</v>
      </c>
      <c r="B19" s="8">
        <f t="shared" si="1"/>
        <v>804236</v>
      </c>
      <c r="C19" s="2">
        <v>13173</v>
      </c>
      <c r="D19" s="6">
        <v>13410</v>
      </c>
      <c r="E19" s="7">
        <v>78344</v>
      </c>
      <c r="F19" s="6">
        <v>78125</v>
      </c>
      <c r="G19" s="7">
        <v>227493</v>
      </c>
      <c r="H19" s="6">
        <v>233336</v>
      </c>
      <c r="I19" s="2">
        <v>28745</v>
      </c>
      <c r="J19" s="6">
        <v>28547</v>
      </c>
      <c r="K19" s="2">
        <v>56437</v>
      </c>
      <c r="L19" s="2">
        <v>46626</v>
      </c>
    </row>
    <row r="20" spans="1:12" x14ac:dyDescent="0.25">
      <c r="A20" s="11" t="s">
        <v>9</v>
      </c>
      <c r="B20" s="16">
        <f t="shared" si="1"/>
        <v>720273</v>
      </c>
      <c r="C20" s="15">
        <v>0</v>
      </c>
      <c r="D20" s="14">
        <v>0</v>
      </c>
      <c r="E20" s="13">
        <v>76838</v>
      </c>
      <c r="F20" s="14">
        <v>76987</v>
      </c>
      <c r="G20" s="13">
        <v>211909</v>
      </c>
      <c r="H20" s="14">
        <v>213398</v>
      </c>
      <c r="I20" s="15">
        <v>27026</v>
      </c>
      <c r="J20" s="14">
        <v>26870</v>
      </c>
      <c r="K20" s="15">
        <v>19344</v>
      </c>
      <c r="L20" s="15">
        <v>67901</v>
      </c>
    </row>
    <row r="21" spans="1:12" ht="15.75" customHeight="1" x14ac:dyDescent="0.25">
      <c r="A21" s="9" t="s">
        <v>29</v>
      </c>
    </row>
    <row r="22" spans="1:12" ht="15.75" customHeight="1" x14ac:dyDescent="0.25">
      <c r="A22" s="21" t="s">
        <v>30</v>
      </c>
    </row>
    <row r="23" spans="1:12" ht="15.75" customHeight="1" x14ac:dyDescent="0.25">
      <c r="A23" s="21" t="s">
        <v>31</v>
      </c>
    </row>
    <row r="24" spans="1:12" ht="15.75" customHeight="1" x14ac:dyDescent="0.25">
      <c r="A24" s="10" t="s">
        <v>17</v>
      </c>
    </row>
    <row r="27" spans="1:12" x14ac:dyDescent="0.25">
      <c r="A27" s="39" t="s">
        <v>33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9" spans="1:12" x14ac:dyDescent="0.25">
      <c r="A29" s="41" t="s">
        <v>1</v>
      </c>
      <c r="B29" s="28" t="s">
        <v>0</v>
      </c>
      <c r="C29" s="31">
        <v>2017</v>
      </c>
      <c r="D29" s="32"/>
      <c r="E29" s="32"/>
      <c r="F29" s="32"/>
      <c r="G29" s="32"/>
      <c r="H29" s="32"/>
      <c r="I29" s="32"/>
      <c r="J29" s="32"/>
      <c r="K29" s="32"/>
      <c r="L29" s="32"/>
    </row>
    <row r="30" spans="1:12" ht="17.25" x14ac:dyDescent="0.25">
      <c r="A30" s="42"/>
      <c r="B30" s="29"/>
      <c r="C30" s="33" t="s">
        <v>15</v>
      </c>
      <c r="D30" s="34"/>
      <c r="E30" s="34"/>
      <c r="F30" s="34"/>
      <c r="G30" s="34"/>
      <c r="H30" s="34"/>
      <c r="I30" s="34"/>
      <c r="J30" s="35"/>
      <c r="K30" s="34" t="s">
        <v>27</v>
      </c>
      <c r="L30" s="34"/>
    </row>
    <row r="31" spans="1:12" ht="15" customHeight="1" x14ac:dyDescent="0.25">
      <c r="A31" s="42"/>
      <c r="B31" s="29"/>
      <c r="C31" s="27" t="s">
        <v>21</v>
      </c>
      <c r="D31" s="26"/>
      <c r="E31" s="27" t="s">
        <v>28</v>
      </c>
      <c r="F31" s="26"/>
      <c r="G31" s="27" t="s">
        <v>19</v>
      </c>
      <c r="H31" s="26"/>
      <c r="I31" s="27" t="s">
        <v>23</v>
      </c>
      <c r="J31" s="26"/>
      <c r="K31" s="36" t="s">
        <v>26</v>
      </c>
      <c r="L31" s="28" t="s">
        <v>25</v>
      </c>
    </row>
    <row r="32" spans="1:12" x14ac:dyDescent="0.25">
      <c r="A32" s="43"/>
      <c r="B32" s="30"/>
      <c r="C32" s="18" t="s">
        <v>10</v>
      </c>
      <c r="D32" s="19" t="s">
        <v>18</v>
      </c>
      <c r="E32" s="18" t="s">
        <v>10</v>
      </c>
      <c r="F32" s="19" t="s">
        <v>18</v>
      </c>
      <c r="G32" s="18" t="s">
        <v>10</v>
      </c>
      <c r="H32" s="19" t="s">
        <v>20</v>
      </c>
      <c r="I32" s="20" t="s">
        <v>10</v>
      </c>
      <c r="J32" s="19" t="s">
        <v>24</v>
      </c>
      <c r="K32" s="37"/>
      <c r="L32" s="30"/>
    </row>
    <row r="33" spans="1:12" x14ac:dyDescent="0.25">
      <c r="A33" s="5" t="s">
        <v>0</v>
      </c>
      <c r="B33" s="4">
        <f>SUM(C33:L33)</f>
        <v>16178258.877358489</v>
      </c>
      <c r="C33" s="17">
        <f>SUM(C34:C45)</f>
        <v>3284457</v>
      </c>
      <c r="D33" s="8">
        <f t="shared" ref="D33:L33" si="2">SUM(D34:D45)</f>
        <v>3281262</v>
      </c>
      <c r="E33" s="17">
        <f t="shared" si="2"/>
        <v>503584</v>
      </c>
      <c r="F33" s="8">
        <f t="shared" si="2"/>
        <v>518198</v>
      </c>
      <c r="G33" s="17">
        <f t="shared" si="2"/>
        <v>2820188</v>
      </c>
      <c r="H33" s="8">
        <f t="shared" si="2"/>
        <v>2812497</v>
      </c>
      <c r="I33" s="4">
        <f t="shared" si="2"/>
        <v>328123</v>
      </c>
      <c r="J33" s="8">
        <f t="shared" si="2"/>
        <v>324750</v>
      </c>
      <c r="K33" s="4">
        <f t="shared" si="2"/>
        <v>1243449.9433962263</v>
      </c>
      <c r="L33" s="4">
        <f t="shared" si="2"/>
        <v>1061749.9339622641</v>
      </c>
    </row>
    <row r="34" spans="1:12" x14ac:dyDescent="0.25">
      <c r="A34" s="3" t="s">
        <v>3</v>
      </c>
      <c r="B34" s="4">
        <f>SUM(C34:L34)</f>
        <v>1377609.0943396227</v>
      </c>
      <c r="C34" s="7">
        <v>285471</v>
      </c>
      <c r="D34" s="6">
        <v>290388</v>
      </c>
      <c r="E34" s="7">
        <v>29971</v>
      </c>
      <c r="F34" s="6">
        <v>29681</v>
      </c>
      <c r="G34" s="7">
        <v>247665</v>
      </c>
      <c r="H34" s="6">
        <v>248330</v>
      </c>
      <c r="I34" s="2">
        <v>25373</v>
      </c>
      <c r="J34" s="6">
        <v>24840</v>
      </c>
      <c r="K34" s="2">
        <v>107904.71698113206</v>
      </c>
      <c r="L34" s="2">
        <v>87985.377358490572</v>
      </c>
    </row>
    <row r="35" spans="1:12" x14ac:dyDescent="0.25">
      <c r="A35" s="3" t="s">
        <v>4</v>
      </c>
      <c r="B35" s="4">
        <f t="shared" ref="B35:B45" si="3">SUM(C35:L35)</f>
        <v>1285963.9716981133</v>
      </c>
      <c r="C35" s="7">
        <v>254188</v>
      </c>
      <c r="D35" s="6">
        <v>255174</v>
      </c>
      <c r="E35" s="7">
        <v>29967</v>
      </c>
      <c r="F35" s="6">
        <v>31213</v>
      </c>
      <c r="G35" s="7">
        <v>238508</v>
      </c>
      <c r="H35" s="6">
        <v>241243</v>
      </c>
      <c r="I35" s="2">
        <v>25745</v>
      </c>
      <c r="J35" s="6">
        <v>25663</v>
      </c>
      <c r="K35" s="2">
        <v>102371.69811320755</v>
      </c>
      <c r="L35" s="2">
        <v>81891.273584905663</v>
      </c>
    </row>
    <row r="36" spans="1:12" x14ac:dyDescent="0.25">
      <c r="A36" s="3" t="s">
        <v>11</v>
      </c>
      <c r="B36" s="4">
        <f t="shared" si="3"/>
        <v>1267603.8679245284</v>
      </c>
      <c r="C36" s="7">
        <v>269349</v>
      </c>
      <c r="D36" s="6">
        <v>268227</v>
      </c>
      <c r="E36" s="7">
        <v>27424</v>
      </c>
      <c r="F36" s="6">
        <v>28720</v>
      </c>
      <c r="G36" s="7">
        <v>214215</v>
      </c>
      <c r="H36" s="6">
        <v>215343</v>
      </c>
      <c r="I36" s="2">
        <v>29130</v>
      </c>
      <c r="J36" s="6">
        <v>28312</v>
      </c>
      <c r="K36" s="2">
        <v>99363.207547169804</v>
      </c>
      <c r="L36" s="2">
        <v>87520.660377358494</v>
      </c>
    </row>
    <row r="37" spans="1:12" x14ac:dyDescent="0.25">
      <c r="A37" s="3" t="s">
        <v>12</v>
      </c>
      <c r="B37" s="4">
        <f t="shared" si="3"/>
        <v>1372312.4339622641</v>
      </c>
      <c r="C37" s="7">
        <v>279622</v>
      </c>
      <c r="D37" s="6">
        <v>278734</v>
      </c>
      <c r="E37" s="7">
        <v>33817</v>
      </c>
      <c r="F37" s="6">
        <v>34815</v>
      </c>
      <c r="G37" s="7">
        <v>247461</v>
      </c>
      <c r="H37" s="6">
        <v>245304</v>
      </c>
      <c r="I37" s="2">
        <v>28190</v>
      </c>
      <c r="J37" s="6">
        <v>27425</v>
      </c>
      <c r="K37" s="2">
        <v>111384.90566037735</v>
      </c>
      <c r="L37" s="2">
        <v>85559.528301886778</v>
      </c>
    </row>
    <row r="38" spans="1:12" x14ac:dyDescent="0.25">
      <c r="A38" s="3" t="s">
        <v>2</v>
      </c>
      <c r="B38" s="4">
        <f t="shared" si="3"/>
        <v>1304870.8301886793</v>
      </c>
      <c r="C38" s="7">
        <v>265682</v>
      </c>
      <c r="D38" s="6">
        <v>262962</v>
      </c>
      <c r="E38" s="7">
        <v>33900</v>
      </c>
      <c r="F38" s="6">
        <v>36398</v>
      </c>
      <c r="G38" s="7">
        <v>232713</v>
      </c>
      <c r="H38" s="6">
        <v>226795</v>
      </c>
      <c r="I38" s="2">
        <v>27710</v>
      </c>
      <c r="J38" s="6">
        <v>28293</v>
      </c>
      <c r="K38" s="2">
        <v>102345.28301886794</v>
      </c>
      <c r="L38" s="2">
        <v>88072.547169811325</v>
      </c>
    </row>
    <row r="39" spans="1:12" x14ac:dyDescent="0.25">
      <c r="A39" s="3" t="s">
        <v>13</v>
      </c>
      <c r="B39" s="4">
        <f t="shared" si="3"/>
        <v>1265923.6037735851</v>
      </c>
      <c r="C39" s="7">
        <v>256991</v>
      </c>
      <c r="D39" s="6">
        <v>256604</v>
      </c>
      <c r="E39" s="7">
        <v>48950</v>
      </c>
      <c r="F39" s="6">
        <v>51233</v>
      </c>
      <c r="G39" s="7">
        <v>211930</v>
      </c>
      <c r="H39" s="6">
        <v>211907</v>
      </c>
      <c r="I39" s="2">
        <v>23357</v>
      </c>
      <c r="J39" s="6">
        <v>22700</v>
      </c>
      <c r="K39" s="2">
        <v>96413.207547169804</v>
      </c>
      <c r="L39" s="2">
        <v>85838.39622641509</v>
      </c>
    </row>
    <row r="40" spans="1:12" x14ac:dyDescent="0.25">
      <c r="A40" s="3" t="s">
        <v>14</v>
      </c>
      <c r="B40" s="4">
        <f t="shared" si="3"/>
        <v>1397356.9905660378</v>
      </c>
      <c r="C40" s="7">
        <v>279858</v>
      </c>
      <c r="D40" s="6">
        <v>275414</v>
      </c>
      <c r="E40" s="7">
        <v>43144</v>
      </c>
      <c r="F40" s="6">
        <v>47283</v>
      </c>
      <c r="G40" s="7">
        <v>249524</v>
      </c>
      <c r="H40" s="6">
        <v>249312</v>
      </c>
      <c r="I40" s="2">
        <v>26678</v>
      </c>
      <c r="J40" s="6">
        <v>25933</v>
      </c>
      <c r="K40" s="2">
        <v>110298.11320754717</v>
      </c>
      <c r="L40" s="2">
        <v>89912.877358490558</v>
      </c>
    </row>
    <row r="41" spans="1:12" x14ac:dyDescent="0.25">
      <c r="A41" s="3" t="s">
        <v>5</v>
      </c>
      <c r="B41" s="4">
        <f t="shared" si="3"/>
        <v>1424101.5943396227</v>
      </c>
      <c r="C41" s="7">
        <v>278598</v>
      </c>
      <c r="D41" s="6">
        <v>278001</v>
      </c>
      <c r="E41" s="7">
        <v>49132</v>
      </c>
      <c r="F41" s="6">
        <v>49396</v>
      </c>
      <c r="G41" s="7">
        <v>253463</v>
      </c>
      <c r="H41" s="6">
        <v>252953</v>
      </c>
      <c r="I41" s="2">
        <v>29322</v>
      </c>
      <c r="J41" s="6">
        <v>30159</v>
      </c>
      <c r="K41" s="2">
        <v>110889.62264150944</v>
      </c>
      <c r="L41" s="2">
        <v>92187.971698113208</v>
      </c>
    </row>
    <row r="42" spans="1:12" x14ac:dyDescent="0.25">
      <c r="A42" s="3" t="s">
        <v>6</v>
      </c>
      <c r="B42" s="4">
        <f t="shared" si="3"/>
        <v>1306005.028301887</v>
      </c>
      <c r="C42" s="7">
        <v>260774</v>
      </c>
      <c r="D42" s="6">
        <v>260888</v>
      </c>
      <c r="E42" s="7">
        <v>45521</v>
      </c>
      <c r="F42" s="6">
        <v>47367</v>
      </c>
      <c r="G42" s="7">
        <v>225925</v>
      </c>
      <c r="H42" s="6">
        <v>223864</v>
      </c>
      <c r="I42" s="2">
        <v>27240</v>
      </c>
      <c r="J42" s="6">
        <v>26804</v>
      </c>
      <c r="K42" s="2">
        <v>98596.226415094337</v>
      </c>
      <c r="L42" s="2">
        <v>89025.801886792455</v>
      </c>
    </row>
    <row r="43" spans="1:12" x14ac:dyDescent="0.25">
      <c r="A43" s="3" t="s">
        <v>7</v>
      </c>
      <c r="B43" s="4">
        <f t="shared" si="3"/>
        <v>1378381.3773584904</v>
      </c>
      <c r="C43" s="7">
        <v>263907</v>
      </c>
      <c r="D43" s="6">
        <v>262462</v>
      </c>
      <c r="E43" s="7">
        <v>54005</v>
      </c>
      <c r="F43" s="6">
        <v>55722</v>
      </c>
      <c r="G43" s="7">
        <v>248025</v>
      </c>
      <c r="H43" s="6">
        <v>247997</v>
      </c>
      <c r="I43" s="2">
        <v>30067</v>
      </c>
      <c r="J43" s="6">
        <v>29756</v>
      </c>
      <c r="K43" s="2">
        <v>99018.867924528298</v>
      </c>
      <c r="L43" s="2">
        <v>87421.509433962259</v>
      </c>
    </row>
    <row r="44" spans="1:12" x14ac:dyDescent="0.25">
      <c r="A44" s="3" t="s">
        <v>8</v>
      </c>
      <c r="B44" s="4">
        <f t="shared" si="3"/>
        <v>1348484.0849056605</v>
      </c>
      <c r="C44" s="7">
        <v>269784</v>
      </c>
      <c r="D44" s="6">
        <v>272216</v>
      </c>
      <c r="E44" s="7">
        <v>53391</v>
      </c>
      <c r="F44" s="6">
        <v>53010</v>
      </c>
      <c r="G44" s="7">
        <v>225933</v>
      </c>
      <c r="H44" s="6">
        <v>225493</v>
      </c>
      <c r="I44" s="2">
        <v>27491</v>
      </c>
      <c r="J44" s="6">
        <v>27760</v>
      </c>
      <c r="K44" s="2">
        <v>100265.09433962265</v>
      </c>
      <c r="L44" s="2">
        <v>93140.990566037741</v>
      </c>
    </row>
    <row r="45" spans="1:12" x14ac:dyDescent="0.25">
      <c r="A45" s="11" t="s">
        <v>9</v>
      </c>
      <c r="B45" s="12">
        <f t="shared" si="3"/>
        <v>1449646</v>
      </c>
      <c r="C45" s="13">
        <v>320233</v>
      </c>
      <c r="D45" s="14">
        <v>320192</v>
      </c>
      <c r="E45" s="13">
        <v>54362</v>
      </c>
      <c r="F45" s="14">
        <v>53360</v>
      </c>
      <c r="G45" s="13">
        <v>224826</v>
      </c>
      <c r="H45" s="14">
        <v>223956</v>
      </c>
      <c r="I45" s="15">
        <v>27820</v>
      </c>
      <c r="J45" s="14">
        <v>27105</v>
      </c>
      <c r="K45" s="15">
        <v>104599</v>
      </c>
      <c r="L45" s="15">
        <v>93193</v>
      </c>
    </row>
    <row r="46" spans="1:12" x14ac:dyDescent="0.25">
      <c r="A46" s="9" t="s">
        <v>29</v>
      </c>
    </row>
    <row r="47" spans="1:12" ht="15.75" x14ac:dyDescent="0.25">
      <c r="A47" s="21" t="s">
        <v>30</v>
      </c>
    </row>
    <row r="48" spans="1:12" ht="15.75" x14ac:dyDescent="0.25">
      <c r="A48" s="21" t="s">
        <v>31</v>
      </c>
    </row>
    <row r="49" spans="1:34" x14ac:dyDescent="0.25">
      <c r="A49" s="10" t="s">
        <v>17</v>
      </c>
    </row>
    <row r="59" spans="1:34" x14ac:dyDescent="0.25">
      <c r="AF59" s="40" t="s">
        <v>21</v>
      </c>
      <c r="AG59" s="1" t="s">
        <v>10</v>
      </c>
      <c r="AH59" s="22">
        <v>2351368</v>
      </c>
    </row>
    <row r="60" spans="1:34" x14ac:dyDescent="0.25">
      <c r="AF60" s="40"/>
      <c r="AG60" s="1" t="s">
        <v>18</v>
      </c>
      <c r="AH60" s="22">
        <v>2326923</v>
      </c>
    </row>
    <row r="61" spans="1:34" x14ac:dyDescent="0.25">
      <c r="AF61" s="40" t="s">
        <v>22</v>
      </c>
      <c r="AG61" s="1" t="s">
        <v>10</v>
      </c>
      <c r="AH61" s="22">
        <v>1036556</v>
      </c>
    </row>
    <row r="62" spans="1:34" x14ac:dyDescent="0.25">
      <c r="AF62" s="40"/>
      <c r="AG62" s="1" t="s">
        <v>18</v>
      </c>
      <c r="AH62" s="22">
        <v>1041369</v>
      </c>
    </row>
    <row r="63" spans="1:34" x14ac:dyDescent="0.25">
      <c r="AF63" s="40" t="s">
        <v>19</v>
      </c>
      <c r="AG63" s="1" t="s">
        <v>10</v>
      </c>
      <c r="AH63" s="22">
        <v>2831281</v>
      </c>
    </row>
    <row r="64" spans="1:34" x14ac:dyDescent="0.25">
      <c r="AF64" s="40"/>
      <c r="AG64" s="1" t="s">
        <v>20</v>
      </c>
      <c r="AH64" s="22">
        <v>2846760</v>
      </c>
    </row>
    <row r="65" spans="32:34" x14ac:dyDescent="0.25">
      <c r="AF65" s="40" t="s">
        <v>35</v>
      </c>
      <c r="AG65" s="1" t="s">
        <v>10</v>
      </c>
      <c r="AH65" s="22">
        <v>327601</v>
      </c>
    </row>
    <row r="66" spans="32:34" x14ac:dyDescent="0.25">
      <c r="AF66" s="40"/>
      <c r="AG66" s="1" t="s">
        <v>24</v>
      </c>
      <c r="AH66" s="22">
        <v>324403</v>
      </c>
    </row>
    <row r="67" spans="32:34" x14ac:dyDescent="0.25">
      <c r="AF67" s="38" t="s">
        <v>16</v>
      </c>
      <c r="AG67" s="1" t="s">
        <v>34</v>
      </c>
      <c r="AH67" s="22">
        <v>1237551</v>
      </c>
    </row>
    <row r="68" spans="32:34" x14ac:dyDescent="0.25">
      <c r="AF68" s="38"/>
      <c r="AG68" s="1" t="s">
        <v>25</v>
      </c>
      <c r="AH68" s="22">
        <v>1017032</v>
      </c>
    </row>
  </sheetData>
  <mergeCells count="30">
    <mergeCell ref="AF67:AF68"/>
    <mergeCell ref="A2:L2"/>
    <mergeCell ref="A27:L27"/>
    <mergeCell ref="AF59:AF60"/>
    <mergeCell ref="AF61:AF62"/>
    <mergeCell ref="AF63:AF64"/>
    <mergeCell ref="AF65:AF66"/>
    <mergeCell ref="K6:K7"/>
    <mergeCell ref="L6:L7"/>
    <mergeCell ref="A29:A32"/>
    <mergeCell ref="L31:L32"/>
    <mergeCell ref="A4:A7"/>
    <mergeCell ref="B4:B7"/>
    <mergeCell ref="C4:L4"/>
    <mergeCell ref="C5:J5"/>
    <mergeCell ref="K5:L5"/>
    <mergeCell ref="B29:B32"/>
    <mergeCell ref="C29:L29"/>
    <mergeCell ref="C30:J30"/>
    <mergeCell ref="K30:L30"/>
    <mergeCell ref="C31:D31"/>
    <mergeCell ref="E31:F31"/>
    <mergeCell ref="G31:H31"/>
    <mergeCell ref="I31:J31"/>
    <mergeCell ref="K31:K32"/>
    <mergeCell ref="A1:L1"/>
    <mergeCell ref="C6:D6"/>
    <mergeCell ref="E6:F6"/>
    <mergeCell ref="G6:H6"/>
    <mergeCell ref="I6:J6"/>
  </mergeCells>
  <pageMargins left="0.7" right="0.7" top="0.75" bottom="0.75" header="0.3" footer="0.3"/>
  <pageSetup paperSize="9" scale="5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11.26</vt:lpstr>
      <vt:lpstr>'11.26'!Print_Area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2019-05-14T07:01:41Z</cp:lastPrinted>
  <dcterms:created xsi:type="dcterms:W3CDTF">2019-03-24T03:32:16Z</dcterms:created>
  <dcterms:modified xsi:type="dcterms:W3CDTF">2019-05-14T07:01:50Z</dcterms:modified>
</cp:coreProperties>
</file>