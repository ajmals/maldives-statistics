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30" sheetId="15" r:id="rId1"/>
  </sheets>
  <definedNames>
    <definedName name="_xlnm.Print_Area" localSheetId="0">'11.30'!$A$1:$J$84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61" i="15" l="1"/>
  <c r="AA61" i="15" s="1"/>
  <c r="AB60" i="15"/>
  <c r="AA60" i="15"/>
  <c r="AB59" i="15"/>
  <c r="AA59" i="15"/>
  <c r="AB58" i="15"/>
  <c r="AA58" i="15"/>
  <c r="AB57" i="15"/>
  <c r="AA57" i="15"/>
  <c r="AB56" i="15"/>
  <c r="AA56" i="15"/>
  <c r="AB55" i="15"/>
  <c r="AA55" i="15"/>
  <c r="AC54" i="15"/>
  <c r="AB54" i="15"/>
  <c r="AA54" i="15" s="1"/>
  <c r="AB53" i="15"/>
  <c r="AA53" i="15" s="1"/>
  <c r="AB52" i="15"/>
  <c r="AA52" i="15" s="1"/>
  <c r="AC42" i="15"/>
  <c r="AB42" i="15"/>
  <c r="AA42" i="15"/>
  <c r="AC41" i="15"/>
  <c r="AB41" i="15"/>
  <c r="AA41" i="15"/>
  <c r="AC40" i="15"/>
  <c r="AB40" i="15"/>
  <c r="AA40" i="15"/>
  <c r="AC39" i="15"/>
  <c r="AB39" i="15"/>
  <c r="AA39" i="15"/>
  <c r="AC38" i="15"/>
  <c r="AB38" i="15"/>
  <c r="AC37" i="15"/>
  <c r="AB37" i="15"/>
  <c r="AA37" i="15"/>
  <c r="AC33" i="15"/>
  <c r="AB33" i="15"/>
  <c r="AA33" i="15"/>
  <c r="B25" i="15"/>
  <c r="B24" i="15"/>
  <c r="B23" i="15"/>
  <c r="B22" i="15"/>
  <c r="B21" i="15"/>
  <c r="B17" i="15"/>
  <c r="AA38" i="15" s="1"/>
  <c r="B16" i="15"/>
  <c r="B15" i="15"/>
  <c r="B14" i="15"/>
  <c r="B13" i="15"/>
  <c r="B12" i="15"/>
  <c r="B11" i="15"/>
  <c r="B10" i="15"/>
  <c r="B9" i="15"/>
  <c r="B8" i="15"/>
</calcChain>
</file>

<file path=xl/sharedStrings.xml><?xml version="1.0" encoding="utf-8"?>
<sst xmlns="http://schemas.openxmlformats.org/spreadsheetml/2006/main" count="53" uniqueCount="43">
  <si>
    <t>Total</t>
  </si>
  <si>
    <t>wlcmuj</t>
  </si>
  <si>
    <t>-</t>
  </si>
  <si>
    <t>Note:</t>
  </si>
  <si>
    <t>Source: Telecom Operators – Dhiraagu and Wataniya</t>
  </si>
  <si>
    <t>Prepared by: Communications Authority of Maldives (CAM)</t>
  </si>
  <si>
    <t xml:space="preserve">  (in 000 mins)</t>
  </si>
  <si>
    <t>Year</t>
  </si>
  <si>
    <t>National Call Minutes</t>
  </si>
  <si>
    <t xml:space="preserve"> cawtclOk cnOfeleT egEjcaWr</t>
  </si>
  <si>
    <t>ImWvcqwaclwniawb</t>
  </si>
  <si>
    <t xml:space="preserve">SMS Usage </t>
  </si>
  <si>
    <t>Land Lines</t>
  </si>
  <si>
    <t>cawtclOk</t>
  </si>
  <si>
    <t>csea .cmea .csea Evunof</t>
  </si>
  <si>
    <t xml:space="preserve"> clwkOl</t>
  </si>
  <si>
    <t>egEretcnOz</t>
  </si>
  <si>
    <t xml:space="preserve">      cSwacliawbOm cniawl cDcsckif</t>
  </si>
  <si>
    <t>cawtclOk cliawbOm</t>
  </si>
  <si>
    <t xml:space="preserve">International </t>
  </si>
  <si>
    <t xml:space="preserve">Outgoing SMS's </t>
  </si>
  <si>
    <t xml:space="preserve">Local </t>
  </si>
  <si>
    <t>Inter- zone</t>
  </si>
  <si>
    <t>Fixed--&gt;Mobile</t>
  </si>
  <si>
    <t>Mobile call Minutes</t>
  </si>
  <si>
    <t>call minutes</t>
  </si>
  <si>
    <t>(in 000s)</t>
  </si>
  <si>
    <t>Considerable increase in 2008 mobile &amp; international minutes as call minutes from pre-paid phones were not included in previous years</t>
  </si>
  <si>
    <t xml:space="preserve">Total Call Minutes for the 2014 is the total sum of Call Mins Oct 2013 - Sep 2014. </t>
  </si>
  <si>
    <t>Definitions:</t>
  </si>
  <si>
    <r>
      <t xml:space="preserve">Local calls: </t>
    </r>
    <r>
      <rPr>
        <sz val="10"/>
        <color theme="1"/>
        <rFont val="Calibri"/>
        <family val="2"/>
        <scheme val="minor"/>
      </rPr>
      <t>Calls within the same zone, excluding mobile calls</t>
    </r>
  </si>
  <si>
    <r>
      <t xml:space="preserve">Inter-zone calls: </t>
    </r>
    <r>
      <rPr>
        <sz val="10"/>
        <color theme="1"/>
        <rFont val="Calibri"/>
        <family val="2"/>
        <scheme val="minor"/>
      </rPr>
      <t>Calls between zones within the national boundary, excluding mobile calls</t>
    </r>
  </si>
  <si>
    <r>
      <t xml:space="preserve">Fixed--&gt;Mob calls: </t>
    </r>
    <r>
      <rPr>
        <sz val="10"/>
        <color theme="1"/>
        <rFont val="Calibri"/>
        <family val="2"/>
        <scheme val="minor"/>
      </rPr>
      <t>calls from fixed lines to mobiles</t>
    </r>
  </si>
  <si>
    <r>
      <t xml:space="preserve">Mobile calls: </t>
    </r>
    <r>
      <rPr>
        <sz val="10"/>
        <color theme="1"/>
        <rFont val="Calibri"/>
        <family val="2"/>
        <scheme val="minor"/>
      </rPr>
      <t>Calls mobile to mobile and mobile to fixed lines from both Operators</t>
    </r>
  </si>
  <si>
    <r>
      <t xml:space="preserve">International calls: </t>
    </r>
    <r>
      <rPr>
        <sz val="10"/>
        <color theme="1"/>
        <rFont val="Calibri"/>
        <family val="2"/>
        <scheme val="minor"/>
      </rPr>
      <t>International calls from fixed lines and mobiles</t>
    </r>
  </si>
  <si>
    <t>National Call Minutes in land line</t>
  </si>
  <si>
    <t xml:space="preserve">Mobile call Minutes </t>
  </si>
  <si>
    <t>International call minutes</t>
  </si>
  <si>
    <t>(in millions)</t>
  </si>
  <si>
    <t>NA</t>
  </si>
  <si>
    <t>NA: Data not available</t>
  </si>
  <si>
    <t>Table 11.30: INTERNATIONAL AND NATIONAL COMMUNICATION, 2001 - 2018</t>
  </si>
  <si>
    <t xml:space="preserve">2018- 2001 ,cnuLug egutWlwsWvum egEjcaWr idwa ImWvcqwaclwniawb : 11.30 clwvWt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</si>
</sst>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  <numFmt numFmtId="167" formatCode="#,##0,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_Randhoo"/>
    </font>
    <font>
      <sz val="10"/>
      <color theme="1"/>
      <name val="Arial"/>
      <family val="2"/>
    </font>
    <font>
      <sz val="10"/>
      <color theme="1"/>
      <name val="Courier"/>
      <family val="3"/>
    </font>
    <font>
      <b/>
      <sz val="12"/>
      <color theme="1"/>
      <name val="A_Randhoo"/>
    </font>
    <font>
      <sz val="11"/>
      <color theme="1"/>
      <name val="Arial"/>
      <family val="2"/>
    </font>
    <font>
      <b/>
      <sz val="11"/>
      <color rgb="FF1F497D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A_Randhoo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4" fillId="0" borderId="0" applyFont="0" applyFill="0" applyBorder="0" applyAlignment="0" applyProtection="0"/>
    <xf numFmtId="0" fontId="5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67">
    <xf numFmtId="0" fontId="0" fillId="0" borderId="0" xfId="0"/>
    <xf numFmtId="0" fontId="11" fillId="2" borderId="0" xfId="4" applyFont="1" applyFill="1" applyBorder="1" applyAlignment="1">
      <alignment horizontal="right" vertical="center"/>
    </xf>
    <xf numFmtId="0" fontId="9" fillId="2" borderId="0" xfId="6" applyNumberFormat="1" applyFont="1" applyFill="1" applyAlignment="1">
      <alignment horizontal="left"/>
    </xf>
    <xf numFmtId="164" fontId="15" fillId="2" borderId="0" xfId="6" applyNumberFormat="1" applyFont="1" applyFill="1"/>
    <xf numFmtId="164" fontId="6" fillId="2" borderId="0" xfId="6" applyNumberFormat="1" applyFont="1" applyFill="1" applyBorder="1"/>
    <xf numFmtId="0" fontId="7" fillId="2" borderId="0" xfId="6" applyNumberFormat="1" applyFont="1" applyFill="1" applyAlignment="1"/>
    <xf numFmtId="164" fontId="6" fillId="2" borderId="0" xfId="6" applyNumberFormat="1" applyFont="1" applyFill="1"/>
    <xf numFmtId="0" fontId="11" fillId="2" borderId="3" xfId="4" applyFont="1" applyFill="1" applyBorder="1" applyAlignment="1"/>
    <xf numFmtId="0" fontId="11" fillId="2" borderId="2" xfId="4" applyFont="1" applyFill="1" applyBorder="1" applyAlignment="1">
      <alignment horizontal="center" vertical="center"/>
    </xf>
    <xf numFmtId="0" fontId="10" fillId="2" borderId="2" xfId="6" applyNumberFormat="1" applyFont="1" applyFill="1" applyBorder="1" applyAlignment="1">
      <alignment horizontal="center"/>
    </xf>
    <xf numFmtId="164" fontId="6" fillId="2" borderId="1" xfId="6" applyNumberFormat="1" applyFont="1" applyFill="1" applyBorder="1"/>
    <xf numFmtId="0" fontId="11" fillId="2" borderId="1" xfId="4" applyFont="1" applyFill="1" applyBorder="1" applyAlignment="1">
      <alignment horizontal="center" vertical="center"/>
    </xf>
    <xf numFmtId="0" fontId="11" fillId="2" borderId="2" xfId="4" applyFont="1" applyFill="1" applyBorder="1" applyAlignment="1">
      <alignment horizontal="right" vertical="center"/>
    </xf>
    <xf numFmtId="0" fontId="8" fillId="2" borderId="0" xfId="6" applyNumberFormat="1" applyFont="1" applyFill="1" applyBorder="1" applyAlignment="1">
      <alignment horizontal="right" vertical="center"/>
    </xf>
    <xf numFmtId="164" fontId="8" fillId="2" borderId="0" xfId="6" applyNumberFormat="1" applyFont="1" applyFill="1" applyBorder="1" applyAlignment="1">
      <alignment horizontal="right" vertical="center"/>
    </xf>
    <xf numFmtId="0" fontId="10" fillId="2" borderId="1" xfId="6" applyNumberFormat="1" applyFont="1" applyFill="1" applyBorder="1" applyAlignment="1">
      <alignment horizontal="right"/>
    </xf>
    <xf numFmtId="0" fontId="10" fillId="2" borderId="1" xfId="6" applyNumberFormat="1" applyFont="1" applyFill="1" applyBorder="1" applyAlignment="1">
      <alignment horizontal="right" vertical="center"/>
    </xf>
    <xf numFmtId="164" fontId="10" fillId="2" borderId="1" xfId="6" applyNumberFormat="1" applyFont="1" applyFill="1" applyBorder="1" applyAlignment="1">
      <alignment horizontal="right"/>
    </xf>
    <xf numFmtId="0" fontId="8" fillId="2" borderId="0" xfId="6" applyNumberFormat="1" applyFont="1" applyFill="1" applyBorder="1" applyAlignment="1">
      <alignment horizontal="center" vertical="center"/>
    </xf>
    <xf numFmtId="3" fontId="6" fillId="2" borderId="0" xfId="7" applyNumberFormat="1" applyFont="1" applyFill="1" applyBorder="1" applyAlignment="1">
      <alignment horizontal="right" vertical="center"/>
    </xf>
    <xf numFmtId="3" fontId="6" fillId="2" borderId="0" xfId="6" applyNumberFormat="1" applyFont="1" applyFill="1" applyBorder="1" applyAlignment="1">
      <alignment horizontal="right" vertical="center"/>
    </xf>
    <xf numFmtId="164" fontId="6" fillId="2" borderId="0" xfId="6" applyNumberFormat="1" applyFont="1" applyFill="1" applyBorder="1" applyAlignment="1">
      <alignment horizontal="right" vertical="center"/>
    </xf>
    <xf numFmtId="0" fontId="6" fillId="2" borderId="0" xfId="6" applyNumberFormat="1" applyFont="1" applyFill="1"/>
    <xf numFmtId="0" fontId="8" fillId="2" borderId="0" xfId="0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right" vertical="center"/>
    </xf>
    <xf numFmtId="3" fontId="6" fillId="2" borderId="0" xfId="6" applyNumberFormat="1" applyFont="1" applyFill="1" applyBorder="1"/>
    <xf numFmtId="167" fontId="6" fillId="2" borderId="0" xfId="7" applyNumberFormat="1" applyFont="1" applyFill="1" applyBorder="1" applyAlignment="1">
      <alignment horizontal="right" vertical="center"/>
    </xf>
    <xf numFmtId="167" fontId="6" fillId="2" borderId="0" xfId="0" applyNumberFormat="1" applyFont="1" applyFill="1" applyBorder="1" applyAlignment="1">
      <alignment horizontal="right" vertical="center"/>
    </xf>
    <xf numFmtId="0" fontId="8" fillId="2" borderId="1" xfId="0" applyNumberFormat="1" applyFont="1" applyFill="1" applyBorder="1" applyAlignment="1">
      <alignment horizontal="center"/>
    </xf>
    <xf numFmtId="167" fontId="6" fillId="2" borderId="1" xfId="7" applyNumberFormat="1" applyFont="1" applyFill="1" applyBorder="1" applyAlignment="1">
      <alignment horizontal="right" vertical="center"/>
    </xf>
    <xf numFmtId="0" fontId="9" fillId="2" borderId="0" xfId="0" applyNumberFormat="1" applyFont="1" applyFill="1" applyBorder="1" applyAlignment="1">
      <alignment horizontal="left" vertical="center"/>
    </xf>
    <xf numFmtId="0" fontId="9" fillId="2" borderId="0" xfId="6" applyNumberFormat="1" applyFont="1" applyFill="1" applyBorder="1"/>
    <xf numFmtId="0" fontId="9" fillId="2" borderId="0" xfId="6" applyNumberFormat="1" applyFont="1" applyFill="1"/>
    <xf numFmtId="164" fontId="9" fillId="2" borderId="0" xfId="6" applyNumberFormat="1" applyFont="1" applyFill="1"/>
    <xf numFmtId="3" fontId="6" fillId="2" borderId="0" xfId="6" applyNumberFormat="1" applyFont="1" applyFill="1"/>
    <xf numFmtId="0" fontId="17" fillId="2" borderId="0" xfId="6" applyNumberFormat="1" applyFont="1" applyFill="1"/>
    <xf numFmtId="164" fontId="18" fillId="2" borderId="0" xfId="6" applyNumberFormat="1" applyFont="1" applyFill="1" applyBorder="1" applyAlignment="1">
      <alignment horizontal="center" vertical="center" wrapText="1"/>
    </xf>
    <xf numFmtId="0" fontId="8" fillId="2" borderId="0" xfId="6" applyNumberFormat="1" applyFont="1" applyFill="1"/>
    <xf numFmtId="38" fontId="6" fillId="2" borderId="0" xfId="3" applyNumberFormat="1" applyFont="1" applyFill="1" applyBorder="1" applyAlignment="1">
      <alignment horizontal="right"/>
    </xf>
    <xf numFmtId="0" fontId="6" fillId="2" borderId="0" xfId="6" applyNumberFormat="1" applyFont="1" applyFill="1" applyBorder="1"/>
    <xf numFmtId="3" fontId="6" fillId="2" borderId="0" xfId="7" applyNumberFormat="1" applyFont="1" applyFill="1" applyBorder="1"/>
    <xf numFmtId="164" fontId="6" fillId="2" borderId="0" xfId="6" applyNumberFormat="1" applyFont="1" applyFill="1" applyAlignment="1">
      <alignment horizontal="center" vertical="center" wrapText="1"/>
    </xf>
    <xf numFmtId="0" fontId="18" fillId="2" borderId="0" xfId="6" applyNumberFormat="1" applyFont="1" applyFill="1" applyBorder="1" applyAlignment="1">
      <alignment horizontal="center" vertical="center" wrapText="1"/>
    </xf>
    <xf numFmtId="0" fontId="12" fillId="2" borderId="0" xfId="6" applyNumberFormat="1" applyFont="1" applyFill="1"/>
    <xf numFmtId="0" fontId="12" fillId="2" borderId="0" xfId="6" applyNumberFormat="1" applyFont="1" applyFill="1" applyBorder="1"/>
    <xf numFmtId="164" fontId="13" fillId="2" borderId="0" xfId="6" applyNumberFormat="1" applyFont="1" applyFill="1" applyBorder="1"/>
    <xf numFmtId="3" fontId="12" fillId="2" borderId="0" xfId="7" applyNumberFormat="1" applyFont="1" applyFill="1" applyBorder="1"/>
    <xf numFmtId="3" fontId="12" fillId="2" borderId="0" xfId="6" applyNumberFormat="1" applyFont="1" applyFill="1" applyBorder="1"/>
    <xf numFmtId="38" fontId="6" fillId="2" borderId="0" xfId="3" applyNumberFormat="1" applyFont="1" applyFill="1" applyBorder="1"/>
    <xf numFmtId="165" fontId="6" fillId="2" borderId="0" xfId="1" applyNumberFormat="1" applyFont="1" applyFill="1" applyBorder="1"/>
    <xf numFmtId="164" fontId="13" fillId="2" borderId="0" xfId="6" applyNumberFormat="1" applyFont="1" applyFill="1"/>
    <xf numFmtId="3" fontId="6" fillId="2" borderId="0" xfId="3" applyNumberFormat="1" applyFont="1" applyFill="1" applyBorder="1"/>
    <xf numFmtId="3" fontId="6" fillId="2" borderId="0" xfId="1" applyNumberFormat="1" applyFont="1" applyFill="1" applyBorder="1"/>
    <xf numFmtId="0" fontId="19" fillId="2" borderId="0" xfId="4" applyFont="1" applyFill="1" applyBorder="1" applyAlignment="1">
      <alignment vertical="center"/>
    </xf>
    <xf numFmtId="3" fontId="16" fillId="2" borderId="0" xfId="0" applyNumberFormat="1" applyFont="1" applyFill="1"/>
    <xf numFmtId="3" fontId="6" fillId="2" borderId="1" xfId="7" applyNumberFormat="1" applyFont="1" applyFill="1" applyBorder="1" applyAlignment="1">
      <alignment horizontal="right" vertical="center"/>
    </xf>
    <xf numFmtId="167" fontId="6" fillId="2" borderId="1" xfId="7" applyNumberFormat="1" applyFont="1" applyFill="1" applyBorder="1" applyAlignment="1">
      <alignment horizontal="right" vertical="center" wrapText="1"/>
    </xf>
    <xf numFmtId="167" fontId="6" fillId="2" borderId="1" xfId="0" applyNumberFormat="1" applyFont="1" applyFill="1" applyBorder="1" applyAlignment="1">
      <alignment horizontal="right" vertical="center"/>
    </xf>
    <xf numFmtId="3" fontId="6" fillId="2" borderId="1" xfId="7" applyNumberFormat="1" applyFont="1" applyFill="1" applyBorder="1" applyAlignment="1">
      <alignment horizontal="right" vertical="center" wrapText="1"/>
    </xf>
    <xf numFmtId="0" fontId="14" fillId="2" borderId="0" xfId="4" applyFont="1" applyFill="1" applyBorder="1" applyAlignment="1">
      <alignment horizontal="center" vertical="center" wrapText="1"/>
    </xf>
    <xf numFmtId="0" fontId="7" fillId="2" borderId="0" xfId="6" applyNumberFormat="1" applyFont="1" applyFill="1" applyBorder="1" applyAlignment="1">
      <alignment horizontal="center"/>
    </xf>
    <xf numFmtId="0" fontId="10" fillId="2" borderId="1" xfId="6" applyNumberFormat="1" applyFont="1" applyFill="1" applyBorder="1" applyAlignment="1">
      <alignment horizontal="center"/>
    </xf>
    <xf numFmtId="0" fontId="10" fillId="2" borderId="2" xfId="6" applyNumberFormat="1" applyFont="1" applyFill="1" applyBorder="1" applyAlignment="1">
      <alignment horizontal="center" vertical="center"/>
    </xf>
    <xf numFmtId="0" fontId="10" fillId="2" borderId="0" xfId="6" applyNumberFormat="1" applyFont="1" applyFill="1" applyBorder="1" applyAlignment="1">
      <alignment horizontal="center" vertical="center"/>
    </xf>
    <xf numFmtId="0" fontId="10" fillId="2" borderId="1" xfId="6" applyNumberFormat="1" applyFont="1" applyFill="1" applyBorder="1" applyAlignment="1">
      <alignment horizontal="center" vertical="center"/>
    </xf>
    <xf numFmtId="0" fontId="10" fillId="2" borderId="3" xfId="6" applyNumberFormat="1" applyFont="1" applyFill="1" applyBorder="1" applyAlignment="1">
      <alignment horizontal="center"/>
    </xf>
    <xf numFmtId="0" fontId="8" fillId="2" borderId="3" xfId="6" applyNumberFormat="1" applyFont="1" applyFill="1" applyBorder="1" applyAlignment="1">
      <alignment horizontal="center"/>
    </xf>
  </cellXfs>
  <cellStyles count="12">
    <cellStyle name="Comma" xfId="1" builtinId="3"/>
    <cellStyle name="Comma 2" xfId="3"/>
    <cellStyle name="Comma 4" xfId="7"/>
    <cellStyle name="Hyperlink 2" xfId="8"/>
    <cellStyle name="Normal" xfId="0" builtinId="0"/>
    <cellStyle name="Normal 2" xfId="2"/>
    <cellStyle name="Normal 2 3" xfId="10"/>
    <cellStyle name="Normal 3" xfId="5"/>
    <cellStyle name="Normal 3 2" xfId="11"/>
    <cellStyle name="Normal 4" xfId="6"/>
    <cellStyle name="Normal 5" xfId="9"/>
    <cellStyle name="Normal_IX-19(Trans &amp; Comm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5716901666361"/>
          <c:y val="0.16150517595391115"/>
          <c:w val="0.85963464566929271"/>
          <c:h val="0.66516158376270307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'11.30'!$AA$36</c:f>
              <c:strCache>
                <c:ptCount val="1"/>
                <c:pt idx="0">
                  <c:v>National Call Minutes in land line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'11.30'!$Z$37:$Z$46</c:f>
              <c:numCache>
                <c:formatCode>General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'11.30'!$AA$37:$AA$46</c:f>
              <c:numCache>
                <c:formatCode>#,##0_);[Red]\(#,##0\)</c:formatCode>
                <c:ptCount val="10"/>
                <c:pt idx="0">
                  <c:v>86305</c:v>
                </c:pt>
                <c:pt idx="1">
                  <c:v>77503</c:v>
                </c:pt>
                <c:pt idx="2">
                  <c:v>75974</c:v>
                </c:pt>
                <c:pt idx="3">
                  <c:v>69830</c:v>
                </c:pt>
                <c:pt idx="4">
                  <c:v>66557</c:v>
                </c:pt>
                <c:pt idx="5">
                  <c:v>41974</c:v>
                </c:pt>
                <c:pt idx="6" formatCode="#,##0">
                  <c:v>59160.502999999997</c:v>
                </c:pt>
                <c:pt idx="7" formatCode="#,##0">
                  <c:v>52972</c:v>
                </c:pt>
                <c:pt idx="8" formatCode="#,##0">
                  <c:v>52968</c:v>
                </c:pt>
                <c:pt idx="9" formatCode="#,##0">
                  <c:v>45602.603000000003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9-4574-B8F8-35049D8FC7A7}"/>
            </c:ext>
          </c:extLst>
        </c:ser>
        <c:ser>
          <c:idx val="0"/>
          <c:order val="1"/>
          <c:tx>
            <c:strRef>
              <c:f>'11.30'!$AB$36</c:f>
              <c:strCache>
                <c:ptCount val="1"/>
                <c:pt idx="0">
                  <c:v>Mobile call Minutes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'11.30'!$Z$37:$Z$46</c:f>
              <c:numCache>
                <c:formatCode>General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'11.30'!$AB$37:$AB$46</c:f>
              <c:numCache>
                <c:formatCode>#,##0_);[Red]\(#,##0\)</c:formatCode>
                <c:ptCount val="10"/>
                <c:pt idx="0">
                  <c:v>1165371</c:v>
                </c:pt>
                <c:pt idx="1">
                  <c:v>1241516</c:v>
                </c:pt>
                <c:pt idx="2">
                  <c:v>1094741</c:v>
                </c:pt>
                <c:pt idx="3">
                  <c:v>1468840</c:v>
                </c:pt>
                <c:pt idx="4">
                  <c:v>1571320</c:v>
                </c:pt>
                <c:pt idx="5">
                  <c:v>1687209</c:v>
                </c:pt>
                <c:pt idx="6" formatCode="#,##0">
                  <c:v>1608503.1170000001</c:v>
                </c:pt>
                <c:pt idx="7" formatCode="#,##0">
                  <c:v>1578928</c:v>
                </c:pt>
                <c:pt idx="8" formatCode="#,##0">
                  <c:v>1549661</c:v>
                </c:pt>
                <c:pt idx="9" formatCode="#,##0">
                  <c:v>1580069.0759999999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9-4574-B8F8-35049D8FC7A7}"/>
            </c:ext>
          </c:extLst>
        </c:ser>
        <c:ser>
          <c:idx val="1"/>
          <c:order val="2"/>
          <c:tx>
            <c:strRef>
              <c:f>'11.30'!$AC$36</c:f>
              <c:strCache>
                <c:ptCount val="1"/>
                <c:pt idx="0">
                  <c:v>International call minutes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'11.30'!$Z$37:$Z$46</c:f>
              <c:numCache>
                <c:formatCode>General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'11.30'!$AC$37:$AC$46</c:f>
              <c:numCache>
                <c:formatCode>_(* #,##0_);_(* \(#,##0\);_(* "-"??_);_(@_)</c:formatCode>
                <c:ptCount val="10"/>
                <c:pt idx="0">
                  <c:v>140386</c:v>
                </c:pt>
                <c:pt idx="1">
                  <c:v>135384</c:v>
                </c:pt>
                <c:pt idx="2">
                  <c:v>108744</c:v>
                </c:pt>
                <c:pt idx="3">
                  <c:v>211865</c:v>
                </c:pt>
                <c:pt idx="4">
                  <c:v>249201</c:v>
                </c:pt>
                <c:pt idx="5">
                  <c:v>265736</c:v>
                </c:pt>
                <c:pt idx="6" formatCode="#,##0">
                  <c:v>227780.79800000001</c:v>
                </c:pt>
                <c:pt idx="7" formatCode="#,##0">
                  <c:v>226472</c:v>
                </c:pt>
                <c:pt idx="8" formatCode="#,##0">
                  <c:v>171262</c:v>
                </c:pt>
                <c:pt idx="9" formatCode="#,##0">
                  <c:v>139763.71100000001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9-4574-B8F8-35049D8FC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120443264"/>
        <c:axId val="120444800"/>
      </c:barChart>
      <c:catAx>
        <c:axId val="12044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20444800"/>
        <c:crosses val="autoZero"/>
        <c:auto val="1"/>
        <c:lblAlgn val="ctr"/>
        <c:lblOffset val="100"/>
        <c:noMultiLvlLbl val="0"/>
      </c:catAx>
      <c:valAx>
        <c:axId val="12044480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 '000 minutes</a:t>
                </a:r>
              </a:p>
            </c:rich>
          </c:tx>
          <c:layout>
            <c:manualLayout>
              <c:xMode val="edge"/>
              <c:yMode val="edge"/>
              <c:x val="6.5817991295219307E-4"/>
              <c:y val="8.5458690222867756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12044326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3517823778476787"/>
          <c:y val="0.91969860312811669"/>
          <c:w val="0.81119942309710824"/>
          <c:h val="6.5169587378997321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33" l="0.70000000000000062" r="0.70000000000000062" t="0.750000000000006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 b="1" i="0" u="none" strike="noStrike" baseline="0">
                <a:latin typeface="Consolas" pitchFamily="49" charset="0"/>
                <a:cs typeface="Consolas" pitchFamily="49" charset="0"/>
              </a:rPr>
              <a:t>Figure 11.21: Number of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Outgoing SMS's, 2009 - 2017</a:t>
            </a:r>
          </a:p>
        </c:rich>
      </c:tx>
      <c:layout>
        <c:manualLayout>
          <c:xMode val="edge"/>
          <c:yMode val="edge"/>
          <c:x val="0.21764764777646037"/>
          <c:y val="5.48750243679174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53679616014852E-2"/>
          <c:y val="0.15187383368142665"/>
          <c:w val="0.9038861095401749"/>
          <c:h val="0.6956337975950664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'11.30'!$AA$51</c:f>
              <c:strCache>
                <c:ptCount val="1"/>
                <c:pt idx="0">
                  <c:v>(in millions)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'11.30'!$Z$52:$Z$60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'11.30'!$AA$52:$AA$60</c:f>
              <c:numCache>
                <c:formatCode>#,##0</c:formatCode>
                <c:ptCount val="9"/>
                <c:pt idx="0">
                  <c:v>73.355000000000004</c:v>
                </c:pt>
                <c:pt idx="1">
                  <c:v>93.718999999999994</c:v>
                </c:pt>
                <c:pt idx="2">
                  <c:v>370.17200000000003</c:v>
                </c:pt>
                <c:pt idx="3">
                  <c:v>442.66</c:v>
                </c:pt>
                <c:pt idx="4">
                  <c:v>568.375</c:v>
                </c:pt>
                <c:pt idx="5">
                  <c:v>498.12900000000002</c:v>
                </c:pt>
                <c:pt idx="6">
                  <c:v>378.07900000000001</c:v>
                </c:pt>
                <c:pt idx="7">
                  <c:v>319.315</c:v>
                </c:pt>
                <c:pt idx="8">
                  <c:v>2014.2299310000001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7-46BF-9DB7-63EDF9A66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684288"/>
        <c:axId val="138685824"/>
      </c:barChart>
      <c:catAx>
        <c:axId val="13868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8685824"/>
        <c:crosses val="autoZero"/>
        <c:auto val="1"/>
        <c:lblAlgn val="ctr"/>
        <c:lblOffset val="100"/>
        <c:noMultiLvlLbl val="0"/>
      </c:catAx>
      <c:valAx>
        <c:axId val="138685824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'000</a:t>
                </a:r>
              </a:p>
            </c:rich>
          </c:tx>
          <c:layout>
            <c:manualLayout>
              <c:xMode val="edge"/>
              <c:yMode val="edge"/>
              <c:x val="8.9182291440089347E-3"/>
              <c:y val="6.355980340470397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1386842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11" l="0.70000000000000062" r="0.70000000000000062" t="0.75000000000000411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111054</xdr:colOff>
      <xdr:row>38</xdr:row>
      <xdr:rowOff>64784</xdr:rowOff>
    </xdr:from>
    <xdr:to>
      <xdr:col>8</xdr:col>
      <xdr:colOff>231704</xdr:colOff>
      <xdr:row>59</xdr:row>
      <xdr:rowOff>149831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69780</xdr:colOff>
      <xdr:row>61</xdr:row>
      <xdr:rowOff>70315</xdr:rowOff>
    </xdr:from>
    <xdr:to>
      <xdr:col>8</xdr:col>
      <xdr:colOff>260280</xdr:colOff>
      <xdr:row>83</xdr:row>
      <xdr:rowOff>10703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224961</xdr:colOff>
      <xdr:row>39</xdr:row>
      <xdr:rowOff>36923</xdr:rowOff>
    </xdr:from>
    <xdr:to>
      <xdr:col>7</xdr:col>
      <xdr:colOff>960205</xdr:colOff>
      <xdr:row>40</xdr:row>
      <xdr:rowOff>159356</xdr:rowOff>
    </xdr:to>
    <xdr:sp macro="" textlink="">
      <xdr:nvSpPr>
        <xdr:cNvPr id="4" name="TextBox 3"/>
        <xdr:cNvSpPr txBox="1"/>
      </xdr:nvSpPr>
      <xdr:spPr>
        <a:xfrm>
          <a:off x="1873107" y="6918468"/>
          <a:ext cx="5347913" cy="2829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/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11.20 International and National Communications, 2009 - 2018</a:t>
          </a:r>
          <a:endParaRPr lang="en-US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69"/>
  <sheetViews>
    <sheetView tabSelected="1" zoomScale="89" zoomScaleNormal="89" workbookViewId="0">
      <selection activeCell="L54" sqref="L54"/>
    </sheetView>
  </sheetViews>
  <sheetFormatPr defaultColWidth="9.140625" defaultRowHeight="12" x14ac:dyDescent="0.15"/>
  <cols>
    <col min="1" max="1" width="11" style="50" customWidth="1"/>
    <col min="2" max="2" width="13.5703125" style="50" customWidth="1"/>
    <col min="3" max="3" width="11.140625" style="50" customWidth="1"/>
    <col min="4" max="4" width="12.5703125" style="50" customWidth="1"/>
    <col min="5" max="5" width="1.85546875" style="50" customWidth="1"/>
    <col min="6" max="6" width="22.5703125" style="50" customWidth="1"/>
    <col min="7" max="7" width="21" style="50" customWidth="1"/>
    <col min="8" max="8" width="17.85546875" style="50" customWidth="1"/>
    <col min="9" max="9" width="22.42578125" style="50" customWidth="1"/>
    <col min="10" max="10" width="4.85546875" style="50" customWidth="1"/>
    <col min="11" max="11" width="9.140625" style="50"/>
    <col min="12" max="12" width="30.5703125" style="50" customWidth="1"/>
    <col min="13" max="13" width="16.85546875" style="50" customWidth="1"/>
    <col min="14" max="14" width="26.5703125" style="50" customWidth="1"/>
    <col min="15" max="16" width="16.85546875" style="50" customWidth="1"/>
    <col min="17" max="23" width="9.140625" style="50" customWidth="1"/>
    <col min="24" max="26" width="9.140625" style="50"/>
    <col min="27" max="29" width="16.85546875" style="50" customWidth="1"/>
    <col min="30" max="16384" width="9.140625" style="50"/>
  </cols>
  <sheetData>
    <row r="1" spans="1:15" s="3" customFormat="1" ht="19.5" x14ac:dyDescent="0.2">
      <c r="A1" s="59" t="s">
        <v>42</v>
      </c>
      <c r="B1" s="59"/>
      <c r="C1" s="59"/>
      <c r="D1" s="59"/>
      <c r="E1" s="59"/>
      <c r="F1" s="59"/>
      <c r="G1" s="59"/>
      <c r="H1" s="59"/>
      <c r="I1" s="59"/>
    </row>
    <row r="2" spans="1:15" s="4" customFormat="1" ht="15.75" x14ac:dyDescent="0.25">
      <c r="A2" s="60" t="s">
        <v>41</v>
      </c>
      <c r="B2" s="60"/>
      <c r="C2" s="60"/>
      <c r="D2" s="60"/>
      <c r="E2" s="60"/>
      <c r="F2" s="60"/>
      <c r="G2" s="60"/>
      <c r="H2" s="60"/>
      <c r="I2" s="60"/>
    </row>
    <row r="3" spans="1:15" s="6" customFormat="1" ht="15.75" x14ac:dyDescent="0.25">
      <c r="A3" s="61" t="s">
        <v>6</v>
      </c>
      <c r="B3" s="61"/>
      <c r="C3" s="61"/>
      <c r="D3" s="61"/>
      <c r="E3" s="61"/>
      <c r="F3" s="61"/>
      <c r="G3" s="61"/>
      <c r="H3" s="61"/>
      <c r="I3" s="61"/>
      <c r="J3" s="5"/>
      <c r="K3" s="5"/>
      <c r="L3" s="5"/>
      <c r="M3" s="5"/>
      <c r="N3" s="5"/>
      <c r="O3" s="5"/>
    </row>
    <row r="4" spans="1:15" s="6" customFormat="1" ht="15.75" x14ac:dyDescent="0.4">
      <c r="A4" s="62" t="s">
        <v>7</v>
      </c>
      <c r="B4" s="65" t="s">
        <v>8</v>
      </c>
      <c r="C4" s="65"/>
      <c r="D4" s="65"/>
      <c r="E4" s="65"/>
      <c r="F4" s="65"/>
      <c r="G4" s="7" t="s">
        <v>9</v>
      </c>
      <c r="H4" s="8" t="s">
        <v>10</v>
      </c>
      <c r="I4" s="9" t="s">
        <v>11</v>
      </c>
    </row>
    <row r="5" spans="1:15" s="6" customFormat="1" ht="15.75" x14ac:dyDescent="0.2">
      <c r="A5" s="63"/>
      <c r="B5" s="66" t="s">
        <v>12</v>
      </c>
      <c r="C5" s="66"/>
      <c r="D5" s="66"/>
      <c r="E5" s="66"/>
      <c r="F5" s="66"/>
      <c r="G5" s="10"/>
      <c r="H5" s="11" t="s">
        <v>13</v>
      </c>
      <c r="I5" s="11" t="s">
        <v>14</v>
      </c>
    </row>
    <row r="6" spans="1:15" s="6" customFormat="1" ht="15.75" x14ac:dyDescent="0.2">
      <c r="A6" s="63"/>
      <c r="B6" s="1" t="s">
        <v>1</v>
      </c>
      <c r="C6" s="1" t="s">
        <v>15</v>
      </c>
      <c r="D6" s="1" t="s">
        <v>16</v>
      </c>
      <c r="E6" s="1"/>
      <c r="F6" s="12" t="s">
        <v>17</v>
      </c>
      <c r="G6" s="1" t="s">
        <v>18</v>
      </c>
      <c r="H6" s="13" t="s">
        <v>19</v>
      </c>
      <c r="I6" s="14" t="s">
        <v>20</v>
      </c>
    </row>
    <row r="7" spans="1:15" s="6" customFormat="1" ht="12.75" x14ac:dyDescent="0.2">
      <c r="A7" s="64"/>
      <c r="B7" s="15" t="s">
        <v>0</v>
      </c>
      <c r="C7" s="15" t="s">
        <v>21</v>
      </c>
      <c r="D7" s="15" t="s">
        <v>22</v>
      </c>
      <c r="E7" s="15"/>
      <c r="F7" s="15" t="s">
        <v>23</v>
      </c>
      <c r="G7" s="15" t="s">
        <v>24</v>
      </c>
      <c r="H7" s="16" t="s">
        <v>25</v>
      </c>
      <c r="I7" s="17" t="s">
        <v>26</v>
      </c>
    </row>
    <row r="8" spans="1:15" s="6" customFormat="1" ht="12.75" x14ac:dyDescent="0.2">
      <c r="A8" s="18">
        <v>2001</v>
      </c>
      <c r="B8" s="19">
        <f>SUM(C8:F8)</f>
        <v>254435</v>
      </c>
      <c r="C8" s="19">
        <v>142170</v>
      </c>
      <c r="D8" s="19">
        <v>80169</v>
      </c>
      <c r="E8" s="19"/>
      <c r="F8" s="19">
        <v>32096</v>
      </c>
      <c r="G8" s="19">
        <v>21549</v>
      </c>
      <c r="H8" s="20">
        <v>7862</v>
      </c>
      <c r="I8" s="21" t="s">
        <v>2</v>
      </c>
    </row>
    <row r="9" spans="1:15" s="6" customFormat="1" ht="12.75" x14ac:dyDescent="0.2">
      <c r="A9" s="18">
        <v>2002</v>
      </c>
      <c r="B9" s="19">
        <f t="shared" ref="B9:B17" si="0">SUM(C9:F9)</f>
        <v>224885</v>
      </c>
      <c r="C9" s="19">
        <v>112934</v>
      </c>
      <c r="D9" s="19">
        <v>64544</v>
      </c>
      <c r="E9" s="19"/>
      <c r="F9" s="19">
        <v>47407</v>
      </c>
      <c r="G9" s="19">
        <v>35134</v>
      </c>
      <c r="H9" s="20">
        <v>7016</v>
      </c>
      <c r="I9" s="21" t="s">
        <v>2</v>
      </c>
    </row>
    <row r="10" spans="1:15" s="6" customFormat="1" ht="12.75" x14ac:dyDescent="0.2">
      <c r="A10" s="18">
        <v>2003</v>
      </c>
      <c r="B10" s="19">
        <f t="shared" si="0"/>
        <v>201065</v>
      </c>
      <c r="C10" s="19">
        <v>82384</v>
      </c>
      <c r="D10" s="19">
        <v>54541</v>
      </c>
      <c r="E10" s="19"/>
      <c r="F10" s="19">
        <v>64140</v>
      </c>
      <c r="G10" s="20">
        <v>33741</v>
      </c>
      <c r="H10" s="20">
        <v>7170</v>
      </c>
      <c r="I10" s="21" t="s">
        <v>2</v>
      </c>
    </row>
    <row r="11" spans="1:15" s="6" customFormat="1" ht="12.75" x14ac:dyDescent="0.2">
      <c r="A11" s="18">
        <v>2004</v>
      </c>
      <c r="B11" s="19">
        <f t="shared" si="0"/>
        <v>191069</v>
      </c>
      <c r="C11" s="19">
        <v>65395</v>
      </c>
      <c r="D11" s="19">
        <v>43874</v>
      </c>
      <c r="E11" s="19"/>
      <c r="F11" s="19">
        <v>81800</v>
      </c>
      <c r="G11" s="20">
        <v>60492</v>
      </c>
      <c r="H11" s="20">
        <v>7870</v>
      </c>
      <c r="I11" s="21" t="s">
        <v>2</v>
      </c>
    </row>
    <row r="12" spans="1:15" s="6" customFormat="1" ht="12.75" x14ac:dyDescent="0.2">
      <c r="A12" s="18">
        <v>2005</v>
      </c>
      <c r="B12" s="19">
        <f t="shared" si="0"/>
        <v>151155</v>
      </c>
      <c r="C12" s="19">
        <v>43247</v>
      </c>
      <c r="D12" s="19">
        <v>21527</v>
      </c>
      <c r="E12" s="19"/>
      <c r="F12" s="19">
        <v>86381</v>
      </c>
      <c r="G12" s="19">
        <v>136256</v>
      </c>
      <c r="H12" s="20">
        <v>8908</v>
      </c>
      <c r="I12" s="21" t="s">
        <v>2</v>
      </c>
    </row>
    <row r="13" spans="1:15" s="6" customFormat="1" ht="12.75" x14ac:dyDescent="0.2">
      <c r="A13" s="18">
        <v>2006</v>
      </c>
      <c r="B13" s="19">
        <f t="shared" si="0"/>
        <v>123281</v>
      </c>
      <c r="C13" s="19">
        <v>30054</v>
      </c>
      <c r="D13" s="19">
        <v>14031</v>
      </c>
      <c r="E13" s="19"/>
      <c r="F13" s="19">
        <v>79196</v>
      </c>
      <c r="G13" s="19">
        <v>216318</v>
      </c>
      <c r="H13" s="20">
        <v>12037</v>
      </c>
      <c r="I13" s="21" t="s">
        <v>2</v>
      </c>
      <c r="J13" s="4"/>
      <c r="L13" s="22"/>
      <c r="M13" s="22"/>
      <c r="N13" s="22"/>
      <c r="O13" s="18"/>
    </row>
    <row r="14" spans="1:15" s="6" customFormat="1" ht="12.75" x14ac:dyDescent="0.2">
      <c r="A14" s="18">
        <v>2007</v>
      </c>
      <c r="B14" s="19">
        <f t="shared" si="0"/>
        <v>122725</v>
      </c>
      <c r="C14" s="19">
        <v>25575</v>
      </c>
      <c r="D14" s="19">
        <v>11883</v>
      </c>
      <c r="E14" s="19"/>
      <c r="F14" s="19">
        <v>85267</v>
      </c>
      <c r="G14" s="19">
        <v>219839</v>
      </c>
      <c r="H14" s="20">
        <v>26991</v>
      </c>
      <c r="I14" s="21" t="s">
        <v>2</v>
      </c>
      <c r="J14" s="4"/>
    </row>
    <row r="15" spans="1:15" s="6" customFormat="1" ht="12.75" x14ac:dyDescent="0.2">
      <c r="A15" s="18">
        <v>2008</v>
      </c>
      <c r="B15" s="19">
        <f t="shared" si="0"/>
        <v>95124</v>
      </c>
      <c r="C15" s="19">
        <v>19617</v>
      </c>
      <c r="D15" s="19">
        <v>10334</v>
      </c>
      <c r="E15" s="19"/>
      <c r="F15" s="19">
        <v>65173</v>
      </c>
      <c r="G15" s="19">
        <v>969281</v>
      </c>
      <c r="H15" s="20">
        <v>120906</v>
      </c>
      <c r="I15" s="19" t="s">
        <v>2</v>
      </c>
      <c r="J15" s="4"/>
    </row>
    <row r="16" spans="1:15" s="6" customFormat="1" ht="12.75" x14ac:dyDescent="0.2">
      <c r="A16" s="23">
        <v>2009</v>
      </c>
      <c r="B16" s="19">
        <f t="shared" si="0"/>
        <v>86305</v>
      </c>
      <c r="C16" s="19">
        <v>18007</v>
      </c>
      <c r="D16" s="19">
        <v>9021</v>
      </c>
      <c r="E16" s="19"/>
      <c r="F16" s="19">
        <v>59277</v>
      </c>
      <c r="G16" s="19">
        <v>1165371</v>
      </c>
      <c r="H16" s="24">
        <v>140386</v>
      </c>
      <c r="I16" s="19">
        <v>73355</v>
      </c>
      <c r="J16" s="4"/>
    </row>
    <row r="17" spans="1:16" s="6" customFormat="1" ht="15" customHeight="1" x14ac:dyDescent="0.2">
      <c r="A17" s="23">
        <v>2010</v>
      </c>
      <c r="B17" s="19">
        <f t="shared" si="0"/>
        <v>77503</v>
      </c>
      <c r="C17" s="19">
        <v>16757</v>
      </c>
      <c r="D17" s="19">
        <v>8248</v>
      </c>
      <c r="E17" s="19"/>
      <c r="F17" s="19">
        <v>52498</v>
      </c>
      <c r="G17" s="19">
        <v>1241516</v>
      </c>
      <c r="H17" s="24">
        <v>135384</v>
      </c>
      <c r="I17" s="19">
        <v>93719</v>
      </c>
      <c r="J17" s="4"/>
    </row>
    <row r="18" spans="1:16" s="4" customFormat="1" ht="15" customHeight="1" x14ac:dyDescent="0.2">
      <c r="A18" s="23">
        <v>2011</v>
      </c>
      <c r="B18" s="19">
        <v>75974</v>
      </c>
      <c r="C18" s="19">
        <v>15481</v>
      </c>
      <c r="D18" s="19">
        <v>9447</v>
      </c>
      <c r="E18" s="19"/>
      <c r="F18" s="19">
        <v>51046</v>
      </c>
      <c r="G18" s="19">
        <v>1094741</v>
      </c>
      <c r="H18" s="24">
        <v>108744</v>
      </c>
      <c r="I18" s="19">
        <v>370172</v>
      </c>
    </row>
    <row r="19" spans="1:16" s="4" customFormat="1" ht="15" customHeight="1" x14ac:dyDescent="0.25">
      <c r="A19" s="23">
        <v>2012</v>
      </c>
      <c r="B19" s="19">
        <v>69830</v>
      </c>
      <c r="C19" s="19">
        <v>12499</v>
      </c>
      <c r="D19" s="19">
        <v>7788</v>
      </c>
      <c r="E19" s="19"/>
      <c r="F19" s="19">
        <v>49543</v>
      </c>
      <c r="G19" s="19">
        <v>1468840</v>
      </c>
      <c r="H19" s="24">
        <v>211865</v>
      </c>
      <c r="I19" s="19">
        <v>442660</v>
      </c>
      <c r="N19" s="54"/>
    </row>
    <row r="20" spans="1:16" s="6" customFormat="1" ht="15" customHeight="1" x14ac:dyDescent="0.25">
      <c r="A20" s="23">
        <v>2013</v>
      </c>
      <c r="B20" s="19">
        <v>66557</v>
      </c>
      <c r="C20" s="19">
        <v>11699</v>
      </c>
      <c r="D20" s="19">
        <v>7217</v>
      </c>
      <c r="E20" s="19"/>
      <c r="F20" s="19">
        <v>47641</v>
      </c>
      <c r="G20" s="19">
        <v>1571320</v>
      </c>
      <c r="H20" s="24">
        <v>249201</v>
      </c>
      <c r="I20" s="19">
        <v>568375</v>
      </c>
      <c r="J20" s="4"/>
      <c r="L20" s="54"/>
    </row>
    <row r="21" spans="1:16" s="4" customFormat="1" ht="15" customHeight="1" x14ac:dyDescent="0.2">
      <c r="A21" s="23">
        <v>2014</v>
      </c>
      <c r="B21" s="19">
        <f>SUM(C21:F21)</f>
        <v>41974</v>
      </c>
      <c r="C21" s="19">
        <v>7399</v>
      </c>
      <c r="D21" s="19">
        <v>4684</v>
      </c>
      <c r="E21" s="19"/>
      <c r="F21" s="19">
        <v>29891</v>
      </c>
      <c r="G21" s="19">
        <v>1687209</v>
      </c>
      <c r="H21" s="24">
        <v>265736</v>
      </c>
      <c r="I21" s="19">
        <v>498129</v>
      </c>
      <c r="N21" s="25"/>
    </row>
    <row r="22" spans="1:16" s="4" customFormat="1" ht="15" customHeight="1" x14ac:dyDescent="0.2">
      <c r="A22" s="23">
        <v>2015</v>
      </c>
      <c r="B22" s="26">
        <f>SUM(C22:F22)</f>
        <v>59160503</v>
      </c>
      <c r="C22" s="26">
        <v>10072449</v>
      </c>
      <c r="D22" s="26">
        <v>6054414</v>
      </c>
      <c r="E22" s="19"/>
      <c r="F22" s="26">
        <v>43033640</v>
      </c>
      <c r="G22" s="26">
        <v>1608503117</v>
      </c>
      <c r="H22" s="27">
        <v>227780798</v>
      </c>
      <c r="I22" s="19">
        <v>378079</v>
      </c>
    </row>
    <row r="23" spans="1:16" s="4" customFormat="1" ht="15" customHeight="1" x14ac:dyDescent="0.2">
      <c r="A23" s="23">
        <v>2016</v>
      </c>
      <c r="B23" s="26">
        <f>SUM(C23:F23)</f>
        <v>52971925.082999997</v>
      </c>
      <c r="C23" s="26">
        <v>8420045.5830000006</v>
      </c>
      <c r="D23" s="26">
        <v>5014769.42</v>
      </c>
      <c r="E23" s="19"/>
      <c r="F23" s="26">
        <v>39537110.079999998</v>
      </c>
      <c r="G23" s="26">
        <v>1578927992</v>
      </c>
      <c r="H23" s="27">
        <v>226471871</v>
      </c>
      <c r="I23" s="19">
        <v>319315</v>
      </c>
    </row>
    <row r="24" spans="1:16" s="4" customFormat="1" ht="15" customHeight="1" x14ac:dyDescent="0.2">
      <c r="A24" s="23">
        <v>2017</v>
      </c>
      <c r="B24" s="26">
        <f>SUM(C24:F24)</f>
        <v>52967607</v>
      </c>
      <c r="C24" s="26">
        <v>7662894</v>
      </c>
      <c r="D24" s="26">
        <v>4683472</v>
      </c>
      <c r="E24" s="19"/>
      <c r="F24" s="26">
        <v>40621241</v>
      </c>
      <c r="G24" s="26">
        <v>1549661283</v>
      </c>
      <c r="H24" s="27">
        <v>171261605</v>
      </c>
      <c r="I24" s="19">
        <v>2014229.9310000001</v>
      </c>
    </row>
    <row r="25" spans="1:16" s="4" customFormat="1" ht="15" customHeight="1" x14ac:dyDescent="0.2">
      <c r="A25" s="28">
        <v>2018</v>
      </c>
      <c r="B25" s="29">
        <f>SUM(C25:F25)</f>
        <v>45602603</v>
      </c>
      <c r="C25" s="29">
        <v>6536645</v>
      </c>
      <c r="D25" s="29">
        <v>3751071</v>
      </c>
      <c r="E25" s="55"/>
      <c r="F25" s="29">
        <v>35314887</v>
      </c>
      <c r="G25" s="56">
        <v>1580069076</v>
      </c>
      <c r="H25" s="57">
        <v>139763711</v>
      </c>
      <c r="I25" s="58" t="s">
        <v>39</v>
      </c>
    </row>
    <row r="26" spans="1:16" s="4" customFormat="1" ht="15" customHeight="1" x14ac:dyDescent="0.2">
      <c r="A26" s="30" t="s">
        <v>3</v>
      </c>
      <c r="B26" s="26"/>
      <c r="C26" s="26"/>
      <c r="D26" s="26"/>
      <c r="E26" s="19"/>
      <c r="F26" s="26"/>
      <c r="G26" s="26"/>
      <c r="H26" s="27"/>
      <c r="I26" s="19"/>
    </row>
    <row r="27" spans="1:16" s="33" customFormat="1" ht="12.75" x14ac:dyDescent="0.2">
      <c r="A27" s="31" t="s">
        <v>27</v>
      </c>
      <c r="B27" s="2"/>
      <c r="C27" s="2"/>
      <c r="D27" s="2"/>
      <c r="E27" s="2"/>
      <c r="F27" s="32"/>
      <c r="G27" s="32"/>
      <c r="H27" s="32"/>
    </row>
    <row r="28" spans="1:16" s="33" customFormat="1" ht="12.75" x14ac:dyDescent="0.2">
      <c r="A28" s="31" t="s">
        <v>28</v>
      </c>
      <c r="B28" s="2"/>
      <c r="C28" s="2"/>
      <c r="D28" s="2"/>
      <c r="E28" s="2"/>
      <c r="F28" s="32"/>
      <c r="G28" s="32"/>
      <c r="H28" s="32"/>
    </row>
    <row r="29" spans="1:16" s="6" customFormat="1" ht="12.75" x14ac:dyDescent="0.2">
      <c r="A29" s="2" t="s">
        <v>4</v>
      </c>
      <c r="B29" s="22"/>
      <c r="C29" s="22"/>
      <c r="D29" s="22"/>
      <c r="E29" s="22"/>
      <c r="F29" s="22"/>
      <c r="G29" s="22"/>
      <c r="H29" s="22"/>
    </row>
    <row r="30" spans="1:16" s="6" customFormat="1" ht="12.75" x14ac:dyDescent="0.2">
      <c r="A30" s="2" t="s">
        <v>5</v>
      </c>
      <c r="B30" s="22"/>
      <c r="C30" s="22"/>
      <c r="D30" s="22"/>
      <c r="E30" s="22"/>
      <c r="F30" s="22"/>
      <c r="G30" s="22"/>
      <c r="H30" s="34"/>
      <c r="I30" s="22"/>
    </row>
    <row r="31" spans="1:16" s="6" customFormat="1" ht="12.75" x14ac:dyDescent="0.2">
      <c r="A31" s="6" t="s">
        <v>40</v>
      </c>
      <c r="B31" s="22"/>
      <c r="C31" s="22"/>
      <c r="D31" s="22"/>
      <c r="E31" s="22"/>
      <c r="F31" s="22"/>
      <c r="G31" s="22"/>
      <c r="H31" s="22"/>
      <c r="P31" s="36"/>
    </row>
    <row r="32" spans="1:16" s="6" customFormat="1" ht="12.75" x14ac:dyDescent="0.2">
      <c r="A32" s="35" t="s">
        <v>29</v>
      </c>
      <c r="B32" s="22"/>
      <c r="C32" s="22"/>
      <c r="D32" s="22"/>
      <c r="E32" s="22"/>
      <c r="F32" s="22"/>
      <c r="G32" s="22"/>
      <c r="H32" s="22"/>
      <c r="P32" s="38"/>
    </row>
    <row r="33" spans="1:29" s="6" customFormat="1" ht="12.75" x14ac:dyDescent="0.2">
      <c r="A33" s="37" t="s">
        <v>30</v>
      </c>
      <c r="B33" s="22"/>
      <c r="C33" s="22"/>
      <c r="D33" s="22"/>
      <c r="E33" s="22"/>
      <c r="F33" s="22"/>
      <c r="G33" s="22"/>
      <c r="H33" s="22"/>
      <c r="P33" s="38"/>
      <c r="AA33" s="34">
        <f>AA43/1000</f>
        <v>59.160502999999999</v>
      </c>
      <c r="AB33" s="34">
        <f t="shared" ref="AB33:AC33" si="1">AB43/1000</f>
        <v>1608.503117</v>
      </c>
      <c r="AC33" s="34">
        <f t="shared" si="1"/>
        <v>227.780798</v>
      </c>
    </row>
    <row r="34" spans="1:29" s="6" customFormat="1" ht="12.75" x14ac:dyDescent="0.2">
      <c r="A34" s="37" t="s">
        <v>31</v>
      </c>
      <c r="B34" s="22"/>
      <c r="C34" s="22"/>
      <c r="D34" s="22"/>
      <c r="E34" s="22"/>
      <c r="F34" s="22"/>
      <c r="G34" s="22"/>
      <c r="H34" s="22"/>
      <c r="P34" s="38"/>
    </row>
    <row r="35" spans="1:29" s="6" customFormat="1" ht="12.75" x14ac:dyDescent="0.2">
      <c r="A35" s="37" t="s">
        <v>32</v>
      </c>
      <c r="B35" s="22"/>
      <c r="C35" s="22"/>
      <c r="D35" s="22"/>
      <c r="E35" s="22"/>
      <c r="F35" s="22"/>
      <c r="G35" s="22"/>
      <c r="H35" s="22"/>
      <c r="P35" s="4"/>
    </row>
    <row r="36" spans="1:29" s="6" customFormat="1" ht="12.75" customHeight="1" x14ac:dyDescent="0.2">
      <c r="A36" s="37" t="s">
        <v>33</v>
      </c>
      <c r="B36" s="22"/>
      <c r="C36" s="22"/>
      <c r="D36" s="22"/>
      <c r="E36" s="22"/>
      <c r="F36" s="22"/>
      <c r="G36" s="22"/>
      <c r="H36" s="22"/>
      <c r="L36" s="39"/>
      <c r="M36" s="4"/>
      <c r="N36" s="40"/>
      <c r="O36" s="25"/>
      <c r="P36" s="4"/>
      <c r="Z36" s="41"/>
      <c r="AA36" s="42" t="s">
        <v>35</v>
      </c>
      <c r="AB36" s="42" t="s">
        <v>36</v>
      </c>
      <c r="AC36" s="42" t="s">
        <v>37</v>
      </c>
    </row>
    <row r="37" spans="1:29" s="6" customFormat="1" ht="12.75" x14ac:dyDescent="0.2">
      <c r="A37" s="37" t="s">
        <v>34</v>
      </c>
      <c r="B37" s="43"/>
      <c r="C37" s="43"/>
      <c r="D37" s="43"/>
      <c r="E37" s="43"/>
      <c r="F37" s="43"/>
      <c r="G37" s="43"/>
      <c r="H37" s="43"/>
      <c r="L37" s="44"/>
      <c r="M37" s="45"/>
      <c r="N37" s="46"/>
      <c r="O37" s="47"/>
      <c r="P37" s="4"/>
      <c r="Z37" s="39">
        <v>2009</v>
      </c>
      <c r="AA37" s="48">
        <f t="shared" ref="AA37:AA42" si="2">B16</f>
        <v>86305</v>
      </c>
      <c r="AB37" s="48">
        <f t="shared" ref="AB37:AC42" si="3">G16</f>
        <v>1165371</v>
      </c>
      <c r="AC37" s="49">
        <f t="shared" si="3"/>
        <v>140386</v>
      </c>
    </row>
    <row r="38" spans="1:29" s="6" customFormat="1" ht="12.75" x14ac:dyDescent="0.2">
      <c r="B38" s="43"/>
      <c r="C38" s="43"/>
      <c r="D38" s="43"/>
      <c r="E38" s="43"/>
      <c r="F38" s="43"/>
      <c r="G38" s="43"/>
      <c r="H38" s="43"/>
      <c r="L38" s="44"/>
      <c r="M38" s="45"/>
      <c r="N38" s="46"/>
      <c r="O38" s="47"/>
      <c r="P38" s="4"/>
      <c r="Z38" s="39">
        <v>2010</v>
      </c>
      <c r="AA38" s="48">
        <f t="shared" si="2"/>
        <v>77503</v>
      </c>
      <c r="AB38" s="48">
        <f t="shared" si="3"/>
        <v>1241516</v>
      </c>
      <c r="AC38" s="49">
        <f t="shared" si="3"/>
        <v>135384</v>
      </c>
    </row>
    <row r="39" spans="1:29" s="6" customFormat="1" ht="12.75" x14ac:dyDescent="0.2">
      <c r="B39" s="43"/>
      <c r="C39" s="43"/>
      <c r="D39" s="43"/>
      <c r="E39" s="43"/>
      <c r="F39" s="43"/>
      <c r="G39" s="43"/>
      <c r="H39" s="43"/>
      <c r="Z39" s="39">
        <v>2011</v>
      </c>
      <c r="AA39" s="48">
        <f t="shared" si="2"/>
        <v>75974</v>
      </c>
      <c r="AB39" s="48">
        <f t="shared" si="3"/>
        <v>1094741</v>
      </c>
      <c r="AC39" s="49">
        <f t="shared" si="3"/>
        <v>108744</v>
      </c>
    </row>
    <row r="40" spans="1:29" s="6" customFormat="1" ht="12.75" x14ac:dyDescent="0.2">
      <c r="A40" s="22"/>
      <c r="B40" s="22"/>
      <c r="C40" s="22"/>
      <c r="D40" s="22"/>
      <c r="E40" s="22"/>
      <c r="F40" s="22"/>
      <c r="G40" s="22"/>
      <c r="H40" s="22"/>
      <c r="Z40" s="39">
        <v>2012</v>
      </c>
      <c r="AA40" s="48">
        <f t="shared" si="2"/>
        <v>69830</v>
      </c>
      <c r="AB40" s="48">
        <f t="shared" si="3"/>
        <v>1468840</v>
      </c>
      <c r="AC40" s="49">
        <f t="shared" si="3"/>
        <v>211865</v>
      </c>
    </row>
    <row r="41" spans="1:29" s="6" customFormat="1" ht="12.75" x14ac:dyDescent="0.2">
      <c r="F41" s="22"/>
      <c r="G41" s="50"/>
      <c r="H41" s="22"/>
      <c r="Z41" s="39">
        <v>2013</v>
      </c>
      <c r="AA41" s="48">
        <f t="shared" si="2"/>
        <v>66557</v>
      </c>
      <c r="AB41" s="48">
        <f t="shared" si="3"/>
        <v>1571320</v>
      </c>
      <c r="AC41" s="49">
        <f t="shared" si="3"/>
        <v>249201</v>
      </c>
    </row>
    <row r="42" spans="1:29" s="6" customFormat="1" ht="12.75" x14ac:dyDescent="0.2">
      <c r="P42" s="50"/>
      <c r="Z42" s="39">
        <v>2014</v>
      </c>
      <c r="AA42" s="48">
        <f t="shared" si="2"/>
        <v>41974</v>
      </c>
      <c r="AB42" s="48">
        <f t="shared" si="3"/>
        <v>1687209</v>
      </c>
      <c r="AC42" s="49">
        <f t="shared" si="3"/>
        <v>265736</v>
      </c>
    </row>
    <row r="43" spans="1:29" ht="12.75" x14ac:dyDescent="0.2">
      <c r="L43" s="6"/>
      <c r="M43" s="6"/>
      <c r="N43" s="6"/>
      <c r="O43" s="6"/>
      <c r="Z43" s="39">
        <v>2015</v>
      </c>
      <c r="AA43" s="51">
        <v>59160.502999999997</v>
      </c>
      <c r="AB43" s="51">
        <v>1608503.1170000001</v>
      </c>
      <c r="AC43" s="52">
        <v>227780.79800000001</v>
      </c>
    </row>
    <row r="44" spans="1:29" ht="12.75" x14ac:dyDescent="0.2">
      <c r="L44" s="6"/>
      <c r="M44" s="6"/>
      <c r="N44" s="6"/>
      <c r="O44" s="6"/>
      <c r="Z44" s="39">
        <v>2016</v>
      </c>
      <c r="AA44" s="34">
        <v>52972</v>
      </c>
      <c r="AB44" s="34">
        <v>1578928</v>
      </c>
      <c r="AC44" s="34">
        <v>226472</v>
      </c>
    </row>
    <row r="45" spans="1:29" ht="12.75" x14ac:dyDescent="0.2">
      <c r="G45" s="45"/>
      <c r="H45" s="45"/>
      <c r="L45" s="6"/>
      <c r="M45" s="6"/>
      <c r="N45" s="6"/>
      <c r="O45" s="6"/>
      <c r="Z45" s="39">
        <v>2017</v>
      </c>
      <c r="AA45" s="51">
        <v>52968</v>
      </c>
      <c r="AB45" s="51">
        <v>1549661</v>
      </c>
      <c r="AC45" s="52">
        <v>171262</v>
      </c>
    </row>
    <row r="46" spans="1:29" ht="12.75" x14ac:dyDescent="0.2">
      <c r="G46" s="45"/>
      <c r="H46" s="45"/>
      <c r="I46" s="45"/>
      <c r="L46" s="6"/>
      <c r="M46" s="6"/>
      <c r="N46" s="6"/>
      <c r="O46" s="6"/>
      <c r="Z46" s="39">
        <v>2018</v>
      </c>
      <c r="AA46" s="51">
        <v>45602.603000000003</v>
      </c>
      <c r="AB46" s="51">
        <v>1580069.0759999999</v>
      </c>
      <c r="AC46" s="52">
        <v>139763.71100000001</v>
      </c>
    </row>
    <row r="47" spans="1:29" ht="15" x14ac:dyDescent="0.2">
      <c r="G47" s="53"/>
      <c r="H47" s="53"/>
      <c r="I47" s="53"/>
      <c r="L47" s="6"/>
      <c r="M47" s="6"/>
      <c r="N47" s="6"/>
      <c r="O47" s="6"/>
      <c r="AA47" s="48"/>
      <c r="AB47" s="48"/>
      <c r="AC47" s="48"/>
    </row>
    <row r="48" spans="1:29" ht="12.75" x14ac:dyDescent="0.2">
      <c r="I48" s="45"/>
      <c r="L48" s="6"/>
      <c r="M48" s="6"/>
      <c r="N48" s="6"/>
      <c r="O48" s="6"/>
    </row>
    <row r="49" spans="12:29" ht="12.75" x14ac:dyDescent="0.2">
      <c r="L49" s="6"/>
      <c r="M49" s="6"/>
      <c r="N49" s="6"/>
      <c r="O49" s="6"/>
    </row>
    <row r="50" spans="12:29" ht="12.75" x14ac:dyDescent="0.2">
      <c r="L50" s="6"/>
      <c r="M50" s="6"/>
      <c r="N50" s="6"/>
      <c r="O50" s="6"/>
      <c r="AA50" s="14" t="s">
        <v>20</v>
      </c>
      <c r="AB50" s="14" t="s">
        <v>20</v>
      </c>
    </row>
    <row r="51" spans="12:29" ht="12.75" x14ac:dyDescent="0.2">
      <c r="L51" s="6"/>
      <c r="M51" s="6"/>
      <c r="N51" s="6"/>
      <c r="O51" s="6"/>
      <c r="P51" s="45"/>
      <c r="AA51" s="17" t="s">
        <v>38</v>
      </c>
      <c r="AB51" s="17" t="s">
        <v>26</v>
      </c>
    </row>
    <row r="52" spans="12:29" ht="12.75" x14ac:dyDescent="0.2">
      <c r="L52" s="6"/>
      <c r="M52" s="6"/>
      <c r="N52" s="6"/>
      <c r="O52" s="6"/>
      <c r="Z52" s="23">
        <v>2009</v>
      </c>
      <c r="AA52" s="19">
        <f t="shared" ref="AA52:AA57" si="4">AB52/1000</f>
        <v>73.355000000000004</v>
      </c>
      <c r="AB52" s="19">
        <f>I16</f>
        <v>73355</v>
      </c>
    </row>
    <row r="53" spans="12:29" ht="12.75" x14ac:dyDescent="0.2">
      <c r="L53" s="6"/>
      <c r="M53" s="6"/>
      <c r="N53" s="6"/>
      <c r="O53" s="6"/>
      <c r="Z53" s="23">
        <v>2010</v>
      </c>
      <c r="AA53" s="19">
        <f t="shared" si="4"/>
        <v>93.718999999999994</v>
      </c>
      <c r="AB53" s="19">
        <f>I17</f>
        <v>93719</v>
      </c>
    </row>
    <row r="54" spans="12:29" ht="12.75" x14ac:dyDescent="0.2">
      <c r="L54" s="6"/>
      <c r="M54" s="6"/>
      <c r="N54" s="6"/>
      <c r="O54" s="6"/>
      <c r="Z54" s="23">
        <v>2011</v>
      </c>
      <c r="AA54" s="19">
        <f t="shared" si="4"/>
        <v>370.17200000000003</v>
      </c>
      <c r="AB54" s="19">
        <f>AC54</f>
        <v>370172</v>
      </c>
      <c r="AC54" s="50">
        <f>370172</f>
        <v>370172</v>
      </c>
    </row>
    <row r="55" spans="12:29" ht="12.75" x14ac:dyDescent="0.2">
      <c r="L55" s="6"/>
      <c r="M55" s="6"/>
      <c r="N55" s="6"/>
      <c r="O55" s="6"/>
      <c r="Z55" s="23">
        <v>2012</v>
      </c>
      <c r="AA55" s="19">
        <f t="shared" si="4"/>
        <v>442.66</v>
      </c>
      <c r="AB55" s="19">
        <f t="shared" ref="AB55:AB61" si="5">I19</f>
        <v>442660</v>
      </c>
    </row>
    <row r="56" spans="12:29" ht="12.75" x14ac:dyDescent="0.2">
      <c r="L56" s="6"/>
      <c r="M56" s="6"/>
      <c r="N56" s="6"/>
      <c r="O56" s="6"/>
      <c r="Z56" s="23">
        <v>2013</v>
      </c>
      <c r="AA56" s="19">
        <f t="shared" si="4"/>
        <v>568.375</v>
      </c>
      <c r="AB56" s="19">
        <f t="shared" si="5"/>
        <v>568375</v>
      </c>
    </row>
    <row r="57" spans="12:29" ht="12.75" x14ac:dyDescent="0.2">
      <c r="Z57" s="23">
        <v>2014</v>
      </c>
      <c r="AA57" s="19">
        <f t="shared" si="4"/>
        <v>498.12900000000002</v>
      </c>
      <c r="AB57" s="19">
        <f t="shared" si="5"/>
        <v>498129</v>
      </c>
    </row>
    <row r="58" spans="12:29" ht="12.75" x14ac:dyDescent="0.2">
      <c r="Z58" s="23">
        <v>2015</v>
      </c>
      <c r="AA58" s="19">
        <f>AB58/1000</f>
        <v>378.07900000000001</v>
      </c>
      <c r="AB58" s="19">
        <f t="shared" si="5"/>
        <v>378079</v>
      </c>
    </row>
    <row r="59" spans="12:29" ht="12.75" x14ac:dyDescent="0.2">
      <c r="Z59" s="23">
        <v>2016</v>
      </c>
      <c r="AA59" s="19">
        <f>AB59/1000</f>
        <v>319.315</v>
      </c>
      <c r="AB59" s="19">
        <f t="shared" si="5"/>
        <v>319315</v>
      </c>
    </row>
    <row r="60" spans="12:29" ht="12.75" x14ac:dyDescent="0.2">
      <c r="Z60" s="23">
        <v>2017</v>
      </c>
      <c r="AA60" s="19">
        <f>AB60/1000</f>
        <v>2014.2299310000001</v>
      </c>
      <c r="AB60" s="19">
        <f t="shared" si="5"/>
        <v>2014229.9310000001</v>
      </c>
    </row>
    <row r="61" spans="12:29" ht="12.75" x14ac:dyDescent="0.2">
      <c r="Z61" s="23">
        <v>2018</v>
      </c>
      <c r="AA61" s="19" t="e">
        <f>AB61/1000</f>
        <v>#VALUE!</v>
      </c>
      <c r="AB61" s="19" t="str">
        <f t="shared" si="5"/>
        <v>NA</v>
      </c>
    </row>
    <row r="68" spans="4:9" x14ac:dyDescent="0.15">
      <c r="D68" s="45"/>
      <c r="E68" s="45"/>
      <c r="F68" s="45"/>
      <c r="G68" s="45"/>
      <c r="H68" s="45"/>
      <c r="I68" s="45"/>
    </row>
    <row r="69" spans="4:9" x14ac:dyDescent="0.15">
      <c r="D69" s="45"/>
      <c r="E69" s="45"/>
      <c r="F69" s="45"/>
      <c r="G69" s="45"/>
      <c r="H69" s="45"/>
      <c r="I69" s="45"/>
    </row>
  </sheetData>
  <mergeCells count="6">
    <mergeCell ref="A1:I1"/>
    <mergeCell ref="A2:I2"/>
    <mergeCell ref="A3:I3"/>
    <mergeCell ref="A4:A7"/>
    <mergeCell ref="B4:F4"/>
    <mergeCell ref="B5:F5"/>
  </mergeCells>
  <pageMargins left="0.7" right="0.7" top="0.75" bottom="0.75" header="0.3" footer="0.3"/>
  <pageSetup paperSize="9" scale="63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11.30</vt:lpstr>
      <vt:lpstr>'11.30'!Print_Area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2019-05-14T07:23:11Z</cp:lastPrinted>
  <dcterms:created xsi:type="dcterms:W3CDTF">2019-03-24T03:32:16Z</dcterms:created>
  <dcterms:modified xsi:type="dcterms:W3CDTF">2019-05-14T07:23:42Z</dcterms:modified>
</cp:coreProperties>
</file>