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6" sheetId="22" r:id="rId1"/>
  </sheets>
  <externalReferences>
    <externalReference r:id="rId2"/>
    <externalReference r:id="rId3"/>
  </externalReferences>
  <definedNames>
    <definedName name="_xlnm.Print_Area" localSheetId="0">'11.6'!$A$1:$K$75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2" l="1"/>
  <c r="I38" i="22"/>
  <c r="I37" i="22"/>
  <c r="I46" i="22"/>
  <c r="I45" i="22"/>
  <c r="I44" i="22"/>
  <c r="I43" i="22"/>
  <c r="I42" i="22"/>
  <c r="I41" i="22"/>
  <c r="I40" i="22"/>
  <c r="I39" i="22"/>
  <c r="I30" i="22"/>
  <c r="I29" i="22"/>
  <c r="I28" i="22"/>
  <c r="I27" i="22"/>
  <c r="I26" i="22"/>
  <c r="I25" i="22"/>
  <c r="I24" i="22"/>
  <c r="I23" i="22"/>
  <c r="I21" i="22"/>
  <c r="I6" i="22"/>
  <c r="I5" i="22"/>
  <c r="I7" i="22"/>
  <c r="I8" i="22"/>
  <c r="I9" i="22"/>
  <c r="I10" i="22"/>
  <c r="I11" i="22"/>
  <c r="I12" i="22"/>
  <c r="I13" i="22"/>
  <c r="I14" i="22"/>
  <c r="H39" i="22"/>
  <c r="H40" i="22"/>
  <c r="H41" i="22"/>
  <c r="H42" i="22"/>
  <c r="H43" i="22"/>
  <c r="H44" i="22"/>
  <c r="H45" i="22"/>
  <c r="H46" i="22"/>
  <c r="H38" i="22"/>
  <c r="H37" i="22"/>
  <c r="H23" i="22"/>
  <c r="H24" i="22"/>
  <c r="H25" i="22"/>
  <c r="H26" i="22"/>
  <c r="H27" i="22"/>
  <c r="H28" i="22"/>
  <c r="H29" i="22"/>
  <c r="H30" i="22"/>
  <c r="H22" i="22"/>
  <c r="H21" i="22"/>
  <c r="H7" i="22"/>
  <c r="H8" i="22"/>
  <c r="H9" i="22"/>
  <c r="H10" i="22"/>
  <c r="H11" i="22"/>
  <c r="H12" i="22"/>
  <c r="H13" i="22"/>
  <c r="H14" i="22"/>
  <c r="H6" i="22"/>
  <c r="H5" i="22"/>
  <c r="AA92" i="22" l="1"/>
  <c r="AA91" i="22"/>
  <c r="AA90" i="22"/>
  <c r="Y92" i="22"/>
  <c r="Z92" i="22"/>
  <c r="X92" i="22"/>
  <c r="Y91" i="22"/>
  <c r="Z91" i="22"/>
  <c r="X91" i="22"/>
  <c r="Y90" i="22"/>
  <c r="Z90" i="22"/>
  <c r="X90" i="22"/>
  <c r="Z56" i="22"/>
  <c r="Z57" i="22"/>
  <c r="Z58" i="22"/>
  <c r="Z59" i="22"/>
  <c r="Z60" i="22"/>
  <c r="Z61" i="22"/>
  <c r="Z62" i="22"/>
  <c r="Z63" i="22"/>
  <c r="Z55" i="22"/>
  <c r="Y56" i="22"/>
  <c r="Y57" i="22"/>
  <c r="Y58" i="22"/>
  <c r="Y59" i="22"/>
  <c r="Y60" i="22"/>
  <c r="Y61" i="22"/>
  <c r="Y62" i="22"/>
  <c r="Y63" i="22"/>
  <c r="Y55" i="22"/>
  <c r="X56" i="22"/>
  <c r="X57" i="22"/>
  <c r="X58" i="22"/>
  <c r="X59" i="22"/>
  <c r="X60" i="22"/>
  <c r="X61" i="22"/>
  <c r="X62" i="22"/>
  <c r="X63" i="22"/>
  <c r="X55" i="22"/>
</calcChain>
</file>

<file path=xl/sharedStrings.xml><?xml version="1.0" encoding="utf-8"?>
<sst xmlns="http://schemas.openxmlformats.org/spreadsheetml/2006/main" count="133" uniqueCount="42">
  <si>
    <t>Total</t>
  </si>
  <si>
    <t>Male'</t>
  </si>
  <si>
    <t>Source: Transport Authority</t>
  </si>
  <si>
    <t>Type of Vehicles</t>
  </si>
  <si>
    <t>Motor cycle</t>
  </si>
  <si>
    <t>Car</t>
  </si>
  <si>
    <t>Bus</t>
  </si>
  <si>
    <t>Pick-Up</t>
  </si>
  <si>
    <t>Lorry</t>
  </si>
  <si>
    <t>Van</t>
  </si>
  <si>
    <t>Jeep</t>
  </si>
  <si>
    <t>ތާވަލު 11.6: ރަޖިސްޓްރީކުރެވުނު އެއްގަމުގައި ދުއްވާ އުޅަނދުފަހަރު، 2018</t>
  </si>
  <si>
    <t xml:space="preserve">Hulhumale' </t>
  </si>
  <si>
    <t>Addu</t>
  </si>
  <si>
    <t>Other atolls</t>
  </si>
  <si>
    <t>% share in Male'</t>
  </si>
  <si>
    <t>% share of total in Male'</t>
  </si>
  <si>
    <t>ctwvWb egudnwLua</t>
  </si>
  <si>
    <t>ޖުމްލަ</t>
  </si>
  <si>
    <t>މާލެ</t>
  </si>
  <si>
    <t>ހުޅުމާލެ</t>
  </si>
  <si>
    <t>އައްޑޫ</t>
  </si>
  <si>
    <t>އެހެނިހެން އަތޮޅުތައް</t>
  </si>
  <si>
    <t>މާލޭގެ އިންސައްތަ</t>
  </si>
  <si>
    <t>މުޅި މާލޭގެ ޖުމްލަ އިންސައްތަ</t>
  </si>
  <si>
    <t>clwkiaws OTom</t>
  </si>
  <si>
    <t>urWk</t>
  </si>
  <si>
    <t>cswb</t>
  </si>
  <si>
    <t>cpwkip</t>
  </si>
  <si>
    <t>Irol</t>
  </si>
  <si>
    <t>cnEv</t>
  </si>
  <si>
    <t>cpIj</t>
  </si>
  <si>
    <t xml:space="preserve">Battery Scooter      </t>
  </si>
  <si>
    <t>ބެޓެރީ ސްކޫޓަރ</t>
  </si>
  <si>
    <t>Other vehicles</t>
  </si>
  <si>
    <t>އެހެނިހެން އުޅަނދުފަހަރު</t>
  </si>
  <si>
    <t xml:space="preserve">މަޢުލޫމާތު ދެއްވި ފަރާތް: ޓްރާންސްޕޯޓް އޮތޯރިޓީ </t>
  </si>
  <si>
    <t>ތާވަލު 11.6: ރަޖިސްޓްރީކުރެވުނު އެއްގަމުގައި ދުއްވާ އުޅަނދުފަހަރު، 2017</t>
  </si>
  <si>
    <t>ތާވަލު 11.6: ރަޖިސްޓްރީކުރެވުނު އެއްގަމުގައި ދުއްވާ އުޅަނދުފަހަރު، 2016</t>
  </si>
  <si>
    <t>TABLE 11.6: SELECTED VEHICLES ACCORDING TO REGISTRATION, 2018 end</t>
  </si>
  <si>
    <t xml:space="preserve"> TABLE 11.6: SELECTED VEHICLES ACCORDING TO REGISTRATION, 2017 end</t>
  </si>
  <si>
    <t>TABLE 11.6: SELECTED VEHICLES ACCORDING TO REGISTRATION, 2016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</si>
</sst>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indexed="12"/>
      <name val="Arial"/>
      <family val="2"/>
    </font>
    <font>
      <b/>
      <sz val="10"/>
      <name val="Faruma"/>
    </font>
    <font>
      <b/>
      <sz val="10"/>
      <name val="A_Ilham"/>
    </font>
    <font>
      <b/>
      <sz val="9"/>
      <name val="Faruma"/>
    </font>
    <font>
      <b/>
      <sz val="10"/>
      <color theme="1"/>
      <name val="Faruma"/>
    </font>
    <font>
      <sz val="10"/>
      <name val="A_Ilha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6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102">
    <xf numFmtId="0" fontId="0" fillId="0" borderId="0" xfId="0"/>
    <xf numFmtId="0" fontId="8" fillId="2" borderId="0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vertical="center"/>
    </xf>
    <xf numFmtId="0" fontId="1" fillId="2" borderId="0" xfId="8" applyFont="1" applyFill="1"/>
    <xf numFmtId="164" fontId="9" fillId="2" borderId="16" xfId="8" applyNumberFormat="1" applyFont="1" applyFill="1" applyBorder="1" applyAlignment="1">
      <alignment horizontal="left" vertical="center"/>
    </xf>
    <xf numFmtId="0" fontId="1" fillId="2" borderId="0" xfId="8" applyFont="1" applyFill="1" applyAlignment="1">
      <alignment horizontal="center"/>
    </xf>
    <xf numFmtId="1" fontId="5" fillId="2" borderId="8" xfId="8" applyNumberFormat="1" applyFont="1" applyFill="1" applyBorder="1" applyAlignment="1">
      <alignment horizontal="right" vertical="center"/>
    </xf>
    <xf numFmtId="1" fontId="4" fillId="2" borderId="8" xfId="8" applyNumberFormat="1" applyFont="1" applyFill="1" applyBorder="1" applyAlignment="1">
      <alignment horizontal="right" vertical="center" wrapText="1"/>
    </xf>
    <xf numFmtId="1" fontId="19" fillId="2" borderId="14" xfId="8" applyNumberFormat="1" applyFont="1" applyFill="1" applyBorder="1" applyAlignment="1">
      <alignment horizontal="right" vertical="center"/>
    </xf>
    <xf numFmtId="1" fontId="19" fillId="2" borderId="9" xfId="8" applyNumberFormat="1" applyFont="1" applyFill="1" applyBorder="1" applyAlignment="1">
      <alignment horizontal="right" vertical="center"/>
    </xf>
    <xf numFmtId="1" fontId="21" fillId="2" borderId="14" xfId="8" applyNumberFormat="1" applyFont="1" applyFill="1" applyBorder="1" applyAlignment="1">
      <alignment horizontal="right" vertical="center" wrapText="1"/>
    </xf>
    <xf numFmtId="164" fontId="5" fillId="2" borderId="21" xfId="8" applyNumberFormat="1" applyFont="1" applyFill="1" applyBorder="1" applyAlignment="1">
      <alignment horizontal="left" vertical="center"/>
    </xf>
    <xf numFmtId="3" fontId="5" fillId="2" borderId="11" xfId="8" applyNumberFormat="1" applyFont="1" applyFill="1" applyBorder="1" applyAlignment="1">
      <alignment horizontal="right" vertical="center"/>
    </xf>
    <xf numFmtId="3" fontId="15" fillId="2" borderId="7" xfId="8" applyNumberFormat="1" applyFont="1" applyFill="1" applyBorder="1" applyAlignment="1"/>
    <xf numFmtId="3" fontId="5" fillId="2" borderId="10" xfId="8" applyNumberFormat="1" applyFont="1" applyFill="1" applyBorder="1" applyAlignment="1">
      <alignment horizontal="right" vertical="center"/>
    </xf>
    <xf numFmtId="0" fontId="22" fillId="2" borderId="22" xfId="8" applyFont="1" applyFill="1" applyBorder="1" applyAlignment="1">
      <alignment horizontal="right" vertical="center"/>
    </xf>
    <xf numFmtId="164" fontId="7" fillId="2" borderId="23" xfId="8" applyNumberFormat="1" applyFont="1" applyFill="1" applyBorder="1" applyAlignment="1">
      <alignment horizontal="left" vertical="center"/>
    </xf>
    <xf numFmtId="3" fontId="7" fillId="2" borderId="1" xfId="1" applyNumberFormat="1" applyFont="1" applyFill="1" applyBorder="1" applyAlignment="1">
      <alignment horizontal="right" vertical="center"/>
    </xf>
    <xf numFmtId="3" fontId="7" fillId="2" borderId="3" xfId="1" applyNumberFormat="1" applyFont="1" applyFill="1" applyBorder="1" applyAlignment="1">
      <alignment horizontal="right" vertical="center"/>
    </xf>
    <xf numFmtId="1" fontId="5" fillId="2" borderId="0" xfId="8" applyNumberFormat="1" applyFont="1" applyFill="1" applyBorder="1" applyAlignment="1">
      <alignment horizontal="center" vertical="center"/>
    </xf>
    <xf numFmtId="1" fontId="7" fillId="2" borderId="0" xfId="8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right" vertical="center"/>
    </xf>
    <xf numFmtId="0" fontId="8" fillId="2" borderId="24" xfId="0" applyNumberFormat="1" applyFont="1" applyFill="1" applyBorder="1" applyAlignment="1">
      <alignment horizontal="right" vertical="center"/>
    </xf>
    <xf numFmtId="164" fontId="7" fillId="2" borderId="25" xfId="8" applyNumberFormat="1" applyFont="1" applyFill="1" applyBorder="1" applyAlignment="1">
      <alignment horizontal="left" vertical="center"/>
    </xf>
    <xf numFmtId="3" fontId="7" fillId="2" borderId="4" xfId="1" applyNumberFormat="1" applyFont="1" applyFill="1" applyBorder="1" applyAlignment="1">
      <alignment horizontal="right" vertical="center"/>
    </xf>
    <xf numFmtId="3" fontId="7" fillId="2" borderId="5" xfId="1" applyNumberFormat="1" applyFont="1" applyFill="1" applyBorder="1" applyAlignment="1">
      <alignment horizontal="right" vertical="center"/>
    </xf>
    <xf numFmtId="0" fontId="8" fillId="2" borderId="26" xfId="0" applyNumberFormat="1" applyFont="1" applyFill="1" applyBorder="1" applyAlignment="1">
      <alignment horizontal="right" vertical="center"/>
    </xf>
    <xf numFmtId="164" fontId="9" fillId="2" borderId="27" xfId="8" applyNumberFormat="1" applyFont="1" applyFill="1" applyBorder="1" applyAlignment="1">
      <alignment horizontal="center" vertical="center"/>
    </xf>
    <xf numFmtId="164" fontId="14" fillId="2" borderId="27" xfId="8" applyNumberFormat="1" applyFont="1" applyFill="1" applyBorder="1" applyAlignment="1">
      <alignment horizontal="center" vertical="center"/>
    </xf>
    <xf numFmtId="164" fontId="14" fillId="2" borderId="0" xfId="8" applyNumberFormat="1" applyFont="1" applyFill="1" applyBorder="1" applyAlignment="1">
      <alignment horizontal="center" vertical="center"/>
    </xf>
    <xf numFmtId="164" fontId="10" fillId="2" borderId="0" xfId="8" applyNumberFormat="1" applyFont="1" applyFill="1" applyAlignment="1">
      <alignment horizontal="center" vertical="center"/>
    </xf>
    <xf numFmtId="164" fontId="8" fillId="2" borderId="0" xfId="8" applyNumberFormat="1" applyFont="1" applyFill="1" applyAlignment="1">
      <alignment horizontal="right" vertical="center"/>
    </xf>
    <xf numFmtId="3" fontId="1" fillId="2" borderId="0" xfId="8" applyNumberFormat="1" applyFont="1" applyFill="1"/>
    <xf numFmtId="164" fontId="16" fillId="2" borderId="15" xfId="0" applyNumberFormat="1" applyFont="1" applyFill="1" applyBorder="1" applyAlignment="1">
      <alignment vertical="center"/>
    </xf>
    <xf numFmtId="164" fontId="16" fillId="2" borderId="13" xfId="0" applyNumberFormat="1" applyFont="1" applyFill="1" applyBorder="1" applyAlignment="1">
      <alignment vertical="center"/>
    </xf>
    <xf numFmtId="164" fontId="16" fillId="2" borderId="0" xfId="0" applyNumberFormat="1" applyFont="1" applyFill="1" applyBorder="1" applyAlignment="1">
      <alignment vertical="center"/>
    </xf>
    <xf numFmtId="164" fontId="1" fillId="2" borderId="0" xfId="8" applyNumberFormat="1" applyFont="1" applyFill="1"/>
    <xf numFmtId="164" fontId="4" fillId="2" borderId="28" xfId="8" applyNumberFormat="1" applyFont="1" applyFill="1" applyBorder="1"/>
    <xf numFmtId="165" fontId="1" fillId="2" borderId="0" xfId="1" applyNumberFormat="1" applyFont="1" applyFill="1"/>
    <xf numFmtId="3" fontId="7" fillId="2" borderId="0" xfId="1" applyNumberFormat="1" applyFont="1" applyFill="1" applyBorder="1" applyAlignment="1">
      <alignment horizontal="right" vertical="center"/>
    </xf>
    <xf numFmtId="164" fontId="4" fillId="2" borderId="20" xfId="8" applyNumberFormat="1" applyFont="1" applyFill="1" applyBorder="1"/>
    <xf numFmtId="0" fontId="1" fillId="2" borderId="0" xfId="8" applyFont="1" applyFill="1" applyAlignment="1">
      <alignment vertical="center"/>
    </xf>
    <xf numFmtId="164" fontId="9" fillId="2" borderId="17" xfId="8" applyNumberFormat="1" applyFont="1" applyFill="1" applyBorder="1" applyAlignment="1">
      <alignment horizontal="left" vertical="center"/>
    </xf>
    <xf numFmtId="164" fontId="9" fillId="2" borderId="0" xfId="8" applyNumberFormat="1" applyFont="1" applyFill="1" applyBorder="1" applyAlignment="1">
      <alignment horizontal="left" vertical="center"/>
    </xf>
    <xf numFmtId="164" fontId="10" fillId="2" borderId="0" xfId="8" applyNumberFormat="1" applyFont="1" applyFill="1"/>
    <xf numFmtId="3" fontId="7" fillId="2" borderId="1" xfId="1" applyNumberFormat="1" applyFont="1" applyFill="1" applyBorder="1" applyAlignment="1">
      <alignment horizontal="right" vertical="center" wrapText="1"/>
    </xf>
    <xf numFmtId="3" fontId="7" fillId="2" borderId="2" xfId="8" applyNumberFormat="1" applyFont="1" applyFill="1" applyBorder="1" applyAlignment="1">
      <alignment horizontal="right" vertical="center"/>
    </xf>
    <xf numFmtId="38" fontId="7" fillId="2" borderId="0" xfId="8" applyNumberFormat="1" applyFont="1" applyFill="1" applyBorder="1" applyAlignment="1">
      <alignment horizontal="center"/>
    </xf>
    <xf numFmtId="0" fontId="10" fillId="2" borderId="0" xfId="8" applyFont="1" applyFill="1" applyAlignment="1">
      <alignment horizontal="center"/>
    </xf>
    <xf numFmtId="0" fontId="10" fillId="2" borderId="0" xfId="8" applyFont="1" applyFill="1"/>
    <xf numFmtId="3" fontId="7" fillId="2" borderId="0" xfId="0" applyNumberFormat="1" applyFont="1" applyFill="1" applyBorder="1" applyAlignment="1">
      <alignment horizontal="right" wrapText="1"/>
    </xf>
    <xf numFmtId="3" fontId="1" fillId="2" borderId="0" xfId="8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1" fillId="2" borderId="0" xfId="8" applyNumberFormat="1" applyFont="1" applyFill="1" applyAlignment="1">
      <alignment horizontal="center"/>
    </xf>
    <xf numFmtId="1" fontId="5" fillId="2" borderId="0" xfId="8" applyNumberFormat="1" applyFont="1" applyFill="1" applyBorder="1" applyAlignment="1">
      <alignment horizontal="right" vertical="center"/>
    </xf>
    <xf numFmtId="1" fontId="4" fillId="2" borderId="0" xfId="8" applyNumberFormat="1" applyFont="1" applyFill="1" applyBorder="1" applyAlignment="1">
      <alignment horizontal="right" vertical="center" wrapText="1"/>
    </xf>
    <xf numFmtId="1" fontId="19" fillId="2" borderId="0" xfId="8" applyNumberFormat="1" applyFont="1" applyFill="1" applyBorder="1" applyAlignment="1">
      <alignment horizontal="right" vertical="center"/>
    </xf>
    <xf numFmtId="1" fontId="21" fillId="2" borderId="0" xfId="8" applyNumberFormat="1" applyFont="1" applyFill="1" applyBorder="1" applyAlignment="1">
      <alignment horizontal="right" vertical="center" wrapText="1"/>
    </xf>
    <xf numFmtId="3" fontId="5" fillId="2" borderId="0" xfId="8" applyNumberFormat="1" applyFont="1" applyFill="1" applyBorder="1" applyAlignment="1">
      <alignment horizontal="right" vertical="center"/>
    </xf>
    <xf numFmtId="1" fontId="5" fillId="2" borderId="0" xfId="8" applyNumberFormat="1" applyFont="1" applyFill="1" applyBorder="1" applyAlignment="1">
      <alignment horizontal="right" vertical="center" indent="2"/>
    </xf>
    <xf numFmtId="0" fontId="22" fillId="2" borderId="0" xfId="8" applyFont="1" applyFill="1" applyBorder="1" applyAlignment="1">
      <alignment horizontal="right" vertical="center"/>
    </xf>
    <xf numFmtId="164" fontId="7" fillId="2" borderId="0" xfId="8" applyNumberFormat="1" applyFont="1" applyFill="1" applyBorder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 wrapText="1"/>
    </xf>
    <xf numFmtId="1" fontId="7" fillId="2" borderId="0" xfId="8" applyNumberFormat="1" applyFont="1" applyFill="1" applyBorder="1" applyAlignment="1">
      <alignment horizontal="right" vertical="center" indent="2"/>
    </xf>
    <xf numFmtId="0" fontId="23" fillId="2" borderId="0" xfId="0" applyNumberFormat="1" applyFont="1" applyFill="1" applyBorder="1" applyAlignment="1">
      <alignment horizontal="right" vertical="center"/>
    </xf>
    <xf numFmtId="164" fontId="9" fillId="2" borderId="0" xfId="8" applyNumberFormat="1" applyFont="1" applyFill="1" applyBorder="1" applyAlignment="1">
      <alignment horizontal="center" vertical="center"/>
    </xf>
    <xf numFmtId="164" fontId="10" fillId="2" borderId="0" xfId="8" applyNumberFormat="1" applyFont="1" applyFill="1" applyBorder="1" applyAlignment="1">
      <alignment horizontal="center" vertical="center"/>
    </xf>
    <xf numFmtId="164" fontId="8" fillId="2" borderId="0" xfId="8" applyNumberFormat="1" applyFont="1" applyFill="1" applyBorder="1" applyAlignment="1">
      <alignment horizontal="right" vertical="center"/>
    </xf>
    <xf numFmtId="164" fontId="11" fillId="2" borderId="0" xfId="8" applyNumberFormat="1" applyFont="1" applyFill="1" applyBorder="1" applyAlignment="1">
      <alignment horizontal="center" vertical="center"/>
    </xf>
    <xf numFmtId="164" fontId="5" fillId="2" borderId="0" xfId="8" applyNumberFormat="1" applyFont="1" applyFill="1" applyBorder="1" applyAlignment="1">
      <alignment horizontal="left" vertical="center"/>
    </xf>
    <xf numFmtId="0" fontId="1" fillId="2" borderId="0" xfId="8" applyFont="1" applyFill="1" applyBorder="1"/>
    <xf numFmtId="0" fontId="1" fillId="2" borderId="0" xfId="8" applyFont="1" applyFill="1" applyBorder="1" applyAlignment="1">
      <alignment horizontal="center"/>
    </xf>
    <xf numFmtId="3" fontId="15" fillId="2" borderId="0" xfId="8" applyNumberFormat="1" applyFont="1" applyFill="1" applyBorder="1" applyAlignment="1"/>
    <xf numFmtId="1" fontId="5" fillId="2" borderId="0" xfId="8" applyNumberFormat="1" applyFont="1" applyFill="1" applyBorder="1" applyAlignment="1">
      <alignment horizontal="left" vertical="center" indent="3"/>
    </xf>
    <xf numFmtId="1" fontId="5" fillId="2" borderId="0" xfId="8" applyNumberFormat="1" applyFont="1" applyFill="1" applyBorder="1" applyAlignment="1">
      <alignment horizontal="left" vertical="center" indent="5"/>
    </xf>
    <xf numFmtId="3" fontId="7" fillId="2" borderId="0" xfId="8" applyNumberFormat="1" applyFont="1" applyFill="1" applyBorder="1" applyAlignment="1">
      <alignment horizontal="right" vertical="center"/>
    </xf>
    <xf numFmtId="164" fontId="5" fillId="2" borderId="29" xfId="8" applyNumberFormat="1" applyFont="1" applyFill="1" applyBorder="1" applyAlignment="1">
      <alignment horizontal="left" vertical="center"/>
    </xf>
    <xf numFmtId="0" fontId="22" fillId="2" borderId="29" xfId="8" applyFont="1" applyFill="1" applyBorder="1" applyAlignment="1">
      <alignment horizontal="right" vertical="center"/>
    </xf>
    <xf numFmtId="164" fontId="7" fillId="2" borderId="30" xfId="8" applyNumberFormat="1" applyFont="1" applyFill="1" applyBorder="1" applyAlignment="1">
      <alignment horizontal="left" vertical="center"/>
    </xf>
    <xf numFmtId="0" fontId="23" fillId="2" borderId="30" xfId="0" applyNumberFormat="1" applyFont="1" applyFill="1" applyBorder="1" applyAlignment="1">
      <alignment horizontal="right" vertical="center"/>
    </xf>
    <xf numFmtId="0" fontId="8" fillId="2" borderId="30" xfId="0" applyNumberFormat="1" applyFont="1" applyFill="1" applyBorder="1" applyAlignment="1">
      <alignment horizontal="right" vertical="center"/>
    </xf>
    <xf numFmtId="164" fontId="7" fillId="2" borderId="31" xfId="8" applyNumberFormat="1" applyFont="1" applyFill="1" applyBorder="1" applyAlignment="1">
      <alignment horizontal="left" vertical="center"/>
    </xf>
    <xf numFmtId="0" fontId="8" fillId="2" borderId="31" xfId="0" applyNumberFormat="1" applyFont="1" applyFill="1" applyBorder="1" applyAlignment="1">
      <alignment horizontal="right" vertical="center"/>
    </xf>
    <xf numFmtId="1" fontId="7" fillId="2" borderId="0" xfId="8" applyNumberFormat="1" applyFont="1" applyFill="1" applyBorder="1" applyAlignment="1">
      <alignment horizontal="left" vertical="center" indent="5"/>
    </xf>
    <xf numFmtId="1" fontId="7" fillId="2" borderId="18" xfId="8" applyNumberFormat="1" applyFont="1" applyFill="1" applyBorder="1" applyAlignment="1">
      <alignment horizontal="left" vertical="center" indent="5"/>
    </xf>
    <xf numFmtId="164" fontId="13" fillId="2" borderId="0" xfId="8" applyNumberFormat="1" applyFont="1" applyFill="1" applyBorder="1" applyAlignment="1">
      <alignment horizontal="center" vertical="center"/>
    </xf>
    <xf numFmtId="164" fontId="5" fillId="2" borderId="0" xfId="8" applyNumberFormat="1" applyFont="1" applyFill="1" applyBorder="1" applyAlignment="1">
      <alignment horizontal="left" vertical="center"/>
    </xf>
    <xf numFmtId="164" fontId="20" fillId="2" borderId="0" xfId="0" applyNumberFormat="1" applyFont="1" applyFill="1" applyBorder="1" applyAlignment="1">
      <alignment horizontal="right" vertical="center"/>
    </xf>
    <xf numFmtId="164" fontId="11" fillId="2" borderId="17" xfId="8" applyNumberFormat="1" applyFont="1" applyFill="1" applyBorder="1" applyAlignment="1">
      <alignment horizontal="center" vertical="center"/>
    </xf>
    <xf numFmtId="164" fontId="11" fillId="2" borderId="0" xfId="8" applyNumberFormat="1" applyFont="1" applyFill="1" applyBorder="1" applyAlignment="1">
      <alignment horizontal="center" vertical="center"/>
    </xf>
    <xf numFmtId="164" fontId="13" fillId="2" borderId="18" xfId="8" applyNumberFormat="1" applyFont="1" applyFill="1" applyBorder="1" applyAlignment="1">
      <alignment horizontal="center" vertical="center"/>
    </xf>
    <xf numFmtId="164" fontId="5" fillId="2" borderId="19" xfId="8" applyNumberFormat="1" applyFont="1" applyFill="1" applyBorder="1" applyAlignment="1">
      <alignment horizontal="left" vertical="center"/>
    </xf>
    <xf numFmtId="164" fontId="5" fillId="2" borderId="20" xfId="8" applyNumberFormat="1" applyFont="1" applyFill="1" applyBorder="1" applyAlignment="1">
      <alignment horizontal="left" vertical="center"/>
    </xf>
    <xf numFmtId="164" fontId="20" fillId="2" borderId="7" xfId="0" applyNumberFormat="1" applyFont="1" applyFill="1" applyBorder="1" applyAlignment="1">
      <alignment horizontal="right" vertical="center"/>
    </xf>
    <xf numFmtId="164" fontId="20" fillId="2" borderId="18" xfId="0" applyNumberFormat="1" applyFont="1" applyFill="1" applyBorder="1" applyAlignment="1">
      <alignment horizontal="right" vertical="center"/>
    </xf>
    <xf numFmtId="164" fontId="5" fillId="2" borderId="7" xfId="8" applyNumberFormat="1" applyFont="1" applyFill="1" applyBorder="1" applyAlignment="1">
      <alignment horizontal="left" vertical="center"/>
    </xf>
    <xf numFmtId="164" fontId="5" fillId="2" borderId="18" xfId="8" applyNumberFormat="1" applyFont="1" applyFill="1" applyBorder="1" applyAlignment="1">
      <alignment horizontal="left" vertical="center"/>
    </xf>
    <xf numFmtId="3" fontId="5" fillId="2" borderId="12" xfId="8" applyNumberFormat="1" applyFont="1" applyFill="1" applyBorder="1" applyAlignment="1">
      <alignment horizontal="right" vertical="center"/>
    </xf>
    <xf numFmtId="1" fontId="5" fillId="2" borderId="0" xfId="8" applyNumberFormat="1" applyFont="1" applyFill="1" applyBorder="1" applyAlignment="1">
      <alignment horizontal="right" vertical="center" indent="3"/>
    </xf>
    <xf numFmtId="1" fontId="7" fillId="2" borderId="0" xfId="8" applyNumberFormat="1" applyFont="1" applyFill="1" applyBorder="1" applyAlignment="1">
      <alignment horizontal="right" vertical="center" indent="3"/>
    </xf>
    <xf numFmtId="1" fontId="7" fillId="2" borderId="18" xfId="8" applyNumberFormat="1" applyFont="1" applyFill="1" applyBorder="1" applyAlignment="1">
      <alignment horizontal="right" vertical="center" indent="3"/>
    </xf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11.6: Number of  vehicles registered, 2016 - 2018</a:t>
            </a:r>
          </a:p>
        </c:rich>
      </c:tx>
      <c:layout>
        <c:manualLayout>
          <c:xMode val="edge"/>
          <c:yMode val="edge"/>
          <c:x val="0.19741163809922821"/>
          <c:y val="4.08421173725031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71620520809997E-2"/>
          <c:y val="0.14582362119576903"/>
          <c:w val="0.88333932808124715"/>
          <c:h val="0.7176146988287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'11.6'!$X$54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'11.6'!$W$55:$W$63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'11.6'!$X$55:$X$63</c:f>
              <c:numCache>
                <c:formatCode>#,##0</c:formatCode>
                <c:ptCount val="9"/>
                <c:pt idx="0">
                  <c:v>73301</c:v>
                </c:pt>
                <c:pt idx="1">
                  <c:v>5411</c:v>
                </c:pt>
                <c:pt idx="2">
                  <c:v>150</c:v>
                </c:pt>
                <c:pt idx="3">
                  <c:v>2405</c:v>
                </c:pt>
                <c:pt idx="4">
                  <c:v>736</c:v>
                </c:pt>
                <c:pt idx="5">
                  <c:v>1336</c:v>
                </c:pt>
                <c:pt idx="6">
                  <c:v>444</c:v>
                </c:pt>
                <c:pt idx="7">
                  <c:v>561</c:v>
                </c:pt>
                <c:pt idx="8">
                  <c:v>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7-4617-976A-855C66F59737}"/>
            </c:ext>
          </c:extLst>
        </c:ser>
        <c:ser>
          <c:idx val="1"/>
          <c:order val="1"/>
          <c:tx>
            <c:strRef>
              <c:f>'11.6'!$Y$54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'11.6'!$W$55:$W$63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'11.6'!$Y$55:$Y$63</c:f>
              <c:numCache>
                <c:formatCode>#,##0</c:formatCode>
                <c:ptCount val="9"/>
                <c:pt idx="0">
                  <c:v>80859</c:v>
                </c:pt>
                <c:pt idx="1">
                  <c:v>5823</c:v>
                </c:pt>
                <c:pt idx="2">
                  <c:v>168</c:v>
                </c:pt>
                <c:pt idx="3">
                  <c:v>2668</c:v>
                </c:pt>
                <c:pt idx="4">
                  <c:v>767</c:v>
                </c:pt>
                <c:pt idx="5">
                  <c:v>1446</c:v>
                </c:pt>
                <c:pt idx="6">
                  <c:v>469</c:v>
                </c:pt>
                <c:pt idx="7">
                  <c:v>997</c:v>
                </c:pt>
                <c:pt idx="8">
                  <c:v>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7-4617-976A-855C66F59737}"/>
            </c:ext>
          </c:extLst>
        </c:ser>
        <c:ser>
          <c:idx val="2"/>
          <c:order val="2"/>
          <c:tx>
            <c:strRef>
              <c:f>'11.6'!$Z$54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'11.6'!$W$55:$W$63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'11.6'!$Z$55:$Z$63</c:f>
              <c:numCache>
                <c:formatCode>_(* #,##0_);_(* \(#,##0\);_(* "-"??_);_(@_)</c:formatCode>
                <c:ptCount val="9"/>
                <c:pt idx="0">
                  <c:v>89897</c:v>
                </c:pt>
                <c:pt idx="1">
                  <c:v>6325</c:v>
                </c:pt>
                <c:pt idx="2">
                  <c:v>198</c:v>
                </c:pt>
                <c:pt idx="3">
                  <c:v>2931</c:v>
                </c:pt>
                <c:pt idx="4">
                  <c:v>795</c:v>
                </c:pt>
                <c:pt idx="5">
                  <c:v>1549</c:v>
                </c:pt>
                <c:pt idx="6">
                  <c:v>489</c:v>
                </c:pt>
                <c:pt idx="7">
                  <c:v>1367</c:v>
                </c:pt>
                <c:pt idx="8">
                  <c:v>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B7-4617-976A-855C66F59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-908321200"/>
        <c:axId val="-908325552"/>
      </c:barChart>
      <c:catAx>
        <c:axId val="-90832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908325552"/>
        <c:crosses val="autoZero"/>
        <c:auto val="1"/>
        <c:lblAlgn val="ctr"/>
        <c:lblOffset val="100"/>
        <c:noMultiLvlLbl val="0"/>
      </c:catAx>
      <c:valAx>
        <c:axId val="-908325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-90832120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2892503460541607"/>
          <c:y val="0.22599387840438701"/>
          <c:w val="0.30102136293996112"/>
          <c:h val="0.147254468322558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022109524452E-2"/>
          <c:y val="0.1715793284460132"/>
          <c:w val="0.86485045301540742"/>
          <c:h val="0.7124409448818896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'11.6'!$W$90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'11.6'!$X$86:$AA$86</c:f>
              <c:strCache>
                <c:ptCount val="4"/>
                <c:pt idx="0">
                  <c:v>Male'</c:v>
                </c:pt>
                <c:pt idx="1">
                  <c:v>Hulhumale' </c:v>
                </c:pt>
                <c:pt idx="2">
                  <c:v>Addu</c:v>
                </c:pt>
                <c:pt idx="3">
                  <c:v>Other atolls</c:v>
                </c:pt>
              </c:strCache>
            </c:strRef>
          </c:cat>
          <c:val>
            <c:numRef>
              <c:f>'11.6'!$X$90:$AA$90</c:f>
              <c:numCache>
                <c:formatCode>#,##0</c:formatCode>
                <c:ptCount val="4"/>
                <c:pt idx="0">
                  <c:v>59603</c:v>
                </c:pt>
                <c:pt idx="1">
                  <c:v>1379</c:v>
                </c:pt>
                <c:pt idx="2">
                  <c:v>7325</c:v>
                </c:pt>
                <c:pt idx="3">
                  <c:v>18819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2-4DEF-B32E-A70A88DC4FFF}"/>
            </c:ext>
          </c:extLst>
        </c:ser>
        <c:ser>
          <c:idx val="0"/>
          <c:order val="1"/>
          <c:tx>
            <c:strRef>
              <c:f>'11.6'!$W$91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'11.6'!$X$86:$AA$86</c:f>
              <c:strCache>
                <c:ptCount val="4"/>
                <c:pt idx="0">
                  <c:v>Male'</c:v>
                </c:pt>
                <c:pt idx="1">
                  <c:v>Hulhumale' </c:v>
                </c:pt>
                <c:pt idx="2">
                  <c:v>Addu</c:v>
                </c:pt>
                <c:pt idx="3">
                  <c:v>Other atolls</c:v>
                </c:pt>
              </c:strCache>
            </c:strRef>
          </c:cat>
          <c:val>
            <c:numRef>
              <c:f>'11.6'!$X$91:$AA$91</c:f>
              <c:numCache>
                <c:formatCode>#,##0</c:formatCode>
                <c:ptCount val="4"/>
                <c:pt idx="0">
                  <c:v>65117</c:v>
                </c:pt>
                <c:pt idx="1">
                  <c:v>2163</c:v>
                </c:pt>
                <c:pt idx="2">
                  <c:v>8185</c:v>
                </c:pt>
                <c:pt idx="3">
                  <c:v>21748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2-4DEF-B32E-A70A88DC4FFF}"/>
            </c:ext>
          </c:extLst>
        </c:ser>
        <c:ser>
          <c:idx val="2"/>
          <c:order val="2"/>
          <c:tx>
            <c:strRef>
              <c:f>'11.6'!$W$92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'11.6'!$X$86:$AA$86</c:f>
              <c:strCache>
                <c:ptCount val="4"/>
                <c:pt idx="0">
                  <c:v>Male'</c:v>
                </c:pt>
                <c:pt idx="1">
                  <c:v>Hulhumale' </c:v>
                </c:pt>
                <c:pt idx="2">
                  <c:v>Addu</c:v>
                </c:pt>
                <c:pt idx="3">
                  <c:v>Other atolls</c:v>
                </c:pt>
              </c:strCache>
            </c:strRef>
          </c:cat>
          <c:val>
            <c:numRef>
              <c:f>'11.6'!$X$92:$AA$92</c:f>
              <c:numCache>
                <c:formatCode>#,##0</c:formatCode>
                <c:ptCount val="4"/>
                <c:pt idx="0">
                  <c:v>71813</c:v>
                </c:pt>
                <c:pt idx="1">
                  <c:v>2675</c:v>
                </c:pt>
                <c:pt idx="2">
                  <c:v>8940</c:v>
                </c:pt>
                <c:pt idx="3">
                  <c:v>25104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2-4DEF-B32E-A70A88DC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08325008"/>
        <c:axId val="-908324464"/>
      </c:barChart>
      <c:catAx>
        <c:axId val="-908325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908324464"/>
        <c:crosses val="autoZero"/>
        <c:auto val="1"/>
        <c:lblAlgn val="ctr"/>
        <c:lblOffset val="100"/>
        <c:noMultiLvlLbl val="0"/>
      </c:catAx>
      <c:valAx>
        <c:axId val="-9083244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-90832500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3910892183718839"/>
          <c:y val="0.25443750565662049"/>
          <c:w val="0.22742911508080571"/>
          <c:h val="0.1430200480259116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613410</xdr:colOff>
      <xdr:row>48</xdr:row>
      <xdr:rowOff>104773</xdr:rowOff>
    </xdr:from>
    <xdr:to>
      <xdr:col>9</xdr:col>
      <xdr:colOff>51435</xdr:colOff>
      <xdr:row>61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62</xdr:row>
      <xdr:rowOff>66674</xdr:rowOff>
    </xdr:from>
    <xdr:to>
      <xdr:col>9</xdr:col>
      <xdr:colOff>9525</xdr:colOff>
      <xdr:row>73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266699</xdr:colOff>
      <xdr:row>62</xdr:row>
      <xdr:rowOff>171450</xdr:rowOff>
    </xdr:from>
    <xdr:to>
      <xdr:col>8</xdr:col>
      <xdr:colOff>990600</xdr:colOff>
      <xdr:row>63</xdr:row>
      <xdr:rowOff>219075</xdr:rowOff>
    </xdr:to>
    <xdr:sp macro="" textlink="">
      <xdr:nvSpPr>
        <xdr:cNvPr id="4" name="TextBox 3"/>
        <xdr:cNvSpPr txBox="1"/>
      </xdr:nvSpPr>
      <xdr:spPr>
        <a:xfrm>
          <a:off x="1209674" y="14620875"/>
          <a:ext cx="5286376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11.7: Number of registered vehicles by locality,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2016 - 2018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676276</xdr:colOff>
      <xdr:row>49</xdr:row>
      <xdr:rowOff>104776</xdr:rowOff>
    </xdr:from>
    <xdr:to>
      <xdr:col>1</xdr:col>
      <xdr:colOff>552451</xdr:colOff>
      <xdr:row>50</xdr:row>
      <xdr:rowOff>152400</xdr:rowOff>
    </xdr:to>
    <xdr:sp macro="" textlink="">
      <xdr:nvSpPr>
        <xdr:cNvPr id="7" name="TextBox 6"/>
        <xdr:cNvSpPr txBox="1"/>
      </xdr:nvSpPr>
      <xdr:spPr>
        <a:xfrm>
          <a:off x="676276" y="11325226"/>
          <a:ext cx="819150" cy="2666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571501</xdr:colOff>
      <xdr:row>63</xdr:row>
      <xdr:rowOff>38101</xdr:rowOff>
    </xdr:from>
    <xdr:to>
      <xdr:col>1</xdr:col>
      <xdr:colOff>342900</xdr:colOff>
      <xdr:row>64</xdr:row>
      <xdr:rowOff>28575</xdr:rowOff>
    </xdr:to>
    <xdr:sp macro="" textlink="">
      <xdr:nvSpPr>
        <xdr:cNvPr id="8" name="TextBox 7"/>
        <xdr:cNvSpPr txBox="1"/>
      </xdr:nvSpPr>
      <xdr:spPr>
        <a:xfrm>
          <a:off x="571501" y="14716126"/>
          <a:ext cx="714374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In numbers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15"/>
  <sheetViews>
    <sheetView tabSelected="1" zoomScaleNormal="100" workbookViewId="0">
      <selection activeCell="O16" sqref="O16"/>
    </sheetView>
  </sheetViews>
  <sheetFormatPr defaultColWidth="9.140625" defaultRowHeight="15" x14ac:dyDescent="0.25"/>
  <cols>
    <col min="1" max="1" width="14.140625" style="4" customWidth="1"/>
    <col min="2" max="2" width="8.7109375" style="4" customWidth="1"/>
    <col min="3" max="3" width="10" style="6" bestFit="1" customWidth="1"/>
    <col min="4" max="4" width="11.5703125" style="6" customWidth="1"/>
    <col min="5" max="5" width="10.28515625" style="6" customWidth="1"/>
    <col min="6" max="6" width="13.85546875" style="6" customWidth="1"/>
    <col min="7" max="7" width="2.28515625" style="6" customWidth="1"/>
    <col min="8" max="8" width="11.7109375" style="4" customWidth="1"/>
    <col min="9" max="9" width="15.42578125" style="4" customWidth="1"/>
    <col min="10" max="10" width="16.5703125" style="4" customWidth="1"/>
    <col min="11" max="11" width="2.7109375" style="4" customWidth="1"/>
    <col min="12" max="15" width="9.140625" style="4"/>
    <col min="16" max="16" width="17.7109375" style="4" customWidth="1"/>
    <col min="17" max="17" width="11.7109375" style="4" customWidth="1"/>
    <col min="18" max="21" width="9.140625" style="4"/>
    <col min="22" max="22" width="47.140625" style="4" customWidth="1"/>
    <col min="23" max="23" width="9.140625" style="4"/>
    <col min="24" max="25" width="10.5703125" style="4" bestFit="1" customWidth="1"/>
    <col min="26" max="16384" width="9.140625" style="4"/>
  </cols>
  <sheetData>
    <row r="1" spans="1:10" x14ac:dyDescent="0.25">
      <c r="A1" s="89" t="s">
        <v>39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21" x14ac:dyDescent="0.25">
      <c r="A2" s="91" t="s">
        <v>11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ht="24" x14ac:dyDescent="0.25">
      <c r="A3" s="92" t="s">
        <v>3</v>
      </c>
      <c r="B3" s="7" t="s">
        <v>0</v>
      </c>
      <c r="C3" s="7" t="s">
        <v>1</v>
      </c>
      <c r="D3" s="7" t="s">
        <v>12</v>
      </c>
      <c r="E3" s="7" t="s">
        <v>13</v>
      </c>
      <c r="F3" s="7" t="s">
        <v>14</v>
      </c>
      <c r="G3" s="7"/>
      <c r="H3" s="8" t="s">
        <v>15</v>
      </c>
      <c r="I3" s="8" t="s">
        <v>16</v>
      </c>
      <c r="J3" s="94" t="s">
        <v>17</v>
      </c>
    </row>
    <row r="4" spans="1:10" ht="34.5" x14ac:dyDescent="0.25">
      <c r="A4" s="93"/>
      <c r="B4" s="9" t="s">
        <v>18</v>
      </c>
      <c r="C4" s="9" t="s">
        <v>19</v>
      </c>
      <c r="D4" s="9" t="s">
        <v>20</v>
      </c>
      <c r="E4" s="9" t="s">
        <v>21</v>
      </c>
      <c r="F4" s="10" t="s">
        <v>22</v>
      </c>
      <c r="G4" s="9"/>
      <c r="H4" s="11" t="s">
        <v>23</v>
      </c>
      <c r="I4" s="11" t="s">
        <v>24</v>
      </c>
      <c r="J4" s="95"/>
    </row>
    <row r="5" spans="1:10" ht="18.75" x14ac:dyDescent="0.25">
      <c r="A5" s="12" t="s">
        <v>0</v>
      </c>
      <c r="B5" s="13">
        <v>108532</v>
      </c>
      <c r="C5" s="13">
        <v>71813</v>
      </c>
      <c r="D5" s="13">
        <v>2675</v>
      </c>
      <c r="E5" s="13">
        <v>8940</v>
      </c>
      <c r="F5" s="14">
        <v>25104</v>
      </c>
      <c r="G5" s="15"/>
      <c r="H5" s="99">
        <f>C5/C5*100</f>
        <v>100</v>
      </c>
      <c r="I5" s="75">
        <f>C5/B5*100</f>
        <v>66.167581911325684</v>
      </c>
      <c r="J5" s="16" t="s">
        <v>18</v>
      </c>
    </row>
    <row r="6" spans="1:10" x14ac:dyDescent="0.25">
      <c r="A6" s="17" t="s">
        <v>4</v>
      </c>
      <c r="B6" s="18">
        <v>89897</v>
      </c>
      <c r="C6" s="18">
        <v>63379</v>
      </c>
      <c r="D6" s="18">
        <v>1665</v>
      </c>
      <c r="E6" s="46">
        <v>6545</v>
      </c>
      <c r="F6" s="47">
        <v>18308</v>
      </c>
      <c r="G6" s="19"/>
      <c r="H6" s="100">
        <f>C6/$C$5*100</f>
        <v>88.255608316043052</v>
      </c>
      <c r="I6" s="84">
        <f>C6/B6*100</f>
        <v>70.501796500439397</v>
      </c>
      <c r="J6" s="22" t="s">
        <v>25</v>
      </c>
    </row>
    <row r="7" spans="1:10" x14ac:dyDescent="0.25">
      <c r="A7" s="17" t="s">
        <v>5</v>
      </c>
      <c r="B7" s="18">
        <v>6325</v>
      </c>
      <c r="C7" s="18">
        <v>3329</v>
      </c>
      <c r="D7" s="18">
        <v>358</v>
      </c>
      <c r="E7" s="18">
        <v>1438</v>
      </c>
      <c r="F7" s="18">
        <v>1200</v>
      </c>
      <c r="G7" s="19"/>
      <c r="H7" s="100">
        <f t="shared" ref="H7:H14" si="0">C7/$C$5*100</f>
        <v>4.6356509267124331</v>
      </c>
      <c r="I7" s="84">
        <f t="shared" ref="I7:I14" si="1">C7/B7*100</f>
        <v>52.632411067193672</v>
      </c>
      <c r="J7" s="22" t="s">
        <v>26</v>
      </c>
    </row>
    <row r="8" spans="1:10" x14ac:dyDescent="0.25">
      <c r="A8" s="17" t="s">
        <v>6</v>
      </c>
      <c r="B8" s="18">
        <v>198</v>
      </c>
      <c r="C8" s="18">
        <v>96</v>
      </c>
      <c r="D8" s="18">
        <v>18</v>
      </c>
      <c r="E8" s="18">
        <v>46</v>
      </c>
      <c r="F8" s="18">
        <v>38</v>
      </c>
      <c r="G8" s="19"/>
      <c r="H8" s="100">
        <f t="shared" si="0"/>
        <v>0.13368053138011224</v>
      </c>
      <c r="I8" s="84">
        <f t="shared" si="1"/>
        <v>48.484848484848484</v>
      </c>
      <c r="J8" s="22" t="s">
        <v>27</v>
      </c>
    </row>
    <row r="9" spans="1:10" x14ac:dyDescent="0.25">
      <c r="A9" s="17" t="s">
        <v>7</v>
      </c>
      <c r="B9" s="18">
        <v>2931</v>
      </c>
      <c r="C9" s="18">
        <v>1493</v>
      </c>
      <c r="D9" s="18">
        <v>193</v>
      </c>
      <c r="E9" s="18">
        <v>264</v>
      </c>
      <c r="F9" s="18">
        <v>981</v>
      </c>
      <c r="G9" s="19"/>
      <c r="H9" s="100">
        <f t="shared" si="0"/>
        <v>2.0790107640677871</v>
      </c>
      <c r="I9" s="84">
        <f t="shared" si="1"/>
        <v>50.938246332309788</v>
      </c>
      <c r="J9" s="22" t="s">
        <v>28</v>
      </c>
    </row>
    <row r="10" spans="1:10" x14ac:dyDescent="0.25">
      <c r="A10" s="17" t="s">
        <v>8</v>
      </c>
      <c r="B10" s="18">
        <v>795</v>
      </c>
      <c r="C10" s="18">
        <v>450</v>
      </c>
      <c r="D10" s="18">
        <v>22</v>
      </c>
      <c r="E10" s="18">
        <v>53</v>
      </c>
      <c r="F10" s="18">
        <v>270</v>
      </c>
      <c r="G10" s="19"/>
      <c r="H10" s="100">
        <f t="shared" si="0"/>
        <v>0.62662749084427605</v>
      </c>
      <c r="I10" s="84">
        <f t="shared" si="1"/>
        <v>56.60377358490566</v>
      </c>
      <c r="J10" s="22" t="s">
        <v>29</v>
      </c>
    </row>
    <row r="11" spans="1:10" x14ac:dyDescent="0.25">
      <c r="A11" s="17" t="s">
        <v>9</v>
      </c>
      <c r="B11" s="18">
        <v>1549</v>
      </c>
      <c r="C11" s="18">
        <v>765</v>
      </c>
      <c r="D11" s="18">
        <v>111</v>
      </c>
      <c r="E11" s="18">
        <v>205</v>
      </c>
      <c r="F11" s="18">
        <v>468</v>
      </c>
      <c r="G11" s="19"/>
      <c r="H11" s="100">
        <f t="shared" si="0"/>
        <v>1.0652667344352693</v>
      </c>
      <c r="I11" s="84">
        <f t="shared" si="1"/>
        <v>49.386701097482245</v>
      </c>
      <c r="J11" s="22" t="s">
        <v>30</v>
      </c>
    </row>
    <row r="12" spans="1:10" x14ac:dyDescent="0.25">
      <c r="A12" s="17" t="s">
        <v>10</v>
      </c>
      <c r="B12" s="18">
        <v>489</v>
      </c>
      <c r="C12" s="18">
        <v>294</v>
      </c>
      <c r="D12" s="18">
        <v>23</v>
      </c>
      <c r="E12" s="18">
        <v>83</v>
      </c>
      <c r="F12" s="18">
        <v>89</v>
      </c>
      <c r="G12" s="19"/>
      <c r="H12" s="100">
        <f t="shared" si="0"/>
        <v>0.40939662735159377</v>
      </c>
      <c r="I12" s="84">
        <f t="shared" si="1"/>
        <v>60.122699386503065</v>
      </c>
      <c r="J12" s="22" t="s">
        <v>31</v>
      </c>
    </row>
    <row r="13" spans="1:10" ht="18.75" x14ac:dyDescent="0.25">
      <c r="A13" s="17" t="s">
        <v>32</v>
      </c>
      <c r="B13" s="18">
        <v>1367</v>
      </c>
      <c r="C13" s="18">
        <v>686</v>
      </c>
      <c r="D13" s="18">
        <v>84</v>
      </c>
      <c r="E13" s="18">
        <v>60</v>
      </c>
      <c r="F13" s="18">
        <v>537</v>
      </c>
      <c r="G13" s="19"/>
      <c r="H13" s="100">
        <f t="shared" si="0"/>
        <v>0.95525879715371875</v>
      </c>
      <c r="I13" s="84">
        <f t="shared" si="1"/>
        <v>50.182882223847848</v>
      </c>
      <c r="J13" s="23" t="s">
        <v>33</v>
      </c>
    </row>
    <row r="14" spans="1:10" ht="18.75" x14ac:dyDescent="0.25">
      <c r="A14" s="24" t="s">
        <v>34</v>
      </c>
      <c r="B14" s="25">
        <v>4981</v>
      </c>
      <c r="C14" s="25">
        <v>1321</v>
      </c>
      <c r="D14" s="25">
        <v>201</v>
      </c>
      <c r="E14" s="25">
        <v>246</v>
      </c>
      <c r="F14" s="25">
        <v>3213</v>
      </c>
      <c r="G14" s="26"/>
      <c r="H14" s="101">
        <f t="shared" si="0"/>
        <v>1.8394998120117527</v>
      </c>
      <c r="I14" s="85">
        <f t="shared" si="1"/>
        <v>26.520778960048187</v>
      </c>
      <c r="J14" s="27" t="s">
        <v>35</v>
      </c>
    </row>
    <row r="15" spans="1:10" ht="18.75" x14ac:dyDescent="0.25">
      <c r="A15" s="5" t="s">
        <v>2</v>
      </c>
      <c r="B15" s="28"/>
      <c r="C15" s="29"/>
      <c r="D15" s="29"/>
      <c r="E15" s="29"/>
      <c r="F15" s="29"/>
      <c r="G15" s="30"/>
      <c r="H15" s="31"/>
      <c r="I15" s="31"/>
      <c r="J15" s="32" t="s">
        <v>36</v>
      </c>
    </row>
    <row r="16" spans="1:10" x14ac:dyDescent="0.25">
      <c r="E16" s="2"/>
    </row>
    <row r="17" spans="1:10" x14ac:dyDescent="0.25">
      <c r="A17" s="89" t="s">
        <v>40</v>
      </c>
      <c r="B17" s="90"/>
      <c r="C17" s="90"/>
      <c r="D17" s="90"/>
      <c r="E17" s="90"/>
      <c r="F17" s="90"/>
      <c r="G17" s="90"/>
      <c r="H17" s="90"/>
      <c r="I17" s="90"/>
      <c r="J17" s="90"/>
    </row>
    <row r="18" spans="1:10" ht="21" x14ac:dyDescent="0.25">
      <c r="A18" s="91" t="s">
        <v>37</v>
      </c>
      <c r="B18" s="91"/>
      <c r="C18" s="91"/>
      <c r="D18" s="91"/>
      <c r="E18" s="91"/>
      <c r="F18" s="91"/>
      <c r="G18" s="91"/>
      <c r="H18" s="91"/>
      <c r="I18" s="91"/>
      <c r="J18" s="91"/>
    </row>
    <row r="19" spans="1:10" ht="24" x14ac:dyDescent="0.25">
      <c r="A19" s="96" t="s">
        <v>3</v>
      </c>
      <c r="B19" s="7" t="s">
        <v>0</v>
      </c>
      <c r="C19" s="7" t="s">
        <v>1</v>
      </c>
      <c r="D19" s="7" t="s">
        <v>12</v>
      </c>
      <c r="E19" s="7" t="s">
        <v>13</v>
      </c>
      <c r="F19" s="7" t="s">
        <v>14</v>
      </c>
      <c r="G19" s="7"/>
      <c r="H19" s="8" t="s">
        <v>15</v>
      </c>
      <c r="I19" s="8" t="s">
        <v>16</v>
      </c>
      <c r="J19" s="94" t="s">
        <v>17</v>
      </c>
    </row>
    <row r="20" spans="1:10" ht="34.5" x14ac:dyDescent="0.25">
      <c r="A20" s="97"/>
      <c r="B20" s="9" t="s">
        <v>18</v>
      </c>
      <c r="C20" s="9" t="s">
        <v>19</v>
      </c>
      <c r="D20" s="9" t="s">
        <v>20</v>
      </c>
      <c r="E20" s="9" t="s">
        <v>21</v>
      </c>
      <c r="F20" s="10" t="s">
        <v>22</v>
      </c>
      <c r="G20" s="9"/>
      <c r="H20" s="11" t="s">
        <v>23</v>
      </c>
      <c r="I20" s="11" t="s">
        <v>24</v>
      </c>
      <c r="J20" s="95"/>
    </row>
    <row r="21" spans="1:10" ht="18.75" x14ac:dyDescent="0.25">
      <c r="A21" s="77" t="s">
        <v>0</v>
      </c>
      <c r="B21" s="13">
        <v>97213</v>
      </c>
      <c r="C21" s="13">
        <v>65117</v>
      </c>
      <c r="D21" s="13">
        <v>2163</v>
      </c>
      <c r="E21" s="13">
        <v>8185</v>
      </c>
      <c r="F21" s="13">
        <v>21748</v>
      </c>
      <c r="G21" s="15"/>
      <c r="H21" s="99">
        <f>C21/C21*100</f>
        <v>100</v>
      </c>
      <c r="I21" s="75">
        <f>C21/B21*100</f>
        <v>66.983839609928708</v>
      </c>
      <c r="J21" s="78" t="s">
        <v>18</v>
      </c>
    </row>
    <row r="22" spans="1:10" x14ac:dyDescent="0.25">
      <c r="A22" s="79" t="s">
        <v>4</v>
      </c>
      <c r="B22" s="18">
        <v>80859</v>
      </c>
      <c r="C22" s="18">
        <v>57188</v>
      </c>
      <c r="D22" s="18">
        <v>1366</v>
      </c>
      <c r="E22" s="18">
        <v>6069</v>
      </c>
      <c r="F22" s="18">
        <v>16236</v>
      </c>
      <c r="G22" s="19"/>
      <c r="H22" s="100">
        <f>C22/$C$21*100</f>
        <v>87.823456240305902</v>
      </c>
      <c r="I22" s="84">
        <f>C22/B22*100</f>
        <v>70.725584041355944</v>
      </c>
      <c r="J22" s="80" t="s">
        <v>25</v>
      </c>
    </row>
    <row r="23" spans="1:10" x14ac:dyDescent="0.25">
      <c r="A23" s="79" t="s">
        <v>5</v>
      </c>
      <c r="B23" s="18">
        <v>5823</v>
      </c>
      <c r="C23" s="18">
        <v>3233</v>
      </c>
      <c r="D23" s="18">
        <v>274</v>
      </c>
      <c r="E23" s="18">
        <v>1250</v>
      </c>
      <c r="F23" s="18">
        <v>1066</v>
      </c>
      <c r="G23" s="19"/>
      <c r="H23" s="100">
        <f t="shared" ref="H23:H30" si="2">C23/$C$21*100</f>
        <v>4.9649093170754179</v>
      </c>
      <c r="I23" s="84">
        <f t="shared" ref="I23:I30" si="3">C23/B23*100</f>
        <v>55.521208998797867</v>
      </c>
      <c r="J23" s="80" t="s">
        <v>26</v>
      </c>
    </row>
    <row r="24" spans="1:10" x14ac:dyDescent="0.25">
      <c r="A24" s="79" t="s">
        <v>6</v>
      </c>
      <c r="B24" s="18">
        <v>168</v>
      </c>
      <c r="C24" s="18">
        <v>71</v>
      </c>
      <c r="D24" s="18">
        <v>16</v>
      </c>
      <c r="E24" s="18">
        <v>45</v>
      </c>
      <c r="F24" s="18">
        <v>36</v>
      </c>
      <c r="G24" s="19"/>
      <c r="H24" s="100">
        <f t="shared" si="2"/>
        <v>0.10903450711795691</v>
      </c>
      <c r="I24" s="84">
        <f t="shared" si="3"/>
        <v>42.261904761904759</v>
      </c>
      <c r="J24" s="80" t="s">
        <v>27</v>
      </c>
    </row>
    <row r="25" spans="1:10" x14ac:dyDescent="0.25">
      <c r="A25" s="79" t="s">
        <v>7</v>
      </c>
      <c r="B25" s="18">
        <v>2668</v>
      </c>
      <c r="C25" s="18">
        <v>1417</v>
      </c>
      <c r="D25" s="18">
        <v>147</v>
      </c>
      <c r="E25" s="18">
        <v>236</v>
      </c>
      <c r="F25" s="18">
        <v>868</v>
      </c>
      <c r="G25" s="19"/>
      <c r="H25" s="100">
        <f t="shared" si="2"/>
        <v>2.1760830505090833</v>
      </c>
      <c r="I25" s="84">
        <f t="shared" si="3"/>
        <v>53.110944527736137</v>
      </c>
      <c r="J25" s="80" t="s">
        <v>28</v>
      </c>
    </row>
    <row r="26" spans="1:10" x14ac:dyDescent="0.25">
      <c r="A26" s="79" t="s">
        <v>8</v>
      </c>
      <c r="B26" s="18">
        <v>767</v>
      </c>
      <c r="C26" s="18">
        <v>445</v>
      </c>
      <c r="D26" s="18">
        <v>20</v>
      </c>
      <c r="E26" s="18">
        <v>52</v>
      </c>
      <c r="F26" s="18">
        <v>250</v>
      </c>
      <c r="G26" s="19"/>
      <c r="H26" s="100">
        <f t="shared" si="2"/>
        <v>0.6833852910914201</v>
      </c>
      <c r="I26" s="84">
        <f t="shared" si="3"/>
        <v>58.018252933507178</v>
      </c>
      <c r="J26" s="80" t="s">
        <v>29</v>
      </c>
    </row>
    <row r="27" spans="1:10" x14ac:dyDescent="0.25">
      <c r="A27" s="79" t="s">
        <v>9</v>
      </c>
      <c r="B27" s="18">
        <v>1446</v>
      </c>
      <c r="C27" s="18">
        <v>728</v>
      </c>
      <c r="D27" s="18">
        <v>87</v>
      </c>
      <c r="E27" s="18">
        <v>189</v>
      </c>
      <c r="F27" s="18">
        <v>442</v>
      </c>
      <c r="G27" s="19"/>
      <c r="H27" s="100">
        <f t="shared" si="2"/>
        <v>1.1179876222798961</v>
      </c>
      <c r="I27" s="84">
        <f t="shared" si="3"/>
        <v>50.345781466113415</v>
      </c>
      <c r="J27" s="80" t="s">
        <v>30</v>
      </c>
    </row>
    <row r="28" spans="1:10" x14ac:dyDescent="0.25">
      <c r="A28" s="79" t="s">
        <v>10</v>
      </c>
      <c r="B28" s="18">
        <v>469</v>
      </c>
      <c r="C28" s="18">
        <v>285</v>
      </c>
      <c r="D28" s="18">
        <v>23</v>
      </c>
      <c r="E28" s="18">
        <v>76</v>
      </c>
      <c r="F28" s="18">
        <v>85</v>
      </c>
      <c r="G28" s="19"/>
      <c r="H28" s="100">
        <f t="shared" si="2"/>
        <v>0.4376737257551791</v>
      </c>
      <c r="I28" s="84">
        <f t="shared" si="3"/>
        <v>60.767590618336889</v>
      </c>
      <c r="J28" s="80" t="s">
        <v>31</v>
      </c>
    </row>
    <row r="29" spans="1:10" ht="18.75" x14ac:dyDescent="0.25">
      <c r="A29" s="79" t="s">
        <v>32</v>
      </c>
      <c r="B29" s="18">
        <v>997</v>
      </c>
      <c r="C29" s="18">
        <v>509</v>
      </c>
      <c r="D29" s="18">
        <v>70</v>
      </c>
      <c r="E29" s="18">
        <v>51</v>
      </c>
      <c r="F29" s="18">
        <v>367</v>
      </c>
      <c r="G29" s="19"/>
      <c r="H29" s="100">
        <f t="shared" si="2"/>
        <v>0.7816699172259165</v>
      </c>
      <c r="I29" s="84">
        <f t="shared" si="3"/>
        <v>51.053159478435305</v>
      </c>
      <c r="J29" s="81" t="s">
        <v>33</v>
      </c>
    </row>
    <row r="30" spans="1:10" ht="18.75" x14ac:dyDescent="0.25">
      <c r="A30" s="82" t="s">
        <v>34</v>
      </c>
      <c r="B30" s="25">
        <v>4016</v>
      </c>
      <c r="C30" s="25">
        <v>1241</v>
      </c>
      <c r="D30" s="25">
        <v>160</v>
      </c>
      <c r="E30" s="25">
        <v>217</v>
      </c>
      <c r="F30" s="25">
        <v>2398</v>
      </c>
      <c r="G30" s="26"/>
      <c r="H30" s="101">
        <f t="shared" si="2"/>
        <v>1.9058003286392184</v>
      </c>
      <c r="I30" s="85">
        <f t="shared" si="3"/>
        <v>30.901394422310759</v>
      </c>
      <c r="J30" s="83" t="s">
        <v>35</v>
      </c>
    </row>
    <row r="31" spans="1:10" ht="18.75" x14ac:dyDescent="0.25">
      <c r="A31" s="5" t="s">
        <v>2</v>
      </c>
      <c r="B31" s="28"/>
      <c r="C31" s="29"/>
      <c r="D31" s="29"/>
      <c r="E31" s="29"/>
      <c r="F31" s="29"/>
      <c r="G31" s="30"/>
      <c r="H31" s="31"/>
      <c r="I31" s="31"/>
      <c r="J31" s="32" t="s">
        <v>36</v>
      </c>
    </row>
    <row r="33" spans="1:10" x14ac:dyDescent="0.25">
      <c r="A33" s="89" t="s">
        <v>41</v>
      </c>
      <c r="B33" s="90"/>
      <c r="C33" s="90"/>
      <c r="D33" s="90"/>
      <c r="E33" s="90"/>
      <c r="F33" s="90"/>
      <c r="G33" s="90"/>
      <c r="H33" s="90"/>
      <c r="I33" s="90"/>
      <c r="J33" s="90"/>
    </row>
    <row r="34" spans="1:10" ht="21" x14ac:dyDescent="0.25">
      <c r="A34" s="91" t="s">
        <v>38</v>
      </c>
      <c r="B34" s="91"/>
      <c r="C34" s="91"/>
      <c r="D34" s="91"/>
      <c r="E34" s="91"/>
      <c r="F34" s="91"/>
      <c r="G34" s="91"/>
      <c r="H34" s="91"/>
      <c r="I34" s="91"/>
      <c r="J34" s="91"/>
    </row>
    <row r="35" spans="1:10" ht="24" x14ac:dyDescent="0.25">
      <c r="A35" s="96" t="s">
        <v>3</v>
      </c>
      <c r="B35" s="7" t="s">
        <v>0</v>
      </c>
      <c r="C35" s="7" t="s">
        <v>1</v>
      </c>
      <c r="D35" s="7" t="s">
        <v>12</v>
      </c>
      <c r="E35" s="7" t="s">
        <v>13</v>
      </c>
      <c r="F35" s="7" t="s">
        <v>14</v>
      </c>
      <c r="G35" s="7"/>
      <c r="H35" s="8" t="s">
        <v>15</v>
      </c>
      <c r="I35" s="8" t="s">
        <v>16</v>
      </c>
      <c r="J35" s="94" t="s">
        <v>17</v>
      </c>
    </row>
    <row r="36" spans="1:10" ht="34.5" x14ac:dyDescent="0.25">
      <c r="A36" s="97"/>
      <c r="B36" s="9" t="s">
        <v>18</v>
      </c>
      <c r="C36" s="9" t="s">
        <v>19</v>
      </c>
      <c r="D36" s="9" t="s">
        <v>20</v>
      </c>
      <c r="E36" s="9" t="s">
        <v>21</v>
      </c>
      <c r="F36" s="10" t="s">
        <v>22</v>
      </c>
      <c r="G36" s="9"/>
      <c r="H36" s="11" t="s">
        <v>23</v>
      </c>
      <c r="I36" s="11" t="s">
        <v>24</v>
      </c>
      <c r="J36" s="95"/>
    </row>
    <row r="37" spans="1:10" ht="18.75" x14ac:dyDescent="0.25">
      <c r="A37" s="77" t="s">
        <v>0</v>
      </c>
      <c r="B37" s="13">
        <v>87126</v>
      </c>
      <c r="C37" s="13">
        <v>59603</v>
      </c>
      <c r="D37" s="13">
        <v>1379</v>
      </c>
      <c r="E37" s="13">
        <v>7325</v>
      </c>
      <c r="F37" s="13">
        <v>18819</v>
      </c>
      <c r="G37" s="98"/>
      <c r="H37" s="99">
        <f>C37/C37*100</f>
        <v>100</v>
      </c>
      <c r="I37" s="75">
        <f>C37/B37*100</f>
        <v>68.410118678695227</v>
      </c>
      <c r="J37" s="78" t="s">
        <v>18</v>
      </c>
    </row>
    <row r="38" spans="1:10" x14ac:dyDescent="0.25">
      <c r="A38" s="79" t="s">
        <v>4</v>
      </c>
      <c r="B38" s="18">
        <v>73301</v>
      </c>
      <c r="C38" s="18">
        <v>52477</v>
      </c>
      <c r="D38" s="18">
        <v>776</v>
      </c>
      <c r="E38" s="18">
        <v>5491</v>
      </c>
      <c r="F38" s="18">
        <v>14557</v>
      </c>
      <c r="G38" s="19"/>
      <c r="H38" s="100">
        <f>C38/$C$37*100</f>
        <v>88.044225961780441</v>
      </c>
      <c r="I38" s="84">
        <f>C38/B38*100</f>
        <v>71.59111062604876</v>
      </c>
      <c r="J38" s="80" t="s">
        <v>25</v>
      </c>
    </row>
    <row r="39" spans="1:10" x14ac:dyDescent="0.25">
      <c r="A39" s="79" t="s">
        <v>5</v>
      </c>
      <c r="B39" s="18">
        <v>5411</v>
      </c>
      <c r="C39" s="18">
        <v>3096</v>
      </c>
      <c r="D39" s="18">
        <v>229</v>
      </c>
      <c r="E39" s="18">
        <v>1090</v>
      </c>
      <c r="F39" s="18">
        <v>996</v>
      </c>
      <c r="G39" s="19"/>
      <c r="H39" s="100">
        <f t="shared" ref="H39:H46" si="4">C39/$C$37*100</f>
        <v>5.1943694109356908</v>
      </c>
      <c r="I39" s="84">
        <f t="shared" ref="I39:I46" si="5">C39/B39*100</f>
        <v>57.216780632045825</v>
      </c>
      <c r="J39" s="80" t="s">
        <v>26</v>
      </c>
    </row>
    <row r="40" spans="1:10" x14ac:dyDescent="0.25">
      <c r="A40" s="79" t="s">
        <v>6</v>
      </c>
      <c r="B40" s="18">
        <v>150</v>
      </c>
      <c r="C40" s="18">
        <v>66</v>
      </c>
      <c r="D40" s="18">
        <v>11</v>
      </c>
      <c r="E40" s="18">
        <v>44</v>
      </c>
      <c r="F40" s="18">
        <v>29</v>
      </c>
      <c r="G40" s="19"/>
      <c r="H40" s="100">
        <f t="shared" si="4"/>
        <v>0.11073268124087714</v>
      </c>
      <c r="I40" s="84">
        <f t="shared" si="5"/>
        <v>44</v>
      </c>
      <c r="J40" s="80" t="s">
        <v>27</v>
      </c>
    </row>
    <row r="41" spans="1:10" x14ac:dyDescent="0.25">
      <c r="A41" s="79" t="s">
        <v>7</v>
      </c>
      <c r="B41" s="18">
        <v>2405</v>
      </c>
      <c r="C41" s="18">
        <v>1302</v>
      </c>
      <c r="D41" s="18">
        <v>113</v>
      </c>
      <c r="E41" s="18">
        <v>203</v>
      </c>
      <c r="F41" s="18">
        <v>787</v>
      </c>
      <c r="G41" s="19"/>
      <c r="H41" s="100">
        <f t="shared" si="4"/>
        <v>2.1844538026609399</v>
      </c>
      <c r="I41" s="84">
        <f t="shared" si="5"/>
        <v>54.137214137214137</v>
      </c>
      <c r="J41" s="80" t="s">
        <v>28</v>
      </c>
    </row>
    <row r="42" spans="1:10" x14ac:dyDescent="0.25">
      <c r="A42" s="79" t="s">
        <v>8</v>
      </c>
      <c r="B42" s="18">
        <v>736</v>
      </c>
      <c r="C42" s="18">
        <v>430</v>
      </c>
      <c r="D42" s="18">
        <v>17</v>
      </c>
      <c r="E42" s="18">
        <v>49</v>
      </c>
      <c r="F42" s="18">
        <v>240</v>
      </c>
      <c r="G42" s="19"/>
      <c r="H42" s="100">
        <f t="shared" si="4"/>
        <v>0.72144019596329045</v>
      </c>
      <c r="I42" s="84">
        <f t="shared" si="5"/>
        <v>58.423913043478258</v>
      </c>
      <c r="J42" s="80" t="s">
        <v>29</v>
      </c>
    </row>
    <row r="43" spans="1:10" x14ac:dyDescent="0.25">
      <c r="A43" s="79" t="s">
        <v>9</v>
      </c>
      <c r="B43" s="18">
        <v>1336</v>
      </c>
      <c r="C43" s="18">
        <v>669</v>
      </c>
      <c r="D43" s="18">
        <v>69</v>
      </c>
      <c r="E43" s="18">
        <v>174</v>
      </c>
      <c r="F43" s="18">
        <v>424</v>
      </c>
      <c r="G43" s="19"/>
      <c r="H43" s="100">
        <f t="shared" si="4"/>
        <v>1.1224267234870728</v>
      </c>
      <c r="I43" s="84">
        <f t="shared" si="5"/>
        <v>50.074850299401199</v>
      </c>
      <c r="J43" s="80" t="s">
        <v>30</v>
      </c>
    </row>
    <row r="44" spans="1:10" x14ac:dyDescent="0.25">
      <c r="A44" s="79" t="s">
        <v>10</v>
      </c>
      <c r="B44" s="18">
        <v>444</v>
      </c>
      <c r="C44" s="18">
        <v>272</v>
      </c>
      <c r="D44" s="18">
        <v>19</v>
      </c>
      <c r="E44" s="18">
        <v>70</v>
      </c>
      <c r="F44" s="18">
        <v>83</v>
      </c>
      <c r="G44" s="19"/>
      <c r="H44" s="100">
        <f t="shared" si="4"/>
        <v>0.45635286814422088</v>
      </c>
      <c r="I44" s="84">
        <f t="shared" si="5"/>
        <v>61.261261261261254</v>
      </c>
      <c r="J44" s="80" t="s">
        <v>31</v>
      </c>
    </row>
    <row r="45" spans="1:10" ht="18.75" x14ac:dyDescent="0.25">
      <c r="A45" s="79" t="s">
        <v>32</v>
      </c>
      <c r="B45" s="18">
        <v>561</v>
      </c>
      <c r="C45" s="18">
        <v>281</v>
      </c>
      <c r="D45" s="18">
        <v>41</v>
      </c>
      <c r="E45" s="18">
        <v>25</v>
      </c>
      <c r="F45" s="18">
        <v>214</v>
      </c>
      <c r="G45" s="19"/>
      <c r="H45" s="100">
        <f t="shared" si="4"/>
        <v>0.47145277922252232</v>
      </c>
      <c r="I45" s="84">
        <f t="shared" si="5"/>
        <v>50.089126559714792</v>
      </c>
      <c r="J45" s="81" t="s">
        <v>33</v>
      </c>
    </row>
    <row r="46" spans="1:10" ht="18.75" x14ac:dyDescent="0.25">
      <c r="A46" s="82" t="s">
        <v>34</v>
      </c>
      <c r="B46" s="25">
        <v>2782</v>
      </c>
      <c r="C46" s="25">
        <v>1010</v>
      </c>
      <c r="D46" s="25">
        <v>104</v>
      </c>
      <c r="E46" s="25">
        <v>179</v>
      </c>
      <c r="F46" s="25">
        <v>1489</v>
      </c>
      <c r="G46" s="26"/>
      <c r="H46" s="101">
        <f t="shared" si="4"/>
        <v>1.694545576564938</v>
      </c>
      <c r="I46" s="85">
        <f t="shared" si="5"/>
        <v>36.304816678648457</v>
      </c>
      <c r="J46" s="83" t="s">
        <v>35</v>
      </c>
    </row>
    <row r="47" spans="1:10" ht="18.75" x14ac:dyDescent="0.25">
      <c r="A47" s="5" t="s">
        <v>2</v>
      </c>
      <c r="B47" s="28"/>
      <c r="C47" s="29"/>
      <c r="D47" s="29"/>
      <c r="E47" s="29"/>
      <c r="F47" s="29"/>
      <c r="G47" s="30"/>
      <c r="H47" s="31"/>
      <c r="I47" s="31"/>
      <c r="J47" s="32" t="s">
        <v>36</v>
      </c>
    </row>
    <row r="48" spans="1:10" x14ac:dyDescent="0.25">
      <c r="A48" s="71"/>
      <c r="B48" s="71"/>
      <c r="C48" s="72"/>
      <c r="D48" s="72"/>
      <c r="E48" s="72"/>
      <c r="F48" s="72"/>
      <c r="G48" s="72"/>
      <c r="H48" s="71"/>
      <c r="I48" s="71"/>
      <c r="J48" s="71"/>
    </row>
    <row r="49" spans="1:30" x14ac:dyDescent="0.25">
      <c r="A49" s="71"/>
      <c r="B49" s="71"/>
      <c r="C49" s="72"/>
      <c r="D49" s="72"/>
      <c r="E49" s="72"/>
      <c r="F49" s="72"/>
      <c r="G49" s="72"/>
      <c r="H49" s="71"/>
      <c r="I49" s="71"/>
      <c r="J49" s="71"/>
    </row>
    <row r="50" spans="1:30" ht="17.25" customHeight="1" x14ac:dyDescent="0.25">
      <c r="A50" s="90"/>
      <c r="B50" s="90"/>
      <c r="C50" s="90"/>
      <c r="D50" s="90"/>
      <c r="E50" s="90"/>
      <c r="F50" s="90"/>
      <c r="G50" s="90"/>
      <c r="H50" s="90"/>
      <c r="I50" s="90"/>
      <c r="J50" s="90"/>
    </row>
    <row r="51" spans="1:30" ht="18.75" customHeight="1" x14ac:dyDescent="0.25">
      <c r="A51" s="86"/>
      <c r="B51" s="86"/>
      <c r="C51" s="86"/>
      <c r="D51" s="86"/>
      <c r="E51" s="86"/>
      <c r="F51" s="86"/>
      <c r="G51" s="86"/>
      <c r="H51" s="86"/>
      <c r="I51" s="86"/>
      <c r="J51" s="86"/>
      <c r="AC51" s="33"/>
      <c r="AD51" s="33"/>
    </row>
    <row r="52" spans="1:30" ht="24.75" customHeight="1" x14ac:dyDescent="0.25">
      <c r="A52" s="87"/>
      <c r="B52" s="55"/>
      <c r="C52" s="55"/>
      <c r="D52" s="55"/>
      <c r="E52" s="55"/>
      <c r="F52" s="55"/>
      <c r="G52" s="55"/>
      <c r="H52" s="56"/>
      <c r="I52" s="56"/>
      <c r="J52" s="88"/>
      <c r="AC52" s="33"/>
      <c r="AD52" s="33"/>
    </row>
    <row r="53" spans="1:30" ht="30.75" customHeight="1" x14ac:dyDescent="0.25">
      <c r="A53" s="87"/>
      <c r="B53" s="57"/>
      <c r="C53" s="57"/>
      <c r="D53" s="57"/>
      <c r="E53" s="57"/>
      <c r="F53" s="57"/>
      <c r="G53" s="57"/>
      <c r="H53" s="58"/>
      <c r="I53" s="58"/>
      <c r="J53" s="88"/>
      <c r="T53" s="34"/>
      <c r="U53" s="3"/>
      <c r="AC53" s="33"/>
      <c r="AD53" s="33"/>
    </row>
    <row r="54" spans="1:30" ht="18.75" customHeight="1" x14ac:dyDescent="0.25">
      <c r="A54" s="70"/>
      <c r="B54" s="59"/>
      <c r="C54" s="59"/>
      <c r="D54" s="59"/>
      <c r="E54" s="59"/>
      <c r="F54" s="73"/>
      <c r="G54" s="59"/>
      <c r="H54" s="74"/>
      <c r="I54" s="75"/>
      <c r="J54" s="61"/>
      <c r="T54" s="35"/>
      <c r="U54" s="36"/>
      <c r="X54" s="4">
        <v>2016</v>
      </c>
      <c r="Y54" s="4">
        <v>2017</v>
      </c>
      <c r="Z54" s="4">
        <v>2018</v>
      </c>
      <c r="AC54" s="33"/>
      <c r="AD54" s="33"/>
    </row>
    <row r="55" spans="1:30" ht="18" customHeight="1" x14ac:dyDescent="0.25">
      <c r="A55" s="62"/>
      <c r="B55" s="40"/>
      <c r="C55" s="40"/>
      <c r="D55" s="40"/>
      <c r="E55" s="63"/>
      <c r="F55" s="76"/>
      <c r="G55" s="40"/>
      <c r="H55" s="20"/>
      <c r="I55" s="21"/>
      <c r="J55" s="65"/>
      <c r="T55" s="35"/>
      <c r="U55" s="36"/>
      <c r="V55" s="37"/>
      <c r="W55" s="38" t="s">
        <v>4</v>
      </c>
      <c r="X55" s="33">
        <f t="shared" ref="X55:X63" si="6">B38</f>
        <v>73301</v>
      </c>
      <c r="Y55" s="40">
        <f t="shared" ref="Y55:Y63" si="7">B22</f>
        <v>80859</v>
      </c>
      <c r="Z55" s="39">
        <f t="shared" ref="Z55:Z63" si="8">B6</f>
        <v>89897</v>
      </c>
      <c r="AC55" s="33"/>
      <c r="AD55" s="33"/>
    </row>
    <row r="56" spans="1:30" ht="18" customHeight="1" x14ac:dyDescent="0.25">
      <c r="A56" s="62"/>
      <c r="B56" s="40"/>
      <c r="C56" s="40"/>
      <c r="D56" s="40"/>
      <c r="E56" s="40"/>
      <c r="F56" s="40"/>
      <c r="G56" s="40"/>
      <c r="H56" s="20"/>
      <c r="I56" s="21"/>
      <c r="J56" s="65"/>
      <c r="T56" s="35"/>
      <c r="U56" s="36"/>
      <c r="V56" s="37"/>
      <c r="W56" s="38" t="s">
        <v>5</v>
      </c>
      <c r="X56" s="33">
        <f t="shared" si="6"/>
        <v>5411</v>
      </c>
      <c r="Y56" s="40">
        <f t="shared" si="7"/>
        <v>5823</v>
      </c>
      <c r="Z56" s="39">
        <f t="shared" si="8"/>
        <v>6325</v>
      </c>
      <c r="AC56" s="33"/>
      <c r="AD56" s="33"/>
    </row>
    <row r="57" spans="1:30" ht="18" customHeight="1" x14ac:dyDescent="0.25">
      <c r="A57" s="62"/>
      <c r="B57" s="40"/>
      <c r="C57" s="40"/>
      <c r="D57" s="40"/>
      <c r="E57" s="40"/>
      <c r="F57" s="40"/>
      <c r="G57" s="40"/>
      <c r="H57" s="20"/>
      <c r="I57" s="21"/>
      <c r="J57" s="65"/>
      <c r="T57" s="35"/>
      <c r="U57" s="36"/>
      <c r="V57" s="37"/>
      <c r="W57" s="38" t="s">
        <v>6</v>
      </c>
      <c r="X57" s="33">
        <f t="shared" si="6"/>
        <v>150</v>
      </c>
      <c r="Y57" s="40">
        <f t="shared" si="7"/>
        <v>168</v>
      </c>
      <c r="Z57" s="39">
        <f t="shared" si="8"/>
        <v>198</v>
      </c>
      <c r="AC57" s="33"/>
      <c r="AD57" s="33"/>
    </row>
    <row r="58" spans="1:30" ht="18" customHeight="1" x14ac:dyDescent="0.25">
      <c r="A58" s="62"/>
      <c r="B58" s="40"/>
      <c r="C58" s="40"/>
      <c r="D58" s="40"/>
      <c r="E58" s="40"/>
      <c r="F58" s="40"/>
      <c r="G58" s="40"/>
      <c r="H58" s="20"/>
      <c r="I58" s="21"/>
      <c r="J58" s="65"/>
      <c r="V58" s="37"/>
      <c r="W58" s="38" t="s">
        <v>7</v>
      </c>
      <c r="X58" s="33">
        <f t="shared" si="6"/>
        <v>2405</v>
      </c>
      <c r="Y58" s="40">
        <f t="shared" si="7"/>
        <v>2668</v>
      </c>
      <c r="Z58" s="39">
        <f t="shared" si="8"/>
        <v>2931</v>
      </c>
      <c r="AC58" s="33"/>
      <c r="AD58" s="33"/>
    </row>
    <row r="59" spans="1:30" ht="18" customHeight="1" x14ac:dyDescent="0.25">
      <c r="A59" s="62"/>
      <c r="B59" s="40"/>
      <c r="C59" s="40"/>
      <c r="D59" s="40"/>
      <c r="E59" s="40"/>
      <c r="F59" s="40"/>
      <c r="G59" s="40"/>
      <c r="H59" s="20"/>
      <c r="I59" s="21"/>
      <c r="J59" s="65"/>
      <c r="V59" s="37"/>
      <c r="W59" s="38" t="s">
        <v>8</v>
      </c>
      <c r="X59" s="33">
        <f t="shared" si="6"/>
        <v>736</v>
      </c>
      <c r="Y59" s="40">
        <f t="shared" si="7"/>
        <v>767</v>
      </c>
      <c r="Z59" s="39">
        <f t="shared" si="8"/>
        <v>795</v>
      </c>
      <c r="AC59" s="33"/>
      <c r="AD59" s="33"/>
    </row>
    <row r="60" spans="1:30" ht="18" customHeight="1" x14ac:dyDescent="0.25">
      <c r="A60" s="62"/>
      <c r="B60" s="40"/>
      <c r="C60" s="40"/>
      <c r="D60" s="40"/>
      <c r="E60" s="40"/>
      <c r="F60" s="40"/>
      <c r="G60" s="40"/>
      <c r="H60" s="20"/>
      <c r="I60" s="21"/>
      <c r="J60" s="65"/>
      <c r="V60" s="37"/>
      <c r="W60" s="38" t="s">
        <v>9</v>
      </c>
      <c r="X60" s="33">
        <f t="shared" si="6"/>
        <v>1336</v>
      </c>
      <c r="Y60" s="40">
        <f t="shared" si="7"/>
        <v>1446</v>
      </c>
      <c r="Z60" s="39">
        <f t="shared" si="8"/>
        <v>1549</v>
      </c>
      <c r="AC60" s="33"/>
      <c r="AD60" s="33"/>
    </row>
    <row r="61" spans="1:30" ht="18" customHeight="1" x14ac:dyDescent="0.25">
      <c r="A61" s="62"/>
      <c r="B61" s="40"/>
      <c r="C61" s="40"/>
      <c r="D61" s="40"/>
      <c r="E61" s="40"/>
      <c r="F61" s="40"/>
      <c r="G61" s="40"/>
      <c r="H61" s="20"/>
      <c r="I61" s="21"/>
      <c r="J61" s="65"/>
      <c r="V61" s="37"/>
      <c r="W61" s="38" t="s">
        <v>10</v>
      </c>
      <c r="X61" s="33">
        <f t="shared" si="6"/>
        <v>444</v>
      </c>
      <c r="Y61" s="40">
        <f t="shared" si="7"/>
        <v>469</v>
      </c>
      <c r="Z61" s="39">
        <f t="shared" si="8"/>
        <v>489</v>
      </c>
      <c r="AC61" s="33"/>
      <c r="AD61" s="33"/>
    </row>
    <row r="62" spans="1:30" ht="18" customHeight="1" x14ac:dyDescent="0.25">
      <c r="A62" s="62"/>
      <c r="B62" s="40"/>
      <c r="C62" s="40"/>
      <c r="D62" s="40"/>
      <c r="E62" s="40"/>
      <c r="F62" s="40"/>
      <c r="G62" s="40"/>
      <c r="H62" s="20"/>
      <c r="I62" s="21"/>
      <c r="J62" s="1"/>
      <c r="V62" s="37"/>
      <c r="W62" s="38" t="s">
        <v>32</v>
      </c>
      <c r="X62" s="33">
        <f t="shared" si="6"/>
        <v>561</v>
      </c>
      <c r="Y62" s="40">
        <f t="shared" si="7"/>
        <v>997</v>
      </c>
      <c r="Z62" s="39">
        <f t="shared" si="8"/>
        <v>1367</v>
      </c>
      <c r="AC62" s="33"/>
      <c r="AD62" s="33"/>
    </row>
    <row r="63" spans="1:30" ht="18" customHeight="1" x14ac:dyDescent="0.25">
      <c r="A63" s="62"/>
      <c r="B63" s="40"/>
      <c r="C63" s="40"/>
      <c r="D63" s="40"/>
      <c r="E63" s="40"/>
      <c r="F63" s="40"/>
      <c r="G63" s="40"/>
      <c r="H63" s="20"/>
      <c r="I63" s="21"/>
      <c r="J63" s="1"/>
      <c r="V63" s="37"/>
      <c r="W63" s="41" t="s">
        <v>34</v>
      </c>
      <c r="X63" s="33">
        <f t="shared" si="6"/>
        <v>2782</v>
      </c>
      <c r="Y63" s="40">
        <f t="shared" si="7"/>
        <v>4016</v>
      </c>
      <c r="Z63" s="39">
        <f t="shared" si="8"/>
        <v>4981</v>
      </c>
      <c r="AC63" s="33"/>
      <c r="AD63" s="33"/>
    </row>
    <row r="64" spans="1:30" s="42" customFormat="1" ht="18.75" x14ac:dyDescent="0.25">
      <c r="A64" s="44"/>
      <c r="B64" s="66"/>
      <c r="C64" s="30"/>
      <c r="D64" s="30"/>
      <c r="E64" s="30"/>
      <c r="F64" s="30"/>
      <c r="G64" s="30"/>
      <c r="H64" s="67"/>
      <c r="I64" s="67"/>
      <c r="J64" s="68"/>
    </row>
    <row r="65" spans="1:30" ht="19.149999999999999" customHeight="1" x14ac:dyDescent="0.25">
      <c r="A65" s="43"/>
      <c r="B65" s="44"/>
      <c r="C65" s="30"/>
      <c r="D65" s="30"/>
      <c r="E65" s="30"/>
      <c r="F65" s="30"/>
      <c r="G65" s="30"/>
      <c r="H65" s="45"/>
      <c r="I65" s="45"/>
      <c r="J65" s="45"/>
    </row>
    <row r="66" spans="1:30" ht="17.25" customHeight="1" x14ac:dyDescent="0.25">
      <c r="A66" s="89"/>
      <c r="B66" s="90"/>
      <c r="C66" s="90"/>
      <c r="D66" s="90"/>
      <c r="E66" s="90"/>
      <c r="F66" s="90"/>
      <c r="G66" s="90"/>
      <c r="H66" s="90"/>
      <c r="I66" s="90"/>
      <c r="J66" s="90"/>
    </row>
    <row r="67" spans="1:30" ht="18.75" customHeight="1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71"/>
      <c r="L67" s="71"/>
      <c r="M67" s="71"/>
      <c r="N67" s="71"/>
      <c r="O67" s="71"/>
      <c r="P67" s="71"/>
      <c r="Q67" s="71"/>
      <c r="R67" s="71"/>
      <c r="S67" s="71"/>
      <c r="AC67" s="33"/>
      <c r="AD67" s="33"/>
    </row>
    <row r="68" spans="1:30" ht="24.75" customHeight="1" x14ac:dyDescent="0.25">
      <c r="A68" s="87"/>
      <c r="B68" s="55"/>
      <c r="C68" s="55"/>
      <c r="D68" s="55"/>
      <c r="E68" s="55"/>
      <c r="F68" s="55"/>
      <c r="G68" s="55"/>
      <c r="H68" s="56"/>
      <c r="I68" s="56"/>
      <c r="J68" s="88"/>
      <c r="K68" s="71"/>
      <c r="L68" s="71"/>
      <c r="M68" s="71"/>
      <c r="N68" s="71"/>
      <c r="O68" s="71"/>
      <c r="P68" s="71"/>
      <c r="Q68" s="71"/>
      <c r="R68" s="71"/>
      <c r="S68" s="71"/>
      <c r="AC68" s="33"/>
      <c r="AD68" s="33"/>
    </row>
    <row r="69" spans="1:30" ht="30.75" customHeight="1" x14ac:dyDescent="0.25">
      <c r="A69" s="87"/>
      <c r="B69" s="57"/>
      <c r="C69" s="57"/>
      <c r="D69" s="57"/>
      <c r="E69" s="57"/>
      <c r="F69" s="57"/>
      <c r="G69" s="57"/>
      <c r="H69" s="58"/>
      <c r="I69" s="58"/>
      <c r="J69" s="88"/>
      <c r="K69" s="71"/>
      <c r="L69" s="71"/>
      <c r="M69" s="71"/>
      <c r="N69" s="71"/>
      <c r="O69" s="71"/>
      <c r="P69" s="71"/>
      <c r="Q69" s="71"/>
      <c r="R69" s="71"/>
      <c r="S69" s="71"/>
      <c r="T69" s="3"/>
      <c r="U69" s="3"/>
      <c r="AC69" s="33"/>
      <c r="AD69" s="33"/>
    </row>
    <row r="70" spans="1:30" ht="18.75" customHeight="1" x14ac:dyDescent="0.25">
      <c r="A70" s="70"/>
      <c r="B70" s="59"/>
      <c r="C70" s="59"/>
      <c r="D70" s="59"/>
      <c r="E70" s="59"/>
      <c r="F70" s="73"/>
      <c r="G70" s="59"/>
      <c r="H70" s="74"/>
      <c r="I70" s="75"/>
      <c r="J70" s="61"/>
      <c r="K70" s="71"/>
      <c r="L70" s="71"/>
      <c r="M70" s="71"/>
      <c r="N70" s="71"/>
      <c r="O70" s="71"/>
      <c r="P70" s="71"/>
      <c r="Q70" s="71"/>
      <c r="R70" s="71"/>
      <c r="S70" s="71"/>
      <c r="T70" s="36"/>
      <c r="U70" s="36"/>
      <c r="AC70" s="33"/>
      <c r="AD70" s="33"/>
    </row>
    <row r="71" spans="1:30" ht="18" customHeight="1" x14ac:dyDescent="0.25">
      <c r="A71" s="62"/>
      <c r="B71" s="40"/>
      <c r="C71" s="40"/>
      <c r="D71" s="40"/>
      <c r="E71" s="63"/>
      <c r="F71" s="76"/>
      <c r="G71" s="40"/>
      <c r="H71" s="20"/>
      <c r="I71" s="21"/>
      <c r="J71" s="65"/>
      <c r="K71" s="71"/>
      <c r="L71" s="71"/>
      <c r="M71" s="71"/>
      <c r="N71" s="71"/>
      <c r="O71" s="71"/>
      <c r="P71" s="71"/>
      <c r="Q71" s="71"/>
      <c r="R71" s="71"/>
      <c r="S71" s="71"/>
      <c r="T71" s="36"/>
      <c r="U71" s="36"/>
      <c r="V71" s="37"/>
      <c r="W71" s="38"/>
      <c r="X71" s="39"/>
      <c r="Y71" s="40"/>
      <c r="Z71" s="33"/>
      <c r="AA71" s="33"/>
      <c r="AB71" s="33"/>
      <c r="AC71" s="33"/>
      <c r="AD71" s="33"/>
    </row>
    <row r="72" spans="1:30" ht="18" customHeight="1" x14ac:dyDescent="0.25">
      <c r="A72" s="62"/>
      <c r="B72" s="40"/>
      <c r="C72" s="40"/>
      <c r="D72" s="40"/>
      <c r="E72" s="40"/>
      <c r="F72" s="76"/>
      <c r="G72" s="40"/>
      <c r="H72" s="20"/>
      <c r="I72" s="21"/>
      <c r="J72" s="65"/>
      <c r="K72" s="71"/>
      <c r="L72" s="71"/>
      <c r="M72" s="71"/>
      <c r="N72" s="71"/>
      <c r="O72" s="71"/>
      <c r="P72" s="71"/>
      <c r="Q72" s="71"/>
      <c r="R72" s="71"/>
      <c r="S72" s="71"/>
      <c r="T72" s="36"/>
      <c r="U72" s="36"/>
      <c r="V72" s="37"/>
      <c r="W72" s="38"/>
      <c r="X72" s="39"/>
      <c r="Y72" s="40"/>
      <c r="AA72" s="33"/>
      <c r="AB72" s="33"/>
      <c r="AC72" s="33"/>
      <c r="AD72" s="33"/>
    </row>
    <row r="73" spans="1:30" ht="18" customHeight="1" x14ac:dyDescent="0.25">
      <c r="A73" s="62"/>
      <c r="B73" s="40"/>
      <c r="C73" s="40"/>
      <c r="D73" s="40"/>
      <c r="E73" s="40"/>
      <c r="F73" s="76"/>
      <c r="G73" s="40"/>
      <c r="H73" s="20"/>
      <c r="I73" s="21"/>
      <c r="J73" s="65"/>
      <c r="K73" s="71"/>
      <c r="L73" s="71"/>
      <c r="M73" s="71"/>
      <c r="N73" s="71"/>
      <c r="O73" s="71"/>
      <c r="P73" s="71"/>
      <c r="Q73" s="71"/>
      <c r="R73" s="71"/>
      <c r="S73" s="71"/>
      <c r="T73" s="36"/>
      <c r="U73" s="36"/>
      <c r="V73" s="37"/>
      <c r="W73" s="38"/>
      <c r="X73" s="39"/>
      <c r="Y73" s="40"/>
      <c r="Z73" s="33"/>
      <c r="AA73" s="33"/>
      <c r="AB73" s="33"/>
      <c r="AC73" s="33"/>
      <c r="AD73" s="33"/>
    </row>
    <row r="74" spans="1:30" ht="18" customHeight="1" x14ac:dyDescent="0.25">
      <c r="A74" s="62"/>
      <c r="B74" s="40"/>
      <c r="C74" s="40"/>
      <c r="D74" s="40"/>
      <c r="E74" s="40"/>
      <c r="F74" s="76"/>
      <c r="G74" s="40"/>
      <c r="H74" s="20"/>
      <c r="I74" s="21"/>
      <c r="J74" s="65"/>
      <c r="K74" s="71"/>
      <c r="L74" s="71"/>
      <c r="M74" s="71"/>
      <c r="N74" s="71"/>
      <c r="O74" s="71"/>
      <c r="P74" s="71"/>
      <c r="Q74" s="71"/>
      <c r="R74" s="71"/>
      <c r="S74" s="71"/>
      <c r="V74" s="37"/>
      <c r="W74" s="38"/>
      <c r="X74" s="39"/>
      <c r="Y74" s="40"/>
      <c r="AA74" s="33"/>
      <c r="AB74" s="33"/>
      <c r="AC74" s="33"/>
      <c r="AD74" s="33"/>
    </row>
    <row r="75" spans="1:30" ht="18" customHeight="1" x14ac:dyDescent="0.25">
      <c r="A75" s="62"/>
      <c r="B75" s="40"/>
      <c r="C75" s="40"/>
      <c r="D75" s="40"/>
      <c r="E75" s="40"/>
      <c r="F75" s="76"/>
      <c r="G75" s="40"/>
      <c r="H75" s="20"/>
      <c r="I75" s="21"/>
      <c r="J75" s="65"/>
      <c r="K75" s="71"/>
      <c r="L75" s="71"/>
      <c r="M75" s="71"/>
      <c r="N75" s="71"/>
      <c r="O75" s="71"/>
      <c r="P75" s="71"/>
      <c r="Q75" s="71"/>
      <c r="R75" s="71"/>
      <c r="S75" s="71"/>
      <c r="V75" s="37"/>
      <c r="W75" s="38"/>
      <c r="X75" s="39"/>
      <c r="Y75" s="40"/>
      <c r="Z75" s="33"/>
      <c r="AA75" s="33"/>
      <c r="AB75" s="33"/>
      <c r="AC75" s="33"/>
      <c r="AD75" s="33"/>
    </row>
    <row r="76" spans="1:30" ht="18" customHeight="1" x14ac:dyDescent="0.25">
      <c r="A76" s="62"/>
      <c r="B76" s="40"/>
      <c r="C76" s="40"/>
      <c r="D76" s="40"/>
      <c r="E76" s="40"/>
      <c r="F76" s="76"/>
      <c r="G76" s="40"/>
      <c r="H76" s="20"/>
      <c r="I76" s="21"/>
      <c r="J76" s="65"/>
      <c r="K76" s="71"/>
      <c r="L76" s="71"/>
      <c r="M76" s="71"/>
      <c r="N76" s="71"/>
      <c r="O76" s="71"/>
      <c r="P76" s="71"/>
      <c r="Q76" s="71"/>
      <c r="R76" s="71"/>
      <c r="S76" s="71"/>
      <c r="V76" s="37"/>
      <c r="W76" s="38"/>
      <c r="X76" s="39"/>
      <c r="Y76" s="40"/>
      <c r="AA76" s="33"/>
      <c r="AB76" s="33"/>
      <c r="AC76" s="33"/>
      <c r="AD76" s="33"/>
    </row>
    <row r="77" spans="1:30" ht="18" customHeight="1" x14ac:dyDescent="0.25">
      <c r="A77" s="62"/>
      <c r="B77" s="40"/>
      <c r="C77" s="40"/>
      <c r="D77" s="40"/>
      <c r="E77" s="40"/>
      <c r="F77" s="76"/>
      <c r="G77" s="40"/>
      <c r="H77" s="20"/>
      <c r="I77" s="21"/>
      <c r="J77" s="65"/>
      <c r="K77" s="71"/>
      <c r="L77" s="71"/>
      <c r="M77" s="71"/>
      <c r="N77" s="71"/>
      <c r="O77" s="71"/>
      <c r="P77" s="71"/>
      <c r="Q77" s="71"/>
      <c r="R77" s="71"/>
      <c r="S77" s="71"/>
      <c r="V77" s="37"/>
      <c r="W77" s="38"/>
      <c r="X77" s="39"/>
      <c r="Y77" s="40"/>
      <c r="Z77" s="33"/>
      <c r="AA77" s="33"/>
      <c r="AB77" s="33"/>
      <c r="AC77" s="33"/>
      <c r="AD77" s="33"/>
    </row>
    <row r="78" spans="1:30" ht="18" customHeight="1" x14ac:dyDescent="0.25">
      <c r="A78" s="62"/>
      <c r="B78" s="40"/>
      <c r="C78" s="40"/>
      <c r="D78" s="40"/>
      <c r="E78" s="40"/>
      <c r="F78" s="76"/>
      <c r="G78" s="40"/>
      <c r="H78" s="20"/>
      <c r="I78" s="21"/>
      <c r="J78" s="1"/>
      <c r="K78" s="71"/>
      <c r="L78" s="71"/>
      <c r="M78" s="71"/>
      <c r="N78" s="71"/>
      <c r="O78" s="71"/>
      <c r="P78" s="71"/>
      <c r="Q78" s="71"/>
      <c r="R78" s="71"/>
      <c r="S78" s="71"/>
      <c r="V78" s="37"/>
      <c r="W78" s="38"/>
      <c r="X78" s="39"/>
      <c r="Y78" s="40"/>
      <c r="AA78" s="33"/>
      <c r="AB78" s="33"/>
      <c r="AC78" s="33"/>
      <c r="AD78" s="33"/>
    </row>
    <row r="79" spans="1:30" ht="18" customHeight="1" x14ac:dyDescent="0.25">
      <c r="A79" s="62"/>
      <c r="B79" s="40"/>
      <c r="C79" s="40"/>
      <c r="D79" s="40"/>
      <c r="E79" s="40"/>
      <c r="F79" s="76"/>
      <c r="G79" s="40"/>
      <c r="H79" s="20"/>
      <c r="I79" s="21"/>
      <c r="J79" s="1"/>
      <c r="K79" s="71"/>
      <c r="L79" s="71"/>
      <c r="M79" s="71"/>
      <c r="N79" s="71"/>
      <c r="O79" s="71"/>
      <c r="P79" s="71"/>
      <c r="Q79" s="71"/>
      <c r="R79" s="71"/>
      <c r="S79" s="71"/>
      <c r="V79" s="37"/>
      <c r="W79" s="38"/>
      <c r="X79" s="39"/>
      <c r="Y79" s="40"/>
      <c r="Z79" s="33"/>
      <c r="AA79" s="33"/>
      <c r="AB79" s="33"/>
      <c r="AC79" s="33"/>
      <c r="AD79" s="33"/>
    </row>
    <row r="80" spans="1:30" s="42" customFormat="1" ht="18.75" x14ac:dyDescent="0.25">
      <c r="A80" s="5"/>
      <c r="B80" s="28"/>
      <c r="C80" s="29"/>
      <c r="D80" s="29"/>
      <c r="E80" s="29"/>
      <c r="F80" s="29"/>
      <c r="G80" s="30"/>
      <c r="H80" s="31"/>
      <c r="I80" s="31"/>
      <c r="J80" s="32"/>
      <c r="V80" s="37"/>
      <c r="W80" s="38"/>
      <c r="X80" s="39"/>
      <c r="Y80" s="40"/>
      <c r="Z80" s="4"/>
      <c r="AA80" s="33"/>
      <c r="AB80" s="33"/>
    </row>
    <row r="81" spans="1:27" ht="19.149999999999999" customHeight="1" x14ac:dyDescent="0.25">
      <c r="A81" s="43"/>
      <c r="B81" s="44"/>
      <c r="C81" s="30"/>
      <c r="D81" s="30"/>
      <c r="E81" s="30"/>
      <c r="F81" s="30"/>
      <c r="G81" s="30"/>
      <c r="H81" s="45"/>
      <c r="I81" s="45"/>
      <c r="J81" s="45"/>
    </row>
    <row r="82" spans="1:27" x14ac:dyDescent="0.25">
      <c r="A82" s="44"/>
      <c r="B82" s="44"/>
      <c r="C82" s="30"/>
      <c r="D82" s="30"/>
      <c r="E82" s="48"/>
      <c r="F82" s="30"/>
      <c r="G82" s="30"/>
      <c r="H82" s="45"/>
      <c r="I82" s="45"/>
      <c r="J82" s="45"/>
    </row>
    <row r="83" spans="1:27" x14ac:dyDescent="0.25">
      <c r="W83" s="38"/>
      <c r="X83" s="40"/>
    </row>
    <row r="84" spans="1:27" x14ac:dyDescent="0.25">
      <c r="C84" s="49"/>
      <c r="D84" s="49"/>
      <c r="E84" s="49"/>
      <c r="F84" s="49"/>
      <c r="G84" s="49"/>
      <c r="H84" s="50"/>
      <c r="I84" s="50"/>
      <c r="J84" s="50"/>
    </row>
    <row r="86" spans="1:27" x14ac:dyDescent="0.25">
      <c r="W86" s="38"/>
      <c r="X86" s="40" t="s">
        <v>1</v>
      </c>
      <c r="Y86" s="4" t="s">
        <v>12</v>
      </c>
      <c r="Z86" s="4" t="s">
        <v>13</v>
      </c>
      <c r="AA86" s="4" t="s">
        <v>14</v>
      </c>
    </row>
    <row r="87" spans="1:27" x14ac:dyDescent="0.25">
      <c r="W87" s="38">
        <v>2013</v>
      </c>
      <c r="X87" s="40">
        <v>45503</v>
      </c>
      <c r="Y87" s="4">
        <v>218</v>
      </c>
      <c r="Z87" s="4">
        <v>5130</v>
      </c>
      <c r="AA87" s="4">
        <v>10562</v>
      </c>
    </row>
    <row r="88" spans="1:27" x14ac:dyDescent="0.25">
      <c r="W88" s="38">
        <v>2014</v>
      </c>
      <c r="X88" s="40">
        <v>49611</v>
      </c>
      <c r="Y88" s="4">
        <v>365</v>
      </c>
      <c r="Z88" s="4">
        <v>5666</v>
      </c>
      <c r="AA88" s="4">
        <v>12566</v>
      </c>
    </row>
    <row r="89" spans="1:27" x14ac:dyDescent="0.25">
      <c r="F89" s="51"/>
      <c r="G89" s="51"/>
      <c r="W89" s="38">
        <v>2015</v>
      </c>
      <c r="X89" s="33">
        <v>57407</v>
      </c>
      <c r="Y89" s="33">
        <v>714</v>
      </c>
      <c r="Z89" s="33">
        <v>6706</v>
      </c>
      <c r="AA89" s="4">
        <v>15126</v>
      </c>
    </row>
    <row r="90" spans="1:27" x14ac:dyDescent="0.25">
      <c r="F90" s="52"/>
      <c r="G90" s="52"/>
      <c r="W90" s="38">
        <v>2016</v>
      </c>
      <c r="X90" s="40">
        <f>C37</f>
        <v>59603</v>
      </c>
      <c r="Y90" s="40">
        <f>D37</f>
        <v>1379</v>
      </c>
      <c r="Z90" s="40">
        <f>E37</f>
        <v>7325</v>
      </c>
      <c r="AA90" s="40">
        <f>F37</f>
        <v>18819</v>
      </c>
    </row>
    <row r="91" spans="1:27" x14ac:dyDescent="0.25">
      <c r="C91" s="53"/>
      <c r="W91" s="38">
        <v>2017</v>
      </c>
      <c r="X91" s="33">
        <f>C21</f>
        <v>65117</v>
      </c>
      <c r="Y91" s="33">
        <f>D21</f>
        <v>2163</v>
      </c>
      <c r="Z91" s="33">
        <f>E21</f>
        <v>8185</v>
      </c>
      <c r="AA91" s="33">
        <f>F21</f>
        <v>21748</v>
      </c>
    </row>
    <row r="92" spans="1:27" x14ac:dyDescent="0.25">
      <c r="W92" s="38">
        <v>2018</v>
      </c>
      <c r="X92" s="33">
        <f>C5</f>
        <v>71813</v>
      </c>
      <c r="Y92" s="33">
        <f t="shared" ref="Y92:AA92" si="9">D5</f>
        <v>2675</v>
      </c>
      <c r="Z92" s="33">
        <f t="shared" si="9"/>
        <v>8940</v>
      </c>
      <c r="AA92" s="33">
        <f t="shared" si="9"/>
        <v>25104</v>
      </c>
    </row>
    <row r="93" spans="1:27" x14ac:dyDescent="0.25">
      <c r="C93" s="54"/>
      <c r="D93" s="52"/>
    </row>
    <row r="94" spans="1:27" x14ac:dyDescent="0.25">
      <c r="W94" s="38"/>
      <c r="X94" s="40"/>
    </row>
    <row r="95" spans="1:27" x14ac:dyDescent="0.25">
      <c r="W95" s="38"/>
      <c r="X95" s="40"/>
    </row>
    <row r="96" spans="1:27" x14ac:dyDescent="0.25">
      <c r="W96" s="38"/>
      <c r="X96" s="40"/>
    </row>
    <row r="102" spans="1:10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21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</row>
    <row r="104" spans="1:10" x14ac:dyDescent="0.25">
      <c r="A104" s="87"/>
      <c r="B104" s="55"/>
      <c r="C104" s="55"/>
      <c r="D104" s="55"/>
      <c r="E104" s="55"/>
      <c r="F104" s="55"/>
      <c r="G104" s="55"/>
      <c r="H104" s="56"/>
      <c r="I104" s="56"/>
      <c r="J104" s="88"/>
    </row>
    <row r="105" spans="1:10" ht="18.75" x14ac:dyDescent="0.25">
      <c r="A105" s="87"/>
      <c r="B105" s="57"/>
      <c r="C105" s="57"/>
      <c r="D105" s="57"/>
      <c r="E105" s="57"/>
      <c r="F105" s="57"/>
      <c r="G105" s="57"/>
      <c r="H105" s="58"/>
      <c r="I105" s="58"/>
      <c r="J105" s="88"/>
    </row>
    <row r="106" spans="1:10" ht="18.75" x14ac:dyDescent="0.25">
      <c r="A106" s="70"/>
      <c r="B106" s="59"/>
      <c r="C106" s="59"/>
      <c r="D106" s="59"/>
      <c r="E106" s="59"/>
      <c r="F106" s="59"/>
      <c r="G106" s="59"/>
      <c r="H106" s="60"/>
      <c r="I106" s="60"/>
      <c r="J106" s="61"/>
    </row>
    <row r="107" spans="1:10" x14ac:dyDescent="0.25">
      <c r="A107" s="62"/>
      <c r="B107" s="40"/>
      <c r="C107" s="40"/>
      <c r="D107" s="40"/>
      <c r="E107" s="63"/>
      <c r="F107" s="40"/>
      <c r="G107" s="40"/>
      <c r="H107" s="64"/>
      <c r="I107" s="64"/>
      <c r="J107" s="65"/>
    </row>
    <row r="108" spans="1:10" x14ac:dyDescent="0.25">
      <c r="A108" s="62"/>
      <c r="B108" s="40"/>
      <c r="C108" s="40"/>
      <c r="D108" s="40"/>
      <c r="E108" s="40"/>
      <c r="F108" s="40"/>
      <c r="G108" s="40"/>
      <c r="H108" s="64"/>
      <c r="I108" s="64"/>
      <c r="J108" s="65"/>
    </row>
    <row r="109" spans="1:10" x14ac:dyDescent="0.25">
      <c r="A109" s="62"/>
      <c r="B109" s="40"/>
      <c r="C109" s="40"/>
      <c r="D109" s="40"/>
      <c r="E109" s="40"/>
      <c r="F109" s="40"/>
      <c r="G109" s="40"/>
      <c r="H109" s="64"/>
      <c r="I109" s="64"/>
      <c r="J109" s="65"/>
    </row>
    <row r="110" spans="1:10" x14ac:dyDescent="0.25">
      <c r="A110" s="62"/>
      <c r="B110" s="40"/>
      <c r="C110" s="40"/>
      <c r="D110" s="40"/>
      <c r="E110" s="40"/>
      <c r="F110" s="40"/>
      <c r="G110" s="40"/>
      <c r="H110" s="64"/>
      <c r="I110" s="64"/>
      <c r="J110" s="65"/>
    </row>
    <row r="111" spans="1:10" x14ac:dyDescent="0.25">
      <c r="A111" s="62"/>
      <c r="B111" s="40"/>
      <c r="C111" s="40"/>
      <c r="D111" s="40"/>
      <c r="E111" s="40"/>
      <c r="F111" s="40"/>
      <c r="G111" s="40"/>
      <c r="H111" s="64"/>
      <c r="I111" s="64"/>
      <c r="J111" s="65"/>
    </row>
    <row r="112" spans="1:10" x14ac:dyDescent="0.25">
      <c r="A112" s="62"/>
      <c r="B112" s="40"/>
      <c r="C112" s="40"/>
      <c r="D112" s="40"/>
      <c r="E112" s="40"/>
      <c r="F112" s="40"/>
      <c r="G112" s="40"/>
      <c r="H112" s="64"/>
      <c r="I112" s="64"/>
      <c r="J112" s="65"/>
    </row>
    <row r="113" spans="1:10" x14ac:dyDescent="0.25">
      <c r="A113" s="62"/>
      <c r="B113" s="40"/>
      <c r="C113" s="40"/>
      <c r="D113" s="40"/>
      <c r="E113" s="40"/>
      <c r="F113" s="40"/>
      <c r="G113" s="40"/>
      <c r="H113" s="64"/>
      <c r="I113" s="64"/>
      <c r="J113" s="65"/>
    </row>
    <row r="114" spans="1:10" ht="18.75" x14ac:dyDescent="0.25">
      <c r="A114" s="62"/>
      <c r="B114" s="40"/>
      <c r="C114" s="40"/>
      <c r="D114" s="40"/>
      <c r="E114" s="40"/>
      <c r="F114" s="40"/>
      <c r="G114" s="40"/>
      <c r="H114" s="64"/>
      <c r="I114" s="64"/>
      <c r="J114" s="1"/>
    </row>
    <row r="115" spans="1:10" ht="18.75" x14ac:dyDescent="0.25">
      <c r="A115" s="62"/>
      <c r="B115" s="40"/>
      <c r="C115" s="40"/>
      <c r="D115" s="40"/>
      <c r="E115" s="40"/>
      <c r="F115" s="40"/>
      <c r="G115" s="40"/>
      <c r="H115" s="64"/>
      <c r="I115" s="64"/>
      <c r="J115" s="1"/>
    </row>
  </sheetData>
  <mergeCells count="23">
    <mergeCell ref="A17:J17"/>
    <mergeCell ref="A51:J51"/>
    <mergeCell ref="A1:J1"/>
    <mergeCell ref="A2:J2"/>
    <mergeCell ref="A3:A4"/>
    <mergeCell ref="J3:J4"/>
    <mergeCell ref="A33:J33"/>
    <mergeCell ref="A34:J34"/>
    <mergeCell ref="A35:A36"/>
    <mergeCell ref="J35:J36"/>
    <mergeCell ref="A50:J50"/>
    <mergeCell ref="A18:J18"/>
    <mergeCell ref="J19:J20"/>
    <mergeCell ref="A19:A20"/>
    <mergeCell ref="A103:J103"/>
    <mergeCell ref="A104:A105"/>
    <mergeCell ref="J52:J53"/>
    <mergeCell ref="A66:J66"/>
    <mergeCell ref="A67:J67"/>
    <mergeCell ref="A68:A69"/>
    <mergeCell ref="J68:J69"/>
    <mergeCell ref="J104:J105"/>
    <mergeCell ref="A52:A53"/>
  </mergeCells>
  <pageMargins left="0.7" right="0.7" top="0.75" bottom="0.75" header="0.3" footer="0.3"/>
  <pageSetup paperSize="9" scale="74" orientation="portrait" horizontalDpi="4294967295" verticalDpi="4294967295" r:id="rId1"/>
  <rowBreaks count="1" manualBreakCount="1">
    <brk id="4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11.6</vt:lpstr>
      <vt:lpstr>'11.6'!Print_Area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2019-05-13T05:11:52Z</cp:lastPrinted>
  <dcterms:created xsi:type="dcterms:W3CDTF">2019-03-24T03:32:16Z</dcterms:created>
  <dcterms:modified xsi:type="dcterms:W3CDTF">2019-05-13T05:12:28Z</dcterms:modified>
</cp:coreProperties>
</file>