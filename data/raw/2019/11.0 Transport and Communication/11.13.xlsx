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13 " sheetId="3" r:id="rId1"/>
  </sheets>
  <externalReferences>
    <externalReference r:id="rId2"/>
    <externalReference r:id="rId3"/>
  </externalReferences>
  <definedNames>
    <definedName name="_xlnm.Print_Area" localSheetId="0">'11.13 '!$A$1:$G$66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D7" i="3"/>
  <c r="C7" i="3"/>
  <c r="B7" i="3"/>
</calcChain>
</file>

<file path=xl/sharedStrings.xml><?xml version="1.0" encoding="utf-8"?>
<sst xmlns="http://schemas.openxmlformats.org/spreadsheetml/2006/main" count="38" uniqueCount="36">
  <si>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</si>
  <si>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</si>
  <si>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</si>
  <si>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</si>
  <si>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</si>
  <si>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ތާވަލް 11.13: މަސްމަހުގެ ގޮތުން ބައިނަލްއަޤްވާމީ ވައިގެ ބަނދަރުގައި ފަސިންޖަރުންގެ ދަތުރުފަތުރު ހުރިގޮތް، 2018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</si>
  <si>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</si>
  <si>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</si>
  <si>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</si>
  <si>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</si>
  <si>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</si>
  <si>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</si>
  <si>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</si>
  <si>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</si>
  <si>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</si>
  <si>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</si>
  <si>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</si>
  <si>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</si>
  <si>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</si>
  <si>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</si>
  <si>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</si>
  <si>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</si>
  <si>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</si>
  <si>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</si>
  <si>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</si>
  <si>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</si>
  <si>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</si>
  <si>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</si>
  <si>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</si>
  <si>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</si>
  <si>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</si>
  <si>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</si>
  <si>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</si>
  <si>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</si>
  <si>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</si>
  <si>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Table  11.13 :  PASSENGER MOVEMENT AT VELANA INTERNATIONAL AIRPORT BY MONTH,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</si>
</sst>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9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2">
    <xf numFmtId="0" fontId="0" fillId="0" borderId="0"/>
    <xf numFmtId="164" fontId="2" fillId="0" borderId="0"/>
    <xf numFmtId="40" fontId="8" fillId="0" borderId="0" applyFont="0" applyFill="0" applyBorder="0" applyAlignment="0" applyProtection="0"/>
    <xf numFmtId="0" fontId="3" fillId="0" borderId="0"/>
    <xf numFmtId="0" fontId="16" fillId="0" borderId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4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4" fillId="2" borderId="0" xfId="1" applyNumberFormat="1" applyFont="1" applyFill="1" applyBorder="1" applyAlignment="1" applyProtection="1">
      <alignment horizontal="left" vertical="center"/>
    </xf>
    <xf numFmtId="164" fontId="6" fillId="2" borderId="0" xfId="0" applyNumberFormat="1" applyFont="1" applyFill="1"/>
    <xf numFmtId="38" fontId="7" fillId="2" borderId="0" xfId="2" applyNumberFormat="1" applyFont="1" applyFill="1" applyBorder="1" applyAlignment="1">
      <alignment horizontal="right" vertical="center" wrapText="1"/>
    </xf>
    <xf numFmtId="164" fontId="11" fillId="2" borderId="0" xfId="1" applyNumberFormat="1" applyFont="1" applyFill="1" applyAlignment="1" applyProtection="1">
      <alignment horizontal="left" vertical="center"/>
    </xf>
    <xf numFmtId="37" fontId="12" fillId="2" borderId="0" xfId="1" applyNumberFormat="1" applyFont="1" applyFill="1" applyAlignment="1" applyProtection="1">
      <alignment vertical="center"/>
    </xf>
    <xf numFmtId="0" fontId="15" fillId="2" borderId="5" xfId="0" applyNumberFormat="1" applyFont="1" applyFill="1" applyBorder="1" applyAlignment="1"/>
    <xf numFmtId="164" fontId="4" fillId="2" borderId="0" xfId="1" applyNumberFormat="1" applyFont="1" applyFill="1" applyBorder="1" applyAlignment="1" applyProtection="1">
      <alignment horizontal="right" vertical="center"/>
    </xf>
    <xf numFmtId="164" fontId="4" fillId="2" borderId="10" xfId="1" applyNumberFormat="1" applyFont="1" applyFill="1" applyBorder="1" applyAlignment="1" applyProtection="1">
      <alignment horizontal="right" vertical="center"/>
    </xf>
    <xf numFmtId="164" fontId="4" fillId="2" borderId="11" xfId="1" applyNumberFormat="1" applyFont="1" applyFill="1" applyBorder="1" applyAlignment="1" applyProtection="1">
      <alignment horizontal="right" vertical="center"/>
    </xf>
    <xf numFmtId="3" fontId="4" fillId="2" borderId="12" xfId="1" applyNumberFormat="1" applyFont="1" applyFill="1" applyBorder="1" applyAlignment="1" applyProtection="1">
      <alignment horizontal="right" vertical="center"/>
    </xf>
    <xf numFmtId="3" fontId="4" fillId="2" borderId="13" xfId="1" applyNumberFormat="1" applyFont="1" applyFill="1" applyBorder="1" applyAlignment="1" applyProtection="1">
      <alignment horizontal="right" vertical="center"/>
    </xf>
    <xf numFmtId="3" fontId="4" fillId="2" borderId="14" xfId="1" applyNumberFormat="1" applyFont="1" applyFill="1" applyBorder="1" applyAlignment="1" applyProtection="1">
      <alignment horizontal="right" vertical="center"/>
    </xf>
    <xf numFmtId="0" fontId="5" fillId="2" borderId="0" xfId="4" applyFont="1" applyFill="1" applyBorder="1" applyAlignment="1">
      <alignment horizontal="right"/>
    </xf>
    <xf numFmtId="164" fontId="12" fillId="2" borderId="0" xfId="1" applyNumberFormat="1" applyFont="1" applyFill="1" applyBorder="1" applyAlignment="1" applyProtection="1">
      <alignment horizontal="left" vertical="center"/>
    </xf>
    <xf numFmtId="3" fontId="12" fillId="2" borderId="15" xfId="3" applyNumberFormat="1" applyFont="1" applyFill="1" applyBorder="1" applyAlignment="1">
      <alignment horizontal="right" vertical="center"/>
    </xf>
    <xf numFmtId="3" fontId="12" fillId="2" borderId="16" xfId="1" applyNumberFormat="1" applyFont="1" applyFill="1" applyBorder="1" applyAlignment="1" applyProtection="1">
      <alignment horizontal="right" vertical="center"/>
      <protection locked="0"/>
    </xf>
    <xf numFmtId="3" fontId="12" fillId="2" borderId="15" xfId="1" applyNumberFormat="1" applyFont="1" applyFill="1" applyBorder="1" applyAlignment="1" applyProtection="1">
      <alignment horizontal="right" vertical="center"/>
      <protection locked="0"/>
    </xf>
    <xf numFmtId="3" fontId="12" fillId="2" borderId="3" xfId="1" applyNumberFormat="1" applyFont="1" applyFill="1" applyBorder="1" applyAlignment="1" applyProtection="1">
      <alignment horizontal="right" vertical="center"/>
      <protection locked="0"/>
    </xf>
    <xf numFmtId="0" fontId="9" fillId="2" borderId="0" xfId="4" applyFont="1" applyFill="1" applyBorder="1" applyAlignment="1">
      <alignment horizontal="right"/>
    </xf>
    <xf numFmtId="3" fontId="12" fillId="2" borderId="15" xfId="3" applyNumberFormat="1" applyFont="1" applyFill="1" applyBorder="1" applyAlignment="1" applyProtection="1">
      <alignment horizontal="right" vertical="center" wrapText="1"/>
    </xf>
    <xf numFmtId="3" fontId="12" fillId="2" borderId="15" xfId="3" applyNumberFormat="1" applyFont="1" applyFill="1" applyBorder="1" applyAlignment="1" applyProtection="1">
      <alignment horizontal="right" vertical="center"/>
    </xf>
    <xf numFmtId="164" fontId="12" fillId="2" borderId="1" xfId="1" applyNumberFormat="1" applyFont="1" applyFill="1" applyBorder="1" applyAlignment="1" applyProtection="1">
      <alignment horizontal="left" vertical="center"/>
    </xf>
    <xf numFmtId="3" fontId="12" fillId="2" borderId="17" xfId="3" applyNumberFormat="1" applyFont="1" applyFill="1" applyBorder="1" applyAlignment="1">
      <alignment horizontal="right" vertical="center"/>
    </xf>
    <xf numFmtId="3" fontId="12" fillId="2" borderId="18" xfId="1" applyNumberFormat="1" applyFont="1" applyFill="1" applyBorder="1" applyAlignment="1" applyProtection="1">
      <alignment horizontal="right" vertical="center"/>
      <protection locked="0"/>
    </xf>
    <xf numFmtId="3" fontId="12" fillId="2" borderId="17" xfId="1" applyNumberFormat="1" applyFont="1" applyFill="1" applyBorder="1" applyAlignment="1" applyProtection="1">
      <alignment horizontal="right" vertical="center"/>
      <protection locked="0"/>
    </xf>
    <xf numFmtId="3" fontId="12" fillId="2" borderId="4" xfId="1" applyNumberFormat="1" applyFont="1" applyFill="1" applyBorder="1" applyAlignment="1" applyProtection="1">
      <alignment horizontal="right" vertical="center"/>
      <protection locked="0"/>
    </xf>
    <xf numFmtId="0" fontId="9" fillId="2" borderId="1" xfId="4" applyFont="1" applyFill="1" applyBorder="1" applyAlignment="1">
      <alignment horizontal="right"/>
    </xf>
    <xf numFmtId="0" fontId="10" fillId="2" borderId="19" xfId="0" applyNumberFormat="1" applyFont="1" applyFill="1" applyBorder="1" applyAlignment="1">
      <alignment horizontal="right" vertical="center"/>
    </xf>
    <xf numFmtId="0" fontId="10" fillId="2" borderId="0" xfId="0" applyNumberFormat="1" applyFont="1" applyFill="1" applyBorder="1" applyAlignment="1">
      <alignment horizontal="right" vertical="center"/>
    </xf>
    <xf numFmtId="0" fontId="10" fillId="2" borderId="2" xfId="0" applyNumberFormat="1" applyFont="1" applyFill="1" applyBorder="1" applyAlignment="1">
      <alignment horizontal="right" vertical="center"/>
    </xf>
    <xf numFmtId="0" fontId="15" fillId="2" borderId="3" xfId="0" applyNumberFormat="1" applyFont="1" applyFill="1" applyBorder="1" applyAlignment="1">
      <alignment horizontal="center" vertical="center"/>
    </xf>
    <xf numFmtId="0" fontId="15" fillId="2" borderId="5" xfId="0" applyNumberFormat="1" applyFont="1" applyFill="1" applyBorder="1" applyAlignment="1">
      <alignment horizontal="center" vertical="center"/>
    </xf>
    <xf numFmtId="164" fontId="14" fillId="2" borderId="6" xfId="1" applyNumberFormat="1" applyFont="1" applyFill="1" applyBorder="1" applyAlignment="1" applyProtection="1">
      <alignment horizontal="center" vertical="top"/>
    </xf>
    <xf numFmtId="164" fontId="7" fillId="2" borderId="7" xfId="1" applyNumberFormat="1" applyFont="1" applyFill="1" applyBorder="1" applyAlignment="1" applyProtection="1">
      <alignment horizontal="left" vertical="center"/>
    </xf>
    <xf numFmtId="164" fontId="7" fillId="2" borderId="1" xfId="1" applyNumberFormat="1" applyFont="1" applyFill="1" applyBorder="1" applyAlignment="1" applyProtection="1">
      <alignment horizontal="left" vertical="center"/>
    </xf>
    <xf numFmtId="164" fontId="4" fillId="2" borderId="8" xfId="1" applyNumberFormat="1" applyFont="1" applyFill="1" applyBorder="1" applyAlignment="1" applyProtection="1">
      <alignment horizontal="center" vertical="center"/>
    </xf>
    <xf numFmtId="164" fontId="4" fillId="2" borderId="9" xfId="1" applyNumberFormat="1" applyFont="1" applyFill="1" applyBorder="1" applyAlignment="1" applyProtection="1">
      <alignment horizontal="center" vertical="center"/>
    </xf>
    <xf numFmtId="0" fontId="5" fillId="2" borderId="7" xfId="4" applyFont="1" applyFill="1" applyBorder="1" applyAlignment="1">
      <alignment horizontal="right" vertical="center"/>
    </xf>
    <xf numFmtId="0" fontId="5" fillId="2" borderId="1" xfId="4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/>
    <xf numFmtId="0" fontId="13" fillId="2" borderId="0" xfId="3" applyFont="1" applyFill="1" applyBorder="1" applyAlignment="1">
      <alignment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</a:t>
            </a:r>
            <a:r>
              <a:rPr lang="en-US" sz="950" b="1" i="0" u="none" strike="noStrike" baseline="0">
                <a:effectLst/>
              </a:rPr>
              <a:t>Velana</a:t>
            </a:r>
            <a:r>
              <a:rPr lang="en-US" sz="950"/>
              <a:t> International Airport, 2018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176608</c:v>
                </c:pt>
                <c:pt idx="1">
                  <c:v>163541</c:v>
                </c:pt>
                <c:pt idx="2">
                  <c:v>160259</c:v>
                </c:pt>
                <c:pt idx="3">
                  <c:v>146459</c:v>
                </c:pt>
                <c:pt idx="4">
                  <c:v>115413</c:v>
                </c:pt>
                <c:pt idx="5">
                  <c:v>117702</c:v>
                </c:pt>
                <c:pt idx="6">
                  <c:v>149505</c:v>
                </c:pt>
                <c:pt idx="7">
                  <c:v>150842</c:v>
                </c:pt>
                <c:pt idx="8">
                  <c:v>132459</c:v>
                </c:pt>
                <c:pt idx="9">
                  <c:v>153081</c:v>
                </c:pt>
                <c:pt idx="10">
                  <c:v>152499</c:v>
                </c:pt>
                <c:pt idx="11">
                  <c:v>193540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strRef>
              <c:f>'11.13 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'!$C$8:$C$19</c:f>
              <c:numCache>
                <c:formatCode>#,##0</c:formatCode>
                <c:ptCount val="12"/>
                <c:pt idx="0">
                  <c:v>171359</c:v>
                </c:pt>
                <c:pt idx="1">
                  <c:v>164620</c:v>
                </c:pt>
                <c:pt idx="2">
                  <c:v>160415</c:v>
                </c:pt>
                <c:pt idx="3">
                  <c:v>150877</c:v>
                </c:pt>
                <c:pt idx="4">
                  <c:v>125457</c:v>
                </c:pt>
                <c:pt idx="5">
                  <c:v>112218</c:v>
                </c:pt>
                <c:pt idx="6">
                  <c:v>141188</c:v>
                </c:pt>
                <c:pt idx="7">
                  <c:v>159725</c:v>
                </c:pt>
                <c:pt idx="8">
                  <c:v>124019</c:v>
                </c:pt>
                <c:pt idx="9">
                  <c:v>144251</c:v>
                </c:pt>
                <c:pt idx="10">
                  <c:v>159675</c:v>
                </c:pt>
                <c:pt idx="11">
                  <c:v>175261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81888"/>
        <c:axId val="94930432"/>
      </c:barChart>
      <c:catAx>
        <c:axId val="89381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94930432"/>
        <c:crosses val="autoZero"/>
        <c:auto val="1"/>
        <c:lblAlgn val="ctr"/>
        <c:lblOffset val="100"/>
        <c:noMultiLvlLbl val="0"/>
      </c:catAx>
      <c:valAx>
        <c:axId val="94930432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893818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</a:t>
            </a:r>
            <a:r>
              <a:rPr lang="en-US" sz="950" b="1" i="0" u="none" strike="noStrike" baseline="0">
                <a:effectLst/>
              </a:rPr>
              <a:t>Velana</a:t>
            </a:r>
            <a:r>
              <a:rPr lang="en-US" sz="950"/>
              <a:t> International Airport, 2018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100248</c:v>
                </c:pt>
                <c:pt idx="1">
                  <c:v>94774</c:v>
                </c:pt>
                <c:pt idx="2">
                  <c:v>91796</c:v>
                </c:pt>
                <c:pt idx="3">
                  <c:v>84640</c:v>
                </c:pt>
                <c:pt idx="4">
                  <c:v>69951</c:v>
                </c:pt>
                <c:pt idx="5">
                  <c:v>69442</c:v>
                </c:pt>
                <c:pt idx="6">
                  <c:v>84244</c:v>
                </c:pt>
                <c:pt idx="7">
                  <c:v>98729</c:v>
                </c:pt>
                <c:pt idx="8">
                  <c:v>78698</c:v>
                </c:pt>
                <c:pt idx="9">
                  <c:v>86499</c:v>
                </c:pt>
                <c:pt idx="10">
                  <c:v>92303</c:v>
                </c:pt>
                <c:pt idx="11">
                  <c:v>97716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'11.13 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'!$E$8:$E$19</c:f>
              <c:numCache>
                <c:formatCode>#,##0</c:formatCode>
                <c:ptCount val="12"/>
                <c:pt idx="0">
                  <c:v>94294</c:v>
                </c:pt>
                <c:pt idx="1">
                  <c:v>95166</c:v>
                </c:pt>
                <c:pt idx="2">
                  <c:v>92842</c:v>
                </c:pt>
                <c:pt idx="3">
                  <c:v>81740</c:v>
                </c:pt>
                <c:pt idx="4">
                  <c:v>66606</c:v>
                </c:pt>
                <c:pt idx="5">
                  <c:v>71382</c:v>
                </c:pt>
                <c:pt idx="6">
                  <c:v>86831</c:v>
                </c:pt>
                <c:pt idx="7">
                  <c:v>95383</c:v>
                </c:pt>
                <c:pt idx="8">
                  <c:v>81579</c:v>
                </c:pt>
                <c:pt idx="9">
                  <c:v>89081</c:v>
                </c:pt>
                <c:pt idx="10">
                  <c:v>89172</c:v>
                </c:pt>
                <c:pt idx="11">
                  <c:v>109769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489472"/>
        <c:axId val="102495360"/>
      </c:barChart>
      <c:catAx>
        <c:axId val="10248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02495360"/>
        <c:crosses val="autoZero"/>
        <c:auto val="1"/>
        <c:lblAlgn val="ctr"/>
        <c:lblOffset val="100"/>
        <c:noMultiLvlLbl val="0"/>
      </c:catAx>
      <c:valAx>
        <c:axId val="10249536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024894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11.9: Passanger arrivals by international and domestic flights, Velana International Airport, 2018</a:t>
            </a:r>
          </a:p>
        </c:rich>
      </c:tx>
      <c:layout>
        <c:manualLayout>
          <c:xMode val="edge"/>
          <c:yMode val="edge"/>
          <c:x val="0.12346678450019845"/>
          <c:y val="1.83171418934243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652373256938581E-2"/>
          <c:y val="0.19022022596975416"/>
          <c:w val="0.87852315716017193"/>
          <c:h val="0.72215638077366273"/>
        </c:manualLayout>
      </c:layout>
      <c:lineChart>
        <c:grouping val="standard"/>
        <c:varyColors val="0"/>
        <c:ser>
          <c:idx val="0"/>
          <c:order val="0"/>
          <c:tx>
            <c:strRef>
              <c:f>'11.13 '!$B$5:$C$5</c:f>
              <c:strCache>
                <c:ptCount val="1"/>
                <c:pt idx="0">
                  <c:v>International Flights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176608</c:v>
                </c:pt>
                <c:pt idx="1">
                  <c:v>163541</c:v>
                </c:pt>
                <c:pt idx="2">
                  <c:v>160259</c:v>
                </c:pt>
                <c:pt idx="3">
                  <c:v>146459</c:v>
                </c:pt>
                <c:pt idx="4">
                  <c:v>115413</c:v>
                </c:pt>
                <c:pt idx="5">
                  <c:v>117702</c:v>
                </c:pt>
                <c:pt idx="6">
                  <c:v>149505</c:v>
                </c:pt>
                <c:pt idx="7">
                  <c:v>150842</c:v>
                </c:pt>
                <c:pt idx="8">
                  <c:v>132459</c:v>
                </c:pt>
                <c:pt idx="9">
                  <c:v>153081</c:v>
                </c:pt>
                <c:pt idx="10">
                  <c:v>152499</c:v>
                </c:pt>
                <c:pt idx="11">
                  <c:v>193540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4-47E1-8397-D11B92AF8FAC}"/>
            </c:ext>
          </c:extLst>
        </c:ser>
        <c:ser>
          <c:idx val="1"/>
          <c:order val="1"/>
          <c:tx>
            <c:strRef>
              <c:f>'11.13 '!$D$5:$E$5</c:f>
              <c:strCache>
                <c:ptCount val="1"/>
                <c:pt idx="0">
                  <c:v>Domestic Flights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squar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100248</c:v>
                </c:pt>
                <c:pt idx="1">
                  <c:v>94774</c:v>
                </c:pt>
                <c:pt idx="2">
                  <c:v>91796</c:v>
                </c:pt>
                <c:pt idx="3">
                  <c:v>84640</c:v>
                </c:pt>
                <c:pt idx="4">
                  <c:v>69951</c:v>
                </c:pt>
                <c:pt idx="5">
                  <c:v>69442</c:v>
                </c:pt>
                <c:pt idx="6">
                  <c:v>84244</c:v>
                </c:pt>
                <c:pt idx="7">
                  <c:v>98729</c:v>
                </c:pt>
                <c:pt idx="8">
                  <c:v>78698</c:v>
                </c:pt>
                <c:pt idx="9">
                  <c:v>86499</c:v>
                </c:pt>
                <c:pt idx="10">
                  <c:v>92303</c:v>
                </c:pt>
                <c:pt idx="11">
                  <c:v>97716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6-495B-8BB5-C44998EDB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12608"/>
        <c:axId val="66214528"/>
      </c:lineChart>
      <c:catAx>
        <c:axId val="6621260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spPr>
          <a:ln/>
        </c:spPr>
        <c:txPr>
          <a:bodyPr rot="0" vert="horz" anchor="t" anchorCtr="1"/>
          <a:lstStyle/>
          <a:p>
            <a:pPr>
              <a:defRPr sz="800"/>
            </a:pPr>
            <a:endParaRPr lang="en-US"/>
          </a:p>
        </c:txPr>
        <c:crossAx val="66214528"/>
        <c:crosses val="autoZero"/>
        <c:auto val="1"/>
        <c:lblAlgn val="ctr"/>
        <c:lblOffset val="100"/>
        <c:noMultiLvlLbl val="0"/>
      </c:catAx>
      <c:valAx>
        <c:axId val="6621452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9.5854605110123527E-3"/>
              <c:y val="8.8252355486741138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62126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2605308746314432"/>
          <c:y val="0.26846999883281414"/>
          <c:w val="0.45717742120256305"/>
          <c:h val="8.328253280034175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260984</xdr:colOff>
      <xdr:row>21</xdr:row>
      <xdr:rowOff>11430</xdr:rowOff>
    </xdr:from>
    <xdr:to>
      <xdr:col>6</xdr:col>
      <xdr:colOff>41910</xdr:colOff>
      <xdr:row>33</xdr:row>
      <xdr:rowOff>201930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275727</xdr:colOff>
      <xdr:row>34</xdr:row>
      <xdr:rowOff>73850</xdr:rowOff>
    </xdr:from>
    <xdr:to>
      <xdr:col>6</xdr:col>
      <xdr:colOff>28079</xdr:colOff>
      <xdr:row>48</xdr:row>
      <xdr:rowOff>49085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292099</xdr:colOff>
      <xdr:row>50</xdr:row>
      <xdr:rowOff>123825</xdr:rowOff>
    </xdr:from>
    <xdr:to>
      <xdr:col>5</xdr:col>
      <xdr:colOff>1123949</xdr:colOff>
      <xdr:row>65</xdr:row>
      <xdr:rowOff>50800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327808</xdr:colOff>
      <xdr:row>32</xdr:row>
      <xdr:rowOff>160812</xdr:rowOff>
    </xdr:from>
    <xdr:to>
      <xdr:col>3</xdr:col>
      <xdr:colOff>804059</xdr:colOff>
      <xdr:row>33</xdr:row>
      <xdr:rowOff>148442</xdr:rowOff>
    </xdr:to>
    <xdr:sp macro="" textlink="">
      <xdr:nvSpPr>
        <xdr:cNvPr id="5" name="TextBox 4"/>
        <xdr:cNvSpPr txBox="1"/>
      </xdr:nvSpPr>
      <xdr:spPr>
        <a:xfrm>
          <a:off x="3613933" y="1111456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E38"/>
  <sheetViews>
    <sheetView tabSelected="1" zoomScale="106" zoomScaleNormal="106" workbookViewId="0">
      <selection activeCell="K64" sqref="K64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2" customWidth="1"/>
    <col min="6" max="6" width="17.140625" style="1" customWidth="1"/>
    <col min="7" max="7" width="2.7109375" style="1" customWidth="1"/>
    <col min="8" max="31" width="9.140625" style="2"/>
    <col min="32" max="16384" width="9.140625" style="1"/>
  </cols>
  <sheetData>
    <row r="2" spans="1:21" ht="17.25" customHeight="1" x14ac:dyDescent="0.55000000000000004">
      <c r="A2" s="33" t="s">
        <v>5</v>
      </c>
      <c r="B2" s="34"/>
      <c r="C2" s="34"/>
      <c r="D2" s="34"/>
      <c r="E2" s="34"/>
      <c r="F2" s="34"/>
      <c r="G2" s="8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spans="1:21" x14ac:dyDescent="0.25">
      <c r="A3" s="35" t="s">
        <v>35</v>
      </c>
      <c r="B3" s="35"/>
      <c r="C3" s="35"/>
      <c r="D3" s="35"/>
      <c r="E3" s="35"/>
      <c r="F3" s="35"/>
    </row>
    <row r="4" spans="1:21" s="2" customFormat="1" ht="1.5" customHeight="1" x14ac:dyDescent="0.25"/>
    <row r="5" spans="1:21" ht="15.75" customHeight="1" x14ac:dyDescent="0.25">
      <c r="A5" s="36" t="s">
        <v>6</v>
      </c>
      <c r="B5" s="38" t="s">
        <v>2</v>
      </c>
      <c r="C5" s="39"/>
      <c r="D5" s="38" t="s">
        <v>7</v>
      </c>
      <c r="E5" s="38"/>
      <c r="F5" s="40" t="s">
        <v>8</v>
      </c>
      <c r="G5" s="4"/>
    </row>
    <row r="6" spans="1:21" ht="15.75" customHeight="1" x14ac:dyDescent="0.25">
      <c r="A6" s="37"/>
      <c r="B6" s="9" t="s">
        <v>9</v>
      </c>
      <c r="C6" s="10" t="s">
        <v>10</v>
      </c>
      <c r="D6" s="9" t="s">
        <v>9</v>
      </c>
      <c r="E6" s="11" t="s">
        <v>10</v>
      </c>
      <c r="F6" s="41"/>
    </row>
    <row r="7" spans="1:21" ht="17.25" x14ac:dyDescent="0.4">
      <c r="A7" s="3" t="s">
        <v>0</v>
      </c>
      <c r="B7" s="12">
        <f>SUM(B8:B19)</f>
        <v>1811908</v>
      </c>
      <c r="C7" s="13">
        <f>SUM(C8:C19)</f>
        <v>1789065</v>
      </c>
      <c r="D7" s="12">
        <f>SUM(D8:D19)</f>
        <v>1049040</v>
      </c>
      <c r="E7" s="14">
        <f>SUM(E8:E19)</f>
        <v>1053845</v>
      </c>
      <c r="F7" s="15" t="s">
        <v>1</v>
      </c>
    </row>
    <row r="8" spans="1:21" ht="17.25" x14ac:dyDescent="0.4">
      <c r="A8" s="16" t="s">
        <v>11</v>
      </c>
      <c r="B8" s="17">
        <v>176608</v>
      </c>
      <c r="C8" s="18">
        <v>171359</v>
      </c>
      <c r="D8" s="19">
        <v>100248</v>
      </c>
      <c r="E8" s="20">
        <v>94294</v>
      </c>
      <c r="F8" s="21" t="s">
        <v>12</v>
      </c>
    </row>
    <row r="9" spans="1:21" ht="17.25" x14ac:dyDescent="0.4">
      <c r="A9" s="16" t="s">
        <v>13</v>
      </c>
      <c r="B9" s="17">
        <v>163541</v>
      </c>
      <c r="C9" s="18">
        <v>164620</v>
      </c>
      <c r="D9" s="19">
        <v>94774</v>
      </c>
      <c r="E9" s="20">
        <v>95166</v>
      </c>
      <c r="F9" s="21" t="s">
        <v>14</v>
      </c>
    </row>
    <row r="10" spans="1:21" ht="17.25" x14ac:dyDescent="0.4">
      <c r="A10" s="16" t="s">
        <v>15</v>
      </c>
      <c r="B10" s="17">
        <v>160259</v>
      </c>
      <c r="C10" s="18">
        <v>160415</v>
      </c>
      <c r="D10" s="19">
        <v>91796</v>
      </c>
      <c r="E10" s="20">
        <v>92842</v>
      </c>
      <c r="F10" s="21" t="s">
        <v>16</v>
      </c>
    </row>
    <row r="11" spans="1:21" ht="17.25" x14ac:dyDescent="0.4">
      <c r="A11" s="16" t="s">
        <v>17</v>
      </c>
      <c r="B11" s="22">
        <v>146459</v>
      </c>
      <c r="C11" s="18">
        <v>150877</v>
      </c>
      <c r="D11" s="19">
        <v>84640</v>
      </c>
      <c r="E11" s="20">
        <v>81740</v>
      </c>
      <c r="F11" s="21" t="s">
        <v>18</v>
      </c>
    </row>
    <row r="12" spans="1:21" ht="17.25" x14ac:dyDescent="0.4">
      <c r="A12" s="16" t="s">
        <v>19</v>
      </c>
      <c r="B12" s="23">
        <v>115413</v>
      </c>
      <c r="C12" s="18">
        <v>125457</v>
      </c>
      <c r="D12" s="19">
        <v>69951</v>
      </c>
      <c r="E12" s="20">
        <v>66606</v>
      </c>
      <c r="F12" s="21" t="s">
        <v>20</v>
      </c>
    </row>
    <row r="13" spans="1:21" ht="17.25" x14ac:dyDescent="0.4">
      <c r="A13" s="16" t="s">
        <v>21</v>
      </c>
      <c r="B13" s="23">
        <v>117702</v>
      </c>
      <c r="C13" s="18">
        <v>112218</v>
      </c>
      <c r="D13" s="19">
        <v>69442</v>
      </c>
      <c r="E13" s="20">
        <v>71382</v>
      </c>
      <c r="F13" s="21" t="s">
        <v>22</v>
      </c>
    </row>
    <row r="14" spans="1:21" ht="17.25" x14ac:dyDescent="0.4">
      <c r="A14" s="16" t="s">
        <v>23</v>
      </c>
      <c r="B14" s="22">
        <v>149505</v>
      </c>
      <c r="C14" s="18">
        <v>141188</v>
      </c>
      <c r="D14" s="19">
        <v>84244</v>
      </c>
      <c r="E14" s="20">
        <v>86831</v>
      </c>
      <c r="F14" s="21" t="s">
        <v>24</v>
      </c>
    </row>
    <row r="15" spans="1:21" ht="17.25" x14ac:dyDescent="0.4">
      <c r="A15" s="16" t="s">
        <v>25</v>
      </c>
      <c r="B15" s="17">
        <v>150842</v>
      </c>
      <c r="C15" s="18">
        <v>159725</v>
      </c>
      <c r="D15" s="19">
        <v>98729</v>
      </c>
      <c r="E15" s="20">
        <v>95383</v>
      </c>
      <c r="F15" s="21" t="s">
        <v>26</v>
      </c>
    </row>
    <row r="16" spans="1:21" ht="17.25" x14ac:dyDescent="0.4">
      <c r="A16" s="16" t="s">
        <v>27</v>
      </c>
      <c r="B16" s="17">
        <v>132459</v>
      </c>
      <c r="C16" s="18">
        <v>124019</v>
      </c>
      <c r="D16" s="19">
        <v>78698</v>
      </c>
      <c r="E16" s="20">
        <v>81579</v>
      </c>
      <c r="F16" s="21" t="s">
        <v>28</v>
      </c>
    </row>
    <row r="17" spans="1:21" ht="19.5" customHeight="1" x14ac:dyDescent="0.4">
      <c r="A17" s="16" t="s">
        <v>29</v>
      </c>
      <c r="B17" s="17">
        <v>153081</v>
      </c>
      <c r="C17" s="18">
        <v>144251</v>
      </c>
      <c r="D17" s="19">
        <v>86499</v>
      </c>
      <c r="E17" s="20">
        <v>89081</v>
      </c>
      <c r="F17" s="21" t="s">
        <v>30</v>
      </c>
    </row>
    <row r="18" spans="1:21" ht="19.5" customHeight="1" x14ac:dyDescent="0.4">
      <c r="A18" s="16" t="s">
        <v>31</v>
      </c>
      <c r="B18" s="17">
        <v>152499</v>
      </c>
      <c r="C18" s="18">
        <v>159675</v>
      </c>
      <c r="D18" s="19">
        <v>92303</v>
      </c>
      <c r="E18" s="20">
        <v>89172</v>
      </c>
      <c r="F18" s="21" t="s">
        <v>32</v>
      </c>
    </row>
    <row r="19" spans="1:21" ht="19.5" customHeight="1" x14ac:dyDescent="0.4">
      <c r="A19" s="24" t="s">
        <v>33</v>
      </c>
      <c r="B19" s="25">
        <v>193540</v>
      </c>
      <c r="C19" s="26">
        <v>175261</v>
      </c>
      <c r="D19" s="27">
        <v>97716</v>
      </c>
      <c r="E19" s="28">
        <v>109769</v>
      </c>
      <c r="F19" s="29" t="s">
        <v>34</v>
      </c>
    </row>
    <row r="20" spans="1:21" ht="16.5" customHeight="1" x14ac:dyDescent="0.25">
      <c r="A20" s="6" t="s">
        <v>3</v>
      </c>
      <c r="B20" s="5"/>
      <c r="C20" s="5"/>
      <c r="D20" s="7"/>
      <c r="F20" s="30" t="s">
        <v>4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</row>
    <row r="21" spans="1:21" ht="16.5" customHeight="1" x14ac:dyDescent="0.25">
      <c r="A21" s="6"/>
      <c r="B21" s="5"/>
      <c r="C21" s="5"/>
      <c r="D21" s="7"/>
      <c r="F21" s="31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  <row r="22" spans="1:21" ht="16.5" customHeight="1" x14ac:dyDescent="0.25">
      <c r="A22" s="6"/>
      <c r="B22" s="5"/>
      <c r="C22" s="5"/>
      <c r="D22" s="7"/>
      <c r="F22" s="31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</row>
    <row r="23" spans="1:21" ht="16.5" customHeight="1" x14ac:dyDescent="0.25">
      <c r="A23" s="6"/>
      <c r="B23" s="5"/>
      <c r="C23" s="5"/>
      <c r="D23" s="7"/>
      <c r="F23" s="31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</row>
    <row r="24" spans="1:21" ht="16.5" customHeight="1" x14ac:dyDescent="0.25">
      <c r="A24" s="6"/>
      <c r="B24" s="5"/>
      <c r="C24" s="5"/>
      <c r="D24" s="7"/>
      <c r="F24" s="31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</row>
    <row r="25" spans="1:21" ht="16.5" customHeight="1" x14ac:dyDescent="0.25">
      <c r="A25" s="6"/>
      <c r="B25" s="5"/>
      <c r="C25" s="5"/>
      <c r="D25" s="7"/>
      <c r="F25" s="31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</row>
    <row r="26" spans="1:21" ht="16.5" customHeight="1" x14ac:dyDescent="0.25">
      <c r="A26" s="6"/>
      <c r="B26" s="5"/>
      <c r="C26" s="5"/>
      <c r="D26" s="7"/>
      <c r="F26" s="31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pans="1:21" ht="16.5" customHeight="1" x14ac:dyDescent="0.25">
      <c r="A27" s="6"/>
      <c r="B27" s="5"/>
      <c r="C27" s="5"/>
      <c r="D27" s="7"/>
      <c r="F27" s="31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</row>
    <row r="28" spans="1:21" ht="16.5" customHeight="1" x14ac:dyDescent="0.25">
      <c r="A28" s="6"/>
      <c r="B28" s="5"/>
      <c r="C28" s="5"/>
      <c r="D28" s="7"/>
      <c r="F28" s="31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 ht="16.5" customHeight="1" x14ac:dyDescent="0.25">
      <c r="A29" s="6"/>
      <c r="B29" s="5"/>
      <c r="C29" s="5"/>
      <c r="D29" s="7"/>
      <c r="F29" s="31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 ht="16.5" customHeight="1" x14ac:dyDescent="0.25">
      <c r="A30" s="6"/>
      <c r="B30" s="5"/>
      <c r="C30" s="5"/>
      <c r="D30" s="7"/>
      <c r="F30" s="31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  <row r="31" spans="1:21" ht="16.5" customHeight="1" x14ac:dyDescent="0.25">
      <c r="A31" s="6"/>
      <c r="B31" s="5"/>
      <c r="C31" s="5"/>
      <c r="D31" s="7"/>
      <c r="F31" s="3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  <row r="32" spans="1:21" ht="16.5" customHeight="1" x14ac:dyDescent="0.25">
      <c r="A32" s="6"/>
      <c r="B32" s="5"/>
      <c r="C32" s="5"/>
      <c r="D32" s="7"/>
      <c r="F32" s="31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</row>
    <row r="33" spans="1:21" ht="16.5" customHeight="1" x14ac:dyDescent="0.25">
      <c r="A33" s="6"/>
      <c r="B33" s="5"/>
      <c r="C33" s="5"/>
      <c r="D33" s="7"/>
      <c r="F33" s="31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</row>
    <row r="34" spans="1:21" ht="19.5" customHeight="1" x14ac:dyDescent="0.25">
      <c r="E34" s="32"/>
    </row>
    <row r="36" spans="1:21" ht="19.5" customHeight="1" x14ac:dyDescent="0.25">
      <c r="E36" s="32"/>
    </row>
    <row r="37" spans="1:21" ht="19.5" customHeight="1" x14ac:dyDescent="0.25">
      <c r="E37" s="32"/>
    </row>
    <row r="38" spans="1:21" ht="19.5" customHeight="1" x14ac:dyDescent="0.25"/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paperSize="9" scale="83" orientation="portrait" horizontalDpi="4294967295" verticalDpi="4294967295" r:id="rId1"/>
  <rowBreaks count="1" manualBreakCount="1">
    <brk id="50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11.13 </vt:lpstr>
      <vt:lpstr>'11.13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2019-05-13T06:05:28Z</cp:lastPrinted>
  <dcterms:created xsi:type="dcterms:W3CDTF">2019-03-24T03:32:16Z</dcterms:created>
  <dcterms:modified xsi:type="dcterms:W3CDTF">2019-05-13T06:05:53Z</dcterms:modified>
</cp:coreProperties>
</file>