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25" sheetId="28" r:id="rId1"/>
  </sheets>
  <externalReferences>
    <externalReference r:id="rId2"/>
    <externalReference r:id="rId3"/>
    <externalReference r:id="rId4"/>
  </externalReferences>
  <definedNames>
    <definedName name="_xlnm.Print_Area" localSheetId="0">'11.25'!$A$1:$AA$23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28" l="1"/>
  <c r="C7" i="28"/>
  <c r="E7" i="28"/>
  <c r="F7" i="28"/>
  <c r="H7" i="28"/>
  <c r="I7" i="28"/>
  <c r="K7" i="28"/>
  <c r="L7" i="28"/>
  <c r="N7" i="28"/>
  <c r="O7" i="28"/>
  <c r="Q7" i="28"/>
  <c r="R7" i="28"/>
  <c r="S7" i="28"/>
  <c r="T7" i="28"/>
  <c r="U7" i="28"/>
  <c r="V7" i="28"/>
  <c r="W7" i="28"/>
  <c r="X7" i="28"/>
  <c r="Y7" i="28"/>
  <c r="Z7" i="28"/>
</calcChain>
</file>

<file path=xl/sharedStrings.xml><?xml version="1.0" encoding="utf-8"?>
<sst xmlns="http://schemas.openxmlformats.org/spreadsheetml/2006/main" count="65" uniqueCount="47">
  <si>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</si>
  <si>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</si>
  <si>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</si>
  <si>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</si>
  <si>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</si>
  <si>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</si>
  <si>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</si>
  <si>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</si>
  <si>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</si>
  <si>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</si>
  <si>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</si>
  <si>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</si>
  <si>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</si>
  <si>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</si>
  <si>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</si>
  <si>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</si>
  <si>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</si>
  <si>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</si>
  <si>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</si>
  <si>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</si>
  <si>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</si>
  <si>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</si>
  <si>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</si>
  <si>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</si>
  <si>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</si>
  <si>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</si>
  <si>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</si>
  <si>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</si>
  <si>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</si>
  <si>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</si>
  <si>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</si>
  <si>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</si>
  <si>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</si>
  <si>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</si>
  <si>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</si>
  <si>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</si>
  <si>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</si>
  <si>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</si>
  <si>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 ( in kg )</t>
  </si>
  <si>
    <t>HDh.Hanimaadhoo</t>
  </si>
  <si>
    <r>
      <t xml:space="preserve">Dh.Kudahuvadhoo  </t>
    </r>
    <r>
      <rPr>
        <b/>
        <vertAlign val="superscript"/>
        <sz val="9"/>
        <rFont val="Calibri"/>
        <family val="2"/>
        <scheme val="minor"/>
      </rPr>
      <t xml:space="preserve">4_/ </t>
    </r>
  </si>
  <si>
    <t>3_/ Raa Ifuru   started flight operations during the month of May 2015</t>
  </si>
  <si>
    <t>4_/ Dh. Dhaalu   started flight operations during the month ofOctober 2017</t>
  </si>
  <si>
    <t>ތާވަލު 11.25: މަސްމަހުގެ ގޮތުން ރާއްޖޭގެ ވައިގެބަނދަރުތަކުގައި އުފުލުނު މެއިލް، 2018</t>
  </si>
  <si>
    <t>Table 11.25:  MAIL HANDLED AT DOMESTIC AIRPORTS BY MONTH, 2018</t>
  </si>
  <si>
    <t xml:space="preserve">THa. Thimarafushi </t>
  </si>
  <si>
    <r>
      <t xml:space="preserve">Raa Ifuru  </t>
    </r>
    <r>
      <rPr>
        <b/>
        <vertAlign val="superscript"/>
        <sz val="9"/>
        <rFont val="Calibri"/>
        <family val="2"/>
        <scheme val="minor"/>
      </rPr>
      <t xml:space="preserve">3_/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</si>
</sst>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_(* #,##0_);_(* \(#,##0\);_(* &quot;-&quot;??_);_(@_)"/>
    <numFmt numFmtId="169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0"/>
      <name val="Garamond"/>
      <family val="1"/>
    </font>
    <font>
      <b/>
      <vertAlign val="superscript"/>
      <sz val="9"/>
      <name val="Calibri"/>
      <family val="2"/>
      <scheme val="minor"/>
    </font>
    <font>
      <sz val="9"/>
      <name val="Faruma"/>
    </font>
    <font>
      <b/>
      <sz val="11"/>
      <name val="Faruma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hair">
        <color theme="1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12">
    <xf numFmtId="0" fontId="0" fillId="0" borderId="0"/>
    <xf numFmtId="164" fontId="2" fillId="0" borderId="0"/>
    <xf numFmtId="40" fontId="7" fillId="0" borderId="0" applyFont="0" applyFill="0" applyBorder="0" applyAlignment="0" applyProtection="0"/>
    <xf numFmtId="0" fontId="3" fillId="0" borderId="0"/>
    <xf numFmtId="0" fontId="14" fillId="0" borderId="0"/>
    <xf numFmtId="165" fontId="2" fillId="0" borderId="0"/>
    <xf numFmtId="165" fontId="2" fillId="0" borderId="0"/>
    <xf numFmtId="16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64">
    <xf numFmtId="0" fontId="0" fillId="0" borderId="0" xfId="0"/>
    <xf numFmtId="164" fontId="6" fillId="2" borderId="3" xfId="1" applyNumberFormat="1" applyFont="1" applyFill="1" applyBorder="1" applyAlignment="1" applyProtection="1">
      <alignment horizontal="left" vertical="center"/>
    </xf>
    <xf numFmtId="0" fontId="16" fillId="2" borderId="3" xfId="0" applyNumberFormat="1" applyFont="1" applyFill="1" applyBorder="1" applyAlignment="1">
      <alignment horizontal="right" vertical="center"/>
    </xf>
    <xf numFmtId="164" fontId="0" fillId="2" borderId="1" xfId="0" applyNumberFormat="1" applyFill="1" applyBorder="1"/>
    <xf numFmtId="164" fontId="4" fillId="2" borderId="16" xfId="1" applyNumberFormat="1" applyFont="1" applyFill="1" applyBorder="1" applyAlignment="1">
      <alignment horizontal="right" vertical="center"/>
    </xf>
    <xf numFmtId="164" fontId="4" fillId="2" borderId="18" xfId="1" applyNumberFormat="1" applyFont="1" applyFill="1" applyBorder="1" applyAlignment="1">
      <alignment horizontal="right" vertical="center"/>
    </xf>
    <xf numFmtId="38" fontId="4" fillId="2" borderId="3" xfId="2" applyNumberFormat="1" applyFont="1" applyFill="1" applyBorder="1" applyAlignment="1">
      <alignment horizontal="right" vertical="center"/>
    </xf>
    <xf numFmtId="38" fontId="4" fillId="2" borderId="4" xfId="2" applyNumberFormat="1" applyFont="1" applyFill="1" applyBorder="1" applyAlignment="1">
      <alignment horizontal="right" vertical="center"/>
    </xf>
    <xf numFmtId="38" fontId="4" fillId="2" borderId="26" xfId="2" applyNumberFormat="1" applyFont="1" applyFill="1" applyBorder="1" applyAlignment="1">
      <alignment horizontal="right" vertical="center"/>
    </xf>
    <xf numFmtId="38" fontId="4" fillId="2" borderId="27" xfId="2" applyNumberFormat="1" applyFont="1" applyFill="1" applyBorder="1" applyAlignment="1">
      <alignment horizontal="right" vertical="center"/>
    </xf>
    <xf numFmtId="38" fontId="4" fillId="2" borderId="13" xfId="2" applyNumberFormat="1" applyFont="1" applyFill="1" applyBorder="1" applyAlignment="1">
      <alignment horizontal="right" vertical="center"/>
    </xf>
    <xf numFmtId="0" fontId="5" fillId="2" borderId="3" xfId="4" applyFont="1" applyFill="1" applyBorder="1" applyAlignment="1">
      <alignment horizontal="right"/>
    </xf>
    <xf numFmtId="38" fontId="12" fillId="2" borderId="1" xfId="2" applyNumberFormat="1" applyFont="1" applyFill="1" applyBorder="1" applyAlignment="1">
      <alignment horizontal="right" vertical="center"/>
    </xf>
    <xf numFmtId="38" fontId="12" fillId="2" borderId="5" xfId="2" applyNumberFormat="1" applyFont="1" applyFill="1" applyBorder="1" applyAlignment="1">
      <alignment horizontal="right" vertical="center"/>
    </xf>
    <xf numFmtId="38" fontId="12" fillId="2" borderId="28" xfId="2" applyNumberFormat="1" applyFont="1" applyFill="1" applyBorder="1" applyAlignment="1">
      <alignment horizontal="right" vertical="center"/>
    </xf>
    <xf numFmtId="38" fontId="12" fillId="2" borderId="29" xfId="2" applyNumberFormat="1" applyFont="1" applyFill="1" applyBorder="1" applyAlignment="1">
      <alignment horizontal="right" vertical="center"/>
    </xf>
    <xf numFmtId="38" fontId="12" fillId="2" borderId="9" xfId="2" applyNumberFormat="1" applyFont="1" applyFill="1" applyBorder="1" applyAlignment="1">
      <alignment horizontal="right" vertical="center"/>
    </xf>
    <xf numFmtId="0" fontId="9" fillId="2" borderId="1" xfId="4" applyFont="1" applyFill="1" applyBorder="1" applyAlignment="1">
      <alignment horizontal="right" vertical="center" indent="1"/>
    </xf>
    <xf numFmtId="38" fontId="12" fillId="2" borderId="6" xfId="2" applyNumberFormat="1" applyFont="1" applyFill="1" applyBorder="1" applyAlignment="1">
      <alignment horizontal="right" vertical="center"/>
    </xf>
    <xf numFmtId="38" fontId="12" fillId="2" borderId="7" xfId="2" applyNumberFormat="1" applyFont="1" applyFill="1" applyBorder="1" applyAlignment="1">
      <alignment horizontal="right" vertical="center"/>
    </xf>
    <xf numFmtId="38" fontId="12" fillId="2" borderId="30" xfId="2" applyNumberFormat="1" applyFont="1" applyFill="1" applyBorder="1" applyAlignment="1">
      <alignment horizontal="right" vertical="center"/>
    </xf>
    <xf numFmtId="38" fontId="12" fillId="2" borderId="31" xfId="2" applyNumberFormat="1" applyFont="1" applyFill="1" applyBorder="1" applyAlignment="1">
      <alignment horizontal="right" vertical="center"/>
    </xf>
    <xf numFmtId="38" fontId="12" fillId="2" borderId="11" xfId="2" applyNumberFormat="1" applyFont="1" applyFill="1" applyBorder="1" applyAlignment="1">
      <alignment horizontal="right" vertical="center"/>
    </xf>
    <xf numFmtId="0" fontId="9" fillId="2" borderId="6" xfId="4" applyFont="1" applyFill="1" applyBorder="1" applyAlignment="1">
      <alignment horizontal="right" vertical="center" indent="1"/>
    </xf>
    <xf numFmtId="164" fontId="11" fillId="2" borderId="1" xfId="1" applyNumberFormat="1" applyFont="1" applyFill="1" applyBorder="1" applyAlignment="1" applyProtection="1">
      <alignment horizontal="left" vertical="center"/>
    </xf>
    <xf numFmtId="37" fontId="12" fillId="2" borderId="1" xfId="1" applyNumberFormat="1" applyFont="1" applyFill="1" applyBorder="1" applyAlignment="1" applyProtection="1">
      <alignment vertical="center"/>
    </xf>
    <xf numFmtId="0" fontId="13" fillId="2" borderId="1" xfId="3" applyFont="1" applyFill="1" applyBorder="1" applyAlignment="1">
      <alignment vertical="center"/>
    </xf>
    <xf numFmtId="0" fontId="10" fillId="2" borderId="1" xfId="0" applyNumberFormat="1" applyFont="1" applyFill="1" applyBorder="1" applyAlignment="1">
      <alignment horizontal="right" vertical="center"/>
    </xf>
    <xf numFmtId="0" fontId="0" fillId="2" borderId="0" xfId="0" applyFill="1"/>
    <xf numFmtId="164" fontId="4" fillId="2" borderId="23" xfId="1" applyNumberFormat="1" applyFont="1" applyFill="1" applyBorder="1" applyAlignment="1">
      <alignment horizontal="center" vertical="center" wrapText="1"/>
    </xf>
    <xf numFmtId="164" fontId="4" fillId="2" borderId="20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14" xfId="1" applyNumberFormat="1" applyFont="1" applyFill="1" applyBorder="1" applyAlignment="1">
      <alignment horizontal="left" vertical="center"/>
    </xf>
    <xf numFmtId="164" fontId="4" fillId="2" borderId="6" xfId="1" applyNumberFormat="1" applyFont="1" applyFill="1" applyBorder="1" applyAlignment="1">
      <alignment horizontal="left" vertical="center"/>
    </xf>
    <xf numFmtId="164" fontId="4" fillId="2" borderId="19" xfId="1" applyNumberFormat="1" applyFont="1" applyFill="1" applyBorder="1" applyAlignment="1">
      <alignment horizontal="center" vertical="center" wrapText="1"/>
    </xf>
    <xf numFmtId="164" fontId="4" fillId="2" borderId="21" xfId="1" applyNumberFormat="1" applyFont="1" applyFill="1" applyBorder="1" applyAlignment="1">
      <alignment horizontal="center" vertical="center" wrapText="1"/>
    </xf>
    <xf numFmtId="164" fontId="4" fillId="2" borderId="22" xfId="1" applyNumberFormat="1" applyFont="1" applyFill="1" applyBorder="1" applyAlignment="1">
      <alignment horizontal="center" vertical="center" wrapText="1"/>
    </xf>
    <xf numFmtId="164" fontId="4" fillId="2" borderId="23" xfId="1" applyNumberFormat="1" applyFont="1" applyFill="1" applyBorder="1" applyAlignment="1">
      <alignment horizontal="center" vertical="center" wrapText="1"/>
    </xf>
    <xf numFmtId="164" fontId="4" fillId="2" borderId="20" xfId="1" applyNumberFormat="1" applyFont="1" applyFill="1" applyBorder="1" applyAlignment="1">
      <alignment horizontal="center" vertical="center" wrapText="1"/>
    </xf>
    <xf numFmtId="0" fontId="5" fillId="2" borderId="14" xfId="4" applyFont="1" applyFill="1" applyBorder="1" applyAlignment="1">
      <alignment horizontal="right" vertical="center"/>
    </xf>
    <xf numFmtId="0" fontId="5" fillId="2" borderId="6" xfId="4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164" fontId="6" fillId="2" borderId="2" xfId="1" applyNumberFormat="1" applyFont="1" applyFill="1" applyBorder="1" applyAlignment="1">
      <alignment horizontal="center" vertical="center"/>
    </xf>
    <xf numFmtId="164" fontId="4" fillId="2" borderId="32" xfId="1" applyNumberFormat="1" applyFont="1" applyFill="1" applyBorder="1" applyAlignment="1">
      <alignment horizontal="center" vertical="center" wrapText="1"/>
    </xf>
    <xf numFmtId="164" fontId="4" fillId="2" borderId="33" xfId="1" applyNumberFormat="1" applyFont="1" applyFill="1" applyBorder="1" applyAlignment="1">
      <alignment horizontal="center" vertical="center" wrapText="1"/>
    </xf>
    <xf numFmtId="164" fontId="4" fillId="2" borderId="16" xfId="1" applyNumberFormat="1" applyFont="1" applyFill="1" applyBorder="1" applyAlignment="1">
      <alignment horizontal="right" vertical="center" indent="1"/>
    </xf>
    <xf numFmtId="164" fontId="4" fillId="2" borderId="25" xfId="1" applyNumberFormat="1" applyFont="1" applyFill="1" applyBorder="1" applyAlignment="1">
      <alignment horizontal="right" vertical="center" indent="1"/>
    </xf>
    <xf numFmtId="164" fontId="4" fillId="2" borderId="18" xfId="1" applyNumberFormat="1" applyFont="1" applyFill="1" applyBorder="1" applyAlignment="1">
      <alignment horizontal="right" vertical="center" indent="1"/>
    </xf>
    <xf numFmtId="164" fontId="4" fillId="2" borderId="17" xfId="1" applyNumberFormat="1" applyFont="1" applyFill="1" applyBorder="1" applyAlignment="1">
      <alignment horizontal="right" vertical="center" indent="1"/>
    </xf>
    <xf numFmtId="164" fontId="4" fillId="2" borderId="24" xfId="1" applyNumberFormat="1" applyFont="1" applyFill="1" applyBorder="1" applyAlignment="1">
      <alignment horizontal="right" vertical="center" indent="1"/>
    </xf>
    <xf numFmtId="164" fontId="4" fillId="2" borderId="34" xfId="1" applyNumberFormat="1" applyFont="1" applyFill="1" applyBorder="1" applyAlignment="1">
      <alignment horizontal="right" vertical="center" indent="1"/>
    </xf>
    <xf numFmtId="164" fontId="4" fillId="2" borderId="35" xfId="1" applyNumberFormat="1" applyFont="1" applyFill="1" applyBorder="1" applyAlignment="1">
      <alignment horizontal="right" vertical="center" indent="1"/>
    </xf>
    <xf numFmtId="164" fontId="4" fillId="2" borderId="34" xfId="1" applyNumberFormat="1" applyFont="1" applyFill="1" applyBorder="1" applyAlignment="1">
      <alignment horizontal="right" vertical="center"/>
    </xf>
    <xf numFmtId="164" fontId="4" fillId="2" borderId="35" xfId="1" applyNumberFormat="1" applyFont="1" applyFill="1" applyBorder="1" applyAlignment="1">
      <alignment horizontal="right" vertical="center"/>
    </xf>
    <xf numFmtId="38" fontId="4" fillId="2" borderId="36" xfId="2" applyNumberFormat="1" applyFont="1" applyFill="1" applyBorder="1" applyAlignment="1">
      <alignment horizontal="right" vertical="center"/>
    </xf>
    <xf numFmtId="38" fontId="4" fillId="2" borderId="37" xfId="2" applyNumberFormat="1" applyFont="1" applyFill="1" applyBorder="1" applyAlignment="1">
      <alignment horizontal="right" vertical="center"/>
    </xf>
    <xf numFmtId="164" fontId="8" fillId="2" borderId="1" xfId="1" applyNumberFormat="1" applyFont="1" applyFill="1" applyBorder="1" applyAlignment="1" applyProtection="1">
      <alignment horizontal="left" vertical="center"/>
    </xf>
    <xf numFmtId="38" fontId="12" fillId="2" borderId="38" xfId="2" applyNumberFormat="1" applyFont="1" applyFill="1" applyBorder="1" applyAlignment="1">
      <alignment horizontal="right" vertical="center"/>
    </xf>
    <xf numFmtId="38" fontId="12" fillId="2" borderId="10" xfId="2" applyNumberFormat="1" applyFont="1" applyFill="1" applyBorder="1" applyAlignment="1">
      <alignment horizontal="right" vertical="center"/>
    </xf>
    <xf numFmtId="38" fontId="12" fillId="2" borderId="8" xfId="2" applyNumberFormat="1" applyFont="1" applyFill="1" applyBorder="1" applyAlignment="1">
      <alignment horizontal="right" vertical="center"/>
    </xf>
    <xf numFmtId="164" fontId="8" fillId="2" borderId="6" xfId="1" applyNumberFormat="1" applyFont="1" applyFill="1" applyBorder="1" applyAlignment="1" applyProtection="1">
      <alignment horizontal="left" vertical="center"/>
    </xf>
    <xf numFmtId="38" fontId="12" fillId="2" borderId="39" xfId="2" applyNumberFormat="1" applyFont="1" applyFill="1" applyBorder="1" applyAlignment="1">
      <alignment horizontal="right" vertical="center"/>
    </xf>
    <xf numFmtId="38" fontId="12" fillId="2" borderId="12" xfId="2" applyNumberFormat="1" applyFont="1" applyFill="1" applyBorder="1" applyAlignment="1">
      <alignment horizontal="right" vertical="center"/>
    </xf>
    <xf numFmtId="38" fontId="12" fillId="2" borderId="15" xfId="2" applyNumberFormat="1" applyFont="1" applyFill="1" applyBorder="1" applyAlignment="1">
      <alignment horizontal="right" vertical="center"/>
    </xf>
  </cellXfs>
  <cellStyles count="12">
    <cellStyle name="Comma 2" xfId="2"/>
    <cellStyle name="Comma 4" xfId="7"/>
    <cellStyle name="Hyperlink 2" xfId="8"/>
    <cellStyle name="Normal" xfId="0" builtinId="0"/>
    <cellStyle name="Normal 2" xfId="1"/>
    <cellStyle name="Normal 2 3" xfId="10"/>
    <cellStyle name="Normal 3" xfId="5"/>
    <cellStyle name="Normal 3 2" xfId="11"/>
    <cellStyle name="Normal 4" xfId="6"/>
    <cellStyle name="Normal 5" xfId="9"/>
    <cellStyle name="Normal_IX-6(Trans &amp; Comm)" xfId="3"/>
    <cellStyle name="Normal_X-5 (Electricity)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1.%20TRANSPORT%20&amp;%20COMMUNICATION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</sheetData>
      <sheetData sheetId="3">
        <row r="21">
          <cell r="AP21" t="str">
            <v>In</v>
          </cell>
          <cell r="AQ21" t="str">
            <v>Out</v>
          </cell>
        </row>
        <row r="22">
          <cell r="AO22" t="str">
            <v>L.Kadhdhoo</v>
          </cell>
          <cell r="AP22">
            <v>74880</v>
          </cell>
          <cell r="AQ22">
            <v>75166</v>
          </cell>
        </row>
        <row r="23">
          <cell r="AO23" t="str">
            <v>GDh.Kaadedhdhoo</v>
          </cell>
          <cell r="AP23">
            <v>35462</v>
          </cell>
          <cell r="AQ23">
            <v>35534</v>
          </cell>
        </row>
        <row r="24">
          <cell r="AO24" t="str">
            <v xml:space="preserve">Gn.Fuvahmulah </v>
          </cell>
          <cell r="AP24">
            <v>20244</v>
          </cell>
          <cell r="AQ24">
            <v>20569</v>
          </cell>
        </row>
        <row r="25">
          <cell r="AO25" t="str">
            <v>ADh.Maamigili</v>
          </cell>
          <cell r="AP25">
            <v>105807</v>
          </cell>
          <cell r="AQ25">
            <v>102744</v>
          </cell>
        </row>
        <row r="26">
          <cell r="AO26" t="str">
            <v>B.Dharavandhoo</v>
          </cell>
          <cell r="AP26">
            <v>112756</v>
          </cell>
          <cell r="AQ26">
            <v>109970</v>
          </cell>
        </row>
        <row r="27">
          <cell r="AO27" t="str">
            <v>GA. Koodoo</v>
          </cell>
          <cell r="AP27">
            <v>42548</v>
          </cell>
          <cell r="AQ27">
            <v>42625</v>
          </cell>
        </row>
        <row r="28">
          <cell r="AO28" t="str">
            <v xml:space="preserve">THA. Thimarafushi  </v>
          </cell>
          <cell r="AP28">
            <v>5977</v>
          </cell>
          <cell r="AQ28">
            <v>5342</v>
          </cell>
        </row>
        <row r="29">
          <cell r="AO29" t="str">
            <v xml:space="preserve">R.Ifuru  </v>
          </cell>
          <cell r="AP29">
            <v>36566</v>
          </cell>
          <cell r="AQ29">
            <v>35169</v>
          </cell>
        </row>
        <row r="30">
          <cell r="AO30" t="str">
            <v>Dh.kudahuvadhoo</v>
          </cell>
          <cell r="AP30">
            <v>23329</v>
          </cell>
          <cell r="AQ30">
            <v>22713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3"/>
      <sheetName val="11.4"/>
      <sheetName val="11.5"/>
      <sheetName val="11.6"/>
      <sheetName val="11.7"/>
      <sheetName val="11.8"/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  <sheetName val="11.26"/>
      <sheetName val="11.27"/>
      <sheetName val="11.28"/>
      <sheetName val="11.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2004</v>
          </cell>
          <cell r="C4">
            <v>2005</v>
          </cell>
          <cell r="D4">
            <v>2006</v>
          </cell>
          <cell r="E4">
            <v>2007</v>
          </cell>
          <cell r="F4">
            <v>2008</v>
          </cell>
          <cell r="G4">
            <v>2009</v>
          </cell>
          <cell r="H4">
            <v>2010</v>
          </cell>
          <cell r="I4">
            <v>2011</v>
          </cell>
          <cell r="J4">
            <v>2012</v>
          </cell>
          <cell r="K4">
            <v>2013</v>
          </cell>
          <cell r="L4">
            <v>2014</v>
          </cell>
          <cell r="M4">
            <v>2015</v>
          </cell>
          <cell r="N4">
            <v>2016</v>
          </cell>
          <cell r="O4">
            <v>2017</v>
          </cell>
        </row>
        <row r="6">
          <cell r="A6" t="str">
            <v>Within Male'</v>
          </cell>
          <cell r="B6">
            <v>88909</v>
          </cell>
          <cell r="C6">
            <v>95166</v>
          </cell>
          <cell r="D6">
            <v>174803</v>
          </cell>
          <cell r="E6">
            <v>129489</v>
          </cell>
          <cell r="F6">
            <v>168627.20000000001</v>
          </cell>
          <cell r="G6">
            <v>123358</v>
          </cell>
          <cell r="H6">
            <v>151787</v>
          </cell>
          <cell r="I6">
            <v>223608</v>
          </cell>
          <cell r="J6">
            <v>189064</v>
          </cell>
          <cell r="K6">
            <v>148673</v>
          </cell>
          <cell r="L6">
            <v>108094</v>
          </cell>
          <cell r="M6">
            <v>89080</v>
          </cell>
          <cell r="N6">
            <v>61497</v>
          </cell>
          <cell r="O6">
            <v>72159</v>
          </cell>
        </row>
        <row r="7">
          <cell r="A7" t="str">
            <v>From Male' to Atolls</v>
          </cell>
          <cell r="B7">
            <v>87524</v>
          </cell>
          <cell r="C7">
            <v>97700</v>
          </cell>
          <cell r="D7">
            <v>104143</v>
          </cell>
          <cell r="E7">
            <v>96974</v>
          </cell>
          <cell r="F7">
            <v>103039</v>
          </cell>
          <cell r="G7">
            <v>80981</v>
          </cell>
          <cell r="H7">
            <v>104458</v>
          </cell>
          <cell r="I7">
            <v>104832</v>
          </cell>
          <cell r="J7">
            <v>139737</v>
          </cell>
          <cell r="K7">
            <v>121983</v>
          </cell>
          <cell r="L7">
            <v>146950</v>
          </cell>
          <cell r="M7">
            <v>270848</v>
          </cell>
          <cell r="N7">
            <v>435013</v>
          </cell>
          <cell r="O7">
            <v>38520</v>
          </cell>
        </row>
        <row r="10">
          <cell r="A10" t="str">
            <v>From Atolls to Male'</v>
          </cell>
          <cell r="B10">
            <v>16027</v>
          </cell>
          <cell r="C10">
            <v>15274</v>
          </cell>
          <cell r="D10">
            <v>14173</v>
          </cell>
          <cell r="E10">
            <v>14029</v>
          </cell>
          <cell r="F10">
            <v>22917</v>
          </cell>
          <cell r="G10">
            <v>13434</v>
          </cell>
          <cell r="H10">
            <v>17478</v>
          </cell>
          <cell r="I10">
            <v>9512</v>
          </cell>
          <cell r="J10">
            <v>8582</v>
          </cell>
          <cell r="K10">
            <v>6498</v>
          </cell>
          <cell r="L10">
            <v>6932</v>
          </cell>
          <cell r="M10">
            <v>13066</v>
          </cell>
          <cell r="N10">
            <v>10569</v>
          </cell>
          <cell r="O10">
            <v>16585</v>
          </cell>
        </row>
        <row r="11">
          <cell r="A11" t="str">
            <v>From Foreign to the Atolls</v>
          </cell>
          <cell r="B11">
            <v>88198</v>
          </cell>
          <cell r="C11">
            <v>31857</v>
          </cell>
          <cell r="D11">
            <v>30434</v>
          </cell>
          <cell r="E11">
            <v>19033</v>
          </cell>
          <cell r="F11">
            <v>19412</v>
          </cell>
          <cell r="G11">
            <v>27483</v>
          </cell>
          <cell r="H11">
            <v>41953</v>
          </cell>
          <cell r="I11">
            <v>41065</v>
          </cell>
          <cell r="J11">
            <v>28831</v>
          </cell>
          <cell r="K11">
            <v>37952</v>
          </cell>
          <cell r="L11">
            <v>41258</v>
          </cell>
          <cell r="M11">
            <v>211219</v>
          </cell>
          <cell r="N11">
            <v>414809</v>
          </cell>
          <cell r="O11">
            <v>467689</v>
          </cell>
        </row>
        <row r="12">
          <cell r="A12" t="str">
            <v>From Atolls to Foreign</v>
          </cell>
          <cell r="B12">
            <v>23892</v>
          </cell>
          <cell r="C12">
            <v>16987</v>
          </cell>
          <cell r="D12">
            <v>20427</v>
          </cell>
          <cell r="E12">
            <v>17130</v>
          </cell>
          <cell r="F12">
            <v>22910</v>
          </cell>
          <cell r="G12">
            <v>15190</v>
          </cell>
          <cell r="H12">
            <v>14826</v>
          </cell>
          <cell r="I12">
            <v>1193</v>
          </cell>
          <cell r="J12">
            <v>13649</v>
          </cell>
          <cell r="K12">
            <v>10262</v>
          </cell>
          <cell r="L12">
            <v>8291</v>
          </cell>
          <cell r="M12">
            <v>7165</v>
          </cell>
          <cell r="N12">
            <v>3850</v>
          </cell>
          <cell r="O12">
            <v>7136</v>
          </cell>
        </row>
      </sheetData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>
        <row r="22">
          <cell r="AP22">
            <v>74880</v>
          </cell>
          <cell r="AQ22">
            <v>75166</v>
          </cell>
        </row>
        <row r="23">
          <cell r="AP23">
            <v>35462</v>
          </cell>
          <cell r="AQ23">
            <v>35534</v>
          </cell>
        </row>
        <row r="24">
          <cell r="AP24">
            <v>20244</v>
          </cell>
          <cell r="AQ24">
            <v>20569</v>
          </cell>
        </row>
        <row r="25">
          <cell r="AP25">
            <v>105807</v>
          </cell>
          <cell r="AQ25">
            <v>102744</v>
          </cell>
        </row>
        <row r="26">
          <cell r="AP26">
            <v>112756</v>
          </cell>
          <cell r="AQ26">
            <v>109970</v>
          </cell>
        </row>
        <row r="27">
          <cell r="AP27">
            <v>42548</v>
          </cell>
          <cell r="AQ27">
            <v>42625</v>
          </cell>
        </row>
        <row r="28">
          <cell r="AP28">
            <v>5977</v>
          </cell>
          <cell r="AQ28">
            <v>5342</v>
          </cell>
        </row>
        <row r="29">
          <cell r="AP29">
            <v>36566</v>
          </cell>
          <cell r="AQ29">
            <v>35169</v>
          </cell>
        </row>
        <row r="30">
          <cell r="AP30">
            <v>23329</v>
          </cell>
          <cell r="AQ30">
            <v>22713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Views>
    <sheetView tabSelected="1" zoomScaleNormal="100" workbookViewId="0">
      <selection activeCell="C30" sqref="C30"/>
    </sheetView>
  </sheetViews>
  <sheetFormatPr defaultRowHeight="15" x14ac:dyDescent="0.25"/>
  <cols>
    <col min="1" max="3" width="9.140625" style="28"/>
    <col min="4" max="4" width="0.85546875" style="28" customWidth="1"/>
    <col min="5" max="6" width="9.140625" style="28"/>
    <col min="7" max="7" width="0.85546875" style="28" customWidth="1"/>
    <col min="8" max="9" width="9.140625" style="28"/>
    <col min="10" max="10" width="0.85546875" style="28" customWidth="1"/>
    <col min="11" max="12" width="9.140625" style="28"/>
    <col min="13" max="13" width="0.85546875" style="28" customWidth="1"/>
    <col min="14" max="15" width="9.140625" style="28"/>
    <col min="16" max="16" width="0.85546875" style="28" customWidth="1"/>
    <col min="17" max="16384" width="9.140625" style="28"/>
  </cols>
  <sheetData>
    <row r="1" spans="1:27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1" x14ac:dyDescent="0.25">
      <c r="A2" s="41" t="s">
        <v>43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spans="1:27" x14ac:dyDescent="0.25">
      <c r="A3" s="42" t="s">
        <v>44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x14ac:dyDescent="0.25">
      <c r="A4" s="31" t="s">
        <v>38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spans="1:27" x14ac:dyDescent="0.25">
      <c r="A5" s="32" t="s">
        <v>6</v>
      </c>
      <c r="B5" s="34" t="s">
        <v>32</v>
      </c>
      <c r="C5" s="36"/>
      <c r="D5" s="29"/>
      <c r="E5" s="34" t="s">
        <v>33</v>
      </c>
      <c r="F5" s="34"/>
      <c r="G5" s="30"/>
      <c r="H5" s="35" t="s">
        <v>39</v>
      </c>
      <c r="I5" s="36"/>
      <c r="J5" s="29"/>
      <c r="K5" s="34" t="s">
        <v>34</v>
      </c>
      <c r="L5" s="34"/>
      <c r="M5" s="30"/>
      <c r="N5" s="43" t="s">
        <v>35</v>
      </c>
      <c r="O5" s="44"/>
      <c r="P5" s="29"/>
      <c r="Q5" s="34" t="s">
        <v>36</v>
      </c>
      <c r="R5" s="38"/>
      <c r="S5" s="35" t="s">
        <v>37</v>
      </c>
      <c r="T5" s="36"/>
      <c r="U5" s="37" t="s">
        <v>45</v>
      </c>
      <c r="V5" s="38"/>
      <c r="W5" s="43" t="s">
        <v>46</v>
      </c>
      <c r="X5" s="44"/>
      <c r="Y5" s="35" t="s">
        <v>40</v>
      </c>
      <c r="Z5" s="34"/>
      <c r="AA5" s="39" t="s">
        <v>7</v>
      </c>
    </row>
    <row r="6" spans="1:27" x14ac:dyDescent="0.25">
      <c r="A6" s="33"/>
      <c r="B6" s="45" t="s">
        <v>0</v>
      </c>
      <c r="C6" s="46" t="s">
        <v>1</v>
      </c>
      <c r="D6" s="47"/>
      <c r="E6" s="45" t="s">
        <v>0</v>
      </c>
      <c r="F6" s="45" t="s">
        <v>1</v>
      </c>
      <c r="G6" s="48"/>
      <c r="H6" s="49" t="s">
        <v>0</v>
      </c>
      <c r="I6" s="46" t="s">
        <v>1</v>
      </c>
      <c r="J6" s="47"/>
      <c r="K6" s="45" t="s">
        <v>0</v>
      </c>
      <c r="L6" s="45" t="s">
        <v>1</v>
      </c>
      <c r="M6" s="48"/>
      <c r="N6" s="50" t="s">
        <v>0</v>
      </c>
      <c r="O6" s="51" t="s">
        <v>1</v>
      </c>
      <c r="P6" s="47"/>
      <c r="Q6" s="45" t="s">
        <v>0</v>
      </c>
      <c r="R6" s="48" t="s">
        <v>1</v>
      </c>
      <c r="S6" s="49" t="s">
        <v>0</v>
      </c>
      <c r="T6" s="46" t="s">
        <v>1</v>
      </c>
      <c r="U6" s="47" t="s">
        <v>0</v>
      </c>
      <c r="V6" s="48" t="s">
        <v>1</v>
      </c>
      <c r="W6" s="52" t="s">
        <v>0</v>
      </c>
      <c r="X6" s="53" t="s">
        <v>1</v>
      </c>
      <c r="Y6" s="5" t="s">
        <v>0</v>
      </c>
      <c r="Z6" s="4" t="s">
        <v>1</v>
      </c>
      <c r="AA6" s="40"/>
    </row>
    <row r="7" spans="1:27" ht="17.25" x14ac:dyDescent="0.4">
      <c r="A7" s="1" t="s">
        <v>2</v>
      </c>
      <c r="B7" s="6">
        <f>SUM(B8:B19)</f>
        <v>7759.3</v>
      </c>
      <c r="C7" s="9">
        <f>SUM(C8:C19)</f>
        <v>442</v>
      </c>
      <c r="D7" s="10"/>
      <c r="E7" s="6">
        <f>SUM(E8:E19)</f>
        <v>6866</v>
      </c>
      <c r="F7" s="6">
        <f>SUM(F8:F19)</f>
        <v>643</v>
      </c>
      <c r="G7" s="7"/>
      <c r="H7" s="8">
        <f>SUM(H8:H19)</f>
        <v>7127</v>
      </c>
      <c r="I7" s="9">
        <f>SUM(I8:I19)</f>
        <v>923.30000000000007</v>
      </c>
      <c r="J7" s="10"/>
      <c r="K7" s="6">
        <f>SUM(K8:K19)</f>
        <v>7309</v>
      </c>
      <c r="L7" s="6">
        <f>SUM(L8:L19)</f>
        <v>275</v>
      </c>
      <c r="M7" s="7"/>
      <c r="N7" s="54">
        <f>SUM(N8:N19)</f>
        <v>0</v>
      </c>
      <c r="O7" s="55">
        <f>SUM(O8:O19)</f>
        <v>0</v>
      </c>
      <c r="P7" s="10"/>
      <c r="Q7" s="6">
        <f>SUM(Q8:Q19)</f>
        <v>4675</v>
      </c>
      <c r="R7" s="7">
        <f>SUM(R8:R19)</f>
        <v>11</v>
      </c>
      <c r="S7" s="8">
        <f>SUM(S8:S19)</f>
        <v>4612.8999999999996</v>
      </c>
      <c r="T7" s="9">
        <f>SUM(T8:T19)</f>
        <v>261.10000000000002</v>
      </c>
      <c r="U7" s="10">
        <f>SUM(U8:U19)</f>
        <v>0</v>
      </c>
      <c r="V7" s="7">
        <f>SUM(V8:V19)</f>
        <v>0</v>
      </c>
      <c r="W7" s="54">
        <f>SUM(W8:W19)</f>
        <v>0</v>
      </c>
      <c r="X7" s="55">
        <f>SUM(X8:X19)</f>
        <v>1</v>
      </c>
      <c r="Y7" s="10">
        <f>SUM(Y8:Y19)</f>
        <v>0</v>
      </c>
      <c r="Z7" s="6">
        <f>SUM(Z8:Z19)</f>
        <v>2.9</v>
      </c>
      <c r="AA7" s="11" t="s">
        <v>3</v>
      </c>
    </row>
    <row r="8" spans="1:27" ht="15.75" x14ac:dyDescent="0.25">
      <c r="A8" s="56" t="s">
        <v>8</v>
      </c>
      <c r="B8" s="12">
        <v>649</v>
      </c>
      <c r="C8" s="15">
        <v>23</v>
      </c>
      <c r="D8" s="16"/>
      <c r="E8" s="12">
        <v>659</v>
      </c>
      <c r="F8" s="12">
        <v>73</v>
      </c>
      <c r="G8" s="13"/>
      <c r="H8" s="14">
        <v>999</v>
      </c>
      <c r="I8" s="15">
        <v>55</v>
      </c>
      <c r="J8" s="16"/>
      <c r="K8" s="12">
        <v>865</v>
      </c>
      <c r="L8" s="12">
        <v>20</v>
      </c>
      <c r="M8" s="13"/>
      <c r="N8" s="57">
        <v>0</v>
      </c>
      <c r="O8" s="58">
        <v>0</v>
      </c>
      <c r="P8" s="16"/>
      <c r="Q8" s="12">
        <v>501</v>
      </c>
      <c r="R8" s="13">
        <v>0</v>
      </c>
      <c r="S8" s="14">
        <v>340</v>
      </c>
      <c r="T8" s="15">
        <v>14</v>
      </c>
      <c r="U8" s="16">
        <v>0</v>
      </c>
      <c r="V8" s="13">
        <v>0</v>
      </c>
      <c r="W8" s="57">
        <v>0</v>
      </c>
      <c r="X8" s="58">
        <v>0</v>
      </c>
      <c r="Y8" s="59">
        <v>0</v>
      </c>
      <c r="Z8" s="13">
        <v>0</v>
      </c>
      <c r="AA8" s="17" t="s">
        <v>9</v>
      </c>
    </row>
    <row r="9" spans="1:27" ht="15.75" x14ac:dyDescent="0.25">
      <c r="A9" s="56" t="s">
        <v>10</v>
      </c>
      <c r="B9" s="12">
        <v>383</v>
      </c>
      <c r="C9" s="15">
        <v>6</v>
      </c>
      <c r="D9" s="16"/>
      <c r="E9" s="12">
        <v>492</v>
      </c>
      <c r="F9" s="12">
        <v>6</v>
      </c>
      <c r="G9" s="13"/>
      <c r="H9" s="14">
        <v>768</v>
      </c>
      <c r="I9" s="15">
        <v>82</v>
      </c>
      <c r="J9" s="16"/>
      <c r="K9" s="12">
        <v>383</v>
      </c>
      <c r="L9" s="12">
        <v>23</v>
      </c>
      <c r="M9" s="13"/>
      <c r="N9" s="57">
        <v>0</v>
      </c>
      <c r="O9" s="58">
        <v>0</v>
      </c>
      <c r="P9" s="16"/>
      <c r="Q9" s="12">
        <v>344</v>
      </c>
      <c r="R9" s="13">
        <v>0</v>
      </c>
      <c r="S9" s="14">
        <v>236.9</v>
      </c>
      <c r="T9" s="15">
        <v>17</v>
      </c>
      <c r="U9" s="16">
        <v>0</v>
      </c>
      <c r="V9" s="13">
        <v>0</v>
      </c>
      <c r="W9" s="57">
        <v>0</v>
      </c>
      <c r="X9" s="58">
        <v>0</v>
      </c>
      <c r="Y9" s="59">
        <v>0</v>
      </c>
      <c r="Z9" s="13">
        <v>0</v>
      </c>
      <c r="AA9" s="17" t="s">
        <v>11</v>
      </c>
    </row>
    <row r="10" spans="1:27" ht="15.75" x14ac:dyDescent="0.25">
      <c r="A10" s="56" t="s">
        <v>12</v>
      </c>
      <c r="B10" s="12">
        <v>515</v>
      </c>
      <c r="C10" s="15">
        <v>18</v>
      </c>
      <c r="D10" s="16"/>
      <c r="E10" s="12">
        <v>559</v>
      </c>
      <c r="F10" s="12">
        <v>60</v>
      </c>
      <c r="G10" s="13"/>
      <c r="H10" s="14">
        <v>872</v>
      </c>
      <c r="I10" s="15">
        <v>95</v>
      </c>
      <c r="J10" s="16"/>
      <c r="K10" s="12">
        <v>477</v>
      </c>
      <c r="L10" s="12">
        <v>19</v>
      </c>
      <c r="M10" s="13"/>
      <c r="N10" s="57">
        <v>0</v>
      </c>
      <c r="O10" s="58">
        <v>0</v>
      </c>
      <c r="P10" s="16"/>
      <c r="Q10" s="12">
        <v>464</v>
      </c>
      <c r="R10" s="13">
        <v>0</v>
      </c>
      <c r="S10" s="14">
        <v>281</v>
      </c>
      <c r="T10" s="15">
        <v>24.1</v>
      </c>
      <c r="U10" s="16">
        <v>0</v>
      </c>
      <c r="V10" s="13">
        <v>0</v>
      </c>
      <c r="W10" s="57">
        <v>0</v>
      </c>
      <c r="X10" s="58">
        <v>0</v>
      </c>
      <c r="Y10" s="59">
        <v>0</v>
      </c>
      <c r="Z10" s="13">
        <v>0</v>
      </c>
      <c r="AA10" s="17" t="s">
        <v>13</v>
      </c>
    </row>
    <row r="11" spans="1:27" ht="15.75" x14ac:dyDescent="0.25">
      <c r="A11" s="56" t="s">
        <v>14</v>
      </c>
      <c r="B11" s="12">
        <v>790</v>
      </c>
      <c r="C11" s="15">
        <v>78</v>
      </c>
      <c r="D11" s="16"/>
      <c r="E11" s="12">
        <v>927</v>
      </c>
      <c r="F11" s="12">
        <v>41</v>
      </c>
      <c r="G11" s="13"/>
      <c r="H11" s="14">
        <v>1056</v>
      </c>
      <c r="I11" s="15">
        <v>228.3</v>
      </c>
      <c r="J11" s="16"/>
      <c r="K11" s="12">
        <v>776</v>
      </c>
      <c r="L11" s="12">
        <v>34</v>
      </c>
      <c r="M11" s="13"/>
      <c r="N11" s="57">
        <v>0</v>
      </c>
      <c r="O11" s="58">
        <v>0</v>
      </c>
      <c r="P11" s="16"/>
      <c r="Q11" s="12">
        <v>562</v>
      </c>
      <c r="R11" s="13">
        <v>11</v>
      </c>
      <c r="S11" s="14">
        <v>450</v>
      </c>
      <c r="T11" s="15">
        <v>9</v>
      </c>
      <c r="U11" s="16">
        <v>0</v>
      </c>
      <c r="V11" s="13">
        <v>0</v>
      </c>
      <c r="W11" s="57">
        <v>0</v>
      </c>
      <c r="X11" s="58">
        <v>1</v>
      </c>
      <c r="Y11" s="59">
        <v>0</v>
      </c>
      <c r="Z11" s="13">
        <v>0</v>
      </c>
      <c r="AA11" s="17" t="s">
        <v>15</v>
      </c>
    </row>
    <row r="12" spans="1:27" ht="15.75" x14ac:dyDescent="0.25">
      <c r="A12" s="56" t="s">
        <v>16</v>
      </c>
      <c r="B12" s="12">
        <v>992</v>
      </c>
      <c r="C12" s="15">
        <v>38</v>
      </c>
      <c r="D12" s="16"/>
      <c r="E12" s="12">
        <v>718</v>
      </c>
      <c r="F12" s="12">
        <v>3</v>
      </c>
      <c r="G12" s="13"/>
      <c r="H12" s="14">
        <v>775</v>
      </c>
      <c r="I12" s="15">
        <v>153.6</v>
      </c>
      <c r="J12" s="16"/>
      <c r="K12" s="12">
        <v>640</v>
      </c>
      <c r="L12" s="12">
        <v>17</v>
      </c>
      <c r="M12" s="13"/>
      <c r="N12" s="57">
        <v>0</v>
      </c>
      <c r="O12" s="58">
        <v>0</v>
      </c>
      <c r="P12" s="16"/>
      <c r="Q12" s="12">
        <v>347</v>
      </c>
      <c r="R12" s="13">
        <v>0</v>
      </c>
      <c r="S12" s="14">
        <v>348</v>
      </c>
      <c r="T12" s="15">
        <v>5</v>
      </c>
      <c r="U12" s="16">
        <v>0</v>
      </c>
      <c r="V12" s="13">
        <v>0</v>
      </c>
      <c r="W12" s="57">
        <v>0</v>
      </c>
      <c r="X12" s="58">
        <v>0</v>
      </c>
      <c r="Y12" s="59">
        <v>0</v>
      </c>
      <c r="Z12" s="13">
        <v>0</v>
      </c>
      <c r="AA12" s="17" t="s">
        <v>17</v>
      </c>
    </row>
    <row r="13" spans="1:27" ht="15.75" x14ac:dyDescent="0.25">
      <c r="A13" s="56" t="s">
        <v>18</v>
      </c>
      <c r="B13" s="12">
        <v>661.8</v>
      </c>
      <c r="C13" s="15">
        <v>27</v>
      </c>
      <c r="D13" s="16"/>
      <c r="E13" s="12">
        <v>699</v>
      </c>
      <c r="F13" s="12">
        <v>415</v>
      </c>
      <c r="G13" s="13"/>
      <c r="H13" s="14">
        <v>1396</v>
      </c>
      <c r="I13" s="15">
        <v>31</v>
      </c>
      <c r="J13" s="16"/>
      <c r="K13" s="12">
        <v>770</v>
      </c>
      <c r="L13" s="12">
        <v>5</v>
      </c>
      <c r="M13" s="13"/>
      <c r="N13" s="57">
        <v>0</v>
      </c>
      <c r="O13" s="58">
        <v>0</v>
      </c>
      <c r="P13" s="16"/>
      <c r="Q13" s="12">
        <v>421</v>
      </c>
      <c r="R13" s="13">
        <v>0</v>
      </c>
      <c r="S13" s="14">
        <v>363</v>
      </c>
      <c r="T13" s="15">
        <v>5</v>
      </c>
      <c r="U13" s="16">
        <v>0</v>
      </c>
      <c r="V13" s="13">
        <v>0</v>
      </c>
      <c r="W13" s="57">
        <v>0</v>
      </c>
      <c r="X13" s="58">
        <v>0</v>
      </c>
      <c r="Y13" s="59">
        <v>0</v>
      </c>
      <c r="Z13" s="13">
        <v>0</v>
      </c>
      <c r="AA13" s="17" t="s">
        <v>19</v>
      </c>
    </row>
    <row r="14" spans="1:27" ht="15.75" x14ac:dyDescent="0.25">
      <c r="A14" s="56" t="s">
        <v>20</v>
      </c>
      <c r="B14" s="12">
        <v>786.5</v>
      </c>
      <c r="C14" s="15">
        <v>29</v>
      </c>
      <c r="D14" s="16"/>
      <c r="E14" s="12">
        <v>510</v>
      </c>
      <c r="F14" s="12">
        <v>11</v>
      </c>
      <c r="G14" s="13"/>
      <c r="H14" s="14">
        <v>485</v>
      </c>
      <c r="I14" s="15">
        <v>52</v>
      </c>
      <c r="J14" s="16"/>
      <c r="K14" s="12">
        <v>559</v>
      </c>
      <c r="L14" s="12">
        <v>28</v>
      </c>
      <c r="M14" s="13"/>
      <c r="N14" s="57">
        <v>0</v>
      </c>
      <c r="O14" s="58">
        <v>0</v>
      </c>
      <c r="P14" s="16"/>
      <c r="Q14" s="12">
        <v>451</v>
      </c>
      <c r="R14" s="13">
        <v>0</v>
      </c>
      <c r="S14" s="14">
        <v>800</v>
      </c>
      <c r="T14" s="15">
        <v>17</v>
      </c>
      <c r="U14" s="16">
        <v>0</v>
      </c>
      <c r="V14" s="13">
        <v>0</v>
      </c>
      <c r="W14" s="57">
        <v>0</v>
      </c>
      <c r="X14" s="58">
        <v>0</v>
      </c>
      <c r="Y14" s="59">
        <v>0</v>
      </c>
      <c r="Z14" s="13">
        <v>0</v>
      </c>
      <c r="AA14" s="17" t="s">
        <v>21</v>
      </c>
    </row>
    <row r="15" spans="1:27" ht="15.75" x14ac:dyDescent="0.25">
      <c r="A15" s="56" t="s">
        <v>22</v>
      </c>
      <c r="B15" s="12">
        <v>455</v>
      </c>
      <c r="C15" s="15">
        <v>5</v>
      </c>
      <c r="D15" s="16"/>
      <c r="E15" s="12">
        <v>426</v>
      </c>
      <c r="F15" s="12">
        <v>14</v>
      </c>
      <c r="G15" s="13"/>
      <c r="H15" s="14">
        <v>118</v>
      </c>
      <c r="I15" s="15">
        <v>27.7</v>
      </c>
      <c r="J15" s="16"/>
      <c r="K15" s="12">
        <v>466</v>
      </c>
      <c r="L15" s="12">
        <v>15</v>
      </c>
      <c r="M15" s="13"/>
      <c r="N15" s="57">
        <v>0</v>
      </c>
      <c r="O15" s="58">
        <v>0</v>
      </c>
      <c r="P15" s="16"/>
      <c r="Q15" s="12">
        <v>361</v>
      </c>
      <c r="R15" s="13">
        <v>0</v>
      </c>
      <c r="S15" s="14">
        <v>215</v>
      </c>
      <c r="T15" s="15">
        <v>17</v>
      </c>
      <c r="U15" s="16">
        <v>0</v>
      </c>
      <c r="V15" s="13">
        <v>0</v>
      </c>
      <c r="W15" s="57">
        <v>0</v>
      </c>
      <c r="X15" s="58">
        <v>0</v>
      </c>
      <c r="Y15" s="59">
        <v>0</v>
      </c>
      <c r="Z15" s="13">
        <v>0</v>
      </c>
      <c r="AA15" s="17" t="s">
        <v>23</v>
      </c>
    </row>
    <row r="16" spans="1:27" ht="15.75" x14ac:dyDescent="0.25">
      <c r="A16" s="56" t="s">
        <v>24</v>
      </c>
      <c r="B16" s="12">
        <v>406</v>
      </c>
      <c r="C16" s="15">
        <v>26</v>
      </c>
      <c r="D16" s="16"/>
      <c r="E16" s="12">
        <v>0</v>
      </c>
      <c r="F16" s="12">
        <v>0</v>
      </c>
      <c r="G16" s="13"/>
      <c r="H16" s="14">
        <v>69</v>
      </c>
      <c r="I16" s="15">
        <v>19.5</v>
      </c>
      <c r="J16" s="16"/>
      <c r="K16" s="12">
        <v>486</v>
      </c>
      <c r="L16" s="12">
        <v>22</v>
      </c>
      <c r="M16" s="13"/>
      <c r="N16" s="57">
        <v>0</v>
      </c>
      <c r="O16" s="58">
        <v>0</v>
      </c>
      <c r="P16" s="16"/>
      <c r="Q16" s="12">
        <v>539</v>
      </c>
      <c r="R16" s="13">
        <v>0</v>
      </c>
      <c r="S16" s="14">
        <v>390</v>
      </c>
      <c r="T16" s="15">
        <v>55</v>
      </c>
      <c r="U16" s="16">
        <v>0</v>
      </c>
      <c r="V16" s="13">
        <v>0</v>
      </c>
      <c r="W16" s="57">
        <v>0</v>
      </c>
      <c r="X16" s="58">
        <v>0</v>
      </c>
      <c r="Y16" s="59">
        <v>0</v>
      </c>
      <c r="Z16" s="13">
        <v>0</v>
      </c>
      <c r="AA16" s="17" t="s">
        <v>25</v>
      </c>
    </row>
    <row r="17" spans="1:27" ht="15.75" x14ac:dyDescent="0.25">
      <c r="A17" s="56" t="s">
        <v>26</v>
      </c>
      <c r="B17" s="12">
        <v>787</v>
      </c>
      <c r="C17" s="15">
        <v>15</v>
      </c>
      <c r="D17" s="16"/>
      <c r="E17" s="12">
        <v>675</v>
      </c>
      <c r="F17" s="12">
        <v>1</v>
      </c>
      <c r="G17" s="13"/>
      <c r="H17" s="14">
        <v>173</v>
      </c>
      <c r="I17" s="15">
        <v>130</v>
      </c>
      <c r="J17" s="16"/>
      <c r="K17" s="12">
        <v>669</v>
      </c>
      <c r="L17" s="12">
        <v>23</v>
      </c>
      <c r="M17" s="13"/>
      <c r="N17" s="57">
        <v>0</v>
      </c>
      <c r="O17" s="58">
        <v>0</v>
      </c>
      <c r="P17" s="16"/>
      <c r="Q17" s="12">
        <v>412</v>
      </c>
      <c r="R17" s="13">
        <v>0</v>
      </c>
      <c r="S17" s="14">
        <v>367</v>
      </c>
      <c r="T17" s="15">
        <v>12</v>
      </c>
      <c r="U17" s="16">
        <v>0</v>
      </c>
      <c r="V17" s="13">
        <v>0</v>
      </c>
      <c r="W17" s="57">
        <v>0</v>
      </c>
      <c r="X17" s="58">
        <v>0</v>
      </c>
      <c r="Y17" s="59">
        <v>0</v>
      </c>
      <c r="Z17" s="13">
        <v>0</v>
      </c>
      <c r="AA17" s="17" t="s">
        <v>27</v>
      </c>
    </row>
    <row r="18" spans="1:27" ht="15.75" x14ac:dyDescent="0.25">
      <c r="A18" s="56" t="s">
        <v>28</v>
      </c>
      <c r="B18" s="12">
        <v>535</v>
      </c>
      <c r="C18" s="15">
        <v>171</v>
      </c>
      <c r="D18" s="16"/>
      <c r="E18" s="12">
        <v>461</v>
      </c>
      <c r="F18" s="12">
        <v>13</v>
      </c>
      <c r="G18" s="13"/>
      <c r="H18" s="14">
        <v>190</v>
      </c>
      <c r="I18" s="15">
        <v>49.2</v>
      </c>
      <c r="J18" s="16"/>
      <c r="K18" s="12">
        <v>515</v>
      </c>
      <c r="L18" s="12">
        <v>46</v>
      </c>
      <c r="M18" s="13"/>
      <c r="N18" s="57">
        <v>0</v>
      </c>
      <c r="O18" s="58">
        <v>0</v>
      </c>
      <c r="P18" s="16"/>
      <c r="Q18" s="12">
        <v>273</v>
      </c>
      <c r="R18" s="13">
        <v>0</v>
      </c>
      <c r="S18" s="14">
        <v>355</v>
      </c>
      <c r="T18" s="15">
        <v>75</v>
      </c>
      <c r="U18" s="16">
        <v>0</v>
      </c>
      <c r="V18" s="13">
        <v>0</v>
      </c>
      <c r="W18" s="57">
        <v>0</v>
      </c>
      <c r="X18" s="58">
        <v>0</v>
      </c>
      <c r="Y18" s="59">
        <v>0</v>
      </c>
      <c r="Z18" s="13">
        <v>0</v>
      </c>
      <c r="AA18" s="17" t="s">
        <v>29</v>
      </c>
    </row>
    <row r="19" spans="1:27" ht="15.75" x14ac:dyDescent="0.25">
      <c r="A19" s="60" t="s">
        <v>30</v>
      </c>
      <c r="B19" s="18">
        <v>799</v>
      </c>
      <c r="C19" s="21">
        <v>6</v>
      </c>
      <c r="D19" s="22"/>
      <c r="E19" s="18">
        <v>740</v>
      </c>
      <c r="F19" s="18">
        <v>6</v>
      </c>
      <c r="G19" s="19"/>
      <c r="H19" s="20">
        <v>226</v>
      </c>
      <c r="I19" s="21">
        <v>0</v>
      </c>
      <c r="J19" s="22"/>
      <c r="K19" s="18">
        <v>703</v>
      </c>
      <c r="L19" s="18">
        <v>23</v>
      </c>
      <c r="M19" s="19"/>
      <c r="N19" s="61">
        <v>0</v>
      </c>
      <c r="O19" s="62">
        <v>0</v>
      </c>
      <c r="P19" s="22"/>
      <c r="Q19" s="18">
        <v>0</v>
      </c>
      <c r="R19" s="19">
        <v>0</v>
      </c>
      <c r="S19" s="20">
        <v>467</v>
      </c>
      <c r="T19" s="21">
        <v>11</v>
      </c>
      <c r="U19" s="22">
        <v>0</v>
      </c>
      <c r="V19" s="19">
        <v>0</v>
      </c>
      <c r="W19" s="61">
        <v>0</v>
      </c>
      <c r="X19" s="62">
        <v>0</v>
      </c>
      <c r="Y19" s="63">
        <v>0</v>
      </c>
      <c r="Z19" s="19">
        <v>2.9</v>
      </c>
      <c r="AA19" s="23" t="s">
        <v>31</v>
      </c>
    </row>
    <row r="20" spans="1:27" ht="18.75" x14ac:dyDescent="0.25">
      <c r="A20" s="24" t="s">
        <v>41</v>
      </c>
      <c r="B20" s="24"/>
      <c r="C20" s="25"/>
      <c r="D20" s="25"/>
      <c r="E20" s="25"/>
      <c r="F20" s="25"/>
      <c r="G20" s="25"/>
      <c r="H20" s="25"/>
      <c r="I20" s="25"/>
      <c r="J20" s="25"/>
      <c r="K20" s="26"/>
      <c r="L20" s="26"/>
      <c r="M20" s="26"/>
      <c r="N20" s="26"/>
      <c r="O20" s="27"/>
      <c r="P20" s="26"/>
      <c r="Q20" s="26"/>
      <c r="R20" s="27"/>
      <c r="S20" s="27"/>
      <c r="T20" s="27"/>
      <c r="U20" s="27"/>
      <c r="V20" s="27"/>
      <c r="W20" s="27"/>
      <c r="X20" s="27"/>
      <c r="Y20" s="27"/>
      <c r="Z20" s="27"/>
      <c r="AA20" s="2" t="s">
        <v>5</v>
      </c>
    </row>
    <row r="21" spans="1:27" x14ac:dyDescent="0.25">
      <c r="A21" s="24" t="s">
        <v>42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5">
      <c r="A22" s="24" t="s">
        <v>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</sheetData>
  <mergeCells count="15">
    <mergeCell ref="S5:T5"/>
    <mergeCell ref="U5:V5"/>
    <mergeCell ref="W5:X5"/>
    <mergeCell ref="Y5:Z5"/>
    <mergeCell ref="AA5:AA6"/>
    <mergeCell ref="A2:AA2"/>
    <mergeCell ref="A3:AA3"/>
    <mergeCell ref="A4:AA4"/>
    <mergeCell ref="A5:A6"/>
    <mergeCell ref="B5:C5"/>
    <mergeCell ref="E5:F5"/>
    <mergeCell ref="H5:I5"/>
    <mergeCell ref="K5:L5"/>
    <mergeCell ref="N5:O5"/>
    <mergeCell ref="Q5:R5"/>
  </mergeCells>
  <pageMargins left="0.7" right="0.7" top="0.75" bottom="0.75" header="0.3" footer="0.3"/>
  <pageSetup paperSize="9" scale="42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11.25</vt:lpstr>
      <vt:lpstr>'11.25'!Print_Area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2019-05-13T06:52:45Z</cp:lastPrinted>
  <dcterms:created xsi:type="dcterms:W3CDTF">2019-03-24T03:32:16Z</dcterms:created>
  <dcterms:modified xsi:type="dcterms:W3CDTF">2019-05-13T06:54:12Z</dcterms:modified>
</cp:coreProperties>
</file>