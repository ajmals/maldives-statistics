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22 " sheetId="8" r:id="rId1"/>
  </sheets>
  <definedNames>
    <definedName name="_xlnm.Print_Area" localSheetId="0">'11.22 '!$A$1:$J$20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8" l="1"/>
  <c r="B17" i="8"/>
  <c r="B16" i="8"/>
  <c r="B15" i="8"/>
  <c r="B14" i="8"/>
  <c r="B13" i="8"/>
  <c r="B12" i="8"/>
  <c r="B11" i="8"/>
  <c r="B10" i="8"/>
  <c r="B9" i="8"/>
  <c r="B8" i="8"/>
  <c r="B7" i="8"/>
  <c r="H6" i="8"/>
  <c r="G6" i="8"/>
  <c r="F6" i="8"/>
  <c r="E6" i="8"/>
  <c r="D6" i="8"/>
  <c r="C6" i="8"/>
  <c r="B6" i="8" l="1"/>
</calcChain>
</file>

<file path=xl/sharedStrings.xml><?xml version="1.0" encoding="utf-8"?>
<sst xmlns="http://schemas.openxmlformats.org/spreadsheetml/2006/main" count="44" uniqueCount="41">
  <si>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</si>
  <si>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</si>
  <si>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</si>
  <si>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</si>
  <si>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</si>
  <si>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</si>
  <si>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</si>
  <si>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</si>
  <si>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</si>
  <si>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</si>
  <si>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</si>
  <si>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</si>
  <si>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</si>
  <si>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</si>
  <si>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</si>
  <si>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</si>
  <si>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</si>
  <si>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</si>
  <si>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</si>
  <si>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</si>
  <si>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</si>
  <si>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</si>
  <si>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</si>
  <si>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</si>
  <si>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</si>
  <si>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</si>
  <si>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</si>
  <si>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</si>
  <si>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</si>
  <si>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</si>
  <si>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</si>
  <si>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</si>
  <si>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Direct Transit</t>
  </si>
  <si>
    <t>(in Kg)</t>
  </si>
  <si>
    <t>Inward</t>
  </si>
  <si>
    <t>Outward</t>
  </si>
  <si>
    <t>ތާވަލު 11.22: މަސްމަހުގެ ގޮތުން ގަން އިންޓަރނޭޝަނަލް އެއަރޕޯޓުން އުފުލުނު މުދާ، 2018</t>
  </si>
  <si>
    <t>Table 11.22 :  CARGO HANDLED AT GAN INTERNATIONAL AIRPORT BY MONTH, 2018</t>
  </si>
  <si>
    <t xml:space="preserve"> Total </t>
  </si>
  <si>
    <t>Note: Gan international flights do not have the permit to handle Cargo &amp; Mail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</si>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</sst>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A_Randhoo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sz val="10"/>
      <name val="Garamond"/>
      <family val="1"/>
    </font>
    <font>
      <sz val="9"/>
      <name val="Faruma"/>
    </font>
    <font>
      <b/>
      <sz val="11"/>
      <name val="Faruma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2">
    <xf numFmtId="0" fontId="0" fillId="0" borderId="0"/>
    <xf numFmtId="164" fontId="2" fillId="0" borderId="0"/>
    <xf numFmtId="40" fontId="8" fillId="0" borderId="0" applyFont="0" applyFill="0" applyBorder="0" applyAlignment="0" applyProtection="0"/>
    <xf numFmtId="0" fontId="3" fillId="0" borderId="0"/>
    <xf numFmtId="0" fontId="1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50">
    <xf numFmtId="0" fontId="0" fillId="0" borderId="0" xfId="0"/>
    <xf numFmtId="164" fontId="4" fillId="2" borderId="0" xfId="1" applyNumberFormat="1" applyFont="1" applyFill="1" applyBorder="1" applyAlignment="1" applyProtection="1">
      <alignment horizontal="left" vertical="center"/>
    </xf>
    <xf numFmtId="164" fontId="6" fillId="2" borderId="0" xfId="0" applyNumberFormat="1" applyFont="1" applyFill="1"/>
    <xf numFmtId="164" fontId="10" fillId="2" borderId="0" xfId="1" applyNumberFormat="1" applyFont="1" applyFill="1" applyAlignment="1" applyProtection="1">
      <alignment horizontal="left" vertical="center"/>
    </xf>
    <xf numFmtId="37" fontId="11" fillId="2" borderId="0" xfId="1" applyNumberFormat="1" applyFont="1" applyFill="1" applyAlignment="1" applyProtection="1">
      <alignment vertical="center"/>
    </xf>
    <xf numFmtId="0" fontId="12" fillId="2" borderId="0" xfId="3" applyFont="1" applyFill="1" applyAlignment="1">
      <alignment vertical="center"/>
    </xf>
    <xf numFmtId="164" fontId="13" fillId="2" borderId="0" xfId="0" applyNumberFormat="1" applyFont="1" applyFill="1"/>
    <xf numFmtId="164" fontId="13" fillId="2" borderId="0" xfId="0" applyNumberFormat="1" applyFont="1" applyFill="1" applyBorder="1"/>
    <xf numFmtId="164" fontId="4" fillId="2" borderId="0" xfId="1" applyNumberFormat="1" applyFont="1" applyFill="1" applyBorder="1" applyAlignment="1" applyProtection="1">
      <alignment horizontal="right" vertical="center"/>
    </xf>
    <xf numFmtId="0" fontId="5" fillId="2" borderId="0" xfId="4" applyFont="1" applyFill="1" applyBorder="1" applyAlignment="1">
      <alignment horizontal="right"/>
    </xf>
    <xf numFmtId="164" fontId="11" fillId="2" borderId="0" xfId="1" applyNumberFormat="1" applyFont="1" applyFill="1" applyBorder="1" applyAlignment="1" applyProtection="1">
      <alignment horizontal="left" vertical="center"/>
    </xf>
    <xf numFmtId="0" fontId="9" fillId="2" borderId="0" xfId="4" applyFont="1" applyFill="1" applyBorder="1" applyAlignment="1">
      <alignment horizontal="right"/>
    </xf>
    <xf numFmtId="164" fontId="11" fillId="2" borderId="1" xfId="1" applyNumberFormat="1" applyFont="1" applyFill="1" applyBorder="1" applyAlignment="1" applyProtection="1">
      <alignment horizontal="left" vertical="center"/>
    </xf>
    <xf numFmtId="0" fontId="9" fillId="2" borderId="1" xfId="4" applyFont="1" applyFill="1" applyBorder="1" applyAlignment="1">
      <alignment horizontal="right"/>
    </xf>
    <xf numFmtId="164" fontId="12" fillId="2" borderId="0" xfId="1" applyNumberFormat="1" applyFont="1" applyFill="1" applyBorder="1" applyAlignment="1"/>
    <xf numFmtId="164" fontId="4" fillId="2" borderId="0" xfId="1" applyNumberFormat="1" applyFont="1" applyFill="1" applyBorder="1" applyAlignment="1" applyProtection="1">
      <alignment horizontal="right" vertical="center" wrapText="1"/>
    </xf>
    <xf numFmtId="0" fontId="15" fillId="2" borderId="3" xfId="0" applyNumberFormat="1" applyFont="1" applyFill="1" applyBorder="1" applyAlignment="1">
      <alignment horizontal="right" vertical="center"/>
    </xf>
    <xf numFmtId="164" fontId="10" fillId="2" borderId="0" xfId="1" applyNumberFormat="1" applyFont="1" applyFill="1" applyAlignment="1">
      <alignment vertical="center"/>
    </xf>
    <xf numFmtId="164" fontId="11" fillId="2" borderId="0" xfId="1" applyNumberFormat="1" applyFont="1" applyFill="1" applyAlignment="1">
      <alignment vertical="center"/>
    </xf>
    <xf numFmtId="164" fontId="11" fillId="2" borderId="0" xfId="1" applyNumberFormat="1" applyFont="1" applyFill="1" applyBorder="1" applyAlignment="1">
      <alignment vertical="center"/>
    </xf>
    <xf numFmtId="164" fontId="7" fillId="2" borderId="0" xfId="1" applyNumberFormat="1" applyFont="1" applyFill="1" applyBorder="1" applyAlignment="1" applyProtection="1">
      <alignment vertical="center"/>
    </xf>
    <xf numFmtId="164" fontId="4" fillId="2" borderId="8" xfId="1" applyNumberFormat="1" applyFont="1" applyFill="1" applyBorder="1" applyAlignment="1" applyProtection="1">
      <alignment horizontal="right" vertical="center" wrapText="1"/>
    </xf>
    <xf numFmtId="38" fontId="4" fillId="2" borderId="16" xfId="2" applyNumberFormat="1" applyFont="1" applyFill="1" applyBorder="1" applyAlignment="1" applyProtection="1">
      <alignment horizontal="right" vertical="center" wrapText="1"/>
    </xf>
    <xf numFmtId="38" fontId="4" fillId="2" borderId="16" xfId="2" applyNumberFormat="1" applyFont="1" applyFill="1" applyBorder="1" applyAlignment="1" applyProtection="1">
      <alignment horizontal="right" vertical="center"/>
    </xf>
    <xf numFmtId="38" fontId="4" fillId="2" borderId="10" xfId="2" applyNumberFormat="1" applyFont="1" applyFill="1" applyBorder="1" applyAlignment="1" applyProtection="1">
      <alignment horizontal="right" vertical="center"/>
    </xf>
    <xf numFmtId="38" fontId="4" fillId="2" borderId="9" xfId="2" applyNumberFormat="1" applyFont="1" applyFill="1" applyBorder="1" applyAlignment="1" applyProtection="1">
      <alignment horizontal="right" vertical="center"/>
    </xf>
    <xf numFmtId="38" fontId="4" fillId="2" borderId="2" xfId="2" applyNumberFormat="1" applyFont="1" applyFill="1" applyBorder="1" applyAlignment="1" applyProtection="1">
      <alignment horizontal="right" vertical="center" wrapText="1"/>
    </xf>
    <xf numFmtId="38" fontId="11" fillId="2" borderId="2" xfId="1" applyNumberFormat="1" applyFont="1" applyFill="1" applyBorder="1" applyAlignment="1" applyProtection="1">
      <alignment horizontal="right" vertical="center"/>
      <protection locked="0"/>
    </xf>
    <xf numFmtId="38" fontId="11" fillId="2" borderId="12" xfId="1" applyNumberFormat="1" applyFont="1" applyFill="1" applyBorder="1" applyAlignment="1" applyProtection="1">
      <alignment horizontal="right" vertical="center"/>
      <protection locked="0"/>
    </xf>
    <xf numFmtId="38" fontId="11" fillId="2" borderId="11" xfId="1" applyNumberFormat="1" applyFont="1" applyFill="1" applyBorder="1" applyAlignment="1" applyProtection="1">
      <alignment horizontal="right" vertical="center"/>
      <protection locked="0"/>
    </xf>
    <xf numFmtId="38" fontId="4" fillId="2" borderId="4" xfId="2" applyNumberFormat="1" applyFont="1" applyFill="1" applyBorder="1" applyAlignment="1" applyProtection="1">
      <alignment horizontal="right" vertical="center" wrapText="1"/>
    </xf>
    <xf numFmtId="38" fontId="11" fillId="2" borderId="4" xfId="1" applyNumberFormat="1" applyFont="1" applyFill="1" applyBorder="1" applyAlignment="1" applyProtection="1">
      <alignment horizontal="right" vertical="center"/>
    </xf>
    <xf numFmtId="38" fontId="11" fillId="2" borderId="14" xfId="1" applyNumberFormat="1" applyFont="1" applyFill="1" applyBorder="1" applyAlignment="1" applyProtection="1">
      <alignment horizontal="right" vertical="center"/>
    </xf>
    <xf numFmtId="38" fontId="11" fillId="2" borderId="13" xfId="1" applyNumberFormat="1" applyFont="1" applyFill="1" applyBorder="1" applyAlignment="1" applyProtection="1">
      <alignment horizontal="right" vertical="center"/>
    </xf>
    <xf numFmtId="164" fontId="10" fillId="2" borderId="0" xfId="1" applyNumberFormat="1" applyFont="1" applyFill="1" applyBorder="1" applyAlignment="1">
      <alignment vertical="center"/>
    </xf>
    <xf numFmtId="164" fontId="15" fillId="2" borderId="0" xfId="0" applyNumberFormat="1" applyFont="1" applyFill="1" applyAlignment="1">
      <alignment vertical="center"/>
    </xf>
    <xf numFmtId="164" fontId="11" fillId="2" borderId="0" xfId="0" applyNumberFormat="1" applyFont="1" applyFill="1" applyAlignment="1">
      <alignment vertical="center"/>
    </xf>
    <xf numFmtId="164" fontId="4" fillId="2" borderId="0" xfId="1" applyNumberFormat="1" applyFont="1" applyFill="1" applyBorder="1" applyAlignment="1" applyProtection="1">
      <alignment vertical="center"/>
    </xf>
    <xf numFmtId="164" fontId="16" fillId="2" borderId="0" xfId="0" applyNumberFormat="1" applyFont="1" applyFill="1" applyAlignment="1">
      <alignment horizont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5" fillId="2" borderId="5" xfId="4" applyFont="1" applyFill="1" applyBorder="1" applyAlignment="1">
      <alignment horizontal="right" vertical="center"/>
    </xf>
    <xf numFmtId="0" fontId="5" fillId="2" borderId="1" xfId="4" applyFont="1" applyFill="1" applyBorder="1" applyAlignment="1">
      <alignment horizontal="right" vertical="center"/>
    </xf>
    <xf numFmtId="164" fontId="7" fillId="2" borderId="0" xfId="1" applyNumberFormat="1" applyFont="1" applyFill="1" applyBorder="1" applyAlignment="1" applyProtection="1">
      <alignment horizontal="center" vertical="center"/>
    </xf>
    <xf numFmtId="164" fontId="7" fillId="2" borderId="5" xfId="1" applyNumberFormat="1" applyFont="1" applyFill="1" applyBorder="1" applyAlignment="1" applyProtection="1">
      <alignment horizontal="left" vertical="center"/>
    </xf>
    <xf numFmtId="164" fontId="7" fillId="2" borderId="1" xfId="1" applyNumberFormat="1" applyFont="1" applyFill="1" applyBorder="1" applyAlignment="1" applyProtection="1">
      <alignment horizontal="left" vertical="center"/>
    </xf>
    <xf numFmtId="164" fontId="7" fillId="2" borderId="5" xfId="1" applyNumberFormat="1" applyFont="1" applyFill="1" applyBorder="1" applyAlignment="1" applyProtection="1">
      <alignment horizontal="right" vertical="center"/>
    </xf>
    <xf numFmtId="164" fontId="7" fillId="2" borderId="0" xfId="1" applyNumberFormat="1" applyFont="1" applyFill="1" applyBorder="1" applyAlignment="1" applyProtection="1">
      <alignment horizontal="right" vertical="center"/>
    </xf>
    <xf numFmtId="164" fontId="4" fillId="2" borderId="6" xfId="1" applyNumberFormat="1" applyFont="1" applyFill="1" applyBorder="1" applyAlignment="1" applyProtection="1">
      <alignment horizontal="center" vertical="center"/>
    </xf>
    <xf numFmtId="164" fontId="4" fillId="2" borderId="7" xfId="1" applyNumberFormat="1" applyFont="1" applyFill="1" applyBorder="1" applyAlignment="1" applyProtection="1">
      <alignment horizontal="center" vertical="center"/>
    </xf>
    <xf numFmtId="164" fontId="4" fillId="2" borderId="15" xfId="1" applyNumberFormat="1" applyFont="1" applyFill="1" applyBorder="1" applyAlignment="1" applyProtection="1">
      <alignment horizontal="center" vertical="center"/>
    </xf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3"/>
    <cellStyle name="Normal_X-5 (Electricity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55"/>
  <sheetViews>
    <sheetView tabSelected="1" zoomScaleNormal="100" workbookViewId="0">
      <selection activeCell="P42" sqref="P42"/>
    </sheetView>
  </sheetViews>
  <sheetFormatPr defaultColWidth="9.140625" defaultRowHeight="15" x14ac:dyDescent="0.25"/>
  <cols>
    <col min="1" max="1" width="12.140625" style="6" customWidth="1"/>
    <col min="2" max="9" width="14.5703125" style="6" customWidth="1"/>
    <col min="10" max="10" width="4.28515625" style="6" customWidth="1"/>
    <col min="11" max="11" width="9.140625" style="6"/>
    <col min="12" max="12" width="8.85546875" style="6" customWidth="1"/>
    <col min="13" max="16384" width="9.140625" style="6"/>
  </cols>
  <sheetData>
    <row r="1" spans="1:13" ht="21" x14ac:dyDescent="0.55000000000000004">
      <c r="A1" s="38" t="s">
        <v>36</v>
      </c>
      <c r="B1" s="38"/>
      <c r="C1" s="38"/>
      <c r="D1" s="38"/>
      <c r="E1" s="38"/>
      <c r="F1" s="38"/>
      <c r="G1" s="38"/>
      <c r="H1" s="38"/>
      <c r="I1" s="38"/>
    </row>
    <row r="2" spans="1:13" x14ac:dyDescent="0.25">
      <c r="A2" s="42" t="s">
        <v>37</v>
      </c>
      <c r="B2" s="42"/>
      <c r="C2" s="42"/>
      <c r="D2" s="42"/>
      <c r="E2" s="42"/>
      <c r="F2" s="42"/>
      <c r="G2" s="42"/>
      <c r="H2" s="42"/>
      <c r="I2" s="42"/>
      <c r="J2" s="20"/>
      <c r="K2" s="20"/>
      <c r="L2" s="20"/>
      <c r="M2" s="7"/>
    </row>
    <row r="3" spans="1:13" x14ac:dyDescent="0.25">
      <c r="A3" s="39" t="s">
        <v>33</v>
      </c>
      <c r="B3" s="39"/>
      <c r="C3" s="39"/>
      <c r="D3" s="39"/>
      <c r="E3" s="39"/>
      <c r="F3" s="39"/>
      <c r="G3" s="39"/>
      <c r="H3" s="39"/>
      <c r="I3" s="39"/>
      <c r="J3" s="20"/>
      <c r="K3" s="20"/>
      <c r="L3" s="20"/>
      <c r="M3" s="7"/>
    </row>
    <row r="4" spans="1:13" x14ac:dyDescent="0.25">
      <c r="A4" s="43" t="s">
        <v>5</v>
      </c>
      <c r="B4" s="45" t="s">
        <v>38</v>
      </c>
      <c r="C4" s="47" t="s">
        <v>6</v>
      </c>
      <c r="D4" s="47"/>
      <c r="E4" s="48"/>
      <c r="F4" s="49" t="s">
        <v>2</v>
      </c>
      <c r="G4" s="47"/>
      <c r="H4" s="47"/>
      <c r="I4" s="40" t="s">
        <v>7</v>
      </c>
      <c r="J4" s="20"/>
      <c r="K4" s="20"/>
      <c r="L4" s="20"/>
      <c r="M4" s="7"/>
    </row>
    <row r="5" spans="1:13" x14ac:dyDescent="0.25">
      <c r="A5" s="44"/>
      <c r="B5" s="46"/>
      <c r="C5" s="8" t="s">
        <v>34</v>
      </c>
      <c r="D5" s="8" t="s">
        <v>35</v>
      </c>
      <c r="E5" s="21" t="s">
        <v>32</v>
      </c>
      <c r="F5" s="8" t="s">
        <v>34</v>
      </c>
      <c r="G5" s="8" t="s">
        <v>35</v>
      </c>
      <c r="H5" s="15" t="s">
        <v>32</v>
      </c>
      <c r="I5" s="41"/>
      <c r="J5" s="20"/>
      <c r="K5" s="20"/>
      <c r="L5" s="20"/>
      <c r="M5" s="7"/>
    </row>
    <row r="6" spans="1:13" ht="17.25" x14ac:dyDescent="0.4">
      <c r="A6" s="1" t="s">
        <v>0</v>
      </c>
      <c r="B6" s="22">
        <f>SUM(C6:H6)</f>
        <v>609793.9</v>
      </c>
      <c r="C6" s="23">
        <f t="shared" ref="C6:H6" si="0">SUM(C7:C18)</f>
        <v>252452.2</v>
      </c>
      <c r="D6" s="23">
        <f t="shared" si="0"/>
        <v>26790.3</v>
      </c>
      <c r="E6" s="24">
        <f t="shared" si="0"/>
        <v>11382</v>
      </c>
      <c r="F6" s="25">
        <f t="shared" si="0"/>
        <v>315264</v>
      </c>
      <c r="G6" s="23">
        <f t="shared" si="0"/>
        <v>3905.4</v>
      </c>
      <c r="H6" s="23">
        <f t="shared" si="0"/>
        <v>0</v>
      </c>
      <c r="I6" s="9" t="s">
        <v>1</v>
      </c>
      <c r="J6" s="20"/>
      <c r="K6" s="2"/>
      <c r="L6" s="20"/>
      <c r="M6" s="7"/>
    </row>
    <row r="7" spans="1:13" ht="17.25" x14ac:dyDescent="0.4">
      <c r="A7" s="10" t="s">
        <v>8</v>
      </c>
      <c r="B7" s="26">
        <f t="shared" ref="B7:B18" si="1">SUM(C7:E7)</f>
        <v>28766.3</v>
      </c>
      <c r="C7" s="27">
        <v>25829.1</v>
      </c>
      <c r="D7" s="27">
        <v>1435.2</v>
      </c>
      <c r="E7" s="28">
        <v>1502</v>
      </c>
      <c r="F7" s="29">
        <v>25790</v>
      </c>
      <c r="G7" s="27">
        <v>880</v>
      </c>
      <c r="H7" s="27">
        <v>0</v>
      </c>
      <c r="I7" s="11" t="s">
        <v>9</v>
      </c>
      <c r="J7" s="20"/>
      <c r="K7" s="20"/>
      <c r="L7" s="20"/>
      <c r="M7" s="7"/>
    </row>
    <row r="8" spans="1:13" ht="17.25" x14ac:dyDescent="0.4">
      <c r="A8" s="10" t="s">
        <v>10</v>
      </c>
      <c r="B8" s="26">
        <f t="shared" si="1"/>
        <v>26625.5</v>
      </c>
      <c r="C8" s="27">
        <v>24035</v>
      </c>
      <c r="D8" s="27">
        <v>1981.5</v>
      </c>
      <c r="E8" s="28">
        <v>609</v>
      </c>
      <c r="F8" s="29">
        <v>25261</v>
      </c>
      <c r="G8" s="27">
        <v>560</v>
      </c>
      <c r="H8" s="27">
        <v>0</v>
      </c>
      <c r="I8" s="11" t="s">
        <v>11</v>
      </c>
      <c r="J8" s="20"/>
      <c r="K8" s="20"/>
      <c r="L8" s="20"/>
      <c r="M8" s="7"/>
    </row>
    <row r="9" spans="1:13" ht="17.25" x14ac:dyDescent="0.4">
      <c r="A9" s="10" t="s">
        <v>12</v>
      </c>
      <c r="B9" s="26">
        <f t="shared" si="1"/>
        <v>22235.9</v>
      </c>
      <c r="C9" s="27">
        <v>20488</v>
      </c>
      <c r="D9" s="27">
        <v>873.9</v>
      </c>
      <c r="E9" s="28">
        <v>874</v>
      </c>
      <c r="F9" s="29">
        <v>27655</v>
      </c>
      <c r="G9" s="27">
        <v>126</v>
      </c>
      <c r="H9" s="27">
        <v>0</v>
      </c>
      <c r="I9" s="11" t="s">
        <v>13</v>
      </c>
      <c r="J9" s="20"/>
      <c r="K9" s="20"/>
      <c r="L9" s="20"/>
      <c r="M9" s="7"/>
    </row>
    <row r="10" spans="1:13" ht="17.25" x14ac:dyDescent="0.4">
      <c r="A10" s="10" t="s">
        <v>14</v>
      </c>
      <c r="B10" s="26">
        <f t="shared" si="1"/>
        <v>23675.4</v>
      </c>
      <c r="C10" s="27">
        <v>21035</v>
      </c>
      <c r="D10" s="27">
        <v>1810.4</v>
      </c>
      <c r="E10" s="28">
        <v>830</v>
      </c>
      <c r="F10" s="29">
        <v>21167</v>
      </c>
      <c r="G10" s="27">
        <v>444</v>
      </c>
      <c r="H10" s="27">
        <v>0</v>
      </c>
      <c r="I10" s="11" t="s">
        <v>15</v>
      </c>
      <c r="J10" s="20"/>
      <c r="K10" s="20"/>
      <c r="L10" s="20"/>
      <c r="M10" s="7"/>
    </row>
    <row r="11" spans="1:13" ht="17.25" x14ac:dyDescent="0.4">
      <c r="A11" s="10" t="s">
        <v>16</v>
      </c>
      <c r="B11" s="26">
        <f t="shared" si="1"/>
        <v>31137.1</v>
      </c>
      <c r="C11" s="27">
        <v>28234.5</v>
      </c>
      <c r="D11" s="27">
        <v>1831.6</v>
      </c>
      <c r="E11" s="28">
        <v>1071</v>
      </c>
      <c r="F11" s="29">
        <v>35289</v>
      </c>
      <c r="G11" s="27">
        <v>642</v>
      </c>
      <c r="H11" s="27">
        <v>0</v>
      </c>
      <c r="I11" s="11" t="s">
        <v>17</v>
      </c>
      <c r="J11" s="20"/>
      <c r="K11" s="20"/>
      <c r="L11" s="20"/>
      <c r="M11" s="7"/>
    </row>
    <row r="12" spans="1:13" ht="17.25" x14ac:dyDescent="0.4">
      <c r="A12" s="10" t="s">
        <v>18</v>
      </c>
      <c r="B12" s="26">
        <f t="shared" si="1"/>
        <v>25045.300000000003</v>
      </c>
      <c r="C12" s="27">
        <v>22344.400000000001</v>
      </c>
      <c r="D12" s="27">
        <v>1789.9</v>
      </c>
      <c r="E12" s="28">
        <v>911</v>
      </c>
      <c r="F12" s="29">
        <v>26105</v>
      </c>
      <c r="G12" s="27">
        <v>284</v>
      </c>
      <c r="H12" s="27">
        <v>0</v>
      </c>
      <c r="I12" s="11" t="s">
        <v>19</v>
      </c>
      <c r="J12" s="20"/>
      <c r="K12" s="20"/>
      <c r="L12" s="20"/>
      <c r="M12" s="7"/>
    </row>
    <row r="13" spans="1:13" ht="17.25" x14ac:dyDescent="0.4">
      <c r="A13" s="10" t="s">
        <v>20</v>
      </c>
      <c r="B13" s="26">
        <f t="shared" si="1"/>
        <v>19538.400000000001</v>
      </c>
      <c r="C13" s="27">
        <v>16626</v>
      </c>
      <c r="D13" s="27">
        <v>2314.4</v>
      </c>
      <c r="E13" s="28">
        <v>598</v>
      </c>
      <c r="F13" s="29">
        <v>24265</v>
      </c>
      <c r="G13" s="27">
        <v>249</v>
      </c>
      <c r="H13" s="27">
        <v>0</v>
      </c>
      <c r="I13" s="11" t="s">
        <v>21</v>
      </c>
      <c r="J13" s="20"/>
      <c r="K13" s="20"/>
      <c r="L13" s="20"/>
      <c r="M13" s="7"/>
    </row>
    <row r="14" spans="1:13" ht="17.25" x14ac:dyDescent="0.4">
      <c r="A14" s="10" t="s">
        <v>22</v>
      </c>
      <c r="B14" s="26">
        <f t="shared" si="1"/>
        <v>21090.100000000002</v>
      </c>
      <c r="C14" s="27">
        <v>18782.900000000001</v>
      </c>
      <c r="D14" s="27">
        <v>1302.2</v>
      </c>
      <c r="E14" s="28">
        <v>1005</v>
      </c>
      <c r="F14" s="29">
        <v>30345</v>
      </c>
      <c r="G14" s="27">
        <v>312</v>
      </c>
      <c r="H14" s="27">
        <v>0</v>
      </c>
      <c r="I14" s="11" t="s">
        <v>23</v>
      </c>
      <c r="J14" s="20"/>
      <c r="K14" s="20"/>
      <c r="L14" s="20"/>
      <c r="M14" s="7"/>
    </row>
    <row r="15" spans="1:13" ht="17.25" x14ac:dyDescent="0.4">
      <c r="A15" s="10" t="s">
        <v>24</v>
      </c>
      <c r="B15" s="26">
        <f t="shared" si="1"/>
        <v>29019.300000000003</v>
      </c>
      <c r="C15" s="27">
        <v>18541.7</v>
      </c>
      <c r="D15" s="27">
        <v>9232.6</v>
      </c>
      <c r="E15" s="28">
        <v>1245</v>
      </c>
      <c r="F15" s="29">
        <v>20925</v>
      </c>
      <c r="G15" s="27">
        <v>54.4</v>
      </c>
      <c r="H15" s="27">
        <v>0</v>
      </c>
      <c r="I15" s="11" t="s">
        <v>25</v>
      </c>
      <c r="K15" s="20"/>
      <c r="L15" s="20"/>
      <c r="M15" s="7"/>
    </row>
    <row r="16" spans="1:13" ht="17.25" x14ac:dyDescent="0.4">
      <c r="A16" s="10" t="s">
        <v>26</v>
      </c>
      <c r="B16" s="26">
        <f t="shared" si="1"/>
        <v>19260.199999999997</v>
      </c>
      <c r="C16" s="27">
        <v>17300.599999999999</v>
      </c>
      <c r="D16" s="27">
        <v>1245.5999999999999</v>
      </c>
      <c r="E16" s="28">
        <v>714</v>
      </c>
      <c r="F16" s="29">
        <v>25069</v>
      </c>
      <c r="G16" s="27">
        <v>0</v>
      </c>
      <c r="H16" s="27">
        <v>0</v>
      </c>
      <c r="I16" s="11" t="s">
        <v>27</v>
      </c>
      <c r="K16" s="20"/>
      <c r="L16" s="20"/>
      <c r="M16" s="7"/>
    </row>
    <row r="17" spans="1:16" ht="17.25" x14ac:dyDescent="0.4">
      <c r="A17" s="10" t="s">
        <v>28</v>
      </c>
      <c r="B17" s="26">
        <f t="shared" si="1"/>
        <v>22686.6</v>
      </c>
      <c r="C17" s="27">
        <v>20003.5</v>
      </c>
      <c r="D17" s="27">
        <v>1532.1</v>
      </c>
      <c r="E17" s="28">
        <v>1151</v>
      </c>
      <c r="F17" s="29">
        <v>23240</v>
      </c>
      <c r="G17" s="27">
        <v>191</v>
      </c>
      <c r="H17" s="27">
        <v>0</v>
      </c>
      <c r="I17" s="11" t="s">
        <v>29</v>
      </c>
      <c r="K17" s="20"/>
      <c r="L17" s="20"/>
      <c r="M17" s="7"/>
    </row>
    <row r="18" spans="1:16" ht="17.25" x14ac:dyDescent="0.4">
      <c r="A18" s="12" t="s">
        <v>30</v>
      </c>
      <c r="B18" s="30">
        <f t="shared" si="1"/>
        <v>21544.400000000001</v>
      </c>
      <c r="C18" s="31">
        <v>19231.5</v>
      </c>
      <c r="D18" s="31">
        <v>1440.9</v>
      </c>
      <c r="E18" s="32">
        <v>872</v>
      </c>
      <c r="F18" s="33">
        <v>30153</v>
      </c>
      <c r="G18" s="31">
        <v>163</v>
      </c>
      <c r="H18" s="31">
        <v>0</v>
      </c>
      <c r="I18" s="13" t="s">
        <v>31</v>
      </c>
      <c r="K18" s="20"/>
      <c r="L18" s="20"/>
      <c r="M18" s="7"/>
    </row>
    <row r="19" spans="1:16" ht="12.75" customHeight="1" x14ac:dyDescent="0.4">
      <c r="A19" s="34" t="s">
        <v>39</v>
      </c>
      <c r="B19" s="3"/>
      <c r="C19" s="4"/>
      <c r="D19" s="4"/>
      <c r="E19" s="4"/>
      <c r="F19" s="4"/>
      <c r="G19" s="4"/>
      <c r="H19" s="4"/>
      <c r="I19" s="35" t="s">
        <v>40</v>
      </c>
      <c r="J19" s="4"/>
      <c r="K19" s="20"/>
      <c r="L19" s="20"/>
      <c r="M19" s="5"/>
      <c r="O19" s="14"/>
      <c r="P19" s="5"/>
    </row>
    <row r="20" spans="1:16" ht="12.75" customHeight="1" x14ac:dyDescent="0.25">
      <c r="A20" s="3" t="s">
        <v>3</v>
      </c>
      <c r="B20" s="17"/>
      <c r="C20" s="17"/>
      <c r="D20" s="18"/>
      <c r="E20" s="19"/>
      <c r="F20" s="19"/>
      <c r="G20" s="19"/>
      <c r="H20" s="19"/>
      <c r="I20" s="16" t="s">
        <v>4</v>
      </c>
      <c r="J20" s="18"/>
      <c r="K20" s="20"/>
      <c r="L20" s="20"/>
      <c r="M20" s="7"/>
    </row>
    <row r="21" spans="1:16" s="36" customFormat="1" ht="15" customHeight="1" x14ac:dyDescent="0.25">
      <c r="K21" s="20"/>
      <c r="L21" s="37"/>
    </row>
    <row r="22" spans="1:16" s="36" customFormat="1" ht="12.75" x14ac:dyDescent="0.25">
      <c r="K22" s="20"/>
    </row>
    <row r="23" spans="1:16" x14ac:dyDescent="0.25">
      <c r="K23" s="20"/>
    </row>
    <row r="24" spans="1:16" x14ac:dyDescent="0.25">
      <c r="K24" s="20"/>
    </row>
    <row r="25" spans="1:16" x14ac:dyDescent="0.25">
      <c r="K25" s="20"/>
    </row>
    <row r="26" spans="1:16" x14ac:dyDescent="0.25">
      <c r="K26" s="20"/>
    </row>
    <row r="27" spans="1:16" x14ac:dyDescent="0.25">
      <c r="K27" s="20"/>
    </row>
    <row r="28" spans="1:16" x14ac:dyDescent="0.25">
      <c r="K28" s="20"/>
    </row>
    <row r="29" spans="1:16" x14ac:dyDescent="0.25">
      <c r="K29" s="20"/>
    </row>
    <row r="30" spans="1:16" x14ac:dyDescent="0.25">
      <c r="K30" s="20"/>
    </row>
    <row r="31" spans="1:16" x14ac:dyDescent="0.25">
      <c r="K31" s="20"/>
    </row>
    <row r="32" spans="1:16" x14ac:dyDescent="0.25">
      <c r="K32" s="20"/>
    </row>
    <row r="33" spans="11:11" x14ac:dyDescent="0.25">
      <c r="K33" s="20"/>
    </row>
    <row r="34" spans="11:11" x14ac:dyDescent="0.25">
      <c r="K34" s="20"/>
    </row>
    <row r="35" spans="11:11" x14ac:dyDescent="0.25">
      <c r="K35" s="20"/>
    </row>
    <row r="36" spans="11:11" x14ac:dyDescent="0.25">
      <c r="K36" s="20"/>
    </row>
    <row r="37" spans="11:11" x14ac:dyDescent="0.25">
      <c r="K37" s="20"/>
    </row>
    <row r="38" spans="11:11" x14ac:dyDescent="0.25">
      <c r="K38" s="20"/>
    </row>
    <row r="39" spans="11:11" x14ac:dyDescent="0.25">
      <c r="K39" s="20"/>
    </row>
    <row r="40" spans="11:11" x14ac:dyDescent="0.25">
      <c r="K40" s="20"/>
    </row>
    <row r="41" spans="11:11" x14ac:dyDescent="0.25">
      <c r="K41" s="20"/>
    </row>
    <row r="42" spans="11:11" x14ac:dyDescent="0.25">
      <c r="K42" s="20"/>
    </row>
    <row r="43" spans="11:11" x14ac:dyDescent="0.25">
      <c r="K43" s="20"/>
    </row>
    <row r="44" spans="11:11" x14ac:dyDescent="0.25">
      <c r="K44" s="20"/>
    </row>
    <row r="45" spans="11:11" x14ac:dyDescent="0.25">
      <c r="K45" s="20"/>
    </row>
    <row r="46" spans="11:11" x14ac:dyDescent="0.25">
      <c r="K46" s="20"/>
    </row>
    <row r="47" spans="11:11" x14ac:dyDescent="0.25">
      <c r="K47" s="20"/>
    </row>
    <row r="48" spans="11:11" x14ac:dyDescent="0.25">
      <c r="K48" s="20"/>
    </row>
    <row r="49" spans="11:11" x14ac:dyDescent="0.25">
      <c r="K49" s="20"/>
    </row>
    <row r="50" spans="11:11" x14ac:dyDescent="0.25">
      <c r="K50" s="20"/>
    </row>
    <row r="51" spans="11:11" x14ac:dyDescent="0.25">
      <c r="K51" s="20"/>
    </row>
    <row r="52" spans="11:11" x14ac:dyDescent="0.25">
      <c r="K52" s="20"/>
    </row>
    <row r="53" spans="11:11" x14ac:dyDescent="0.25">
      <c r="K53" s="20"/>
    </row>
    <row r="54" spans="11:11" x14ac:dyDescent="0.25">
      <c r="K54" s="20"/>
    </row>
    <row r="55" spans="11:11" x14ac:dyDescent="0.25">
      <c r="K55" s="20"/>
    </row>
  </sheetData>
  <mergeCells count="8">
    <mergeCell ref="A1:I1"/>
    <mergeCell ref="A2:I2"/>
    <mergeCell ref="A3:I3"/>
    <mergeCell ref="A4:A5"/>
    <mergeCell ref="B4:B5"/>
    <mergeCell ref="C4:E4"/>
    <mergeCell ref="F4:H4"/>
    <mergeCell ref="I4:I5"/>
  </mergeCells>
  <pageMargins left="0.7" right="0.7" top="0.75" bottom="0.75" header="0.3" footer="0.3"/>
  <pageSetup paperSize="9" scale="61" orientation="portrait" horizontalDpi="4294967295" verticalDpi="4294967295" r:id="rId1"/>
  <colBreaks count="1" manualBreakCount="1">
    <brk id="10" max="19" man="1"/>
  </colBreaks>
  <ignoredErrors>
    <ignoredError sqref="B7:B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11.22 </vt:lpstr>
      <vt:lpstr>'11.22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2019-05-13T06:27:35Z</cp:lastPrinted>
  <dcterms:created xsi:type="dcterms:W3CDTF">2019-03-24T03:32:16Z</dcterms:created>
  <dcterms:modified xsi:type="dcterms:W3CDTF">2019-05-13T06:27:43Z</dcterms:modified>
</cp:coreProperties>
</file>