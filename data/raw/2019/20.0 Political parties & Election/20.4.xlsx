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20. POLITICAL PARTIES AND ELECTIONS\"/>
    </mc:Choice>
  </mc:AlternateContent>
  <bookViews>
    <workbookView xWindow="0" yWindow="0" windowWidth="28800" windowHeight="11730" tabRatio="682"/>
  </bookViews>
  <sheets>
    <sheet name="20.4" sheetId="4" r:id="rId1"/>
  </sheets>
  <definedNames>
    <definedName name="_xlnm.Print_Area" localSheetId="0">'20.4'!$A$1:$F$174</definedName>
    <definedName name="_xlnm.Print_Titles" localSheetId="0">'20.4'!$4:$5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5" i="4" l="1"/>
  <c r="D164" i="4"/>
  <c r="D163" i="4"/>
  <c r="D162" i="4"/>
  <c r="D161" i="4"/>
  <c r="C160" i="4"/>
  <c r="D160" i="4" s="1"/>
  <c r="B160" i="4"/>
  <c r="D159" i="4"/>
  <c r="D158" i="4"/>
  <c r="D156" i="4"/>
  <c r="D155" i="4"/>
  <c r="D154" i="4"/>
  <c r="D153" i="4"/>
  <c r="D152" i="4"/>
  <c r="D151" i="4"/>
  <c r="D150" i="4"/>
  <c r="D149" i="4"/>
  <c r="C148" i="4"/>
  <c r="D148" i="4" s="1"/>
  <c r="B148" i="4"/>
  <c r="D147" i="4"/>
  <c r="D146" i="4"/>
  <c r="D145" i="4"/>
  <c r="C144" i="4"/>
  <c r="D144" i="4" s="1"/>
  <c r="B144" i="4"/>
  <c r="D143" i="4"/>
  <c r="D142" i="4"/>
  <c r="D141" i="4"/>
  <c r="D140" i="4"/>
  <c r="D139" i="4"/>
  <c r="D138" i="4"/>
  <c r="C137" i="4"/>
  <c r="B137" i="4"/>
  <c r="D137" i="4" s="1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C116" i="4"/>
  <c r="D116" i="4" s="1"/>
  <c r="B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C95" i="4"/>
  <c r="B95" i="4"/>
  <c r="B93" i="4" s="1"/>
  <c r="C93" i="4"/>
  <c r="D93" i="4" s="1"/>
  <c r="D80" i="4"/>
  <c r="D79" i="4"/>
  <c r="D78" i="4"/>
  <c r="D77" i="4"/>
  <c r="C76" i="4"/>
  <c r="B76" i="4"/>
  <c r="D76" i="4" s="1"/>
  <c r="D75" i="4"/>
  <c r="D74" i="4"/>
  <c r="D73" i="4"/>
  <c r="D72" i="4"/>
  <c r="D71" i="4"/>
  <c r="D70" i="4"/>
  <c r="D69" i="4"/>
  <c r="D68" i="4"/>
  <c r="D67" i="4"/>
  <c r="C66" i="4"/>
  <c r="D66" i="4" s="1"/>
  <c r="B66" i="4"/>
  <c r="D65" i="4"/>
  <c r="D64" i="4"/>
  <c r="D63" i="4"/>
  <c r="D62" i="4"/>
  <c r="C62" i="4"/>
  <c r="B62" i="4"/>
  <c r="D61" i="4"/>
  <c r="D60" i="4"/>
  <c r="D59" i="4"/>
  <c r="D58" i="4"/>
  <c r="D57" i="4"/>
  <c r="D56" i="4"/>
  <c r="C55" i="4"/>
  <c r="D55" i="4" s="1"/>
  <c r="B55" i="4"/>
  <c r="D54" i="4"/>
  <c r="D53" i="4"/>
  <c r="D52" i="4"/>
  <c r="D51" i="4"/>
  <c r="D50" i="4"/>
  <c r="C50" i="4"/>
  <c r="B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C29" i="4"/>
  <c r="D29" i="4" s="1"/>
  <c r="B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C8" i="4"/>
  <c r="B8" i="4"/>
  <c r="B6" i="4" s="1"/>
  <c r="C6" i="4"/>
  <c r="D6" i="4" l="1"/>
  <c r="D8" i="4"/>
</calcChain>
</file>

<file path=xl/sharedStrings.xml><?xml version="1.0" encoding="utf-8"?>
<sst xmlns="http://schemas.openxmlformats.org/spreadsheetml/2006/main" count="328" uniqueCount="107">
  <si>
    <t>-</t>
  </si>
  <si>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</si>
  <si>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</si>
  <si>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</si>
  <si>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</si>
  <si>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</si>
  <si>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>ތާވަލު 20.4:  2018 ވަނަ އަހަރުގެ ރިޔާސީ އިންތިޚާބުގެ ދެވަނަ ބުރުގައި ބެހެއްޓުނު ވޯޓު ފޮށިތަކުގެ ތަފްސީލް</t>
  </si>
  <si>
    <t>TABLE 20.4: DETAILS OF THE BALLOT BOXES KEPT DURING PRESIDENTIAL  ELECTIONS 2018</t>
  </si>
  <si>
    <t>Atoll/Island</t>
  </si>
  <si>
    <t>އަތޮޅާއި ރަށް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</si>
  <si>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</si>
  <si>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</si>
  <si>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</si>
  <si>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</si>
  <si>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</si>
  <si>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 xml:space="preserve">Boxes kept in Atolls  </t>
  </si>
  <si>
    <t>އަތޮޅުތަކުގައި ބެހެއްޓުނު ފޮށިތައް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</si>
  <si>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</si>
  <si>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</si>
  <si>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</si>
  <si>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</si>
  <si>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</si>
  <si>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</si>
  <si>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</si>
  <si>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</si>
  <si>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</si>
  <si>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</si>
  <si>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</si>
  <si>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</si>
  <si>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</si>
  <si>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</si>
  <si>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</si>
  <si>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</si>
  <si>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</si>
  <si>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</si>
  <si>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</si>
  <si>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</si>
  <si>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</si>
  <si>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</si>
  <si>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</si>
  <si>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</si>
  <si>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</si>
  <si>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</si>
  <si>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</si>
  <si>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</si>
  <si>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</si>
  <si>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</si>
  <si>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</si>
  <si>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</si>
  <si>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</si>
  <si>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</si>
  <si>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</si>
  <si>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</si>
  <si>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</si>
  <si>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</si>
  <si>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</si>
  <si>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</si>
  <si>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 xml:space="preserve">Boxes kept in Male' for the Atolls people  </t>
  </si>
  <si>
    <t>މާލޭގައި ބެހެއްޓުނު އަތޮޅުތަކުގެ ވޯޓުފޮށިތައް</t>
  </si>
  <si>
    <t xml:space="preserve">Boxes kept in Jails  </t>
  </si>
  <si>
    <t>ޖަލުތައް</t>
  </si>
  <si>
    <t>Male' Jail</t>
  </si>
  <si>
    <t>މާލެ ޖަލު</t>
  </si>
  <si>
    <t>Maafushi Jail</t>
  </si>
  <si>
    <t>މާފުށި ޖަލު</t>
  </si>
  <si>
    <t>Asseyri Jail</t>
  </si>
  <si>
    <t>އައްސޭރި ޖަލު</t>
  </si>
  <si>
    <t>Dhoonidhoo Jail</t>
  </si>
  <si>
    <t>ދޫނިދޫ ޖަލު</t>
  </si>
  <si>
    <t xml:space="preserve">Boxes kept in Male'  </t>
  </si>
  <si>
    <t>މާލެގައި ބެހެއްޓުނު ވޯޓުފޮށިތައް</t>
  </si>
  <si>
    <t>Henveyru</t>
  </si>
  <si>
    <t>ހެންވޭރު</t>
  </si>
  <si>
    <t>Galolhu</t>
  </si>
  <si>
    <t>ގަލޮޅު</t>
  </si>
  <si>
    <t>Machangolhi</t>
  </si>
  <si>
    <t>މައްޗަންގޮޅި</t>
  </si>
  <si>
    <t>Maafannu</t>
  </si>
  <si>
    <t>މާފަންނު</t>
  </si>
  <si>
    <t>Villingili</t>
  </si>
  <si>
    <t>ވިލިގިލި</t>
  </si>
  <si>
    <t>Hulhumale</t>
  </si>
  <si>
    <t>ހުޅުމާލެ</t>
  </si>
  <si>
    <t xml:space="preserve">Boxes kept in places where Industrial works are done  </t>
  </si>
  <si>
    <t>އިޤްތިސާދީ ބޮޑެތި މަސައްކަތް ކުރާ ތަންތަނުގައި ބެހެއްޓުނު ވޯޓުފޮށިތައް</t>
  </si>
  <si>
    <t xml:space="preserve">Boxes kept in Tourist Resorts  </t>
  </si>
  <si>
    <t>ރިސޯޓްތަކުގައި ބެހެއްޓުނު ވޯޓުފޮށިތައް</t>
  </si>
  <si>
    <t xml:space="preserve">Boxes kept abroad  </t>
  </si>
  <si>
    <t>ރާއްޖެއިންބޭރުގައި ބެހެއްޓުނު ވޯޓުފޮށިތަކުން ލިބުނު ވޯޓު</t>
  </si>
  <si>
    <t>Colombo</t>
  </si>
  <si>
    <t>ކޮލަމްބޯ</t>
  </si>
  <si>
    <t>Kuala lumpur</t>
  </si>
  <si>
    <t>ކުއަލަމްޕޫރު</t>
  </si>
  <si>
    <t>India</t>
  </si>
  <si>
    <t>ޓްރިވެންޑްރަމް</t>
  </si>
  <si>
    <t>U.K</t>
  </si>
  <si>
    <t>ޔޫކޭ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</si>
  <si>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</si>
  <si>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</si>
  <si>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</si>
  <si>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</si>
  <si>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</si>
  <si>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</si>
  <si>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Singapore</t>
  </si>
  <si>
    <t>ސިންގަޕޫރު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</si>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</sst>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74"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Border="1"/>
    <xf numFmtId="0" fontId="9" fillId="2" borderId="1" xfId="0" applyFont="1" applyFill="1" applyBorder="1"/>
    <xf numFmtId="0" fontId="2" fillId="2" borderId="4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3" fillId="2" borderId="0" xfId="0" applyFont="1" applyFill="1"/>
    <xf numFmtId="164" fontId="3" fillId="2" borderId="0" xfId="1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right"/>
    </xf>
    <xf numFmtId="164" fontId="3" fillId="2" borderId="0" xfId="0" applyNumberFormat="1" applyFont="1" applyFill="1"/>
    <xf numFmtId="3" fontId="9" fillId="2" borderId="0" xfId="2" applyNumberFormat="1" applyFont="1" applyFill="1" applyBorder="1"/>
    <xf numFmtId="164" fontId="9" fillId="2" borderId="0" xfId="1" applyNumberFormat="1" applyFont="1" applyFill="1" applyAlignment="1">
      <alignment horizontal="center" vertical="center"/>
    </xf>
    <xf numFmtId="3" fontId="3" fillId="2" borderId="0" xfId="2" applyNumberFormat="1" applyFont="1" applyFill="1" applyBorder="1" applyAlignment="1">
      <alignment vertical="center" wrapText="1"/>
    </xf>
    <xf numFmtId="3" fontId="8" fillId="2" borderId="0" xfId="2" applyNumberFormat="1" applyFont="1" applyFill="1" applyBorder="1" applyAlignment="1" applyProtection="1">
      <alignment vertical="center" wrapText="1"/>
    </xf>
    <xf numFmtId="0" fontId="9" fillId="2" borderId="0" xfId="0" applyFont="1" applyFill="1" applyBorder="1" applyAlignment="1">
      <alignment vertical="center" wrapText="1"/>
    </xf>
    <xf numFmtId="3" fontId="10" fillId="2" borderId="0" xfId="2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lef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9" fillId="2" borderId="5" xfId="2" applyNumberFormat="1" applyFont="1" applyFill="1" applyBorder="1"/>
    <xf numFmtId="3" fontId="10" fillId="2" borderId="5" xfId="2" applyNumberFormat="1" applyFont="1" applyFill="1" applyBorder="1" applyAlignment="1" applyProtection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Border="1" applyAlignment="1">
      <alignment vertical="center" wrapText="1"/>
    </xf>
    <xf numFmtId="0" fontId="8" fillId="2" borderId="0" xfId="0" applyFont="1" applyFill="1" applyBorder="1"/>
    <xf numFmtId="0" fontId="10" fillId="2" borderId="0" xfId="0" applyFont="1" applyFill="1"/>
    <xf numFmtId="0" fontId="3" fillId="2" borderId="0" xfId="0" applyFont="1" applyFill="1" applyBorder="1"/>
    <xf numFmtId="0" fontId="9" fillId="2" borderId="5" xfId="0" applyFont="1" applyFill="1" applyBorder="1"/>
    <xf numFmtId="0" fontId="10" fillId="2" borderId="5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0" fontId="9" fillId="2" borderId="3" xfId="0" applyFont="1" applyFill="1" applyBorder="1"/>
    <xf numFmtId="0" fontId="10" fillId="2" borderId="3" xfId="0" applyFont="1" applyFill="1" applyBorder="1"/>
    <xf numFmtId="0" fontId="3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/>
    <xf numFmtId="0" fontId="10" fillId="2" borderId="1" xfId="0" applyFont="1" applyFill="1" applyBorder="1"/>
    <xf numFmtId="164" fontId="3" fillId="2" borderId="0" xfId="1" applyNumberFormat="1" applyFont="1" applyFill="1" applyBorder="1" applyAlignment="1">
      <alignment vertical="center" wrapText="1"/>
    </xf>
    <xf numFmtId="165" fontId="3" fillId="2" borderId="0" xfId="0" applyNumberFormat="1" applyFont="1" applyFill="1" applyBorder="1" applyAlignment="1">
      <alignment horizontal="center" vertical="center" wrapText="1"/>
    </xf>
    <xf numFmtId="165" fontId="9" fillId="2" borderId="0" xfId="0" applyNumberFormat="1" applyFont="1" applyFill="1" applyAlignment="1">
      <alignment horizontal="center" vertical="center"/>
    </xf>
    <xf numFmtId="164" fontId="9" fillId="2" borderId="0" xfId="1" applyNumberFormat="1" applyFont="1" applyFill="1" applyBorder="1" applyAlignment="1">
      <alignment horizontal="center" vertical="center"/>
    </xf>
    <xf numFmtId="164" fontId="9" fillId="2" borderId="5" xfId="1" applyNumberFormat="1" applyFont="1" applyFill="1" applyBorder="1" applyAlignment="1">
      <alignment horizontal="center" vertical="center"/>
    </xf>
    <xf numFmtId="165" fontId="9" fillId="2" borderId="5" xfId="0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164" fontId="9" fillId="2" borderId="1" xfId="1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4" fontId="11" fillId="2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164" fontId="0" fillId="2" borderId="0" xfId="1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left" vertical="top" indent="3"/>
    </xf>
    <xf numFmtId="0" fontId="6" fillId="2" borderId="0" xfId="0" applyFont="1" applyFill="1" applyBorder="1" applyAlignment="1">
      <alignment horizontal="left" vertical="top" indent="3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top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Normal_II-15(Population) 2" xfId="2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"/>
  <sheetViews>
    <sheetView tabSelected="1" zoomScaleNormal="100" workbookViewId="0">
      <selection activeCell="I16" sqref="I16"/>
    </sheetView>
  </sheetViews>
  <sheetFormatPr defaultColWidth="9.140625" defaultRowHeight="15" x14ac:dyDescent="0.25"/>
  <cols>
    <col min="1" max="1" width="23.140625" style="1" customWidth="1"/>
    <col min="2" max="2" width="16" style="2" customWidth="1"/>
    <col min="3" max="3" width="15.140625" style="2" customWidth="1"/>
    <col min="4" max="4" width="16.42578125" style="2" customWidth="1"/>
    <col min="5" max="5" width="32.28515625" style="1" customWidth="1"/>
    <col min="6" max="6" width="4.140625" style="1" customWidth="1"/>
    <col min="7" max="16384" width="9.140625" style="1"/>
  </cols>
  <sheetData>
    <row r="1" spans="1:8" ht="21" x14ac:dyDescent="0.55000000000000004">
      <c r="A1" s="65" t="s">
        <v>6</v>
      </c>
      <c r="B1" s="65"/>
      <c r="C1" s="65"/>
      <c r="D1" s="65"/>
      <c r="E1" s="65"/>
    </row>
    <row r="2" spans="1:8" x14ac:dyDescent="0.25">
      <c r="A2" s="66" t="s">
        <v>7</v>
      </c>
      <c r="B2" s="66"/>
      <c r="C2" s="66"/>
      <c r="D2" s="66"/>
      <c r="E2" s="66"/>
    </row>
    <row r="3" spans="1:8" ht="7.5" customHeight="1" x14ac:dyDescent="0.25"/>
    <row r="4" spans="1:8" s="4" customFormat="1" ht="19.5" customHeight="1" x14ac:dyDescent="0.25">
      <c r="A4" s="67" t="s">
        <v>8</v>
      </c>
      <c r="B4" s="9" t="s">
        <v>3</v>
      </c>
      <c r="C4" s="9" t="s">
        <v>4</v>
      </c>
      <c r="D4" s="9" t="s">
        <v>5</v>
      </c>
      <c r="E4" s="69" t="s">
        <v>9</v>
      </c>
    </row>
    <row r="5" spans="1:8" s="62" customFormat="1" ht="33" customHeight="1" x14ac:dyDescent="0.25">
      <c r="A5" s="68"/>
      <c r="B5" s="10" t="s">
        <v>10</v>
      </c>
      <c r="C5" s="10" t="s">
        <v>11</v>
      </c>
      <c r="D5" s="10" t="s">
        <v>12</v>
      </c>
      <c r="E5" s="70"/>
    </row>
    <row r="6" spans="1:8" s="11" customFormat="1" ht="18.75" x14ac:dyDescent="0.5">
      <c r="A6" s="11" t="s">
        <v>13</v>
      </c>
      <c r="B6" s="12">
        <f>SUM(B8+B29+B55+B62+B66+B76+B50)</f>
        <v>262135</v>
      </c>
      <c r="C6" s="12">
        <f>SUM(C8+C29+C55+C62+C66+C76+C50)</f>
        <v>233889</v>
      </c>
      <c r="D6" s="13">
        <f>C6/B6*100</f>
        <v>89.224636160756859</v>
      </c>
      <c r="E6" s="14" t="s">
        <v>14</v>
      </c>
      <c r="G6" s="15"/>
      <c r="H6" s="15"/>
    </row>
    <row r="7" spans="1:8" s="5" customFormat="1" ht="12.75" x14ac:dyDescent="0.2">
      <c r="A7" s="16"/>
      <c r="B7" s="17"/>
      <c r="C7" s="17"/>
      <c r="D7" s="17"/>
    </row>
    <row r="8" spans="1:8" s="20" customFormat="1" ht="16.5" customHeight="1" x14ac:dyDescent="0.25">
      <c r="A8" s="18" t="s">
        <v>15</v>
      </c>
      <c r="B8" s="41">
        <f>SUM(B9:B28)</f>
        <v>152264</v>
      </c>
      <c r="C8" s="41">
        <f>SUM(C9:C28)</f>
        <v>135203</v>
      </c>
      <c r="D8" s="42">
        <f>(C8/B8)*100</f>
        <v>88.795119003835438</v>
      </c>
      <c r="E8" s="19" t="s">
        <v>16</v>
      </c>
    </row>
    <row r="9" spans="1:8" s="5" customFormat="1" ht="13.5" customHeight="1" x14ac:dyDescent="0.2">
      <c r="A9" s="16" t="s">
        <v>17</v>
      </c>
      <c r="B9" s="17">
        <v>9559</v>
      </c>
      <c r="C9" s="17">
        <v>8529</v>
      </c>
      <c r="D9" s="43">
        <f>C9/B9*100</f>
        <v>89.224814311120412</v>
      </c>
      <c r="E9" s="21" t="s">
        <v>18</v>
      </c>
    </row>
    <row r="10" spans="1:8" s="5" customFormat="1" ht="13.5" customHeight="1" x14ac:dyDescent="0.2">
      <c r="A10" s="16" t="s">
        <v>19</v>
      </c>
      <c r="B10" s="17">
        <v>13449</v>
      </c>
      <c r="C10" s="17">
        <v>11303</v>
      </c>
      <c r="D10" s="43">
        <f t="shared" ref="D10:D38" si="0">C10/B10*100</f>
        <v>84.043423302847799</v>
      </c>
      <c r="E10" s="21" t="s">
        <v>20</v>
      </c>
    </row>
    <row r="11" spans="1:8" s="5" customFormat="1" ht="13.5" customHeight="1" x14ac:dyDescent="0.2">
      <c r="A11" s="16" t="s">
        <v>21</v>
      </c>
      <c r="B11" s="17">
        <v>8716</v>
      </c>
      <c r="C11" s="17">
        <v>7772</v>
      </c>
      <c r="D11" s="43">
        <f t="shared" si="0"/>
        <v>89.169343735658558</v>
      </c>
      <c r="E11" s="21" t="s">
        <v>22</v>
      </c>
    </row>
    <row r="12" spans="1:8" s="5" customFormat="1" ht="13.5" customHeight="1" x14ac:dyDescent="0.2">
      <c r="A12" s="16" t="s">
        <v>23</v>
      </c>
      <c r="B12" s="17">
        <v>8492</v>
      </c>
      <c r="C12" s="17">
        <v>7489</v>
      </c>
      <c r="D12" s="43">
        <f t="shared" si="0"/>
        <v>88.188883655204904</v>
      </c>
      <c r="E12" s="21" t="s">
        <v>24</v>
      </c>
    </row>
    <row r="13" spans="1:8" s="5" customFormat="1" ht="13.5" customHeight="1" x14ac:dyDescent="0.2">
      <c r="A13" s="16" t="s">
        <v>25</v>
      </c>
      <c r="B13" s="17">
        <v>11857</v>
      </c>
      <c r="C13" s="17">
        <v>10520</v>
      </c>
      <c r="D13" s="43">
        <f t="shared" si="0"/>
        <v>88.723960529644941</v>
      </c>
      <c r="E13" s="21" t="s">
        <v>26</v>
      </c>
    </row>
    <row r="14" spans="1:8" s="5" customFormat="1" ht="13.5" customHeight="1" x14ac:dyDescent="0.2">
      <c r="A14" s="16" t="s">
        <v>27</v>
      </c>
      <c r="B14" s="17">
        <v>7633</v>
      </c>
      <c r="C14" s="17">
        <v>6911</v>
      </c>
      <c r="D14" s="43">
        <f t="shared" si="0"/>
        <v>90.541071662518007</v>
      </c>
      <c r="E14" s="21" t="s">
        <v>28</v>
      </c>
    </row>
    <row r="15" spans="1:8" s="5" customFormat="1" ht="13.5" customHeight="1" x14ac:dyDescent="0.2">
      <c r="A15" s="16" t="s">
        <v>29</v>
      </c>
      <c r="B15" s="17">
        <v>7042</v>
      </c>
      <c r="C15" s="17">
        <v>6360</v>
      </c>
      <c r="D15" s="43">
        <f t="shared" si="0"/>
        <v>90.315251349048566</v>
      </c>
      <c r="E15" s="21" t="s">
        <v>30</v>
      </c>
    </row>
    <row r="16" spans="1:8" s="5" customFormat="1" ht="13.5" customHeight="1" x14ac:dyDescent="0.2">
      <c r="A16" s="16" t="s">
        <v>31</v>
      </c>
      <c r="B16" s="17">
        <v>8863</v>
      </c>
      <c r="C16" s="17">
        <v>8161</v>
      </c>
      <c r="D16" s="43">
        <f t="shared" si="0"/>
        <v>92.079431343788784</v>
      </c>
      <c r="E16" s="21" t="s">
        <v>32</v>
      </c>
    </row>
    <row r="17" spans="1:5" s="5" customFormat="1" ht="13.5" customHeight="1" x14ac:dyDescent="0.2">
      <c r="A17" s="16" t="s">
        <v>33</v>
      </c>
      <c r="B17" s="17">
        <v>4726</v>
      </c>
      <c r="C17" s="17">
        <v>4300</v>
      </c>
      <c r="D17" s="43">
        <f t="shared" si="0"/>
        <v>90.986034701650439</v>
      </c>
      <c r="E17" s="21" t="s">
        <v>34</v>
      </c>
    </row>
    <row r="18" spans="1:5" s="5" customFormat="1" ht="13.5" customHeight="1" x14ac:dyDescent="0.2">
      <c r="A18" s="16" t="s">
        <v>35</v>
      </c>
      <c r="B18" s="17">
        <v>6917</v>
      </c>
      <c r="C18" s="17">
        <v>6283</v>
      </c>
      <c r="D18" s="43">
        <f t="shared" si="0"/>
        <v>90.83417666618476</v>
      </c>
      <c r="E18" s="21" t="s">
        <v>36</v>
      </c>
    </row>
    <row r="19" spans="1:5" s="7" customFormat="1" ht="13.5" customHeight="1" x14ac:dyDescent="0.2">
      <c r="A19" s="16" t="s">
        <v>37</v>
      </c>
      <c r="B19" s="44">
        <v>1293</v>
      </c>
      <c r="C19" s="17">
        <v>1159</v>
      </c>
      <c r="D19" s="43">
        <f t="shared" si="0"/>
        <v>89.636504253673635</v>
      </c>
      <c r="E19" s="21" t="s">
        <v>38</v>
      </c>
    </row>
    <row r="20" spans="1:5" s="7" customFormat="1" ht="13.5" customHeight="1" x14ac:dyDescent="0.2">
      <c r="A20" s="16" t="s">
        <v>39</v>
      </c>
      <c r="B20" s="44">
        <v>3626</v>
      </c>
      <c r="C20" s="17">
        <v>3268</v>
      </c>
      <c r="D20" s="43">
        <f t="shared" si="0"/>
        <v>90.126861555432981</v>
      </c>
      <c r="E20" s="21" t="s">
        <v>40</v>
      </c>
    </row>
    <row r="21" spans="1:5" s="7" customFormat="1" ht="13.5" customHeight="1" x14ac:dyDescent="0.2">
      <c r="A21" s="16" t="s">
        <v>41</v>
      </c>
      <c r="B21" s="44">
        <v>2960</v>
      </c>
      <c r="C21" s="17">
        <v>2781</v>
      </c>
      <c r="D21" s="43">
        <f t="shared" si="0"/>
        <v>93.952702702702709</v>
      </c>
      <c r="E21" s="21" t="s">
        <v>42</v>
      </c>
    </row>
    <row r="22" spans="1:5" s="7" customFormat="1" ht="13.5" customHeight="1" x14ac:dyDescent="0.2">
      <c r="A22" s="16" t="s">
        <v>43</v>
      </c>
      <c r="B22" s="44">
        <v>4319</v>
      </c>
      <c r="C22" s="17">
        <v>4023</v>
      </c>
      <c r="D22" s="43">
        <f t="shared" si="0"/>
        <v>93.146561704098175</v>
      </c>
      <c r="E22" s="21" t="s">
        <v>44</v>
      </c>
    </row>
    <row r="23" spans="1:5" s="7" customFormat="1" ht="13.5" customHeight="1" x14ac:dyDescent="0.2">
      <c r="A23" s="16" t="s">
        <v>45</v>
      </c>
      <c r="B23" s="44">
        <v>6920</v>
      </c>
      <c r="C23" s="17">
        <v>6189</v>
      </c>
      <c r="D23" s="43">
        <f t="shared" si="0"/>
        <v>89.436416184971108</v>
      </c>
      <c r="E23" s="21" t="s">
        <v>46</v>
      </c>
    </row>
    <row r="24" spans="1:5" s="7" customFormat="1" ht="13.5" customHeight="1" x14ac:dyDescent="0.2">
      <c r="A24" s="16" t="s">
        <v>47</v>
      </c>
      <c r="B24" s="44">
        <v>9296</v>
      </c>
      <c r="C24" s="17">
        <v>8584</v>
      </c>
      <c r="D24" s="43">
        <f t="shared" si="0"/>
        <v>92.340791738382094</v>
      </c>
      <c r="E24" s="21" t="s">
        <v>48</v>
      </c>
    </row>
    <row r="25" spans="1:5" s="7" customFormat="1" ht="13.5" customHeight="1" x14ac:dyDescent="0.2">
      <c r="A25" s="22" t="s">
        <v>49</v>
      </c>
      <c r="B25" s="17">
        <v>5970</v>
      </c>
      <c r="C25" s="17">
        <v>5452</v>
      </c>
      <c r="D25" s="43">
        <f t="shared" si="0"/>
        <v>91.323283082077054</v>
      </c>
      <c r="E25" s="23" t="s">
        <v>50</v>
      </c>
    </row>
    <row r="26" spans="1:5" s="7" customFormat="1" ht="13.5" customHeight="1" x14ac:dyDescent="0.2">
      <c r="A26" s="16" t="s">
        <v>51</v>
      </c>
      <c r="B26" s="44">
        <v>9075</v>
      </c>
      <c r="C26" s="17">
        <v>7769</v>
      </c>
      <c r="D26" s="43">
        <f t="shared" si="0"/>
        <v>85.608815426997239</v>
      </c>
      <c r="E26" s="21" t="s">
        <v>52</v>
      </c>
    </row>
    <row r="27" spans="1:5" s="7" customFormat="1" ht="13.5" customHeight="1" x14ac:dyDescent="0.2">
      <c r="A27" s="16" t="s">
        <v>53</v>
      </c>
      <c r="B27" s="44">
        <v>5726</v>
      </c>
      <c r="C27" s="17">
        <v>5299</v>
      </c>
      <c r="D27" s="43">
        <f t="shared" si="0"/>
        <v>92.542787286063572</v>
      </c>
      <c r="E27" s="21" t="s">
        <v>54</v>
      </c>
    </row>
    <row r="28" spans="1:5" s="7" customFormat="1" ht="13.5" customHeight="1" x14ac:dyDescent="0.2">
      <c r="A28" s="24" t="s">
        <v>55</v>
      </c>
      <c r="B28" s="45">
        <v>15825</v>
      </c>
      <c r="C28" s="45">
        <v>13051</v>
      </c>
      <c r="D28" s="46">
        <f t="shared" si="0"/>
        <v>82.470774091627177</v>
      </c>
      <c r="E28" s="25" t="s">
        <v>56</v>
      </c>
    </row>
    <row r="29" spans="1:5" s="7" customFormat="1" ht="32.25" customHeight="1" x14ac:dyDescent="0.2">
      <c r="A29" s="18" t="s">
        <v>57</v>
      </c>
      <c r="B29" s="47">
        <f>SUM(B30:B49)</f>
        <v>44541</v>
      </c>
      <c r="C29" s="47">
        <f>SUM(C30:C49)</f>
        <v>42044</v>
      </c>
      <c r="D29" s="48">
        <f>C29/B29*100</f>
        <v>94.393929188837262</v>
      </c>
      <c r="E29" s="26" t="s">
        <v>58</v>
      </c>
    </row>
    <row r="30" spans="1:5" s="7" customFormat="1" ht="13.5" customHeight="1" x14ac:dyDescent="0.2">
      <c r="A30" s="16" t="s">
        <v>17</v>
      </c>
      <c r="B30" s="44">
        <v>4123</v>
      </c>
      <c r="C30" s="17">
        <v>3936</v>
      </c>
      <c r="D30" s="43">
        <f t="shared" si="0"/>
        <v>95.464467620664564</v>
      </c>
      <c r="E30" s="21" t="s">
        <v>18</v>
      </c>
    </row>
    <row r="31" spans="1:5" s="7" customFormat="1" ht="13.5" customHeight="1" x14ac:dyDescent="0.2">
      <c r="A31" s="16" t="s">
        <v>19</v>
      </c>
      <c r="B31" s="17">
        <v>2817</v>
      </c>
      <c r="C31" s="44">
        <v>2588</v>
      </c>
      <c r="D31" s="43">
        <f t="shared" si="0"/>
        <v>91.870784522541712</v>
      </c>
      <c r="E31" s="21" t="s">
        <v>20</v>
      </c>
    </row>
    <row r="32" spans="1:5" s="5" customFormat="1" ht="13.5" customHeight="1" x14ac:dyDescent="0.2">
      <c r="A32" s="16" t="s">
        <v>21</v>
      </c>
      <c r="B32" s="17">
        <v>2361</v>
      </c>
      <c r="C32" s="17">
        <v>2219</v>
      </c>
      <c r="D32" s="43">
        <f t="shared" si="0"/>
        <v>93.98559932232105</v>
      </c>
      <c r="E32" s="21" t="s">
        <v>22</v>
      </c>
    </row>
    <row r="33" spans="1:5" s="5" customFormat="1" ht="13.5" customHeight="1" x14ac:dyDescent="0.2">
      <c r="A33" s="16" t="s">
        <v>23</v>
      </c>
      <c r="B33" s="17">
        <v>2137</v>
      </c>
      <c r="C33" s="17">
        <v>2035</v>
      </c>
      <c r="D33" s="43">
        <f t="shared" si="0"/>
        <v>95.226953673373899</v>
      </c>
      <c r="E33" s="21" t="s">
        <v>24</v>
      </c>
    </row>
    <row r="34" spans="1:5" s="5" customFormat="1" ht="13.5" customHeight="1" x14ac:dyDescent="0.2">
      <c r="A34" s="16" t="s">
        <v>25</v>
      </c>
      <c r="B34" s="17">
        <v>3198</v>
      </c>
      <c r="C34" s="17">
        <v>2990</v>
      </c>
      <c r="D34" s="43">
        <f t="shared" si="0"/>
        <v>93.495934959349597</v>
      </c>
      <c r="E34" s="21" t="s">
        <v>26</v>
      </c>
    </row>
    <row r="35" spans="1:5" s="5" customFormat="1" ht="13.5" customHeight="1" x14ac:dyDescent="0.2">
      <c r="A35" s="16" t="s">
        <v>27</v>
      </c>
      <c r="B35" s="17">
        <v>2344</v>
      </c>
      <c r="C35" s="17">
        <v>2266</v>
      </c>
      <c r="D35" s="43">
        <f t="shared" si="0"/>
        <v>96.672354948805463</v>
      </c>
      <c r="E35" s="21" t="s">
        <v>28</v>
      </c>
    </row>
    <row r="36" spans="1:5" s="5" customFormat="1" ht="13.5" customHeight="1" x14ac:dyDescent="0.2">
      <c r="A36" s="16" t="s">
        <v>29</v>
      </c>
      <c r="B36" s="17">
        <v>1906</v>
      </c>
      <c r="C36" s="17">
        <v>1818</v>
      </c>
      <c r="D36" s="43">
        <f t="shared" si="0"/>
        <v>95.38300104931794</v>
      </c>
      <c r="E36" s="21" t="s">
        <v>30</v>
      </c>
    </row>
    <row r="37" spans="1:5" s="5" customFormat="1" ht="13.5" customHeight="1" x14ac:dyDescent="0.2">
      <c r="A37" s="16" t="s">
        <v>31</v>
      </c>
      <c r="B37" s="17">
        <v>825</v>
      </c>
      <c r="C37" s="17">
        <v>769</v>
      </c>
      <c r="D37" s="43">
        <f t="shared" si="0"/>
        <v>93.212121212121218</v>
      </c>
      <c r="E37" s="21" t="s">
        <v>32</v>
      </c>
    </row>
    <row r="38" spans="1:5" s="5" customFormat="1" ht="13.5" customHeight="1" x14ac:dyDescent="0.2">
      <c r="A38" s="16" t="s">
        <v>33</v>
      </c>
      <c r="B38" s="17">
        <v>833</v>
      </c>
      <c r="C38" s="17">
        <v>796</v>
      </c>
      <c r="D38" s="43">
        <f t="shared" si="0"/>
        <v>95.55822328931572</v>
      </c>
      <c r="E38" s="21" t="s">
        <v>34</v>
      </c>
    </row>
    <row r="39" spans="1:5" s="5" customFormat="1" ht="13.5" customHeight="1" x14ac:dyDescent="0.2">
      <c r="A39" s="16" t="s">
        <v>35</v>
      </c>
      <c r="B39" s="17">
        <v>940</v>
      </c>
      <c r="C39" s="17">
        <v>879</v>
      </c>
      <c r="D39" s="43">
        <f>C39/B39*100</f>
        <v>93.510638297872333</v>
      </c>
      <c r="E39" s="21" t="s">
        <v>36</v>
      </c>
    </row>
    <row r="40" spans="1:5" s="5" customFormat="1" ht="13.5" customHeight="1" x14ac:dyDescent="0.2">
      <c r="A40" s="16" t="s">
        <v>37</v>
      </c>
      <c r="B40" s="17">
        <v>387</v>
      </c>
      <c r="C40" s="17">
        <v>373</v>
      </c>
      <c r="D40" s="43">
        <f>C40/B40*100</f>
        <v>96.382428940568474</v>
      </c>
      <c r="E40" s="21" t="s">
        <v>38</v>
      </c>
    </row>
    <row r="41" spans="1:5" s="5" customFormat="1" ht="13.5" customHeight="1" x14ac:dyDescent="0.2">
      <c r="A41" s="16" t="s">
        <v>39</v>
      </c>
      <c r="B41" s="17">
        <v>1265</v>
      </c>
      <c r="C41" s="17">
        <v>1180</v>
      </c>
      <c r="D41" s="43">
        <f t="shared" ref="D41:D80" si="1">C41/B41*100</f>
        <v>93.280632411067202</v>
      </c>
      <c r="E41" s="21" t="s">
        <v>40</v>
      </c>
    </row>
    <row r="42" spans="1:5" s="5" customFormat="1" ht="13.5" customHeight="1" x14ac:dyDescent="0.2">
      <c r="A42" s="16" t="s">
        <v>41</v>
      </c>
      <c r="B42" s="17">
        <v>805</v>
      </c>
      <c r="C42" s="17">
        <v>772</v>
      </c>
      <c r="D42" s="43">
        <f t="shared" si="1"/>
        <v>95.900621118012424</v>
      </c>
      <c r="E42" s="21" t="s">
        <v>42</v>
      </c>
    </row>
    <row r="43" spans="1:5" s="5" customFormat="1" ht="13.5" customHeight="1" x14ac:dyDescent="0.2">
      <c r="A43" s="16" t="s">
        <v>43</v>
      </c>
      <c r="B43" s="17">
        <v>1070</v>
      </c>
      <c r="C43" s="17">
        <v>1028</v>
      </c>
      <c r="D43" s="43">
        <f t="shared" si="1"/>
        <v>96.074766355140184</v>
      </c>
      <c r="E43" s="21" t="s">
        <v>44</v>
      </c>
    </row>
    <row r="44" spans="1:5" s="5" customFormat="1" ht="13.5" customHeight="1" x14ac:dyDescent="0.2">
      <c r="A44" s="16" t="s">
        <v>45</v>
      </c>
      <c r="B44" s="17">
        <v>3151</v>
      </c>
      <c r="C44" s="17">
        <v>2983</v>
      </c>
      <c r="D44" s="43">
        <f t="shared" si="1"/>
        <v>94.668359251031418</v>
      </c>
      <c r="E44" s="21" t="s">
        <v>46</v>
      </c>
    </row>
    <row r="45" spans="1:5" s="5" customFormat="1" ht="13.5" customHeight="1" x14ac:dyDescent="0.2">
      <c r="A45" s="16" t="s">
        <v>47</v>
      </c>
      <c r="B45" s="17">
        <v>2160</v>
      </c>
      <c r="C45" s="17">
        <v>2002</v>
      </c>
      <c r="D45" s="43">
        <f t="shared" si="1"/>
        <v>92.685185185185176</v>
      </c>
      <c r="E45" s="21" t="s">
        <v>48</v>
      </c>
    </row>
    <row r="46" spans="1:5" s="5" customFormat="1" ht="13.5" customHeight="1" x14ac:dyDescent="0.2">
      <c r="A46" s="22" t="s">
        <v>49</v>
      </c>
      <c r="B46" s="17">
        <v>3065</v>
      </c>
      <c r="C46" s="17">
        <v>2924</v>
      </c>
      <c r="D46" s="43">
        <f t="shared" si="1"/>
        <v>95.399673735725941</v>
      </c>
      <c r="E46" s="23" t="s">
        <v>50</v>
      </c>
    </row>
    <row r="47" spans="1:5" s="5" customFormat="1" ht="13.5" customHeight="1" x14ac:dyDescent="0.2">
      <c r="A47" s="16" t="s">
        <v>51</v>
      </c>
      <c r="B47" s="17">
        <v>4111</v>
      </c>
      <c r="C47" s="44">
        <v>3867</v>
      </c>
      <c r="D47" s="43">
        <f t="shared" si="1"/>
        <v>94.064704451471655</v>
      </c>
      <c r="E47" s="21" t="s">
        <v>52</v>
      </c>
    </row>
    <row r="48" spans="1:5" s="5" customFormat="1" ht="13.5" customHeight="1" x14ac:dyDescent="0.2">
      <c r="A48" s="16" t="s">
        <v>53</v>
      </c>
      <c r="B48" s="17">
        <v>1700</v>
      </c>
      <c r="C48" s="17">
        <v>1620</v>
      </c>
      <c r="D48" s="43">
        <f t="shared" si="1"/>
        <v>95.294117647058812</v>
      </c>
      <c r="E48" s="21" t="s">
        <v>54</v>
      </c>
    </row>
    <row r="49" spans="1:5" s="5" customFormat="1" ht="13.5" customHeight="1" x14ac:dyDescent="0.2">
      <c r="A49" s="24" t="s">
        <v>55</v>
      </c>
      <c r="B49" s="45">
        <v>5343</v>
      </c>
      <c r="C49" s="45">
        <v>4999</v>
      </c>
      <c r="D49" s="46">
        <f>C49/B49*100</f>
        <v>93.561669474078229</v>
      </c>
      <c r="E49" s="25" t="s">
        <v>56</v>
      </c>
    </row>
    <row r="50" spans="1:5" s="5" customFormat="1" ht="18.75" x14ac:dyDescent="0.5">
      <c r="A50" s="27" t="s">
        <v>59</v>
      </c>
      <c r="B50" s="47">
        <f>SUM(B51:B54)</f>
        <v>2019</v>
      </c>
      <c r="C50" s="47">
        <f>SUM(C51:C54)</f>
        <v>1755</v>
      </c>
      <c r="D50" s="48">
        <f>C50/B50*100</f>
        <v>86.924219910846958</v>
      </c>
      <c r="E50" s="28" t="s">
        <v>60</v>
      </c>
    </row>
    <row r="51" spans="1:5" s="7" customFormat="1" ht="18.75" x14ac:dyDescent="0.5">
      <c r="A51" s="5" t="s">
        <v>61</v>
      </c>
      <c r="B51" s="17">
        <v>518</v>
      </c>
      <c r="C51" s="17">
        <v>481</v>
      </c>
      <c r="D51" s="43">
        <f>C51/B51*100</f>
        <v>92.857142857142861</v>
      </c>
      <c r="E51" s="29" t="s">
        <v>62</v>
      </c>
    </row>
    <row r="52" spans="1:5" s="5" customFormat="1" ht="18.75" x14ac:dyDescent="0.5">
      <c r="A52" s="5" t="s">
        <v>63</v>
      </c>
      <c r="B52" s="17">
        <v>1071</v>
      </c>
      <c r="C52" s="17">
        <v>895</v>
      </c>
      <c r="D52" s="43">
        <f>C52/B52*100</f>
        <v>83.566760037348274</v>
      </c>
      <c r="E52" s="29" t="s">
        <v>64</v>
      </c>
    </row>
    <row r="53" spans="1:5" s="5" customFormat="1" ht="18.75" x14ac:dyDescent="0.5">
      <c r="A53" s="5" t="s">
        <v>65</v>
      </c>
      <c r="B53" s="17">
        <v>252</v>
      </c>
      <c r="C53" s="17">
        <v>208</v>
      </c>
      <c r="D53" s="43">
        <f t="shared" ref="D53:D54" si="2">C53/B53*100</f>
        <v>82.539682539682531</v>
      </c>
      <c r="E53" s="29" t="s">
        <v>66</v>
      </c>
    </row>
    <row r="54" spans="1:5" s="5" customFormat="1" ht="18.75" x14ac:dyDescent="0.2">
      <c r="A54" s="24" t="s">
        <v>67</v>
      </c>
      <c r="B54" s="45">
        <v>178</v>
      </c>
      <c r="C54" s="45">
        <v>171</v>
      </c>
      <c r="D54" s="46">
        <f t="shared" si="2"/>
        <v>96.067415730337075</v>
      </c>
      <c r="E54" s="25" t="s">
        <v>68</v>
      </c>
    </row>
    <row r="55" spans="1:5" s="7" customFormat="1" ht="18.75" x14ac:dyDescent="0.5">
      <c r="A55" s="27" t="s">
        <v>69</v>
      </c>
      <c r="B55" s="47">
        <f>SUM(B56:B61)</f>
        <v>51203</v>
      </c>
      <c r="C55" s="47">
        <f>SUM(C56:C61)</f>
        <v>44046</v>
      </c>
      <c r="D55" s="48">
        <f t="shared" si="1"/>
        <v>86.022303380661285</v>
      </c>
      <c r="E55" s="28" t="s">
        <v>70</v>
      </c>
    </row>
    <row r="56" spans="1:5" s="5" customFormat="1" ht="17.25" customHeight="1" x14ac:dyDescent="0.5">
      <c r="A56" s="5" t="s">
        <v>71</v>
      </c>
      <c r="B56" s="17">
        <v>13102</v>
      </c>
      <c r="C56" s="17">
        <v>11203</v>
      </c>
      <c r="D56" s="43">
        <f t="shared" si="1"/>
        <v>85.506029613799413</v>
      </c>
      <c r="E56" s="29" t="s">
        <v>72</v>
      </c>
    </row>
    <row r="57" spans="1:5" s="5" customFormat="1" ht="14.25" customHeight="1" x14ac:dyDescent="0.5">
      <c r="A57" s="5" t="s">
        <v>73</v>
      </c>
      <c r="B57" s="17">
        <v>6167</v>
      </c>
      <c r="C57" s="17">
        <v>5129</v>
      </c>
      <c r="D57" s="43">
        <f t="shared" si="1"/>
        <v>83.1684773796011</v>
      </c>
      <c r="E57" s="29" t="s">
        <v>74</v>
      </c>
    </row>
    <row r="58" spans="1:5" s="5" customFormat="1" ht="14.25" customHeight="1" x14ac:dyDescent="0.5">
      <c r="A58" s="5" t="s">
        <v>75</v>
      </c>
      <c r="B58" s="17">
        <v>8478</v>
      </c>
      <c r="C58" s="17">
        <v>7124</v>
      </c>
      <c r="D58" s="43">
        <f t="shared" si="1"/>
        <v>84.029252182118412</v>
      </c>
      <c r="E58" s="29" t="s">
        <v>76</v>
      </c>
    </row>
    <row r="59" spans="1:5" s="30" customFormat="1" ht="13.5" customHeight="1" x14ac:dyDescent="0.5">
      <c r="A59" s="5" t="s">
        <v>77</v>
      </c>
      <c r="B59" s="17">
        <v>12629</v>
      </c>
      <c r="C59" s="17">
        <v>10581</v>
      </c>
      <c r="D59" s="43">
        <f t="shared" si="1"/>
        <v>83.783355768469391</v>
      </c>
      <c r="E59" s="29" t="s">
        <v>78</v>
      </c>
    </row>
    <row r="60" spans="1:5" s="5" customFormat="1" ht="13.5" customHeight="1" x14ac:dyDescent="0.5">
      <c r="A60" s="5" t="s">
        <v>79</v>
      </c>
      <c r="B60" s="17">
        <v>3623</v>
      </c>
      <c r="C60" s="17">
        <v>3292</v>
      </c>
      <c r="D60" s="43">
        <f t="shared" si="1"/>
        <v>90.863924924096054</v>
      </c>
      <c r="E60" s="29" t="s">
        <v>80</v>
      </c>
    </row>
    <row r="61" spans="1:5" s="5" customFormat="1" ht="18.75" x14ac:dyDescent="0.5">
      <c r="A61" s="31" t="s">
        <v>81</v>
      </c>
      <c r="B61" s="45">
        <v>7204</v>
      </c>
      <c r="C61" s="45">
        <v>6717</v>
      </c>
      <c r="D61" s="46">
        <f t="shared" si="1"/>
        <v>93.239866740699611</v>
      </c>
      <c r="E61" s="32" t="s">
        <v>82</v>
      </c>
    </row>
    <row r="62" spans="1:5" s="5" customFormat="1" ht="37.5" x14ac:dyDescent="0.2">
      <c r="A62" s="33" t="s">
        <v>83</v>
      </c>
      <c r="B62" s="47">
        <f>SUM(B63:B65)</f>
        <v>1055</v>
      </c>
      <c r="C62" s="47">
        <f>SUM(C63:C65)</f>
        <v>995</v>
      </c>
      <c r="D62" s="48">
        <f t="shared" si="1"/>
        <v>94.312796208530798</v>
      </c>
      <c r="E62" s="34" t="s">
        <v>84</v>
      </c>
    </row>
    <row r="63" spans="1:5" s="5" customFormat="1" ht="13.5" customHeight="1" x14ac:dyDescent="0.5">
      <c r="A63" s="5" t="s">
        <v>31</v>
      </c>
      <c r="B63" s="17">
        <v>709</v>
      </c>
      <c r="C63" s="17">
        <v>665</v>
      </c>
      <c r="D63" s="43">
        <f t="shared" si="1"/>
        <v>93.794076163610711</v>
      </c>
      <c r="E63" s="29" t="s">
        <v>32</v>
      </c>
    </row>
    <row r="64" spans="1:5" s="5" customFormat="1" ht="13.5" customHeight="1" x14ac:dyDescent="0.5">
      <c r="A64" s="5" t="s">
        <v>47</v>
      </c>
      <c r="B64" s="17">
        <v>141</v>
      </c>
      <c r="C64" s="17">
        <v>140</v>
      </c>
      <c r="D64" s="43">
        <f t="shared" si="1"/>
        <v>99.290780141843967</v>
      </c>
      <c r="E64" s="29" t="s">
        <v>48</v>
      </c>
    </row>
    <row r="65" spans="1:5" s="5" customFormat="1" ht="13.5" customHeight="1" x14ac:dyDescent="0.5">
      <c r="A65" s="35" t="s">
        <v>49</v>
      </c>
      <c r="B65" s="50">
        <v>205</v>
      </c>
      <c r="C65" s="50">
        <v>190</v>
      </c>
      <c r="D65" s="51">
        <f t="shared" si="1"/>
        <v>92.682926829268297</v>
      </c>
      <c r="E65" s="36" t="s">
        <v>50</v>
      </c>
    </row>
    <row r="66" spans="1:5" s="5" customFormat="1" ht="13.5" customHeight="1" x14ac:dyDescent="0.5">
      <c r="A66" s="37" t="s">
        <v>85</v>
      </c>
      <c r="B66" s="47">
        <f>SUM(B67:B75)</f>
        <v>5166</v>
      </c>
      <c r="C66" s="47">
        <f>SUM(C67:C75)</f>
        <v>4836</v>
      </c>
      <c r="D66" s="48">
        <f t="shared" si="1"/>
        <v>93.61207897793264</v>
      </c>
      <c r="E66" s="28" t="s">
        <v>86</v>
      </c>
    </row>
    <row r="67" spans="1:5" s="5" customFormat="1" ht="13.5" customHeight="1" x14ac:dyDescent="0.5">
      <c r="A67" s="38" t="s">
        <v>17</v>
      </c>
      <c r="B67" s="17">
        <v>123</v>
      </c>
      <c r="C67" s="17">
        <v>115</v>
      </c>
      <c r="D67" s="43">
        <f t="shared" si="1"/>
        <v>93.495934959349597</v>
      </c>
      <c r="E67" s="29" t="s">
        <v>18</v>
      </c>
    </row>
    <row r="68" spans="1:5" s="5" customFormat="1" ht="13.5" customHeight="1" x14ac:dyDescent="0.5">
      <c r="A68" s="38" t="s">
        <v>23</v>
      </c>
      <c r="B68" s="17">
        <v>218</v>
      </c>
      <c r="C68" s="17">
        <v>201</v>
      </c>
      <c r="D68" s="43">
        <f t="shared" si="1"/>
        <v>92.201834862385326</v>
      </c>
      <c r="E68" s="29" t="s">
        <v>24</v>
      </c>
    </row>
    <row r="69" spans="1:5" s="11" customFormat="1" ht="13.5" customHeight="1" x14ac:dyDescent="0.5">
      <c r="A69" s="38" t="s">
        <v>27</v>
      </c>
      <c r="B69" s="17">
        <v>357</v>
      </c>
      <c r="C69" s="17">
        <v>336</v>
      </c>
      <c r="D69" s="43">
        <f t="shared" si="1"/>
        <v>94.117647058823522</v>
      </c>
      <c r="E69" s="29" t="s">
        <v>28</v>
      </c>
    </row>
    <row r="70" spans="1:5" s="5" customFormat="1" ht="13.5" customHeight="1" x14ac:dyDescent="0.5">
      <c r="A70" s="38" t="s">
        <v>29</v>
      </c>
      <c r="B70" s="17">
        <v>111</v>
      </c>
      <c r="C70" s="17">
        <v>105</v>
      </c>
      <c r="D70" s="43">
        <f t="shared" si="1"/>
        <v>94.594594594594597</v>
      </c>
      <c r="E70" s="29" t="s">
        <v>30</v>
      </c>
    </row>
    <row r="71" spans="1:5" s="5" customFormat="1" ht="13.5" customHeight="1" x14ac:dyDescent="0.5">
      <c r="A71" s="38" t="s">
        <v>31</v>
      </c>
      <c r="B71" s="17">
        <v>2725</v>
      </c>
      <c r="C71" s="17">
        <v>2560</v>
      </c>
      <c r="D71" s="43">
        <f t="shared" si="1"/>
        <v>93.944954128440372</v>
      </c>
      <c r="E71" s="29" t="s">
        <v>32</v>
      </c>
    </row>
    <row r="72" spans="1:5" s="5" customFormat="1" ht="13.5" customHeight="1" x14ac:dyDescent="0.5">
      <c r="A72" s="38" t="s">
        <v>33</v>
      </c>
      <c r="B72" s="17">
        <v>624</v>
      </c>
      <c r="C72" s="17">
        <v>590</v>
      </c>
      <c r="D72" s="43">
        <f t="shared" si="1"/>
        <v>94.551282051282044</v>
      </c>
      <c r="E72" s="29" t="s">
        <v>34</v>
      </c>
    </row>
    <row r="73" spans="1:5" s="5" customFormat="1" ht="13.5" customHeight="1" x14ac:dyDescent="0.5">
      <c r="A73" s="38" t="s">
        <v>35</v>
      </c>
      <c r="B73" s="17">
        <v>405</v>
      </c>
      <c r="C73" s="17">
        <v>380</v>
      </c>
      <c r="D73" s="43">
        <f t="shared" si="1"/>
        <v>93.827160493827151</v>
      </c>
      <c r="E73" s="29" t="s">
        <v>36</v>
      </c>
    </row>
    <row r="74" spans="1:5" s="39" customFormat="1" ht="13.5" customHeight="1" x14ac:dyDescent="0.5">
      <c r="A74" s="38" t="s">
        <v>43</v>
      </c>
      <c r="B74" s="17">
        <v>374</v>
      </c>
      <c r="C74" s="17">
        <v>341</v>
      </c>
      <c r="D74" s="43">
        <f t="shared" si="1"/>
        <v>91.17647058823529</v>
      </c>
      <c r="E74" s="29" t="s">
        <v>44</v>
      </c>
    </row>
    <row r="75" spans="1:5" s="39" customFormat="1" ht="13.5" customHeight="1" x14ac:dyDescent="0.5">
      <c r="A75" s="35" t="s">
        <v>25</v>
      </c>
      <c r="B75" s="50">
        <v>229</v>
      </c>
      <c r="C75" s="50">
        <v>208</v>
      </c>
      <c r="D75" s="51">
        <f>C75/B75*100</f>
        <v>90.829694323144111</v>
      </c>
      <c r="E75" s="36" t="s">
        <v>26</v>
      </c>
    </row>
    <row r="76" spans="1:5" s="39" customFormat="1" ht="13.5" customHeight="1" x14ac:dyDescent="0.2">
      <c r="A76" s="37" t="s">
        <v>87</v>
      </c>
      <c r="B76" s="47">
        <f>SUM(B77:B80)</f>
        <v>5887</v>
      </c>
      <c r="C76" s="47">
        <f>SUM(C77:C80)</f>
        <v>5010</v>
      </c>
      <c r="D76" s="48">
        <f t="shared" si="1"/>
        <v>85.102768812638018</v>
      </c>
      <c r="E76" s="34" t="s">
        <v>88</v>
      </c>
    </row>
    <row r="77" spans="1:5" s="39" customFormat="1" ht="13.5" customHeight="1" x14ac:dyDescent="0.5">
      <c r="A77" s="5" t="s">
        <v>89</v>
      </c>
      <c r="B77" s="17">
        <v>2788</v>
      </c>
      <c r="C77" s="17">
        <v>2469</v>
      </c>
      <c r="D77" s="43">
        <f t="shared" si="1"/>
        <v>88.558106169296991</v>
      </c>
      <c r="E77" s="29" t="s">
        <v>90</v>
      </c>
    </row>
    <row r="78" spans="1:5" s="39" customFormat="1" ht="13.5" customHeight="1" x14ac:dyDescent="0.5">
      <c r="A78" s="5" t="s">
        <v>91</v>
      </c>
      <c r="B78" s="17">
        <v>1858</v>
      </c>
      <c r="C78" s="17">
        <v>1626</v>
      </c>
      <c r="D78" s="43">
        <f t="shared" si="1"/>
        <v>87.513455328310002</v>
      </c>
      <c r="E78" s="29" t="s">
        <v>92</v>
      </c>
    </row>
    <row r="79" spans="1:5" s="39" customFormat="1" ht="13.5" customHeight="1" x14ac:dyDescent="0.5">
      <c r="A79" s="5" t="s">
        <v>93</v>
      </c>
      <c r="B79" s="17">
        <v>687</v>
      </c>
      <c r="C79" s="17">
        <v>521</v>
      </c>
      <c r="D79" s="43">
        <f t="shared" si="1"/>
        <v>75.836972343522561</v>
      </c>
      <c r="E79" s="29" t="s">
        <v>94</v>
      </c>
    </row>
    <row r="80" spans="1:5" s="39" customFormat="1" ht="13.5" customHeight="1" x14ac:dyDescent="0.5">
      <c r="A80" s="8" t="s">
        <v>95</v>
      </c>
      <c r="B80" s="53">
        <v>554</v>
      </c>
      <c r="C80" s="53">
        <v>394</v>
      </c>
      <c r="D80" s="54">
        <f t="shared" si="1"/>
        <v>71.119133574007222</v>
      </c>
      <c r="E80" s="40" t="s">
        <v>96</v>
      </c>
    </row>
    <row r="81" spans="1:5" s="39" customFormat="1" ht="15.75" customHeight="1" x14ac:dyDescent="0.2">
      <c r="A81" s="71" t="s">
        <v>97</v>
      </c>
      <c r="B81" s="71"/>
      <c r="C81" s="71"/>
      <c r="D81" s="71"/>
      <c r="E81" s="71"/>
    </row>
    <row r="82" spans="1:5" x14ac:dyDescent="0.25">
      <c r="A82" s="64" t="s">
        <v>98</v>
      </c>
      <c r="B82" s="64"/>
      <c r="C82" s="64"/>
      <c r="D82" s="64"/>
      <c r="E82" s="64"/>
    </row>
    <row r="83" spans="1:5" x14ac:dyDescent="0.25">
      <c r="A83" s="55" t="s">
        <v>1</v>
      </c>
      <c r="B83" s="61"/>
      <c r="C83" s="61"/>
      <c r="D83" s="61"/>
      <c r="E83" s="63"/>
    </row>
    <row r="84" spans="1:5" ht="7.5" customHeight="1" x14ac:dyDescent="0.25">
      <c r="B84" s="56"/>
      <c r="C84" s="56"/>
      <c r="D84" s="57"/>
      <c r="E84" s="39"/>
    </row>
    <row r="85" spans="1:5" s="4" customFormat="1" ht="16.5" customHeight="1" x14ac:dyDescent="0.25">
      <c r="A85" s="72" t="s">
        <v>99</v>
      </c>
      <c r="B85" s="72"/>
      <c r="C85" s="72"/>
      <c r="D85" s="72"/>
      <c r="E85" s="72"/>
    </row>
    <row r="86" spans="1:5" s="62" customFormat="1" ht="20.25" customHeight="1" x14ac:dyDescent="0.25">
      <c r="A86" s="72" t="s">
        <v>100</v>
      </c>
      <c r="B86" s="72"/>
      <c r="C86" s="72"/>
      <c r="D86" s="72"/>
      <c r="E86" s="72"/>
    </row>
    <row r="87" spans="1:5" s="5" customFormat="1" ht="16.5" customHeight="1" x14ac:dyDescent="0.45">
      <c r="A87" s="39"/>
      <c r="B87" s="56"/>
      <c r="C87" s="56"/>
      <c r="D87" s="58"/>
      <c r="E87" s="59" t="s">
        <v>2</v>
      </c>
    </row>
    <row r="88" spans="1:5" s="20" customFormat="1" ht="30.75" customHeight="1" x14ac:dyDescent="0.55000000000000004">
      <c r="A88" s="65" t="s">
        <v>101</v>
      </c>
      <c r="B88" s="65"/>
      <c r="C88" s="65"/>
      <c r="D88" s="65"/>
      <c r="E88" s="65"/>
    </row>
    <row r="89" spans="1:5" s="5" customFormat="1" ht="13.5" customHeight="1" x14ac:dyDescent="0.2">
      <c r="A89" s="66" t="s">
        <v>102</v>
      </c>
      <c r="B89" s="66"/>
      <c r="C89" s="66"/>
      <c r="D89" s="66"/>
      <c r="E89" s="66"/>
    </row>
    <row r="90" spans="1:5" s="5" customFormat="1" ht="13.5" customHeight="1" x14ac:dyDescent="0.25">
      <c r="A90" s="1"/>
      <c r="B90" s="2"/>
      <c r="C90" s="2"/>
      <c r="D90" s="2"/>
      <c r="E90" s="1"/>
    </row>
    <row r="91" spans="1:5" s="5" customFormat="1" ht="13.5" customHeight="1" x14ac:dyDescent="0.2">
      <c r="A91" s="67" t="s">
        <v>8</v>
      </c>
      <c r="B91" s="9" t="s">
        <v>3</v>
      </c>
      <c r="C91" s="9" t="s">
        <v>4</v>
      </c>
      <c r="D91" s="9" t="s">
        <v>5</v>
      </c>
      <c r="E91" s="69" t="s">
        <v>9</v>
      </c>
    </row>
    <row r="92" spans="1:5" s="5" customFormat="1" ht="13.5" customHeight="1" x14ac:dyDescent="0.2">
      <c r="A92" s="68"/>
      <c r="B92" s="10" t="s">
        <v>10</v>
      </c>
      <c r="C92" s="10" t="s">
        <v>11</v>
      </c>
      <c r="D92" s="10" t="s">
        <v>12</v>
      </c>
      <c r="E92" s="70"/>
    </row>
    <row r="93" spans="1:5" s="5" customFormat="1" ht="13.5" customHeight="1" x14ac:dyDescent="0.5">
      <c r="A93" s="11" t="s">
        <v>13</v>
      </c>
      <c r="B93" s="12">
        <f>SUM(B95+B116+B137+B144+B148+B160)</f>
        <v>237436</v>
      </c>
      <c r="C93" s="12">
        <f>SUM(C95+C116+C137+C144+C148+C160)</f>
        <v>216985</v>
      </c>
      <c r="D93" s="13">
        <f>C93/B93*100</f>
        <v>91.386731582405361</v>
      </c>
      <c r="E93" s="14" t="s">
        <v>14</v>
      </c>
    </row>
    <row r="94" spans="1:5" s="5" customFormat="1" ht="13.5" customHeight="1" x14ac:dyDescent="0.2">
      <c r="A94" s="16"/>
      <c r="B94" s="17"/>
      <c r="C94" s="17"/>
      <c r="D94" s="17"/>
    </row>
    <row r="95" spans="1:5" s="5" customFormat="1" ht="13.5" customHeight="1" x14ac:dyDescent="0.2">
      <c r="A95" s="18" t="s">
        <v>15</v>
      </c>
      <c r="B95" s="41">
        <f>SUM(B96:B115)</f>
        <v>138133</v>
      </c>
      <c r="C95" s="41">
        <f>SUM(C96:C115)</f>
        <v>126345</v>
      </c>
      <c r="D95" s="42">
        <f>(C95/B95)*100</f>
        <v>91.466195623058937</v>
      </c>
      <c r="E95" s="19" t="s">
        <v>16</v>
      </c>
    </row>
    <row r="96" spans="1:5" s="5" customFormat="1" ht="13.5" customHeight="1" x14ac:dyDescent="0.2">
      <c r="A96" s="16" t="s">
        <v>17</v>
      </c>
      <c r="B96" s="17">
        <v>8852</v>
      </c>
      <c r="C96" s="17">
        <v>8209</v>
      </c>
      <c r="D96" s="43">
        <f>C96/B96*100</f>
        <v>92.736104835065518</v>
      </c>
      <c r="E96" s="21" t="s">
        <v>18</v>
      </c>
    </row>
    <row r="97" spans="1:5" s="5" customFormat="1" ht="13.5" customHeight="1" x14ac:dyDescent="0.2">
      <c r="A97" s="16" t="s">
        <v>19</v>
      </c>
      <c r="B97" s="17">
        <v>12072</v>
      </c>
      <c r="C97" s="17">
        <v>10695</v>
      </c>
      <c r="D97" s="43">
        <f t="shared" ref="D97:D156" si="3">C97/B97*100</f>
        <v>88.593439363817097</v>
      </c>
      <c r="E97" s="21" t="s">
        <v>20</v>
      </c>
    </row>
    <row r="98" spans="1:5" s="5" customFormat="1" ht="13.5" customHeight="1" x14ac:dyDescent="0.2">
      <c r="A98" s="16" t="s">
        <v>21</v>
      </c>
      <c r="B98" s="17">
        <v>8093</v>
      </c>
      <c r="C98" s="17">
        <v>7461</v>
      </c>
      <c r="D98" s="43">
        <f t="shared" si="3"/>
        <v>92.190782157419989</v>
      </c>
      <c r="E98" s="21" t="s">
        <v>22</v>
      </c>
    </row>
    <row r="99" spans="1:5" s="7" customFormat="1" ht="13.5" customHeight="1" x14ac:dyDescent="0.2">
      <c r="A99" s="16" t="s">
        <v>23</v>
      </c>
      <c r="B99" s="17">
        <v>7692</v>
      </c>
      <c r="C99" s="17">
        <v>7067</v>
      </c>
      <c r="D99" s="43">
        <f t="shared" si="3"/>
        <v>91.87467498699948</v>
      </c>
      <c r="E99" s="21" t="s">
        <v>24</v>
      </c>
    </row>
    <row r="100" spans="1:5" s="7" customFormat="1" ht="13.5" customHeight="1" x14ac:dyDescent="0.2">
      <c r="A100" s="16" t="s">
        <v>25</v>
      </c>
      <c r="B100" s="17">
        <v>10325</v>
      </c>
      <c r="C100" s="17">
        <v>9414</v>
      </c>
      <c r="D100" s="43">
        <f t="shared" si="3"/>
        <v>91.176755447941886</v>
      </c>
      <c r="E100" s="21" t="s">
        <v>26</v>
      </c>
    </row>
    <row r="101" spans="1:5" s="7" customFormat="1" ht="13.5" customHeight="1" x14ac:dyDescent="0.2">
      <c r="A101" s="16" t="s">
        <v>27</v>
      </c>
      <c r="B101" s="17">
        <v>6829</v>
      </c>
      <c r="C101" s="17">
        <v>6322</v>
      </c>
      <c r="D101" s="43">
        <f t="shared" si="3"/>
        <v>92.575779762776406</v>
      </c>
      <c r="E101" s="21" t="s">
        <v>28</v>
      </c>
    </row>
    <row r="102" spans="1:5" s="7" customFormat="1" ht="13.5" customHeight="1" x14ac:dyDescent="0.2">
      <c r="A102" s="16" t="s">
        <v>29</v>
      </c>
      <c r="B102" s="17">
        <v>6079</v>
      </c>
      <c r="C102" s="17">
        <v>5619</v>
      </c>
      <c r="D102" s="43">
        <f t="shared" si="3"/>
        <v>92.432965948346762</v>
      </c>
      <c r="E102" s="21" t="s">
        <v>30</v>
      </c>
    </row>
    <row r="103" spans="1:5" s="7" customFormat="1" ht="13.5" customHeight="1" x14ac:dyDescent="0.2">
      <c r="A103" s="16" t="s">
        <v>31</v>
      </c>
      <c r="B103" s="17">
        <v>8447</v>
      </c>
      <c r="C103" s="17">
        <v>7855</v>
      </c>
      <c r="D103" s="43">
        <f t="shared" si="3"/>
        <v>92.991594648987814</v>
      </c>
      <c r="E103" s="21" t="s">
        <v>32</v>
      </c>
    </row>
    <row r="104" spans="1:5" s="7" customFormat="1" ht="13.5" customHeight="1" x14ac:dyDescent="0.2">
      <c r="A104" s="16" t="s">
        <v>33</v>
      </c>
      <c r="B104" s="17">
        <v>4313</v>
      </c>
      <c r="C104" s="17">
        <v>3950</v>
      </c>
      <c r="D104" s="43">
        <f t="shared" si="3"/>
        <v>91.583584511940643</v>
      </c>
      <c r="E104" s="21" t="s">
        <v>34</v>
      </c>
    </row>
    <row r="105" spans="1:5" s="7" customFormat="1" ht="13.5" customHeight="1" x14ac:dyDescent="0.2">
      <c r="A105" s="16" t="s">
        <v>35</v>
      </c>
      <c r="B105" s="17">
        <v>6416</v>
      </c>
      <c r="C105" s="17">
        <v>5878</v>
      </c>
      <c r="D105" s="43">
        <f t="shared" si="3"/>
        <v>91.614713216957611</v>
      </c>
      <c r="E105" s="21" t="s">
        <v>36</v>
      </c>
    </row>
    <row r="106" spans="1:5" s="7" customFormat="1" ht="13.5" customHeight="1" x14ac:dyDescent="0.2">
      <c r="A106" s="16" t="s">
        <v>37</v>
      </c>
      <c r="B106" s="44">
        <v>1191</v>
      </c>
      <c r="C106" s="17">
        <v>1078</v>
      </c>
      <c r="D106" s="43">
        <f t="shared" si="3"/>
        <v>90.51217464315701</v>
      </c>
      <c r="E106" s="21" t="s">
        <v>38</v>
      </c>
    </row>
    <row r="107" spans="1:5" s="7" customFormat="1" ht="13.5" customHeight="1" x14ac:dyDescent="0.2">
      <c r="A107" s="16" t="s">
        <v>39</v>
      </c>
      <c r="B107" s="44">
        <v>3517</v>
      </c>
      <c r="C107" s="17">
        <v>3251</v>
      </c>
      <c r="D107" s="43">
        <f t="shared" si="3"/>
        <v>92.436735854421386</v>
      </c>
      <c r="E107" s="21" t="s">
        <v>40</v>
      </c>
    </row>
    <row r="108" spans="1:5" s="7" customFormat="1" ht="13.5" customHeight="1" x14ac:dyDescent="0.2">
      <c r="A108" s="16" t="s">
        <v>41</v>
      </c>
      <c r="B108" s="44">
        <v>2778</v>
      </c>
      <c r="C108" s="17">
        <v>2630</v>
      </c>
      <c r="D108" s="43">
        <f t="shared" si="3"/>
        <v>94.67242620590352</v>
      </c>
      <c r="E108" s="21" t="s">
        <v>42</v>
      </c>
    </row>
    <row r="109" spans="1:5" s="7" customFormat="1" ht="32.25" customHeight="1" x14ac:dyDescent="0.2">
      <c r="A109" s="16" t="s">
        <v>43</v>
      </c>
      <c r="B109" s="44">
        <v>3973</v>
      </c>
      <c r="C109" s="17">
        <v>3797</v>
      </c>
      <c r="D109" s="43">
        <f t="shared" si="3"/>
        <v>95.570098162597532</v>
      </c>
      <c r="E109" s="21" t="s">
        <v>44</v>
      </c>
    </row>
    <row r="110" spans="1:5" s="7" customFormat="1" ht="13.5" customHeight="1" x14ac:dyDescent="0.2">
      <c r="A110" s="16" t="s">
        <v>45</v>
      </c>
      <c r="B110" s="44">
        <v>6640</v>
      </c>
      <c r="C110" s="17">
        <v>6059</v>
      </c>
      <c r="D110" s="43">
        <f t="shared" si="3"/>
        <v>91.25</v>
      </c>
      <c r="E110" s="21" t="s">
        <v>46</v>
      </c>
    </row>
    <row r="111" spans="1:5" s="7" customFormat="1" ht="13.5" customHeight="1" x14ac:dyDescent="0.2">
      <c r="A111" s="16" t="s">
        <v>47</v>
      </c>
      <c r="B111" s="44">
        <v>8511</v>
      </c>
      <c r="C111" s="17">
        <v>7971</v>
      </c>
      <c r="D111" s="43">
        <f t="shared" si="3"/>
        <v>93.655269651039831</v>
      </c>
      <c r="E111" s="21" t="s">
        <v>48</v>
      </c>
    </row>
    <row r="112" spans="1:5" s="5" customFormat="1" ht="13.5" customHeight="1" x14ac:dyDescent="0.2">
      <c r="A112" s="22" t="s">
        <v>49</v>
      </c>
      <c r="B112" s="17">
        <v>5507</v>
      </c>
      <c r="C112" s="17">
        <v>5132</v>
      </c>
      <c r="D112" s="43">
        <f t="shared" si="3"/>
        <v>93.190484837479573</v>
      </c>
      <c r="E112" s="23" t="s">
        <v>50</v>
      </c>
    </row>
    <row r="113" spans="1:5" s="5" customFormat="1" ht="13.5" customHeight="1" x14ac:dyDescent="0.2">
      <c r="A113" s="16" t="s">
        <v>51</v>
      </c>
      <c r="B113" s="44">
        <v>8156</v>
      </c>
      <c r="C113" s="17">
        <v>7151</v>
      </c>
      <c r="D113" s="43">
        <f t="shared" si="3"/>
        <v>87.677783227072098</v>
      </c>
      <c r="E113" s="21" t="s">
        <v>52</v>
      </c>
    </row>
    <row r="114" spans="1:5" s="5" customFormat="1" ht="13.5" customHeight="1" x14ac:dyDescent="0.2">
      <c r="A114" s="16" t="s">
        <v>53</v>
      </c>
      <c r="B114" s="44">
        <v>4958</v>
      </c>
      <c r="C114" s="17">
        <v>4653</v>
      </c>
      <c r="D114" s="43">
        <f t="shared" si="3"/>
        <v>93.848325937878172</v>
      </c>
      <c r="E114" s="21" t="s">
        <v>54</v>
      </c>
    </row>
    <row r="115" spans="1:5" s="5" customFormat="1" ht="13.5" customHeight="1" x14ac:dyDescent="0.2">
      <c r="A115" s="24" t="s">
        <v>55</v>
      </c>
      <c r="B115" s="45">
        <v>13784</v>
      </c>
      <c r="C115" s="45">
        <v>12153</v>
      </c>
      <c r="D115" s="46">
        <f t="shared" si="3"/>
        <v>88.16744051073708</v>
      </c>
      <c r="E115" s="25" t="s">
        <v>56</v>
      </c>
    </row>
    <row r="116" spans="1:5" s="5" customFormat="1" ht="25.5" x14ac:dyDescent="0.2">
      <c r="A116" s="18" t="s">
        <v>57</v>
      </c>
      <c r="B116" s="47">
        <f>SUM(B117:B136)</f>
        <v>42536</v>
      </c>
      <c r="C116" s="47">
        <f>SUM(C117:C136)</f>
        <v>40713</v>
      </c>
      <c r="D116" s="48">
        <f t="shared" si="3"/>
        <v>95.714218544291896</v>
      </c>
      <c r="E116" s="26" t="s">
        <v>58</v>
      </c>
    </row>
    <row r="117" spans="1:5" s="5" customFormat="1" ht="13.5" customHeight="1" x14ac:dyDescent="0.2">
      <c r="A117" s="16" t="s">
        <v>17</v>
      </c>
      <c r="B117" s="44">
        <v>3755</v>
      </c>
      <c r="C117" s="17">
        <v>3634</v>
      </c>
      <c r="D117" s="43">
        <f t="shared" si="3"/>
        <v>96.777629826897467</v>
      </c>
      <c r="E117" s="21" t="s">
        <v>18</v>
      </c>
    </row>
    <row r="118" spans="1:5" s="5" customFormat="1" ht="13.5" customHeight="1" x14ac:dyDescent="0.2">
      <c r="A118" s="16" t="s">
        <v>19</v>
      </c>
      <c r="B118" s="17">
        <v>2730</v>
      </c>
      <c r="C118" s="44">
        <v>2579</v>
      </c>
      <c r="D118" s="43">
        <f t="shared" si="3"/>
        <v>94.468864468864467</v>
      </c>
      <c r="E118" s="21" t="s">
        <v>20</v>
      </c>
    </row>
    <row r="119" spans="1:5" s="5" customFormat="1" ht="13.5" customHeight="1" x14ac:dyDescent="0.2">
      <c r="A119" s="16" t="s">
        <v>21</v>
      </c>
      <c r="B119" s="17">
        <v>1919</v>
      </c>
      <c r="C119" s="17">
        <v>1819</v>
      </c>
      <c r="D119" s="43">
        <f t="shared" si="3"/>
        <v>94.788952579468472</v>
      </c>
      <c r="E119" s="21" t="s">
        <v>22</v>
      </c>
    </row>
    <row r="120" spans="1:5" s="5" customFormat="1" ht="13.5" customHeight="1" x14ac:dyDescent="0.2">
      <c r="A120" s="16" t="s">
        <v>23</v>
      </c>
      <c r="B120" s="17">
        <v>2066</v>
      </c>
      <c r="C120" s="17">
        <v>1968</v>
      </c>
      <c r="D120" s="43">
        <f t="shared" si="3"/>
        <v>95.256534365924495</v>
      </c>
      <c r="E120" s="21" t="s">
        <v>24</v>
      </c>
    </row>
    <row r="121" spans="1:5" s="5" customFormat="1" ht="13.5" customHeight="1" x14ac:dyDescent="0.2">
      <c r="A121" s="16" t="s">
        <v>25</v>
      </c>
      <c r="B121" s="17">
        <v>3012</v>
      </c>
      <c r="C121" s="17">
        <v>2859</v>
      </c>
      <c r="D121" s="43">
        <f t="shared" si="3"/>
        <v>94.920318725099605</v>
      </c>
      <c r="E121" s="21" t="s">
        <v>26</v>
      </c>
    </row>
    <row r="122" spans="1:5" s="5" customFormat="1" ht="13.5" customHeight="1" x14ac:dyDescent="0.2">
      <c r="A122" s="16" t="s">
        <v>27</v>
      </c>
      <c r="B122" s="17">
        <v>2225</v>
      </c>
      <c r="C122" s="17">
        <v>2137</v>
      </c>
      <c r="D122" s="43">
        <f t="shared" si="3"/>
        <v>96.044943820224717</v>
      </c>
      <c r="E122" s="21" t="s">
        <v>28</v>
      </c>
    </row>
    <row r="123" spans="1:5" s="5" customFormat="1" ht="13.5" customHeight="1" x14ac:dyDescent="0.2">
      <c r="A123" s="16" t="s">
        <v>29</v>
      </c>
      <c r="B123" s="17">
        <v>1943</v>
      </c>
      <c r="C123" s="17">
        <v>1873</v>
      </c>
      <c r="D123" s="43">
        <f t="shared" si="3"/>
        <v>96.397323726196603</v>
      </c>
      <c r="E123" s="21" t="s">
        <v>30</v>
      </c>
    </row>
    <row r="124" spans="1:5" s="5" customFormat="1" ht="13.5" customHeight="1" x14ac:dyDescent="0.2">
      <c r="A124" s="16" t="s">
        <v>31</v>
      </c>
      <c r="B124" s="17">
        <v>931</v>
      </c>
      <c r="C124" s="17">
        <v>883</v>
      </c>
      <c r="D124" s="43">
        <f t="shared" si="3"/>
        <v>94.844253490870031</v>
      </c>
      <c r="E124" s="21" t="s">
        <v>32</v>
      </c>
    </row>
    <row r="125" spans="1:5" s="5" customFormat="1" ht="13.5" customHeight="1" x14ac:dyDescent="0.2">
      <c r="A125" s="16" t="s">
        <v>33</v>
      </c>
      <c r="B125" s="17">
        <v>745</v>
      </c>
      <c r="C125" s="17">
        <v>718</v>
      </c>
      <c r="D125" s="43">
        <f t="shared" si="3"/>
        <v>96.375838926174495</v>
      </c>
      <c r="E125" s="21" t="s">
        <v>34</v>
      </c>
    </row>
    <row r="126" spans="1:5" s="5" customFormat="1" ht="13.5" customHeight="1" x14ac:dyDescent="0.2">
      <c r="A126" s="16" t="s">
        <v>35</v>
      </c>
      <c r="B126" s="17">
        <v>911</v>
      </c>
      <c r="C126" s="17">
        <v>872</v>
      </c>
      <c r="D126" s="43">
        <f>C126/B126*100</f>
        <v>95.718990120746426</v>
      </c>
      <c r="E126" s="21" t="s">
        <v>36</v>
      </c>
    </row>
    <row r="127" spans="1:5" s="5" customFormat="1" ht="13.5" customHeight="1" x14ac:dyDescent="0.2">
      <c r="A127" s="16" t="s">
        <v>37</v>
      </c>
      <c r="B127" s="17">
        <v>450</v>
      </c>
      <c r="C127" s="17">
        <v>441</v>
      </c>
      <c r="D127" s="43">
        <f>C127/B127*100</f>
        <v>98</v>
      </c>
      <c r="E127" s="21" t="s">
        <v>38</v>
      </c>
    </row>
    <row r="128" spans="1:5" s="5" customFormat="1" ht="13.5" customHeight="1" x14ac:dyDescent="0.2">
      <c r="A128" s="16" t="s">
        <v>39</v>
      </c>
      <c r="B128" s="17">
        <v>1176</v>
      </c>
      <c r="C128" s="17">
        <v>1125</v>
      </c>
      <c r="D128" s="43">
        <f t="shared" si="3"/>
        <v>95.66326530612244</v>
      </c>
      <c r="E128" s="21" t="s">
        <v>40</v>
      </c>
    </row>
    <row r="129" spans="1:5" s="5" customFormat="1" ht="13.5" customHeight="1" x14ac:dyDescent="0.2">
      <c r="A129" s="16" t="s">
        <v>41</v>
      </c>
      <c r="B129" s="17">
        <v>641</v>
      </c>
      <c r="C129" s="17">
        <v>616</v>
      </c>
      <c r="D129" s="43">
        <f t="shared" si="3"/>
        <v>96.099843993759748</v>
      </c>
      <c r="E129" s="21" t="s">
        <v>42</v>
      </c>
    </row>
    <row r="130" spans="1:5" s="7" customFormat="1" ht="17.25" customHeight="1" x14ac:dyDescent="0.2">
      <c r="A130" s="16" t="s">
        <v>43</v>
      </c>
      <c r="B130" s="17">
        <v>1080</v>
      </c>
      <c r="C130" s="17">
        <v>1050</v>
      </c>
      <c r="D130" s="43">
        <f t="shared" si="3"/>
        <v>97.222222222222214</v>
      </c>
      <c r="E130" s="21" t="s">
        <v>44</v>
      </c>
    </row>
    <row r="131" spans="1:5" s="5" customFormat="1" ht="17.25" customHeight="1" x14ac:dyDescent="0.2">
      <c r="A131" s="16" t="s">
        <v>45</v>
      </c>
      <c r="B131" s="17">
        <v>3005</v>
      </c>
      <c r="C131" s="17">
        <v>2918</v>
      </c>
      <c r="D131" s="43">
        <f t="shared" si="3"/>
        <v>97.104825291181356</v>
      </c>
      <c r="E131" s="21" t="s">
        <v>46</v>
      </c>
    </row>
    <row r="132" spans="1:5" s="5" customFormat="1" ht="17.25" customHeight="1" x14ac:dyDescent="0.2">
      <c r="A132" s="16" t="s">
        <v>47</v>
      </c>
      <c r="B132" s="17">
        <v>1983</v>
      </c>
      <c r="C132" s="17">
        <v>1891</v>
      </c>
      <c r="D132" s="43">
        <f t="shared" si="3"/>
        <v>95.360564800806856</v>
      </c>
      <c r="E132" s="21" t="s">
        <v>48</v>
      </c>
    </row>
    <row r="133" spans="1:5" s="5" customFormat="1" ht="17.25" customHeight="1" x14ac:dyDescent="0.2">
      <c r="A133" s="22" t="s">
        <v>49</v>
      </c>
      <c r="B133" s="17">
        <v>2750</v>
      </c>
      <c r="C133" s="17">
        <v>2662</v>
      </c>
      <c r="D133" s="43">
        <f t="shared" si="3"/>
        <v>96.8</v>
      </c>
      <c r="E133" s="23" t="s">
        <v>50</v>
      </c>
    </row>
    <row r="134" spans="1:5" s="5" customFormat="1" ht="17.25" customHeight="1" x14ac:dyDescent="0.2">
      <c r="A134" s="16" t="s">
        <v>51</v>
      </c>
      <c r="B134" s="17">
        <v>3967</v>
      </c>
      <c r="C134" s="44">
        <v>3762</v>
      </c>
      <c r="D134" s="43">
        <f t="shared" si="3"/>
        <v>94.832367027980851</v>
      </c>
      <c r="E134" s="21" t="s">
        <v>52</v>
      </c>
    </row>
    <row r="135" spans="1:5" s="5" customFormat="1" ht="17.25" customHeight="1" x14ac:dyDescent="0.2">
      <c r="A135" s="16" t="s">
        <v>53</v>
      </c>
      <c r="B135" s="17">
        <v>1620</v>
      </c>
      <c r="C135" s="17">
        <v>1561</v>
      </c>
      <c r="D135" s="43">
        <f t="shared" si="3"/>
        <v>96.358024691358025</v>
      </c>
      <c r="E135" s="21" t="s">
        <v>54</v>
      </c>
    </row>
    <row r="136" spans="1:5" s="5" customFormat="1" ht="17.25" customHeight="1" x14ac:dyDescent="0.2">
      <c r="A136" s="24" t="s">
        <v>55</v>
      </c>
      <c r="B136" s="45">
        <v>5627</v>
      </c>
      <c r="C136" s="45">
        <v>5345</v>
      </c>
      <c r="D136" s="46">
        <f t="shared" si="3"/>
        <v>94.988448551626092</v>
      </c>
      <c r="E136" s="25" t="s">
        <v>56</v>
      </c>
    </row>
    <row r="137" spans="1:5" s="7" customFormat="1" ht="38.25" customHeight="1" x14ac:dyDescent="0.5">
      <c r="A137" s="27" t="s">
        <v>69</v>
      </c>
      <c r="B137" s="47">
        <f>SUM(B138:B143)</f>
        <v>43004</v>
      </c>
      <c r="C137" s="47">
        <f>SUM(C138:C143)</f>
        <v>37533</v>
      </c>
      <c r="D137" s="48">
        <f t="shared" si="3"/>
        <v>87.277927634638644</v>
      </c>
      <c r="E137" s="28" t="s">
        <v>70</v>
      </c>
    </row>
    <row r="138" spans="1:5" s="5" customFormat="1" ht="18" customHeight="1" x14ac:dyDescent="0.5">
      <c r="A138" s="5" t="s">
        <v>71</v>
      </c>
      <c r="B138" s="17">
        <v>9811</v>
      </c>
      <c r="C138" s="17">
        <v>8336</v>
      </c>
      <c r="D138" s="43">
        <f t="shared" si="3"/>
        <v>84.965854652940578</v>
      </c>
      <c r="E138" s="29" t="s">
        <v>72</v>
      </c>
    </row>
    <row r="139" spans="1:5" s="5" customFormat="1" ht="18" customHeight="1" x14ac:dyDescent="0.5">
      <c r="A139" s="5" t="s">
        <v>73</v>
      </c>
      <c r="B139" s="17">
        <v>6731</v>
      </c>
      <c r="C139" s="17">
        <v>5852</v>
      </c>
      <c r="D139" s="43">
        <f t="shared" si="3"/>
        <v>86.941019165057199</v>
      </c>
      <c r="E139" s="29" t="s">
        <v>74</v>
      </c>
    </row>
    <row r="140" spans="1:5" s="5" customFormat="1" ht="18" customHeight="1" x14ac:dyDescent="0.5">
      <c r="A140" s="5" t="s">
        <v>75</v>
      </c>
      <c r="B140" s="17">
        <v>6652</v>
      </c>
      <c r="C140" s="17">
        <v>5692</v>
      </c>
      <c r="D140" s="43">
        <f t="shared" si="3"/>
        <v>85.568250150330726</v>
      </c>
      <c r="E140" s="29" t="s">
        <v>76</v>
      </c>
    </row>
    <row r="141" spans="1:5" s="30" customFormat="1" ht="29.25" customHeight="1" x14ac:dyDescent="0.5">
      <c r="A141" s="5" t="s">
        <v>77</v>
      </c>
      <c r="B141" s="17">
        <v>13986</v>
      </c>
      <c r="C141" s="17">
        <v>12137</v>
      </c>
      <c r="D141" s="43">
        <f t="shared" si="3"/>
        <v>86.779636779636775</v>
      </c>
      <c r="E141" s="29" t="s">
        <v>78</v>
      </c>
    </row>
    <row r="142" spans="1:5" s="5" customFormat="1" ht="17.25" customHeight="1" x14ac:dyDescent="0.5">
      <c r="A142" s="5" t="s">
        <v>79</v>
      </c>
      <c r="B142" s="17">
        <v>2149</v>
      </c>
      <c r="C142" s="17">
        <v>2052</v>
      </c>
      <c r="D142" s="43">
        <f t="shared" si="3"/>
        <v>95.486272684969748</v>
      </c>
      <c r="E142" s="29" t="s">
        <v>80</v>
      </c>
    </row>
    <row r="143" spans="1:5" s="5" customFormat="1" ht="17.25" customHeight="1" x14ac:dyDescent="0.5">
      <c r="A143" s="31" t="s">
        <v>81</v>
      </c>
      <c r="B143" s="45">
        <v>3675</v>
      </c>
      <c r="C143" s="45">
        <v>3464</v>
      </c>
      <c r="D143" s="46">
        <f t="shared" si="3"/>
        <v>94.258503401360542</v>
      </c>
      <c r="E143" s="32" t="s">
        <v>82</v>
      </c>
    </row>
    <row r="144" spans="1:5" s="5" customFormat="1" ht="37.5" x14ac:dyDescent="0.2">
      <c r="A144" s="33" t="s">
        <v>83</v>
      </c>
      <c r="B144" s="47">
        <f>SUM(B145:B147)</f>
        <v>893</v>
      </c>
      <c r="C144" s="47">
        <f>SUM(C145:C147)</f>
        <v>844</v>
      </c>
      <c r="D144" s="49">
        <f t="shared" si="3"/>
        <v>94.512877939529673</v>
      </c>
      <c r="E144" s="34" t="s">
        <v>84</v>
      </c>
    </row>
    <row r="145" spans="1:5" s="5" customFormat="1" ht="17.25" customHeight="1" x14ac:dyDescent="0.5">
      <c r="A145" s="5" t="s">
        <v>31</v>
      </c>
      <c r="B145" s="17">
        <v>650</v>
      </c>
      <c r="C145" s="17">
        <v>619</v>
      </c>
      <c r="D145" s="43">
        <f t="shared" si="3"/>
        <v>95.230769230769226</v>
      </c>
      <c r="E145" s="29" t="s">
        <v>32</v>
      </c>
    </row>
    <row r="146" spans="1:5" s="5" customFormat="1" ht="17.25" customHeight="1" x14ac:dyDescent="0.5">
      <c r="A146" s="5" t="s">
        <v>47</v>
      </c>
      <c r="B146" s="17">
        <v>141</v>
      </c>
      <c r="C146" s="17">
        <v>134</v>
      </c>
      <c r="D146" s="43">
        <f t="shared" si="3"/>
        <v>95.035460992907801</v>
      </c>
      <c r="E146" s="29" t="s">
        <v>48</v>
      </c>
    </row>
    <row r="147" spans="1:5" s="5" customFormat="1" ht="17.25" customHeight="1" x14ac:dyDescent="0.5">
      <c r="A147" s="35" t="s">
        <v>49</v>
      </c>
      <c r="B147" s="50">
        <v>102</v>
      </c>
      <c r="C147" s="50">
        <v>91</v>
      </c>
      <c r="D147" s="51">
        <f t="shared" si="3"/>
        <v>89.215686274509807</v>
      </c>
      <c r="E147" s="36" t="s">
        <v>50</v>
      </c>
    </row>
    <row r="148" spans="1:5" s="5" customFormat="1" ht="17.25" customHeight="1" x14ac:dyDescent="0.5">
      <c r="A148" s="37" t="s">
        <v>85</v>
      </c>
      <c r="B148" s="47">
        <f>SUM(B149:B159)</f>
        <v>6522</v>
      </c>
      <c r="C148" s="47">
        <f>SUM(C149:C159)</f>
        <v>6172</v>
      </c>
      <c r="D148" s="49">
        <f t="shared" si="3"/>
        <v>94.633547991413678</v>
      </c>
      <c r="E148" s="28" t="s">
        <v>86</v>
      </c>
    </row>
    <row r="149" spans="1:5" s="5" customFormat="1" ht="17.25" customHeight="1" x14ac:dyDescent="0.5">
      <c r="A149" s="38" t="s">
        <v>17</v>
      </c>
      <c r="B149" s="17">
        <v>173</v>
      </c>
      <c r="C149" s="17">
        <v>169</v>
      </c>
      <c r="D149" s="43">
        <f t="shared" si="3"/>
        <v>97.687861271676297</v>
      </c>
      <c r="E149" s="29" t="s">
        <v>18</v>
      </c>
    </row>
    <row r="150" spans="1:5" s="5" customFormat="1" ht="17.25" customHeight="1" x14ac:dyDescent="0.5">
      <c r="A150" s="38" t="s">
        <v>21</v>
      </c>
      <c r="B150" s="17">
        <v>103</v>
      </c>
      <c r="C150" s="17">
        <v>99</v>
      </c>
      <c r="D150" s="43">
        <f t="shared" si="3"/>
        <v>96.116504854368941</v>
      </c>
      <c r="E150" s="29" t="s">
        <v>22</v>
      </c>
    </row>
    <row r="151" spans="1:5" s="5" customFormat="1" ht="17.25" customHeight="1" x14ac:dyDescent="0.5">
      <c r="A151" s="38" t="s">
        <v>23</v>
      </c>
      <c r="B151" s="17">
        <v>418</v>
      </c>
      <c r="C151" s="17">
        <v>388</v>
      </c>
      <c r="D151" s="43">
        <f t="shared" si="3"/>
        <v>92.822966507177028</v>
      </c>
      <c r="E151" s="29" t="s">
        <v>24</v>
      </c>
    </row>
    <row r="152" spans="1:5" s="5" customFormat="1" ht="17.25" customHeight="1" x14ac:dyDescent="0.5">
      <c r="A152" s="38" t="s">
        <v>27</v>
      </c>
      <c r="B152" s="17">
        <v>502</v>
      </c>
      <c r="C152" s="17">
        <v>473</v>
      </c>
      <c r="D152" s="43">
        <f t="shared" si="3"/>
        <v>94.223107569721122</v>
      </c>
      <c r="E152" s="29" t="s">
        <v>28</v>
      </c>
    </row>
    <row r="153" spans="1:5" s="11" customFormat="1" ht="37.5" customHeight="1" x14ac:dyDescent="0.5">
      <c r="A153" s="38" t="s">
        <v>29</v>
      </c>
      <c r="B153" s="17">
        <v>346</v>
      </c>
      <c r="C153" s="17">
        <v>333</v>
      </c>
      <c r="D153" s="43">
        <f t="shared" si="3"/>
        <v>96.242774566473983</v>
      </c>
      <c r="E153" s="29" t="s">
        <v>30</v>
      </c>
    </row>
    <row r="154" spans="1:5" s="5" customFormat="1" ht="17.25" customHeight="1" x14ac:dyDescent="0.5">
      <c r="A154" s="38" t="s">
        <v>31</v>
      </c>
      <c r="B154" s="17">
        <v>3031</v>
      </c>
      <c r="C154" s="17">
        <v>2867</v>
      </c>
      <c r="D154" s="43">
        <f t="shared" si="3"/>
        <v>94.589244473771032</v>
      </c>
      <c r="E154" s="29" t="s">
        <v>32</v>
      </c>
    </row>
    <row r="155" spans="1:5" s="5" customFormat="1" ht="17.25" customHeight="1" x14ac:dyDescent="0.5">
      <c r="A155" s="38" t="s">
        <v>33</v>
      </c>
      <c r="B155" s="17">
        <v>605</v>
      </c>
      <c r="C155" s="17">
        <v>575</v>
      </c>
      <c r="D155" s="43">
        <f t="shared" si="3"/>
        <v>95.041322314049594</v>
      </c>
      <c r="E155" s="29" t="s">
        <v>34</v>
      </c>
    </row>
    <row r="156" spans="1:5" s="5" customFormat="1" ht="17.25" customHeight="1" x14ac:dyDescent="0.5">
      <c r="A156" s="38" t="s">
        <v>35</v>
      </c>
      <c r="B156" s="17">
        <v>917</v>
      </c>
      <c r="C156" s="17">
        <v>868</v>
      </c>
      <c r="D156" s="43">
        <f t="shared" si="3"/>
        <v>94.656488549618317</v>
      </c>
      <c r="E156" s="29" t="s">
        <v>36</v>
      </c>
    </row>
    <row r="157" spans="1:5" s="5" customFormat="1" ht="17.25" customHeight="1" x14ac:dyDescent="0.5">
      <c r="A157" s="38" t="s">
        <v>41</v>
      </c>
      <c r="B157" s="17" t="s">
        <v>0</v>
      </c>
      <c r="C157" s="17" t="s">
        <v>0</v>
      </c>
      <c r="D157" s="43"/>
      <c r="E157" s="29" t="s">
        <v>42</v>
      </c>
    </row>
    <row r="158" spans="1:5" s="5" customFormat="1" ht="17.25" customHeight="1" x14ac:dyDescent="0.5">
      <c r="A158" s="38" t="s">
        <v>43</v>
      </c>
      <c r="B158" s="17">
        <v>100</v>
      </c>
      <c r="C158" s="17">
        <v>93</v>
      </c>
      <c r="D158" s="43">
        <f t="shared" ref="D158:D165" si="4">C158/B158*100</f>
        <v>93</v>
      </c>
      <c r="E158" s="29" t="s">
        <v>44</v>
      </c>
    </row>
    <row r="159" spans="1:5" s="39" customFormat="1" ht="15.75" customHeight="1" x14ac:dyDescent="0.5">
      <c r="A159" s="52" t="s">
        <v>49</v>
      </c>
      <c r="B159" s="50">
        <v>327</v>
      </c>
      <c r="C159" s="50">
        <v>307</v>
      </c>
      <c r="D159" s="51">
        <f t="shared" si="4"/>
        <v>93.883792048929664</v>
      </c>
      <c r="E159" s="36" t="s">
        <v>50</v>
      </c>
    </row>
    <row r="160" spans="1:5" s="39" customFormat="1" ht="37.5" x14ac:dyDescent="0.2">
      <c r="A160" s="37" t="s">
        <v>87</v>
      </c>
      <c r="B160" s="47">
        <f>SUM(B161:B165)</f>
        <v>6348</v>
      </c>
      <c r="C160" s="47">
        <f>SUM(C161:C165)</f>
        <v>5378</v>
      </c>
      <c r="D160" s="49">
        <f t="shared" si="4"/>
        <v>84.71959672337745</v>
      </c>
      <c r="E160" s="34" t="s">
        <v>88</v>
      </c>
    </row>
    <row r="161" spans="1:5" s="39" customFormat="1" ht="18.75" x14ac:dyDescent="0.5">
      <c r="A161" s="5" t="s">
        <v>89</v>
      </c>
      <c r="B161" s="17">
        <v>2690</v>
      </c>
      <c r="C161" s="17">
        <v>2430</v>
      </c>
      <c r="D161" s="43">
        <f t="shared" si="4"/>
        <v>90.334572490706321</v>
      </c>
      <c r="E161" s="29" t="s">
        <v>90</v>
      </c>
    </row>
    <row r="162" spans="1:5" s="39" customFormat="1" ht="18.75" x14ac:dyDescent="0.5">
      <c r="A162" s="5" t="s">
        <v>91</v>
      </c>
      <c r="B162" s="17">
        <v>1428</v>
      </c>
      <c r="C162" s="17">
        <v>1224</v>
      </c>
      <c r="D162" s="43">
        <f t="shared" si="4"/>
        <v>85.714285714285708</v>
      </c>
      <c r="E162" s="29" t="s">
        <v>92</v>
      </c>
    </row>
    <row r="163" spans="1:5" s="39" customFormat="1" ht="18.75" x14ac:dyDescent="0.5">
      <c r="A163" s="5" t="s">
        <v>103</v>
      </c>
      <c r="B163" s="17">
        <v>190</v>
      </c>
      <c r="C163" s="17">
        <v>177</v>
      </c>
      <c r="D163" s="43">
        <f t="shared" si="4"/>
        <v>93.15789473684211</v>
      </c>
      <c r="E163" s="29" t="s">
        <v>104</v>
      </c>
    </row>
    <row r="164" spans="1:5" s="39" customFormat="1" ht="18.75" x14ac:dyDescent="0.5">
      <c r="A164" s="5" t="s">
        <v>93</v>
      </c>
      <c r="B164" s="17">
        <v>1698</v>
      </c>
      <c r="C164" s="17">
        <v>1315</v>
      </c>
      <c r="D164" s="43">
        <f t="shared" si="4"/>
        <v>77.444051825677263</v>
      </c>
      <c r="E164" s="29" t="s">
        <v>94</v>
      </c>
    </row>
    <row r="165" spans="1:5" s="39" customFormat="1" ht="15.75" customHeight="1" x14ac:dyDescent="0.5">
      <c r="A165" s="8" t="s">
        <v>95</v>
      </c>
      <c r="B165" s="53">
        <v>342</v>
      </c>
      <c r="C165" s="53">
        <v>232</v>
      </c>
      <c r="D165" s="54">
        <f t="shared" si="4"/>
        <v>67.836257309941516</v>
      </c>
      <c r="E165" s="40" t="s">
        <v>96</v>
      </c>
    </row>
    <row r="166" spans="1:5" s="39" customFormat="1" ht="15.75" customHeight="1" x14ac:dyDescent="0.2">
      <c r="A166" s="71" t="s">
        <v>97</v>
      </c>
      <c r="B166" s="71"/>
      <c r="C166" s="71"/>
      <c r="D166" s="71"/>
      <c r="E166" s="71"/>
    </row>
    <row r="167" spans="1:5" s="39" customFormat="1" ht="12" x14ac:dyDescent="0.2">
      <c r="A167" s="64" t="s">
        <v>98</v>
      </c>
      <c r="B167" s="64"/>
      <c r="C167" s="64"/>
      <c r="D167" s="64"/>
      <c r="E167" s="64"/>
    </row>
    <row r="168" spans="1:5" s="5" customFormat="1" ht="12.75" x14ac:dyDescent="0.2">
      <c r="A168" s="63" t="s">
        <v>105</v>
      </c>
      <c r="B168" s="61"/>
      <c r="C168" s="61"/>
      <c r="D168" s="61"/>
      <c r="E168" s="63"/>
    </row>
    <row r="169" spans="1:5" s="5" customFormat="1" ht="12.75" x14ac:dyDescent="0.2">
      <c r="A169" s="55" t="s">
        <v>1</v>
      </c>
      <c r="B169" s="56"/>
      <c r="C169" s="56"/>
      <c r="D169" s="57"/>
      <c r="E169" s="39"/>
    </row>
    <row r="170" spans="1:5" ht="17.25" x14ac:dyDescent="0.25">
      <c r="A170" s="72" t="s">
        <v>99</v>
      </c>
      <c r="B170" s="72"/>
      <c r="C170" s="72"/>
      <c r="D170" s="72"/>
      <c r="E170" s="72"/>
    </row>
    <row r="171" spans="1:5" ht="17.25" x14ac:dyDescent="0.25">
      <c r="A171" s="72" t="s">
        <v>100</v>
      </c>
      <c r="B171" s="72"/>
      <c r="C171" s="72"/>
      <c r="D171" s="72"/>
      <c r="E171" s="72"/>
    </row>
    <row r="172" spans="1:5" ht="17.25" x14ac:dyDescent="0.25">
      <c r="A172" s="73" t="s">
        <v>106</v>
      </c>
      <c r="B172" s="73"/>
      <c r="C172" s="73"/>
      <c r="D172" s="73"/>
      <c r="E172" s="73"/>
    </row>
    <row r="173" spans="1:5" ht="18" x14ac:dyDescent="0.45">
      <c r="A173" s="39"/>
      <c r="B173" s="56"/>
      <c r="C173" s="56"/>
      <c r="D173" s="58"/>
      <c r="E173" s="59" t="s">
        <v>2</v>
      </c>
    </row>
    <row r="174" spans="1:5" x14ac:dyDescent="0.25">
      <c r="A174" s="39"/>
      <c r="B174" s="56"/>
      <c r="C174" s="56"/>
      <c r="D174" s="57"/>
      <c r="E174" s="39"/>
    </row>
    <row r="175" spans="1:5" x14ac:dyDescent="0.25">
      <c r="A175" s="5"/>
      <c r="B175" s="17"/>
      <c r="C175" s="17"/>
      <c r="D175" s="6"/>
      <c r="E175" s="5"/>
    </row>
    <row r="176" spans="1:5" x14ac:dyDescent="0.25">
      <c r="A176" s="5"/>
      <c r="B176" s="17"/>
      <c r="C176" s="17"/>
      <c r="D176" s="6"/>
      <c r="E176" s="5"/>
    </row>
    <row r="177" spans="2:4" x14ac:dyDescent="0.25">
      <c r="B177" s="60"/>
      <c r="C177" s="60"/>
      <c r="D177" s="3"/>
    </row>
    <row r="178" spans="2:4" x14ac:dyDescent="0.25">
      <c r="B178" s="60"/>
      <c r="C178" s="60"/>
      <c r="D178" s="3"/>
    </row>
    <row r="179" spans="2:4" x14ac:dyDescent="0.25">
      <c r="B179" s="60"/>
      <c r="C179" s="60"/>
      <c r="D179" s="3"/>
    </row>
    <row r="180" spans="2:4" x14ac:dyDescent="0.25">
      <c r="B180" s="60"/>
      <c r="C180" s="60"/>
      <c r="D180" s="3"/>
    </row>
  </sheetData>
  <mergeCells count="17">
    <mergeCell ref="A166:E166"/>
    <mergeCell ref="A167:E167"/>
    <mergeCell ref="A170:E170"/>
    <mergeCell ref="A171:E171"/>
    <mergeCell ref="A172:E172"/>
    <mergeCell ref="A85:E85"/>
    <mergeCell ref="A86:E86"/>
    <mergeCell ref="A88:E88"/>
    <mergeCell ref="A89:E89"/>
    <mergeCell ref="A91:A92"/>
    <mergeCell ref="E91:E92"/>
    <mergeCell ref="A82:E82"/>
    <mergeCell ref="A1:E1"/>
    <mergeCell ref="A2:E2"/>
    <mergeCell ref="A4:A5"/>
    <mergeCell ref="E4:E5"/>
    <mergeCell ref="A81:E81"/>
  </mergeCells>
  <pageMargins left="0.7" right="0.7" top="0.75" bottom="0.75" header="0.3" footer="0.3"/>
  <pageSetup paperSize="9" scale="78" orientation="portrait" horizontalDpi="4294967295" verticalDpi="4294967295" r:id="rId1"/>
  <rowBreaks count="2" manualBreakCount="2">
    <brk id="61" max="5" man="1"/>
    <brk id="8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2019-09-11T06:02:29Z</cp:lastPrinted>
  <dcterms:created xsi:type="dcterms:W3CDTF">2019-09-10T03:17:03Z</dcterms:created>
  <dcterms:modified xsi:type="dcterms:W3CDTF">2019-09-11T06:02:48Z</dcterms:modified>
</cp:coreProperties>
</file>