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0.TOURISM\"/>
    </mc:Choice>
  </mc:AlternateContent>
  <bookViews>
    <workbookView xWindow="0" yWindow="0" windowWidth="28800" windowHeight="12330" tabRatio="829"/>
  </bookViews>
  <sheets>
    <sheet name="10.2" sheetId="2" r:id="rId1"/>
  </sheets>
  <definedNames>
    <definedName name="_xlnm.Print_Area" localSheetId="0">'10.2'!$A$1:$J$76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2" l="1"/>
  <c r="G24" i="2"/>
  <c r="F24" i="2"/>
  <c r="E24" i="2"/>
  <c r="D24" i="2"/>
  <c r="C24" i="2"/>
  <c r="B24" i="2"/>
  <c r="H18" i="2"/>
  <c r="G18" i="2"/>
  <c r="F18" i="2"/>
  <c r="E18" i="2"/>
  <c r="D18" i="2"/>
  <c r="C18" i="2"/>
  <c r="B18" i="2"/>
  <c r="H12" i="2"/>
  <c r="G12" i="2"/>
  <c r="F12" i="2"/>
  <c r="E12" i="2"/>
  <c r="D12" i="2"/>
  <c r="C12" i="2"/>
  <c r="B12" i="2"/>
  <c r="H6" i="2"/>
  <c r="G6" i="2"/>
  <c r="F6" i="2"/>
  <c r="E6" i="2"/>
  <c r="D6" i="2"/>
  <c r="C6" i="2"/>
  <c r="B6" i="2"/>
  <c r="S46" i="2" l="1"/>
  <c r="S43" i="2"/>
  <c r="S39" i="2"/>
  <c r="S36" i="2"/>
  <c r="S37" i="2"/>
  <c r="S38" i="2"/>
  <c r="S44" i="2"/>
  <c r="S45" i="2"/>
</calcChain>
</file>

<file path=xl/sharedStrings.xml><?xml version="1.0" encoding="utf-8"?>
<sst xmlns="http://schemas.openxmlformats.org/spreadsheetml/2006/main" count="72" uniqueCount="27">
  <si>
    <t>Total</t>
  </si>
  <si>
    <t>Source: Ministry of Tourism</t>
  </si>
  <si>
    <t>2018- 2012 ,udwdwA egunwt iaWawlcmuj egiawgWj egudnea WviawfcSokIrwTcsijwr cnutwvWb egunwtcnwt Wviawfihejwmwh cmWzitcnia egumubit cnirevurutwf : 10.2 ulwvWt</t>
  </si>
  <si>
    <t>Table  10.2 :  TOTAL REGISTERED BED CAPACITY AND NUMBER OF ACCOMMODATION ESTABLISHMENTS, BY TYPE, 2012 - 2018 (end year)</t>
  </si>
  <si>
    <t>Type</t>
  </si>
  <si>
    <t>ctwvWbegunwt</t>
  </si>
  <si>
    <t>Number of Beds (Registered)</t>
  </si>
  <si>
    <t>wgWj egudnea WviawfcSok IrcTcsijwr</t>
  </si>
  <si>
    <t>wlcmuj</t>
  </si>
  <si>
    <t>Resorts (including Marinas)</t>
  </si>
  <si>
    <t>ރިސޯޓްތައް (މެރީނާއާއި އެކު)</t>
  </si>
  <si>
    <t>Hotels</t>
  </si>
  <si>
    <t xml:space="preserve"> cawtWToh</t>
  </si>
  <si>
    <t>Guest Houses</t>
  </si>
  <si>
    <t>cawtegIluk</t>
  </si>
  <si>
    <t>Safari Vessels</t>
  </si>
  <si>
    <t>cawtudnwLua</t>
  </si>
  <si>
    <r>
      <t xml:space="preserve">No. of Beds in operation </t>
    </r>
    <r>
      <rPr>
        <b/>
        <vertAlign val="superscript"/>
        <sz val="10"/>
        <rFont val="Calibri"/>
        <family val="2"/>
        <scheme val="minor"/>
      </rPr>
      <t>2_/</t>
    </r>
  </si>
  <si>
    <t>ބޭނުންކުރެވުނު އެނދުގެ އަދަދު</t>
  </si>
  <si>
    <t>No. of Establishments (Registered)</t>
  </si>
  <si>
    <t>ރެޖިސްޓްރީ ކުރެވިފައިވާ ތަންތަނުގެ އަދަދު</t>
  </si>
  <si>
    <t>cawtWToh</t>
  </si>
  <si>
    <t>No. Establishmentss in operation</t>
  </si>
  <si>
    <t>ބޭނުންކުރެވުނު ތަންތަނުގެ އަދަދު</t>
  </si>
  <si>
    <t>އެނދުގެ ޖާގައިން  ބޭނުންކުރެވުނު މިންވަރު %</t>
  </si>
  <si>
    <r>
      <t>Bed capacity utilization rate (%)</t>
    </r>
    <r>
      <rPr>
        <b/>
        <vertAlign val="superscript"/>
        <sz val="10"/>
        <rFont val="Calibri"/>
        <family val="2"/>
        <scheme val="minor"/>
      </rPr>
      <t xml:space="preserve"> </t>
    </r>
  </si>
  <si>
    <t>cmwzirUT cfoa IrcTcsinim :ctWrwf ivcaed utWmUluAwm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</si>
</sst>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_Randhoo"/>
    </font>
    <font>
      <b/>
      <sz val="1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name val="Arial"/>
      <family val="2"/>
    </font>
    <font>
      <sz val="9"/>
      <name val="A_Randhoo"/>
    </font>
    <font>
      <b/>
      <sz val="11"/>
      <name val="A_Utheem"/>
    </font>
    <font>
      <b/>
      <sz val="12"/>
      <name val="A_Utheem"/>
    </font>
    <font>
      <b/>
      <sz val="9.5"/>
      <name val="A_Randhoo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.5"/>
      <name val="Faruma"/>
    </font>
    <font>
      <sz val="9.5"/>
      <name val="A_Randhoo"/>
    </font>
    <font>
      <b/>
      <vertAlign val="superscript"/>
      <sz val="10"/>
      <name val="Calibri"/>
      <family val="2"/>
      <scheme val="minor"/>
    </font>
    <font>
      <b/>
      <sz val="10"/>
      <color theme="1"/>
      <name val="Faruma"/>
    </font>
    <font>
      <b/>
      <sz val="9.5"/>
      <name val="Faruma"/>
    </font>
    <font>
      <sz val="10"/>
      <name val="A_Randhoo"/>
    </font>
    <font>
      <i/>
      <sz val="9"/>
      <name val="Arial"/>
      <family val="2"/>
    </font>
    <font>
      <sz val="9.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</cellStyleXfs>
  <cellXfs count="64">
    <xf numFmtId="0" fontId="0" fillId="0" borderId="0" xfId="0"/>
    <xf numFmtId="0" fontId="0" fillId="2" borderId="0" xfId="0" applyFill="1"/>
    <xf numFmtId="0" fontId="5" fillId="2" borderId="0" xfId="0" applyFont="1" applyFill="1"/>
    <xf numFmtId="0" fontId="6" fillId="2" borderId="3" xfId="0" applyFont="1" applyFill="1" applyBorder="1" applyAlignment="1" applyProtection="1">
      <alignment horizontal="right" vertical="center"/>
    </xf>
    <xf numFmtId="0" fontId="0" fillId="2" borderId="0" xfId="0" applyFill="1" applyBorder="1"/>
    <xf numFmtId="0" fontId="7" fillId="2" borderId="0" xfId="0" applyFont="1" applyFill="1" applyAlignment="1" applyProtection="1">
      <alignment horizontal="left" vertical="center"/>
    </xf>
    <xf numFmtId="0" fontId="9" fillId="2" borderId="0" xfId="0" applyFont="1" applyFill="1" applyBorder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0" fontId="10" fillId="2" borderId="0" xfId="0" applyNumberFormat="1" applyFont="1" applyFill="1" applyBorder="1" applyAlignment="1">
      <alignment horizontal="center" vertical="center"/>
    </xf>
    <xf numFmtId="0" fontId="11" fillId="2" borderId="0" xfId="0" applyNumberFormat="1" applyFont="1" applyFill="1" applyBorder="1" applyAlignment="1">
      <alignment horizontal="center" vertical="center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left" vertical="center"/>
    </xf>
    <xf numFmtId="0" fontId="2" fillId="2" borderId="3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right" vertical="center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6" fillId="2" borderId="0" xfId="0" applyFont="1" applyFill="1" applyBorder="1" applyAlignment="1" applyProtection="1">
      <alignment horizontal="left" vertical="center"/>
    </xf>
    <xf numFmtId="3" fontId="6" fillId="2" borderId="0" xfId="0" applyNumberFormat="1" applyFont="1" applyFill="1" applyBorder="1" applyAlignment="1">
      <alignment vertical="center" wrapText="1"/>
    </xf>
    <xf numFmtId="0" fontId="12" fillId="2" borderId="0" xfId="0" applyFont="1" applyFill="1" applyBorder="1" applyAlignment="1">
      <alignment horizontal="right" vertical="center" wrapText="1"/>
    </xf>
    <xf numFmtId="0" fontId="8" fillId="2" borderId="0" xfId="0" applyFont="1" applyFill="1"/>
    <xf numFmtId="3" fontId="14" fillId="2" borderId="0" xfId="0" applyNumberFormat="1" applyFont="1" applyFill="1" applyBorder="1" applyAlignment="1" applyProtection="1">
      <alignment horizontal="right" vertical="center"/>
    </xf>
    <xf numFmtId="0" fontId="12" fillId="2" borderId="0" xfId="0" applyFont="1" applyFill="1" applyBorder="1" applyAlignment="1">
      <alignment horizontal="right" vertical="center"/>
    </xf>
    <xf numFmtId="0" fontId="13" fillId="2" borderId="0" xfId="0" applyFont="1" applyFill="1" applyBorder="1" applyAlignment="1" applyProtection="1">
      <alignment horizontal="left" vertical="center" indent="1"/>
    </xf>
    <xf numFmtId="3" fontId="15" fillId="2" borderId="0" xfId="0" applyNumberFormat="1" applyFont="1" applyFill="1" applyAlignment="1">
      <alignment vertical="center"/>
    </xf>
    <xf numFmtId="0" fontId="16" fillId="2" borderId="0" xfId="0" applyFont="1" applyFill="1" applyBorder="1" applyAlignment="1">
      <alignment horizontal="right" vertical="center" indent="1"/>
    </xf>
    <xf numFmtId="9" fontId="17" fillId="2" borderId="0" xfId="1" applyFont="1" applyFill="1" applyBorder="1" applyAlignment="1">
      <alignment horizontal="right" vertical="center"/>
    </xf>
    <xf numFmtId="3" fontId="17" fillId="2" borderId="0" xfId="0" applyNumberFormat="1" applyFont="1" applyFill="1" applyBorder="1" applyAlignment="1">
      <alignment horizontal="right" vertical="center"/>
    </xf>
    <xf numFmtId="0" fontId="17" fillId="2" borderId="0" xfId="0" applyFont="1" applyFill="1" applyBorder="1" applyAlignment="1">
      <alignment horizontal="right" vertical="center"/>
    </xf>
    <xf numFmtId="2" fontId="8" fillId="2" borderId="0" xfId="0" applyNumberFormat="1" applyFont="1" applyFill="1"/>
    <xf numFmtId="3" fontId="15" fillId="2" borderId="0" xfId="0" applyNumberFormat="1" applyFont="1" applyFill="1"/>
    <xf numFmtId="0" fontId="17" fillId="2" borderId="0" xfId="0" applyFont="1" applyFill="1" applyBorder="1" applyAlignment="1">
      <alignment horizontal="right" vertical="center" indent="1"/>
    </xf>
    <xf numFmtId="0" fontId="13" fillId="2" borderId="4" xfId="0" applyFont="1" applyFill="1" applyBorder="1" applyAlignment="1" applyProtection="1">
      <alignment horizontal="left" vertical="center" indent="1"/>
    </xf>
    <xf numFmtId="3" fontId="15" fillId="2" borderId="4" xfId="0" applyNumberFormat="1" applyFont="1" applyFill="1" applyBorder="1" applyAlignment="1">
      <alignment vertical="center"/>
    </xf>
    <xf numFmtId="0" fontId="17" fillId="2" borderId="4" xfId="0" applyFont="1" applyFill="1" applyBorder="1" applyAlignment="1">
      <alignment horizontal="right" vertical="center" indent="1"/>
    </xf>
    <xf numFmtId="0" fontId="8" fillId="2" borderId="0" xfId="0" applyFont="1" applyFill="1" applyBorder="1"/>
    <xf numFmtId="37" fontId="19" fillId="2" borderId="0" xfId="0" applyNumberFormat="1" applyFont="1" applyFill="1" applyBorder="1" applyAlignment="1" applyProtection="1">
      <alignment horizontal="right" vertical="center" wrapText="1"/>
    </xf>
    <xf numFmtId="0" fontId="13" fillId="2" borderId="2" xfId="0" applyFont="1" applyFill="1" applyBorder="1" applyAlignment="1" applyProtection="1">
      <alignment horizontal="left" vertical="center" indent="1"/>
    </xf>
    <xf numFmtId="3" fontId="15" fillId="2" borderId="2" xfId="0" applyNumberFormat="1" applyFont="1" applyFill="1" applyBorder="1" applyAlignment="1">
      <alignment vertical="center"/>
    </xf>
    <xf numFmtId="0" fontId="17" fillId="2" borderId="2" xfId="0" applyFont="1" applyFill="1" applyBorder="1" applyAlignment="1">
      <alignment horizontal="right" vertical="center" indent="1"/>
    </xf>
    <xf numFmtId="0" fontId="20" fillId="2" borderId="0" xfId="0" applyFont="1" applyFill="1" applyBorder="1" applyAlignment="1">
      <alignment horizontal="right" vertical="center"/>
    </xf>
    <xf numFmtId="3" fontId="14" fillId="2" borderId="0" xfId="0" applyNumberFormat="1" applyFont="1" applyFill="1" applyBorder="1" applyAlignment="1">
      <alignment vertical="center"/>
    </xf>
    <xf numFmtId="2" fontId="17" fillId="2" borderId="0" xfId="0" applyNumberFormat="1" applyFont="1" applyFill="1" applyBorder="1" applyAlignment="1">
      <alignment horizontal="right" vertical="center"/>
    </xf>
    <xf numFmtId="1" fontId="17" fillId="2" borderId="0" xfId="0" applyNumberFormat="1" applyFont="1" applyFill="1" applyBorder="1" applyAlignment="1">
      <alignment horizontal="right" vertical="center"/>
    </xf>
    <xf numFmtId="3" fontId="15" fillId="2" borderId="4" xfId="0" applyNumberFormat="1" applyFont="1" applyFill="1" applyBorder="1" applyAlignment="1">
      <alignment horizontal="right" vertical="center"/>
    </xf>
    <xf numFmtId="0" fontId="21" fillId="2" borderId="4" xfId="0" applyFont="1" applyFill="1" applyBorder="1" applyAlignment="1">
      <alignment horizontal="right" indent="1"/>
    </xf>
    <xf numFmtId="0" fontId="21" fillId="2" borderId="0" xfId="0" applyFont="1" applyFill="1" applyBorder="1" applyAlignment="1">
      <alignment horizontal="right" indent="1"/>
    </xf>
    <xf numFmtId="0" fontId="21" fillId="2" borderId="0" xfId="0" applyFont="1" applyFill="1" applyBorder="1" applyAlignment="1">
      <alignment horizontal="right"/>
    </xf>
    <xf numFmtId="3" fontId="15" fillId="2" borderId="2" xfId="0" applyNumberFormat="1" applyFont="1" applyFill="1" applyBorder="1" applyAlignment="1">
      <alignment horizontal="right" vertical="center"/>
    </xf>
    <xf numFmtId="0" fontId="21" fillId="2" borderId="2" xfId="0" applyFont="1" applyFill="1" applyBorder="1" applyAlignment="1">
      <alignment horizontal="right" indent="1"/>
    </xf>
    <xf numFmtId="0" fontId="22" fillId="2" borderId="0" xfId="0" applyFont="1" applyFill="1" applyAlignment="1" applyProtection="1">
      <alignment horizontal="left" vertical="center"/>
    </xf>
    <xf numFmtId="164" fontId="22" fillId="2" borderId="0" xfId="0" applyNumberFormat="1" applyFont="1" applyFill="1" applyAlignment="1" applyProtection="1">
      <alignment horizontal="left" vertical="center"/>
    </xf>
    <xf numFmtId="0" fontId="23" fillId="2" borderId="0" xfId="0" applyFont="1" applyFill="1" applyBorder="1" applyAlignment="1" applyProtection="1">
      <alignment horizontal="left" vertical="center"/>
    </xf>
    <xf numFmtId="1" fontId="8" fillId="2" borderId="0" xfId="3" applyNumberFormat="1" applyFont="1" applyFill="1"/>
    <xf numFmtId="164" fontId="8" fillId="2" borderId="0" xfId="0" applyNumberFormat="1" applyFont="1" applyFill="1"/>
    <xf numFmtId="164" fontId="0" fillId="2" borderId="0" xfId="0" applyNumberFormat="1" applyFill="1"/>
    <xf numFmtId="9" fontId="8" fillId="2" borderId="0" xfId="3" applyFont="1" applyFill="1"/>
    <xf numFmtId="0" fontId="6" fillId="2" borderId="0" xfId="0" applyFont="1" applyFill="1" applyBorder="1" applyAlignment="1" applyProtection="1">
      <alignment horizontal="right" vertical="center"/>
    </xf>
    <xf numFmtId="0" fontId="7" fillId="2" borderId="0" xfId="0" applyFont="1" applyFill="1" applyBorder="1" applyAlignment="1" applyProtection="1">
      <alignment horizontal="left" vertical="center"/>
    </xf>
    <xf numFmtId="0" fontId="22" fillId="2" borderId="0" xfId="0" applyFont="1" applyFill="1" applyBorder="1" applyAlignment="1" applyProtection="1">
      <alignment horizontal="left" vertical="center"/>
    </xf>
    <xf numFmtId="3" fontId="22" fillId="2" borderId="0" xfId="0" applyNumberFormat="1" applyFont="1" applyFill="1" applyBorder="1" applyAlignment="1" applyProtection="1">
      <alignment horizontal="left" vertical="center"/>
    </xf>
    <xf numFmtId="0" fontId="10" fillId="2" borderId="0" xfId="0" applyNumberFormat="1" applyFont="1" applyFill="1" applyBorder="1" applyAlignment="1">
      <alignment horizontal="center" vertical="center"/>
    </xf>
    <xf numFmtId="0" fontId="3" fillId="2" borderId="2" xfId="0" applyNumberFormat="1" applyFont="1" applyFill="1" applyBorder="1" applyAlignment="1" applyProtection="1">
      <alignment horizontal="center" vertical="center"/>
    </xf>
  </cellXfs>
  <cellStyles count="5">
    <cellStyle name="Normal" xfId="0" builtinId="0"/>
    <cellStyle name="Normal 2" xfId="2"/>
    <cellStyle name="Normal 5 2" xfId="4"/>
    <cellStyle name="Percent" xfId="1" builtinId="5"/>
    <cellStyle name="Percent 2 2" xfId="3"/>
  </cellStyles>
  <dxfs count="0"/>
  <tableStyles count="0" defaultTableStyle="TableStyleMedium2" defaultPivotStyle="PivotStyleLight16"/>
  <colors>
    <mruColors>
      <color rgb="FFFF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668874837977691"/>
          <c:y val="0.19256907954998775"/>
          <c:w val="0.41159738753586045"/>
          <c:h val="0.78506898966396299"/>
        </c:manualLayout>
      </c:layout>
      <c:pieChart>
        <c:varyColors val="1"/>
        <c:ser>
          <c:idx val="0"/>
          <c:order val="0"/>
          <c:explosion val="1"/>
          <c:dPt>
            <c:idx val="0"/>
            <c:bubble3D val="0"/>
            <c:explosion val="7"/>
            <c:spPr>
              <a:solidFill>
                <a:schemeClr val="accent4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F2DC-47B9-AB0C-61A032FFEB2E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F2DC-47B9-AB0C-61A032FFEB2E}"/>
              </c:ext>
            </c:extLst>
          </c:dPt>
          <c:dPt>
            <c:idx val="2"/>
            <c:bubble3D val="0"/>
            <c:spPr>
              <a:solidFill>
                <a:srgbClr val="7F6000"/>
              </a:solidFill>
            </c:spPr>
            <c:extLst>
              <c:ext xmlns:c16="http://schemas.microsoft.com/office/drawing/2014/chart" uri="{C3380CC4-5D6E-409C-BE32-E72D297353CC}">
                <c16:uniqueId val="{00000005-F2DC-47B9-AB0C-61A032FFEB2E}"/>
              </c:ext>
            </c:extLst>
          </c:dPt>
          <c:dPt>
            <c:idx val="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7-F2DC-47B9-AB0C-61A032FFEB2E}"/>
              </c:ext>
            </c:extLst>
          </c:dPt>
          <c:dLbls>
            <c:dLbl>
              <c:idx val="0"/>
              <c:layout>
                <c:manualLayout>
                  <c:x val="-0.10976011331916843"/>
                  <c:y val="0.1962056494530539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900"/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F2DC-47B9-AB0C-61A032FFEB2E}"/>
                </c:ext>
              </c:extLst>
            </c:dLbl>
            <c:dLbl>
              <c:idx val="1"/>
              <c:layout>
                <c:manualLayout>
                  <c:x val="1.7220129934622009E-2"/>
                  <c:y val="4.752527424752870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F2DC-47B9-AB0C-61A032FFEB2E}"/>
                </c:ext>
              </c:extLst>
            </c:dLbl>
            <c:dLbl>
              <c:idx val="2"/>
              <c:layout>
                <c:manualLayout>
                  <c:x val="-3.6890388701412325E-3"/>
                  <c:y val="-0.2458896857638019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F2DC-47B9-AB0C-61A032FFEB2E}"/>
                </c:ext>
              </c:extLst>
            </c:dLbl>
            <c:dLbl>
              <c:idx val="3"/>
              <c:layout>
                <c:manualLayout>
                  <c:x val="0.10853176686247548"/>
                  <c:y val="0.1741099241575694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F2DC-47B9-AB0C-61A032FFEB2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'10.2'!$R$43:$R$46</c:f>
              <c:strCache>
                <c:ptCount val="4"/>
                <c:pt idx="0">
                  <c:v>Resorts (including Marinas)</c:v>
                </c:pt>
                <c:pt idx="1">
                  <c:v>Hotels</c:v>
                </c:pt>
                <c:pt idx="2">
                  <c:v>Guest Houses</c:v>
                </c:pt>
                <c:pt idx="3">
                  <c:v>Safari Vessels</c:v>
                </c:pt>
              </c:strCache>
            </c:strRef>
          </c:cat>
          <c:val>
            <c:numRef>
              <c:f>'10.2'!$S$43:$S$46</c:f>
              <c:numCache>
                <c:formatCode>0%</c:formatCode>
                <c:ptCount val="4"/>
                <c:pt idx="0">
                  <c:v>0.17575757575757575</c:v>
                </c:pt>
                <c:pt idx="1">
                  <c:v>1.4545454545454545E-2</c:v>
                </c:pt>
                <c:pt idx="2">
                  <c:v>0.63151515151515147</c:v>
                </c:pt>
                <c:pt idx="3">
                  <c:v>0.17818181818181819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2DC-47B9-AB0C-61A032FFE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603857851101942"/>
          <c:y val="0.16566514711976793"/>
          <c:w val="0.47040674587644854"/>
          <c:h val="0.82157844852726747"/>
        </c:manualLayout>
      </c:layout>
      <c:pieChart>
        <c:varyColors val="1"/>
        <c:ser>
          <c:idx val="0"/>
          <c:order val="0"/>
          <c:spPr>
            <a:solidFill>
              <a:srgbClr val="1C706E"/>
            </a:solidFill>
          </c:spPr>
          <c:explosion val="5"/>
          <c:dPt>
            <c:idx val="0"/>
            <c:bubble3D val="0"/>
            <c:spPr>
              <a:solidFill>
                <a:schemeClr val="accent4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0223-4735-9FBB-BC19C7D85A39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0223-4735-9FBB-BC19C7D85A39}"/>
              </c:ext>
            </c:extLst>
          </c:dPt>
          <c:dPt>
            <c:idx val="2"/>
            <c:bubble3D val="0"/>
            <c:spPr>
              <a:solidFill>
                <a:schemeClr val="accent4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0223-4735-9FBB-BC19C7D85A39}"/>
              </c:ext>
            </c:extLst>
          </c:dPt>
          <c:dPt>
            <c:idx val="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7-0223-4735-9FBB-BC19C7D85A39}"/>
              </c:ext>
            </c:extLst>
          </c:dPt>
          <c:dLbls>
            <c:dLbl>
              <c:idx val="0"/>
              <c:layout>
                <c:manualLayout>
                  <c:x val="0.20480906553347497"/>
                  <c:y val="-0.1974438458350600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0223-4735-9FBB-BC19C7D85A39}"/>
                </c:ext>
              </c:extLst>
            </c:dLbl>
            <c:dLbl>
              <c:idx val="1"/>
              <c:layout>
                <c:manualLayout>
                  <c:x val="2.3977561206488533E-2"/>
                  <c:y val="2.85729968164625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0223-4735-9FBB-BC19C7D85A39}"/>
                </c:ext>
              </c:extLst>
            </c:dLbl>
            <c:dLbl>
              <c:idx val="2"/>
              <c:layout>
                <c:manualLayout>
                  <c:x val="-0.13052687246378111"/>
                  <c:y val="0.1081168769566454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0223-4735-9FBB-BC19C7D85A39}"/>
                </c:ext>
              </c:extLst>
            </c:dLbl>
            <c:dLbl>
              <c:idx val="3"/>
              <c:layout>
                <c:manualLayout>
                  <c:x val="1.2690848224606744E-2"/>
                  <c:y val="3.856969001026782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0223-4735-9FBB-BC19C7D85A3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'10.2'!$R$36:$R$39</c:f>
              <c:strCache>
                <c:ptCount val="4"/>
                <c:pt idx="0">
                  <c:v>Resorts (including Marinas)</c:v>
                </c:pt>
                <c:pt idx="1">
                  <c:v>Hotels</c:v>
                </c:pt>
                <c:pt idx="2">
                  <c:v>Guest Houses</c:v>
                </c:pt>
                <c:pt idx="3">
                  <c:v>Safari Vessels</c:v>
                </c:pt>
              </c:strCache>
            </c:strRef>
          </c:cat>
          <c:val>
            <c:numRef>
              <c:f>'10.2'!$S$36:$S$39</c:f>
              <c:numCache>
                <c:formatCode>0</c:formatCode>
                <c:ptCount val="4"/>
                <c:pt idx="0">
                  <c:v>70.654883803757457</c:v>
                </c:pt>
                <c:pt idx="1">
                  <c:v>4.1447778470305403</c:v>
                </c:pt>
                <c:pt idx="2">
                  <c:v>19.061080936693081</c:v>
                </c:pt>
                <c:pt idx="3">
                  <c:v>6.139257412518921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223-4735-9FBB-BC19C7D85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22"/>
      </c:pieChart>
    </c:plotArea>
    <c:plotVisOnly val="1"/>
    <c:dispBlanksAs val="zero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82550</xdr:colOff>
      <xdr:row>34</xdr:row>
      <xdr:rowOff>125729</xdr:rowOff>
    </xdr:from>
    <xdr:to>
      <xdr:col>8</xdr:col>
      <xdr:colOff>1816100</xdr:colOff>
      <xdr:row>54</xdr:row>
      <xdr:rowOff>12699</xdr:rowOff>
    </xdr:to>
    <xdr:graphicFrame macro="">
      <xdr:nvGraphicFramePr>
        <xdr:cNvPr id="2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82550</xdr:colOff>
      <xdr:row>55</xdr:row>
      <xdr:rowOff>73025</xdr:rowOff>
    </xdr:from>
    <xdr:to>
      <xdr:col>8</xdr:col>
      <xdr:colOff>1816100</xdr:colOff>
      <xdr:row>74</xdr:row>
      <xdr:rowOff>53975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168276</xdr:colOff>
      <xdr:row>56</xdr:row>
      <xdr:rowOff>15834</xdr:rowOff>
    </xdr:from>
    <xdr:to>
      <xdr:col>8</xdr:col>
      <xdr:colOff>1739900</xdr:colOff>
      <xdr:row>58</xdr:row>
      <xdr:rowOff>92074</xdr:rowOff>
    </xdr:to>
    <xdr:sp macro="" textlink="">
      <xdr:nvSpPr>
        <xdr:cNvPr id="4" name="TextBox 3"/>
        <xdr:cNvSpPr txBox="1"/>
      </xdr:nvSpPr>
      <xdr:spPr>
        <a:xfrm>
          <a:off x="2152651" y="12303084"/>
          <a:ext cx="5794374" cy="457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0"/>
          <a:r>
            <a:rPr lang="en-US" sz="105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10.4: Percentage share of bed capacity by type of establishment, 2018  </a:t>
          </a:r>
          <a:endParaRPr lang="en-US" sz="1050" b="1">
            <a:effectLst/>
            <a:latin typeface="Consolas" pitchFamily="49" charset="0"/>
            <a:cs typeface="Consolas" pitchFamily="49" charset="0"/>
          </a:endParaRPr>
        </a:p>
        <a:p>
          <a:pPr algn="ctr"/>
          <a:endParaRPr lang="en-US" sz="105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0.07143</cdr:x>
      <cdr:y>0.02696</cdr:y>
    </cdr:from>
    <cdr:to>
      <cdr:x>1</cdr:x>
      <cdr:y>0.10712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28626" y="86747"/>
          <a:ext cx="5572124" cy="2579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10.3: Percentage share of Establishments by type, 2018</a:t>
          </a:r>
          <a:endParaRPr lang="en-US" sz="1200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2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Y79"/>
  <sheetViews>
    <sheetView tabSelected="1" topLeftCell="A7" zoomScaleNormal="100" workbookViewId="0">
      <selection activeCell="L28" sqref="L28"/>
    </sheetView>
  </sheetViews>
  <sheetFormatPr defaultColWidth="8.85546875" defaultRowHeight="15" x14ac:dyDescent="0.25"/>
  <cols>
    <col min="1" max="1" width="29.7109375" style="1" customWidth="1"/>
    <col min="2" max="8" width="9.140625" style="1" customWidth="1"/>
    <col min="9" max="9" width="37" style="1" customWidth="1"/>
    <col min="10" max="10" width="2.5703125" style="1" customWidth="1"/>
    <col min="11" max="11" width="31.7109375" style="1" customWidth="1"/>
    <col min="12" max="16" width="38.42578125" style="1" customWidth="1"/>
    <col min="17" max="17" width="12.85546875" style="1" customWidth="1"/>
    <col min="18" max="18" width="16.85546875" style="1" customWidth="1"/>
    <col min="19" max="19" width="10.5703125" style="1" customWidth="1"/>
    <col min="20" max="20" width="9.7109375" style="1" customWidth="1"/>
    <col min="21" max="24" width="46.42578125" style="1" customWidth="1"/>
    <col min="25" max="16384" width="8.85546875" style="1"/>
  </cols>
  <sheetData>
    <row r="1" spans="1:25" ht="21.75" customHeight="1" x14ac:dyDescent="0.25">
      <c r="A1" s="62" t="s">
        <v>2</v>
      </c>
      <c r="B1" s="62"/>
      <c r="C1" s="62"/>
      <c r="D1" s="62"/>
      <c r="E1" s="62"/>
      <c r="F1" s="62"/>
      <c r="G1" s="62"/>
      <c r="H1" s="62"/>
      <c r="I1" s="62"/>
      <c r="J1" s="8"/>
      <c r="K1" s="8"/>
      <c r="L1" s="8"/>
      <c r="M1" s="8"/>
      <c r="N1" s="8"/>
      <c r="O1" s="8"/>
      <c r="P1" s="8"/>
      <c r="Q1" s="9"/>
      <c r="R1" s="9"/>
      <c r="S1" s="9"/>
      <c r="T1" s="9"/>
      <c r="U1" s="9"/>
      <c r="V1" s="9"/>
      <c r="W1" s="9"/>
      <c r="X1" s="9"/>
    </row>
    <row r="2" spans="1:25" ht="22.5" customHeight="1" x14ac:dyDescent="0.25">
      <c r="A2" s="63" t="s">
        <v>3</v>
      </c>
      <c r="B2" s="63"/>
      <c r="C2" s="63"/>
      <c r="D2" s="63"/>
      <c r="E2" s="63"/>
      <c r="F2" s="63"/>
      <c r="G2" s="63"/>
      <c r="H2" s="63"/>
      <c r="I2" s="63"/>
      <c r="J2" s="10"/>
      <c r="K2" s="10"/>
      <c r="L2" s="10"/>
      <c r="M2" s="10"/>
      <c r="N2" s="10"/>
      <c r="O2" s="10"/>
      <c r="P2" s="10"/>
      <c r="Q2" s="11"/>
      <c r="R2" s="11"/>
      <c r="S2" s="11"/>
      <c r="T2" s="11"/>
      <c r="U2" s="11"/>
      <c r="V2" s="11"/>
      <c r="W2" s="11"/>
      <c r="X2" s="11"/>
    </row>
    <row r="3" spans="1:25" s="2" customFormat="1" ht="18.600000000000001" customHeight="1" x14ac:dyDescent="0.2">
      <c r="A3" s="12" t="s">
        <v>4</v>
      </c>
      <c r="B3" s="3">
        <v>2012</v>
      </c>
      <c r="C3" s="3">
        <v>2013</v>
      </c>
      <c r="D3" s="3">
        <v>2014</v>
      </c>
      <c r="E3" s="3">
        <v>2015</v>
      </c>
      <c r="F3" s="3">
        <v>2016</v>
      </c>
      <c r="G3" s="3">
        <v>2017</v>
      </c>
      <c r="H3" s="3">
        <v>2018</v>
      </c>
      <c r="I3" s="13" t="s">
        <v>5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</row>
    <row r="4" spans="1:25" s="2" customFormat="1" ht="7.9" customHeight="1" x14ac:dyDescent="0.2">
      <c r="A4" s="15"/>
      <c r="B4" s="16"/>
      <c r="C4" s="16"/>
      <c r="D4" s="16"/>
      <c r="E4" s="16"/>
      <c r="F4" s="16"/>
      <c r="G4" s="16"/>
      <c r="H4" s="16"/>
      <c r="I4" s="17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 spans="1:25" s="21" customFormat="1" ht="17.25" customHeight="1" x14ac:dyDescent="0.2">
      <c r="A5" s="18" t="s">
        <v>6</v>
      </c>
      <c r="B5" s="19"/>
      <c r="C5" s="19"/>
      <c r="D5" s="19"/>
      <c r="E5" s="19"/>
      <c r="F5" s="19"/>
      <c r="G5" s="19"/>
      <c r="H5" s="19"/>
      <c r="I5" s="20" t="s">
        <v>7</v>
      </c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</row>
    <row r="6" spans="1:25" s="21" customFormat="1" ht="17.25" customHeight="1" x14ac:dyDescent="0.2">
      <c r="A6" s="18" t="s">
        <v>0</v>
      </c>
      <c r="B6" s="22">
        <f t="shared" ref="B6:F6" si="0">SUM(B7:B10)</f>
        <v>28120</v>
      </c>
      <c r="C6" s="22">
        <f t="shared" si="0"/>
        <v>29829</v>
      </c>
      <c r="D6" s="22">
        <f t="shared" si="0"/>
        <v>31673</v>
      </c>
      <c r="E6" s="22">
        <f t="shared" si="0"/>
        <v>34085</v>
      </c>
      <c r="F6" s="22">
        <f t="shared" si="0"/>
        <v>37374</v>
      </c>
      <c r="G6" s="22">
        <f>SUM(G7:G10)</f>
        <v>41255</v>
      </c>
      <c r="H6" s="22">
        <f>SUM(H7:H10)</f>
        <v>44924</v>
      </c>
      <c r="I6" s="23" t="s">
        <v>8</v>
      </c>
      <c r="J6" s="23"/>
      <c r="K6" s="23"/>
      <c r="L6" s="23"/>
      <c r="M6" s="23"/>
      <c r="N6" s="23"/>
      <c r="O6" s="23"/>
      <c r="P6" s="23"/>
      <c r="Q6" s="23"/>
      <c r="R6" s="20"/>
      <c r="S6" s="23"/>
      <c r="T6" s="23"/>
      <c r="U6" s="23"/>
      <c r="V6" s="23"/>
      <c r="W6" s="23"/>
      <c r="X6" s="23"/>
    </row>
    <row r="7" spans="1:25" s="21" customFormat="1" ht="17.25" customHeight="1" x14ac:dyDescent="0.2">
      <c r="A7" s="24" t="s">
        <v>9</v>
      </c>
      <c r="B7" s="25">
        <v>22889</v>
      </c>
      <c r="C7" s="25">
        <v>23487</v>
      </c>
      <c r="D7" s="25">
        <v>24031</v>
      </c>
      <c r="E7" s="25">
        <v>24877</v>
      </c>
      <c r="F7" s="25">
        <v>26933</v>
      </c>
      <c r="G7" s="25">
        <v>29977</v>
      </c>
      <c r="H7" s="25">
        <v>31741</v>
      </c>
      <c r="I7" s="26" t="s">
        <v>10</v>
      </c>
      <c r="J7" s="26"/>
      <c r="K7" s="26"/>
      <c r="L7" s="26"/>
      <c r="M7" s="26"/>
      <c r="N7" s="26"/>
      <c r="O7" s="26"/>
      <c r="P7" s="26"/>
      <c r="Q7" s="27"/>
      <c r="R7" s="20"/>
      <c r="S7" s="28"/>
      <c r="T7" s="29"/>
      <c r="U7" s="29"/>
      <c r="V7" s="29"/>
      <c r="W7" s="29"/>
      <c r="X7" s="29"/>
      <c r="Y7" s="30"/>
    </row>
    <row r="8" spans="1:25" s="21" customFormat="1" ht="17.25" customHeight="1" x14ac:dyDescent="0.2">
      <c r="A8" s="24" t="s">
        <v>11</v>
      </c>
      <c r="B8" s="25">
        <v>1627</v>
      </c>
      <c r="C8" s="25">
        <v>1708</v>
      </c>
      <c r="D8" s="25">
        <v>1704</v>
      </c>
      <c r="E8" s="25">
        <v>1648</v>
      </c>
      <c r="F8" s="25">
        <v>1713</v>
      </c>
      <c r="G8" s="25">
        <v>1456</v>
      </c>
      <c r="H8" s="25">
        <v>1862</v>
      </c>
      <c r="I8" s="32" t="s">
        <v>12</v>
      </c>
      <c r="J8" s="32"/>
      <c r="K8" s="32"/>
      <c r="L8" s="32"/>
      <c r="M8" s="32"/>
      <c r="N8" s="32"/>
      <c r="O8" s="32"/>
      <c r="P8" s="32"/>
      <c r="Q8" s="27"/>
      <c r="R8" s="20"/>
      <c r="S8" s="28"/>
      <c r="T8" s="29"/>
      <c r="U8" s="29"/>
      <c r="V8" s="29"/>
      <c r="W8" s="29"/>
      <c r="X8" s="29"/>
    </row>
    <row r="9" spans="1:25" s="21" customFormat="1" ht="17.25" customHeight="1" x14ac:dyDescent="0.2">
      <c r="A9" s="24" t="s">
        <v>13</v>
      </c>
      <c r="B9" s="25">
        <v>1101</v>
      </c>
      <c r="C9" s="25">
        <v>1918</v>
      </c>
      <c r="D9" s="25">
        <v>3199</v>
      </c>
      <c r="E9" s="25">
        <v>4621</v>
      </c>
      <c r="F9" s="25">
        <v>6034</v>
      </c>
      <c r="G9" s="25">
        <v>7304</v>
      </c>
      <c r="H9" s="25">
        <v>8563</v>
      </c>
      <c r="I9" s="32" t="s">
        <v>14</v>
      </c>
      <c r="J9" s="32"/>
      <c r="K9" s="32"/>
      <c r="L9" s="32"/>
      <c r="M9" s="32"/>
      <c r="N9" s="32"/>
      <c r="O9" s="32"/>
      <c r="P9" s="32"/>
      <c r="Q9" s="27"/>
      <c r="R9" s="20"/>
      <c r="S9" s="28"/>
      <c r="T9" s="29"/>
      <c r="U9" s="29"/>
      <c r="V9" s="29"/>
      <c r="W9" s="29"/>
      <c r="X9" s="29"/>
    </row>
    <row r="10" spans="1:25" s="36" customFormat="1" ht="17.25" customHeight="1" x14ac:dyDescent="0.2">
      <c r="A10" s="33" t="s">
        <v>15</v>
      </c>
      <c r="B10" s="34">
        <v>2503</v>
      </c>
      <c r="C10" s="34">
        <v>2716</v>
      </c>
      <c r="D10" s="34">
        <v>2739</v>
      </c>
      <c r="E10" s="34">
        <v>2939</v>
      </c>
      <c r="F10" s="34">
        <v>2694</v>
      </c>
      <c r="G10" s="34">
        <v>2518</v>
      </c>
      <c r="H10" s="34">
        <v>2758</v>
      </c>
      <c r="I10" s="35" t="s">
        <v>16</v>
      </c>
      <c r="J10" s="32"/>
      <c r="K10" s="32"/>
      <c r="L10" s="32"/>
      <c r="M10" s="32"/>
      <c r="N10" s="32"/>
      <c r="O10" s="32"/>
      <c r="P10" s="32"/>
      <c r="Q10" s="27"/>
      <c r="R10" s="20"/>
      <c r="S10" s="28"/>
      <c r="T10" s="29"/>
      <c r="U10" s="29"/>
      <c r="V10" s="29"/>
      <c r="W10" s="29"/>
      <c r="X10" s="29"/>
    </row>
    <row r="11" spans="1:25" ht="18.75" x14ac:dyDescent="0.25">
      <c r="A11" s="18" t="s">
        <v>17</v>
      </c>
      <c r="B11" s="19"/>
      <c r="C11" s="19"/>
      <c r="D11" s="19"/>
      <c r="E11" s="19"/>
      <c r="F11" s="19"/>
      <c r="G11" s="19"/>
      <c r="H11" s="19"/>
      <c r="I11" s="37" t="s">
        <v>18</v>
      </c>
    </row>
    <row r="12" spans="1:25" ht="15.75" x14ac:dyDescent="0.25">
      <c r="A12" s="18" t="s">
        <v>0</v>
      </c>
      <c r="B12" s="22">
        <f t="shared" ref="B12:F12" si="1">SUM(B13:B16)</f>
        <v>26798.166666666664</v>
      </c>
      <c r="C12" s="22">
        <f t="shared" si="1"/>
        <v>27997.916666666664</v>
      </c>
      <c r="D12" s="22">
        <f t="shared" si="1"/>
        <v>29515.25</v>
      </c>
      <c r="E12" s="22">
        <f t="shared" si="1"/>
        <v>31423.916666666672</v>
      </c>
      <c r="F12" s="22">
        <f t="shared" si="1"/>
        <v>33802.25</v>
      </c>
      <c r="G12" s="22">
        <f>SUM(G13:G16)</f>
        <v>38592.333333333336</v>
      </c>
      <c r="H12" s="22">
        <f>SUM(H13:H16)</f>
        <v>42925</v>
      </c>
      <c r="I12" s="23" t="s">
        <v>8</v>
      </c>
    </row>
    <row r="13" spans="1:25" ht="18.75" x14ac:dyDescent="0.25">
      <c r="A13" s="24" t="s">
        <v>9</v>
      </c>
      <c r="B13" s="25">
        <v>21887.833333333332</v>
      </c>
      <c r="C13" s="25">
        <v>22511.833333333332</v>
      </c>
      <c r="D13" s="25">
        <v>22986.166666666668</v>
      </c>
      <c r="E13" s="25">
        <v>23348.416666666668</v>
      </c>
      <c r="F13" s="25">
        <v>24567.666666666668</v>
      </c>
      <c r="G13" s="25">
        <v>27685.916666666668</v>
      </c>
      <c r="H13" s="25">
        <v>30438</v>
      </c>
      <c r="I13" s="26" t="s">
        <v>10</v>
      </c>
    </row>
    <row r="14" spans="1:25" ht="15.75" x14ac:dyDescent="0.25">
      <c r="A14" s="24" t="s">
        <v>11</v>
      </c>
      <c r="B14" s="25">
        <v>1591.3333333333333</v>
      </c>
      <c r="C14" s="25">
        <v>1540.0833333333333</v>
      </c>
      <c r="D14" s="25">
        <v>1435.25</v>
      </c>
      <c r="E14" s="25">
        <v>1456.1666666666667</v>
      </c>
      <c r="F14" s="25">
        <v>1465.5</v>
      </c>
      <c r="G14" s="25">
        <v>1496.8333333333333</v>
      </c>
      <c r="H14" s="25">
        <v>1759</v>
      </c>
      <c r="I14" s="32" t="s">
        <v>12</v>
      </c>
    </row>
    <row r="15" spans="1:25" ht="15.75" x14ac:dyDescent="0.25">
      <c r="A15" s="24" t="s">
        <v>13</v>
      </c>
      <c r="B15" s="25">
        <v>844.5</v>
      </c>
      <c r="C15" s="25">
        <v>1401.5833333333333</v>
      </c>
      <c r="D15" s="25">
        <v>2477.25</v>
      </c>
      <c r="E15" s="25">
        <v>3831.1666666666665</v>
      </c>
      <c r="F15" s="25">
        <v>5248.916666666667</v>
      </c>
      <c r="G15" s="25">
        <v>6728.833333333333</v>
      </c>
      <c r="H15" s="25">
        <v>8000</v>
      </c>
      <c r="I15" s="32" t="s">
        <v>14</v>
      </c>
    </row>
    <row r="16" spans="1:25" ht="15.75" x14ac:dyDescent="0.25">
      <c r="A16" s="38" t="s">
        <v>15</v>
      </c>
      <c r="B16" s="39">
        <v>2474.5</v>
      </c>
      <c r="C16" s="39">
        <v>2544.4166666666665</v>
      </c>
      <c r="D16" s="39">
        <v>2616.5833333333335</v>
      </c>
      <c r="E16" s="39">
        <v>2788.1666666666665</v>
      </c>
      <c r="F16" s="39">
        <v>2520.1666666666665</v>
      </c>
      <c r="G16" s="39">
        <v>2680.75</v>
      </c>
      <c r="H16" s="39">
        <v>2728</v>
      </c>
      <c r="I16" s="40" t="s">
        <v>16</v>
      </c>
    </row>
    <row r="17" spans="1:24" ht="12.75" customHeight="1" x14ac:dyDescent="0.25">
      <c r="A17" s="18" t="s">
        <v>19</v>
      </c>
      <c r="B17" s="31"/>
      <c r="C17" s="31"/>
      <c r="D17" s="31"/>
      <c r="E17" s="31"/>
      <c r="F17" s="31"/>
      <c r="G17" s="31"/>
      <c r="H17" s="31"/>
      <c r="I17" s="41" t="s">
        <v>20</v>
      </c>
      <c r="J17" s="41"/>
      <c r="K17" s="41"/>
      <c r="L17" s="41"/>
      <c r="M17" s="41"/>
      <c r="N17" s="41"/>
      <c r="O17" s="41"/>
      <c r="P17" s="41"/>
      <c r="Q17" s="23"/>
      <c r="R17" s="20"/>
      <c r="S17" s="23"/>
      <c r="T17" s="23"/>
      <c r="U17" s="23"/>
      <c r="V17" s="23"/>
      <c r="W17" s="23"/>
      <c r="X17" s="23"/>
    </row>
    <row r="18" spans="1:24" s="21" customFormat="1" ht="17.25" customHeight="1" x14ac:dyDescent="0.2">
      <c r="A18" s="18" t="s">
        <v>0</v>
      </c>
      <c r="B18" s="42">
        <f t="shared" ref="B18:E18" si="2">SUM(B19:B22)</f>
        <v>353</v>
      </c>
      <c r="C18" s="42">
        <f t="shared" si="2"/>
        <v>429</v>
      </c>
      <c r="D18" s="42">
        <f>SUM(D19:D22)</f>
        <v>511</v>
      </c>
      <c r="E18" s="42">
        <f t="shared" si="2"/>
        <v>615</v>
      </c>
      <c r="F18" s="42">
        <f>SUM(F19:F22)</f>
        <v>679</v>
      </c>
      <c r="G18" s="42">
        <f>SUM(G19:G22)</f>
        <v>736</v>
      </c>
      <c r="H18" s="42">
        <f>SUM(H19:H22)</f>
        <v>825</v>
      </c>
      <c r="I18" s="23" t="s">
        <v>8</v>
      </c>
      <c r="J18" s="23"/>
      <c r="K18" s="23"/>
      <c r="L18" s="23"/>
      <c r="M18" s="23"/>
      <c r="N18" s="23"/>
      <c r="O18" s="23"/>
      <c r="P18" s="23"/>
      <c r="Q18" s="23"/>
      <c r="R18" s="20"/>
      <c r="S18" s="23"/>
      <c r="T18" s="23"/>
      <c r="U18" s="23"/>
      <c r="V18" s="23"/>
      <c r="W18" s="23"/>
      <c r="X18" s="23"/>
    </row>
    <row r="19" spans="1:24" s="21" customFormat="1" ht="17.25" customHeight="1" x14ac:dyDescent="0.2">
      <c r="A19" s="24" t="s">
        <v>9</v>
      </c>
      <c r="B19" s="25">
        <v>105</v>
      </c>
      <c r="C19" s="25">
        <v>110</v>
      </c>
      <c r="D19" s="25">
        <v>111</v>
      </c>
      <c r="E19" s="25">
        <v>115</v>
      </c>
      <c r="F19" s="25">
        <v>126</v>
      </c>
      <c r="G19" s="25">
        <v>135</v>
      </c>
      <c r="H19" s="25">
        <v>145</v>
      </c>
      <c r="I19" s="26" t="s">
        <v>10</v>
      </c>
      <c r="J19" s="26"/>
      <c r="K19" s="26"/>
      <c r="L19" s="26"/>
      <c r="M19" s="26"/>
      <c r="N19" s="26"/>
      <c r="O19" s="26"/>
      <c r="P19" s="26"/>
      <c r="Q19" s="43"/>
      <c r="R19" s="20"/>
      <c r="S19" s="29"/>
      <c r="T19" s="29"/>
      <c r="U19" s="29"/>
      <c r="V19" s="29"/>
      <c r="W19" s="29"/>
      <c r="X19" s="29"/>
    </row>
    <row r="20" spans="1:24" s="21" customFormat="1" ht="17.25" customHeight="1" x14ac:dyDescent="0.2">
      <c r="A20" s="24" t="s">
        <v>11</v>
      </c>
      <c r="B20" s="25">
        <v>19</v>
      </c>
      <c r="C20" s="25">
        <v>20</v>
      </c>
      <c r="D20" s="25">
        <v>19</v>
      </c>
      <c r="E20" s="25">
        <v>17</v>
      </c>
      <c r="F20" s="25">
        <v>16</v>
      </c>
      <c r="G20" s="25">
        <v>10</v>
      </c>
      <c r="H20" s="25">
        <v>12</v>
      </c>
      <c r="I20" s="32" t="s">
        <v>21</v>
      </c>
      <c r="J20" s="32"/>
      <c r="K20" s="32"/>
      <c r="L20" s="32"/>
      <c r="M20" s="32"/>
      <c r="N20" s="32"/>
      <c r="O20" s="32"/>
      <c r="P20" s="32"/>
      <c r="Q20" s="43"/>
      <c r="R20" s="20"/>
      <c r="S20" s="29"/>
      <c r="T20" s="29"/>
      <c r="U20" s="29"/>
      <c r="V20" s="29"/>
      <c r="W20" s="29"/>
      <c r="X20" s="29"/>
    </row>
    <row r="21" spans="1:24" s="21" customFormat="1" ht="17.25" customHeight="1" x14ac:dyDescent="0.2">
      <c r="A21" s="24" t="s">
        <v>13</v>
      </c>
      <c r="B21" s="25">
        <v>75</v>
      </c>
      <c r="C21" s="25">
        <v>136</v>
      </c>
      <c r="D21" s="25">
        <v>220</v>
      </c>
      <c r="E21" s="25">
        <v>313</v>
      </c>
      <c r="F21" s="25">
        <v>393</v>
      </c>
      <c r="G21" s="25">
        <v>458</v>
      </c>
      <c r="H21" s="25">
        <v>521</v>
      </c>
      <c r="I21" s="32" t="s">
        <v>14</v>
      </c>
      <c r="J21" s="32"/>
      <c r="K21" s="32"/>
      <c r="L21" s="32"/>
      <c r="M21" s="32"/>
      <c r="N21" s="32"/>
      <c r="O21" s="32"/>
      <c r="P21" s="32"/>
      <c r="Q21" s="43"/>
      <c r="R21" s="29"/>
      <c r="S21" s="44"/>
      <c r="T21" s="29"/>
      <c r="U21" s="29"/>
      <c r="V21" s="29"/>
      <c r="W21" s="29"/>
      <c r="X21" s="29"/>
    </row>
    <row r="22" spans="1:24" s="21" customFormat="1" ht="17.25" customHeight="1" x14ac:dyDescent="0.4">
      <c r="A22" s="33" t="s">
        <v>15</v>
      </c>
      <c r="B22" s="45">
        <v>154</v>
      </c>
      <c r="C22" s="45">
        <v>163</v>
      </c>
      <c r="D22" s="45">
        <v>161</v>
      </c>
      <c r="E22" s="45">
        <v>170</v>
      </c>
      <c r="F22" s="45">
        <v>144</v>
      </c>
      <c r="G22" s="45">
        <v>133</v>
      </c>
      <c r="H22" s="45">
        <v>147</v>
      </c>
      <c r="I22" s="46" t="s">
        <v>16</v>
      </c>
      <c r="J22" s="47"/>
      <c r="K22" s="47"/>
      <c r="L22" s="47"/>
      <c r="M22" s="47"/>
      <c r="N22" s="47"/>
      <c r="O22" s="47"/>
      <c r="P22" s="47"/>
      <c r="Q22" s="43"/>
      <c r="R22" s="48"/>
      <c r="S22" s="44"/>
      <c r="T22" s="48"/>
      <c r="U22" s="48"/>
      <c r="V22" s="48"/>
      <c r="W22" s="48"/>
      <c r="X22" s="48"/>
    </row>
    <row r="23" spans="1:24" ht="18.75" x14ac:dyDescent="0.25">
      <c r="A23" s="18" t="s">
        <v>22</v>
      </c>
      <c r="B23" s="19"/>
      <c r="C23" s="19"/>
      <c r="D23" s="19"/>
      <c r="E23" s="19"/>
      <c r="F23" s="19"/>
      <c r="G23" s="19"/>
      <c r="H23" s="19"/>
      <c r="I23" s="41" t="s">
        <v>23</v>
      </c>
    </row>
    <row r="24" spans="1:24" ht="15.75" x14ac:dyDescent="0.25">
      <c r="A24" s="18" t="s">
        <v>0</v>
      </c>
      <c r="B24" s="22">
        <f t="shared" ref="B24:F24" si="3">SUM(B25:B28)</f>
        <v>323.08333333333337</v>
      </c>
      <c r="C24" s="22">
        <f t="shared" si="3"/>
        <v>370.33333333333337</v>
      </c>
      <c r="D24" s="22">
        <f t="shared" si="3"/>
        <v>448.16666666666663</v>
      </c>
      <c r="E24" s="22">
        <f t="shared" si="3"/>
        <v>540.33333333333337</v>
      </c>
      <c r="F24" s="22">
        <f t="shared" si="3"/>
        <v>611.41666666666663</v>
      </c>
      <c r="G24" s="22">
        <f>SUM(G25:G28)</f>
        <v>713.41666666666663</v>
      </c>
      <c r="H24" s="22">
        <f>SUM(H25:H28)</f>
        <v>777</v>
      </c>
      <c r="I24" s="23" t="s">
        <v>8</v>
      </c>
    </row>
    <row r="25" spans="1:24" ht="18.75" x14ac:dyDescent="0.25">
      <c r="A25" s="24" t="s">
        <v>9</v>
      </c>
      <c r="B25" s="25">
        <v>97.666666666666671</v>
      </c>
      <c r="C25" s="25">
        <v>101.08333333333333</v>
      </c>
      <c r="D25" s="25">
        <v>104.41666666666667</v>
      </c>
      <c r="E25" s="25">
        <v>104.83333333333333</v>
      </c>
      <c r="F25" s="25">
        <v>111.08333333333333</v>
      </c>
      <c r="G25" s="25">
        <v>124.08333333333333</v>
      </c>
      <c r="H25" s="25">
        <v>130</v>
      </c>
      <c r="I25" s="26" t="s">
        <v>10</v>
      </c>
    </row>
    <row r="26" spans="1:24" ht="15.75" x14ac:dyDescent="0.25">
      <c r="A26" s="24" t="s">
        <v>11</v>
      </c>
      <c r="B26" s="25">
        <v>18.583333333333332</v>
      </c>
      <c r="C26" s="25">
        <v>17.333333333333332</v>
      </c>
      <c r="D26" s="25">
        <v>15.583333333333334</v>
      </c>
      <c r="E26" s="25">
        <v>14.333333333333334</v>
      </c>
      <c r="F26" s="25">
        <v>12.666666666666666</v>
      </c>
      <c r="G26" s="25">
        <v>11.916666666666666</v>
      </c>
      <c r="H26" s="25">
        <v>12</v>
      </c>
      <c r="I26" s="32" t="s">
        <v>12</v>
      </c>
    </row>
    <row r="27" spans="1:24" ht="15.75" x14ac:dyDescent="0.25">
      <c r="A27" s="24" t="s">
        <v>13</v>
      </c>
      <c r="B27" s="25">
        <v>54.333333333333336</v>
      </c>
      <c r="C27" s="25">
        <v>98.833333333333329</v>
      </c>
      <c r="D27" s="25">
        <v>172.91666666666666</v>
      </c>
      <c r="E27" s="25">
        <v>261.66666666666669</v>
      </c>
      <c r="F27" s="25">
        <v>353.5</v>
      </c>
      <c r="G27" s="25">
        <v>433.58333333333331</v>
      </c>
      <c r="H27" s="25">
        <v>490</v>
      </c>
      <c r="I27" s="32" t="s">
        <v>14</v>
      </c>
    </row>
    <row r="28" spans="1:24" ht="15.75" x14ac:dyDescent="0.25">
      <c r="A28" s="38" t="s">
        <v>15</v>
      </c>
      <c r="B28" s="39">
        <v>152.5</v>
      </c>
      <c r="C28" s="39">
        <v>153.08333333333334</v>
      </c>
      <c r="D28" s="39">
        <v>155.25</v>
      </c>
      <c r="E28" s="39">
        <v>159.5</v>
      </c>
      <c r="F28" s="39">
        <v>134.16666666666666</v>
      </c>
      <c r="G28" s="39">
        <v>143.83333333333334</v>
      </c>
      <c r="H28" s="39">
        <v>145</v>
      </c>
      <c r="I28" s="40" t="s">
        <v>16</v>
      </c>
    </row>
    <row r="29" spans="1:24" ht="18.75" x14ac:dyDescent="0.25">
      <c r="A29" s="18" t="s">
        <v>25</v>
      </c>
      <c r="B29" s="31"/>
      <c r="C29" s="31"/>
      <c r="D29" s="31"/>
      <c r="E29" s="31"/>
      <c r="F29" s="31"/>
      <c r="G29" s="31"/>
      <c r="H29" s="31"/>
      <c r="I29" s="37" t="s">
        <v>24</v>
      </c>
    </row>
    <row r="30" spans="1:24" ht="18.75" x14ac:dyDescent="0.25">
      <c r="A30" s="24" t="s">
        <v>9</v>
      </c>
      <c r="B30" s="25">
        <v>86.688769701127484</v>
      </c>
      <c r="C30" s="25">
        <v>88.595126530663109</v>
      </c>
      <c r="D30" s="25">
        <v>81.856214093483658</v>
      </c>
      <c r="E30" s="25">
        <v>76.220607180907422</v>
      </c>
      <c r="F30" s="25">
        <v>73.996436740211678</v>
      </c>
      <c r="G30" s="25">
        <v>72.738665701182953</v>
      </c>
      <c r="H30" s="25">
        <v>74.599999999999994</v>
      </c>
      <c r="I30" s="26" t="s">
        <v>10</v>
      </c>
    </row>
    <row r="31" spans="1:24" ht="15.75" x14ac:dyDescent="0.25">
      <c r="A31" s="24" t="s">
        <v>11</v>
      </c>
      <c r="B31" s="25">
        <v>36.663245078967122</v>
      </c>
      <c r="C31" s="25">
        <v>37.491387357802637</v>
      </c>
      <c r="D31" s="25">
        <v>42.621855635268837</v>
      </c>
      <c r="E31" s="25">
        <v>38.453285628742037</v>
      </c>
      <c r="F31" s="25">
        <v>40.343422717733894</v>
      </c>
      <c r="G31" s="25">
        <v>44.192331264448093</v>
      </c>
      <c r="H31" s="25">
        <v>40.4</v>
      </c>
      <c r="I31" s="32" t="s">
        <v>21</v>
      </c>
    </row>
    <row r="32" spans="1:24" ht="15.75" x14ac:dyDescent="0.25">
      <c r="A32" s="24" t="s">
        <v>13</v>
      </c>
      <c r="B32" s="25">
        <v>18.438426739984173</v>
      </c>
      <c r="C32" s="25">
        <v>23.215800959283015</v>
      </c>
      <c r="D32" s="25">
        <v>18.290859127152753</v>
      </c>
      <c r="E32" s="25">
        <v>23.754186523394655</v>
      </c>
      <c r="F32" s="25">
        <v>33.515560141504473</v>
      </c>
      <c r="G32" s="25">
        <v>30.768031823623502</v>
      </c>
      <c r="H32" s="25">
        <v>32.6</v>
      </c>
      <c r="I32" s="32" t="s">
        <v>14</v>
      </c>
    </row>
    <row r="33" spans="1:25" ht="17.25" x14ac:dyDescent="0.4">
      <c r="A33" s="38" t="s">
        <v>15</v>
      </c>
      <c r="B33" s="49">
        <v>41.030046881673968</v>
      </c>
      <c r="C33" s="49">
        <v>46.938810104897328</v>
      </c>
      <c r="D33" s="49">
        <v>26.948089288930188</v>
      </c>
      <c r="E33" s="49">
        <v>29.175364104266588</v>
      </c>
      <c r="F33" s="49">
        <v>28.96464254150591</v>
      </c>
      <c r="G33" s="49">
        <v>26.385018397706389</v>
      </c>
      <c r="H33" s="49">
        <v>28.1</v>
      </c>
      <c r="I33" s="50" t="s">
        <v>16</v>
      </c>
    </row>
    <row r="34" spans="1:25" s="21" customFormat="1" ht="18" customHeight="1" x14ac:dyDescent="0.2">
      <c r="A34" s="5" t="s">
        <v>1</v>
      </c>
      <c r="B34" s="51"/>
      <c r="C34" s="51"/>
      <c r="D34" s="51"/>
      <c r="E34" s="51"/>
      <c r="F34" s="51"/>
      <c r="G34" s="51"/>
      <c r="H34" s="51"/>
      <c r="I34" s="6" t="s">
        <v>26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51"/>
    </row>
    <row r="35" spans="1:25" s="21" customFormat="1" ht="18" customHeight="1" x14ac:dyDescent="0.2">
      <c r="B35" s="51"/>
      <c r="C35" s="51"/>
      <c r="D35" s="51"/>
      <c r="E35" s="51"/>
      <c r="F35" s="51"/>
      <c r="G35" s="51"/>
      <c r="H35" s="51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52"/>
    </row>
    <row r="36" spans="1:25" s="21" customFormat="1" ht="12.75" x14ac:dyDescent="0.2">
      <c r="R36" s="53" t="s">
        <v>9</v>
      </c>
      <c r="S36" s="54">
        <f>H7/$H$6*100</f>
        <v>70.654883803757457</v>
      </c>
      <c r="Y36" s="55"/>
    </row>
    <row r="37" spans="1:25" s="21" customFormat="1" ht="12.75" x14ac:dyDescent="0.2">
      <c r="R37" s="53" t="s">
        <v>11</v>
      </c>
      <c r="S37" s="54">
        <f>H8/$H$6*100</f>
        <v>4.1447778470305403</v>
      </c>
      <c r="Y37" s="55"/>
    </row>
    <row r="38" spans="1:25" s="21" customFormat="1" ht="12.75" x14ac:dyDescent="0.2">
      <c r="R38" s="53" t="s">
        <v>13</v>
      </c>
      <c r="S38" s="54">
        <f t="shared" ref="S38:S39" si="4">H9/$H$6*100</f>
        <v>19.061080936693081</v>
      </c>
      <c r="Y38" s="55"/>
    </row>
    <row r="39" spans="1:25" s="21" customFormat="1" ht="12.75" x14ac:dyDescent="0.2">
      <c r="R39" s="53" t="s">
        <v>15</v>
      </c>
      <c r="S39" s="54">
        <f t="shared" si="4"/>
        <v>6.139257412518921</v>
      </c>
      <c r="Y39" s="55"/>
    </row>
    <row r="40" spans="1:25" s="21" customFormat="1" ht="12" x14ac:dyDescent="0.2">
      <c r="Y40" s="55"/>
    </row>
    <row r="41" spans="1:25" x14ac:dyDescent="0.25">
      <c r="Y41" s="56"/>
    </row>
    <row r="42" spans="1:25" x14ac:dyDescent="0.25">
      <c r="Y42" s="56"/>
    </row>
    <row r="43" spans="1:25" x14ac:dyDescent="0.25">
      <c r="R43" s="53" t="s">
        <v>9</v>
      </c>
      <c r="S43" s="57">
        <f>H19/$H$18</f>
        <v>0.17575757575757575</v>
      </c>
      <c r="Y43" s="56"/>
    </row>
    <row r="44" spans="1:25" x14ac:dyDescent="0.25">
      <c r="R44" s="53" t="s">
        <v>11</v>
      </c>
      <c r="S44" s="57">
        <f>H20/$H$18</f>
        <v>1.4545454545454545E-2</v>
      </c>
      <c r="Y44" s="56"/>
    </row>
    <row r="45" spans="1:25" x14ac:dyDescent="0.25">
      <c r="R45" s="53" t="s">
        <v>13</v>
      </c>
      <c r="S45" s="57">
        <f>H21/$H$18</f>
        <v>0.63151515151515147</v>
      </c>
      <c r="Y45" s="56"/>
    </row>
    <row r="46" spans="1:25" x14ac:dyDescent="0.25">
      <c r="R46" s="53" t="s">
        <v>15</v>
      </c>
      <c r="S46" s="57">
        <f>H22/$H$18</f>
        <v>0.17818181818181819</v>
      </c>
      <c r="Y46" s="56"/>
    </row>
    <row r="69" spans="1:9" x14ac:dyDescent="0.2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25">
      <c r="A70" s="4"/>
      <c r="B70" s="4"/>
      <c r="C70" s="4"/>
      <c r="D70" s="4"/>
      <c r="E70" s="4"/>
      <c r="F70" s="4"/>
      <c r="G70" s="4"/>
      <c r="H70" s="4"/>
      <c r="I70" s="4"/>
    </row>
    <row r="71" spans="1:9" ht="15.75" x14ac:dyDescent="0.25">
      <c r="A71" s="18"/>
      <c r="B71" s="58"/>
      <c r="C71" s="58"/>
      <c r="D71" s="58"/>
      <c r="E71" s="58"/>
      <c r="F71" s="58"/>
      <c r="G71" s="58"/>
      <c r="H71" s="58"/>
      <c r="I71" s="14"/>
    </row>
    <row r="72" spans="1:9" ht="15.75" x14ac:dyDescent="0.25">
      <c r="A72" s="18"/>
      <c r="B72" s="58"/>
      <c r="C72" s="58"/>
      <c r="D72" s="58"/>
      <c r="E72" s="58"/>
      <c r="F72" s="58"/>
      <c r="G72" s="58"/>
      <c r="H72" s="58"/>
      <c r="I72" s="14"/>
    </row>
    <row r="73" spans="1:9" x14ac:dyDescent="0.25">
      <c r="A73" s="59"/>
      <c r="B73" s="60"/>
      <c r="C73" s="60"/>
      <c r="D73" s="60"/>
      <c r="E73" s="60"/>
      <c r="F73" s="60"/>
      <c r="G73" s="60"/>
      <c r="H73" s="60"/>
      <c r="I73" s="6"/>
    </row>
    <row r="74" spans="1:9" x14ac:dyDescent="0.25">
      <c r="A74" s="60"/>
      <c r="B74" s="60"/>
      <c r="C74" s="61"/>
      <c r="D74" s="61"/>
      <c r="E74" s="61"/>
      <c r="F74" s="61"/>
      <c r="G74" s="61"/>
      <c r="H74" s="61"/>
      <c r="I74" s="6"/>
    </row>
    <row r="75" spans="1:9" x14ac:dyDescent="0.25">
      <c r="A75" s="60"/>
      <c r="B75" s="60"/>
      <c r="C75" s="60"/>
      <c r="D75" s="60"/>
      <c r="E75" s="60"/>
      <c r="F75" s="60"/>
      <c r="G75" s="60"/>
      <c r="H75" s="60"/>
      <c r="I75" s="6"/>
    </row>
    <row r="76" spans="1:9" x14ac:dyDescent="0.25">
      <c r="A76" s="36"/>
      <c r="B76" s="36"/>
      <c r="C76" s="60"/>
      <c r="D76" s="60"/>
      <c r="E76" s="60"/>
      <c r="F76" s="60"/>
      <c r="G76" s="60"/>
      <c r="H76" s="60"/>
      <c r="I76" s="6"/>
    </row>
    <row r="77" spans="1:9" x14ac:dyDescent="0.2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2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25">
      <c r="A79" s="4"/>
      <c r="B79" s="4"/>
      <c r="C79" s="4"/>
      <c r="D79" s="4"/>
      <c r="E79" s="4"/>
      <c r="F79" s="4"/>
      <c r="G79" s="4"/>
      <c r="H79" s="4"/>
      <c r="I79" s="4"/>
    </row>
  </sheetData>
  <mergeCells count="2">
    <mergeCell ref="A1:I1"/>
    <mergeCell ref="A2:I2"/>
  </mergeCells>
  <pageMargins left="0.7" right="0.7" top="0.75" bottom="0.75" header="0.3" footer="0.3"/>
  <pageSetup paperSize="9" scale="78" orientation="landscape" horizontalDpi="4294967295" verticalDpi="4294967295" r:id="rId1"/>
  <rowBreaks count="1" manualBreakCount="1">
    <brk id="34" max="2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10.2</vt:lpstr>
      <vt:lpstr>'10.2'!Print_Area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2019-04-16T05:47:49Z</cp:lastPrinted>
  <dcterms:created xsi:type="dcterms:W3CDTF">2019-02-27T06:18:18Z</dcterms:created>
  <dcterms:modified xsi:type="dcterms:W3CDTF">2019-05-27T05:54:51Z</dcterms:modified>
</cp:coreProperties>
</file>