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13" sheetId="13" r:id="rId1"/>
  </sheets>
  <externalReferences>
    <externalReference r:id="rId2"/>
  </externalReferences>
  <definedNames>
    <definedName name="_xlnm.Print_Area" localSheetId="0">'10.13'!$A$1:$O$124</definedName>
    <definedName name="_xlnm.Print_Titles" localSheetId="0">'10.13'!$4:$4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1" i="13" l="1"/>
  <c r="B100" i="13"/>
  <c r="B99" i="13"/>
  <c r="B98" i="13"/>
  <c r="B97" i="13"/>
  <c r="B96" i="13"/>
  <c r="B95" i="13"/>
  <c r="B94" i="13"/>
  <c r="B93" i="13"/>
  <c r="B92" i="13"/>
  <c r="B91" i="13"/>
  <c r="B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8" i="13"/>
  <c r="B87" i="13"/>
  <c r="B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4" i="13"/>
  <c r="B83" i="13"/>
  <c r="B82" i="13"/>
  <c r="B81" i="13"/>
  <c r="B80" i="13"/>
  <c r="B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7" i="13"/>
  <c r="B76" i="13"/>
  <c r="B75" i="13"/>
  <c r="B74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2" i="13"/>
  <c r="B71" i="13"/>
  <c r="B70" i="13"/>
  <c r="B69" i="13"/>
  <c r="B68" i="13"/>
  <c r="B67" i="13"/>
  <c r="N66" i="13"/>
  <c r="M66" i="13"/>
  <c r="L66" i="13"/>
  <c r="K66" i="13"/>
  <c r="J66" i="13"/>
  <c r="J50" i="13" s="1"/>
  <c r="AC23" i="13" s="1"/>
  <c r="I66" i="13"/>
  <c r="H66" i="13"/>
  <c r="G66" i="13"/>
  <c r="F66" i="13"/>
  <c r="E66" i="13"/>
  <c r="D66" i="13"/>
  <c r="C66" i="13"/>
  <c r="B65" i="13"/>
  <c r="B64" i="13"/>
  <c r="B63" i="13"/>
  <c r="B62" i="13"/>
  <c r="B61" i="13"/>
  <c r="B60" i="13"/>
  <c r="B59" i="13"/>
  <c r="B58" i="13"/>
  <c r="N57" i="13"/>
  <c r="M57" i="13"/>
  <c r="L57" i="13"/>
  <c r="L50" i="13" s="1"/>
  <c r="AE23" i="13" s="1"/>
  <c r="K57" i="13"/>
  <c r="J57" i="13"/>
  <c r="I57" i="13"/>
  <c r="H57" i="13"/>
  <c r="G57" i="13"/>
  <c r="F57" i="13"/>
  <c r="E57" i="13"/>
  <c r="D57" i="13"/>
  <c r="D50" i="13" s="1"/>
  <c r="W23" i="13" s="1"/>
  <c r="C57" i="13"/>
  <c r="B56" i="13"/>
  <c r="B55" i="13"/>
  <c r="B54" i="13"/>
  <c r="B53" i="13"/>
  <c r="B52" i="13"/>
  <c r="N51" i="13"/>
  <c r="M51" i="13"/>
  <c r="L51" i="13"/>
  <c r="K51" i="13"/>
  <c r="J51" i="13"/>
  <c r="I51" i="13"/>
  <c r="I50" i="13" s="1"/>
  <c r="AB23" i="13" s="1"/>
  <c r="H51" i="13"/>
  <c r="G51" i="13"/>
  <c r="G50" i="13" s="1"/>
  <c r="F51" i="13"/>
  <c r="E51" i="13"/>
  <c r="E50" i="13" s="1"/>
  <c r="X23" i="13" s="1"/>
  <c r="D51" i="13"/>
  <c r="C51" i="13"/>
  <c r="K50" i="13"/>
  <c r="AD23" i="13" s="1"/>
  <c r="C50" i="13"/>
  <c r="B49" i="13"/>
  <c r="B48" i="13"/>
  <c r="B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5" i="13"/>
  <c r="B44" i="13"/>
  <c r="B43" i="13"/>
  <c r="B42" i="13"/>
  <c r="B41" i="13"/>
  <c r="B40" i="13"/>
  <c r="B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7" i="13"/>
  <c r="B36" i="13"/>
  <c r="B35" i="13"/>
  <c r="B34" i="13"/>
  <c r="B33" i="13"/>
  <c r="B32" i="13"/>
  <c r="B31" i="13"/>
  <c r="B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8" i="13"/>
  <c r="B27" i="13"/>
  <c r="B26" i="13"/>
  <c r="B25" i="13"/>
  <c r="B24" i="13"/>
  <c r="B23" i="13"/>
  <c r="B22" i="13"/>
  <c r="N21" i="13"/>
  <c r="M21" i="13"/>
  <c r="L21" i="13"/>
  <c r="K21" i="13"/>
  <c r="J21" i="13"/>
  <c r="J6" i="13" s="1"/>
  <c r="J5" i="13" s="1"/>
  <c r="AC21" i="13" s="1"/>
  <c r="I21" i="13"/>
  <c r="H21" i="13"/>
  <c r="G21" i="13"/>
  <c r="F21" i="13"/>
  <c r="E21" i="13"/>
  <c r="D21" i="13"/>
  <c r="C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N7" i="13"/>
  <c r="M7" i="13"/>
  <c r="AF22" i="13" s="1"/>
  <c r="L7" i="13"/>
  <c r="AE22" i="13" s="1"/>
  <c r="K7" i="13"/>
  <c r="AD22" i="13" s="1"/>
  <c r="J7" i="13"/>
  <c r="I7" i="13"/>
  <c r="H7" i="13"/>
  <c r="G7" i="13"/>
  <c r="Z22" i="13" s="1"/>
  <c r="F7" i="13"/>
  <c r="E7" i="13"/>
  <c r="X22" i="13" s="1"/>
  <c r="D7" i="13"/>
  <c r="W22" i="13" s="1"/>
  <c r="C7" i="13"/>
  <c r="V22" i="13" s="1"/>
  <c r="I6" i="13"/>
  <c r="G6" i="13"/>
  <c r="I5" i="13" l="1"/>
  <c r="AB21" i="13" s="1"/>
  <c r="AB24" i="13" s="1"/>
  <c r="E6" i="13"/>
  <c r="E5" i="13" s="1"/>
  <c r="X21" i="13" s="1"/>
  <c r="Y22" i="13"/>
  <c r="AG22" i="13"/>
  <c r="B46" i="13"/>
  <c r="K6" i="13"/>
  <c r="K5" i="13" s="1"/>
  <c r="AD21" i="13" s="1"/>
  <c r="AD24" i="13" s="1"/>
  <c r="B66" i="13"/>
  <c r="B21" i="13"/>
  <c r="AA22" i="13"/>
  <c r="B73" i="13"/>
  <c r="B78" i="13"/>
  <c r="AB22" i="13"/>
  <c r="B51" i="13"/>
  <c r="B89" i="13"/>
  <c r="M6" i="13"/>
  <c r="M5" i="13" s="1"/>
  <c r="AF21" i="13" s="1"/>
  <c r="AF24" i="13" s="1"/>
  <c r="AC22" i="13"/>
  <c r="AC24" i="13" s="1"/>
  <c r="B57" i="13"/>
  <c r="B85" i="13"/>
  <c r="B29" i="13"/>
  <c r="B38" i="13"/>
  <c r="H50" i="13"/>
  <c r="AA23" i="13" s="1"/>
  <c r="B7" i="13"/>
  <c r="L6" i="13"/>
  <c r="L5" i="13" s="1"/>
  <c r="AE21" i="13" s="1"/>
  <c r="AE24" i="13" s="1"/>
  <c r="D6" i="13"/>
  <c r="D5" i="13" s="1"/>
  <c r="W21" i="13" s="1"/>
  <c r="W24" i="13" s="1"/>
  <c r="F50" i="13"/>
  <c r="Y23" i="13" s="1"/>
  <c r="N50" i="13"/>
  <c r="AG23" i="13" s="1"/>
  <c r="M50" i="13"/>
  <c r="AF23" i="13" s="1"/>
  <c r="X24" i="13"/>
  <c r="B50" i="13"/>
  <c r="G5" i="13"/>
  <c r="Z21" i="13" s="1"/>
  <c r="Z23" i="13"/>
  <c r="F6" i="13"/>
  <c r="F5" i="13" s="1"/>
  <c r="Y21" i="13" s="1"/>
  <c r="Y24" i="13" s="1"/>
  <c r="N6" i="13"/>
  <c r="N5" i="13" s="1"/>
  <c r="AG21" i="13" s="1"/>
  <c r="H6" i="13"/>
  <c r="H5" i="13" s="1"/>
  <c r="AA21" i="13" s="1"/>
  <c r="AA24" i="13" s="1"/>
  <c r="V23" i="13"/>
  <c r="C6" i="13"/>
  <c r="AH22" i="13" l="1"/>
  <c r="AG24" i="13"/>
  <c r="Z24" i="13"/>
  <c r="B6" i="13"/>
  <c r="C5" i="13"/>
  <c r="V21" i="13" s="1"/>
  <c r="AH23" i="13"/>
  <c r="B5" i="13" l="1"/>
  <c r="AH21" i="13" l="1"/>
  <c r="V24" i="13"/>
  <c r="AH24" i="13" s="1"/>
</calcChain>
</file>

<file path=xl/sharedStrings.xml><?xml version="1.0" encoding="utf-8"?>
<sst xmlns="http://schemas.openxmlformats.org/spreadsheetml/2006/main" count="232" uniqueCount="194">
  <si>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</si>
  <si>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</si>
  <si>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</si>
  <si>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</si>
  <si>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</si>
  <si>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</si>
  <si>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</si>
  <si>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</si>
  <si>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</si>
  <si>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</si>
  <si>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</si>
  <si>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</si>
  <si>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</si>
  <si>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</si>
  <si>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</si>
  <si>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</si>
  <si>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</si>
  <si>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</si>
  <si>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</si>
  <si>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</si>
  <si>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</si>
  <si>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</si>
  <si>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</si>
  <si>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</si>
  <si>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</si>
  <si>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</si>
  <si>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</si>
  <si>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</si>
  <si>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</si>
  <si>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</si>
  <si>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</si>
  <si>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</si>
  <si>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</si>
  <si>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</si>
  <si>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</si>
  <si>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</si>
  <si>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</si>
  <si>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</si>
  <si>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</si>
  <si>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</si>
  <si>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</si>
  <si>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</si>
  <si>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</si>
  <si>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</si>
  <si>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</si>
  <si>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</si>
  <si>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</si>
  <si>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</si>
  <si>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</si>
  <si>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</si>
  <si>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</si>
  <si>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</si>
  <si>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</si>
  <si>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</si>
  <si>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</si>
  <si>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</si>
  <si>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</si>
  <si>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</si>
  <si>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>ތާވަލު 10.13: ޤައުމުތަކުގެ ގޮތުން ރާއްޖެއައި ފަތުރުވެރިންގެ ޢަދަދު، މަސްމަހުގެ ގޮތުން، 2018</t>
  </si>
  <si>
    <t>Table 10.13 :   MONTHLY DISTRIBUTION OF TOURIST ARRIVALS BY NATIONALITY, 2018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</si>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</sst>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9"/>
      <color theme="1"/>
      <name val="Faruma"/>
    </font>
    <font>
      <sz val="9"/>
      <name val="Faruma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8" fillId="2" borderId="0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5" fillId="2" borderId="0" xfId="2" applyFont="1" applyFill="1" applyBorder="1" applyAlignment="1" applyProtection="1">
      <alignment vertical="center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10" fillId="2" borderId="0" xfId="1" applyNumberFormat="1" applyFont="1" applyFill="1" applyBorder="1" applyAlignment="1" applyProtection="1">
      <alignment horizontal="right" vertical="center"/>
    </xf>
    <xf numFmtId="166" fontId="5" fillId="2" borderId="2" xfId="1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vertical="center"/>
    </xf>
    <xf numFmtId="0" fontId="10" fillId="2" borderId="0" xfId="2" applyFont="1" applyFill="1"/>
    <xf numFmtId="0" fontId="5" fillId="2" borderId="2" xfId="2" applyFont="1" applyFill="1" applyBorder="1" applyAlignment="1" applyProtection="1">
      <alignment horizontal="center" vertical="center"/>
    </xf>
    <xf numFmtId="166" fontId="5" fillId="2" borderId="2" xfId="2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/>
    <xf numFmtId="0" fontId="5" fillId="2" borderId="2" xfId="2" applyFont="1" applyFill="1" applyBorder="1" applyAlignment="1" applyProtection="1">
      <alignment horizontal="left" vertical="center"/>
    </xf>
    <xf numFmtId="0" fontId="5" fillId="2" borderId="2" xfId="2" applyFont="1" applyFill="1" applyBorder="1" applyAlignment="1" applyProtection="1">
      <alignment horizontal="right" vertical="center"/>
    </xf>
    <xf numFmtId="0" fontId="5" fillId="2" borderId="3" xfId="2" applyFont="1" applyFill="1" applyBorder="1" applyAlignment="1" applyProtection="1">
      <alignment horizontal="right" vertical="center"/>
    </xf>
    <xf numFmtId="0" fontId="11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 applyProtection="1">
      <alignment horizontal="lef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0" fontId="11" fillId="2" borderId="1" xfId="2" applyFont="1" applyFill="1" applyBorder="1"/>
    <xf numFmtId="0" fontId="6" fillId="2" borderId="0" xfId="2" applyFont="1" applyFill="1"/>
    <xf numFmtId="166" fontId="6" fillId="2" borderId="0" xfId="2" applyNumberFormat="1" applyFont="1" applyFill="1"/>
    <xf numFmtId="0" fontId="5" fillId="2" borderId="0" xfId="2" applyFont="1" applyFill="1" applyBorder="1" applyAlignment="1" applyProtection="1">
      <alignment horizontal="left" vertical="center"/>
    </xf>
    <xf numFmtId="0" fontId="11" fillId="2" borderId="0" xfId="2" applyFont="1" applyFill="1"/>
    <xf numFmtId="166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Border="1" applyAlignment="1">
      <alignment horizontal="left" vertical="center" indent="1"/>
    </xf>
    <xf numFmtId="0" fontId="4" fillId="2" borderId="0" xfId="2" applyFont="1" applyFill="1" applyBorder="1" applyAlignment="1">
      <alignment horizontal="right" vertical="center" indent="1"/>
    </xf>
    <xf numFmtId="0" fontId="10" fillId="2" borderId="0" xfId="4" applyFont="1" applyFill="1" applyBorder="1" applyAlignment="1">
      <alignment horizontal="left" vertical="center" indent="2"/>
    </xf>
    <xf numFmtId="166" fontId="5" fillId="2" borderId="0" xfId="1" applyNumberFormat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vertical="center"/>
    </xf>
    <xf numFmtId="0" fontId="13" fillId="2" borderId="0" xfId="2" applyFont="1" applyFill="1" applyAlignment="1">
      <alignment horizontal="right" indent="2"/>
    </xf>
    <xf numFmtId="0" fontId="10" fillId="2" borderId="0" xfId="4" quotePrefix="1" applyFont="1" applyFill="1" applyBorder="1" applyAlignment="1">
      <alignment horizontal="left" vertical="center" indent="2"/>
    </xf>
    <xf numFmtId="166" fontId="5" fillId="2" borderId="0" xfId="1" applyNumberFormat="1" applyFont="1" applyFill="1" applyBorder="1" applyAlignment="1">
      <alignment horizontal="right" vertical="center"/>
    </xf>
    <xf numFmtId="0" fontId="11" fillId="2" borderId="0" xfId="2" applyFont="1" applyFill="1" applyAlignment="1">
      <alignment horizontal="right" indent="1"/>
    </xf>
    <xf numFmtId="17" fontId="5" fillId="2" borderId="0" xfId="4" applyNumberFormat="1" applyFont="1" applyFill="1" applyBorder="1" applyAlignment="1">
      <alignment horizontal="left" vertical="center" wrapText="1" indent="1"/>
    </xf>
    <xf numFmtId="0" fontId="10" fillId="2" borderId="2" xfId="4" applyFont="1" applyFill="1" applyBorder="1" applyAlignment="1">
      <alignment horizontal="left" vertical="center" indent="2"/>
    </xf>
    <xf numFmtId="166" fontId="5" fillId="2" borderId="2" xfId="1" applyNumberFormat="1" applyFont="1" applyFill="1" applyBorder="1" applyAlignment="1">
      <alignment vertical="center"/>
    </xf>
    <xf numFmtId="166" fontId="10" fillId="2" borderId="2" xfId="1" applyNumberFormat="1" applyFont="1" applyFill="1" applyBorder="1" applyAlignment="1">
      <alignment vertical="center"/>
    </xf>
    <xf numFmtId="0" fontId="13" fillId="2" borderId="2" xfId="2" applyFont="1" applyFill="1" applyBorder="1" applyAlignment="1">
      <alignment horizontal="right" indent="2"/>
    </xf>
    <xf numFmtId="0" fontId="11" fillId="2" borderId="0" xfId="2" applyFont="1" applyFill="1" applyBorder="1"/>
    <xf numFmtId="0" fontId="11" fillId="2" borderId="0" xfId="2" applyFont="1" applyFill="1" applyAlignment="1">
      <alignment horizontal="right" indent="1" readingOrder="1"/>
    </xf>
    <xf numFmtId="0" fontId="13" fillId="2" borderId="0" xfId="2" applyFont="1" applyFill="1" applyBorder="1" applyAlignment="1">
      <alignment horizontal="right" indent="2"/>
    </xf>
    <xf numFmtId="0" fontId="10" fillId="2" borderId="0" xfId="4" applyFont="1" applyFill="1" applyBorder="1" applyAlignment="1">
      <alignment horizontal="left" vertical="center" indent="1"/>
    </xf>
    <xf numFmtId="0" fontId="13" fillId="2" borderId="0" xfId="2" applyFont="1" applyFill="1" applyAlignment="1">
      <alignment horizontal="right" indent="1"/>
    </xf>
    <xf numFmtId="0" fontId="10" fillId="2" borderId="2" xfId="4" applyFont="1" applyFill="1" applyBorder="1" applyAlignment="1">
      <alignment horizontal="left" vertical="center" indent="1"/>
    </xf>
    <xf numFmtId="0" fontId="13" fillId="2" borderId="2" xfId="2" applyFont="1" applyFill="1" applyBorder="1" applyAlignment="1">
      <alignment horizontal="right" indent="1"/>
    </xf>
    <xf numFmtId="166" fontId="10" fillId="2" borderId="0" xfId="1" applyNumberFormat="1" applyFont="1" applyFill="1" applyBorder="1" applyAlignment="1">
      <alignment horizontal="right" vertical="center"/>
    </xf>
    <xf numFmtId="166" fontId="10" fillId="2" borderId="2" xfId="1" applyNumberFormat="1" applyFont="1" applyFill="1" applyBorder="1" applyAlignment="1">
      <alignment horizontal="right" vertical="center"/>
    </xf>
    <xf numFmtId="0" fontId="9" fillId="2" borderId="0" xfId="2" applyFont="1" applyFill="1" applyAlignment="1" applyProtection="1">
      <alignment horizontal="left" vertical="center"/>
    </xf>
    <xf numFmtId="0" fontId="9" fillId="2" borderId="1" xfId="2" applyFont="1" applyFill="1" applyBorder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 indent="3"/>
    </xf>
    <xf numFmtId="3" fontId="10" fillId="2" borderId="0" xfId="2" applyNumberFormat="1" applyFont="1" applyFill="1"/>
    <xf numFmtId="0" fontId="14" fillId="2" borderId="0" xfId="2" applyFont="1" applyFill="1" applyAlignment="1">
      <alignment horizontal="center" vertical="center"/>
    </xf>
    <xf numFmtId="0" fontId="2" fillId="2" borderId="0" xfId="2" applyFont="1" applyFill="1" applyBorder="1" applyAlignment="1" applyProtection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 5 2" xfId="4"/>
    <cellStyle name="Percent 2 2" xfId="3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10.20: Monthly tourist arrivals by continent, 2018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'10.13'!$U$22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'10.13'!$V$22:$AG$22</c:f>
              <c:numCache>
                <c:formatCode>_(* #,##0_);_(* \(#,##0\);_(* "-"??_);_(@_)</c:formatCode>
                <c:ptCount val="12"/>
                <c:pt idx="0">
                  <c:v>76603</c:v>
                </c:pt>
                <c:pt idx="1">
                  <c:v>79710</c:v>
                </c:pt>
                <c:pt idx="2">
                  <c:v>82383</c:v>
                </c:pt>
                <c:pt idx="3">
                  <c:v>62871</c:v>
                </c:pt>
                <c:pt idx="4">
                  <c:v>40056</c:v>
                </c:pt>
                <c:pt idx="5">
                  <c:v>30774</c:v>
                </c:pt>
                <c:pt idx="6">
                  <c:v>47603</c:v>
                </c:pt>
                <c:pt idx="7">
                  <c:v>52488</c:v>
                </c:pt>
                <c:pt idx="8">
                  <c:v>44008</c:v>
                </c:pt>
                <c:pt idx="9">
                  <c:v>62962</c:v>
                </c:pt>
                <c:pt idx="10">
                  <c:v>64207</c:v>
                </c:pt>
                <c:pt idx="11">
                  <c:v>82755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E7-4DC0-9A3E-50072A0E78AA}"/>
            </c:ext>
          </c:extLst>
        </c:ser>
        <c:ser>
          <c:idx val="1"/>
          <c:order val="1"/>
          <c:tx>
            <c:strRef>
              <c:f>'10.13'!$U$23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'10.13'!$V$23:$AG$23</c:f>
              <c:numCache>
                <c:formatCode>_(* #,##0_);_(* \(#,##0\);_(* "-"??_);_(@_)</c:formatCode>
                <c:ptCount val="12"/>
                <c:pt idx="0">
                  <c:v>49130</c:v>
                </c:pt>
                <c:pt idx="1">
                  <c:v>53327</c:v>
                </c:pt>
                <c:pt idx="2">
                  <c:v>36336</c:v>
                </c:pt>
                <c:pt idx="3">
                  <c:v>40543</c:v>
                </c:pt>
                <c:pt idx="4">
                  <c:v>42383</c:v>
                </c:pt>
                <c:pt idx="5">
                  <c:v>49663</c:v>
                </c:pt>
                <c:pt idx="6">
                  <c:v>57352</c:v>
                </c:pt>
                <c:pt idx="7">
                  <c:v>54810</c:v>
                </c:pt>
                <c:pt idx="8">
                  <c:v>48950</c:v>
                </c:pt>
                <c:pt idx="9">
                  <c:v>50903</c:v>
                </c:pt>
                <c:pt idx="10">
                  <c:v>46954</c:v>
                </c:pt>
                <c:pt idx="11">
                  <c:v>50576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E7-4DC0-9A3E-50072A0E78AA}"/>
            </c:ext>
          </c:extLst>
        </c:ser>
        <c:ser>
          <c:idx val="2"/>
          <c:order val="2"/>
          <c:tx>
            <c:strRef>
              <c:f>'10.13'!$U$24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'10.13'!$V$24:$AG$24</c:f>
              <c:numCache>
                <c:formatCode>General</c:formatCode>
                <c:ptCount val="12"/>
                <c:pt idx="0" formatCode="_(* #,##0_);_(* \(#,##0\);_(* &quot;-&quot;??_);_(@_)">
                  <c:v>16618</c:v>
                </c:pt>
                <c:pt idx="1">
                  <c:v>11249</c:v>
                </c:pt>
                <c:pt idx="2">
                  <c:v>14747</c:v>
                </c:pt>
                <c:pt idx="3">
                  <c:v>16299</c:v>
                </c:pt>
                <c:pt idx="4">
                  <c:v>10474</c:v>
                </c:pt>
                <c:pt idx="5">
                  <c:v>13349</c:v>
                </c:pt>
                <c:pt idx="6">
                  <c:v>17377</c:v>
                </c:pt>
                <c:pt idx="7">
                  <c:v>16694</c:v>
                </c:pt>
                <c:pt idx="8">
                  <c:v>14662</c:v>
                </c:pt>
                <c:pt idx="9">
                  <c:v>13528</c:v>
                </c:pt>
                <c:pt idx="10">
                  <c:v>14443</c:v>
                </c:pt>
                <c:pt idx="11">
                  <c:v>17487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E7-4DC0-9A3E-50072A0E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329888"/>
        <c:axId val="352330448"/>
      </c:lineChart>
      <c:catAx>
        <c:axId val="3523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52330448"/>
        <c:crosses val="autoZero"/>
        <c:auto val="1"/>
        <c:lblAlgn val="ctr"/>
        <c:lblOffset val="100"/>
        <c:noMultiLvlLbl val="0"/>
      </c:catAx>
      <c:valAx>
        <c:axId val="3523304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352329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856166009597235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rgbClr val="FFFFEB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425235</xdr:colOff>
      <xdr:row>104</xdr:row>
      <xdr:rowOff>0</xdr:rowOff>
    </xdr:from>
    <xdr:to>
      <xdr:col>12</xdr:col>
      <xdr:colOff>532755</xdr:colOff>
      <xdr:row>122</xdr:row>
      <xdr:rowOff>152400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106"/>
  <sheetViews>
    <sheetView tabSelected="1" topLeftCell="A2" zoomScale="86" zoomScaleNormal="86" workbookViewId="0">
      <selection activeCell="V35" sqref="V35"/>
    </sheetView>
  </sheetViews>
  <sheetFormatPr defaultColWidth="9.140625" defaultRowHeight="12.75" x14ac:dyDescent="0.2"/>
  <cols>
    <col min="1" max="1" width="21" style="8" customWidth="1"/>
    <col min="2" max="2" width="11.5703125" style="8" bestFit="1" customWidth="1"/>
    <col min="3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16384" width="9.140625" style="8"/>
  </cols>
  <sheetData>
    <row r="1" spans="1:34" s="7" customFormat="1" ht="18.75" customHeight="1" x14ac:dyDescent="0.25">
      <c r="A1" s="52" t="s">
        <v>58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34" ht="17.25" customHeight="1" x14ac:dyDescent="0.2">
      <c r="A2" s="53" t="s">
        <v>59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34" s="11" customFormat="1" ht="12.75" customHeight="1" x14ac:dyDescent="0.2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34" s="16" customFormat="1" ht="18.75" customHeight="1" x14ac:dyDescent="0.25">
      <c r="A4" s="12" t="s">
        <v>47</v>
      </c>
      <c r="B4" s="13" t="s">
        <v>60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34</v>
      </c>
      <c r="H4" s="13" t="s">
        <v>40</v>
      </c>
      <c r="I4" s="13" t="s">
        <v>41</v>
      </c>
      <c r="J4" s="13" t="s">
        <v>42</v>
      </c>
      <c r="K4" s="13" t="s">
        <v>43</v>
      </c>
      <c r="L4" s="13" t="s">
        <v>44</v>
      </c>
      <c r="M4" s="13" t="s">
        <v>45</v>
      </c>
      <c r="N4" s="14" t="s">
        <v>46</v>
      </c>
      <c r="O4" s="15" t="s">
        <v>61</v>
      </c>
    </row>
    <row r="5" spans="1:34" s="20" customFormat="1" ht="18" customHeight="1" x14ac:dyDescent="0.45">
      <c r="A5" s="17" t="s">
        <v>0</v>
      </c>
      <c r="B5" s="18">
        <f>SUM(C5:N5)</f>
        <v>1484274</v>
      </c>
      <c r="C5" s="18">
        <f>C6+C50+C73+C78+C85+C89+C100+C101</f>
        <v>142351</v>
      </c>
      <c r="D5" s="18">
        <f>D6+D50+D73+D78+D85+D89+D100+D101</f>
        <v>144286</v>
      </c>
      <c r="E5" s="18">
        <f t="shared" ref="E5:K5" si="0">E6+E50+E73+E78+E85+E89+E100+E101</f>
        <v>133466</v>
      </c>
      <c r="F5" s="18">
        <f t="shared" si="0"/>
        <v>119713</v>
      </c>
      <c r="G5" s="18">
        <f t="shared" si="0"/>
        <v>92913</v>
      </c>
      <c r="H5" s="18">
        <f t="shared" si="0"/>
        <v>93786</v>
      </c>
      <c r="I5" s="18">
        <f t="shared" si="0"/>
        <v>122332</v>
      </c>
      <c r="J5" s="18">
        <f t="shared" si="0"/>
        <v>123992</v>
      </c>
      <c r="K5" s="18">
        <f t="shared" si="0"/>
        <v>107620</v>
      </c>
      <c r="L5" s="18">
        <f>L6+L50+L73+L78+L85+L89+L100+L101</f>
        <v>127393</v>
      </c>
      <c r="M5" s="18">
        <f t="shared" ref="M5:N5" si="1">M6+M50+M73+M78+M85+M89+M100+M101</f>
        <v>125604</v>
      </c>
      <c r="N5" s="18">
        <f t="shared" si="1"/>
        <v>150818</v>
      </c>
      <c r="O5" s="19" t="s">
        <v>1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4" s="20" customFormat="1" ht="18" customHeight="1" x14ac:dyDescent="0.45">
      <c r="A6" s="22" t="s">
        <v>2</v>
      </c>
      <c r="B6" s="4">
        <f>SUM(C6:N6)</f>
        <v>726420</v>
      </c>
      <c r="C6" s="4">
        <f>C7+C21+C29+C38+C46</f>
        <v>76603</v>
      </c>
      <c r="D6" s="4">
        <f t="shared" ref="D6:N6" si="2">D7+D21+D29+D38+D46</f>
        <v>79710</v>
      </c>
      <c r="E6" s="4">
        <f t="shared" si="2"/>
        <v>82383</v>
      </c>
      <c r="F6" s="4">
        <f t="shared" si="2"/>
        <v>62871</v>
      </c>
      <c r="G6" s="4">
        <f t="shared" si="2"/>
        <v>40056</v>
      </c>
      <c r="H6" s="4">
        <f>H7+H21+H29+H38+H46</f>
        <v>30774</v>
      </c>
      <c r="I6" s="4">
        <f t="shared" si="2"/>
        <v>47603</v>
      </c>
      <c r="J6" s="4">
        <f t="shared" si="2"/>
        <v>52488</v>
      </c>
      <c r="K6" s="4">
        <f t="shared" si="2"/>
        <v>44008</v>
      </c>
      <c r="L6" s="4">
        <f>L7+L21+L29+L38+L46</f>
        <v>62962</v>
      </c>
      <c r="M6" s="4">
        <f t="shared" si="2"/>
        <v>64207</v>
      </c>
      <c r="N6" s="4">
        <f t="shared" si="2"/>
        <v>82755</v>
      </c>
      <c r="O6" s="23" t="s">
        <v>3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34" s="20" customFormat="1" ht="18" customHeight="1" x14ac:dyDescent="0.2">
      <c r="A7" s="25" t="s">
        <v>48</v>
      </c>
      <c r="B7" s="4">
        <f>SUM(C7:N7)</f>
        <v>150519</v>
      </c>
      <c r="C7" s="4">
        <f>SUM(C8:C20)</f>
        <v>20749</v>
      </c>
      <c r="D7" s="4">
        <f t="shared" ref="D7:N7" si="3">SUM(D8:D20)</f>
        <v>17475</v>
      </c>
      <c r="E7" s="4">
        <f t="shared" si="3"/>
        <v>17743</v>
      </c>
      <c r="F7" s="4">
        <f t="shared" si="3"/>
        <v>13301</v>
      </c>
      <c r="G7" s="4">
        <f t="shared" si="3"/>
        <v>7467</v>
      </c>
      <c r="H7" s="4">
        <f t="shared" si="3"/>
        <v>6422</v>
      </c>
      <c r="I7" s="4">
        <f t="shared" si="3"/>
        <v>9048</v>
      </c>
      <c r="J7" s="4">
        <f t="shared" si="3"/>
        <v>8320</v>
      </c>
      <c r="K7" s="4">
        <f t="shared" si="3"/>
        <v>7359</v>
      </c>
      <c r="L7" s="4">
        <f t="shared" si="3"/>
        <v>11847</v>
      </c>
      <c r="M7" s="4">
        <f t="shared" si="3"/>
        <v>13970</v>
      </c>
      <c r="N7" s="4">
        <f t="shared" si="3"/>
        <v>16818</v>
      </c>
      <c r="O7" s="26" t="s">
        <v>62</v>
      </c>
    </row>
    <row r="8" spans="1:34" s="20" customFormat="1" ht="18" customHeight="1" x14ac:dyDescent="0.45">
      <c r="A8" s="27" t="s">
        <v>63</v>
      </c>
      <c r="B8" s="28">
        <f>SUM(C8:N8)</f>
        <v>2150</v>
      </c>
      <c r="C8" s="29">
        <v>258</v>
      </c>
      <c r="D8" s="29">
        <v>221</v>
      </c>
      <c r="E8" s="29">
        <v>280</v>
      </c>
      <c r="F8" s="29">
        <v>162</v>
      </c>
      <c r="G8" s="29">
        <v>89</v>
      </c>
      <c r="H8" s="29">
        <v>97</v>
      </c>
      <c r="I8" s="29">
        <v>104</v>
      </c>
      <c r="J8" s="29">
        <v>133</v>
      </c>
      <c r="K8" s="29">
        <v>128</v>
      </c>
      <c r="L8" s="29">
        <v>208</v>
      </c>
      <c r="M8" s="29">
        <v>187</v>
      </c>
      <c r="N8" s="29">
        <v>283</v>
      </c>
      <c r="O8" s="30" t="s">
        <v>64</v>
      </c>
      <c r="P8" s="16"/>
    </row>
    <row r="9" spans="1:34" s="20" customFormat="1" ht="18" customHeight="1" x14ac:dyDescent="0.45">
      <c r="A9" s="27" t="s">
        <v>65</v>
      </c>
      <c r="B9" s="28">
        <f>SUM(C9:N9)</f>
        <v>5510</v>
      </c>
      <c r="C9" s="29">
        <v>779</v>
      </c>
      <c r="D9" s="29">
        <v>953</v>
      </c>
      <c r="E9" s="29">
        <v>760</v>
      </c>
      <c r="F9" s="29">
        <v>540</v>
      </c>
      <c r="G9" s="29">
        <v>195</v>
      </c>
      <c r="H9" s="29">
        <v>106</v>
      </c>
      <c r="I9" s="29">
        <v>123</v>
      </c>
      <c r="J9" s="29">
        <v>147</v>
      </c>
      <c r="K9" s="29">
        <v>210</v>
      </c>
      <c r="L9" s="29">
        <v>282</v>
      </c>
      <c r="M9" s="29">
        <v>456</v>
      </c>
      <c r="N9" s="29">
        <v>959</v>
      </c>
      <c r="O9" s="30" t="s">
        <v>66</v>
      </c>
    </row>
    <row r="10" spans="1:34" s="20" customFormat="1" ht="18" customHeight="1" x14ac:dyDescent="0.45">
      <c r="A10" s="27" t="s">
        <v>67</v>
      </c>
      <c r="B10" s="28">
        <f t="shared" ref="B10:B84" si="4">SUM(C10:N10)</f>
        <v>13229</v>
      </c>
      <c r="C10" s="29">
        <v>1344</v>
      </c>
      <c r="D10" s="29">
        <v>2204</v>
      </c>
      <c r="E10" s="29">
        <v>1685</v>
      </c>
      <c r="F10" s="29">
        <v>1348</v>
      </c>
      <c r="G10" s="29">
        <v>543</v>
      </c>
      <c r="H10" s="29">
        <v>396</v>
      </c>
      <c r="I10" s="29">
        <v>1130</v>
      </c>
      <c r="J10" s="29">
        <v>692</v>
      </c>
      <c r="K10" s="29">
        <v>513</v>
      </c>
      <c r="L10" s="29">
        <v>888</v>
      </c>
      <c r="M10" s="29">
        <v>1237</v>
      </c>
      <c r="N10" s="29">
        <v>1249</v>
      </c>
      <c r="O10" s="30" t="s">
        <v>68</v>
      </c>
      <c r="P10" s="16"/>
    </row>
    <row r="11" spans="1:34" s="20" customFormat="1" ht="18" customHeight="1" x14ac:dyDescent="0.45">
      <c r="A11" s="31" t="s">
        <v>69</v>
      </c>
      <c r="B11" s="28">
        <f t="shared" si="4"/>
        <v>7782</v>
      </c>
      <c r="C11" s="29">
        <v>1456</v>
      </c>
      <c r="D11" s="29">
        <v>1258</v>
      </c>
      <c r="E11" s="29">
        <v>986</v>
      </c>
      <c r="F11" s="29">
        <v>439</v>
      </c>
      <c r="G11" s="29">
        <v>283</v>
      </c>
      <c r="H11" s="29">
        <v>199</v>
      </c>
      <c r="I11" s="29">
        <v>272</v>
      </c>
      <c r="J11" s="29">
        <v>309</v>
      </c>
      <c r="K11" s="29">
        <v>229</v>
      </c>
      <c r="L11" s="29">
        <v>776</v>
      </c>
      <c r="M11" s="29">
        <v>468</v>
      </c>
      <c r="N11" s="29">
        <v>1107</v>
      </c>
      <c r="O11" s="30" t="s">
        <v>70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s="20" customFormat="1" ht="18" customHeight="1" x14ac:dyDescent="0.45">
      <c r="A12" s="27" t="s">
        <v>71</v>
      </c>
      <c r="B12" s="28">
        <f t="shared" si="4"/>
        <v>4249</v>
      </c>
      <c r="C12" s="29">
        <v>660</v>
      </c>
      <c r="D12" s="29">
        <v>296</v>
      </c>
      <c r="E12" s="29">
        <v>772</v>
      </c>
      <c r="F12" s="29">
        <v>184</v>
      </c>
      <c r="G12" s="29">
        <v>160</v>
      </c>
      <c r="H12" s="29">
        <v>183</v>
      </c>
      <c r="I12" s="29">
        <v>488</v>
      </c>
      <c r="J12" s="29">
        <v>296</v>
      </c>
      <c r="K12" s="29">
        <v>157</v>
      </c>
      <c r="L12" s="29">
        <v>264</v>
      </c>
      <c r="M12" s="29">
        <v>138</v>
      </c>
      <c r="N12" s="29">
        <v>651</v>
      </c>
      <c r="O12" s="30" t="s">
        <v>72</v>
      </c>
      <c r="P12" s="16"/>
      <c r="U12" s="24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20" customFormat="1" ht="18" customHeight="1" x14ac:dyDescent="0.45">
      <c r="A13" s="27" t="s">
        <v>73</v>
      </c>
      <c r="B13" s="28">
        <f t="shared" si="4"/>
        <v>1199</v>
      </c>
      <c r="C13" s="29">
        <v>143</v>
      </c>
      <c r="D13" s="29">
        <v>172</v>
      </c>
      <c r="E13" s="29">
        <v>164</v>
      </c>
      <c r="F13" s="29">
        <v>95</v>
      </c>
      <c r="G13" s="29">
        <v>45</v>
      </c>
      <c r="H13" s="29">
        <v>42</v>
      </c>
      <c r="I13" s="29">
        <v>31</v>
      </c>
      <c r="J13" s="29">
        <v>34</v>
      </c>
      <c r="K13" s="29">
        <v>30</v>
      </c>
      <c r="L13" s="29">
        <v>98</v>
      </c>
      <c r="M13" s="29">
        <v>174</v>
      </c>
      <c r="N13" s="29">
        <v>171</v>
      </c>
      <c r="O13" s="30" t="s">
        <v>74</v>
      </c>
      <c r="P13" s="16"/>
      <c r="U13" s="24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 s="20" customFormat="1" ht="18" customHeight="1" x14ac:dyDescent="0.45">
      <c r="A14" s="27" t="s">
        <v>75</v>
      </c>
      <c r="B14" s="28">
        <f t="shared" si="4"/>
        <v>2638</v>
      </c>
      <c r="C14" s="29">
        <v>305</v>
      </c>
      <c r="D14" s="29">
        <v>332</v>
      </c>
      <c r="E14" s="29">
        <v>325</v>
      </c>
      <c r="F14" s="29">
        <v>227</v>
      </c>
      <c r="G14" s="29">
        <v>152</v>
      </c>
      <c r="H14" s="29">
        <v>86</v>
      </c>
      <c r="I14" s="29">
        <v>62</v>
      </c>
      <c r="J14" s="29">
        <v>89</v>
      </c>
      <c r="K14" s="29">
        <v>160</v>
      </c>
      <c r="L14" s="29">
        <v>274</v>
      </c>
      <c r="M14" s="29">
        <v>328</v>
      </c>
      <c r="N14" s="29">
        <v>298</v>
      </c>
      <c r="O14" s="30" t="s">
        <v>76</v>
      </c>
      <c r="P14" s="16"/>
      <c r="U14" s="24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s="20" customFormat="1" ht="18" customHeight="1" x14ac:dyDescent="0.45">
      <c r="A15" s="27" t="s">
        <v>77</v>
      </c>
      <c r="B15" s="28">
        <f t="shared" si="4"/>
        <v>12025</v>
      </c>
      <c r="C15" s="29">
        <v>1730</v>
      </c>
      <c r="D15" s="29">
        <v>1424</v>
      </c>
      <c r="E15" s="29">
        <v>1122</v>
      </c>
      <c r="F15" s="29">
        <v>1124</v>
      </c>
      <c r="G15" s="29">
        <v>760</v>
      </c>
      <c r="H15" s="29">
        <v>505</v>
      </c>
      <c r="I15" s="29">
        <v>878</v>
      </c>
      <c r="J15" s="29">
        <v>566</v>
      </c>
      <c r="K15" s="29">
        <v>668</v>
      </c>
      <c r="L15" s="29">
        <v>839</v>
      </c>
      <c r="M15" s="29">
        <v>1251</v>
      </c>
      <c r="N15" s="29">
        <v>1158</v>
      </c>
      <c r="O15" s="30" t="s">
        <v>78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s="20" customFormat="1" ht="18" customHeight="1" x14ac:dyDescent="0.45">
      <c r="A16" s="27" t="s">
        <v>79</v>
      </c>
      <c r="B16" s="28">
        <f t="shared" si="4"/>
        <v>8520</v>
      </c>
      <c r="C16" s="29">
        <v>1192</v>
      </c>
      <c r="D16" s="29">
        <v>1188</v>
      </c>
      <c r="E16" s="29">
        <v>778</v>
      </c>
      <c r="F16" s="29">
        <v>722</v>
      </c>
      <c r="G16" s="29">
        <v>339</v>
      </c>
      <c r="H16" s="29">
        <v>273</v>
      </c>
      <c r="I16" s="29">
        <v>351</v>
      </c>
      <c r="J16" s="29">
        <v>384</v>
      </c>
      <c r="K16" s="29">
        <v>388</v>
      </c>
      <c r="L16" s="29">
        <v>695</v>
      </c>
      <c r="M16" s="29">
        <v>1098</v>
      </c>
      <c r="N16" s="29">
        <v>1112</v>
      </c>
      <c r="O16" s="30" t="s">
        <v>80</v>
      </c>
      <c r="P16" s="16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s="20" customFormat="1" ht="18" customHeight="1" x14ac:dyDescent="0.45">
      <c r="A17" s="27" t="s">
        <v>81</v>
      </c>
      <c r="B17" s="28">
        <f t="shared" si="4"/>
        <v>70935</v>
      </c>
      <c r="C17" s="29">
        <v>9595</v>
      </c>
      <c r="D17" s="29">
        <v>6953</v>
      </c>
      <c r="E17" s="29">
        <v>7867</v>
      </c>
      <c r="F17" s="29">
        <v>6433</v>
      </c>
      <c r="G17" s="29">
        <v>3903</v>
      </c>
      <c r="H17" s="29">
        <v>3646</v>
      </c>
      <c r="I17" s="29">
        <v>4370</v>
      </c>
      <c r="J17" s="29">
        <v>4525</v>
      </c>
      <c r="K17" s="29">
        <v>3790</v>
      </c>
      <c r="L17" s="29">
        <v>5800</v>
      </c>
      <c r="M17" s="29">
        <v>6901</v>
      </c>
      <c r="N17" s="29">
        <v>7152</v>
      </c>
      <c r="O17" s="30" t="s">
        <v>11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s="20" customFormat="1" ht="18" customHeight="1" x14ac:dyDescent="0.45">
      <c r="A18" s="27" t="s">
        <v>82</v>
      </c>
      <c r="B18" s="28">
        <f t="shared" si="4"/>
        <v>6584</v>
      </c>
      <c r="C18" s="29">
        <v>773</v>
      </c>
      <c r="D18" s="29">
        <v>942</v>
      </c>
      <c r="E18" s="29">
        <v>1222</v>
      </c>
      <c r="F18" s="29">
        <v>734</v>
      </c>
      <c r="G18" s="29">
        <v>268</v>
      </c>
      <c r="H18" s="29">
        <v>205</v>
      </c>
      <c r="I18" s="29">
        <v>386</v>
      </c>
      <c r="J18" s="29">
        <v>193</v>
      </c>
      <c r="K18" s="29">
        <v>174</v>
      </c>
      <c r="L18" s="29">
        <v>480</v>
      </c>
      <c r="M18" s="29">
        <v>530</v>
      </c>
      <c r="N18" s="29">
        <v>677</v>
      </c>
      <c r="O18" s="30" t="s">
        <v>12</v>
      </c>
      <c r="P18" s="16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 s="20" customFormat="1" ht="18" customHeight="1" x14ac:dyDescent="0.45">
      <c r="A19" s="27" t="s">
        <v>83</v>
      </c>
      <c r="B19" s="28">
        <f t="shared" si="4"/>
        <v>11430</v>
      </c>
      <c r="C19" s="29">
        <v>1734</v>
      </c>
      <c r="D19" s="29">
        <v>1099</v>
      </c>
      <c r="E19" s="29">
        <v>1191</v>
      </c>
      <c r="F19" s="29">
        <v>965</v>
      </c>
      <c r="G19" s="29">
        <v>613</v>
      </c>
      <c r="H19" s="29">
        <v>525</v>
      </c>
      <c r="I19" s="29">
        <v>641</v>
      </c>
      <c r="J19" s="29">
        <v>744</v>
      </c>
      <c r="K19" s="29">
        <v>687</v>
      </c>
      <c r="L19" s="29">
        <v>955</v>
      </c>
      <c r="M19" s="29">
        <v>867</v>
      </c>
      <c r="N19" s="29">
        <v>1409</v>
      </c>
      <c r="O19" s="30" t="s">
        <v>84</v>
      </c>
    </row>
    <row r="20" spans="1:34" s="20" customFormat="1" ht="18" customHeight="1" x14ac:dyDescent="0.45">
      <c r="A20" s="27" t="s">
        <v>85</v>
      </c>
      <c r="B20" s="28">
        <f t="shared" si="4"/>
        <v>4268</v>
      </c>
      <c r="C20" s="29">
        <v>780</v>
      </c>
      <c r="D20" s="29">
        <v>433</v>
      </c>
      <c r="E20" s="29">
        <v>591</v>
      </c>
      <c r="F20" s="29">
        <v>328</v>
      </c>
      <c r="G20" s="29">
        <v>117</v>
      </c>
      <c r="H20" s="29">
        <v>159</v>
      </c>
      <c r="I20" s="29">
        <v>212</v>
      </c>
      <c r="J20" s="29">
        <v>208</v>
      </c>
      <c r="K20" s="29">
        <v>225</v>
      </c>
      <c r="L20" s="29">
        <v>288</v>
      </c>
      <c r="M20" s="29">
        <v>335</v>
      </c>
      <c r="N20" s="29">
        <v>592</v>
      </c>
      <c r="O20" s="30" t="s">
        <v>15</v>
      </c>
      <c r="P20" s="16"/>
      <c r="V20" s="20" t="s">
        <v>36</v>
      </c>
      <c r="W20" s="20" t="s">
        <v>37</v>
      </c>
      <c r="X20" s="20" t="s">
        <v>38</v>
      </c>
      <c r="Y20" s="20" t="s">
        <v>39</v>
      </c>
      <c r="Z20" s="20" t="s">
        <v>34</v>
      </c>
      <c r="AA20" s="20" t="s">
        <v>40</v>
      </c>
      <c r="AB20" s="20" t="s">
        <v>41</v>
      </c>
      <c r="AC20" s="20" t="s">
        <v>42</v>
      </c>
      <c r="AD20" s="20" t="s">
        <v>43</v>
      </c>
      <c r="AE20" s="20" t="s">
        <v>44</v>
      </c>
      <c r="AF20" s="20" t="s">
        <v>45</v>
      </c>
      <c r="AG20" s="20" t="s">
        <v>46</v>
      </c>
    </row>
    <row r="21" spans="1:34" s="20" customFormat="1" ht="18" customHeight="1" x14ac:dyDescent="0.45">
      <c r="A21" s="25" t="s">
        <v>49</v>
      </c>
      <c r="B21" s="28">
        <f t="shared" si="4"/>
        <v>156465</v>
      </c>
      <c r="C21" s="32">
        <f>SUM(C22:C28)</f>
        <v>14669</v>
      </c>
      <c r="D21" s="32">
        <f t="shared" ref="D21:N21" si="5">SUM(D22:D28)</f>
        <v>17293</v>
      </c>
      <c r="E21" s="32">
        <f t="shared" si="5"/>
        <v>16657</v>
      </c>
      <c r="F21" s="32">
        <f t="shared" si="5"/>
        <v>13278</v>
      </c>
      <c r="G21" s="32">
        <f t="shared" si="5"/>
        <v>9024</v>
      </c>
      <c r="H21" s="32">
        <f t="shared" si="5"/>
        <v>8334</v>
      </c>
      <c r="I21" s="32">
        <f t="shared" si="5"/>
        <v>12516</v>
      </c>
      <c r="J21" s="32">
        <f t="shared" si="5"/>
        <v>11012</v>
      </c>
      <c r="K21" s="32">
        <f t="shared" si="5"/>
        <v>9793</v>
      </c>
      <c r="L21" s="32">
        <f t="shared" si="5"/>
        <v>13963</v>
      </c>
      <c r="M21" s="32">
        <f t="shared" si="5"/>
        <v>13889</v>
      </c>
      <c r="N21" s="32">
        <f t="shared" si="5"/>
        <v>16037</v>
      </c>
      <c r="O21" s="33" t="s">
        <v>86</v>
      </c>
      <c r="U21" s="20" t="s">
        <v>0</v>
      </c>
      <c r="V21" s="21">
        <f>C5</f>
        <v>142351</v>
      </c>
      <c r="W21" s="21">
        <f t="shared" ref="W21:AG21" si="6">D5</f>
        <v>144286</v>
      </c>
      <c r="X21" s="21">
        <f t="shared" si="6"/>
        <v>133466</v>
      </c>
      <c r="Y21" s="21">
        <f t="shared" si="6"/>
        <v>119713</v>
      </c>
      <c r="Z21" s="21">
        <f t="shared" si="6"/>
        <v>92913</v>
      </c>
      <c r="AA21" s="21">
        <f t="shared" si="6"/>
        <v>93786</v>
      </c>
      <c r="AB21" s="21">
        <f t="shared" si="6"/>
        <v>122332</v>
      </c>
      <c r="AC21" s="21">
        <f t="shared" si="6"/>
        <v>123992</v>
      </c>
      <c r="AD21" s="21">
        <f t="shared" si="6"/>
        <v>107620</v>
      </c>
      <c r="AE21" s="21">
        <f t="shared" si="6"/>
        <v>127393</v>
      </c>
      <c r="AF21" s="21">
        <f t="shared" si="6"/>
        <v>125604</v>
      </c>
      <c r="AG21" s="21">
        <f t="shared" si="6"/>
        <v>150818</v>
      </c>
      <c r="AH21" s="21">
        <f>SUM(V21:AG21)</f>
        <v>1484274</v>
      </c>
    </row>
    <row r="22" spans="1:34" s="20" customFormat="1" ht="18" customHeight="1" x14ac:dyDescent="0.45">
      <c r="A22" s="27" t="s">
        <v>87</v>
      </c>
      <c r="B22" s="28">
        <f t="shared" si="4"/>
        <v>11133</v>
      </c>
      <c r="C22" s="29">
        <v>1323</v>
      </c>
      <c r="D22" s="29">
        <v>2025</v>
      </c>
      <c r="E22" s="29">
        <v>1466</v>
      </c>
      <c r="F22" s="29">
        <v>748</v>
      </c>
      <c r="G22" s="29">
        <v>354</v>
      </c>
      <c r="H22" s="29">
        <v>294</v>
      </c>
      <c r="I22" s="29">
        <v>1529</v>
      </c>
      <c r="J22" s="29">
        <v>405</v>
      </c>
      <c r="K22" s="29">
        <v>388</v>
      </c>
      <c r="L22" s="29">
        <v>1000</v>
      </c>
      <c r="M22" s="29">
        <v>766</v>
      </c>
      <c r="N22" s="29">
        <v>835</v>
      </c>
      <c r="O22" s="30" t="s">
        <v>88</v>
      </c>
      <c r="P22" s="16"/>
      <c r="U22" s="20" t="s">
        <v>2</v>
      </c>
      <c r="V22" s="21">
        <f>C7+C21+C29+C38+C46</f>
        <v>76603</v>
      </c>
      <c r="W22" s="21">
        <f t="shared" ref="W22:AG22" si="7">D7+D21+D29+D38+D46</f>
        <v>79710</v>
      </c>
      <c r="X22" s="21">
        <f t="shared" si="7"/>
        <v>82383</v>
      </c>
      <c r="Y22" s="21">
        <f t="shared" si="7"/>
        <v>62871</v>
      </c>
      <c r="Z22" s="21">
        <f t="shared" si="7"/>
        <v>40056</v>
      </c>
      <c r="AA22" s="21">
        <f t="shared" si="7"/>
        <v>30774</v>
      </c>
      <c r="AB22" s="21">
        <f t="shared" si="7"/>
        <v>47603</v>
      </c>
      <c r="AC22" s="21">
        <f t="shared" si="7"/>
        <v>52488</v>
      </c>
      <c r="AD22" s="21">
        <f t="shared" si="7"/>
        <v>44008</v>
      </c>
      <c r="AE22" s="21">
        <f t="shared" si="7"/>
        <v>62962</v>
      </c>
      <c r="AF22" s="21">
        <f t="shared" si="7"/>
        <v>64207</v>
      </c>
      <c r="AG22" s="21">
        <f t="shared" si="7"/>
        <v>82755</v>
      </c>
      <c r="AH22" s="21">
        <f t="shared" ref="AH22:AH24" si="8">SUM(V22:AG22)</f>
        <v>726420</v>
      </c>
    </row>
    <row r="23" spans="1:34" s="20" customFormat="1" ht="18" customHeight="1" x14ac:dyDescent="0.45">
      <c r="A23" s="27" t="s">
        <v>89</v>
      </c>
      <c r="B23" s="28">
        <f t="shared" si="4"/>
        <v>5682</v>
      </c>
      <c r="C23" s="29">
        <v>784</v>
      </c>
      <c r="D23" s="29">
        <v>726</v>
      </c>
      <c r="E23" s="29">
        <v>593</v>
      </c>
      <c r="F23" s="29">
        <v>256</v>
      </c>
      <c r="G23" s="29">
        <v>233</v>
      </c>
      <c r="H23" s="29">
        <v>209</v>
      </c>
      <c r="I23" s="29">
        <v>287</v>
      </c>
      <c r="J23" s="29">
        <v>218</v>
      </c>
      <c r="K23" s="29">
        <v>227</v>
      </c>
      <c r="L23" s="29">
        <v>575</v>
      </c>
      <c r="M23" s="29">
        <v>579</v>
      </c>
      <c r="N23" s="29">
        <v>995</v>
      </c>
      <c r="O23" s="30" t="s">
        <v>6</v>
      </c>
      <c r="U23" s="20" t="s">
        <v>16</v>
      </c>
      <c r="V23" s="21">
        <f>C50</f>
        <v>49130</v>
      </c>
      <c r="W23" s="21">
        <f t="shared" ref="W23:AG23" si="9">D50</f>
        <v>53327</v>
      </c>
      <c r="X23" s="21">
        <f t="shared" si="9"/>
        <v>36336</v>
      </c>
      <c r="Y23" s="21">
        <f t="shared" si="9"/>
        <v>40543</v>
      </c>
      <c r="Z23" s="21">
        <f t="shared" si="9"/>
        <v>42383</v>
      </c>
      <c r="AA23" s="21">
        <f t="shared" si="9"/>
        <v>49663</v>
      </c>
      <c r="AB23" s="21">
        <f t="shared" si="9"/>
        <v>57352</v>
      </c>
      <c r="AC23" s="21">
        <f t="shared" si="9"/>
        <v>54810</v>
      </c>
      <c r="AD23" s="21">
        <f t="shared" si="9"/>
        <v>48950</v>
      </c>
      <c r="AE23" s="21">
        <f t="shared" si="9"/>
        <v>50903</v>
      </c>
      <c r="AF23" s="21">
        <f t="shared" si="9"/>
        <v>46954</v>
      </c>
      <c r="AG23" s="21">
        <f t="shared" si="9"/>
        <v>50576</v>
      </c>
      <c r="AH23" s="21">
        <f t="shared" si="8"/>
        <v>580927</v>
      </c>
    </row>
    <row r="24" spans="1:34" s="20" customFormat="1" ht="18" customHeight="1" x14ac:dyDescent="0.45">
      <c r="A24" s="27" t="s">
        <v>90</v>
      </c>
      <c r="B24" s="28">
        <f t="shared" si="4"/>
        <v>4236</v>
      </c>
      <c r="C24" s="29">
        <v>383</v>
      </c>
      <c r="D24" s="29">
        <v>309</v>
      </c>
      <c r="E24" s="29">
        <v>431</v>
      </c>
      <c r="F24" s="29">
        <v>380</v>
      </c>
      <c r="G24" s="29">
        <v>249</v>
      </c>
      <c r="H24" s="29">
        <v>321</v>
      </c>
      <c r="I24" s="29">
        <v>361</v>
      </c>
      <c r="J24" s="29">
        <v>416</v>
      </c>
      <c r="K24" s="29">
        <v>312</v>
      </c>
      <c r="L24" s="29">
        <v>357</v>
      </c>
      <c r="M24" s="29">
        <v>328</v>
      </c>
      <c r="N24" s="29">
        <v>389</v>
      </c>
      <c r="O24" s="30" t="s">
        <v>91</v>
      </c>
      <c r="P24" s="16"/>
      <c r="U24" s="20" t="s">
        <v>92</v>
      </c>
      <c r="V24" s="21">
        <f>V21-V22-V23</f>
        <v>16618</v>
      </c>
      <c r="W24" s="20">
        <f t="shared" ref="W24:AG24" si="10">W21-W22-W23</f>
        <v>11249</v>
      </c>
      <c r="X24" s="20">
        <f t="shared" si="10"/>
        <v>14747</v>
      </c>
      <c r="Y24" s="20">
        <f t="shared" si="10"/>
        <v>16299</v>
      </c>
      <c r="Z24" s="20">
        <f t="shared" si="10"/>
        <v>10474</v>
      </c>
      <c r="AA24" s="20">
        <f t="shared" si="10"/>
        <v>13349</v>
      </c>
      <c r="AB24" s="20">
        <f t="shared" si="10"/>
        <v>17377</v>
      </c>
      <c r="AC24" s="20">
        <f t="shared" si="10"/>
        <v>16694</v>
      </c>
      <c r="AD24" s="20">
        <f t="shared" si="10"/>
        <v>14662</v>
      </c>
      <c r="AE24" s="20">
        <f t="shared" si="10"/>
        <v>13528</v>
      </c>
      <c r="AF24" s="20">
        <f t="shared" si="10"/>
        <v>14443</v>
      </c>
      <c r="AG24" s="20">
        <f t="shared" si="10"/>
        <v>17487</v>
      </c>
      <c r="AH24" s="21">
        <f t="shared" si="8"/>
        <v>176927</v>
      </c>
    </row>
    <row r="25" spans="1:34" s="20" customFormat="1" ht="18" customHeight="1" x14ac:dyDescent="0.45">
      <c r="A25" s="27" t="s">
        <v>93</v>
      </c>
      <c r="B25" s="28">
        <f t="shared" si="4"/>
        <v>5585</v>
      </c>
      <c r="C25" s="29">
        <v>508</v>
      </c>
      <c r="D25" s="29">
        <v>728</v>
      </c>
      <c r="E25" s="29">
        <v>635</v>
      </c>
      <c r="F25" s="29">
        <v>226</v>
      </c>
      <c r="G25" s="29">
        <v>186</v>
      </c>
      <c r="H25" s="29">
        <v>464</v>
      </c>
      <c r="I25" s="29">
        <v>1048</v>
      </c>
      <c r="J25" s="29">
        <v>317</v>
      </c>
      <c r="K25" s="29">
        <v>263</v>
      </c>
      <c r="L25" s="29">
        <v>336</v>
      </c>
      <c r="M25" s="29">
        <v>387</v>
      </c>
      <c r="N25" s="29">
        <v>487</v>
      </c>
      <c r="O25" s="30" t="s">
        <v>94</v>
      </c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4" s="20" customFormat="1" ht="18" customHeight="1" x14ac:dyDescent="0.45">
      <c r="A26" s="27" t="s">
        <v>95</v>
      </c>
      <c r="B26" s="28">
        <f t="shared" si="4"/>
        <v>14988</v>
      </c>
      <c r="C26" s="29">
        <v>2190</v>
      </c>
      <c r="D26" s="29">
        <v>2109</v>
      </c>
      <c r="E26" s="29">
        <v>1672</v>
      </c>
      <c r="F26" s="29">
        <v>793</v>
      </c>
      <c r="G26" s="29">
        <v>408</v>
      </c>
      <c r="H26" s="29">
        <v>576</v>
      </c>
      <c r="I26" s="29">
        <v>856</v>
      </c>
      <c r="J26" s="29">
        <v>396</v>
      </c>
      <c r="K26" s="29">
        <v>483</v>
      </c>
      <c r="L26" s="29">
        <v>1684</v>
      </c>
      <c r="M26" s="29">
        <v>1301</v>
      </c>
      <c r="N26" s="29">
        <v>2520</v>
      </c>
      <c r="O26" s="30" t="s">
        <v>96</v>
      </c>
      <c r="P26" s="16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4" s="20" customFormat="1" ht="18" customHeight="1" x14ac:dyDescent="0.45">
      <c r="A27" s="27" t="s">
        <v>97</v>
      </c>
      <c r="B27" s="28">
        <f t="shared" si="4"/>
        <v>114602</v>
      </c>
      <c r="C27" s="29">
        <v>9442</v>
      </c>
      <c r="D27" s="29">
        <v>11362</v>
      </c>
      <c r="E27" s="29">
        <v>11829</v>
      </c>
      <c r="F27" s="29">
        <v>10866</v>
      </c>
      <c r="G27" s="29">
        <v>7577</v>
      </c>
      <c r="H27" s="29">
        <v>6459</v>
      </c>
      <c r="I27" s="29">
        <v>8421</v>
      </c>
      <c r="J27" s="29">
        <v>9249</v>
      </c>
      <c r="K27" s="29">
        <v>8106</v>
      </c>
      <c r="L27" s="29">
        <v>9989</v>
      </c>
      <c r="M27" s="29">
        <v>10518</v>
      </c>
      <c r="N27" s="29">
        <v>10784</v>
      </c>
      <c r="O27" s="30" t="s">
        <v>14</v>
      </c>
      <c r="U27" s="2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4" s="20" customFormat="1" ht="18" customHeight="1" x14ac:dyDescent="0.45">
      <c r="A28" s="27" t="s">
        <v>85</v>
      </c>
      <c r="B28" s="28">
        <f t="shared" si="4"/>
        <v>239</v>
      </c>
      <c r="C28" s="29">
        <v>39</v>
      </c>
      <c r="D28" s="29">
        <v>34</v>
      </c>
      <c r="E28" s="29">
        <v>31</v>
      </c>
      <c r="F28" s="29">
        <v>9</v>
      </c>
      <c r="G28" s="29">
        <v>17</v>
      </c>
      <c r="H28" s="29">
        <v>11</v>
      </c>
      <c r="I28" s="29">
        <v>14</v>
      </c>
      <c r="J28" s="29">
        <v>11</v>
      </c>
      <c r="K28" s="29">
        <v>14</v>
      </c>
      <c r="L28" s="29">
        <v>22</v>
      </c>
      <c r="M28" s="29">
        <v>10</v>
      </c>
      <c r="N28" s="29">
        <v>27</v>
      </c>
      <c r="O28" s="30" t="s">
        <v>15</v>
      </c>
      <c r="P28" s="16"/>
      <c r="U28" s="24"/>
      <c r="V28" s="4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4" s="20" customFormat="1" ht="18" customHeight="1" x14ac:dyDescent="0.45">
      <c r="A29" s="25" t="s">
        <v>50</v>
      </c>
      <c r="B29" s="28">
        <f>SUM(C29:N29)</f>
        <v>158119</v>
      </c>
      <c r="C29" s="32">
        <f>SUM(C30:C37)</f>
        <v>17516</v>
      </c>
      <c r="D29" s="32">
        <f t="shared" ref="D29:N29" si="11">SUM(D30:D37)</f>
        <v>16920</v>
      </c>
      <c r="E29" s="32">
        <f t="shared" si="11"/>
        <v>17278</v>
      </c>
      <c r="F29" s="32">
        <f t="shared" si="11"/>
        <v>11597</v>
      </c>
      <c r="G29" s="32">
        <f t="shared" si="11"/>
        <v>5918</v>
      </c>
      <c r="H29" s="32">
        <f t="shared" si="11"/>
        <v>6729</v>
      </c>
      <c r="I29" s="32">
        <f t="shared" si="11"/>
        <v>9855</v>
      </c>
      <c r="J29" s="32">
        <f t="shared" si="11"/>
        <v>16839</v>
      </c>
      <c r="K29" s="32">
        <f t="shared" si="11"/>
        <v>9338</v>
      </c>
      <c r="L29" s="32">
        <f t="shared" si="11"/>
        <v>11176</v>
      </c>
      <c r="M29" s="32">
        <f t="shared" si="11"/>
        <v>11999</v>
      </c>
      <c r="N29" s="32">
        <f t="shared" si="11"/>
        <v>22954</v>
      </c>
      <c r="O29" s="33" t="s">
        <v>98</v>
      </c>
      <c r="V29" s="4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s="20" customFormat="1" ht="18" customHeight="1" x14ac:dyDescent="0.45">
      <c r="A30" s="27" t="s">
        <v>99</v>
      </c>
      <c r="B30" s="28">
        <f t="shared" si="4"/>
        <v>1579</v>
      </c>
      <c r="C30" s="32">
        <v>322</v>
      </c>
      <c r="D30" s="32">
        <v>143</v>
      </c>
      <c r="E30" s="32">
        <v>190</v>
      </c>
      <c r="F30" s="32">
        <v>123</v>
      </c>
      <c r="G30" s="32">
        <v>71</v>
      </c>
      <c r="H30" s="32">
        <v>51</v>
      </c>
      <c r="I30" s="32">
        <v>52</v>
      </c>
      <c r="J30" s="32">
        <v>83</v>
      </c>
      <c r="K30" s="32">
        <v>67</v>
      </c>
      <c r="L30" s="32">
        <v>127</v>
      </c>
      <c r="M30" s="32">
        <v>134</v>
      </c>
      <c r="N30" s="32">
        <v>216</v>
      </c>
      <c r="O30" s="33" t="s">
        <v>100</v>
      </c>
      <c r="V30" s="4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4" s="20" customFormat="1" ht="18" customHeight="1" x14ac:dyDescent="0.45">
      <c r="A31" s="27" t="s">
        <v>101</v>
      </c>
      <c r="B31" s="28">
        <f t="shared" si="4"/>
        <v>2398</v>
      </c>
      <c r="C31" s="29">
        <v>209</v>
      </c>
      <c r="D31" s="29">
        <v>204</v>
      </c>
      <c r="E31" s="29">
        <v>191</v>
      </c>
      <c r="F31" s="29">
        <v>240</v>
      </c>
      <c r="G31" s="29">
        <v>84</v>
      </c>
      <c r="H31" s="29">
        <v>94</v>
      </c>
      <c r="I31" s="29">
        <v>150</v>
      </c>
      <c r="J31" s="29">
        <v>298</v>
      </c>
      <c r="K31" s="29">
        <v>151</v>
      </c>
      <c r="L31" s="29">
        <v>157</v>
      </c>
      <c r="M31" s="29">
        <v>198</v>
      </c>
      <c r="N31" s="29">
        <v>422</v>
      </c>
      <c r="O31" s="30" t="s">
        <v>8</v>
      </c>
      <c r="P31" s="16"/>
      <c r="V31" s="4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4" s="20" customFormat="1" ht="18" customHeight="1" x14ac:dyDescent="0.45">
      <c r="A32" s="27" t="s">
        <v>102</v>
      </c>
      <c r="B32" s="28">
        <f t="shared" si="4"/>
        <v>105297</v>
      </c>
      <c r="C32" s="29">
        <v>14329</v>
      </c>
      <c r="D32" s="29">
        <v>13962</v>
      </c>
      <c r="E32" s="29">
        <v>13198</v>
      </c>
      <c r="F32" s="29">
        <v>8389</v>
      </c>
      <c r="G32" s="29">
        <v>3258</v>
      </c>
      <c r="H32" s="29">
        <v>3236</v>
      </c>
      <c r="I32" s="29">
        <v>4644</v>
      </c>
      <c r="J32" s="29">
        <v>8771</v>
      </c>
      <c r="K32" s="29">
        <v>4133</v>
      </c>
      <c r="L32" s="29">
        <v>5663</v>
      </c>
      <c r="M32" s="29">
        <v>7927</v>
      </c>
      <c r="N32" s="29">
        <v>17787</v>
      </c>
      <c r="O32" s="30" t="s">
        <v>9</v>
      </c>
      <c r="V32" s="4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22" s="20" customFormat="1" ht="18" customHeight="1" x14ac:dyDescent="0.45">
      <c r="A33" s="27" t="s">
        <v>103</v>
      </c>
      <c r="B33" s="28">
        <f t="shared" si="4"/>
        <v>8342</v>
      </c>
      <c r="C33" s="29">
        <v>456</v>
      </c>
      <c r="D33" s="29">
        <v>408</v>
      </c>
      <c r="E33" s="29">
        <v>918</v>
      </c>
      <c r="F33" s="29">
        <v>578</v>
      </c>
      <c r="G33" s="29">
        <v>496</v>
      </c>
      <c r="H33" s="29">
        <v>597</v>
      </c>
      <c r="I33" s="29">
        <v>920</v>
      </c>
      <c r="J33" s="29">
        <v>1034</v>
      </c>
      <c r="K33" s="29">
        <v>775</v>
      </c>
      <c r="L33" s="29">
        <v>761</v>
      </c>
      <c r="M33" s="29">
        <v>577</v>
      </c>
      <c r="N33" s="29">
        <v>822</v>
      </c>
      <c r="O33" s="30" t="s">
        <v>10</v>
      </c>
      <c r="P33" s="16"/>
      <c r="V33" s="4"/>
    </row>
    <row r="34" spans="1:22" s="20" customFormat="1" ht="18" customHeight="1" x14ac:dyDescent="0.45">
      <c r="A34" s="27" t="s">
        <v>104</v>
      </c>
      <c r="B34" s="28">
        <f t="shared" si="4"/>
        <v>2451</v>
      </c>
      <c r="C34" s="29">
        <v>339</v>
      </c>
      <c r="D34" s="29">
        <v>297</v>
      </c>
      <c r="E34" s="29">
        <v>185</v>
      </c>
      <c r="F34" s="29">
        <v>173</v>
      </c>
      <c r="G34" s="29">
        <v>103</v>
      </c>
      <c r="H34" s="29">
        <v>149</v>
      </c>
      <c r="I34" s="29">
        <v>205</v>
      </c>
      <c r="J34" s="29">
        <v>173</v>
      </c>
      <c r="K34" s="29">
        <v>159</v>
      </c>
      <c r="L34" s="29">
        <v>154</v>
      </c>
      <c r="M34" s="29">
        <v>241</v>
      </c>
      <c r="N34" s="29">
        <v>273</v>
      </c>
      <c r="O34" s="30" t="s">
        <v>105</v>
      </c>
      <c r="P34" s="16"/>
      <c r="V34" s="4"/>
    </row>
    <row r="35" spans="1:22" s="20" customFormat="1" ht="18" customHeight="1" x14ac:dyDescent="0.45">
      <c r="A35" s="27" t="s">
        <v>106</v>
      </c>
      <c r="B35" s="28">
        <f t="shared" si="4"/>
        <v>3167</v>
      </c>
      <c r="C35" s="29">
        <v>250</v>
      </c>
      <c r="D35" s="29">
        <v>561</v>
      </c>
      <c r="E35" s="29">
        <v>185</v>
      </c>
      <c r="F35" s="29">
        <v>388</v>
      </c>
      <c r="G35" s="29">
        <v>124</v>
      </c>
      <c r="H35" s="29">
        <v>106</v>
      </c>
      <c r="I35" s="29">
        <v>248</v>
      </c>
      <c r="J35" s="29">
        <v>129</v>
      </c>
      <c r="K35" s="29">
        <v>102</v>
      </c>
      <c r="L35" s="29">
        <v>449</v>
      </c>
      <c r="M35" s="29">
        <v>230</v>
      </c>
      <c r="N35" s="29">
        <v>395</v>
      </c>
      <c r="O35" s="30" t="s">
        <v>107</v>
      </c>
      <c r="U35" s="21"/>
      <c r="V35" s="4"/>
    </row>
    <row r="36" spans="1:22" s="20" customFormat="1" ht="18" customHeight="1" x14ac:dyDescent="0.45">
      <c r="A36" s="27" t="s">
        <v>108</v>
      </c>
      <c r="B36" s="28">
        <f t="shared" si="4"/>
        <v>31780</v>
      </c>
      <c r="C36" s="29">
        <v>1315</v>
      </c>
      <c r="D36" s="29">
        <v>1129</v>
      </c>
      <c r="E36" s="29">
        <v>2118</v>
      </c>
      <c r="F36" s="29">
        <v>1511</v>
      </c>
      <c r="G36" s="29">
        <v>1623</v>
      </c>
      <c r="H36" s="29">
        <v>2333</v>
      </c>
      <c r="I36" s="29">
        <v>3408</v>
      </c>
      <c r="J36" s="29">
        <v>6081</v>
      </c>
      <c r="K36" s="29">
        <v>3642</v>
      </c>
      <c r="L36" s="29">
        <v>3563</v>
      </c>
      <c r="M36" s="29">
        <v>2426</v>
      </c>
      <c r="N36" s="29">
        <v>2631</v>
      </c>
      <c r="O36" s="30" t="s">
        <v>13</v>
      </c>
      <c r="P36" s="16"/>
      <c r="U36" s="24"/>
      <c r="V36" s="4"/>
    </row>
    <row r="37" spans="1:22" s="20" customFormat="1" ht="18" customHeight="1" x14ac:dyDescent="0.45">
      <c r="A37" s="27" t="s">
        <v>85</v>
      </c>
      <c r="B37" s="28">
        <f t="shared" si="4"/>
        <v>3105</v>
      </c>
      <c r="C37" s="29">
        <v>296</v>
      </c>
      <c r="D37" s="29">
        <v>216</v>
      </c>
      <c r="E37" s="29">
        <v>293</v>
      </c>
      <c r="F37" s="29">
        <v>195</v>
      </c>
      <c r="G37" s="29">
        <v>159</v>
      </c>
      <c r="H37" s="29">
        <v>163</v>
      </c>
      <c r="I37" s="29">
        <v>228</v>
      </c>
      <c r="J37" s="29">
        <v>270</v>
      </c>
      <c r="K37" s="29">
        <v>309</v>
      </c>
      <c r="L37" s="29">
        <v>302</v>
      </c>
      <c r="M37" s="29">
        <v>266</v>
      </c>
      <c r="N37" s="29">
        <v>408</v>
      </c>
      <c r="O37" s="30" t="s">
        <v>15</v>
      </c>
      <c r="V37" s="4"/>
    </row>
    <row r="38" spans="1:22" s="20" customFormat="1" ht="18" customHeight="1" x14ac:dyDescent="0.45">
      <c r="A38" s="25" t="s">
        <v>51</v>
      </c>
      <c r="B38" s="28">
        <f t="shared" si="4"/>
        <v>242727</v>
      </c>
      <c r="C38" s="32">
        <f>SUM(C39:C45)</f>
        <v>21563</v>
      </c>
      <c r="D38" s="32">
        <f t="shared" ref="D38:N38" si="12">SUM(D39:D45)</f>
        <v>26881</v>
      </c>
      <c r="E38" s="32">
        <f t="shared" si="12"/>
        <v>29439</v>
      </c>
      <c r="F38" s="32">
        <f t="shared" si="12"/>
        <v>23126</v>
      </c>
      <c r="G38" s="32">
        <f t="shared" si="12"/>
        <v>16669</v>
      </c>
      <c r="H38" s="32">
        <f t="shared" si="12"/>
        <v>8458</v>
      </c>
      <c r="I38" s="32">
        <f t="shared" si="12"/>
        <v>14361</v>
      </c>
      <c r="J38" s="32">
        <f t="shared" si="12"/>
        <v>14225</v>
      </c>
      <c r="K38" s="32">
        <f t="shared" si="12"/>
        <v>14819</v>
      </c>
      <c r="L38" s="32">
        <f t="shared" si="12"/>
        <v>24721</v>
      </c>
      <c r="M38" s="32">
        <f t="shared" si="12"/>
        <v>23333</v>
      </c>
      <c r="N38" s="32">
        <f t="shared" si="12"/>
        <v>25132</v>
      </c>
      <c r="O38" s="33" t="s">
        <v>109</v>
      </c>
      <c r="P38" s="16"/>
      <c r="V38" s="4"/>
    </row>
    <row r="39" spans="1:22" s="20" customFormat="1" ht="18" customHeight="1" x14ac:dyDescent="0.45">
      <c r="A39" s="27" t="s">
        <v>110</v>
      </c>
      <c r="B39" s="28">
        <f t="shared" si="4"/>
        <v>20391</v>
      </c>
      <c r="C39" s="29">
        <v>2290</v>
      </c>
      <c r="D39" s="29">
        <v>3021</v>
      </c>
      <c r="E39" s="29">
        <v>2835</v>
      </c>
      <c r="F39" s="29">
        <v>1350</v>
      </c>
      <c r="G39" s="29">
        <v>989</v>
      </c>
      <c r="H39" s="29">
        <v>492</v>
      </c>
      <c r="I39" s="29">
        <v>1301</v>
      </c>
      <c r="J39" s="29">
        <v>1100</v>
      </c>
      <c r="K39" s="29">
        <v>745</v>
      </c>
      <c r="L39" s="29">
        <v>1890</v>
      </c>
      <c r="M39" s="29">
        <v>2013</v>
      </c>
      <c r="N39" s="29">
        <v>2365</v>
      </c>
      <c r="O39" s="30" t="s">
        <v>4</v>
      </c>
    </row>
    <row r="40" spans="1:22" s="20" customFormat="1" ht="18" customHeight="1" x14ac:dyDescent="0.45">
      <c r="A40" s="27" t="s">
        <v>111</v>
      </c>
      <c r="B40" s="28">
        <f t="shared" si="4"/>
        <v>6492</v>
      </c>
      <c r="C40" s="29">
        <v>598</v>
      </c>
      <c r="D40" s="29">
        <v>684</v>
      </c>
      <c r="E40" s="29">
        <v>695</v>
      </c>
      <c r="F40" s="29">
        <v>654</v>
      </c>
      <c r="G40" s="29">
        <v>263</v>
      </c>
      <c r="H40" s="29">
        <v>219</v>
      </c>
      <c r="I40" s="29">
        <v>572</v>
      </c>
      <c r="J40" s="29">
        <v>448</v>
      </c>
      <c r="K40" s="29">
        <v>404</v>
      </c>
      <c r="L40" s="29">
        <v>641</v>
      </c>
      <c r="M40" s="29">
        <v>504</v>
      </c>
      <c r="N40" s="29">
        <v>810</v>
      </c>
      <c r="O40" s="30" t="s">
        <v>5</v>
      </c>
      <c r="P40" s="16"/>
    </row>
    <row r="41" spans="1:22" s="20" customFormat="1" ht="18" customHeight="1" x14ac:dyDescent="0.45">
      <c r="A41" s="27" t="s">
        <v>112</v>
      </c>
      <c r="B41" s="28">
        <f t="shared" si="4"/>
        <v>50476</v>
      </c>
      <c r="C41" s="29">
        <v>6335</v>
      </c>
      <c r="D41" s="29">
        <v>8058</v>
      </c>
      <c r="E41" s="29">
        <v>6452</v>
      </c>
      <c r="F41" s="29">
        <v>5903</v>
      </c>
      <c r="G41" s="29">
        <v>2555</v>
      </c>
      <c r="H41" s="29">
        <v>1057</v>
      </c>
      <c r="I41" s="29">
        <v>2043</v>
      </c>
      <c r="J41" s="29">
        <v>2714</v>
      </c>
      <c r="K41" s="29">
        <v>1853</v>
      </c>
      <c r="L41" s="29">
        <v>3743</v>
      </c>
      <c r="M41" s="29">
        <v>3349</v>
      </c>
      <c r="N41" s="29">
        <v>6414</v>
      </c>
      <c r="O41" s="30" t="s">
        <v>7</v>
      </c>
    </row>
    <row r="42" spans="1:22" s="20" customFormat="1" ht="18" customHeight="1" x14ac:dyDescent="0.45">
      <c r="A42" s="27" t="s">
        <v>113</v>
      </c>
      <c r="B42" s="28">
        <f t="shared" si="4"/>
        <v>117532</v>
      </c>
      <c r="C42" s="29">
        <v>8329</v>
      </c>
      <c r="D42" s="29">
        <v>9785</v>
      </c>
      <c r="E42" s="29">
        <v>14692</v>
      </c>
      <c r="F42" s="29">
        <v>9070</v>
      </c>
      <c r="G42" s="29">
        <v>10668</v>
      </c>
      <c r="H42" s="29">
        <v>5283</v>
      </c>
      <c r="I42" s="29">
        <v>6932</v>
      </c>
      <c r="J42" s="29">
        <v>6382</v>
      </c>
      <c r="K42" s="29">
        <v>9112</v>
      </c>
      <c r="L42" s="29">
        <v>13364</v>
      </c>
      <c r="M42" s="29">
        <v>13043</v>
      </c>
      <c r="N42" s="29">
        <v>10872</v>
      </c>
      <c r="O42" s="30" t="s">
        <v>114</v>
      </c>
      <c r="P42" s="16"/>
    </row>
    <row r="43" spans="1:22" s="20" customFormat="1" ht="18" customHeight="1" x14ac:dyDescent="0.45">
      <c r="A43" s="31" t="s">
        <v>115</v>
      </c>
      <c r="B43" s="28">
        <f t="shared" si="4"/>
        <v>13845</v>
      </c>
      <c r="C43" s="29">
        <v>1008</v>
      </c>
      <c r="D43" s="29">
        <v>1112</v>
      </c>
      <c r="E43" s="29">
        <v>887</v>
      </c>
      <c r="F43" s="29">
        <v>1042</v>
      </c>
      <c r="G43" s="29">
        <v>770</v>
      </c>
      <c r="H43" s="29">
        <v>728</v>
      </c>
      <c r="I43" s="29">
        <v>1554</v>
      </c>
      <c r="J43" s="29">
        <v>2567</v>
      </c>
      <c r="K43" s="29">
        <v>1115</v>
      </c>
      <c r="L43" s="29">
        <v>1127</v>
      </c>
      <c r="M43" s="29">
        <v>836</v>
      </c>
      <c r="N43" s="29">
        <v>1099</v>
      </c>
      <c r="O43" s="30" t="s">
        <v>116</v>
      </c>
    </row>
    <row r="44" spans="1:22" s="20" customFormat="1" ht="18" customHeight="1" x14ac:dyDescent="0.45">
      <c r="A44" s="27" t="s">
        <v>117</v>
      </c>
      <c r="B44" s="28">
        <f t="shared" si="4"/>
        <v>32984</v>
      </c>
      <c r="C44" s="29">
        <v>2927</v>
      </c>
      <c r="D44" s="29">
        <v>4132</v>
      </c>
      <c r="E44" s="29">
        <v>3760</v>
      </c>
      <c r="F44" s="29">
        <v>4916</v>
      </c>
      <c r="G44" s="29">
        <v>1397</v>
      </c>
      <c r="H44" s="29">
        <v>663</v>
      </c>
      <c r="I44" s="29">
        <v>1899</v>
      </c>
      <c r="J44" s="29">
        <v>897</v>
      </c>
      <c r="K44" s="29">
        <v>1560</v>
      </c>
      <c r="L44" s="29">
        <v>3874</v>
      </c>
      <c r="M44" s="29">
        <v>3508</v>
      </c>
      <c r="N44" s="29">
        <v>3451</v>
      </c>
      <c r="O44" s="30" t="s">
        <v>118</v>
      </c>
      <c r="P44" s="16"/>
      <c r="S44" s="20" t="s">
        <v>119</v>
      </c>
    </row>
    <row r="45" spans="1:22" s="20" customFormat="1" ht="18" customHeight="1" x14ac:dyDescent="0.45">
      <c r="A45" s="27" t="s">
        <v>85</v>
      </c>
      <c r="B45" s="28">
        <f t="shared" si="4"/>
        <v>1007</v>
      </c>
      <c r="C45" s="29">
        <v>76</v>
      </c>
      <c r="D45" s="29">
        <v>89</v>
      </c>
      <c r="E45" s="29">
        <v>118</v>
      </c>
      <c r="F45" s="29">
        <v>191</v>
      </c>
      <c r="G45" s="29">
        <v>27</v>
      </c>
      <c r="H45" s="29">
        <v>16</v>
      </c>
      <c r="I45" s="29">
        <v>60</v>
      </c>
      <c r="J45" s="29">
        <v>117</v>
      </c>
      <c r="K45" s="29">
        <v>30</v>
      </c>
      <c r="L45" s="29">
        <v>82</v>
      </c>
      <c r="M45" s="29">
        <v>80</v>
      </c>
      <c r="N45" s="29">
        <v>121</v>
      </c>
      <c r="O45" s="30" t="s">
        <v>15</v>
      </c>
    </row>
    <row r="46" spans="1:22" s="20" customFormat="1" ht="23.25" customHeight="1" x14ac:dyDescent="0.45">
      <c r="A46" s="34" t="s">
        <v>52</v>
      </c>
      <c r="B46" s="28">
        <f t="shared" si="4"/>
        <v>18590</v>
      </c>
      <c r="C46" s="32">
        <f>SUM(C47:C49)</f>
        <v>2106</v>
      </c>
      <c r="D46" s="32">
        <f t="shared" ref="D46:N46" si="13">SUM(D47:D49)</f>
        <v>1141</v>
      </c>
      <c r="E46" s="32">
        <f t="shared" si="13"/>
        <v>1266</v>
      </c>
      <c r="F46" s="32">
        <f t="shared" si="13"/>
        <v>1569</v>
      </c>
      <c r="G46" s="32">
        <f t="shared" si="13"/>
        <v>978</v>
      </c>
      <c r="H46" s="32">
        <f t="shared" si="13"/>
        <v>831</v>
      </c>
      <c r="I46" s="32">
        <f t="shared" si="13"/>
        <v>1823</v>
      </c>
      <c r="J46" s="32">
        <f t="shared" si="13"/>
        <v>2092</v>
      </c>
      <c r="K46" s="32">
        <f t="shared" si="13"/>
        <v>2699</v>
      </c>
      <c r="L46" s="32">
        <f t="shared" si="13"/>
        <v>1255</v>
      </c>
      <c r="M46" s="32">
        <f t="shared" si="13"/>
        <v>1016</v>
      </c>
      <c r="N46" s="32">
        <f t="shared" si="13"/>
        <v>1814</v>
      </c>
      <c r="O46" s="33" t="s">
        <v>120</v>
      </c>
      <c r="P46" s="16"/>
    </row>
    <row r="47" spans="1:22" s="20" customFormat="1" ht="18" customHeight="1" x14ac:dyDescent="0.45">
      <c r="A47" s="31" t="s">
        <v>121</v>
      </c>
      <c r="B47" s="28">
        <f t="shared" si="4"/>
        <v>7748</v>
      </c>
      <c r="C47" s="29">
        <v>466</v>
      </c>
      <c r="D47" s="29">
        <v>382</v>
      </c>
      <c r="E47" s="29">
        <v>554</v>
      </c>
      <c r="F47" s="29">
        <v>540</v>
      </c>
      <c r="G47" s="29">
        <v>328</v>
      </c>
      <c r="H47" s="29">
        <v>300</v>
      </c>
      <c r="I47" s="29">
        <v>679</v>
      </c>
      <c r="J47" s="29">
        <v>1141</v>
      </c>
      <c r="K47" s="29">
        <v>1693</v>
      </c>
      <c r="L47" s="29">
        <v>441</v>
      </c>
      <c r="M47" s="29">
        <v>359</v>
      </c>
      <c r="N47" s="29">
        <v>865</v>
      </c>
      <c r="O47" s="30" t="s">
        <v>122</v>
      </c>
    </row>
    <row r="48" spans="1:22" s="20" customFormat="1" ht="18" customHeight="1" x14ac:dyDescent="0.45">
      <c r="A48" s="27" t="s">
        <v>123</v>
      </c>
      <c r="B48" s="28">
        <f t="shared" si="4"/>
        <v>10129</v>
      </c>
      <c r="C48" s="29">
        <v>1567</v>
      </c>
      <c r="D48" s="29">
        <v>719</v>
      </c>
      <c r="E48" s="29">
        <v>653</v>
      </c>
      <c r="F48" s="29">
        <v>945</v>
      </c>
      <c r="G48" s="29">
        <v>641</v>
      </c>
      <c r="H48" s="29">
        <v>503</v>
      </c>
      <c r="I48" s="29">
        <v>1097</v>
      </c>
      <c r="J48" s="29">
        <v>809</v>
      </c>
      <c r="K48" s="29">
        <v>982</v>
      </c>
      <c r="L48" s="29">
        <v>755</v>
      </c>
      <c r="M48" s="29">
        <v>599</v>
      </c>
      <c r="N48" s="29">
        <v>859</v>
      </c>
      <c r="O48" s="30" t="s">
        <v>124</v>
      </c>
      <c r="P48" s="16"/>
    </row>
    <row r="49" spans="1:16" s="20" customFormat="1" ht="18" customHeight="1" x14ac:dyDescent="0.45">
      <c r="A49" s="35" t="s">
        <v>85</v>
      </c>
      <c r="B49" s="36">
        <f t="shared" si="4"/>
        <v>713</v>
      </c>
      <c r="C49" s="37">
        <v>73</v>
      </c>
      <c r="D49" s="37">
        <v>40</v>
      </c>
      <c r="E49" s="37">
        <v>59</v>
      </c>
      <c r="F49" s="37">
        <v>84</v>
      </c>
      <c r="G49" s="37">
        <v>9</v>
      </c>
      <c r="H49" s="37">
        <v>28</v>
      </c>
      <c r="I49" s="37">
        <v>47</v>
      </c>
      <c r="J49" s="37">
        <v>142</v>
      </c>
      <c r="K49" s="37">
        <v>24</v>
      </c>
      <c r="L49" s="37">
        <v>59</v>
      </c>
      <c r="M49" s="37">
        <v>58</v>
      </c>
      <c r="N49" s="37">
        <v>90</v>
      </c>
      <c r="O49" s="38" t="s">
        <v>15</v>
      </c>
    </row>
    <row r="50" spans="1:16" s="20" customFormat="1" ht="23.25" customHeight="1" x14ac:dyDescent="0.45">
      <c r="A50" s="22" t="s">
        <v>16</v>
      </c>
      <c r="B50" s="4">
        <f t="shared" si="4"/>
        <v>580927</v>
      </c>
      <c r="C50" s="4">
        <f>C51+C57+C66</f>
        <v>49130</v>
      </c>
      <c r="D50" s="4">
        <f t="shared" ref="D50:N50" si="14">D51+D57+D66</f>
        <v>53327</v>
      </c>
      <c r="E50" s="4">
        <f t="shared" si="14"/>
        <v>36336</v>
      </c>
      <c r="F50" s="4">
        <f t="shared" si="14"/>
        <v>40543</v>
      </c>
      <c r="G50" s="4">
        <f t="shared" si="14"/>
        <v>42383</v>
      </c>
      <c r="H50" s="4">
        <f t="shared" si="14"/>
        <v>49663</v>
      </c>
      <c r="I50" s="4">
        <f t="shared" si="14"/>
        <v>57352</v>
      </c>
      <c r="J50" s="4">
        <f t="shared" si="14"/>
        <v>54810</v>
      </c>
      <c r="K50" s="4">
        <f t="shared" si="14"/>
        <v>48950</v>
      </c>
      <c r="L50" s="4">
        <f t="shared" si="14"/>
        <v>50903</v>
      </c>
      <c r="M50" s="4">
        <f t="shared" si="14"/>
        <v>46954</v>
      </c>
      <c r="N50" s="4">
        <f t="shared" si="14"/>
        <v>50576</v>
      </c>
      <c r="O50" s="39" t="s">
        <v>17</v>
      </c>
      <c r="P50" s="16"/>
    </row>
    <row r="51" spans="1:16" s="20" customFormat="1" ht="18" customHeight="1" x14ac:dyDescent="0.45">
      <c r="A51" s="25" t="s">
        <v>53</v>
      </c>
      <c r="B51" s="28">
        <f t="shared" si="4"/>
        <v>372448</v>
      </c>
      <c r="C51" s="32">
        <f>SUM(C52:C56)</f>
        <v>32934</v>
      </c>
      <c r="D51" s="32">
        <f t="shared" ref="D51:N51" si="15">SUM(D52:D56)</f>
        <v>40522</v>
      </c>
      <c r="E51" s="32">
        <f t="shared" si="15"/>
        <v>20734</v>
      </c>
      <c r="F51" s="32">
        <f t="shared" si="15"/>
        <v>22846</v>
      </c>
      <c r="G51" s="32">
        <f t="shared" si="15"/>
        <v>22673</v>
      </c>
      <c r="H51" s="32">
        <f t="shared" si="15"/>
        <v>29047</v>
      </c>
      <c r="I51" s="32">
        <f t="shared" si="15"/>
        <v>39940</v>
      </c>
      <c r="J51" s="32">
        <f t="shared" si="15"/>
        <v>41066</v>
      </c>
      <c r="K51" s="32">
        <f t="shared" si="15"/>
        <v>35591</v>
      </c>
      <c r="L51" s="32">
        <f t="shared" si="15"/>
        <v>34122</v>
      </c>
      <c r="M51" s="32">
        <f t="shared" si="15"/>
        <v>27433</v>
      </c>
      <c r="N51" s="32">
        <f t="shared" si="15"/>
        <v>25540</v>
      </c>
      <c r="O51" s="40" t="s">
        <v>125</v>
      </c>
    </row>
    <row r="52" spans="1:16" s="20" customFormat="1" ht="18" customHeight="1" x14ac:dyDescent="0.45">
      <c r="A52" s="27" t="s">
        <v>126</v>
      </c>
      <c r="B52" s="28">
        <f t="shared" si="4"/>
        <v>283116</v>
      </c>
      <c r="C52" s="29">
        <v>25830</v>
      </c>
      <c r="D52" s="29">
        <v>33506</v>
      </c>
      <c r="E52" s="29">
        <v>13203</v>
      </c>
      <c r="F52" s="29">
        <v>15093</v>
      </c>
      <c r="G52" s="29">
        <v>16927</v>
      </c>
      <c r="H52" s="29">
        <v>22853</v>
      </c>
      <c r="I52" s="29">
        <v>33227</v>
      </c>
      <c r="J52" s="29">
        <v>33472</v>
      </c>
      <c r="K52" s="29">
        <v>27997</v>
      </c>
      <c r="L52" s="29">
        <v>25803</v>
      </c>
      <c r="M52" s="29">
        <v>18465</v>
      </c>
      <c r="N52" s="29">
        <v>16740</v>
      </c>
      <c r="O52" s="30" t="s">
        <v>18</v>
      </c>
      <c r="P52" s="16"/>
    </row>
    <row r="53" spans="1:16" s="20" customFormat="1" ht="18" customHeight="1" x14ac:dyDescent="0.45">
      <c r="A53" s="27" t="s">
        <v>127</v>
      </c>
      <c r="B53" s="28">
        <f t="shared" si="4"/>
        <v>42304</v>
      </c>
      <c r="C53" s="29">
        <v>3138</v>
      </c>
      <c r="D53" s="29">
        <v>3715</v>
      </c>
      <c r="E53" s="29">
        <v>3790</v>
      </c>
      <c r="F53" s="29">
        <v>3698</v>
      </c>
      <c r="G53" s="29">
        <v>2217</v>
      </c>
      <c r="H53" s="29">
        <v>2629</v>
      </c>
      <c r="I53" s="29">
        <v>2923</v>
      </c>
      <c r="J53" s="29">
        <v>4432</v>
      </c>
      <c r="K53" s="29">
        <v>3923</v>
      </c>
      <c r="L53" s="29">
        <v>3425</v>
      </c>
      <c r="M53" s="29">
        <v>3823</v>
      </c>
      <c r="N53" s="29">
        <v>4591</v>
      </c>
      <c r="O53" s="30" t="s">
        <v>21</v>
      </c>
    </row>
    <row r="54" spans="1:16" s="20" customFormat="1" ht="18" customHeight="1" x14ac:dyDescent="0.45">
      <c r="A54" s="27" t="s">
        <v>128</v>
      </c>
      <c r="B54" s="28">
        <f t="shared" si="4"/>
        <v>34400</v>
      </c>
      <c r="C54" s="29">
        <v>2988</v>
      </c>
      <c r="D54" s="29">
        <v>2078</v>
      </c>
      <c r="E54" s="29">
        <v>2663</v>
      </c>
      <c r="F54" s="29">
        <v>3008</v>
      </c>
      <c r="G54" s="29">
        <v>2647</v>
      </c>
      <c r="H54" s="29">
        <v>2531</v>
      </c>
      <c r="I54" s="29">
        <v>2477</v>
      </c>
      <c r="J54" s="29">
        <v>2175</v>
      </c>
      <c r="K54" s="29">
        <v>2566</v>
      </c>
      <c r="L54" s="29">
        <v>3826</v>
      </c>
      <c r="M54" s="29">
        <v>4098</v>
      </c>
      <c r="N54" s="29">
        <v>3343</v>
      </c>
      <c r="O54" s="30" t="s">
        <v>22</v>
      </c>
      <c r="P54" s="16"/>
    </row>
    <row r="55" spans="1:16" s="20" customFormat="1" ht="18" customHeight="1" x14ac:dyDescent="0.45">
      <c r="A55" s="27" t="s">
        <v>129</v>
      </c>
      <c r="B55" s="28">
        <f t="shared" si="4"/>
        <v>12439</v>
      </c>
      <c r="C55" s="29">
        <v>921</v>
      </c>
      <c r="D55" s="29">
        <v>1216</v>
      </c>
      <c r="E55" s="29">
        <v>1058</v>
      </c>
      <c r="F55" s="29">
        <v>1041</v>
      </c>
      <c r="G55" s="29">
        <v>877</v>
      </c>
      <c r="H55" s="29">
        <v>1007</v>
      </c>
      <c r="I55" s="29">
        <v>1305</v>
      </c>
      <c r="J55" s="29">
        <v>981</v>
      </c>
      <c r="K55" s="29">
        <v>1099</v>
      </c>
      <c r="L55" s="29">
        <v>1066</v>
      </c>
      <c r="M55" s="29">
        <v>1037</v>
      </c>
      <c r="N55" s="29">
        <v>831</v>
      </c>
      <c r="O55" s="30" t="s">
        <v>25</v>
      </c>
    </row>
    <row r="56" spans="1:16" s="20" customFormat="1" ht="18" customHeight="1" x14ac:dyDescent="0.45">
      <c r="A56" s="27" t="s">
        <v>85</v>
      </c>
      <c r="B56" s="28">
        <f t="shared" si="4"/>
        <v>189</v>
      </c>
      <c r="C56" s="29">
        <v>57</v>
      </c>
      <c r="D56" s="29">
        <v>7</v>
      </c>
      <c r="E56" s="29">
        <v>20</v>
      </c>
      <c r="F56" s="29">
        <v>6</v>
      </c>
      <c r="G56" s="29">
        <v>5</v>
      </c>
      <c r="H56" s="29">
        <v>27</v>
      </c>
      <c r="I56" s="29">
        <v>8</v>
      </c>
      <c r="J56" s="29">
        <v>6</v>
      </c>
      <c r="K56" s="29">
        <v>6</v>
      </c>
      <c r="L56" s="29">
        <v>2</v>
      </c>
      <c r="M56" s="29">
        <v>10</v>
      </c>
      <c r="N56" s="29">
        <v>35</v>
      </c>
      <c r="O56" s="30" t="s">
        <v>15</v>
      </c>
      <c r="P56" s="16"/>
    </row>
    <row r="57" spans="1:16" s="20" customFormat="1" ht="18" customHeight="1" x14ac:dyDescent="0.45">
      <c r="A57" s="25" t="s">
        <v>54</v>
      </c>
      <c r="B57" s="28">
        <f t="shared" si="4"/>
        <v>93397</v>
      </c>
      <c r="C57" s="32">
        <f>SUM(C58:C65)</f>
        <v>5295</v>
      </c>
      <c r="D57" s="32">
        <f t="shared" ref="D57:N57" si="16">SUM(D58:D65)</f>
        <v>5184</v>
      </c>
      <c r="E57" s="32">
        <f t="shared" si="16"/>
        <v>8457</v>
      </c>
      <c r="F57" s="32">
        <f t="shared" si="16"/>
        <v>9617</v>
      </c>
      <c r="G57" s="32">
        <f t="shared" si="16"/>
        <v>9487</v>
      </c>
      <c r="H57" s="32">
        <f t="shared" si="16"/>
        <v>11133</v>
      </c>
      <c r="I57" s="32">
        <f t="shared" si="16"/>
        <v>9256</v>
      </c>
      <c r="J57" s="32">
        <f t="shared" si="16"/>
        <v>6888</v>
      </c>
      <c r="K57" s="32">
        <f t="shared" si="16"/>
        <v>6463</v>
      </c>
      <c r="L57" s="32">
        <f t="shared" si="16"/>
        <v>7102</v>
      </c>
      <c r="M57" s="32">
        <f t="shared" si="16"/>
        <v>6435</v>
      </c>
      <c r="N57" s="32">
        <f t="shared" si="16"/>
        <v>8080</v>
      </c>
      <c r="O57" s="40" t="s">
        <v>130</v>
      </c>
    </row>
    <row r="58" spans="1:16" s="20" customFormat="1" ht="18" customHeight="1" x14ac:dyDescent="0.45">
      <c r="A58" s="27" t="s">
        <v>131</v>
      </c>
      <c r="B58" s="28">
        <f t="shared" si="4"/>
        <v>5885</v>
      </c>
      <c r="C58" s="29">
        <v>371</v>
      </c>
      <c r="D58" s="29">
        <v>453</v>
      </c>
      <c r="E58" s="29">
        <v>529</v>
      </c>
      <c r="F58" s="29">
        <v>442</v>
      </c>
      <c r="G58" s="29">
        <v>518</v>
      </c>
      <c r="H58" s="29">
        <v>774</v>
      </c>
      <c r="I58" s="29">
        <v>586</v>
      </c>
      <c r="J58" s="29">
        <v>492</v>
      </c>
      <c r="K58" s="29">
        <v>467</v>
      </c>
      <c r="L58" s="29">
        <v>389</v>
      </c>
      <c r="M58" s="29">
        <v>511</v>
      </c>
      <c r="N58" s="29">
        <v>353</v>
      </c>
      <c r="O58" s="30" t="s">
        <v>20</v>
      </c>
      <c r="P58" s="16"/>
    </row>
    <row r="59" spans="1:16" s="20" customFormat="1" ht="18" customHeight="1" x14ac:dyDescent="0.45">
      <c r="A59" s="27" t="s">
        <v>132</v>
      </c>
      <c r="B59" s="28">
        <f t="shared" si="4"/>
        <v>22202</v>
      </c>
      <c r="C59" s="29">
        <v>1182</v>
      </c>
      <c r="D59" s="29">
        <v>1405</v>
      </c>
      <c r="E59" s="29">
        <v>2472</v>
      </c>
      <c r="F59" s="29">
        <v>2126</v>
      </c>
      <c r="G59" s="29">
        <v>1900</v>
      </c>
      <c r="H59" s="29">
        <v>3217</v>
      </c>
      <c r="I59" s="29">
        <v>2169</v>
      </c>
      <c r="J59" s="29">
        <v>1482</v>
      </c>
      <c r="K59" s="29">
        <v>1733</v>
      </c>
      <c r="L59" s="29">
        <v>1277</v>
      </c>
      <c r="M59" s="29">
        <v>1473</v>
      </c>
      <c r="N59" s="29">
        <v>1766</v>
      </c>
      <c r="O59" s="30" t="s">
        <v>23</v>
      </c>
    </row>
    <row r="60" spans="1:16" s="20" customFormat="1" ht="18" customHeight="1" x14ac:dyDescent="0.45">
      <c r="A60" s="27" t="s">
        <v>133</v>
      </c>
      <c r="B60" s="28">
        <f t="shared" si="4"/>
        <v>1084</v>
      </c>
      <c r="C60" s="29">
        <v>55</v>
      </c>
      <c r="D60" s="29">
        <v>69</v>
      </c>
      <c r="E60" s="29">
        <v>67</v>
      </c>
      <c r="F60" s="29">
        <v>167</v>
      </c>
      <c r="G60" s="29">
        <v>81</v>
      </c>
      <c r="H60" s="29">
        <v>77</v>
      </c>
      <c r="I60" s="29">
        <v>127</v>
      </c>
      <c r="J60" s="29">
        <v>46</v>
      </c>
      <c r="K60" s="29">
        <v>68</v>
      </c>
      <c r="L60" s="29">
        <v>60</v>
      </c>
      <c r="M60" s="29">
        <v>118</v>
      </c>
      <c r="N60" s="29">
        <v>149</v>
      </c>
      <c r="O60" s="30" t="s">
        <v>134</v>
      </c>
    </row>
    <row r="61" spans="1:16" s="20" customFormat="1" ht="18" customHeight="1" x14ac:dyDescent="0.45">
      <c r="A61" s="27" t="s">
        <v>135</v>
      </c>
      <c r="B61" s="28">
        <f t="shared" si="4"/>
        <v>11035</v>
      </c>
      <c r="C61" s="29">
        <v>686</v>
      </c>
      <c r="D61" s="29">
        <v>548</v>
      </c>
      <c r="E61" s="29">
        <v>1211</v>
      </c>
      <c r="F61" s="29">
        <v>1092</v>
      </c>
      <c r="G61" s="29">
        <v>1289</v>
      </c>
      <c r="H61" s="29">
        <v>1136</v>
      </c>
      <c r="I61" s="29">
        <v>1199</v>
      </c>
      <c r="J61" s="29">
        <v>825</v>
      </c>
      <c r="K61" s="29">
        <v>710</v>
      </c>
      <c r="L61" s="29">
        <v>926</v>
      </c>
      <c r="M61" s="29">
        <v>714</v>
      </c>
      <c r="N61" s="29">
        <v>699</v>
      </c>
      <c r="O61" s="30" t="s">
        <v>136</v>
      </c>
      <c r="P61" s="16"/>
    </row>
    <row r="62" spans="1:16" s="20" customFormat="1" ht="18" customHeight="1" x14ac:dyDescent="0.45">
      <c r="A62" s="27" t="s">
        <v>137</v>
      </c>
      <c r="B62" s="28">
        <f t="shared" si="4"/>
        <v>13877</v>
      </c>
      <c r="C62" s="29">
        <v>859</v>
      </c>
      <c r="D62" s="29">
        <v>580</v>
      </c>
      <c r="E62" s="29">
        <v>1086</v>
      </c>
      <c r="F62" s="29">
        <v>971</v>
      </c>
      <c r="G62" s="29">
        <v>1061</v>
      </c>
      <c r="H62" s="29">
        <v>1449</v>
      </c>
      <c r="I62" s="29">
        <v>918</v>
      </c>
      <c r="J62" s="29">
        <v>1188</v>
      </c>
      <c r="K62" s="29">
        <v>1081</v>
      </c>
      <c r="L62" s="29">
        <v>835</v>
      </c>
      <c r="M62" s="29">
        <v>1506</v>
      </c>
      <c r="N62" s="29">
        <v>2343</v>
      </c>
      <c r="O62" s="30" t="s">
        <v>138</v>
      </c>
    </row>
    <row r="63" spans="1:16" s="20" customFormat="1" ht="18" customHeight="1" x14ac:dyDescent="0.45">
      <c r="A63" s="27" t="s">
        <v>139</v>
      </c>
      <c r="B63" s="28">
        <f t="shared" si="4"/>
        <v>32436</v>
      </c>
      <c r="C63" s="29">
        <v>1741</v>
      </c>
      <c r="D63" s="29">
        <v>1564</v>
      </c>
      <c r="E63" s="29">
        <v>2668</v>
      </c>
      <c r="F63" s="29">
        <v>3890</v>
      </c>
      <c r="G63" s="29">
        <v>4041</v>
      </c>
      <c r="H63" s="29">
        <v>3441</v>
      </c>
      <c r="I63" s="29">
        <v>3427</v>
      </c>
      <c r="J63" s="29">
        <v>2244</v>
      </c>
      <c r="K63" s="29">
        <v>2163</v>
      </c>
      <c r="L63" s="29">
        <v>3216</v>
      </c>
      <c r="M63" s="29">
        <v>1757</v>
      </c>
      <c r="N63" s="29">
        <v>2284</v>
      </c>
      <c r="O63" s="30" t="s">
        <v>140</v>
      </c>
      <c r="P63" s="16"/>
    </row>
    <row r="64" spans="1:16" s="20" customFormat="1" ht="18" customHeight="1" x14ac:dyDescent="0.45">
      <c r="A64" s="27" t="s">
        <v>141</v>
      </c>
      <c r="B64" s="28">
        <f t="shared" si="4"/>
        <v>5550</v>
      </c>
      <c r="C64" s="29">
        <v>319</v>
      </c>
      <c r="D64" s="29">
        <v>504</v>
      </c>
      <c r="E64" s="29">
        <v>360</v>
      </c>
      <c r="F64" s="29">
        <v>697</v>
      </c>
      <c r="G64" s="29">
        <v>455</v>
      </c>
      <c r="H64" s="29">
        <v>813</v>
      </c>
      <c r="I64" s="29">
        <v>717</v>
      </c>
      <c r="J64" s="29">
        <v>546</v>
      </c>
      <c r="K64" s="29">
        <v>196</v>
      </c>
      <c r="L64" s="29">
        <v>291</v>
      </c>
      <c r="M64" s="29">
        <v>275</v>
      </c>
      <c r="N64" s="29">
        <v>377</v>
      </c>
      <c r="O64" s="30" t="s">
        <v>142</v>
      </c>
      <c r="P64" s="16"/>
    </row>
    <row r="65" spans="1:16" s="20" customFormat="1" ht="18" customHeight="1" x14ac:dyDescent="0.45">
      <c r="A65" s="27" t="s">
        <v>85</v>
      </c>
      <c r="B65" s="28">
        <f t="shared" si="4"/>
        <v>1328</v>
      </c>
      <c r="C65" s="29">
        <v>82</v>
      </c>
      <c r="D65" s="29">
        <v>61</v>
      </c>
      <c r="E65" s="29">
        <v>64</v>
      </c>
      <c r="F65" s="29">
        <v>232</v>
      </c>
      <c r="G65" s="29">
        <v>142</v>
      </c>
      <c r="H65" s="29">
        <v>226</v>
      </c>
      <c r="I65" s="29">
        <v>113</v>
      </c>
      <c r="J65" s="29">
        <v>65</v>
      </c>
      <c r="K65" s="29">
        <v>45</v>
      </c>
      <c r="L65" s="29">
        <v>108</v>
      </c>
      <c r="M65" s="29">
        <v>81</v>
      </c>
      <c r="N65" s="29">
        <v>109</v>
      </c>
      <c r="O65" s="30" t="s">
        <v>15</v>
      </c>
    </row>
    <row r="66" spans="1:16" s="20" customFormat="1" ht="18" customHeight="1" x14ac:dyDescent="0.45">
      <c r="A66" s="25" t="s">
        <v>55</v>
      </c>
      <c r="B66" s="28">
        <f t="shared" si="4"/>
        <v>115082</v>
      </c>
      <c r="C66" s="32">
        <f t="shared" ref="C66:N66" si="17">SUM(C67:C72)</f>
        <v>10901</v>
      </c>
      <c r="D66" s="32">
        <f t="shared" si="17"/>
        <v>7621</v>
      </c>
      <c r="E66" s="32">
        <f t="shared" si="17"/>
        <v>7145</v>
      </c>
      <c r="F66" s="32">
        <f t="shared" si="17"/>
        <v>8080</v>
      </c>
      <c r="G66" s="32">
        <f t="shared" si="17"/>
        <v>10223</v>
      </c>
      <c r="H66" s="32">
        <f t="shared" si="17"/>
        <v>9483</v>
      </c>
      <c r="I66" s="32">
        <f t="shared" si="17"/>
        <v>8156</v>
      </c>
      <c r="J66" s="32">
        <f t="shared" si="17"/>
        <v>6856</v>
      </c>
      <c r="K66" s="32">
        <f t="shared" si="17"/>
        <v>6896</v>
      </c>
      <c r="L66" s="32">
        <f t="shared" si="17"/>
        <v>9679</v>
      </c>
      <c r="M66" s="32">
        <f t="shared" si="17"/>
        <v>13086</v>
      </c>
      <c r="N66" s="32">
        <f t="shared" si="17"/>
        <v>16956</v>
      </c>
      <c r="O66" s="40" t="s">
        <v>143</v>
      </c>
      <c r="P66" s="16"/>
    </row>
    <row r="67" spans="1:16" s="20" customFormat="1" ht="18" customHeight="1" x14ac:dyDescent="0.45">
      <c r="A67" s="27" t="s">
        <v>144</v>
      </c>
      <c r="B67" s="28">
        <f t="shared" si="4"/>
        <v>3644</v>
      </c>
      <c r="C67" s="29">
        <v>526</v>
      </c>
      <c r="D67" s="29">
        <v>267</v>
      </c>
      <c r="E67" s="29">
        <v>163</v>
      </c>
      <c r="F67" s="29">
        <v>226</v>
      </c>
      <c r="G67" s="29">
        <v>157</v>
      </c>
      <c r="H67" s="29">
        <v>469</v>
      </c>
      <c r="I67" s="29">
        <v>286</v>
      </c>
      <c r="J67" s="29">
        <v>454</v>
      </c>
      <c r="K67" s="29">
        <v>205</v>
      </c>
      <c r="L67" s="29">
        <v>296</v>
      </c>
      <c r="M67" s="29">
        <v>196</v>
      </c>
      <c r="N67" s="29">
        <v>399</v>
      </c>
      <c r="O67" s="41" t="s">
        <v>145</v>
      </c>
    </row>
    <row r="68" spans="1:16" s="20" customFormat="1" ht="18" customHeight="1" x14ac:dyDescent="0.45">
      <c r="A68" s="27" t="s">
        <v>146</v>
      </c>
      <c r="B68" s="28">
        <f t="shared" si="4"/>
        <v>90474</v>
      </c>
      <c r="C68" s="29">
        <v>8481</v>
      </c>
      <c r="D68" s="29">
        <v>6038</v>
      </c>
      <c r="E68" s="29">
        <v>4916</v>
      </c>
      <c r="F68" s="29">
        <v>5588</v>
      </c>
      <c r="G68" s="29">
        <v>8711</v>
      </c>
      <c r="H68" s="29">
        <v>7348</v>
      </c>
      <c r="I68" s="29">
        <v>5694</v>
      </c>
      <c r="J68" s="29">
        <v>4299</v>
      </c>
      <c r="K68" s="29">
        <v>5244</v>
      </c>
      <c r="L68" s="29">
        <v>7905</v>
      </c>
      <c r="M68" s="29">
        <v>11590</v>
      </c>
      <c r="N68" s="29">
        <v>14660</v>
      </c>
      <c r="O68" s="41" t="s">
        <v>19</v>
      </c>
      <c r="P68" s="16"/>
    </row>
    <row r="69" spans="1:16" s="20" customFormat="1" ht="18" customHeight="1" x14ac:dyDescent="0.45">
      <c r="A69" s="27" t="s">
        <v>147</v>
      </c>
      <c r="B69" s="28">
        <f t="shared" si="4"/>
        <v>1768</v>
      </c>
      <c r="C69" s="29">
        <v>104</v>
      </c>
      <c r="D69" s="29">
        <v>88</v>
      </c>
      <c r="E69" s="29">
        <v>555</v>
      </c>
      <c r="F69" s="29">
        <v>80</v>
      </c>
      <c r="G69" s="29">
        <v>129</v>
      </c>
      <c r="H69" s="29">
        <v>145</v>
      </c>
      <c r="I69" s="29">
        <v>203</v>
      </c>
      <c r="J69" s="29">
        <v>210</v>
      </c>
      <c r="K69" s="29">
        <v>86</v>
      </c>
      <c r="L69" s="29">
        <v>45</v>
      </c>
      <c r="M69" s="29">
        <v>64</v>
      </c>
      <c r="N69" s="29">
        <v>59</v>
      </c>
      <c r="O69" s="41" t="s">
        <v>148</v>
      </c>
      <c r="P69" s="16"/>
    </row>
    <row r="70" spans="1:16" s="20" customFormat="1" ht="18" customHeight="1" x14ac:dyDescent="0.45">
      <c r="A70" s="27" t="s">
        <v>149</v>
      </c>
      <c r="B70" s="28">
        <f t="shared" si="4"/>
        <v>5340</v>
      </c>
      <c r="C70" s="29">
        <v>685</v>
      </c>
      <c r="D70" s="29">
        <v>391</v>
      </c>
      <c r="E70" s="29">
        <v>454</v>
      </c>
      <c r="F70" s="29">
        <v>431</v>
      </c>
      <c r="G70" s="29">
        <v>234</v>
      </c>
      <c r="H70" s="29">
        <v>571</v>
      </c>
      <c r="I70" s="29">
        <v>622</v>
      </c>
      <c r="J70" s="29">
        <v>492</v>
      </c>
      <c r="K70" s="29">
        <v>407</v>
      </c>
      <c r="L70" s="29">
        <v>286</v>
      </c>
      <c r="M70" s="29">
        <v>320</v>
      </c>
      <c r="N70" s="29">
        <v>447</v>
      </c>
      <c r="O70" s="41" t="s">
        <v>24</v>
      </c>
    </row>
    <row r="71" spans="1:16" s="20" customFormat="1" ht="18" customHeight="1" x14ac:dyDescent="0.45">
      <c r="A71" s="27" t="s">
        <v>150</v>
      </c>
      <c r="B71" s="28">
        <f t="shared" si="4"/>
        <v>12792</v>
      </c>
      <c r="C71" s="29">
        <v>995</v>
      </c>
      <c r="D71" s="29">
        <v>740</v>
      </c>
      <c r="E71" s="29">
        <v>955</v>
      </c>
      <c r="F71" s="29">
        <v>1688</v>
      </c>
      <c r="G71" s="29">
        <v>914</v>
      </c>
      <c r="H71" s="29">
        <v>877</v>
      </c>
      <c r="I71" s="29">
        <v>1256</v>
      </c>
      <c r="J71" s="29">
        <v>1326</v>
      </c>
      <c r="K71" s="29">
        <v>900</v>
      </c>
      <c r="L71" s="29">
        <v>993</v>
      </c>
      <c r="M71" s="29">
        <v>840</v>
      </c>
      <c r="N71" s="29">
        <v>1308</v>
      </c>
      <c r="O71" s="41" t="s">
        <v>151</v>
      </c>
      <c r="P71" s="16"/>
    </row>
    <row r="72" spans="1:16" s="20" customFormat="1" ht="18" customHeight="1" x14ac:dyDescent="0.45">
      <c r="A72" s="35" t="s">
        <v>85</v>
      </c>
      <c r="B72" s="36">
        <f t="shared" si="4"/>
        <v>1064</v>
      </c>
      <c r="C72" s="37">
        <v>110</v>
      </c>
      <c r="D72" s="37">
        <v>97</v>
      </c>
      <c r="E72" s="37">
        <v>102</v>
      </c>
      <c r="F72" s="37">
        <v>67</v>
      </c>
      <c r="G72" s="37">
        <v>78</v>
      </c>
      <c r="H72" s="37">
        <v>73</v>
      </c>
      <c r="I72" s="37">
        <v>95</v>
      </c>
      <c r="J72" s="37">
        <v>75</v>
      </c>
      <c r="K72" s="37">
        <v>54</v>
      </c>
      <c r="L72" s="37">
        <v>154</v>
      </c>
      <c r="M72" s="37">
        <v>76</v>
      </c>
      <c r="N72" s="37">
        <v>83</v>
      </c>
      <c r="O72" s="38" t="s">
        <v>15</v>
      </c>
    </row>
    <row r="73" spans="1:16" s="20" customFormat="1" ht="20.25" customHeight="1" x14ac:dyDescent="0.45">
      <c r="A73" s="22" t="s">
        <v>26</v>
      </c>
      <c r="B73" s="4">
        <f t="shared" si="4"/>
        <v>15356</v>
      </c>
      <c r="C73" s="4">
        <f>SUM(C74:C77)</f>
        <v>1057</v>
      </c>
      <c r="D73" s="4">
        <f t="shared" ref="D73:N73" si="18">SUM(D74:D77)</f>
        <v>708</v>
      </c>
      <c r="E73" s="4">
        <f t="shared" si="18"/>
        <v>1115</v>
      </c>
      <c r="F73" s="4">
        <f t="shared" si="18"/>
        <v>1356</v>
      </c>
      <c r="G73" s="4">
        <f t="shared" si="18"/>
        <v>859</v>
      </c>
      <c r="H73" s="4">
        <f t="shared" si="18"/>
        <v>1101</v>
      </c>
      <c r="I73" s="4">
        <f t="shared" si="18"/>
        <v>1595</v>
      </c>
      <c r="J73" s="4">
        <f t="shared" si="18"/>
        <v>1649</v>
      </c>
      <c r="K73" s="4">
        <f t="shared" si="18"/>
        <v>1449</v>
      </c>
      <c r="L73" s="4">
        <f t="shared" si="18"/>
        <v>1156</v>
      </c>
      <c r="M73" s="4">
        <f t="shared" si="18"/>
        <v>949</v>
      </c>
      <c r="N73" s="4">
        <f t="shared" si="18"/>
        <v>2362</v>
      </c>
      <c r="O73" s="39" t="s">
        <v>27</v>
      </c>
      <c r="P73" s="16"/>
    </row>
    <row r="74" spans="1:16" s="20" customFormat="1" ht="20.25" customHeight="1" x14ac:dyDescent="0.45">
      <c r="A74" s="42" t="s">
        <v>152</v>
      </c>
      <c r="B74" s="4">
        <f>SUM(C74:N74)</f>
        <v>1523</v>
      </c>
      <c r="C74" s="5">
        <v>76</v>
      </c>
      <c r="D74" s="5">
        <v>98</v>
      </c>
      <c r="E74" s="5">
        <v>117</v>
      </c>
      <c r="F74" s="5">
        <v>151</v>
      </c>
      <c r="G74" s="5">
        <v>30</v>
      </c>
      <c r="H74" s="5">
        <v>61</v>
      </c>
      <c r="I74" s="5">
        <v>237</v>
      </c>
      <c r="J74" s="5">
        <v>274</v>
      </c>
      <c r="K74" s="5">
        <v>205</v>
      </c>
      <c r="L74" s="5">
        <v>80</v>
      </c>
      <c r="M74" s="5">
        <v>83</v>
      </c>
      <c r="N74" s="5">
        <v>111</v>
      </c>
      <c r="O74" s="43" t="s">
        <v>153</v>
      </c>
      <c r="P74" s="16"/>
    </row>
    <row r="75" spans="1:16" s="20" customFormat="1" ht="20.25" customHeight="1" x14ac:dyDescent="0.45">
      <c r="A75" s="42" t="s">
        <v>154</v>
      </c>
      <c r="B75" s="4">
        <f t="shared" si="4"/>
        <v>1686</v>
      </c>
      <c r="C75" s="5">
        <v>114</v>
      </c>
      <c r="D75" s="5">
        <v>131</v>
      </c>
      <c r="E75" s="5">
        <v>113</v>
      </c>
      <c r="F75" s="5">
        <v>215</v>
      </c>
      <c r="G75" s="5">
        <v>62</v>
      </c>
      <c r="H75" s="5">
        <v>73</v>
      </c>
      <c r="I75" s="5">
        <v>182</v>
      </c>
      <c r="J75" s="5">
        <v>264</v>
      </c>
      <c r="K75" s="5">
        <v>147</v>
      </c>
      <c r="L75" s="5">
        <v>106</v>
      </c>
      <c r="M75" s="5">
        <v>115</v>
      </c>
      <c r="N75" s="5">
        <v>164</v>
      </c>
      <c r="O75" s="43" t="s">
        <v>155</v>
      </c>
      <c r="P75" s="16"/>
    </row>
    <row r="76" spans="1:16" s="20" customFormat="1" ht="18" customHeight="1" x14ac:dyDescent="0.45">
      <c r="A76" s="42" t="s">
        <v>156</v>
      </c>
      <c r="B76" s="28">
        <f t="shared" si="4"/>
        <v>7751</v>
      </c>
      <c r="C76" s="29">
        <v>498</v>
      </c>
      <c r="D76" s="29">
        <v>240</v>
      </c>
      <c r="E76" s="29">
        <v>582</v>
      </c>
      <c r="F76" s="29">
        <v>605</v>
      </c>
      <c r="G76" s="29">
        <v>492</v>
      </c>
      <c r="H76" s="29">
        <v>681</v>
      </c>
      <c r="I76" s="29">
        <v>745</v>
      </c>
      <c r="J76" s="29">
        <v>566</v>
      </c>
      <c r="K76" s="29">
        <v>778</v>
      </c>
      <c r="L76" s="29">
        <v>689</v>
      </c>
      <c r="M76" s="29">
        <v>429</v>
      </c>
      <c r="N76" s="29">
        <v>1446</v>
      </c>
      <c r="O76" s="43" t="s">
        <v>157</v>
      </c>
    </row>
    <row r="77" spans="1:16" s="20" customFormat="1" ht="18" customHeight="1" x14ac:dyDescent="0.45">
      <c r="A77" s="44" t="s">
        <v>85</v>
      </c>
      <c r="B77" s="36">
        <f t="shared" si="4"/>
        <v>4396</v>
      </c>
      <c r="C77" s="37">
        <v>369</v>
      </c>
      <c r="D77" s="37">
        <v>239</v>
      </c>
      <c r="E77" s="37">
        <v>303</v>
      </c>
      <c r="F77" s="37">
        <v>385</v>
      </c>
      <c r="G77" s="37">
        <v>275</v>
      </c>
      <c r="H77" s="37">
        <v>286</v>
      </c>
      <c r="I77" s="37">
        <v>431</v>
      </c>
      <c r="J77" s="37">
        <v>545</v>
      </c>
      <c r="K77" s="37">
        <v>319</v>
      </c>
      <c r="L77" s="37">
        <v>281</v>
      </c>
      <c r="M77" s="37">
        <v>322</v>
      </c>
      <c r="N77" s="37">
        <v>641</v>
      </c>
      <c r="O77" s="45" t="s">
        <v>15</v>
      </c>
      <c r="P77" s="16"/>
    </row>
    <row r="78" spans="1:16" s="20" customFormat="1" ht="24.75" customHeight="1" x14ac:dyDescent="0.45">
      <c r="A78" s="22" t="s">
        <v>57</v>
      </c>
      <c r="B78" s="4">
        <f t="shared" si="4"/>
        <v>68763</v>
      </c>
      <c r="C78" s="4">
        <f>SUM(C79:C84)</f>
        <v>6581</v>
      </c>
      <c r="D78" s="4">
        <f t="shared" ref="D78:N78" si="19">SUM(D79:D84)</f>
        <v>5780</v>
      </c>
      <c r="E78" s="4">
        <f t="shared" si="19"/>
        <v>6746</v>
      </c>
      <c r="F78" s="4">
        <f t="shared" si="19"/>
        <v>5813</v>
      </c>
      <c r="G78" s="4">
        <f t="shared" si="19"/>
        <v>4630</v>
      </c>
      <c r="H78" s="4">
        <f t="shared" si="19"/>
        <v>4683</v>
      </c>
      <c r="I78" s="4">
        <f t="shared" si="19"/>
        <v>5117</v>
      </c>
      <c r="J78" s="4">
        <f t="shared" si="19"/>
        <v>4594</v>
      </c>
      <c r="K78" s="4">
        <f t="shared" si="19"/>
        <v>5055</v>
      </c>
      <c r="L78" s="4">
        <f t="shared" si="19"/>
        <v>5314</v>
      </c>
      <c r="M78" s="4">
        <f t="shared" si="19"/>
        <v>6830</v>
      </c>
      <c r="N78" s="4">
        <f t="shared" si="19"/>
        <v>7620</v>
      </c>
      <c r="O78" s="39" t="s">
        <v>56</v>
      </c>
    </row>
    <row r="79" spans="1:16" s="20" customFormat="1" ht="24.75" customHeight="1" x14ac:dyDescent="0.45">
      <c r="A79" s="42" t="s">
        <v>158</v>
      </c>
      <c r="B79" s="28">
        <f t="shared" si="4"/>
        <v>3192</v>
      </c>
      <c r="C79" s="5">
        <v>581</v>
      </c>
      <c r="D79" s="5">
        <v>408</v>
      </c>
      <c r="E79" s="5">
        <v>389</v>
      </c>
      <c r="F79" s="5">
        <v>477</v>
      </c>
      <c r="G79" s="5">
        <v>213</v>
      </c>
      <c r="H79" s="5">
        <v>119</v>
      </c>
      <c r="I79" s="5">
        <v>148</v>
      </c>
      <c r="J79" s="5">
        <v>111</v>
      </c>
      <c r="K79" s="5">
        <v>258</v>
      </c>
      <c r="L79" s="5">
        <v>150</v>
      </c>
      <c r="M79" s="5">
        <v>196</v>
      </c>
      <c r="N79" s="5">
        <v>142</v>
      </c>
      <c r="O79" s="43" t="s">
        <v>159</v>
      </c>
    </row>
    <row r="80" spans="1:16" s="20" customFormat="1" ht="18" customHeight="1" x14ac:dyDescent="0.45">
      <c r="A80" s="42" t="s">
        <v>160</v>
      </c>
      <c r="B80" s="28">
        <f t="shared" si="4"/>
        <v>7702</v>
      </c>
      <c r="C80" s="29">
        <v>683</v>
      </c>
      <c r="D80" s="29">
        <v>607</v>
      </c>
      <c r="E80" s="29">
        <v>729</v>
      </c>
      <c r="F80" s="29">
        <v>770</v>
      </c>
      <c r="G80" s="29">
        <v>671</v>
      </c>
      <c r="H80" s="29">
        <v>522</v>
      </c>
      <c r="I80" s="29">
        <v>451</v>
      </c>
      <c r="J80" s="29">
        <v>383</v>
      </c>
      <c r="K80" s="29">
        <v>651</v>
      </c>
      <c r="L80" s="29">
        <v>717</v>
      </c>
      <c r="M80" s="29">
        <v>788</v>
      </c>
      <c r="N80" s="29">
        <v>730</v>
      </c>
      <c r="O80" s="43" t="s">
        <v>161</v>
      </c>
      <c r="P80" s="16"/>
    </row>
    <row r="81" spans="1:16" s="20" customFormat="1" ht="18" customHeight="1" x14ac:dyDescent="0.45">
      <c r="A81" s="42" t="s">
        <v>162</v>
      </c>
      <c r="B81" s="28">
        <f t="shared" si="4"/>
        <v>9540</v>
      </c>
      <c r="C81" s="29">
        <v>1015</v>
      </c>
      <c r="D81" s="29">
        <v>992</v>
      </c>
      <c r="E81" s="29">
        <v>1056</v>
      </c>
      <c r="F81" s="29">
        <v>797</v>
      </c>
      <c r="G81" s="29">
        <v>492</v>
      </c>
      <c r="H81" s="29">
        <v>528</v>
      </c>
      <c r="I81" s="29">
        <v>601</v>
      </c>
      <c r="J81" s="29">
        <v>728</v>
      </c>
      <c r="K81" s="29">
        <v>580</v>
      </c>
      <c r="L81" s="29">
        <v>694</v>
      </c>
      <c r="M81" s="29">
        <v>906</v>
      </c>
      <c r="N81" s="29">
        <v>1151</v>
      </c>
      <c r="O81" s="43" t="s">
        <v>28</v>
      </c>
    </row>
    <row r="82" spans="1:16" s="20" customFormat="1" ht="18" customHeight="1" x14ac:dyDescent="0.45">
      <c r="A82" s="42" t="s">
        <v>163</v>
      </c>
      <c r="B82" s="28">
        <f t="shared" si="4"/>
        <v>1795</v>
      </c>
      <c r="C82" s="29">
        <v>71</v>
      </c>
      <c r="D82" s="29">
        <v>91</v>
      </c>
      <c r="E82" s="29">
        <v>199</v>
      </c>
      <c r="F82" s="29">
        <v>134</v>
      </c>
      <c r="G82" s="29">
        <v>180</v>
      </c>
      <c r="H82" s="29">
        <v>150</v>
      </c>
      <c r="I82" s="29">
        <v>138</v>
      </c>
      <c r="J82" s="29">
        <v>96</v>
      </c>
      <c r="K82" s="29">
        <v>146</v>
      </c>
      <c r="L82" s="29">
        <v>178</v>
      </c>
      <c r="M82" s="29">
        <v>232</v>
      </c>
      <c r="N82" s="29">
        <v>180</v>
      </c>
      <c r="O82" s="43" t="s">
        <v>164</v>
      </c>
    </row>
    <row r="83" spans="1:16" s="20" customFormat="1" ht="18" customHeight="1" x14ac:dyDescent="0.45">
      <c r="A83" s="42" t="s">
        <v>165</v>
      </c>
      <c r="B83" s="28">
        <f t="shared" si="4"/>
        <v>42901</v>
      </c>
      <c r="C83" s="29">
        <v>3930</v>
      </c>
      <c r="D83" s="29">
        <v>3391</v>
      </c>
      <c r="E83" s="29">
        <v>4043</v>
      </c>
      <c r="F83" s="29">
        <v>3266</v>
      </c>
      <c r="G83" s="29">
        <v>2825</v>
      </c>
      <c r="H83" s="29">
        <v>3129</v>
      </c>
      <c r="I83" s="29">
        <v>3494</v>
      </c>
      <c r="J83" s="29">
        <v>2988</v>
      </c>
      <c r="K83" s="29">
        <v>3133</v>
      </c>
      <c r="L83" s="29">
        <v>3307</v>
      </c>
      <c r="M83" s="29">
        <v>4329</v>
      </c>
      <c r="N83" s="29">
        <v>5066</v>
      </c>
      <c r="O83" s="43" t="s">
        <v>166</v>
      </c>
      <c r="P83" s="16"/>
    </row>
    <row r="84" spans="1:16" s="20" customFormat="1" ht="18" customHeight="1" x14ac:dyDescent="0.45">
      <c r="A84" s="44" t="s">
        <v>85</v>
      </c>
      <c r="B84" s="36">
        <f t="shared" si="4"/>
        <v>3633</v>
      </c>
      <c r="C84" s="37">
        <v>301</v>
      </c>
      <c r="D84" s="37">
        <v>291</v>
      </c>
      <c r="E84" s="37">
        <v>330</v>
      </c>
      <c r="F84" s="37">
        <v>369</v>
      </c>
      <c r="G84" s="37">
        <v>249</v>
      </c>
      <c r="H84" s="37">
        <v>235</v>
      </c>
      <c r="I84" s="37">
        <v>285</v>
      </c>
      <c r="J84" s="37">
        <v>288</v>
      </c>
      <c r="K84" s="37">
        <v>287</v>
      </c>
      <c r="L84" s="37">
        <v>268</v>
      </c>
      <c r="M84" s="37">
        <v>379</v>
      </c>
      <c r="N84" s="37">
        <v>351</v>
      </c>
      <c r="O84" s="45" t="s">
        <v>15</v>
      </c>
    </row>
    <row r="85" spans="1:16" s="20" customFormat="1" ht="22.5" customHeight="1" x14ac:dyDescent="0.45">
      <c r="A85" s="22" t="s">
        <v>29</v>
      </c>
      <c r="B85" s="4">
        <f t="shared" ref="B85:B98" si="20">SUM(C85:N85)</f>
        <v>40510</v>
      </c>
      <c r="C85" s="4">
        <f>SUM(C86:C88)</f>
        <v>3395</v>
      </c>
      <c r="D85" s="4">
        <f t="shared" ref="D85:N85" si="21">SUM(D86:D88)</f>
        <v>2021</v>
      </c>
      <c r="E85" s="4">
        <f t="shared" si="21"/>
        <v>3257</v>
      </c>
      <c r="F85" s="4">
        <f t="shared" si="21"/>
        <v>4516</v>
      </c>
      <c r="G85" s="4">
        <f t="shared" si="21"/>
        <v>2908</v>
      </c>
      <c r="H85" s="4">
        <f t="shared" si="21"/>
        <v>2986</v>
      </c>
      <c r="I85" s="4">
        <f t="shared" si="21"/>
        <v>3957</v>
      </c>
      <c r="J85" s="4">
        <f t="shared" si="21"/>
        <v>3017</v>
      </c>
      <c r="K85" s="4">
        <f t="shared" si="21"/>
        <v>4200</v>
      </c>
      <c r="L85" s="4">
        <f t="shared" si="21"/>
        <v>4068</v>
      </c>
      <c r="M85" s="4">
        <f t="shared" si="21"/>
        <v>3215</v>
      </c>
      <c r="N85" s="4">
        <f t="shared" si="21"/>
        <v>2970</v>
      </c>
      <c r="O85" s="39" t="s">
        <v>167</v>
      </c>
      <c r="P85" s="16"/>
    </row>
    <row r="86" spans="1:16" s="20" customFormat="1" ht="18" customHeight="1" x14ac:dyDescent="0.45">
      <c r="A86" s="42" t="s">
        <v>168</v>
      </c>
      <c r="B86" s="4">
        <f t="shared" si="20"/>
        <v>37254</v>
      </c>
      <c r="C86" s="29">
        <v>3115</v>
      </c>
      <c r="D86" s="29">
        <v>1816</v>
      </c>
      <c r="E86" s="29">
        <v>2998</v>
      </c>
      <c r="F86" s="29">
        <v>4207</v>
      </c>
      <c r="G86" s="29">
        <v>2686</v>
      </c>
      <c r="H86" s="29">
        <v>2749</v>
      </c>
      <c r="I86" s="29">
        <v>3625</v>
      </c>
      <c r="J86" s="29">
        <v>2733</v>
      </c>
      <c r="K86" s="29">
        <v>3849</v>
      </c>
      <c r="L86" s="29">
        <v>3775</v>
      </c>
      <c r="M86" s="29">
        <v>2970</v>
      </c>
      <c r="N86" s="29">
        <v>2731</v>
      </c>
      <c r="O86" s="43" t="s">
        <v>30</v>
      </c>
    </row>
    <row r="87" spans="1:16" s="20" customFormat="1" ht="18" customHeight="1" x14ac:dyDescent="0.45">
      <c r="A87" s="42" t="s">
        <v>169</v>
      </c>
      <c r="B87" s="4">
        <f t="shared" si="20"/>
        <v>3200</v>
      </c>
      <c r="C87" s="29">
        <v>277</v>
      </c>
      <c r="D87" s="29">
        <v>202</v>
      </c>
      <c r="E87" s="29">
        <v>257</v>
      </c>
      <c r="F87" s="29">
        <v>306</v>
      </c>
      <c r="G87" s="29">
        <v>219</v>
      </c>
      <c r="H87" s="29">
        <v>233</v>
      </c>
      <c r="I87" s="29">
        <v>322</v>
      </c>
      <c r="J87" s="29">
        <v>275</v>
      </c>
      <c r="K87" s="29">
        <v>345</v>
      </c>
      <c r="L87" s="29">
        <v>284</v>
      </c>
      <c r="M87" s="29">
        <v>244</v>
      </c>
      <c r="N87" s="29">
        <v>236</v>
      </c>
      <c r="O87" s="43" t="s">
        <v>170</v>
      </c>
      <c r="P87" s="16"/>
    </row>
    <row r="88" spans="1:16" s="20" customFormat="1" ht="18" customHeight="1" x14ac:dyDescent="0.45">
      <c r="A88" s="44" t="s">
        <v>85</v>
      </c>
      <c r="B88" s="6">
        <f t="shared" si="20"/>
        <v>56</v>
      </c>
      <c r="C88" s="37">
        <v>3</v>
      </c>
      <c r="D88" s="37">
        <v>3</v>
      </c>
      <c r="E88" s="37">
        <v>2</v>
      </c>
      <c r="F88" s="37">
        <v>3</v>
      </c>
      <c r="G88" s="37">
        <v>3</v>
      </c>
      <c r="H88" s="37">
        <v>4</v>
      </c>
      <c r="I88" s="37">
        <v>10</v>
      </c>
      <c r="J88" s="37">
        <v>9</v>
      </c>
      <c r="K88" s="37">
        <v>6</v>
      </c>
      <c r="L88" s="37">
        <v>9</v>
      </c>
      <c r="M88" s="37">
        <v>1</v>
      </c>
      <c r="N88" s="37">
        <v>3</v>
      </c>
      <c r="O88" s="45" t="s">
        <v>15</v>
      </c>
    </row>
    <row r="89" spans="1:16" s="20" customFormat="1" ht="18.75" customHeight="1" x14ac:dyDescent="0.45">
      <c r="A89" s="22" t="s">
        <v>31</v>
      </c>
      <c r="B89" s="4">
        <f t="shared" si="20"/>
        <v>52114</v>
      </c>
      <c r="C89" s="4">
        <f>SUM(C90:C99)</f>
        <v>5567</v>
      </c>
      <c r="D89" s="4">
        <f t="shared" ref="D89:N89" si="22">SUM(D90:D99)</f>
        <v>2723</v>
      </c>
      <c r="E89" s="4">
        <f t="shared" si="22"/>
        <v>3608</v>
      </c>
      <c r="F89" s="4">
        <f t="shared" si="22"/>
        <v>4599</v>
      </c>
      <c r="G89" s="4">
        <f t="shared" si="22"/>
        <v>2067</v>
      </c>
      <c r="H89" s="4">
        <f t="shared" si="22"/>
        <v>4566</v>
      </c>
      <c r="I89" s="4">
        <f t="shared" si="22"/>
        <v>6693</v>
      </c>
      <c r="J89" s="4">
        <f t="shared" si="22"/>
        <v>7417</v>
      </c>
      <c r="K89" s="4">
        <f t="shared" si="22"/>
        <v>3946</v>
      </c>
      <c r="L89" s="4">
        <f t="shared" si="22"/>
        <v>2982</v>
      </c>
      <c r="M89" s="4">
        <f t="shared" si="22"/>
        <v>3429</v>
      </c>
      <c r="N89" s="4">
        <f t="shared" si="22"/>
        <v>4517</v>
      </c>
      <c r="O89" s="39" t="s">
        <v>171</v>
      </c>
      <c r="P89" s="16"/>
    </row>
    <row r="90" spans="1:16" s="20" customFormat="1" ht="18.75" customHeight="1" x14ac:dyDescent="0.45">
      <c r="A90" s="42" t="s">
        <v>172</v>
      </c>
      <c r="B90" s="28">
        <f t="shared" si="20"/>
        <v>3530</v>
      </c>
      <c r="C90" s="5">
        <v>272</v>
      </c>
      <c r="D90" s="5">
        <v>193</v>
      </c>
      <c r="E90" s="5">
        <v>256</v>
      </c>
      <c r="F90" s="5">
        <v>297</v>
      </c>
      <c r="G90" s="5">
        <v>157</v>
      </c>
      <c r="H90" s="5">
        <v>303</v>
      </c>
      <c r="I90" s="5">
        <v>393</v>
      </c>
      <c r="J90" s="5">
        <v>452</v>
      </c>
      <c r="K90" s="5">
        <v>297</v>
      </c>
      <c r="L90" s="5">
        <v>295</v>
      </c>
      <c r="M90" s="5">
        <v>290</v>
      </c>
      <c r="N90" s="5">
        <v>325</v>
      </c>
      <c r="O90" s="43" t="s">
        <v>173</v>
      </c>
      <c r="P90" s="16"/>
    </row>
    <row r="91" spans="1:16" s="20" customFormat="1" ht="18.75" customHeight="1" x14ac:dyDescent="0.45">
      <c r="A91" s="42" t="s">
        <v>174</v>
      </c>
      <c r="B91" s="28">
        <f t="shared" si="20"/>
        <v>1504</v>
      </c>
      <c r="C91" s="5">
        <v>129</v>
      </c>
      <c r="D91" s="5">
        <v>63</v>
      </c>
      <c r="E91" s="5">
        <v>155</v>
      </c>
      <c r="F91" s="5">
        <v>152</v>
      </c>
      <c r="G91" s="5">
        <v>64</v>
      </c>
      <c r="H91" s="5">
        <v>145</v>
      </c>
      <c r="I91" s="5">
        <v>151</v>
      </c>
      <c r="J91" s="5">
        <v>209</v>
      </c>
      <c r="K91" s="5">
        <v>95</v>
      </c>
      <c r="L91" s="5">
        <v>95</v>
      </c>
      <c r="M91" s="5">
        <v>97</v>
      </c>
      <c r="N91" s="5">
        <v>149</v>
      </c>
      <c r="O91" s="43" t="s">
        <v>175</v>
      </c>
      <c r="P91" s="16"/>
    </row>
    <row r="92" spans="1:16" s="20" customFormat="1" ht="19.5" customHeight="1" x14ac:dyDescent="0.45">
      <c r="A92" s="42" t="s">
        <v>176</v>
      </c>
      <c r="B92" s="28">
        <f t="shared" si="20"/>
        <v>4559</v>
      </c>
      <c r="C92" s="29">
        <v>483</v>
      </c>
      <c r="D92" s="29">
        <v>678</v>
      </c>
      <c r="E92" s="29">
        <v>495</v>
      </c>
      <c r="F92" s="29">
        <v>663</v>
      </c>
      <c r="G92" s="29">
        <v>163</v>
      </c>
      <c r="H92" s="29">
        <v>265</v>
      </c>
      <c r="I92" s="29">
        <v>257</v>
      </c>
      <c r="J92" s="29">
        <v>488</v>
      </c>
      <c r="K92" s="29">
        <v>212</v>
      </c>
      <c r="L92" s="29">
        <v>195</v>
      </c>
      <c r="M92" s="29">
        <v>235</v>
      </c>
      <c r="N92" s="29">
        <v>425</v>
      </c>
      <c r="O92" s="43" t="s">
        <v>32</v>
      </c>
    </row>
    <row r="93" spans="1:16" s="20" customFormat="1" ht="18" customHeight="1" x14ac:dyDescent="0.45">
      <c r="A93" s="42" t="s">
        <v>177</v>
      </c>
      <c r="B93" s="28">
        <f t="shared" si="20"/>
        <v>1898</v>
      </c>
      <c r="C93" s="29">
        <v>147</v>
      </c>
      <c r="D93" s="29">
        <v>145</v>
      </c>
      <c r="E93" s="29">
        <v>197</v>
      </c>
      <c r="F93" s="29">
        <v>208</v>
      </c>
      <c r="G93" s="29">
        <v>81</v>
      </c>
      <c r="H93" s="29">
        <v>116</v>
      </c>
      <c r="I93" s="29">
        <v>189</v>
      </c>
      <c r="J93" s="29">
        <v>228</v>
      </c>
      <c r="K93" s="29">
        <v>123</v>
      </c>
      <c r="L93" s="29">
        <v>105</v>
      </c>
      <c r="M93" s="29">
        <v>161</v>
      </c>
      <c r="N93" s="29">
        <v>198</v>
      </c>
      <c r="O93" s="43" t="s">
        <v>178</v>
      </c>
      <c r="P93" s="16"/>
    </row>
    <row r="94" spans="1:16" s="20" customFormat="1" ht="18" customHeight="1" x14ac:dyDescent="0.45">
      <c r="A94" s="42" t="s">
        <v>179</v>
      </c>
      <c r="B94" s="28">
        <f t="shared" si="20"/>
        <v>978</v>
      </c>
      <c r="C94" s="29">
        <v>99</v>
      </c>
      <c r="D94" s="29">
        <v>58</v>
      </c>
      <c r="E94" s="29">
        <v>45</v>
      </c>
      <c r="F94" s="29">
        <v>67</v>
      </c>
      <c r="G94" s="29">
        <v>24</v>
      </c>
      <c r="H94" s="29">
        <v>63</v>
      </c>
      <c r="I94" s="29">
        <v>132</v>
      </c>
      <c r="J94" s="29">
        <v>78</v>
      </c>
      <c r="K94" s="29">
        <v>77</v>
      </c>
      <c r="L94" s="29">
        <v>48</v>
      </c>
      <c r="M94" s="29">
        <v>179</v>
      </c>
      <c r="N94" s="29">
        <v>108</v>
      </c>
      <c r="O94" s="43" t="s">
        <v>180</v>
      </c>
      <c r="P94" s="16"/>
    </row>
    <row r="95" spans="1:16" s="20" customFormat="1" ht="18" customHeight="1" x14ac:dyDescent="0.45">
      <c r="A95" s="42" t="s">
        <v>181</v>
      </c>
      <c r="B95" s="28">
        <f t="shared" si="20"/>
        <v>3087</v>
      </c>
      <c r="C95" s="29">
        <v>190</v>
      </c>
      <c r="D95" s="29">
        <v>71</v>
      </c>
      <c r="E95" s="29">
        <v>167</v>
      </c>
      <c r="F95" s="29">
        <v>463</v>
      </c>
      <c r="G95" s="29">
        <v>181</v>
      </c>
      <c r="H95" s="29">
        <v>390</v>
      </c>
      <c r="I95" s="29">
        <v>383</v>
      </c>
      <c r="J95" s="29">
        <v>552</v>
      </c>
      <c r="K95" s="29">
        <v>147</v>
      </c>
      <c r="L95" s="29">
        <v>146</v>
      </c>
      <c r="M95" s="29">
        <v>104</v>
      </c>
      <c r="N95" s="29">
        <v>293</v>
      </c>
      <c r="O95" s="43" t="s">
        <v>182</v>
      </c>
      <c r="P95" s="16"/>
    </row>
    <row r="96" spans="1:16" s="20" customFormat="1" ht="18" customHeight="1" x14ac:dyDescent="0.45">
      <c r="A96" s="42" t="s">
        <v>183</v>
      </c>
      <c r="B96" s="28">
        <f t="shared" si="20"/>
        <v>23540</v>
      </c>
      <c r="C96" s="29">
        <v>3591</v>
      </c>
      <c r="D96" s="29">
        <v>967</v>
      </c>
      <c r="E96" s="29">
        <v>1268</v>
      </c>
      <c r="F96" s="29">
        <v>1519</v>
      </c>
      <c r="G96" s="29">
        <v>725</v>
      </c>
      <c r="H96" s="29">
        <v>2043</v>
      </c>
      <c r="I96" s="29">
        <v>3466</v>
      </c>
      <c r="J96" s="29">
        <v>3568</v>
      </c>
      <c r="K96" s="29">
        <v>1901</v>
      </c>
      <c r="L96" s="29">
        <v>1241</v>
      </c>
      <c r="M96" s="29">
        <v>1186</v>
      </c>
      <c r="N96" s="29">
        <v>2065</v>
      </c>
      <c r="O96" s="43" t="s">
        <v>184</v>
      </c>
    </row>
    <row r="97" spans="1:16" s="20" customFormat="1" ht="18" customHeight="1" x14ac:dyDescent="0.45">
      <c r="A97" s="42" t="s">
        <v>185</v>
      </c>
      <c r="B97" s="28">
        <f t="shared" si="20"/>
        <v>1094</v>
      </c>
      <c r="C97" s="29">
        <v>58</v>
      </c>
      <c r="D97" s="29">
        <v>73</v>
      </c>
      <c r="E97" s="29">
        <v>82</v>
      </c>
      <c r="F97" s="29">
        <v>105</v>
      </c>
      <c r="G97" s="29">
        <v>72</v>
      </c>
      <c r="H97" s="29">
        <v>111</v>
      </c>
      <c r="I97" s="29">
        <v>126</v>
      </c>
      <c r="J97" s="29">
        <v>146</v>
      </c>
      <c r="K97" s="29">
        <v>95</v>
      </c>
      <c r="L97" s="29">
        <v>61</v>
      </c>
      <c r="M97" s="29">
        <v>97</v>
      </c>
      <c r="N97" s="29">
        <v>68</v>
      </c>
      <c r="O97" s="43" t="s">
        <v>186</v>
      </c>
    </row>
    <row r="98" spans="1:16" s="20" customFormat="1" ht="18" customHeight="1" x14ac:dyDescent="0.45">
      <c r="A98" s="42" t="s">
        <v>187</v>
      </c>
      <c r="B98" s="28">
        <f t="shared" si="20"/>
        <v>9018</v>
      </c>
      <c r="C98" s="29">
        <v>387</v>
      </c>
      <c r="D98" s="29">
        <v>280</v>
      </c>
      <c r="E98" s="29">
        <v>751</v>
      </c>
      <c r="F98" s="29">
        <v>853</v>
      </c>
      <c r="G98" s="29">
        <v>446</v>
      </c>
      <c r="H98" s="29">
        <v>850</v>
      </c>
      <c r="I98" s="29">
        <v>1240</v>
      </c>
      <c r="J98" s="29">
        <v>1346</v>
      </c>
      <c r="K98" s="29">
        <v>709</v>
      </c>
      <c r="L98" s="29">
        <v>613</v>
      </c>
      <c r="M98" s="29">
        <v>901</v>
      </c>
      <c r="N98" s="29">
        <v>642</v>
      </c>
      <c r="O98" s="43" t="s">
        <v>188</v>
      </c>
      <c r="P98" s="16"/>
    </row>
    <row r="99" spans="1:16" s="20" customFormat="1" ht="18" customHeight="1" x14ac:dyDescent="0.45">
      <c r="A99" s="44" t="s">
        <v>85</v>
      </c>
      <c r="B99" s="36">
        <f>SUM(C99:N99)</f>
        <v>2906</v>
      </c>
      <c r="C99" s="37">
        <v>211</v>
      </c>
      <c r="D99" s="37">
        <v>195</v>
      </c>
      <c r="E99" s="37">
        <v>192</v>
      </c>
      <c r="F99" s="37">
        <v>272</v>
      </c>
      <c r="G99" s="37">
        <v>154</v>
      </c>
      <c r="H99" s="37">
        <v>280</v>
      </c>
      <c r="I99" s="37">
        <v>356</v>
      </c>
      <c r="J99" s="37">
        <v>350</v>
      </c>
      <c r="K99" s="37">
        <v>290</v>
      </c>
      <c r="L99" s="37">
        <v>183</v>
      </c>
      <c r="M99" s="37">
        <v>179</v>
      </c>
      <c r="N99" s="37">
        <v>244</v>
      </c>
      <c r="O99" s="43" t="s">
        <v>15</v>
      </c>
    </row>
    <row r="100" spans="1:16" s="20" customFormat="1" ht="18" customHeight="1" x14ac:dyDescent="0.45">
      <c r="A100" s="22" t="s">
        <v>189</v>
      </c>
      <c r="B100" s="4">
        <f t="shared" ref="B100:B101" si="23">SUM(C100:N100)</f>
        <v>34</v>
      </c>
      <c r="C100" s="46">
        <v>3</v>
      </c>
      <c r="D100" s="46">
        <v>2</v>
      </c>
      <c r="E100" s="46">
        <v>9</v>
      </c>
      <c r="F100" s="46">
        <v>1</v>
      </c>
      <c r="G100" s="46">
        <v>3</v>
      </c>
      <c r="H100" s="46">
        <v>0</v>
      </c>
      <c r="I100" s="46">
        <v>3</v>
      </c>
      <c r="J100" s="46">
        <v>4</v>
      </c>
      <c r="K100" s="29">
        <v>2</v>
      </c>
      <c r="L100" s="29">
        <v>1</v>
      </c>
      <c r="M100" s="29">
        <v>1</v>
      </c>
      <c r="N100" s="29">
        <v>5</v>
      </c>
      <c r="O100" s="19" t="s">
        <v>190</v>
      </c>
    </row>
    <row r="101" spans="1:16" s="20" customFormat="1" ht="18" customHeight="1" x14ac:dyDescent="0.45">
      <c r="A101" s="12" t="s">
        <v>191</v>
      </c>
      <c r="B101" s="6">
        <f t="shared" si="23"/>
        <v>150</v>
      </c>
      <c r="C101" s="47">
        <v>15</v>
      </c>
      <c r="D101" s="47">
        <v>15</v>
      </c>
      <c r="E101" s="47">
        <v>12</v>
      </c>
      <c r="F101" s="47">
        <v>14</v>
      </c>
      <c r="G101" s="47">
        <v>7</v>
      </c>
      <c r="H101" s="47">
        <v>13</v>
      </c>
      <c r="I101" s="47">
        <v>12</v>
      </c>
      <c r="J101" s="47">
        <v>13</v>
      </c>
      <c r="K101" s="37">
        <v>10</v>
      </c>
      <c r="L101" s="37">
        <v>7</v>
      </c>
      <c r="M101" s="37">
        <v>19</v>
      </c>
      <c r="N101" s="37">
        <v>13</v>
      </c>
      <c r="O101" s="45" t="s">
        <v>15</v>
      </c>
    </row>
    <row r="102" spans="1:16" s="20" customFormat="1" ht="17.25" customHeight="1" x14ac:dyDescent="0.2">
      <c r="A102" s="48" t="s">
        <v>33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9"/>
      <c r="N102" s="49"/>
      <c r="O102" s="1" t="s">
        <v>35</v>
      </c>
      <c r="P102" s="16"/>
    </row>
    <row r="103" spans="1:16" s="20" customFormat="1" ht="17.25" customHeight="1" x14ac:dyDescent="0.2">
      <c r="A103" s="50" t="s">
        <v>192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O103" s="2" t="s">
        <v>193</v>
      </c>
    </row>
    <row r="104" spans="1:16" ht="12.75" customHeight="1" x14ac:dyDescent="0.2"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</row>
    <row r="105" spans="1:16" ht="12.75" customHeight="1" x14ac:dyDescent="0.2"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</row>
    <row r="106" spans="1:16" x14ac:dyDescent="0.2"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</row>
  </sheetData>
  <mergeCells count="2">
    <mergeCell ref="A1:O1"/>
    <mergeCell ref="A2:O2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2019-04-29T05:59:24Z</cp:lastPrinted>
  <dcterms:created xsi:type="dcterms:W3CDTF">2019-02-27T06:18:18Z</dcterms:created>
  <dcterms:modified xsi:type="dcterms:W3CDTF">2019-04-29T05:59:37Z</dcterms:modified>
</cp:coreProperties>
</file>