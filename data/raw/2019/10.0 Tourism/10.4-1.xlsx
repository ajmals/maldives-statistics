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Tourism\"/>
    </mc:Choice>
  </mc:AlternateContent>
  <bookViews>
    <workbookView xWindow="0" yWindow="0" windowWidth="28800" windowHeight="12330" tabRatio="829"/>
  </bookViews>
  <sheets>
    <sheet name="10.4" sheetId="4" r:id="rId1"/>
  </sheets>
  <externalReferences>
    <externalReference r:id="rId2"/>
  </externalReferences>
  <definedNames>
    <definedName name="_xlnm.Print_Area" localSheetId="0">'10.4'!$A$1:$L$43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13" i="4" l="1"/>
  <c r="AL13" i="4"/>
  <c r="AM24" i="4" l="1"/>
  <c r="AL24" i="4"/>
  <c r="AM23" i="4"/>
  <c r="AL23" i="4"/>
  <c r="AM22" i="4"/>
  <c r="AL22" i="4"/>
  <c r="AM21" i="4"/>
  <c r="AL21" i="4"/>
  <c r="AM20" i="4"/>
  <c r="AL20" i="4"/>
  <c r="AM19" i="4"/>
  <c r="AL19" i="4"/>
  <c r="AM18" i="4"/>
  <c r="AL18" i="4"/>
  <c r="AM17" i="4"/>
  <c r="AL17" i="4"/>
  <c r="AM16" i="4"/>
  <c r="AL16" i="4"/>
  <c r="AM15" i="4"/>
  <c r="AL15" i="4"/>
  <c r="AM14" i="4"/>
  <c r="AL14" i="4"/>
  <c r="I19" i="4"/>
  <c r="D19" i="4"/>
  <c r="I18" i="4"/>
  <c r="D18" i="4"/>
  <c r="I17" i="4"/>
  <c r="D17" i="4"/>
  <c r="I16" i="4"/>
  <c r="D16" i="4"/>
  <c r="I15" i="4"/>
  <c r="D15" i="4"/>
  <c r="I14" i="4"/>
  <c r="D14" i="4"/>
  <c r="I13" i="4"/>
  <c r="D13" i="4"/>
  <c r="I12" i="4"/>
  <c r="D12" i="4"/>
  <c r="I11" i="4"/>
  <c r="D11" i="4"/>
  <c r="I10" i="4"/>
  <c r="D10" i="4"/>
  <c r="I9" i="4"/>
  <c r="D9" i="4"/>
  <c r="I8" i="4"/>
  <c r="D8" i="4"/>
  <c r="K7" i="4"/>
  <c r="J7" i="4"/>
  <c r="H7" i="4"/>
  <c r="G7" i="4"/>
  <c r="F7" i="4"/>
  <c r="E7" i="4"/>
  <c r="C7" i="4"/>
  <c r="B7" i="4"/>
  <c r="I7" i="4" l="1"/>
  <c r="D7" i="4"/>
</calcChain>
</file>

<file path=xl/sharedStrings.xml><?xml version="1.0" encoding="utf-8"?>
<sst xmlns="http://schemas.openxmlformats.org/spreadsheetml/2006/main" count="52" uniqueCount="40">
  <si>
    <t>Source: Ministry of Tourism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</si>
  <si>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</si>
  <si>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</si>
  <si>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</si>
  <si>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</si>
  <si>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</si>
  <si>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</si>
  <si>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Beds in
 operation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</si>
  <si>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</si>
  <si>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</si>
  <si>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</si>
  <si>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</si>
  <si>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</si>
  <si>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</si>
  <si>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</si>
  <si>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</si>
  <si>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</si>
  <si>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</si>
  <si>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</si>
  <si>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</si>
  <si>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</si>
  <si>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</si>
  <si>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</si>
  <si>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</si>
  <si>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</si>
  <si>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cmwzirUT cfoa  IrcTcsinim :ctWrwf ivcaed utWmUluAwm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</si>
  <si>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</si>
  <si>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</si>
  <si>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</si>
  <si>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</si>
  <si>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</si>
  <si>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</si>
  <si>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</si>
  <si>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</si>
  <si>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</si>
  <si>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</si>
  <si>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</si>
  <si>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</si>
  <si>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Table  10.4: BED CAPACITY AND UTILIZATION OF RESORTS BY MONTH,  2017 - 2018</t>
  </si>
  <si>
    <t>2018 - 2017  ,urwvcnim unuverukcnunEb wgWjegudnea iaWa wgWj egudnea egukwtuTOsir uhwmcswmikea : 10.4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</si>
</sst>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0.0"/>
    <numFmt numFmtId="166" formatCode="_(* #,##0_);_(* \(#,##0\);_(* &quot;-&quot;??_);_(@_)"/>
    <numFmt numFmtId="167" formatCode="#,##0.0"/>
    <numFmt numFmtId="168" formatCode="[$-409]mmm\-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name val="A_Randhoo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color theme="1"/>
      <name val="A_Randhoo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</cellStyleXfs>
  <cellXfs count="50">
    <xf numFmtId="0" fontId="0" fillId="0" borderId="0" xfId="0"/>
    <xf numFmtId="0" fontId="3" fillId="2" borderId="0" xfId="0" applyFont="1" applyFill="1" applyAlignment="1" applyProtection="1">
      <alignment horizontal="left" vertical="center"/>
    </xf>
    <xf numFmtId="0" fontId="4" fillId="2" borderId="0" xfId="0" applyFont="1" applyFill="1" applyBorder="1" applyAlignment="1">
      <alignment horizontal="right" vertical="center"/>
    </xf>
    <xf numFmtId="3" fontId="6" fillId="2" borderId="0" xfId="0" applyNumberFormat="1" applyFont="1" applyFill="1" applyBorder="1" applyAlignment="1">
      <alignment horizontal="center"/>
    </xf>
    <xf numFmtId="0" fontId="9" fillId="2" borderId="0" xfId="0" applyFont="1" applyFill="1"/>
    <xf numFmtId="0" fontId="11" fillId="2" borderId="0" xfId="0" applyFont="1" applyFill="1"/>
    <xf numFmtId="37" fontId="7" fillId="2" borderId="6" xfId="0" applyNumberFormat="1" applyFont="1" applyFill="1" applyBorder="1" applyAlignment="1" applyProtection="1">
      <alignment horizontal="center" vertical="center" wrapText="1"/>
    </xf>
    <xf numFmtId="37" fontId="7" fillId="2" borderId="7" xfId="0" applyNumberFormat="1" applyFont="1" applyFill="1" applyBorder="1" applyAlignment="1" applyProtection="1">
      <alignment horizontal="center" vertical="center" wrapText="1"/>
    </xf>
    <xf numFmtId="0" fontId="5" fillId="2" borderId="9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5" fillId="2" borderId="0" xfId="0" applyFont="1" applyFill="1" applyAlignment="1" applyProtection="1">
      <alignment horizontal="left" vertical="center" wrapText="1"/>
    </xf>
    <xf numFmtId="3" fontId="5" fillId="2" borderId="10" xfId="0" applyNumberFormat="1" applyFont="1" applyFill="1" applyBorder="1" applyAlignment="1">
      <alignment horizontal="center"/>
    </xf>
    <xf numFmtId="3" fontId="5" fillId="2" borderId="0" xfId="0" applyNumberFormat="1" applyFont="1" applyFill="1" applyAlignment="1">
      <alignment horizontal="center"/>
    </xf>
    <xf numFmtId="167" fontId="5" fillId="2" borderId="0" xfId="0" applyNumberFormat="1" applyFont="1" applyFill="1" applyAlignment="1">
      <alignment horizontal="center"/>
    </xf>
    <xf numFmtId="0" fontId="6" fillId="2" borderId="0" xfId="0" applyFont="1" applyFill="1" applyAlignment="1" applyProtection="1">
      <alignment horizontal="left" vertical="center"/>
    </xf>
    <xf numFmtId="3" fontId="6" fillId="2" borderId="11" xfId="0" applyNumberFormat="1" applyFont="1" applyFill="1" applyBorder="1" applyAlignment="1">
      <alignment horizontal="center"/>
    </xf>
    <xf numFmtId="164" fontId="6" fillId="2" borderId="0" xfId="0" applyNumberFormat="1" applyFont="1" applyFill="1" applyAlignment="1">
      <alignment horizontal="center"/>
    </xf>
    <xf numFmtId="0" fontId="6" fillId="2" borderId="0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3" fontId="6" fillId="2" borderId="9" xfId="0" applyNumberFormat="1" applyFont="1" applyFill="1" applyBorder="1" applyAlignment="1">
      <alignment horizontal="center"/>
    </xf>
    <xf numFmtId="3" fontId="6" fillId="2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7" fontId="9" fillId="2" borderId="0" xfId="0" applyNumberFormat="1" applyFont="1" applyFill="1"/>
    <xf numFmtId="164" fontId="9" fillId="2" borderId="0" xfId="0" applyNumberFormat="1" applyFont="1" applyFill="1"/>
    <xf numFmtId="0" fontId="12" fillId="2" borderId="1" xfId="0" applyFont="1" applyFill="1" applyBorder="1" applyAlignment="1" applyProtection="1">
      <alignment horizontal="center" vertical="center" wrapText="1"/>
    </xf>
    <xf numFmtId="3" fontId="9" fillId="2" borderId="0" xfId="0" applyNumberFormat="1" applyFont="1" applyFill="1"/>
    <xf numFmtId="0" fontId="9" fillId="2" borderId="0" xfId="0" applyFont="1" applyFill="1" applyAlignment="1" applyProtection="1">
      <alignment horizontal="left" vertical="center"/>
    </xf>
    <xf numFmtId="0" fontId="9" fillId="2" borderId="0" xfId="0" applyFont="1" applyFill="1" applyBorder="1" applyAlignment="1" applyProtection="1">
      <alignment horizontal="left" vertical="center"/>
    </xf>
    <xf numFmtId="167" fontId="9" fillId="2" borderId="0" xfId="0" applyNumberFormat="1" applyFont="1" applyFill="1" applyBorder="1"/>
    <xf numFmtId="3" fontId="9" fillId="2" borderId="0" xfId="0" applyNumberFormat="1" applyFont="1" applyFill="1" applyBorder="1"/>
    <xf numFmtId="0" fontId="12" fillId="2" borderId="0" xfId="0" applyFont="1" applyFill="1" applyBorder="1" applyAlignment="1" applyProtection="1">
      <alignment horizontal="center" vertical="center" wrapText="1"/>
    </xf>
    <xf numFmtId="0" fontId="9" fillId="2" borderId="0" xfId="0" applyFont="1" applyFill="1" applyBorder="1"/>
    <xf numFmtId="3" fontId="9" fillId="2" borderId="0" xfId="0" applyNumberFormat="1" applyFont="1" applyFill="1" applyBorder="1" applyAlignment="1">
      <alignment horizontal="center"/>
    </xf>
    <xf numFmtId="0" fontId="14" fillId="2" borderId="0" xfId="0" applyFont="1" applyFill="1" applyBorder="1" applyAlignment="1" applyProtection="1">
      <alignment horizontal="center" vertical="center" wrapText="1"/>
    </xf>
    <xf numFmtId="0" fontId="13" fillId="2" borderId="0" xfId="0" applyFont="1" applyFill="1" applyBorder="1" applyAlignment="1" applyProtection="1">
      <alignment horizontal="left" vertical="center"/>
    </xf>
    <xf numFmtId="164" fontId="6" fillId="2" borderId="0" xfId="0" applyNumberFormat="1" applyFont="1" applyFill="1" applyBorder="1" applyAlignment="1">
      <alignment horizontal="center"/>
    </xf>
    <xf numFmtId="168" fontId="13" fillId="2" borderId="0" xfId="0" applyNumberFormat="1" applyFont="1" applyFill="1" applyBorder="1" applyAlignment="1" applyProtection="1">
      <alignment horizontal="left" vertical="center"/>
    </xf>
    <xf numFmtId="164" fontId="9" fillId="2" borderId="0" xfId="0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right" vertical="center"/>
    </xf>
    <xf numFmtId="166" fontId="6" fillId="2" borderId="0" xfId="1" applyNumberFormat="1" applyFont="1" applyFill="1" applyBorder="1" applyAlignment="1">
      <alignment horizontal="right" vertical="center"/>
    </xf>
    <xf numFmtId="166" fontId="6" fillId="2" borderId="1" xfId="1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0" fontId="5" fillId="2" borderId="2" xfId="0" applyFont="1" applyFill="1" applyBorder="1" applyAlignment="1" applyProtection="1">
      <alignment horizontal="center" vertical="center" wrapText="1"/>
    </xf>
    <xf numFmtId="0" fontId="5" fillId="2" borderId="5" xfId="0" applyFont="1" applyFill="1" applyBorder="1" applyAlignment="1" applyProtection="1">
      <alignment horizontal="center" vertical="center" wrapText="1"/>
    </xf>
    <xf numFmtId="0" fontId="5" fillId="2" borderId="8" xfId="0" applyFont="1" applyFill="1" applyBorder="1" applyAlignment="1" applyProtection="1">
      <alignment horizontal="center" vertical="center" wrapText="1"/>
    </xf>
    <xf numFmtId="0" fontId="10" fillId="2" borderId="3" xfId="0" applyFont="1" applyFill="1" applyBorder="1" applyAlignment="1" applyProtection="1">
      <alignment horizontal="center" vertical="center"/>
    </xf>
    <xf numFmtId="0" fontId="10" fillId="2" borderId="4" xfId="0" applyFont="1" applyFill="1" applyBorder="1" applyAlignment="1" applyProtection="1">
      <alignment horizontal="center" vertical="center"/>
    </xf>
    <xf numFmtId="0" fontId="10" fillId="2" borderId="12" xfId="0" applyFont="1" applyFill="1" applyBorder="1" applyAlignment="1" applyProtection="1">
      <alignment horizontal="center" vertical="center"/>
    </xf>
    <xf numFmtId="0" fontId="10" fillId="2" borderId="0" xfId="0" applyFont="1" applyFill="1" applyBorder="1" applyAlignment="1" applyProtection="1">
      <alignment horizontal="center" vertical="center"/>
    </xf>
    <xf numFmtId="0" fontId="10" fillId="2" borderId="0" xfId="0" applyFont="1" applyFill="1" applyBorder="1" applyAlignment="1" applyProtection="1">
      <alignment horizontal="center" vertical="center"/>
    </xf>
  </cellXfs>
  <cellStyles count="5">
    <cellStyle name="Comma" xfId="1" builtinId="3"/>
    <cellStyle name="Normal" xfId="0" builtinId="0"/>
    <cellStyle name="Normal 2" xfId="2"/>
    <cellStyle name="Normal 5 2" xfId="4"/>
    <cellStyle name="Percent 2 2" xfId="3"/>
  </cellStyles>
  <dxfs count="0"/>
  <tableStyles count="0" defaultTableStyle="TableStyleMedium2" defaultPivotStyle="PivotStyleLight16"/>
  <colors>
    <mruColors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10.7:  Bed capacity and beds in operation in resorts , 2018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7906040588959882"/>
          <c:y val="2.802141100570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97017137030228E-2"/>
          <c:y val="0.1484734477430629"/>
          <c:w val="0.90029650250643645"/>
          <c:h val="0.664619887115880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'10.4'!$AL$12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'10.4'!$AK$13:$AK$24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'10.4'!$AL$13:$AL$24</c:f>
              <c:numCache>
                <c:formatCode>#,##0</c:formatCode>
                <c:ptCount val="12"/>
                <c:pt idx="0">
                  <c:v>30063</c:v>
                </c:pt>
                <c:pt idx="1">
                  <c:v>30063</c:v>
                </c:pt>
                <c:pt idx="2">
                  <c:v>30181</c:v>
                </c:pt>
                <c:pt idx="3">
                  <c:v>30187</c:v>
                </c:pt>
                <c:pt idx="4">
                  <c:v>30187</c:v>
                </c:pt>
                <c:pt idx="5">
                  <c:v>30207</c:v>
                </c:pt>
                <c:pt idx="6">
                  <c:v>30207</c:v>
                </c:pt>
                <c:pt idx="7">
                  <c:v>30341</c:v>
                </c:pt>
                <c:pt idx="8">
                  <c:v>30823</c:v>
                </c:pt>
                <c:pt idx="9">
                  <c:v>30885</c:v>
                </c:pt>
                <c:pt idx="10">
                  <c:v>31423</c:v>
                </c:pt>
                <c:pt idx="11">
                  <c:v>31741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A-4B78-BFEE-5F455A783DF5}"/>
            </c:ext>
          </c:extLst>
        </c:ser>
        <c:ser>
          <c:idx val="1"/>
          <c:order val="1"/>
          <c:tx>
            <c:strRef>
              <c:f>'10.4'!$AM$12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'10.4'!$AK$13:$AK$24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'10.4'!$AM$13:$AM$24</c:f>
              <c:numCache>
                <c:formatCode>#,##0</c:formatCode>
                <c:ptCount val="12"/>
                <c:pt idx="0">
                  <c:v>29404</c:v>
                </c:pt>
                <c:pt idx="1">
                  <c:v>29160</c:v>
                </c:pt>
                <c:pt idx="2">
                  <c:v>29268</c:v>
                </c:pt>
                <c:pt idx="3">
                  <c:v>29334</c:v>
                </c:pt>
                <c:pt idx="4">
                  <c:v>28964</c:v>
                </c:pt>
                <c:pt idx="5">
                  <c:v>28910</c:v>
                </c:pt>
                <c:pt idx="6">
                  <c:v>28820</c:v>
                </c:pt>
                <c:pt idx="7">
                  <c:v>29044</c:v>
                </c:pt>
                <c:pt idx="8">
                  <c:v>29526</c:v>
                </c:pt>
                <c:pt idx="9">
                  <c:v>29588</c:v>
                </c:pt>
                <c:pt idx="10">
                  <c:v>30082</c:v>
                </c:pt>
                <c:pt idx="11">
                  <c:v>30438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6A-4B78-BFEE-5F455A783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329600992"/>
        <c:axId val="329601552"/>
      </c:barChart>
      <c:catAx>
        <c:axId val="32960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601552"/>
        <c:crosses val="autoZero"/>
        <c:auto val="1"/>
        <c:lblAlgn val="ctr"/>
        <c:lblOffset val="100"/>
        <c:noMultiLvlLbl val="0"/>
      </c:catAx>
      <c:valAx>
        <c:axId val="329601552"/>
        <c:scaling>
          <c:orientation val="minMax"/>
          <c:max val="3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600992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7119767171960651"/>
          <c:y val="0.90526962890700591"/>
          <c:w val="0.40792415233810059"/>
          <c:h val="8.2076887725865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838199</xdr:colOff>
      <xdr:row>21</xdr:row>
      <xdr:rowOff>28574</xdr:rowOff>
    </xdr:from>
    <xdr:to>
      <xdr:col>10</xdr:col>
      <xdr:colOff>66674</xdr:colOff>
      <xdr:row>41</xdr:row>
      <xdr:rowOff>57149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  <cell r="AD40">
            <v>70.654883803757457</v>
          </cell>
        </row>
        <row r="41">
          <cell r="AC41" t="str">
            <v>Hotels</v>
          </cell>
          <cell r="AD41">
            <v>4.1447778470305403</v>
          </cell>
        </row>
        <row r="42">
          <cell r="AC42" t="str">
            <v>Guest Houses</v>
          </cell>
          <cell r="AD42">
            <v>19.061080936693081</v>
          </cell>
        </row>
        <row r="43">
          <cell r="AC43" t="str">
            <v>Safari Vessels</v>
          </cell>
          <cell r="AD43">
            <v>6.139257412518921</v>
          </cell>
        </row>
        <row r="47">
          <cell r="AC47" t="str">
            <v>Resorts (including Marinas)</v>
          </cell>
          <cell r="AD47">
            <v>0.17575757575757575</v>
          </cell>
        </row>
        <row r="48">
          <cell r="AC48" t="str">
            <v>Hotels</v>
          </cell>
          <cell r="AD48">
            <v>1.4545454545454545E-2</v>
          </cell>
        </row>
        <row r="49">
          <cell r="AC49" t="str">
            <v>Guest Houses</v>
          </cell>
          <cell r="AD49">
            <v>0.63151515151515147</v>
          </cell>
        </row>
        <row r="50">
          <cell r="AC50" t="str">
            <v>Safari Vessels</v>
          </cell>
          <cell r="AD50">
            <v>0.17818181818181819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30063</v>
          </cell>
          <cell r="AF20">
            <v>29404</v>
          </cell>
        </row>
        <row r="21">
          <cell r="AD21" t="str">
            <v>Feb</v>
          </cell>
          <cell r="AE21">
            <v>30063</v>
          </cell>
          <cell r="AF21">
            <v>29160</v>
          </cell>
        </row>
        <row r="22">
          <cell r="AD22" t="str">
            <v>Mar</v>
          </cell>
          <cell r="AE22">
            <v>30181</v>
          </cell>
          <cell r="AF22">
            <v>29268</v>
          </cell>
        </row>
        <row r="23">
          <cell r="AD23" t="str">
            <v>Apr</v>
          </cell>
          <cell r="AE23">
            <v>30187</v>
          </cell>
          <cell r="AF23">
            <v>29334</v>
          </cell>
        </row>
        <row r="24">
          <cell r="AD24" t="str">
            <v>May</v>
          </cell>
          <cell r="AE24">
            <v>30187</v>
          </cell>
          <cell r="AF24">
            <v>28964</v>
          </cell>
        </row>
        <row r="25">
          <cell r="AD25" t="str">
            <v>Jun</v>
          </cell>
          <cell r="AE25">
            <v>30207</v>
          </cell>
          <cell r="AF25">
            <v>28910</v>
          </cell>
        </row>
        <row r="26">
          <cell r="AD26" t="str">
            <v>Jul</v>
          </cell>
          <cell r="AE26">
            <v>30207</v>
          </cell>
          <cell r="AF26">
            <v>28820</v>
          </cell>
        </row>
        <row r="27">
          <cell r="AD27" t="str">
            <v>Aug</v>
          </cell>
          <cell r="AE27">
            <v>30341</v>
          </cell>
          <cell r="AF27">
            <v>29044</v>
          </cell>
        </row>
        <row r="28">
          <cell r="AD28" t="str">
            <v>Sep</v>
          </cell>
          <cell r="AE28">
            <v>30823</v>
          </cell>
          <cell r="AF28">
            <v>29526</v>
          </cell>
        </row>
        <row r="29">
          <cell r="AD29" t="str">
            <v>Oct</v>
          </cell>
          <cell r="AE29">
            <v>30885</v>
          </cell>
          <cell r="AF29">
            <v>29588</v>
          </cell>
        </row>
        <row r="30">
          <cell r="AD30" t="str">
            <v>Nov</v>
          </cell>
          <cell r="AE30">
            <v>31423</v>
          </cell>
          <cell r="AF30">
            <v>30082</v>
          </cell>
        </row>
        <row r="31">
          <cell r="AD31" t="str">
            <v>Dec</v>
          </cell>
          <cell r="AE31">
            <v>31741</v>
          </cell>
          <cell r="AF31">
            <v>30438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  <cell r="C15">
            <v>60242</v>
          </cell>
          <cell r="D15">
            <v>58195</v>
          </cell>
          <cell r="E15">
            <v>54157</v>
          </cell>
          <cell r="F15">
            <v>57109</v>
          </cell>
          <cell r="G15">
            <v>45177</v>
          </cell>
          <cell r="H15">
            <v>40579</v>
          </cell>
          <cell r="I15">
            <v>54239</v>
          </cell>
          <cell r="J15">
            <v>57649</v>
          </cell>
          <cell r="K15">
            <v>51284</v>
          </cell>
          <cell r="L15">
            <v>61740</v>
          </cell>
          <cell r="M15">
            <v>57934</v>
          </cell>
          <cell r="N15">
            <v>68981</v>
          </cell>
        </row>
        <row r="16">
          <cell r="A16" t="str">
            <v>Female</v>
          </cell>
          <cell r="C16">
            <v>65094</v>
          </cell>
          <cell r="D16">
            <v>62857</v>
          </cell>
          <cell r="E16">
            <v>58508</v>
          </cell>
          <cell r="F16">
            <v>62665</v>
          </cell>
          <cell r="G16">
            <v>48314</v>
          </cell>
          <cell r="H16">
            <v>44643</v>
          </cell>
          <cell r="I16">
            <v>58936</v>
          </cell>
          <cell r="J16">
            <v>63661</v>
          </cell>
          <cell r="K16">
            <v>54700</v>
          </cell>
          <cell r="L16">
            <v>66246</v>
          </cell>
          <cell r="M16">
            <v>62572</v>
          </cell>
          <cell r="N16">
            <v>74060</v>
          </cell>
        </row>
        <row r="22">
          <cell r="Z22" t="str">
            <v>Jan</v>
          </cell>
          <cell r="AA22" t="str">
            <v>Feb</v>
          </cell>
          <cell r="AB22" t="str">
            <v>Mar</v>
          </cell>
          <cell r="AC22" t="str">
            <v>Apr</v>
          </cell>
          <cell r="AD22" t="str">
            <v>May</v>
          </cell>
          <cell r="AE22" t="str">
            <v>Jun</v>
          </cell>
          <cell r="AF22" t="str">
            <v>Jul</v>
          </cell>
          <cell r="AG22" t="str">
            <v>Aug</v>
          </cell>
          <cell r="AH22" t="str">
            <v>Sep</v>
          </cell>
          <cell r="AI22" t="str">
            <v>Oct</v>
          </cell>
          <cell r="AJ22" t="str">
            <v>Nov</v>
          </cell>
          <cell r="AK22" t="str">
            <v>Dec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M47"/>
  <sheetViews>
    <sheetView tabSelected="1" zoomScaleNormal="100" workbookViewId="0">
      <selection activeCell="S10" sqref="S10"/>
    </sheetView>
  </sheetViews>
  <sheetFormatPr defaultColWidth="9.140625" defaultRowHeight="12" x14ac:dyDescent="0.2"/>
  <cols>
    <col min="1" max="1" width="13.7109375" style="4" customWidth="1"/>
    <col min="2" max="3" width="11.42578125" style="4" customWidth="1"/>
    <col min="4" max="4" width="14.5703125" style="4" customWidth="1"/>
    <col min="5" max="8" width="11.42578125" style="4" customWidth="1"/>
    <col min="9" max="9" width="13.42578125" style="4" customWidth="1"/>
    <col min="10" max="11" width="11.42578125" style="4" customWidth="1"/>
    <col min="12" max="12" width="3" style="4" customWidth="1"/>
    <col min="13" max="16384" width="9.140625" style="4"/>
  </cols>
  <sheetData>
    <row r="1" spans="1:39" ht="19.5" x14ac:dyDescent="0.2">
      <c r="A1" s="41" t="s">
        <v>39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39" s="31" customFormat="1" ht="12.75" x14ac:dyDescent="0.2">
      <c r="A2" s="49" t="s">
        <v>38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33"/>
    </row>
    <row r="3" spans="1:39" ht="12.75" x14ac:dyDescent="0.2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33"/>
    </row>
    <row r="4" spans="1:39" s="5" customFormat="1" ht="12.75" x14ac:dyDescent="0.2">
      <c r="A4" s="42" t="s">
        <v>2</v>
      </c>
      <c r="B4" s="45">
        <v>2017</v>
      </c>
      <c r="C4" s="46"/>
      <c r="D4" s="46"/>
      <c r="E4" s="46"/>
      <c r="F4" s="47"/>
      <c r="G4" s="45">
        <v>2018</v>
      </c>
      <c r="H4" s="46"/>
      <c r="I4" s="46"/>
      <c r="J4" s="46"/>
      <c r="K4" s="46"/>
      <c r="L4" s="37"/>
    </row>
    <row r="5" spans="1:39" s="5" customFormat="1" ht="54.75" customHeight="1" x14ac:dyDescent="0.2">
      <c r="A5" s="43"/>
      <c r="B5" s="6" t="s">
        <v>3</v>
      </c>
      <c r="C5" s="7" t="s">
        <v>4</v>
      </c>
      <c r="D5" s="7" t="s">
        <v>1</v>
      </c>
      <c r="E5" s="7" t="s">
        <v>5</v>
      </c>
      <c r="F5" s="7" t="s">
        <v>6</v>
      </c>
      <c r="G5" s="6" t="s">
        <v>3</v>
      </c>
      <c r="H5" s="7" t="s">
        <v>4</v>
      </c>
      <c r="I5" s="7" t="s">
        <v>1</v>
      </c>
      <c r="J5" s="7" t="s">
        <v>5</v>
      </c>
      <c r="K5" s="7" t="s">
        <v>6</v>
      </c>
      <c r="L5" s="37"/>
    </row>
    <row r="6" spans="1:39" s="5" customFormat="1" ht="51" x14ac:dyDescent="0.2">
      <c r="A6" s="44"/>
      <c r="B6" s="8" t="s">
        <v>11</v>
      </c>
      <c r="C6" s="9" t="s">
        <v>7</v>
      </c>
      <c r="D6" s="9" t="s">
        <v>8</v>
      </c>
      <c r="E6" s="9" t="s">
        <v>9</v>
      </c>
      <c r="F6" s="9" t="s">
        <v>10</v>
      </c>
      <c r="G6" s="8" t="s">
        <v>11</v>
      </c>
      <c r="H6" s="9" t="s">
        <v>7</v>
      </c>
      <c r="I6" s="9" t="s">
        <v>8</v>
      </c>
      <c r="J6" s="9" t="s">
        <v>9</v>
      </c>
      <c r="K6" s="9" t="s">
        <v>10</v>
      </c>
      <c r="L6" s="37"/>
    </row>
    <row r="7" spans="1:39" s="5" customFormat="1" ht="18.75" customHeight="1" x14ac:dyDescent="0.2">
      <c r="A7" s="10" t="s">
        <v>12</v>
      </c>
      <c r="B7" s="11">
        <f>AVERAGE(B8:B19)</f>
        <v>28447.333333333332</v>
      </c>
      <c r="C7" s="12">
        <f>AVERAGE(C8:C19)</f>
        <v>27685.916666666668</v>
      </c>
      <c r="D7" s="13">
        <f>AVERAGE(D8:D19)</f>
        <v>97.318320171036859</v>
      </c>
      <c r="E7" s="13">
        <f>AVERAGE(E8:E19)</f>
        <v>72.738665701182953</v>
      </c>
      <c r="F7" s="38">
        <f>SUM(F8:F19)</f>
        <v>7343577.0649094805</v>
      </c>
      <c r="G7" s="11">
        <f>AVERAGE(G8:G19)</f>
        <v>30525.666666666668</v>
      </c>
      <c r="H7" s="12">
        <f>AVERAGE(H8:H19)</f>
        <v>29378.166666666668</v>
      </c>
      <c r="I7" s="13">
        <f>AVERAGE(I8:I19)</f>
        <v>96.246825566108427</v>
      </c>
      <c r="J7" s="13">
        <f>AVERAGE(J8:J19)</f>
        <v>74.635416569614094</v>
      </c>
      <c r="K7" s="38">
        <f>SUM(K8:K19)</f>
        <v>8000462.8313074177</v>
      </c>
      <c r="L7" s="37"/>
    </row>
    <row r="8" spans="1:39" s="5" customFormat="1" ht="18.75" customHeight="1" x14ac:dyDescent="0.2">
      <c r="A8" s="14" t="s">
        <v>13</v>
      </c>
      <c r="B8" s="15">
        <v>27083</v>
      </c>
      <c r="C8" s="3">
        <v>26302</v>
      </c>
      <c r="D8" s="16">
        <f>C8/B8*100</f>
        <v>97.116272200273229</v>
      </c>
      <c r="E8" s="16">
        <v>83.731194350629409</v>
      </c>
      <c r="F8" s="39">
        <v>682712.34088117897</v>
      </c>
      <c r="G8" s="15">
        <v>30063</v>
      </c>
      <c r="H8" s="3">
        <v>29404</v>
      </c>
      <c r="I8" s="16">
        <f>H8/G8*100</f>
        <v>97.807936666334029</v>
      </c>
      <c r="J8" s="16">
        <v>86.115793716960908</v>
      </c>
      <c r="K8" s="39">
        <v>784966.12752059079</v>
      </c>
      <c r="L8" s="37"/>
    </row>
    <row r="9" spans="1:39" s="5" customFormat="1" ht="18.75" customHeight="1" x14ac:dyDescent="0.2">
      <c r="A9" s="14" t="s">
        <v>14</v>
      </c>
      <c r="B9" s="15">
        <v>27497</v>
      </c>
      <c r="C9" s="3">
        <v>26726</v>
      </c>
      <c r="D9" s="16">
        <f t="shared" ref="D9:D19" si="0">C9/B9*100</f>
        <v>97.196057751754736</v>
      </c>
      <c r="E9" s="16">
        <v>86.16289755688598</v>
      </c>
      <c r="F9" s="39">
        <v>644781.08802949369</v>
      </c>
      <c r="G9" s="15">
        <v>30063</v>
      </c>
      <c r="H9" s="3">
        <v>29160</v>
      </c>
      <c r="I9" s="16">
        <f t="shared" ref="I9:I19" si="1">H9/G9*100</f>
        <v>96.99630775371719</v>
      </c>
      <c r="J9" s="16">
        <v>94.025821596244143</v>
      </c>
      <c r="K9" s="39">
        <v>767702.02816901414</v>
      </c>
      <c r="L9" s="37"/>
    </row>
    <row r="10" spans="1:39" s="5" customFormat="1" ht="18.75" customHeight="1" x14ac:dyDescent="0.2">
      <c r="A10" s="14" t="s">
        <v>15</v>
      </c>
      <c r="B10" s="15">
        <v>27973</v>
      </c>
      <c r="C10" s="3">
        <v>27202</v>
      </c>
      <c r="D10" s="16">
        <f t="shared" si="0"/>
        <v>97.243770778965427</v>
      </c>
      <c r="E10" s="16">
        <v>73.328085017627217</v>
      </c>
      <c r="F10" s="39">
        <v>618347.87628134363</v>
      </c>
      <c r="G10" s="15">
        <v>30181</v>
      </c>
      <c r="H10" s="3">
        <v>29268</v>
      </c>
      <c r="I10" s="16">
        <f t="shared" si="1"/>
        <v>96.974917994764922</v>
      </c>
      <c r="J10" s="16">
        <v>80.002029244175731</v>
      </c>
      <c r="K10" s="39">
        <v>725864.8114947459</v>
      </c>
      <c r="L10" s="37"/>
    </row>
    <row r="11" spans="1:39" s="5" customFormat="1" ht="18.75" customHeight="1" x14ac:dyDescent="0.2">
      <c r="A11" s="14" t="s">
        <v>16</v>
      </c>
      <c r="B11" s="15">
        <v>28291</v>
      </c>
      <c r="C11" s="3">
        <v>27202</v>
      </c>
      <c r="D11" s="16">
        <f t="shared" si="0"/>
        <v>96.150719310027924</v>
      </c>
      <c r="E11" s="16">
        <v>77.118214294636388</v>
      </c>
      <c r="F11" s="39">
        <v>629330.89957280969</v>
      </c>
      <c r="G11" s="15">
        <v>30187</v>
      </c>
      <c r="H11" s="3">
        <v>29334</v>
      </c>
      <c r="I11" s="16">
        <f t="shared" si="1"/>
        <v>97.17428031934277</v>
      </c>
      <c r="J11" s="16">
        <v>76.225942214025622</v>
      </c>
      <c r="K11" s="39">
        <v>670803.53667186829</v>
      </c>
      <c r="L11" s="37"/>
    </row>
    <row r="12" spans="1:39" s="5" customFormat="1" ht="18.75" customHeight="1" x14ac:dyDescent="0.2">
      <c r="A12" s="14" t="s">
        <v>17</v>
      </c>
      <c r="B12" s="15">
        <v>28549</v>
      </c>
      <c r="C12" s="3">
        <v>27472</v>
      </c>
      <c r="D12" s="16">
        <f t="shared" si="0"/>
        <v>96.227538617814986</v>
      </c>
      <c r="E12" s="16">
        <v>61.332135429745883</v>
      </c>
      <c r="F12" s="39">
        <v>522324.09160305344</v>
      </c>
      <c r="G12" s="15">
        <v>30187</v>
      </c>
      <c r="H12" s="3">
        <v>28964</v>
      </c>
      <c r="I12" s="16">
        <f t="shared" si="1"/>
        <v>95.948587140159674</v>
      </c>
      <c r="J12" s="16">
        <v>61.569198157995764</v>
      </c>
      <c r="K12" s="39">
        <v>552819.97918893874</v>
      </c>
      <c r="L12" s="37"/>
      <c r="AK12" s="4"/>
      <c r="AL12" s="24" t="s">
        <v>11</v>
      </c>
      <c r="AM12" s="24" t="s">
        <v>26</v>
      </c>
    </row>
    <row r="13" spans="1:39" s="5" customFormat="1" ht="18.75" customHeight="1" x14ac:dyDescent="0.2">
      <c r="A13" s="14" t="s">
        <v>18</v>
      </c>
      <c r="B13" s="15">
        <v>28549</v>
      </c>
      <c r="C13" s="3">
        <v>27722</v>
      </c>
      <c r="D13" s="16">
        <f t="shared" si="0"/>
        <v>97.103226032435458</v>
      </c>
      <c r="E13" s="16">
        <v>51.167891593936609</v>
      </c>
      <c r="F13" s="39">
        <v>425542.88723013323</v>
      </c>
      <c r="G13" s="15">
        <v>30207</v>
      </c>
      <c r="H13" s="3">
        <v>28910</v>
      </c>
      <c r="I13" s="16">
        <f t="shared" si="1"/>
        <v>95.706293243287973</v>
      </c>
      <c r="J13" s="16">
        <v>53.753416043918833</v>
      </c>
      <c r="K13" s="39">
        <v>466203.37734890805</v>
      </c>
      <c r="L13" s="37"/>
      <c r="AK13" s="26" t="s">
        <v>27</v>
      </c>
      <c r="AL13" s="15">
        <f>G8</f>
        <v>30063</v>
      </c>
      <c r="AM13" s="15">
        <f>H8</f>
        <v>29404</v>
      </c>
    </row>
    <row r="14" spans="1:39" s="5" customFormat="1" ht="18.75" customHeight="1" x14ac:dyDescent="0.2">
      <c r="A14" s="14" t="s">
        <v>19</v>
      </c>
      <c r="B14" s="15">
        <v>28549</v>
      </c>
      <c r="C14" s="3">
        <v>27842</v>
      </c>
      <c r="D14" s="16">
        <f t="shared" si="0"/>
        <v>97.523555991453293</v>
      </c>
      <c r="E14" s="16">
        <v>68.194649424883451</v>
      </c>
      <c r="F14" s="39">
        <v>588589.38307915756</v>
      </c>
      <c r="G14" s="15">
        <v>30207</v>
      </c>
      <c r="H14" s="3">
        <v>28820</v>
      </c>
      <c r="I14" s="16">
        <f t="shared" si="1"/>
        <v>95.408349058165314</v>
      </c>
      <c r="J14" s="16">
        <v>71.676325312282074</v>
      </c>
      <c r="K14" s="39">
        <v>640370.62560499052</v>
      </c>
      <c r="L14" s="37"/>
      <c r="AK14" s="26" t="s">
        <v>28</v>
      </c>
      <c r="AL14" s="15">
        <f>G9</f>
        <v>30063</v>
      </c>
      <c r="AM14" s="15">
        <f>H9</f>
        <v>29160</v>
      </c>
    </row>
    <row r="15" spans="1:39" s="5" customFormat="1" ht="18.75" customHeight="1" x14ac:dyDescent="0.2">
      <c r="A15" s="14" t="s">
        <v>20</v>
      </c>
      <c r="B15" s="15">
        <v>28629</v>
      </c>
      <c r="C15" s="3">
        <v>27978</v>
      </c>
      <c r="D15" s="16">
        <f t="shared" si="0"/>
        <v>97.726081944881059</v>
      </c>
      <c r="E15" s="16">
        <v>73.756760528139182</v>
      </c>
      <c r="F15" s="39">
        <v>639705.66027744627</v>
      </c>
      <c r="G15" s="15">
        <v>30341</v>
      </c>
      <c r="H15" s="3">
        <v>29044</v>
      </c>
      <c r="I15" s="16">
        <f t="shared" si="1"/>
        <v>95.725256253913855</v>
      </c>
      <c r="J15" s="16">
        <v>77.88149264876823</v>
      </c>
      <c r="K15" s="39">
        <v>701216.92247215554</v>
      </c>
      <c r="L15" s="37"/>
      <c r="AK15" s="26" t="s">
        <v>29</v>
      </c>
      <c r="AL15" s="15">
        <f>G10</f>
        <v>30181</v>
      </c>
      <c r="AM15" s="15">
        <f>H10</f>
        <v>29268</v>
      </c>
    </row>
    <row r="16" spans="1:39" s="5" customFormat="1" ht="18.75" customHeight="1" x14ac:dyDescent="0.2">
      <c r="A16" s="14" t="s">
        <v>21</v>
      </c>
      <c r="B16" s="15">
        <v>28629</v>
      </c>
      <c r="C16" s="3">
        <v>28045</v>
      </c>
      <c r="D16" s="16">
        <f t="shared" si="0"/>
        <v>97.96011037758916</v>
      </c>
      <c r="E16" s="16">
        <v>62.450661942024709</v>
      </c>
      <c r="F16" s="39">
        <v>525428.64424922492</v>
      </c>
      <c r="G16" s="15">
        <v>30823</v>
      </c>
      <c r="H16" s="3">
        <v>29526</v>
      </c>
      <c r="I16" s="16">
        <f t="shared" si="1"/>
        <v>95.792103299484154</v>
      </c>
      <c r="J16" s="16">
        <v>61.593878710410458</v>
      </c>
      <c r="K16" s="39">
        <v>545586.25884107372</v>
      </c>
      <c r="L16" s="37"/>
      <c r="AK16" s="26" t="s">
        <v>30</v>
      </c>
      <c r="AL16" s="15">
        <f>G11</f>
        <v>30187</v>
      </c>
      <c r="AM16" s="15">
        <f>H11</f>
        <v>29334</v>
      </c>
    </row>
    <row r="17" spans="1:39" s="5" customFormat="1" ht="18.75" customHeight="1" x14ac:dyDescent="0.2">
      <c r="A17" s="14" t="s">
        <v>22</v>
      </c>
      <c r="B17" s="15">
        <v>28647</v>
      </c>
      <c r="C17" s="3">
        <v>28155</v>
      </c>
      <c r="D17" s="16">
        <f t="shared" si="0"/>
        <v>98.282542674625617</v>
      </c>
      <c r="E17" s="16">
        <v>79.174362471815755</v>
      </c>
      <c r="F17" s="39">
        <v>691037.79437213147</v>
      </c>
      <c r="G17" s="15">
        <v>30885</v>
      </c>
      <c r="H17" s="3">
        <v>29588</v>
      </c>
      <c r="I17" s="16">
        <f t="shared" si="1"/>
        <v>95.800550429010841</v>
      </c>
      <c r="J17" s="16">
        <v>77.156575926236243</v>
      </c>
      <c r="K17" s="39">
        <v>707701.71823669807</v>
      </c>
      <c r="L17" s="37"/>
      <c r="AK17" s="26" t="s">
        <v>17</v>
      </c>
      <c r="AL17" s="15">
        <f>G12</f>
        <v>30187</v>
      </c>
      <c r="AM17" s="15">
        <f>H12</f>
        <v>28964</v>
      </c>
    </row>
    <row r="18" spans="1:39" s="5" customFormat="1" ht="18.75" customHeight="1" x14ac:dyDescent="0.2">
      <c r="A18" s="17" t="s">
        <v>23</v>
      </c>
      <c r="B18" s="15">
        <v>28995</v>
      </c>
      <c r="C18" s="3">
        <v>28259</v>
      </c>
      <c r="D18" s="16">
        <f t="shared" si="0"/>
        <v>97.461631315744086</v>
      </c>
      <c r="E18" s="16">
        <v>75.801974513548259</v>
      </c>
      <c r="F18" s="39">
        <v>642626.3993335081</v>
      </c>
      <c r="G18" s="15">
        <v>31423</v>
      </c>
      <c r="H18" s="3">
        <v>30082</v>
      </c>
      <c r="I18" s="16">
        <f t="shared" si="1"/>
        <v>95.732425293574778</v>
      </c>
      <c r="J18" s="16">
        <v>75.906749453834649</v>
      </c>
      <c r="K18" s="39">
        <v>685028.05112107622</v>
      </c>
      <c r="L18" s="37"/>
      <c r="AK18" s="26" t="s">
        <v>31</v>
      </c>
      <c r="AL18" s="15">
        <f>G13</f>
        <v>30207</v>
      </c>
      <c r="AM18" s="15">
        <f>H13</f>
        <v>28910</v>
      </c>
    </row>
    <row r="19" spans="1:39" s="5" customFormat="1" ht="18.75" customHeight="1" x14ac:dyDescent="0.2">
      <c r="A19" s="18" t="s">
        <v>24</v>
      </c>
      <c r="B19" s="19">
        <v>29977</v>
      </c>
      <c r="C19" s="20">
        <v>29326</v>
      </c>
      <c r="D19" s="21">
        <f t="shared" si="0"/>
        <v>97.828335056876938</v>
      </c>
      <c r="E19" s="21">
        <v>80.645161290322577</v>
      </c>
      <c r="F19" s="40">
        <v>733150</v>
      </c>
      <c r="G19" s="19">
        <v>31741</v>
      </c>
      <c r="H19" s="20">
        <v>30438</v>
      </c>
      <c r="I19" s="21">
        <f t="shared" si="1"/>
        <v>95.894899341545639</v>
      </c>
      <c r="J19" s="21">
        <v>79.717775810516628</v>
      </c>
      <c r="K19" s="40">
        <v>752199.39463735651</v>
      </c>
      <c r="L19" s="37"/>
      <c r="AK19" s="26" t="s">
        <v>32</v>
      </c>
      <c r="AL19" s="15">
        <f>G14</f>
        <v>30207</v>
      </c>
      <c r="AM19" s="15">
        <f>H14</f>
        <v>28820</v>
      </c>
    </row>
    <row r="20" spans="1:39" ht="18" customHeight="1" x14ac:dyDescent="0.2">
      <c r="A20" s="1" t="s">
        <v>0</v>
      </c>
      <c r="B20" s="22"/>
      <c r="C20" s="22"/>
      <c r="D20" s="23"/>
      <c r="G20" s="34"/>
      <c r="H20" s="37"/>
      <c r="I20" s="37"/>
      <c r="J20" s="37"/>
      <c r="K20" s="2" t="s">
        <v>25</v>
      </c>
      <c r="L20" s="37"/>
      <c r="AK20" s="26" t="s">
        <v>33</v>
      </c>
      <c r="AL20" s="15">
        <f>G15</f>
        <v>30341</v>
      </c>
      <c r="AM20" s="15">
        <f>H15</f>
        <v>29044</v>
      </c>
    </row>
    <row r="21" spans="1:39" ht="12.75" x14ac:dyDescent="0.2">
      <c r="A21" s="27"/>
      <c r="B21" s="22"/>
      <c r="C21" s="22"/>
      <c r="G21" s="34"/>
      <c r="H21" s="37"/>
      <c r="I21" s="37"/>
      <c r="J21" s="37"/>
      <c r="K21" s="37"/>
      <c r="L21" s="37"/>
      <c r="AK21" s="26" t="s">
        <v>34</v>
      </c>
      <c r="AL21" s="15">
        <f>G16</f>
        <v>30823</v>
      </c>
      <c r="AM21" s="15">
        <f>H16</f>
        <v>29526</v>
      </c>
    </row>
    <row r="22" spans="1:39" ht="12.75" x14ac:dyDescent="0.2">
      <c r="A22" s="27"/>
      <c r="B22" s="22"/>
      <c r="C22" s="22"/>
      <c r="G22" s="34"/>
      <c r="H22" s="37"/>
      <c r="I22" s="37"/>
      <c r="J22" s="37"/>
      <c r="K22" s="37"/>
      <c r="L22" s="37"/>
      <c r="AK22" s="26" t="s">
        <v>35</v>
      </c>
      <c r="AL22" s="15">
        <f>G17</f>
        <v>30885</v>
      </c>
      <c r="AM22" s="15">
        <f>H17</f>
        <v>29588</v>
      </c>
    </row>
    <row r="23" spans="1:39" ht="12.75" x14ac:dyDescent="0.2">
      <c r="A23" s="27"/>
      <c r="B23" s="22"/>
      <c r="C23" s="22"/>
      <c r="G23" s="34"/>
      <c r="H23" s="37"/>
      <c r="I23" s="37"/>
      <c r="J23" s="37"/>
      <c r="K23" s="37"/>
      <c r="L23" s="37"/>
      <c r="AK23" s="26" t="s">
        <v>36</v>
      </c>
      <c r="AL23" s="15">
        <f>G18</f>
        <v>31423</v>
      </c>
      <c r="AM23" s="15">
        <f>H18</f>
        <v>30082</v>
      </c>
    </row>
    <row r="24" spans="1:39" ht="12.75" x14ac:dyDescent="0.2">
      <c r="A24" s="27"/>
      <c r="B24" s="22"/>
      <c r="C24" s="22"/>
      <c r="G24" s="34"/>
      <c r="H24" s="37"/>
      <c r="I24" s="37"/>
      <c r="J24" s="37"/>
      <c r="K24" s="37"/>
      <c r="L24" s="37"/>
      <c r="AK24" s="26" t="s">
        <v>37</v>
      </c>
      <c r="AL24" s="15">
        <f>G19</f>
        <v>31741</v>
      </c>
      <c r="AM24" s="15">
        <f>H19</f>
        <v>30438</v>
      </c>
    </row>
    <row r="25" spans="1:39" x14ac:dyDescent="0.2">
      <c r="A25" s="27"/>
      <c r="B25" s="22"/>
      <c r="C25" s="22"/>
      <c r="G25" s="34"/>
      <c r="H25" s="37"/>
      <c r="I25" s="37"/>
      <c r="J25" s="37"/>
      <c r="K25" s="37"/>
      <c r="L25" s="37"/>
    </row>
    <row r="26" spans="1:39" ht="12.75" x14ac:dyDescent="0.2">
      <c r="A26" s="27"/>
      <c r="B26" s="22"/>
      <c r="C26" s="22"/>
      <c r="G26" s="36"/>
      <c r="H26" s="35"/>
      <c r="I26" s="35"/>
      <c r="J26" s="35"/>
      <c r="K26" s="35"/>
      <c r="L26" s="35"/>
    </row>
    <row r="27" spans="1:39" ht="12.75" x14ac:dyDescent="0.2">
      <c r="A27" s="27"/>
      <c r="B27" s="22"/>
      <c r="C27" s="22"/>
      <c r="G27" s="34"/>
      <c r="H27" s="35"/>
      <c r="I27" s="35"/>
      <c r="J27" s="35"/>
      <c r="K27" s="35"/>
      <c r="L27" s="35"/>
    </row>
    <row r="28" spans="1:39" ht="12.75" x14ac:dyDescent="0.2">
      <c r="A28" s="27"/>
      <c r="B28" s="22"/>
      <c r="C28" s="22"/>
      <c r="G28" s="34"/>
      <c r="H28" s="35"/>
      <c r="I28" s="35"/>
      <c r="J28" s="35"/>
      <c r="K28" s="35"/>
      <c r="L28" s="35"/>
    </row>
    <row r="29" spans="1:39" ht="12.75" x14ac:dyDescent="0.2">
      <c r="A29" s="27"/>
      <c r="B29" s="22"/>
      <c r="C29" s="22"/>
      <c r="G29" s="34"/>
      <c r="H29" s="35"/>
      <c r="I29" s="35"/>
      <c r="J29" s="35"/>
      <c r="K29" s="35"/>
      <c r="L29" s="35"/>
    </row>
    <row r="30" spans="1:39" ht="12.75" x14ac:dyDescent="0.2">
      <c r="A30" s="27"/>
      <c r="B30" s="22"/>
      <c r="C30" s="22"/>
      <c r="D30" s="25"/>
      <c r="G30" s="34"/>
      <c r="H30" s="35"/>
      <c r="I30" s="35"/>
      <c r="J30" s="35"/>
      <c r="K30" s="35"/>
      <c r="L30" s="35"/>
    </row>
    <row r="31" spans="1:39" ht="12.75" x14ac:dyDescent="0.2">
      <c r="A31" s="27"/>
      <c r="B31" s="28"/>
      <c r="C31" s="28"/>
      <c r="D31" s="29"/>
      <c r="G31" s="34"/>
      <c r="H31" s="35"/>
      <c r="I31" s="35"/>
      <c r="J31" s="35"/>
      <c r="K31" s="35"/>
      <c r="L31" s="35"/>
    </row>
    <row r="32" spans="1:39" ht="12.75" x14ac:dyDescent="0.2">
      <c r="A32" s="27"/>
      <c r="B32" s="30"/>
      <c r="C32" s="30"/>
      <c r="D32" s="30"/>
      <c r="E32" s="31"/>
      <c r="G32" s="34"/>
      <c r="H32" s="35"/>
      <c r="I32" s="35"/>
      <c r="J32" s="35"/>
      <c r="K32" s="35"/>
      <c r="L32" s="35"/>
    </row>
    <row r="33" spans="1:12" ht="12.75" x14ac:dyDescent="0.2">
      <c r="A33" s="27"/>
      <c r="B33" s="32"/>
      <c r="C33" s="32"/>
      <c r="D33" s="32"/>
      <c r="E33" s="31"/>
      <c r="G33" s="34"/>
      <c r="H33" s="35"/>
      <c r="I33" s="35"/>
      <c r="J33" s="35"/>
      <c r="K33" s="35"/>
      <c r="L33" s="35"/>
    </row>
    <row r="34" spans="1:12" ht="12.75" x14ac:dyDescent="0.2">
      <c r="A34" s="27"/>
      <c r="B34" s="32"/>
      <c r="C34" s="32"/>
      <c r="D34" s="32"/>
      <c r="E34" s="31"/>
      <c r="F34" s="31"/>
      <c r="G34" s="34"/>
      <c r="H34" s="35"/>
      <c r="I34" s="35"/>
      <c r="J34" s="35"/>
      <c r="K34" s="35"/>
      <c r="L34" s="35"/>
    </row>
    <row r="35" spans="1:12" ht="12.75" x14ac:dyDescent="0.2">
      <c r="B35" s="32"/>
      <c r="C35" s="32"/>
      <c r="D35" s="32"/>
      <c r="E35" s="31"/>
      <c r="F35" s="33"/>
      <c r="G35" s="34"/>
      <c r="H35" s="35"/>
      <c r="I35" s="35"/>
      <c r="J35" s="35"/>
      <c r="K35" s="35"/>
      <c r="L35" s="35"/>
    </row>
    <row r="36" spans="1:12" ht="12.75" x14ac:dyDescent="0.2">
      <c r="B36" s="32"/>
      <c r="C36" s="32"/>
      <c r="D36" s="32"/>
      <c r="E36" s="26"/>
      <c r="F36" s="31"/>
      <c r="G36" s="34"/>
      <c r="H36" s="35"/>
      <c r="I36" s="35"/>
      <c r="J36" s="35"/>
      <c r="K36" s="35"/>
      <c r="L36" s="35"/>
    </row>
    <row r="37" spans="1:12" ht="12.75" x14ac:dyDescent="0.2">
      <c r="B37" s="32"/>
      <c r="C37" s="32"/>
      <c r="D37" s="32"/>
      <c r="E37" s="26"/>
      <c r="G37" s="34"/>
      <c r="H37" s="35"/>
      <c r="I37" s="35"/>
      <c r="J37" s="35"/>
      <c r="K37" s="35"/>
      <c r="L37" s="35"/>
    </row>
    <row r="38" spans="1:12" x14ac:dyDescent="0.2">
      <c r="B38" s="32"/>
      <c r="C38" s="32"/>
      <c r="D38" s="32"/>
      <c r="E38" s="26"/>
    </row>
    <row r="39" spans="1:12" x14ac:dyDescent="0.2">
      <c r="B39" s="32"/>
      <c r="C39" s="32"/>
      <c r="D39" s="32"/>
      <c r="E39" s="26"/>
    </row>
    <row r="40" spans="1:12" x14ac:dyDescent="0.2">
      <c r="B40" s="32"/>
      <c r="C40" s="32"/>
      <c r="D40" s="32"/>
      <c r="E40" s="26"/>
    </row>
    <row r="41" spans="1:12" x14ac:dyDescent="0.2">
      <c r="B41" s="32"/>
      <c r="C41" s="32"/>
      <c r="D41" s="32"/>
      <c r="E41" s="26"/>
    </row>
    <row r="42" spans="1:12" x14ac:dyDescent="0.2">
      <c r="B42" s="32"/>
      <c r="C42" s="32"/>
      <c r="D42" s="32"/>
      <c r="E42" s="26"/>
    </row>
    <row r="43" spans="1:12" x14ac:dyDescent="0.2">
      <c r="B43" s="32"/>
      <c r="C43" s="32"/>
      <c r="D43" s="32"/>
      <c r="E43" s="26"/>
    </row>
    <row r="44" spans="1:12" x14ac:dyDescent="0.2">
      <c r="B44" s="32"/>
      <c r="C44" s="32"/>
      <c r="D44" s="32"/>
      <c r="E44" s="26"/>
    </row>
    <row r="45" spans="1:12" x14ac:dyDescent="0.2">
      <c r="B45" s="31"/>
      <c r="C45" s="31"/>
      <c r="D45" s="31"/>
      <c r="E45" s="26"/>
    </row>
    <row r="46" spans="1:12" x14ac:dyDescent="0.2">
      <c r="B46" s="31"/>
      <c r="C46" s="31"/>
      <c r="D46" s="31"/>
      <c r="E46" s="26"/>
    </row>
    <row r="47" spans="1:12" x14ac:dyDescent="0.2">
      <c r="E47" s="26"/>
    </row>
  </sheetData>
  <mergeCells count="5">
    <mergeCell ref="G4:K4"/>
    <mergeCell ref="A1:K1"/>
    <mergeCell ref="A2:K2"/>
    <mergeCell ref="A4:A6"/>
    <mergeCell ref="B4:F4"/>
  </mergeCells>
  <pageMargins left="0.7" right="0.7" top="0.75" bottom="0.75" header="0.3" footer="0.3"/>
  <pageSetup paperSize="9" scale="7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10.4</vt:lpstr>
      <vt:lpstr>'10.4'!Print_Area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2019-04-16T06:18:24Z</cp:lastPrinted>
  <dcterms:created xsi:type="dcterms:W3CDTF">2019-02-27T06:18:18Z</dcterms:created>
  <dcterms:modified xsi:type="dcterms:W3CDTF">2019-04-16T06:18:33Z</dcterms:modified>
</cp:coreProperties>
</file>