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X:\Dissemination\Publications\Statistical Year Book\YEARBOOK 2019\web\New folder\"/>
    </mc:Choice>
  </mc:AlternateContent>
  <bookViews>
    <workbookView xWindow="0" yWindow="0" windowWidth="28800" windowHeight="11430" tabRatio="688"/>
  </bookViews>
  <sheets>
    <sheet name="13.12" sheetId="26" r:id="rId1"/>
  </sheets>
  <definedNames>
    <definedName name="_xlnm.Print_Area" localSheetId="0">'13.12'!$A$1:$U$52</definedName>
  </definedNames>
  <calcPr calcId="162913"/>
</workbook>
</file>

<file path=xl/calcChain.xml><?xml version="1.0" encoding="utf-8"?>
<calcChain xmlns="http://schemas.openxmlformats.org/spreadsheetml/2006/main">
  <c r="S34" i="26" l="1"/>
  <c r="S9" i="26"/>
  <c r="S10" i="26"/>
  <c r="S11" i="26"/>
  <c r="S12" i="26"/>
  <c r="S13" i="26"/>
  <c r="S14" i="26"/>
  <c r="S15" i="26"/>
  <c r="S16" i="26"/>
  <c r="S17" i="26"/>
  <c r="S18" i="26"/>
  <c r="S19" i="26"/>
  <c r="S20" i="26"/>
  <c r="S21" i="26"/>
  <c r="S22" i="26"/>
  <c r="S23" i="26"/>
  <c r="S24" i="26"/>
  <c r="S25" i="26"/>
  <c r="S26" i="26"/>
  <c r="S27" i="26"/>
  <c r="S28" i="26"/>
  <c r="S29" i="26"/>
  <c r="S30" i="26"/>
  <c r="S31" i="26"/>
  <c r="S32" i="26"/>
  <c r="S33" i="26"/>
  <c r="S8" i="26"/>
  <c r="L34" i="26"/>
  <c r="J34" i="26"/>
  <c r="I34" i="26"/>
  <c r="H34" i="26"/>
  <c r="O32" i="26" s="1"/>
  <c r="G34" i="26"/>
  <c r="N34" i="26" s="1"/>
  <c r="F34" i="26"/>
  <c r="Q34" i="26" s="1"/>
  <c r="E34" i="26"/>
  <c r="D34" i="26"/>
  <c r="K34" i="26" s="1"/>
  <c r="C34" i="26"/>
  <c r="B34" i="26"/>
  <c r="R33" i="26"/>
  <c r="Q33" i="26"/>
  <c r="N33" i="26"/>
  <c r="M33" i="26"/>
  <c r="L33" i="26"/>
  <c r="J33" i="26"/>
  <c r="R32" i="26"/>
  <c r="Q32" i="26"/>
  <c r="N32" i="26"/>
  <c r="M32" i="26"/>
  <c r="L32" i="26"/>
  <c r="K32" i="26"/>
  <c r="J32" i="26"/>
  <c r="R31" i="26"/>
  <c r="Q31" i="26"/>
  <c r="P31" i="26"/>
  <c r="N31" i="26"/>
  <c r="M31" i="26"/>
  <c r="L31" i="26"/>
  <c r="K31" i="26"/>
  <c r="J31" i="26"/>
  <c r="R30" i="26"/>
  <c r="Q30" i="26"/>
  <c r="P30" i="26"/>
  <c r="N30" i="26"/>
  <c r="M30" i="26"/>
  <c r="L30" i="26"/>
  <c r="K30" i="26"/>
  <c r="J30" i="26"/>
  <c r="R29" i="26"/>
  <c r="Q29" i="26"/>
  <c r="N29" i="26"/>
  <c r="M29" i="26"/>
  <c r="L29" i="26"/>
  <c r="K29" i="26"/>
  <c r="J29" i="26"/>
  <c r="Q28" i="26"/>
  <c r="N28" i="26"/>
  <c r="M28" i="26"/>
  <c r="L28" i="26"/>
  <c r="K28" i="26"/>
  <c r="R27" i="26"/>
  <c r="Q27" i="26"/>
  <c r="N27" i="26"/>
  <c r="M27" i="26"/>
  <c r="L27" i="26"/>
  <c r="K27" i="26"/>
  <c r="J27" i="26"/>
  <c r="R26" i="26"/>
  <c r="Q26" i="26"/>
  <c r="O26" i="26"/>
  <c r="N26" i="26"/>
  <c r="M26" i="26"/>
  <c r="L26" i="26"/>
  <c r="K26" i="26"/>
  <c r="J26" i="26"/>
  <c r="R25" i="26"/>
  <c r="Q25" i="26"/>
  <c r="O25" i="26"/>
  <c r="N25" i="26"/>
  <c r="M25" i="26"/>
  <c r="L25" i="26"/>
  <c r="K25" i="26"/>
  <c r="J25" i="26"/>
  <c r="R24" i="26"/>
  <c r="Q24" i="26"/>
  <c r="P24" i="26"/>
  <c r="N24" i="26"/>
  <c r="M24" i="26"/>
  <c r="L24" i="26"/>
  <c r="K24" i="26"/>
  <c r="J24" i="26"/>
  <c r="Q23" i="26"/>
  <c r="P23" i="26"/>
  <c r="N23" i="26"/>
  <c r="M23" i="26"/>
  <c r="L23" i="26"/>
  <c r="K23" i="26"/>
  <c r="R22" i="26"/>
  <c r="Q22" i="26"/>
  <c r="N22" i="26"/>
  <c r="M22" i="26"/>
  <c r="L22" i="26"/>
  <c r="K22" i="26"/>
  <c r="J22" i="26"/>
  <c r="R21" i="26"/>
  <c r="Q21" i="26"/>
  <c r="P21" i="26"/>
  <c r="N21" i="26"/>
  <c r="M21" i="26"/>
  <c r="L21" i="26"/>
  <c r="K21" i="26"/>
  <c r="J21" i="26"/>
  <c r="R20" i="26"/>
  <c r="Q20" i="26"/>
  <c r="P20" i="26"/>
  <c r="O20" i="26"/>
  <c r="N20" i="26"/>
  <c r="M20" i="26"/>
  <c r="R19" i="26"/>
  <c r="Q19" i="26"/>
  <c r="O19" i="26"/>
  <c r="N19" i="26"/>
  <c r="M19" i="26"/>
  <c r="L19" i="26"/>
  <c r="K19" i="26"/>
  <c r="J19" i="26"/>
  <c r="R18" i="26"/>
  <c r="P18" i="26"/>
  <c r="O18" i="26"/>
  <c r="N18" i="26"/>
  <c r="R17" i="26"/>
  <c r="P17" i="26"/>
  <c r="O17" i="26"/>
  <c r="N17" i="26"/>
  <c r="M17" i="26"/>
  <c r="L17" i="26"/>
  <c r="K17" i="26"/>
  <c r="J17" i="26"/>
  <c r="R16" i="26"/>
  <c r="Q16" i="26"/>
  <c r="P16" i="26"/>
  <c r="O16" i="26"/>
  <c r="N16" i="26"/>
  <c r="M16" i="26"/>
  <c r="L16" i="26"/>
  <c r="K16" i="26"/>
  <c r="J16" i="26"/>
  <c r="R15" i="26"/>
  <c r="Q15" i="26"/>
  <c r="P15" i="26"/>
  <c r="O15" i="26"/>
  <c r="N15" i="26"/>
  <c r="M15" i="26"/>
  <c r="L15" i="26"/>
  <c r="K15" i="26"/>
  <c r="J15" i="26"/>
  <c r="Q14" i="26"/>
  <c r="P14" i="26"/>
  <c r="O14" i="26"/>
  <c r="N14" i="26"/>
  <c r="M14" i="26"/>
  <c r="L14" i="26"/>
  <c r="K14" i="26"/>
  <c r="Q13" i="26"/>
  <c r="P13" i="26"/>
  <c r="O13" i="26"/>
  <c r="N13" i="26"/>
  <c r="M13" i="26"/>
  <c r="L13" i="26"/>
  <c r="K13" i="26"/>
  <c r="R12" i="26"/>
  <c r="Q12" i="26"/>
  <c r="P12" i="26"/>
  <c r="O12" i="26"/>
  <c r="N12" i="26"/>
  <c r="M12" i="26"/>
  <c r="L12" i="26"/>
  <c r="K12" i="26"/>
  <c r="J12" i="26"/>
  <c r="R11" i="26"/>
  <c r="Q11" i="26"/>
  <c r="P11" i="26"/>
  <c r="O11" i="26"/>
  <c r="N11" i="26"/>
  <c r="M11" i="26"/>
  <c r="L11" i="26"/>
  <c r="K11" i="26"/>
  <c r="J11" i="26"/>
  <c r="R10" i="26"/>
  <c r="Q10" i="26"/>
  <c r="P10" i="26"/>
  <c r="O10" i="26"/>
  <c r="N10" i="26"/>
  <c r="M10" i="26"/>
  <c r="L10" i="26"/>
  <c r="K10" i="26"/>
  <c r="J10" i="26"/>
  <c r="Q9" i="26"/>
  <c r="P9" i="26"/>
  <c r="O9" i="26"/>
  <c r="N9" i="26"/>
  <c r="M9" i="26"/>
  <c r="L9" i="26"/>
  <c r="K9" i="26"/>
  <c r="R8" i="26"/>
  <c r="Q8" i="26"/>
  <c r="P8" i="26"/>
  <c r="O8" i="26"/>
  <c r="N8" i="26"/>
  <c r="M8" i="26"/>
  <c r="L8" i="26"/>
  <c r="K8" i="26"/>
  <c r="J8" i="26"/>
  <c r="O27" i="26" l="1"/>
  <c r="P32" i="26"/>
  <c r="O22" i="26"/>
  <c r="P27" i="26"/>
  <c r="O28" i="26"/>
  <c r="O29" i="26"/>
  <c r="O33" i="26"/>
  <c r="M34" i="26"/>
  <c r="P22" i="26"/>
  <c r="O23" i="26"/>
  <c r="O24" i="26"/>
  <c r="P28" i="26"/>
  <c r="P29" i="26"/>
  <c r="P33" i="26"/>
  <c r="O30" i="26"/>
  <c r="O34" i="26"/>
  <c r="P34" i="26"/>
  <c r="P25" i="26"/>
  <c r="O31" i="26"/>
  <c r="K33" i="26"/>
  <c r="R34" i="26"/>
  <c r="P19" i="26"/>
  <c r="O21" i="26"/>
  <c r="P26" i="26"/>
</calcChain>
</file>

<file path=xl/comments1.xml><?xml version="1.0" encoding="utf-8"?>
<comments xmlns="http://schemas.openxmlformats.org/spreadsheetml/2006/main">
  <authors>
    <author>Mariyam Jaidha</author>
  </authors>
  <commentList>
    <comment ref="H11" authorId="0" shapeId="0">
      <text>
        <r>
          <rPr>
            <sz val="9"/>
            <color indexed="81"/>
            <rFont val="Tahoma"/>
          </rPr>
          <t xml:space="preserve">
Tourism license fees taken under MOU between MIRA and MoT</t>
        </r>
      </text>
    </comment>
    <comment ref="A41" authorId="0" shapeId="0">
      <text>
        <r>
          <rPr>
            <sz val="9"/>
            <color indexed="81"/>
            <rFont val="Tahoma"/>
            <family val="2"/>
          </rPr>
          <t xml:space="preserve">
highlighted royalties were not taken from 2013 - 2018</t>
        </r>
      </text>
    </comment>
    <comment ref="A42" authorId="0" shapeId="0">
      <text>
        <r>
          <rPr>
            <sz val="9"/>
            <color indexed="81"/>
            <rFont val="Tahoma"/>
            <family val="2"/>
          </rPr>
          <t xml:space="preserve">
nothing auctioned from 2012 - 2018</t>
        </r>
      </text>
    </comment>
  </commentList>
</comments>
</file>

<file path=xl/sharedStrings.xml><?xml version="1.0" encoding="utf-8"?>
<sst xmlns="http://schemas.openxmlformats.org/spreadsheetml/2006/main" count="95" uniqueCount="88">
  <si>
    <t>ގްރީން ޓެކްސް</t>
  </si>
  <si>
    <t>-</t>
  </si>
  <si>
    <t>ތަފްސީލު</t>
  </si>
  <si>
    <t>Description</t>
  </si>
  <si>
    <t>Revenue collected (MVR)</t>
  </si>
  <si>
    <t>Percentage shares</t>
  </si>
  <si>
    <t>Percentage change over 2014</t>
  </si>
  <si>
    <t>Percentage change over 2016</t>
  </si>
  <si>
    <t>ލިބުނު އާމްދަނީ (ރުފިޔާއިން)</t>
  </si>
  <si>
    <t>cniawtcaws ctogWviawfiheb</t>
  </si>
  <si>
    <t>2014 އާއި އަޅާބަލާއިރު 2015 ގައި އިތުރުވި މިންވަރު (%)</t>
  </si>
  <si>
    <t>2016 އާއި އަޅާބަލާއިރު 2017 ގައި އިތުރުވި މިންވަރު (%)</t>
  </si>
  <si>
    <t>2015*</t>
  </si>
  <si>
    <t>2016*</t>
  </si>
  <si>
    <t xml:space="preserve">Airport Service Charge
</t>
  </si>
  <si>
    <t>އެއަރޕޯޓް ސަރވިސް ޗާޖް</t>
  </si>
  <si>
    <t>Airport Development Fee***</t>
  </si>
  <si>
    <t>އެއަރޕޯޓް ޑިވެލޮޕްމަންޓް ފީ</t>
  </si>
  <si>
    <t xml:space="preserve">Bank Profit Tax
</t>
  </si>
  <si>
    <t>ބެންކް ޕްރޮފިޓް ޓެކްސް</t>
  </si>
  <si>
    <r>
      <t>Business Permits</t>
    </r>
    <r>
      <rPr>
        <vertAlign val="superscript"/>
        <sz val="10"/>
        <rFont val="Calibri"/>
        <family val="2"/>
        <scheme val="minor"/>
      </rPr>
      <t>1</t>
    </r>
    <r>
      <rPr>
        <sz val="10"/>
        <rFont val="Calibri"/>
        <family val="2"/>
        <scheme val="minor"/>
      </rPr>
      <t xml:space="preserve">
</t>
    </r>
  </si>
  <si>
    <r>
      <t>ބިމުގެ ކުލި</t>
    </r>
    <r>
      <rPr>
        <vertAlign val="superscript"/>
        <sz val="10"/>
        <rFont val="Faruma"/>
      </rPr>
      <t>1</t>
    </r>
  </si>
  <si>
    <t xml:space="preserve">Business Profit Tax
</t>
  </si>
  <si>
    <t>ވިޔަފާރި ފައިދާއިން ނެގޭ ޓެކްސް</t>
  </si>
  <si>
    <t>Construction Period Extension Fee***</t>
  </si>
  <si>
    <t>ކޮންސްޓްރަކްޝަން ޕީރިއަޑް އިތުރުކުރުމުގެ ފީ</t>
  </si>
  <si>
    <t>Corporate Social Responsibility Fee***</t>
  </si>
  <si>
    <t>ކޯޕްރޭޓް ސޯޝަލް ރެސްޕޮންސިބިލިޓީ ފީ</t>
  </si>
  <si>
    <t xml:space="preserve">Fines
</t>
  </si>
  <si>
    <t>ޖޫރިމަނާ</t>
  </si>
  <si>
    <t xml:space="preserve">Goods and Services Tax
</t>
  </si>
  <si>
    <t>މުދަލާއި ޚިދުމަތުގެ އަގުން ނެގޭ ޓެކްސް</t>
  </si>
  <si>
    <t>Green Tax</t>
  </si>
  <si>
    <t>Remittance Tax**</t>
  </si>
  <si>
    <t>ރެމިޓެންސް ޓެކްސް</t>
  </si>
  <si>
    <r>
      <t>Land Rent</t>
    </r>
    <r>
      <rPr>
        <vertAlign val="superscript"/>
        <sz val="10"/>
        <rFont val="Calibri"/>
        <family val="2"/>
        <scheme val="minor"/>
      </rPr>
      <t>2</t>
    </r>
    <r>
      <rPr>
        <sz val="10"/>
        <rFont val="Calibri"/>
        <family val="2"/>
        <scheme val="minor"/>
      </rPr>
      <t xml:space="preserve">
</t>
    </r>
  </si>
  <si>
    <r>
      <t>ބިމުގެ ކުލި</t>
    </r>
    <r>
      <rPr>
        <vertAlign val="superscript"/>
        <sz val="9.5"/>
        <rFont val="Faruma"/>
      </rPr>
      <t>2</t>
    </r>
  </si>
  <si>
    <t>Land Acquisition and Conversion Fee</t>
  </si>
  <si>
    <t>ބިން ވިއްކުމާއި ބިން ބަދަލުކުރުމުގެ ފީ</t>
  </si>
  <si>
    <t xml:space="preserve">Land Sales Tax
</t>
  </si>
  <si>
    <t>ބިން ވިއްކުމަށް ނެގޭ ޓެކްސް</t>
  </si>
  <si>
    <t xml:space="preserve">Lease  Period Extension
</t>
  </si>
  <si>
    <t>ކުލީގެ މުއްދަތު އިތުރުކުރުން</t>
  </si>
  <si>
    <t>Ownership Transfer Tax***</t>
  </si>
  <si>
    <t>އޯނަރޝިޕް ޓްރާންސްފަރ ޓެކްސް</t>
  </si>
  <si>
    <t xml:space="preserve">Resident Permit
</t>
  </si>
  <si>
    <t>ރެސިޑެންޓް ޕަރމިޓް</t>
  </si>
  <si>
    <t xml:space="preserve">Revenue Stamp
</t>
  </si>
  <si>
    <t>ރެވެނިއު ސްޓޭމްޕް</t>
  </si>
  <si>
    <r>
      <t>Royalties</t>
    </r>
    <r>
      <rPr>
        <vertAlign val="superscript"/>
        <sz val="10"/>
        <rFont val="Calibri"/>
        <family val="2"/>
        <scheme val="minor"/>
      </rPr>
      <t>3</t>
    </r>
    <r>
      <rPr>
        <sz val="10"/>
        <rFont val="Calibri"/>
        <family val="2"/>
        <scheme val="minor"/>
      </rPr>
      <t xml:space="preserve">
</t>
    </r>
  </si>
  <si>
    <r>
      <t>ރޯޔަލްޓީ</t>
    </r>
    <r>
      <rPr>
        <vertAlign val="superscript"/>
        <sz val="9.5"/>
        <rFont val="Faruma"/>
      </rPr>
      <t>3</t>
    </r>
  </si>
  <si>
    <r>
      <t>Sale of Capital Assets</t>
    </r>
    <r>
      <rPr>
        <vertAlign val="superscript"/>
        <sz val="10"/>
        <rFont val="Calibri"/>
        <family val="2"/>
        <scheme val="minor"/>
      </rPr>
      <t>4</t>
    </r>
    <r>
      <rPr>
        <sz val="10"/>
        <rFont val="Calibri"/>
        <family val="2"/>
        <scheme val="minor"/>
      </rPr>
      <t xml:space="preserve">
</t>
    </r>
  </si>
  <si>
    <r>
      <t>ހަރުމުދާ ވިއްކައިގެން ލިބޭ ފައިސާ</t>
    </r>
    <r>
      <rPr>
        <vertAlign val="superscript"/>
        <sz val="9.5"/>
        <rFont val="Faruma"/>
      </rPr>
      <t>4</t>
    </r>
  </si>
  <si>
    <t>Tourism Administration Fee***</t>
  </si>
  <si>
    <t>ޓޫރިޒަމް އެޑްމިނިސްޓްރޭޝަން ފީ</t>
  </si>
  <si>
    <t xml:space="preserve">Tourism Land Rent
</t>
  </si>
  <si>
    <t>ޓޫރިޒަމް ލޭންޑް ރެންޓް</t>
  </si>
  <si>
    <t xml:space="preserve">Tourism Tax
</t>
  </si>
  <si>
    <t>ޓޫރިޒަމް ޓެކްސް</t>
  </si>
  <si>
    <t xml:space="preserve">Vehicle Fee
</t>
  </si>
  <si>
    <t xml:space="preserve"> އުޅަނދުފަހަރުގެ ފީ</t>
  </si>
  <si>
    <t xml:space="preserve">Vessels Fee
</t>
  </si>
  <si>
    <t xml:space="preserve"> ކަނޑުގައި ދުއްވާ އުޅަނދުފަހަރުގެ ފީ</t>
  </si>
  <si>
    <r>
      <t>Others</t>
    </r>
    <r>
      <rPr>
        <vertAlign val="superscript"/>
        <sz val="10"/>
        <rFont val="Calibri"/>
        <family val="2"/>
        <scheme val="minor"/>
      </rPr>
      <t>5</t>
    </r>
  </si>
  <si>
    <t>އެހެނިހެން</t>
  </si>
  <si>
    <t>Total</t>
  </si>
  <si>
    <t>ޖުމްލަ</t>
  </si>
  <si>
    <t>Note:</t>
  </si>
  <si>
    <t>*** Airport Development Fee, Construction Period Extension Fee, Corporate Social Responsibility Fee, Tourism Administration Fee, Ownership Transfer Tax added</t>
  </si>
  <si>
    <t>** Remittance Tax added by MIRA</t>
  </si>
  <si>
    <r>
      <rPr>
        <vertAlign val="superscript"/>
        <sz val="10"/>
        <color theme="1"/>
        <rFont val="Calibri"/>
        <family val="2"/>
        <scheme val="minor"/>
      </rPr>
      <t>2</t>
    </r>
    <r>
      <rPr>
        <sz val="10"/>
        <color theme="1"/>
        <rFont val="Calibri"/>
        <family val="2"/>
        <scheme val="minor"/>
      </rPr>
      <t xml:space="preserve"> Land Rent: Uninhabited Islands Rent, Government Buildings Rent, Commercial Land Rent, Rent from Land for Industry, Longterm Agricultural Leased Islands Rent, Rent from Floating Jetty, Uninhabited Islands Administration Fee</t>
    </r>
  </si>
  <si>
    <r>
      <rPr>
        <vertAlign val="superscript"/>
        <sz val="10"/>
        <color theme="1"/>
        <rFont val="Calibri"/>
        <family val="2"/>
        <scheme val="minor"/>
      </rPr>
      <t>5</t>
    </r>
    <r>
      <rPr>
        <sz val="10"/>
        <color theme="1"/>
        <rFont val="Calibri"/>
        <family val="2"/>
        <scheme val="minor"/>
      </rPr>
      <t xml:space="preserve"> Others: Reimbursements from Previous Year's Budget, Other Fees and Charges (latter part added by MIRA)</t>
    </r>
  </si>
  <si>
    <t>Source: Maldives Inland Revenue Authority</t>
  </si>
  <si>
    <t>ވިޔަފާރި ހުއްދަ: ކުންފުނިތަކުގެ އަހަރީ ފީ، ރެސްޓޯރަންޓް، ކެފޭ އަދި ކެންޓީންތަކުގެ ވިޔަފާރި ފީ، ފްލެޓް ބެލެހެއްޓުމުގެ އަގު ، ޕާޓްނާޝިޕް އަހަރީ ފީ، އިމްޕޯޓް ވިޔަފާރި ފީ، ކޯޕަރޭޓިވް ސޮސައިޓީ ރެޖިސްޓްރޭޝަން ފީ، ޓްރޭޑް ރަޖިސްޓްރީ ފީ، ފޮރިން އިންވެސްޓްމަންޓް އެޑްމިނިސްޓްރޭޝަން ފީ، ކުންފުނި ރަޖިސްޓްރީ ކުރުމުގެ ފީ، ބިދޭސީން ވިޔަފާރި ކުރުމުގެ ހުއްދަ، ސެކިއުރިޓީ ފާސް ފީ، ޑައިވް ސްކޫލް ރަޖިސްޓްރޭޝަން ފީ، ގެސްޓް ހައުސް ރަޖިސްޓްރޭޝަން ފީ، އެހެނިހެން ރަޖިސްޓްރޭޝަން އަދި ލައިސަންސް ފީތައް، ޓޫރިސްޓް އުޅަދުގެ ރަޖިސްޓްރޭޝަން ފީ، ބޭންކް މޯގޭޖް ރަޖިސްޓްރޭޝަން ފީ، ސޭލް އޮފް ޓެންޑަރ ޑޮކިއުމެންޓްސް</t>
  </si>
  <si>
    <r>
      <rPr>
        <sz val="10"/>
        <color theme="1"/>
        <rFont val="Faruma"/>
      </rPr>
      <t xml:space="preserve">ބިމުގެ ކުލި: ގޮއިފާލައްބަ، ހިންނަ ފަދަ ތަންތަނުގެ ވަރުވާ، ސަރުކާރު އިމާރާތްތަކުގެ ކުލި، ވިޔަފާރިކުރުމަށް ދޫކުރެވިފައިވާ ބިންބިމުގެ ކުލި، ސިނާޢީ މަސައްކަތްތަކަށް ދޫކުރެވިފައިވާ ބިމުގެ ކުލި، ދަނޑުވެރިކަމަށް ދޫކުރެވިފައިވާ ރަށްރަށުގެ ކުލި، ފްލޯޓިންގ ޖެޓީގެ ކުލި، ފަޅުރަށްރަށް ބެލެހެއްޓުމުގެ ފީ   </t>
    </r>
    <r>
      <rPr>
        <sz val="10"/>
        <color theme="1"/>
        <rFont val="Calibri"/>
        <family val="2"/>
        <scheme val="minor"/>
      </rPr>
      <t xml:space="preserve"> </t>
    </r>
  </si>
  <si>
    <t>މަޢުލޫމާތު ދެއްވި ފަރާތް: މޯލްޑިވްސް އިންލަންޑް ރެވެނިއު އޮތޯރިޓީ</t>
  </si>
  <si>
    <t>Figures as at data dissemination date, ie: 22 February 2018</t>
  </si>
  <si>
    <t>Percentage change over 2017</t>
  </si>
  <si>
    <t>2017 އާއި އަޅާބަލާއިރު 2018 ގައި އިތުރުވި މިންވަރު (%)</t>
  </si>
  <si>
    <t>ތާވަލު 13.12: ޢާމްދަނީގެ ގޮތުގައި ލިބުނު ފައިސާ އެކި ބައިތަކަށް، 2013 - 2018</t>
  </si>
  <si>
    <t>Table 13.12: REVENUE COLLECTED BY MAJOR CATEGORIES, 2013 - 2018</t>
  </si>
  <si>
    <t>* 2017 figures are revised by MIRA</t>
  </si>
  <si>
    <r>
      <rPr>
        <vertAlign val="superscript"/>
        <sz val="10"/>
        <rFont val="Calibri"/>
        <family val="2"/>
        <scheme val="minor"/>
      </rPr>
      <t xml:space="preserve">1 </t>
    </r>
    <r>
      <rPr>
        <sz val="10"/>
        <rFont val="Calibri"/>
        <family val="2"/>
        <scheme val="minor"/>
      </rPr>
      <t>Business Permits: Company Annual Fee, Restaurant, Café, Canteen Fee, Flat Maintanance Fee, Partnership Fees, Import Trade Fee, Co-operative Society Fees, Trade Registry Fee, Foreign Investment Administration Annual Fee, Company Registration Fee, Foreign Business Fee, Sole Traders Registration Fee, Sale of Pass, Dive School Registration Fee, Guest Hourse Registration Fee, Other Registration &amp; License Fees, Motorvehicle &amp; Vessel Registration Fee, Bank Mortgage Registration Fee, Sale of Tender Documents</t>
    </r>
  </si>
  <si>
    <r>
      <rPr>
        <vertAlign val="superscript"/>
        <sz val="10"/>
        <color theme="1"/>
        <rFont val="Calibri"/>
        <family val="2"/>
        <scheme val="minor"/>
      </rPr>
      <t>3</t>
    </r>
    <r>
      <rPr>
        <sz val="10"/>
        <color theme="1"/>
        <rFont val="Calibri"/>
        <family val="2"/>
        <scheme val="minor"/>
      </rPr>
      <t xml:space="preserve"> Royalties: Duty Free Royalty,</t>
    </r>
    <r>
      <rPr>
        <sz val="10"/>
        <color rgb="FFC00000"/>
        <rFont val="Calibri"/>
        <family val="2"/>
        <scheme val="minor"/>
      </rPr>
      <t xml:space="preserve"> Foreign Investment Royalty, Fishing Royalty,</t>
    </r>
    <r>
      <rPr>
        <sz val="10"/>
        <color theme="1"/>
        <rFont val="Calibri"/>
        <family val="2"/>
        <scheme val="minor"/>
      </rPr>
      <t xml:space="preserve"> Fuel re-export Royalty,</t>
    </r>
    <r>
      <rPr>
        <sz val="10"/>
        <color rgb="FFC00000"/>
        <rFont val="Calibri"/>
        <family val="2"/>
        <scheme val="minor"/>
      </rPr>
      <t xml:space="preserve"> Re-Export Royalty</t>
    </r>
    <r>
      <rPr>
        <sz val="10"/>
        <color theme="1"/>
        <rFont val="Calibri"/>
        <family val="2"/>
        <scheme val="minor"/>
      </rPr>
      <t xml:space="preserve">, Yellowfin Tuna Export Royalty, </t>
    </r>
    <r>
      <rPr>
        <sz val="10"/>
        <color rgb="FFC00000"/>
        <rFont val="Calibri"/>
        <family val="2"/>
        <scheme val="minor"/>
      </rPr>
      <t>Skipjack Industry Royalty</t>
    </r>
  </si>
  <si>
    <r>
      <rPr>
        <vertAlign val="superscript"/>
        <sz val="10"/>
        <color theme="1"/>
        <rFont val="Calibri"/>
        <family val="2"/>
        <scheme val="minor"/>
      </rPr>
      <t>4</t>
    </r>
    <r>
      <rPr>
        <sz val="10"/>
        <color theme="1"/>
        <rFont val="Calibri"/>
        <family val="2"/>
        <scheme val="minor"/>
      </rPr>
      <t xml:space="preserve"> Sale of Capital Assets: </t>
    </r>
    <r>
      <rPr>
        <sz val="10"/>
        <color rgb="FFC00000"/>
        <rFont val="Calibri"/>
        <family val="2"/>
        <scheme val="minor"/>
      </rPr>
      <t>Sale of Items At Auction</t>
    </r>
    <r>
      <rPr>
        <sz val="10"/>
        <color theme="1"/>
        <rFont val="Calibri"/>
        <family val="2"/>
        <scheme val="minor"/>
      </rPr>
      <t>, Sale of Government Buildings, Sale of Government Lands</t>
    </r>
  </si>
  <si>
    <r>
      <t xml:space="preserve">ރޯޔަލްޓީ: ޑިއުޓީ ފްރީ ޝޮޕްގެ ރޯޔަލްޓީ، </t>
    </r>
    <r>
      <rPr>
        <sz val="10"/>
        <color rgb="FFC00000"/>
        <rFont val="Faruma"/>
      </rPr>
      <t>ބިދޭސީން ކުރާ ވިޔަފާރިގެ ރޯޔަލްޓީ، ބިދޭސީން ކުރާ މަސްވެރިކަމުގެ ރޯޔަލްޓީ، ގާމެންޓް އިންޑަސްޓްރީގެ ރޯޔަލްޓީ، ބުލިއަން ރޯޔަލްޓީ،</t>
    </r>
    <r>
      <rPr>
        <sz val="10"/>
        <rFont val="Faruma"/>
      </rPr>
      <t xml:space="preserve"> ފިއުލް ރީއެކްސްޕޯޓް ރޯޔަލްޓީ، </t>
    </r>
    <r>
      <rPr>
        <sz val="10"/>
        <color rgb="FFC00000"/>
        <rFont val="Faruma"/>
      </rPr>
      <t>ރީއެކްސްޕޯޓް ރޯޔަލްޓީ،</t>
    </r>
    <r>
      <rPr>
        <sz val="10"/>
        <rFont val="Faruma"/>
      </rPr>
      <t xml:space="preserve"> ބޮޑު ކަންނެލީގެ އެކްސްޕޯޓް ރޯޔަލްޓީ، </t>
    </r>
    <r>
      <rPr>
        <sz val="10"/>
        <color rgb="FFC00000"/>
        <rFont val="Faruma"/>
      </rPr>
      <t>މަސް އެކްސްޕޯޓް ކުރުމުގެ ރޯޔަލްޓީ</t>
    </r>
  </si>
  <si>
    <r>
      <t xml:space="preserve">ހަރުމުދާ ވިއްކައިގެން ލިބޭ ފައިސާ: </t>
    </r>
    <r>
      <rPr>
        <sz val="10"/>
        <color rgb="FFC00000"/>
        <rFont val="Faruma"/>
      </rPr>
      <t>ނީލަމުގައި ތަކެތި ވިއްކައިގެން ލިބޭ،</t>
    </r>
    <r>
      <rPr>
        <sz val="10"/>
        <rFont val="Faruma"/>
      </rPr>
      <t xml:space="preserve"> ސަރުކާރުގެ އިމާރާތް ވިއްކި، ސަރުކާރުގެ ބިން ވިއްކި</t>
    </r>
  </si>
  <si>
    <t>އެހެނިހެން: ކުރީ އަހަރުގެ ބަޖެޓުން އަނބުރާ ލިބޭ ފައިސާ، އެހެނިހެން ފީ އަދި ޗާޖު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</si>
</sst>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5" formatCode="#,##0.0"/>
    <numFmt numFmtId="168" formatCode="0.0"/>
    <numFmt numFmtId="170" formatCode="_-* #,##0.00_-;\-* #,##0.00_-;_-* &quot;-&quot;??_-;_-@_-"/>
    <numFmt numFmtId="171" formatCode="#,##0.00\ ;&quot; (&quot;#,##0.00\);&quot; -&quot;#\ ;@\ "/>
    <numFmt numFmtId="173" formatCode="_(* #,##0_);_(* \(#,##0\);_(* &quot;-&quot;??_);_(@_)"/>
    <numFmt numFmtId="174" formatCode="#,##0_);\-#,##0"/>
  </numFmts>
  <fonts count="35" x14ac:knownFonts="1">
    <font>
      <sz val="11"/>
      <color theme="1"/>
      <name val="Calibri"/>
      <family val="2"/>
      <scheme val="minor"/>
    </font>
    <font>
      <sz val="11"/>
      <color theme="1"/>
      <name val="Calibri"/>
      <family val="2"/>
      <scheme val="minor"/>
    </font>
    <font>
      <sz val="10"/>
      <name val="Arial"/>
      <family val="2"/>
    </font>
    <font>
      <sz val="10"/>
      <name val="MS Sans Serif"/>
      <family val="2"/>
    </font>
    <font>
      <sz val="9"/>
      <name val="Calibri"/>
      <family val="2"/>
      <scheme val="minor"/>
    </font>
    <font>
      <sz val="10"/>
      <name val="Garamond"/>
      <family val="1"/>
    </font>
    <font>
      <b/>
      <sz val="10"/>
      <color theme="1"/>
      <name val="Calibri"/>
      <family val="2"/>
      <scheme val="minor"/>
    </font>
    <font>
      <sz val="11"/>
      <color indexed="8"/>
      <name val="Calibri"/>
      <family val="2"/>
    </font>
    <font>
      <b/>
      <i/>
      <strike/>
      <u/>
      <sz val="10"/>
      <color indexed="8"/>
      <name val="Arial"/>
      <family val="2"/>
    </font>
    <font>
      <sz val="10"/>
      <color theme="1"/>
      <name val="Calibri"/>
      <family val="2"/>
      <scheme val="minor"/>
    </font>
    <font>
      <sz val="10"/>
      <color theme="1"/>
      <name val="Faruma"/>
    </font>
    <font>
      <sz val="9"/>
      <color theme="1"/>
      <name val="Faruma"/>
    </font>
    <font>
      <i/>
      <sz val="10"/>
      <color theme="1"/>
      <name val="Calibri"/>
      <family val="2"/>
      <scheme val="minor"/>
    </font>
    <font>
      <sz val="10"/>
      <color indexed="8"/>
      <name val="Arial"/>
      <family val="2"/>
    </font>
    <font>
      <sz val="10"/>
      <name val="Calibri"/>
      <family val="2"/>
      <scheme val="minor"/>
    </font>
    <font>
      <vertAlign val="superscript"/>
      <sz val="10"/>
      <name val="Calibri"/>
      <family val="2"/>
      <scheme val="minor"/>
    </font>
    <font>
      <sz val="11"/>
      <name val="Calibri"/>
      <family val="2"/>
      <scheme val="minor"/>
    </font>
    <font>
      <b/>
      <sz val="11"/>
      <name val="Faruma"/>
    </font>
    <font>
      <b/>
      <sz val="12"/>
      <name val="Calibri"/>
      <family val="2"/>
      <scheme val="minor"/>
    </font>
    <font>
      <sz val="8"/>
      <name val="Calibri"/>
      <family val="2"/>
      <scheme val="minor"/>
    </font>
    <font>
      <b/>
      <sz val="10"/>
      <name val="Calibri"/>
      <family val="2"/>
      <scheme val="minor"/>
    </font>
    <font>
      <b/>
      <sz val="10"/>
      <name val="Faruma"/>
    </font>
    <font>
      <b/>
      <sz val="9"/>
      <name val="Faruma"/>
    </font>
    <font>
      <b/>
      <sz val="9"/>
      <name val="A_Faseyha"/>
    </font>
    <font>
      <sz val="10"/>
      <name val="Faruma"/>
    </font>
    <font>
      <vertAlign val="superscript"/>
      <sz val="10"/>
      <name val="Faruma"/>
    </font>
    <font>
      <sz val="9.5"/>
      <name val="Faruma"/>
    </font>
    <font>
      <sz val="10.5"/>
      <name val="Calibri"/>
      <family val="2"/>
      <scheme val="minor"/>
    </font>
    <font>
      <vertAlign val="superscript"/>
      <sz val="9.5"/>
      <name val="Faruma"/>
    </font>
    <font>
      <b/>
      <sz val="11"/>
      <name val="Calibri"/>
      <family val="2"/>
      <scheme val="minor"/>
    </font>
    <font>
      <vertAlign val="superscript"/>
      <sz val="10"/>
      <color theme="1"/>
      <name val="Calibri"/>
      <family val="2"/>
      <scheme val="minor"/>
    </font>
    <font>
      <sz val="9"/>
      <color indexed="81"/>
      <name val="Tahoma"/>
      <family val="2"/>
    </font>
    <font>
      <sz val="10"/>
      <color rgb="FFC00000"/>
      <name val="Calibri"/>
      <family val="2"/>
      <scheme val="minor"/>
    </font>
    <font>
      <sz val="10"/>
      <color rgb="FFC00000"/>
      <name val="Faruma"/>
    </font>
    <font>
      <sz val="9"/>
      <color indexed="81"/>
      <name val="Tahoma"/>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thin">
        <color indexed="64"/>
      </bottom>
      <diagonal/>
    </border>
    <border>
      <left/>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style="hair">
        <color indexed="64"/>
      </bottom>
      <diagonal/>
    </border>
    <border>
      <left/>
      <right/>
      <top style="thin">
        <color indexed="64"/>
      </top>
      <bottom style="thin">
        <color indexed="64"/>
      </bottom>
      <diagonal/>
    </border>
    <border>
      <left/>
      <right/>
      <top style="hair">
        <color indexed="64"/>
      </top>
      <bottom style="thin">
        <color indexed="64"/>
      </bottom>
      <diagonal/>
    </border>
    <border>
      <left/>
      <right style="hair">
        <color indexed="64"/>
      </right>
      <top style="thin">
        <color auto="1"/>
      </top>
      <bottom style="hair">
        <color indexed="64"/>
      </bottom>
      <diagonal/>
    </border>
    <border>
      <left style="hair">
        <color indexed="64"/>
      </left>
      <right/>
      <top style="thin">
        <color auto="1"/>
      </top>
      <bottom style="hair">
        <color theme="1"/>
      </bottom>
      <diagonal/>
    </border>
    <border>
      <left/>
      <right/>
      <top style="thin">
        <color auto="1"/>
      </top>
      <bottom style="hair">
        <color theme="1"/>
      </bottom>
      <diagonal/>
    </border>
    <border>
      <left style="hair">
        <color indexed="64"/>
      </left>
      <right/>
      <top style="hair">
        <color theme="1"/>
      </top>
      <bottom style="thin">
        <color auto="1"/>
      </bottom>
      <diagonal/>
    </border>
    <border>
      <left/>
      <right/>
      <top style="hair">
        <color theme="1"/>
      </top>
      <bottom style="thin">
        <color indexed="64"/>
      </bottom>
      <diagonal/>
    </border>
    <border>
      <left/>
      <right style="hair">
        <color indexed="64"/>
      </right>
      <top style="thin">
        <color indexed="64"/>
      </top>
      <bottom style="thin">
        <color indexed="64"/>
      </bottom>
      <diagonal/>
    </border>
    <border>
      <left/>
      <right style="hair">
        <color indexed="64"/>
      </right>
      <top style="thin">
        <color auto="1"/>
      </top>
      <bottom style="hair">
        <color theme="1"/>
      </bottom>
      <diagonal/>
    </border>
    <border>
      <left/>
      <right style="hair">
        <color indexed="64"/>
      </right>
      <top style="hair">
        <color theme="1"/>
      </top>
      <bottom style="thin">
        <color indexed="64"/>
      </bottom>
      <diagonal/>
    </border>
  </borders>
  <cellStyleXfs count="11">
    <xf numFmtId="0" fontId="0" fillId="0" borderId="0"/>
    <xf numFmtId="43" fontId="1" fillId="0" borderId="0" applyFont="0" applyFill="0" applyBorder="0" applyAlignment="0" applyProtection="0"/>
    <xf numFmtId="0" fontId="2" fillId="0" borderId="0"/>
    <xf numFmtId="170" fontId="1" fillId="0" borderId="0" applyFont="0" applyFill="0" applyBorder="0" applyAlignment="0" applyProtection="0"/>
    <xf numFmtId="0" fontId="7" fillId="0" borderId="0"/>
    <xf numFmtId="171" fontId="7" fillId="0" borderId="0"/>
    <xf numFmtId="0" fontId="8" fillId="0" borderId="0" applyFont="0" applyFill="0" applyBorder="0" applyAlignment="0" applyProtection="0"/>
    <xf numFmtId="43" fontId="1" fillId="0" borderId="0" applyFont="0" applyFill="0" applyBorder="0" applyAlignment="0" applyProtection="0"/>
    <xf numFmtId="0" fontId="3" fillId="0" borderId="0"/>
    <xf numFmtId="43" fontId="7" fillId="0" borderId="0" applyFont="0" applyFill="0" applyBorder="0" applyAlignment="0" applyProtection="0"/>
    <xf numFmtId="0" fontId="13" fillId="0" borderId="0" applyNumberFormat="0" applyFill="0" applyBorder="0" applyAlignment="0" applyProtection="0"/>
  </cellStyleXfs>
  <cellXfs count="94">
    <xf numFmtId="0" fontId="0" fillId="0" borderId="0" xfId="0"/>
    <xf numFmtId="0" fontId="14" fillId="2" borderId="0" xfId="0" applyFont="1" applyFill="1" applyAlignment="1">
      <alignment vertical="top" wrapText="1"/>
    </xf>
    <xf numFmtId="0" fontId="19" fillId="2" borderId="0" xfId="0" applyFont="1" applyFill="1" applyAlignment="1">
      <alignment vertical="top"/>
    </xf>
    <xf numFmtId="0" fontId="16" fillId="2" borderId="0" xfId="0" applyFont="1" applyFill="1" applyAlignment="1">
      <alignment vertical="top" wrapText="1"/>
    </xf>
    <xf numFmtId="0" fontId="14" fillId="2" borderId="5" xfId="0" applyFont="1" applyFill="1" applyBorder="1" applyAlignment="1">
      <alignment vertical="top" wrapText="1"/>
    </xf>
    <xf numFmtId="0" fontId="20" fillId="2" borderId="5" xfId="0" applyFont="1" applyFill="1" applyBorder="1" applyAlignment="1">
      <alignment vertical="center"/>
    </xf>
    <xf numFmtId="0" fontId="20" fillId="2" borderId="8" xfId="0" applyFont="1" applyFill="1" applyBorder="1" applyAlignment="1">
      <alignment vertical="center" wrapText="1"/>
    </xf>
    <xf numFmtId="0" fontId="23" fillId="2" borderId="1" xfId="0" applyFont="1" applyFill="1" applyBorder="1" applyAlignment="1">
      <alignment vertical="center" wrapText="1" readingOrder="2"/>
    </xf>
    <xf numFmtId="0" fontId="22" fillId="2" borderId="0" xfId="0" applyFont="1" applyFill="1" applyBorder="1" applyAlignment="1">
      <alignment horizontal="center" vertical="center" wrapText="1" readingOrder="2"/>
    </xf>
    <xf numFmtId="0" fontId="4" fillId="2" borderId="0" xfId="0" applyFont="1" applyFill="1" applyAlignment="1">
      <alignment vertical="top" wrapText="1"/>
    </xf>
    <xf numFmtId="0" fontId="20" fillId="2" borderId="6" xfId="0" applyFont="1" applyFill="1" applyBorder="1" applyAlignment="1">
      <alignment horizontal="right" vertical="center" wrapText="1"/>
    </xf>
    <xf numFmtId="0" fontId="6" fillId="2" borderId="6" xfId="0" applyFont="1" applyFill="1" applyBorder="1" applyAlignment="1">
      <alignment horizontal="right" vertical="center" wrapText="1"/>
    </xf>
    <xf numFmtId="0" fontId="20" fillId="2" borderId="13" xfId="0" applyFont="1" applyFill="1" applyBorder="1" applyAlignment="1">
      <alignment horizontal="right" vertical="center" wrapText="1"/>
    </xf>
    <xf numFmtId="0" fontId="20" fillId="2" borderId="6" xfId="0" applyFont="1" applyFill="1" applyBorder="1" applyAlignment="1">
      <alignment horizontal="center" vertical="center" wrapText="1"/>
    </xf>
    <xf numFmtId="0" fontId="14" fillId="2" borderId="0" xfId="0" applyFont="1" applyFill="1" applyAlignment="1">
      <alignment horizontal="left" vertical="top"/>
    </xf>
    <xf numFmtId="173" fontId="16" fillId="2" borderId="0" xfId="1" applyNumberFormat="1" applyFont="1" applyFill="1" applyBorder="1" applyAlignment="1">
      <alignment horizontal="right" vertical="center"/>
    </xf>
    <xf numFmtId="168" fontId="16" fillId="2" borderId="0" xfId="0" applyNumberFormat="1" applyFont="1" applyFill="1" applyBorder="1" applyAlignment="1">
      <alignment horizontal="right" vertical="center" wrapText="1"/>
    </xf>
    <xf numFmtId="165" fontId="16" fillId="2" borderId="0" xfId="1" applyNumberFormat="1" applyFont="1" applyFill="1" applyBorder="1" applyAlignment="1">
      <alignment horizontal="center" vertical="center" wrapText="1"/>
    </xf>
    <xf numFmtId="165" fontId="16" fillId="2" borderId="0" xfId="1" applyNumberFormat="1" applyFont="1" applyFill="1" applyAlignment="1">
      <alignment horizontal="center" vertical="center" wrapText="1"/>
    </xf>
    <xf numFmtId="0" fontId="24" fillId="2" borderId="0" xfId="0" applyFont="1" applyFill="1" applyAlignment="1">
      <alignment vertical="top" wrapText="1"/>
    </xf>
    <xf numFmtId="173" fontId="14" fillId="2" borderId="0" xfId="0" applyNumberFormat="1" applyFont="1" applyFill="1" applyAlignment="1">
      <alignment vertical="top" wrapText="1"/>
    </xf>
    <xf numFmtId="174" fontId="14" fillId="2" borderId="0" xfId="0" applyNumberFormat="1" applyFont="1" applyFill="1" applyAlignment="1">
      <alignment horizontal="left" vertical="top"/>
    </xf>
    <xf numFmtId="43" fontId="14" fillId="2" borderId="0" xfId="0" applyNumberFormat="1" applyFont="1" applyFill="1" applyAlignment="1">
      <alignment vertical="top" wrapText="1"/>
    </xf>
    <xf numFmtId="174" fontId="14" fillId="2" borderId="0" xfId="0" applyNumberFormat="1" applyFont="1" applyFill="1" applyAlignment="1">
      <alignment horizontal="left" vertical="top" wrapText="1"/>
    </xf>
    <xf numFmtId="43" fontId="14" fillId="2" borderId="0" xfId="1" applyFont="1" applyFill="1" applyAlignment="1">
      <alignment vertical="top" wrapText="1"/>
    </xf>
    <xf numFmtId="165" fontId="26" fillId="2" borderId="0" xfId="2" applyNumberFormat="1" applyFont="1" applyFill="1" applyAlignment="1">
      <alignment horizontal="right" vertical="center"/>
    </xf>
    <xf numFmtId="0" fontId="27" fillId="2" borderId="0" xfId="0" applyFont="1" applyFill="1" applyAlignment="1">
      <alignment horizontal="left" vertical="center" wrapText="1"/>
    </xf>
    <xf numFmtId="173" fontId="16" fillId="2" borderId="0" xfId="1" applyNumberFormat="1" applyFont="1" applyFill="1" applyBorder="1" applyAlignment="1">
      <alignment horizontal="center" vertical="center"/>
    </xf>
    <xf numFmtId="165" fontId="26" fillId="2" borderId="0" xfId="2" applyNumberFormat="1" applyFont="1" applyFill="1" applyBorder="1" applyAlignment="1">
      <alignment horizontal="right" vertical="center"/>
    </xf>
    <xf numFmtId="174" fontId="14" fillId="2" borderId="0" xfId="0" applyNumberFormat="1" applyFont="1" applyFill="1" applyBorder="1" applyAlignment="1">
      <alignment horizontal="left" vertical="top"/>
    </xf>
    <xf numFmtId="174" fontId="14" fillId="2" borderId="1" xfId="0" applyNumberFormat="1" applyFont="1" applyFill="1" applyBorder="1" applyAlignment="1">
      <alignment horizontal="left" vertical="top"/>
    </xf>
    <xf numFmtId="173" fontId="16" fillId="2" borderId="1" xfId="1" applyNumberFormat="1" applyFont="1" applyFill="1" applyBorder="1" applyAlignment="1">
      <alignment horizontal="right" vertical="center"/>
    </xf>
    <xf numFmtId="174" fontId="20" fillId="2" borderId="6" xfId="0" applyNumberFormat="1" applyFont="1" applyFill="1" applyBorder="1" applyAlignment="1">
      <alignment horizontal="left" vertical="top"/>
    </xf>
    <xf numFmtId="173" fontId="29" fillId="2" borderId="2" xfId="1" applyNumberFormat="1" applyFont="1" applyFill="1" applyBorder="1" applyAlignment="1">
      <alignment horizontal="right" vertical="center"/>
    </xf>
    <xf numFmtId="173" fontId="29" fillId="2" borderId="6" xfId="1" applyNumberFormat="1" applyFont="1" applyFill="1" applyBorder="1" applyAlignment="1">
      <alignment horizontal="right" vertical="center"/>
    </xf>
    <xf numFmtId="1" fontId="29" fillId="2" borderId="6" xfId="0" applyNumberFormat="1" applyFont="1" applyFill="1" applyBorder="1" applyAlignment="1">
      <alignment horizontal="right" vertical="center"/>
    </xf>
    <xf numFmtId="168" fontId="29" fillId="2" borderId="6" xfId="0" applyNumberFormat="1" applyFont="1" applyFill="1" applyBorder="1" applyAlignment="1">
      <alignment horizontal="right" vertical="center" wrapText="1"/>
    </xf>
    <xf numFmtId="165" fontId="29" fillId="2" borderId="6" xfId="1" applyNumberFormat="1" applyFont="1" applyFill="1" applyBorder="1" applyAlignment="1">
      <alignment horizontal="center" vertical="center" wrapText="1"/>
    </xf>
    <xf numFmtId="0" fontId="21" fillId="2" borderId="6" xfId="0" applyFont="1" applyFill="1" applyBorder="1" applyAlignment="1">
      <alignment vertical="top" wrapText="1"/>
    </xf>
    <xf numFmtId="0" fontId="20" fillId="2" borderId="0" xfId="0" applyFont="1" applyFill="1" applyAlignment="1">
      <alignment vertical="top"/>
    </xf>
    <xf numFmtId="173" fontId="20" fillId="2" borderId="2" xfId="1" applyNumberFormat="1" applyFont="1" applyFill="1" applyBorder="1" applyAlignment="1">
      <alignment horizontal="right" vertical="center"/>
    </xf>
    <xf numFmtId="173" fontId="20" fillId="2" borderId="0" xfId="1" applyNumberFormat="1" applyFont="1" applyFill="1" applyBorder="1" applyAlignment="1">
      <alignment horizontal="right" vertical="center"/>
    </xf>
    <xf numFmtId="0" fontId="14" fillId="2" borderId="0" xfId="0" applyFont="1" applyFill="1" applyAlignment="1">
      <alignment vertical="top"/>
    </xf>
    <xf numFmtId="0" fontId="14" fillId="2" borderId="2" xfId="0" applyFont="1" applyFill="1" applyBorder="1" applyAlignment="1">
      <alignment vertical="top"/>
    </xf>
    <xf numFmtId="0" fontId="14" fillId="2" borderId="0" xfId="0" applyFont="1" applyFill="1" applyBorder="1" applyAlignment="1">
      <alignment vertical="top"/>
    </xf>
    <xf numFmtId="0" fontId="12" fillId="2" borderId="0" xfId="0" applyFont="1" applyFill="1" applyAlignment="1">
      <alignment vertical="top"/>
    </xf>
    <xf numFmtId="173" fontId="6" fillId="2" borderId="0" xfId="1" applyNumberFormat="1" applyFont="1" applyFill="1" applyBorder="1" applyAlignment="1">
      <alignment horizontal="right" vertical="center"/>
    </xf>
    <xf numFmtId="0" fontId="9" fillId="2" borderId="0" xfId="0" applyFont="1" applyFill="1" applyAlignment="1">
      <alignment vertical="top"/>
    </xf>
    <xf numFmtId="0" fontId="9" fillId="2" borderId="0" xfId="0" applyFont="1" applyFill="1" applyBorder="1" applyAlignment="1">
      <alignment vertical="top"/>
    </xf>
    <xf numFmtId="0" fontId="30" fillId="2" borderId="0" xfId="0" applyFont="1" applyFill="1" applyAlignment="1">
      <alignment vertical="top"/>
    </xf>
    <xf numFmtId="0" fontId="11" fillId="2" borderId="0" xfId="0" applyFont="1" applyFill="1" applyAlignment="1">
      <alignment vertical="top"/>
    </xf>
    <xf numFmtId="174" fontId="12" fillId="2" borderId="0" xfId="0" applyNumberFormat="1" applyFont="1" applyFill="1" applyBorder="1" applyAlignment="1">
      <alignment horizontal="left" vertical="top"/>
    </xf>
    <xf numFmtId="0" fontId="30" fillId="2" borderId="0" xfId="0" applyFont="1" applyFill="1" applyAlignment="1">
      <alignment horizontal="center" vertical="top"/>
    </xf>
    <xf numFmtId="0" fontId="9" fillId="2" borderId="0" xfId="0" applyFont="1" applyFill="1" applyAlignment="1">
      <alignment vertical="top" wrapText="1"/>
    </xf>
    <xf numFmtId="0" fontId="15" fillId="2" borderId="0" xfId="0" applyFont="1" applyFill="1" applyAlignment="1">
      <alignment horizontal="center" vertical="top"/>
    </xf>
    <xf numFmtId="0" fontId="15" fillId="2" borderId="0" xfId="0" applyFont="1" applyFill="1" applyBorder="1" applyAlignment="1">
      <alignment horizontal="center" vertical="top"/>
    </xf>
    <xf numFmtId="0" fontId="14" fillId="2" borderId="0" xfId="0" applyFont="1" applyFill="1" applyBorder="1" applyAlignment="1">
      <alignment vertical="top" wrapText="1"/>
    </xf>
    <xf numFmtId="0" fontId="14" fillId="2" borderId="0" xfId="0" applyFont="1" applyFill="1" applyAlignment="1">
      <alignment horizontal="left" vertical="top" wrapText="1"/>
    </xf>
    <xf numFmtId="0" fontId="15" fillId="2" borderId="0" xfId="0" applyFont="1" applyFill="1" applyAlignment="1">
      <alignment vertical="top" wrapText="1"/>
    </xf>
    <xf numFmtId="173" fontId="9" fillId="2" borderId="0" xfId="1" applyNumberFormat="1" applyFont="1" applyFill="1" applyBorder="1" applyAlignment="1">
      <alignment horizontal="right" vertical="center" wrapText="1" indent="7"/>
    </xf>
    <xf numFmtId="0" fontId="12" fillId="2" borderId="0" xfId="0" applyFont="1" applyFill="1" applyAlignment="1">
      <alignment horizontal="left" vertical="center"/>
    </xf>
    <xf numFmtId="0" fontId="20" fillId="2" borderId="10" xfId="0" applyFont="1" applyFill="1" applyBorder="1" applyAlignment="1">
      <alignment horizontal="center" vertical="center" wrapText="1"/>
    </xf>
    <xf numFmtId="0" fontId="9" fillId="2" borderId="0" xfId="0" applyFont="1" applyFill="1" applyAlignment="1">
      <alignment horizontal="left" vertical="center" wrapText="1"/>
    </xf>
    <xf numFmtId="0" fontId="24" fillId="2" borderId="0" xfId="0" applyFont="1" applyFill="1" applyBorder="1" applyAlignment="1">
      <alignment horizontal="right" vertical="top" wrapText="1"/>
    </xf>
    <xf numFmtId="173" fontId="1" fillId="2" borderId="0" xfId="1" applyNumberFormat="1" applyFont="1" applyFill="1" applyBorder="1" applyAlignment="1">
      <alignment horizontal="right" vertical="center"/>
    </xf>
    <xf numFmtId="168" fontId="29" fillId="2" borderId="1" xfId="0" applyNumberFormat="1" applyFont="1" applyFill="1" applyBorder="1" applyAlignment="1">
      <alignment horizontal="right" vertical="center" wrapText="1"/>
    </xf>
    <xf numFmtId="168" fontId="16" fillId="2" borderId="1" xfId="0" applyNumberFormat="1" applyFont="1" applyFill="1" applyBorder="1" applyAlignment="1">
      <alignment horizontal="right" vertical="center" wrapText="1"/>
    </xf>
    <xf numFmtId="173" fontId="1" fillId="2" borderId="3" xfId="1" applyNumberFormat="1" applyFont="1" applyFill="1" applyBorder="1" applyAlignment="1">
      <alignment horizontal="right" vertical="center"/>
    </xf>
    <xf numFmtId="168" fontId="16" fillId="2" borderId="3" xfId="0" applyNumberFormat="1" applyFont="1" applyFill="1" applyBorder="1" applyAlignment="1">
      <alignment horizontal="right" vertical="center" wrapText="1"/>
    </xf>
    <xf numFmtId="168" fontId="16" fillId="2" borderId="4" xfId="0" applyNumberFormat="1" applyFont="1" applyFill="1" applyBorder="1" applyAlignment="1">
      <alignment horizontal="right" vertical="center" wrapText="1"/>
    </xf>
    <xf numFmtId="173" fontId="29" fillId="2" borderId="13" xfId="1" applyNumberFormat="1" applyFont="1" applyFill="1" applyBorder="1" applyAlignment="1">
      <alignment horizontal="right" vertical="center"/>
    </xf>
    <xf numFmtId="168" fontId="29" fillId="2" borderId="4" xfId="0" applyNumberFormat="1" applyFont="1" applyFill="1" applyBorder="1" applyAlignment="1">
      <alignment horizontal="right" vertical="center" wrapText="1"/>
    </xf>
    <xf numFmtId="0" fontId="24" fillId="2" borderId="0" xfId="0" applyFont="1" applyFill="1" applyBorder="1" applyAlignment="1">
      <alignment horizontal="right" vertical="top" wrapText="1"/>
    </xf>
    <xf numFmtId="0" fontId="10" fillId="2" borderId="0" xfId="0" applyFont="1" applyFill="1" applyAlignment="1">
      <alignment horizontal="right" vertical="top" wrapText="1"/>
    </xf>
    <xf numFmtId="0" fontId="17" fillId="2" borderId="0" xfId="0" applyFont="1" applyFill="1" applyAlignment="1">
      <alignment horizontal="center" vertical="top" wrapText="1"/>
    </xf>
    <xf numFmtId="0" fontId="18" fillId="2" borderId="0" xfId="0" applyFont="1" applyFill="1" applyAlignment="1">
      <alignment horizontal="center" vertical="top"/>
    </xf>
    <xf numFmtId="0" fontId="20" fillId="2" borderId="2" xfId="0" applyFont="1" applyFill="1" applyBorder="1" applyAlignment="1">
      <alignment horizontal="left" vertical="center" wrapText="1"/>
    </xf>
    <xf numFmtId="0" fontId="20" fillId="2" borderId="0" xfId="0" applyFont="1" applyFill="1" applyBorder="1" applyAlignment="1">
      <alignment horizontal="left" vertical="center" wrapText="1"/>
    </xf>
    <xf numFmtId="0" fontId="20" fillId="2" borderId="1" xfId="0" applyFont="1" applyFill="1" applyBorder="1" applyAlignment="1">
      <alignment horizontal="left" vertical="center" wrapText="1"/>
    </xf>
    <xf numFmtId="0" fontId="21" fillId="2" borderId="2" xfId="0" applyFont="1" applyFill="1" applyBorder="1" applyAlignment="1">
      <alignment horizontal="right" vertical="center" wrapText="1"/>
    </xf>
    <xf numFmtId="0" fontId="21" fillId="2" borderId="0" xfId="0" applyFont="1" applyFill="1" applyBorder="1" applyAlignment="1">
      <alignment horizontal="right" vertical="center" wrapText="1"/>
    </xf>
    <xf numFmtId="0" fontId="21" fillId="2" borderId="1" xfId="0" applyFont="1" applyFill="1" applyBorder="1" applyAlignment="1">
      <alignment horizontal="right" vertical="center" wrapText="1"/>
    </xf>
    <xf numFmtId="0" fontId="14" fillId="2" borderId="0" xfId="0" applyNumberFormat="1" applyFont="1" applyFill="1" applyAlignment="1">
      <alignment horizontal="left" vertical="center" wrapText="1"/>
    </xf>
    <xf numFmtId="0" fontId="9" fillId="2" borderId="0" xfId="0" applyFont="1" applyFill="1" applyAlignment="1">
      <alignment horizontal="left" vertical="center" wrapText="1"/>
    </xf>
    <xf numFmtId="0" fontId="20" fillId="2" borderId="9" xfId="0" applyFont="1" applyFill="1" applyBorder="1" applyAlignment="1">
      <alignment horizontal="center" vertical="center" wrapText="1"/>
    </xf>
    <xf numFmtId="0" fontId="20" fillId="2" borderId="10"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23" fillId="2" borderId="11" xfId="0" applyFont="1" applyFill="1" applyBorder="1" applyAlignment="1">
      <alignment horizontal="center" vertical="center" wrapText="1" readingOrder="2"/>
    </xf>
    <xf numFmtId="0" fontId="23" fillId="2" borderId="12" xfId="0" applyFont="1" applyFill="1" applyBorder="1" applyAlignment="1">
      <alignment horizontal="center" vertical="center" wrapText="1" readingOrder="2"/>
    </xf>
    <xf numFmtId="0" fontId="23" fillId="2" borderId="15" xfId="0" applyFont="1" applyFill="1" applyBorder="1" applyAlignment="1">
      <alignment horizontal="center" vertical="center" wrapText="1" readingOrder="2"/>
    </xf>
    <xf numFmtId="0" fontId="20" fillId="2" borderId="5" xfId="0" applyFont="1" applyFill="1" applyBorder="1" applyAlignment="1">
      <alignment horizontal="center" vertical="center"/>
    </xf>
    <xf numFmtId="0" fontId="22" fillId="2" borderId="7" xfId="0" applyFont="1" applyFill="1" applyBorder="1" applyAlignment="1">
      <alignment horizontal="center" vertical="center" wrapText="1"/>
    </xf>
    <xf numFmtId="0" fontId="9" fillId="2" borderId="0" xfId="0" applyFont="1" applyFill="1" applyAlignment="1">
      <alignment horizontal="right" vertical="top" wrapText="1"/>
    </xf>
    <xf numFmtId="0" fontId="24" fillId="2" borderId="0" xfId="0" applyFont="1" applyFill="1" applyAlignment="1">
      <alignment horizontal="right" vertical="top" wrapText="1"/>
    </xf>
  </cellXfs>
  <cellStyles count="11">
    <cellStyle name="Comma" xfId="1" builtinId="3"/>
    <cellStyle name="Comma 2" xfId="6"/>
    <cellStyle name="Comma 3" xfId="7"/>
    <cellStyle name="Comma 4" xfId="3"/>
    <cellStyle name="Comma 6" xfId="9"/>
    <cellStyle name="Excel Built-in Comma" xfId="5"/>
    <cellStyle name="Excel Built-in Normal" xfId="4"/>
    <cellStyle name="Normal" xfId="0" builtinId="0"/>
    <cellStyle name="Normal 2" xfId="10"/>
    <cellStyle name="Normal 4" xfId="8"/>
    <cellStyle name="Normal_13 Public Finance_done" xfId="2"/>
  </cellStyles>
  <dxfs count="0"/>
  <tableStyles count="0" defaultTableStyle="TableStyleMedium9" defaultPivotStyle="PivotStyleLight16"/>
  <colors>
    <mruColors>
      <color rgb="FFFAC090"/>
      <color rgb="FFCC6600"/>
      <color rgb="FF953735"/>
      <color rgb="FFFCD5B5"/>
      <color rgb="FFFDEADA"/>
      <color rgb="FFFFCC00"/>
      <color rgb="FFFDEADB"/>
      <color rgb="FF00A8A4"/>
      <color rgb="FF7DDFDD"/>
      <color rgb="FF1C7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W76"/>
  <sheetViews>
    <sheetView tabSelected="1" topLeftCell="A16" zoomScaleNormal="100" workbookViewId="0">
      <selection activeCell="W49" sqref="W49"/>
    </sheetView>
  </sheetViews>
  <sheetFormatPr defaultColWidth="8" defaultRowHeight="12.75" x14ac:dyDescent="0.25"/>
  <cols>
    <col min="1" max="1" width="31.42578125" style="1" customWidth="1"/>
    <col min="2" max="3" width="14.28515625" style="1" hidden="1" customWidth="1"/>
    <col min="4" max="4" width="14.140625" style="1" customWidth="1"/>
    <col min="5" max="8" width="15.28515625" style="1" customWidth="1"/>
    <col min="9" max="9" width="17.5703125" style="1" customWidth="1"/>
    <col min="10" max="10" width="9.140625" style="1" hidden="1" customWidth="1"/>
    <col min="11" max="16" width="9.140625" style="1" customWidth="1"/>
    <col min="17" max="18" width="19.7109375" style="1" hidden="1" customWidth="1"/>
    <col min="19" max="19" width="19.7109375" style="1" customWidth="1"/>
    <col min="20" max="20" width="30.42578125" style="1" bestFit="1" customWidth="1"/>
    <col min="21" max="21" width="1.5703125" style="1" customWidth="1"/>
    <col min="22" max="22" width="14.28515625" style="1" bestFit="1" customWidth="1"/>
    <col min="23" max="23" width="8.28515625" style="1" bestFit="1" customWidth="1"/>
    <col min="24" max="16384" width="8" style="1"/>
  </cols>
  <sheetData>
    <row r="1" spans="1:23" ht="8.25" customHeight="1" x14ac:dyDescent="0.25"/>
    <row r="2" spans="1:23" ht="18.75" customHeight="1" x14ac:dyDescent="0.25">
      <c r="A2" s="74" t="s">
        <v>79</v>
      </c>
      <c r="B2" s="74"/>
      <c r="C2" s="74"/>
      <c r="D2" s="74"/>
      <c r="E2" s="74"/>
      <c r="F2" s="74"/>
      <c r="G2" s="74"/>
      <c r="H2" s="74"/>
      <c r="I2" s="74"/>
      <c r="J2" s="74"/>
      <c r="K2" s="74"/>
      <c r="L2" s="74"/>
      <c r="M2" s="74"/>
      <c r="N2" s="74"/>
      <c r="O2" s="74"/>
      <c r="P2" s="74"/>
      <c r="Q2" s="74"/>
      <c r="R2" s="74"/>
      <c r="S2" s="74"/>
      <c r="T2" s="74"/>
    </row>
    <row r="3" spans="1:23" ht="15.75" customHeight="1" x14ac:dyDescent="0.25">
      <c r="A3" s="75" t="s">
        <v>80</v>
      </c>
      <c r="B3" s="75"/>
      <c r="C3" s="75"/>
      <c r="D3" s="75"/>
      <c r="E3" s="75"/>
      <c r="F3" s="75"/>
      <c r="G3" s="75"/>
      <c r="H3" s="75"/>
      <c r="I3" s="75"/>
      <c r="J3" s="75"/>
      <c r="K3" s="75"/>
      <c r="L3" s="75"/>
      <c r="M3" s="75"/>
      <c r="N3" s="75"/>
      <c r="O3" s="75"/>
      <c r="P3" s="75"/>
      <c r="Q3" s="75"/>
      <c r="R3" s="75"/>
      <c r="S3" s="75"/>
      <c r="T3" s="75"/>
    </row>
    <row r="4" spans="1:23" ht="15" x14ac:dyDescent="0.25">
      <c r="A4" s="2"/>
      <c r="B4" s="3"/>
      <c r="C4" s="3"/>
      <c r="D4" s="3"/>
      <c r="E4" s="3"/>
      <c r="F4" s="3"/>
      <c r="G4" s="3"/>
      <c r="H4" s="3"/>
      <c r="I4" s="3"/>
      <c r="J4" s="3"/>
      <c r="K4" s="3"/>
      <c r="L4" s="3"/>
      <c r="M4" s="3"/>
      <c r="N4" s="3"/>
      <c r="O4" s="3"/>
      <c r="P4" s="3"/>
      <c r="Q4" s="3"/>
      <c r="R4" s="3"/>
      <c r="S4" s="3"/>
    </row>
    <row r="5" spans="1:23" ht="25.9" customHeight="1" x14ac:dyDescent="0.25">
      <c r="A5" s="76" t="s">
        <v>3</v>
      </c>
      <c r="B5" s="4"/>
      <c r="C5" s="5"/>
      <c r="D5" s="90" t="s">
        <v>4</v>
      </c>
      <c r="E5" s="90"/>
      <c r="F5" s="90"/>
      <c r="G5" s="90"/>
      <c r="H5" s="90"/>
      <c r="I5" s="90"/>
      <c r="J5" s="6"/>
      <c r="K5" s="84" t="s">
        <v>5</v>
      </c>
      <c r="L5" s="85"/>
      <c r="M5" s="85"/>
      <c r="N5" s="85"/>
      <c r="O5" s="85"/>
      <c r="P5" s="86"/>
      <c r="Q5" s="61" t="s">
        <v>6</v>
      </c>
      <c r="R5" s="61" t="s">
        <v>7</v>
      </c>
      <c r="S5" s="61" t="s">
        <v>77</v>
      </c>
      <c r="T5" s="79" t="s">
        <v>2</v>
      </c>
    </row>
    <row r="6" spans="1:23" s="9" customFormat="1" ht="51" customHeight="1" x14ac:dyDescent="0.25">
      <c r="A6" s="77"/>
      <c r="B6" s="91" t="s">
        <v>8</v>
      </c>
      <c r="C6" s="91"/>
      <c r="D6" s="91"/>
      <c r="E6" s="91"/>
      <c r="F6" s="91"/>
      <c r="G6" s="91"/>
      <c r="H6" s="91"/>
      <c r="I6" s="91"/>
      <c r="J6" s="7"/>
      <c r="K6" s="87" t="s">
        <v>9</v>
      </c>
      <c r="L6" s="88"/>
      <c r="M6" s="88"/>
      <c r="N6" s="88"/>
      <c r="O6" s="88"/>
      <c r="P6" s="89"/>
      <c r="Q6" s="8" t="s">
        <v>10</v>
      </c>
      <c r="R6" s="8" t="s">
        <v>11</v>
      </c>
      <c r="S6" s="8" t="s">
        <v>78</v>
      </c>
      <c r="T6" s="80"/>
    </row>
    <row r="7" spans="1:23" ht="18.75" customHeight="1" x14ac:dyDescent="0.25">
      <c r="A7" s="78"/>
      <c r="B7" s="10">
        <v>2011</v>
      </c>
      <c r="C7" s="10">
        <v>2012</v>
      </c>
      <c r="D7" s="10">
        <v>2013</v>
      </c>
      <c r="E7" s="10">
        <v>2014</v>
      </c>
      <c r="F7" s="11" t="s">
        <v>12</v>
      </c>
      <c r="G7" s="10" t="s">
        <v>13</v>
      </c>
      <c r="H7" s="10">
        <v>2017</v>
      </c>
      <c r="I7" s="12">
        <v>2018</v>
      </c>
      <c r="J7" s="10">
        <v>2012</v>
      </c>
      <c r="K7" s="10">
        <v>2013</v>
      </c>
      <c r="L7" s="10">
        <v>2014</v>
      </c>
      <c r="M7" s="10">
        <v>2015</v>
      </c>
      <c r="N7" s="10">
        <v>2016</v>
      </c>
      <c r="O7" s="10">
        <v>2017</v>
      </c>
      <c r="P7" s="12">
        <v>2018</v>
      </c>
      <c r="Q7" s="13">
        <v>2015</v>
      </c>
      <c r="R7" s="13">
        <v>2017</v>
      </c>
      <c r="S7" s="13">
        <v>2018</v>
      </c>
      <c r="T7" s="81"/>
    </row>
    <row r="8" spans="1:23" ht="19.5" customHeight="1" x14ac:dyDescent="0.25">
      <c r="A8" s="14" t="s">
        <v>14</v>
      </c>
      <c r="B8" s="15">
        <v>337494704.2076</v>
      </c>
      <c r="C8" s="15">
        <v>299914418.10500002</v>
      </c>
      <c r="D8" s="15">
        <v>350246279.87499994</v>
      </c>
      <c r="E8" s="15">
        <v>431977863.3118999</v>
      </c>
      <c r="F8" s="15">
        <v>496698013.88999999</v>
      </c>
      <c r="G8" s="15">
        <v>537482907.12529993</v>
      </c>
      <c r="H8" s="64">
        <v>707769590.08371425</v>
      </c>
      <c r="I8" s="67">
        <v>643103954.31658459</v>
      </c>
      <c r="J8" s="16">
        <f>(C8/$C$34)*100</f>
        <v>4.1933328367356175</v>
      </c>
      <c r="K8" s="16">
        <f>(D8/$D$34)*100</f>
        <v>3.8990700171998918</v>
      </c>
      <c r="L8" s="16">
        <f>(E8/$E$34)*100</f>
        <v>3.7571793063672669</v>
      </c>
      <c r="M8" s="16">
        <f>(F8/$F$34)*100</f>
        <v>3.8048039171468782</v>
      </c>
      <c r="N8" s="16">
        <f>(G8/$G$34)*100</f>
        <v>3.6993125258994968</v>
      </c>
      <c r="O8" s="16">
        <f>(H8/$H$34)*100</f>
        <v>4.6600778705543657</v>
      </c>
      <c r="P8" s="68">
        <f>(I8/$H$34)*100</f>
        <v>4.2343080968232192</v>
      </c>
      <c r="Q8" s="17">
        <f t="shared" ref="Q8:Q16" si="0">((F8/E8)-1)*100</f>
        <v>14.982284064720774</v>
      </c>
      <c r="R8" s="18">
        <f>((H8/G8)-1)*100</f>
        <v>31.682250858763862</v>
      </c>
      <c r="S8" s="18">
        <f>((I8/H8)-1)*100</f>
        <v>-9.1365377480376218</v>
      </c>
      <c r="T8" s="19" t="s">
        <v>15</v>
      </c>
      <c r="W8" s="20"/>
    </row>
    <row r="9" spans="1:23" ht="19.5" customHeight="1" x14ac:dyDescent="0.25">
      <c r="A9" s="14" t="s">
        <v>16</v>
      </c>
      <c r="B9" s="15"/>
      <c r="C9" s="15"/>
      <c r="D9" s="15">
        <v>0</v>
      </c>
      <c r="E9" s="15">
        <v>0</v>
      </c>
      <c r="F9" s="15">
        <v>0</v>
      </c>
      <c r="G9" s="15">
        <v>0</v>
      </c>
      <c r="H9" s="64">
        <v>328474085.79999995</v>
      </c>
      <c r="I9" s="67">
        <v>646850635.49704576</v>
      </c>
      <c r="J9" s="16"/>
      <c r="K9" s="16">
        <f>(D9/$D$34)*100</f>
        <v>0</v>
      </c>
      <c r="L9" s="16">
        <f>(E9/$E$34)*100</f>
        <v>0</v>
      </c>
      <c r="M9" s="16">
        <f>(F9/$F$34)*100</f>
        <v>0</v>
      </c>
      <c r="N9" s="16">
        <f>(G9/$G$34)*100</f>
        <v>0</v>
      </c>
      <c r="O9" s="16">
        <f>(H9/$H$34)*100</f>
        <v>2.1627304135885588</v>
      </c>
      <c r="P9" s="68">
        <f>(I9/$H$34)*100</f>
        <v>4.2589768962485017</v>
      </c>
      <c r="Q9" s="17" t="e">
        <f t="shared" si="0"/>
        <v>#DIV/0!</v>
      </c>
      <c r="R9" s="59">
        <v>0</v>
      </c>
      <c r="S9" s="18">
        <f t="shared" ref="S9:S33" si="1">((I9/H9)-1)*100</f>
        <v>96.92592611122987</v>
      </c>
      <c r="T9" s="19" t="s">
        <v>17</v>
      </c>
      <c r="W9" s="20"/>
    </row>
    <row r="10" spans="1:23" ht="19.5" customHeight="1" x14ac:dyDescent="0.25">
      <c r="A10" s="21" t="s">
        <v>18</v>
      </c>
      <c r="B10" s="15">
        <v>229856988.79999998</v>
      </c>
      <c r="C10" s="15">
        <v>313152517.39999998</v>
      </c>
      <c r="D10" s="15">
        <v>355036694.05000001</v>
      </c>
      <c r="E10" s="15">
        <v>482197189.75</v>
      </c>
      <c r="F10" s="15">
        <v>512725167.70999998</v>
      </c>
      <c r="G10" s="15">
        <v>491669611.60000002</v>
      </c>
      <c r="H10" s="64">
        <v>649894826.80999994</v>
      </c>
      <c r="I10" s="67">
        <v>564102077.25</v>
      </c>
      <c r="J10" s="16">
        <f>(C10/$C$34)*100</f>
        <v>4.3784248267120889</v>
      </c>
      <c r="K10" s="16">
        <f>(D10/$D$34)*100</f>
        <v>3.9523986643631916</v>
      </c>
      <c r="L10" s="16">
        <f>(E10/$E$34)*100</f>
        <v>4.1939679247152819</v>
      </c>
      <c r="M10" s="16">
        <f>(F10/$F$34)*100</f>
        <v>3.9275750495648882</v>
      </c>
      <c r="N10" s="16">
        <f>(G12/$G$34)*100</f>
        <v>18.872356337395242</v>
      </c>
      <c r="O10" s="16">
        <f t="shared" ref="O10:P34" si="2">(H10/$H$34)*100</f>
        <v>4.2790203804133888</v>
      </c>
      <c r="P10" s="68">
        <f t="shared" si="2"/>
        <v>3.7141460211868496</v>
      </c>
      <c r="Q10" s="17">
        <f t="shared" si="0"/>
        <v>6.3310153208954834</v>
      </c>
      <c r="R10" s="18">
        <f t="shared" ref="R10:R12" si="3">((H10/G10)-1)*100</f>
        <v>32.181206948117172</v>
      </c>
      <c r="S10" s="18">
        <f t="shared" si="1"/>
        <v>-13.201020537601826</v>
      </c>
      <c r="T10" s="19" t="s">
        <v>19</v>
      </c>
      <c r="V10" s="22"/>
      <c r="W10" s="20"/>
    </row>
    <row r="11" spans="1:23" ht="19.5" customHeight="1" x14ac:dyDescent="0.25">
      <c r="A11" s="23" t="s">
        <v>20</v>
      </c>
      <c r="B11" s="15">
        <v>29029741.73</v>
      </c>
      <c r="C11" s="15">
        <v>28598365.850000001</v>
      </c>
      <c r="D11" s="15">
        <v>27710614</v>
      </c>
      <c r="E11" s="15">
        <v>28174257</v>
      </c>
      <c r="F11" s="15">
        <v>32214675.300000001</v>
      </c>
      <c r="G11" s="15">
        <v>32630796.459999997</v>
      </c>
      <c r="H11" s="64">
        <v>41210716.772399999</v>
      </c>
      <c r="I11" s="67">
        <v>44906666.336099997</v>
      </c>
      <c r="J11" s="16">
        <f>(C11/$C$34)*100</f>
        <v>0.39985562332584712</v>
      </c>
      <c r="K11" s="16">
        <f>(D11/$D$34)*100</f>
        <v>0.30848471608081079</v>
      </c>
      <c r="L11" s="16">
        <f>(E11/$E$34)*100</f>
        <v>0.24504898135542275</v>
      </c>
      <c r="M11" s="16">
        <f>(F11/$F$34)*100</f>
        <v>0.2467707124719842</v>
      </c>
      <c r="N11" s="16">
        <f>(G11/$G$34)*100</f>
        <v>0.22458670308266052</v>
      </c>
      <c r="O11" s="16">
        <f t="shared" si="2"/>
        <v>0.27133851461183855</v>
      </c>
      <c r="P11" s="68">
        <f t="shared" si="2"/>
        <v>0.29567328826387729</v>
      </c>
      <c r="Q11" s="17">
        <f t="shared" si="0"/>
        <v>14.340815802170038</v>
      </c>
      <c r="R11" s="18">
        <f t="shared" si="3"/>
        <v>26.293934697296084</v>
      </c>
      <c r="S11" s="18">
        <f t="shared" si="1"/>
        <v>8.9684185405270114</v>
      </c>
      <c r="T11" s="19" t="s">
        <v>21</v>
      </c>
      <c r="V11" s="24"/>
      <c r="W11" s="20"/>
    </row>
    <row r="12" spans="1:23" ht="19.5" customHeight="1" x14ac:dyDescent="0.25">
      <c r="A12" s="21" t="s">
        <v>22</v>
      </c>
      <c r="B12" s="15">
        <v>35069424.219999999</v>
      </c>
      <c r="C12" s="15">
        <v>1401117904.5887001</v>
      </c>
      <c r="D12" s="15">
        <v>1881814670.0172997</v>
      </c>
      <c r="E12" s="15">
        <v>2475402851.9278002</v>
      </c>
      <c r="F12" s="15">
        <v>2676515345.3940001</v>
      </c>
      <c r="G12" s="15">
        <v>2742014597.9856997</v>
      </c>
      <c r="H12" s="64">
        <v>2675941922.0164604</v>
      </c>
      <c r="I12" s="67">
        <v>2713710645.3620391</v>
      </c>
      <c r="J12" s="16">
        <f>(C12/$C$34)*100</f>
        <v>19.590100918032675</v>
      </c>
      <c r="K12" s="16">
        <f>(D12/$D$34)*100</f>
        <v>20.949050937557406</v>
      </c>
      <c r="L12" s="16">
        <f>(E12/$E$34)*100</f>
        <v>21.53011336942145</v>
      </c>
      <c r="M12" s="16">
        <f>(F12/$F$34)*100</f>
        <v>20.502630946122753</v>
      </c>
      <c r="N12" s="16">
        <f t="shared" ref="N12:N25" si="4">(G12/$G$34)*100</f>
        <v>18.872356337395242</v>
      </c>
      <c r="O12" s="16">
        <f t="shared" si="2"/>
        <v>17.618866236118841</v>
      </c>
      <c r="P12" s="68">
        <f t="shared" si="2"/>
        <v>17.867542068378043</v>
      </c>
      <c r="Q12" s="17">
        <f t="shared" si="0"/>
        <v>8.1244349100420887</v>
      </c>
      <c r="R12" s="18">
        <f t="shared" si="3"/>
        <v>-2.4096398326171053</v>
      </c>
      <c r="S12" s="18">
        <f t="shared" si="1"/>
        <v>1.4114179024153906</v>
      </c>
      <c r="T12" s="25" t="s">
        <v>23</v>
      </c>
      <c r="W12" s="20"/>
    </row>
    <row r="13" spans="1:23" ht="19.5" customHeight="1" x14ac:dyDescent="0.25">
      <c r="A13" s="21" t="s">
        <v>24</v>
      </c>
      <c r="B13" s="15"/>
      <c r="C13" s="15"/>
      <c r="D13" s="15">
        <v>0</v>
      </c>
      <c r="E13" s="15">
        <v>0</v>
      </c>
      <c r="F13" s="15">
        <v>0</v>
      </c>
      <c r="G13" s="15">
        <v>0</v>
      </c>
      <c r="H13" s="64">
        <v>65344950</v>
      </c>
      <c r="I13" s="67">
        <v>105197655.05969112</v>
      </c>
      <c r="J13" s="16"/>
      <c r="K13" s="16">
        <f t="shared" ref="K13:K14" si="5">(D13/$D$34)*100</f>
        <v>0</v>
      </c>
      <c r="L13" s="16">
        <f t="shared" ref="L13:L14" si="6">(E13/$E$34)*100</f>
        <v>0</v>
      </c>
      <c r="M13" s="16">
        <f t="shared" ref="M13:M14" si="7">(F13/$F$34)*100</f>
        <v>0</v>
      </c>
      <c r="N13" s="16">
        <f t="shared" si="4"/>
        <v>0</v>
      </c>
      <c r="O13" s="16">
        <f t="shared" si="2"/>
        <v>0.43024249658912878</v>
      </c>
      <c r="P13" s="68">
        <f t="shared" si="2"/>
        <v>0.69263962629405185</v>
      </c>
      <c r="Q13" s="17" t="e">
        <f t="shared" si="0"/>
        <v>#DIV/0!</v>
      </c>
      <c r="R13" s="59">
        <v>0</v>
      </c>
      <c r="S13" s="18">
        <f t="shared" si="1"/>
        <v>60.98819428232958</v>
      </c>
      <c r="T13" s="25" t="s">
        <v>25</v>
      </c>
      <c r="W13" s="20"/>
    </row>
    <row r="14" spans="1:23" ht="19.5" customHeight="1" x14ac:dyDescent="0.25">
      <c r="A14" s="21" t="s">
        <v>26</v>
      </c>
      <c r="B14" s="15"/>
      <c r="C14" s="15"/>
      <c r="D14" s="15">
        <v>0</v>
      </c>
      <c r="E14" s="15">
        <v>0</v>
      </c>
      <c r="F14" s="15">
        <v>0</v>
      </c>
      <c r="G14" s="15">
        <v>0</v>
      </c>
      <c r="H14" s="64">
        <v>12971000</v>
      </c>
      <c r="I14" s="67">
        <v>7680000</v>
      </c>
      <c r="J14" s="16"/>
      <c r="K14" s="16">
        <f t="shared" si="5"/>
        <v>0</v>
      </c>
      <c r="L14" s="16">
        <f t="shared" si="6"/>
        <v>0</v>
      </c>
      <c r="M14" s="16">
        <f t="shared" si="7"/>
        <v>0</v>
      </c>
      <c r="N14" s="16">
        <f t="shared" si="4"/>
        <v>0</v>
      </c>
      <c r="O14" s="16">
        <f t="shared" si="2"/>
        <v>8.5403316143903854E-2</v>
      </c>
      <c r="P14" s="68">
        <f t="shared" si="2"/>
        <v>5.0566453471989951E-2</v>
      </c>
      <c r="Q14" s="17" t="e">
        <f t="shared" si="0"/>
        <v>#DIV/0!</v>
      </c>
      <c r="R14" s="59">
        <v>0</v>
      </c>
      <c r="S14" s="18">
        <f t="shared" si="1"/>
        <v>-40.790995297201448</v>
      </c>
      <c r="T14" s="25" t="s">
        <v>27</v>
      </c>
      <c r="W14" s="20"/>
    </row>
    <row r="15" spans="1:23" ht="19.5" customHeight="1" x14ac:dyDescent="0.25">
      <c r="A15" s="23" t="s">
        <v>28</v>
      </c>
      <c r="B15" s="15">
        <v>44654557.465700001</v>
      </c>
      <c r="C15" s="15">
        <v>51539663.522400007</v>
      </c>
      <c r="D15" s="15">
        <v>54796856.450100005</v>
      </c>
      <c r="E15" s="15">
        <v>116054694.13689999</v>
      </c>
      <c r="F15" s="15">
        <v>257569888.39209995</v>
      </c>
      <c r="G15" s="15">
        <v>270265257.52340001</v>
      </c>
      <c r="H15" s="64">
        <v>195626549.71080002</v>
      </c>
      <c r="I15" s="67">
        <v>234740299.17963666</v>
      </c>
      <c r="J15" s="16">
        <f>(C15/$C$34)*100</f>
        <v>0.7206154502619484</v>
      </c>
      <c r="K15" s="16">
        <f>(D15/$D$34)*100</f>
        <v>0.61001869912121209</v>
      </c>
      <c r="L15" s="16">
        <f>(E15/$E$34)*100</f>
        <v>1.0093996295896108</v>
      </c>
      <c r="M15" s="16">
        <f>(F15/$F$34)*100</f>
        <v>1.9730357136285632</v>
      </c>
      <c r="N15" s="16">
        <f t="shared" si="4"/>
        <v>1.8601440887099518</v>
      </c>
      <c r="O15" s="16">
        <f t="shared" si="2"/>
        <v>1.2880391697704554</v>
      </c>
      <c r="P15" s="68">
        <f t="shared" si="2"/>
        <v>1.5455708875609502</v>
      </c>
      <c r="Q15" s="17">
        <f t="shared" si="0"/>
        <v>121.93836303447263</v>
      </c>
      <c r="R15" s="18">
        <f t="shared" ref="R15:R30" si="8">((H15/G15)-1)*100</f>
        <v>-27.616834104597277</v>
      </c>
      <c r="S15" s="18">
        <f t="shared" si="1"/>
        <v>19.994090539683661</v>
      </c>
      <c r="T15" s="19" t="s">
        <v>29</v>
      </c>
      <c r="W15" s="20"/>
    </row>
    <row r="16" spans="1:23" ht="19.5" customHeight="1" x14ac:dyDescent="0.25">
      <c r="A16" s="21" t="s">
        <v>30</v>
      </c>
      <c r="B16" s="15">
        <v>923334858.34319997</v>
      </c>
      <c r="C16" s="15">
        <v>2572005117.2307997</v>
      </c>
      <c r="D16" s="15">
        <v>3654632712.6659002</v>
      </c>
      <c r="E16" s="15">
        <v>4542200766.8251991</v>
      </c>
      <c r="F16" s="15">
        <v>6052938369.3200006</v>
      </c>
      <c r="G16" s="15">
        <v>6276877706.3801994</v>
      </c>
      <c r="H16" s="64">
        <v>6851347959.9054794</v>
      </c>
      <c r="I16" s="67">
        <v>7689588402.8460445</v>
      </c>
      <c r="J16" s="16">
        <f>(C16/$C$34)*100</f>
        <v>35.961170464835831</v>
      </c>
      <c r="K16" s="16">
        <f>(D16/$D$34)*100</f>
        <v>40.684711451950641</v>
      </c>
      <c r="L16" s="16">
        <f>(E16/$E$34)*100</f>
        <v>39.506336263715319</v>
      </c>
      <c r="M16" s="16">
        <f>(F16/$F$34)*100</f>
        <v>46.366691578794423</v>
      </c>
      <c r="N16" s="16">
        <f t="shared" si="4"/>
        <v>43.201620023496702</v>
      </c>
      <c r="O16" s="16">
        <f t="shared" si="2"/>
        <v>45.110464561845532</v>
      </c>
      <c r="P16" s="68">
        <f t="shared" si="2"/>
        <v>50.629585181154688</v>
      </c>
      <c r="Q16" s="17">
        <f t="shared" si="0"/>
        <v>33.260035829520177</v>
      </c>
      <c r="R16" s="18">
        <f t="shared" si="8"/>
        <v>9.1521657804700229</v>
      </c>
      <c r="S16" s="18">
        <f t="shared" si="1"/>
        <v>12.234679187891206</v>
      </c>
      <c r="T16" s="19" t="s">
        <v>31</v>
      </c>
      <c r="W16" s="20"/>
    </row>
    <row r="17" spans="1:23" ht="19.5" customHeight="1" x14ac:dyDescent="0.25">
      <c r="A17" s="26" t="s">
        <v>32</v>
      </c>
      <c r="B17" s="15">
        <v>0</v>
      </c>
      <c r="C17" s="15">
        <v>0</v>
      </c>
      <c r="D17" s="15">
        <v>0</v>
      </c>
      <c r="E17" s="15">
        <v>0</v>
      </c>
      <c r="F17" s="15">
        <v>45483359.280000009</v>
      </c>
      <c r="G17" s="15">
        <v>633548360.1105001</v>
      </c>
      <c r="H17" s="64">
        <v>693830414.08589995</v>
      </c>
      <c r="I17" s="67">
        <v>810351536.37912428</v>
      </c>
      <c r="J17" s="16">
        <f>(C17/$C$34)*100</f>
        <v>0</v>
      </c>
      <c r="K17" s="16">
        <f>(D17/$D$34)*100</f>
        <v>0</v>
      </c>
      <c r="L17" s="16">
        <f>(E17/$E$34)*100</f>
        <v>0</v>
      </c>
      <c r="M17" s="16">
        <f>(F17/$F$34)*100</f>
        <v>0.34841142648874801</v>
      </c>
      <c r="N17" s="16">
        <f t="shared" si="4"/>
        <v>4.3604984516716687</v>
      </c>
      <c r="O17" s="16">
        <f t="shared" si="2"/>
        <v>4.5682999155372626</v>
      </c>
      <c r="P17" s="68">
        <f t="shared" si="2"/>
        <v>5.3354952161810614</v>
      </c>
      <c r="Q17" s="27" t="s">
        <v>1</v>
      </c>
      <c r="R17" s="18">
        <f t="shared" si="8"/>
        <v>9.51498855823505</v>
      </c>
      <c r="S17" s="18">
        <f t="shared" si="1"/>
        <v>16.793890830908211</v>
      </c>
      <c r="T17" s="28" t="s">
        <v>0</v>
      </c>
      <c r="W17" s="20"/>
    </row>
    <row r="18" spans="1:23" ht="19.5" customHeight="1" x14ac:dyDescent="0.25">
      <c r="A18" s="26" t="s">
        <v>33</v>
      </c>
      <c r="B18" s="15">
        <v>0</v>
      </c>
      <c r="C18" s="15">
        <v>0</v>
      </c>
      <c r="D18" s="15">
        <v>0</v>
      </c>
      <c r="E18" s="15">
        <v>0</v>
      </c>
      <c r="F18" s="15">
        <v>0</v>
      </c>
      <c r="G18" s="15">
        <v>14583885.27</v>
      </c>
      <c r="H18" s="64">
        <v>114217777.93000001</v>
      </c>
      <c r="I18" s="67">
        <v>101829058.88500001</v>
      </c>
      <c r="J18" s="16"/>
      <c r="K18" s="16" t="s">
        <v>1</v>
      </c>
      <c r="L18" s="16" t="s">
        <v>1</v>
      </c>
      <c r="M18" s="16" t="s">
        <v>1</v>
      </c>
      <c r="N18" s="16">
        <f t="shared" si="4"/>
        <v>0.10037593519790773</v>
      </c>
      <c r="O18" s="16">
        <f t="shared" si="2"/>
        <v>0.75202968142857096</v>
      </c>
      <c r="P18" s="68">
        <f t="shared" si="2"/>
        <v>0.6704602041933434</v>
      </c>
      <c r="Q18" s="27" t="s">
        <v>1</v>
      </c>
      <c r="R18" s="18">
        <f t="shared" si="8"/>
        <v>683.17797908732462</v>
      </c>
      <c r="S18" s="18">
        <f t="shared" si="1"/>
        <v>-10.846576837270117</v>
      </c>
      <c r="T18" s="28" t="s">
        <v>34</v>
      </c>
      <c r="W18" s="20"/>
    </row>
    <row r="19" spans="1:23" ht="19.5" customHeight="1" x14ac:dyDescent="0.25">
      <c r="A19" s="23" t="s">
        <v>35</v>
      </c>
      <c r="B19" s="15">
        <v>91658196.929999992</v>
      </c>
      <c r="C19" s="15">
        <v>89591327.080000013</v>
      </c>
      <c r="D19" s="15">
        <v>95183780.023000002</v>
      </c>
      <c r="E19" s="15">
        <v>107989839.28320001</v>
      </c>
      <c r="F19" s="15">
        <v>109410607.41999999</v>
      </c>
      <c r="G19" s="15">
        <v>131238101.505</v>
      </c>
      <c r="H19" s="64">
        <v>145152134.95160002</v>
      </c>
      <c r="I19" s="67">
        <v>141767992.15759999</v>
      </c>
      <c r="J19" s="16">
        <f>(C19/$C$34)*100</f>
        <v>1.2526448581733647</v>
      </c>
      <c r="K19" s="16">
        <f>(D19/$D$34)*100</f>
        <v>1.0596207415647125</v>
      </c>
      <c r="L19" s="16">
        <f>(E19/$E$34)*100</f>
        <v>0.93925458666342043</v>
      </c>
      <c r="M19" s="16">
        <f>(F19/$F$34)*100</f>
        <v>0.83810664840151139</v>
      </c>
      <c r="N19" s="16">
        <f t="shared" si="4"/>
        <v>0.9032673343406189</v>
      </c>
      <c r="O19" s="16">
        <f t="shared" si="2"/>
        <v>0.95570685916537612</v>
      </c>
      <c r="P19" s="68">
        <f t="shared" si="2"/>
        <v>0.93342507542379105</v>
      </c>
      <c r="Q19" s="17">
        <f t="shared" ref="Q19:Q34" si="9">((F19/E19)-1)*100</f>
        <v>1.3156498298641406</v>
      </c>
      <c r="R19" s="18">
        <f>((H19/G19)-1)*100</f>
        <v>10.602129478434975</v>
      </c>
      <c r="S19" s="18">
        <f t="shared" si="1"/>
        <v>-2.3314454142396523</v>
      </c>
      <c r="T19" s="25" t="s">
        <v>36</v>
      </c>
      <c r="V19" s="24"/>
      <c r="W19" s="20"/>
    </row>
    <row r="20" spans="1:23" ht="19.5" customHeight="1" x14ac:dyDescent="0.25">
      <c r="A20" s="26" t="s">
        <v>37</v>
      </c>
      <c r="B20" s="15">
        <v>0</v>
      </c>
      <c r="C20" s="15">
        <v>0</v>
      </c>
      <c r="D20" s="15">
        <v>0</v>
      </c>
      <c r="E20" s="15">
        <v>114128047.2168</v>
      </c>
      <c r="F20" s="15">
        <v>106062455.44999999</v>
      </c>
      <c r="G20" s="15">
        <v>866691371.39180005</v>
      </c>
      <c r="H20" s="64">
        <v>543512031.66699994</v>
      </c>
      <c r="I20" s="67">
        <v>322067119.80123889</v>
      </c>
      <c r="J20" s="27" t="s">
        <v>1</v>
      </c>
      <c r="K20" s="15" t="s">
        <v>1</v>
      </c>
      <c r="L20" s="15" t="s">
        <v>1</v>
      </c>
      <c r="M20" s="16">
        <f>(F20/$F$34)*100</f>
        <v>0.81245914957040022</v>
      </c>
      <c r="N20" s="16">
        <f t="shared" si="4"/>
        <v>5.9651427120291034</v>
      </c>
      <c r="O20" s="16">
        <f t="shared" si="2"/>
        <v>3.5785775860359479</v>
      </c>
      <c r="P20" s="68">
        <f t="shared" si="2"/>
        <v>2.1205458370165573</v>
      </c>
      <c r="Q20" s="17">
        <f t="shared" si="9"/>
        <v>-7.0671425328766464</v>
      </c>
      <c r="R20" s="18">
        <f t="shared" si="8"/>
        <v>-37.288860878563234</v>
      </c>
      <c r="S20" s="18">
        <f t="shared" si="1"/>
        <v>-40.743332063242413</v>
      </c>
      <c r="T20" s="28" t="s">
        <v>38</v>
      </c>
      <c r="V20" s="24"/>
      <c r="W20" s="20"/>
    </row>
    <row r="21" spans="1:23" ht="19.5" customHeight="1" x14ac:dyDescent="0.25">
      <c r="A21" s="21" t="s">
        <v>39</v>
      </c>
      <c r="B21" s="15">
        <v>7338828.0599999996</v>
      </c>
      <c r="C21" s="15">
        <v>16626055.370000001</v>
      </c>
      <c r="D21" s="15">
        <v>20650873.640000001</v>
      </c>
      <c r="E21" s="15">
        <v>28491864.500000004</v>
      </c>
      <c r="F21" s="15">
        <v>29136730.280000005</v>
      </c>
      <c r="G21" s="15">
        <v>23143294.260000002</v>
      </c>
      <c r="H21" s="64">
        <v>93789092.709999979</v>
      </c>
      <c r="I21" s="67">
        <v>38892608.93</v>
      </c>
      <c r="J21" s="16">
        <f>(C21/$C$34)*100</f>
        <v>0.23246159477400338</v>
      </c>
      <c r="K21" s="16">
        <f>(D21/$D$34)*100</f>
        <v>0.2298930977009784</v>
      </c>
      <c r="L21" s="16">
        <f>(E21/$E$34)*100</f>
        <v>0.24781141070168178</v>
      </c>
      <c r="M21" s="16">
        <f>(F21/$F$34)*100</f>
        <v>0.22319305171763243</v>
      </c>
      <c r="N21" s="16">
        <f t="shared" si="4"/>
        <v>0.15928744377100204</v>
      </c>
      <c r="O21" s="16">
        <f t="shared" si="2"/>
        <v>0.61752367092452676</v>
      </c>
      <c r="P21" s="68">
        <f t="shared" si="2"/>
        <v>0.25607569008634712</v>
      </c>
      <c r="Q21" s="17">
        <f t="shared" si="9"/>
        <v>2.2633330296794041</v>
      </c>
      <c r="R21" s="18">
        <f>((H21/G21)-1)*100</f>
        <v>305.25385736507491</v>
      </c>
      <c r="S21" s="18">
        <f t="shared" si="1"/>
        <v>-58.531842236433974</v>
      </c>
      <c r="T21" s="25" t="s">
        <v>40</v>
      </c>
      <c r="W21" s="20"/>
    </row>
    <row r="22" spans="1:23" ht="19.5" customHeight="1" x14ac:dyDescent="0.25">
      <c r="A22" s="21" t="s">
        <v>41</v>
      </c>
      <c r="B22" s="15">
        <v>511255000</v>
      </c>
      <c r="C22" s="15">
        <v>168705000</v>
      </c>
      <c r="D22" s="15">
        <v>0</v>
      </c>
      <c r="E22" s="15">
        <v>789362981.79999995</v>
      </c>
      <c r="F22" s="15">
        <v>1096364901.3800001</v>
      </c>
      <c r="G22" s="15">
        <v>569097504.54999995</v>
      </c>
      <c r="H22" s="64">
        <v>117413250</v>
      </c>
      <c r="I22" s="67">
        <v>76700000</v>
      </c>
      <c r="J22" s="16">
        <f>(C22/$C$34)*100</f>
        <v>2.3587936208315563</v>
      </c>
      <c r="K22" s="16">
        <f>(D22/$D$34)*100</f>
        <v>0</v>
      </c>
      <c r="L22" s="16">
        <f>(E22/$E$34)*100</f>
        <v>6.8655792630048449</v>
      </c>
      <c r="M22" s="16">
        <f>(F22/$F$34)*100</f>
        <v>8.3983695419341799</v>
      </c>
      <c r="N22" s="16">
        <f t="shared" si="4"/>
        <v>3.9169050757351296</v>
      </c>
      <c r="O22" s="16">
        <f t="shared" si="2"/>
        <v>0.77306922436459935</v>
      </c>
      <c r="P22" s="68">
        <f t="shared" si="2"/>
        <v>0.50500611735698298</v>
      </c>
      <c r="Q22" s="17">
        <f t="shared" si="9"/>
        <v>38.892363419416711</v>
      </c>
      <c r="R22" s="18">
        <f>((H22/G22)-1)*100</f>
        <v>-79.368517861830782</v>
      </c>
      <c r="S22" s="18">
        <f t="shared" si="1"/>
        <v>-34.6751750760668</v>
      </c>
      <c r="T22" s="19" t="s">
        <v>42</v>
      </c>
      <c r="W22" s="20"/>
    </row>
    <row r="23" spans="1:23" ht="19.5" customHeight="1" x14ac:dyDescent="0.25">
      <c r="A23" s="21" t="s">
        <v>43</v>
      </c>
      <c r="B23" s="15"/>
      <c r="C23" s="15"/>
      <c r="D23" s="15">
        <v>0</v>
      </c>
      <c r="E23" s="15">
        <v>0</v>
      </c>
      <c r="F23" s="15">
        <v>0</v>
      </c>
      <c r="G23" s="15">
        <v>0</v>
      </c>
      <c r="H23" s="64">
        <v>2455050</v>
      </c>
      <c r="I23" s="67">
        <v>383500</v>
      </c>
      <c r="J23" s="16"/>
      <c r="K23" s="16">
        <f t="shared" ref="K23:K34" si="10">(D23/$D$34)*100</f>
        <v>0</v>
      </c>
      <c r="L23" s="16">
        <f t="shared" ref="L23:L25" si="11">(E23/$E$34)*100</f>
        <v>0</v>
      </c>
      <c r="M23" s="16">
        <f t="shared" ref="M23:M25" si="12">(F23/$F$34)*100</f>
        <v>0</v>
      </c>
      <c r="N23" s="16">
        <f t="shared" si="4"/>
        <v>0</v>
      </c>
      <c r="O23" s="16">
        <f t="shared" si="2"/>
        <v>1.616447546828241E-2</v>
      </c>
      <c r="P23" s="68">
        <f t="shared" si="2"/>
        <v>2.5250305867849147E-3</v>
      </c>
      <c r="Q23" s="17" t="e">
        <f t="shared" si="9"/>
        <v>#DIV/0!</v>
      </c>
      <c r="R23" s="59">
        <v>0</v>
      </c>
      <c r="S23" s="18">
        <f t="shared" si="1"/>
        <v>-84.379136881122591</v>
      </c>
      <c r="T23" s="19" t="s">
        <v>44</v>
      </c>
      <c r="W23" s="20"/>
    </row>
    <row r="24" spans="1:23" ht="19.5" customHeight="1" x14ac:dyDescent="0.25">
      <c r="A24" s="23" t="s">
        <v>45</v>
      </c>
      <c r="B24" s="15">
        <v>87861980</v>
      </c>
      <c r="C24" s="15">
        <v>171860080</v>
      </c>
      <c r="D24" s="15">
        <v>177775270</v>
      </c>
      <c r="E24" s="15">
        <v>227539500</v>
      </c>
      <c r="F24" s="15">
        <v>248727790</v>
      </c>
      <c r="G24" s="15">
        <v>262209160</v>
      </c>
      <c r="H24" s="64">
        <v>263253500</v>
      </c>
      <c r="I24" s="67">
        <v>309518100</v>
      </c>
      <c r="J24" s="16">
        <f>(C24/$C$34)*100</f>
        <v>2.4029072071343522</v>
      </c>
      <c r="K24" s="16">
        <f t="shared" si="10"/>
        <v>1.9790594929487844</v>
      </c>
      <c r="L24" s="16">
        <f t="shared" si="11"/>
        <v>1.9790521075009084</v>
      </c>
      <c r="M24" s="16">
        <f t="shared" si="12"/>
        <v>1.9053035108468737</v>
      </c>
      <c r="N24" s="16">
        <f t="shared" si="4"/>
        <v>1.8046967022291871</v>
      </c>
      <c r="O24" s="16">
        <f t="shared" si="2"/>
        <v>1.7333067524854824</v>
      </c>
      <c r="P24" s="68">
        <f t="shared" si="2"/>
        <v>2.037920911769366</v>
      </c>
      <c r="Q24" s="17">
        <f t="shared" si="9"/>
        <v>9.311917271506708</v>
      </c>
      <c r="R24" s="18">
        <f>((H24/G24)-1)*100</f>
        <v>0.398285094235451</v>
      </c>
      <c r="S24" s="18">
        <f t="shared" si="1"/>
        <v>17.574163306470769</v>
      </c>
      <c r="T24" s="19" t="s">
        <v>46</v>
      </c>
      <c r="W24" s="20"/>
    </row>
    <row r="25" spans="1:23" ht="19.5" customHeight="1" x14ac:dyDescent="0.25">
      <c r="A25" s="21" t="s">
        <v>47</v>
      </c>
      <c r="B25" s="15">
        <v>37072935</v>
      </c>
      <c r="C25" s="15">
        <v>39918623.75</v>
      </c>
      <c r="D25" s="15">
        <v>32890380.349999998</v>
      </c>
      <c r="E25" s="15">
        <v>38065530.5</v>
      </c>
      <c r="F25" s="15">
        <v>37610881.899999999</v>
      </c>
      <c r="G25" s="15">
        <v>43317638.149999999</v>
      </c>
      <c r="H25" s="64">
        <v>44345946.150000006</v>
      </c>
      <c r="I25" s="67">
        <v>47589257.07</v>
      </c>
      <c r="J25" s="16">
        <f>(C25/$C$34)*100</f>
        <v>0.55813280610459126</v>
      </c>
      <c r="K25" s="16">
        <f t="shared" si="10"/>
        <v>0.36614777442533858</v>
      </c>
      <c r="L25" s="16">
        <f t="shared" si="11"/>
        <v>0.33107951964017285</v>
      </c>
      <c r="M25" s="16">
        <f t="shared" si="12"/>
        <v>0.28810671027196894</v>
      </c>
      <c r="N25" s="16">
        <f t="shared" si="4"/>
        <v>0.2981406092665192</v>
      </c>
      <c r="O25" s="16">
        <f t="shared" si="2"/>
        <v>0.29198140920121707</v>
      </c>
      <c r="P25" s="68">
        <f t="shared" si="2"/>
        <v>0.31333593143186506</v>
      </c>
      <c r="Q25" s="17">
        <f t="shared" si="9"/>
        <v>-1.1943839847444182</v>
      </c>
      <c r="R25" s="18">
        <f t="shared" si="8"/>
        <v>2.3738782720313267</v>
      </c>
      <c r="S25" s="18">
        <f t="shared" si="1"/>
        <v>7.3136581842892845</v>
      </c>
      <c r="T25" s="25" t="s">
        <v>48</v>
      </c>
      <c r="V25" s="22"/>
      <c r="W25" s="20"/>
    </row>
    <row r="26" spans="1:23" ht="19.5" customHeight="1" x14ac:dyDescent="0.25">
      <c r="A26" s="23" t="s">
        <v>49</v>
      </c>
      <c r="B26" s="15">
        <v>78480509.9366</v>
      </c>
      <c r="C26" s="15">
        <v>76481814.014899984</v>
      </c>
      <c r="D26" s="15">
        <v>101471706.8211</v>
      </c>
      <c r="E26" s="15">
        <v>89108745.615999997</v>
      </c>
      <c r="F26" s="15">
        <v>78572636.02790001</v>
      </c>
      <c r="G26" s="15">
        <v>74137837.046100006</v>
      </c>
      <c r="H26" s="64">
        <v>77076859.132199988</v>
      </c>
      <c r="I26" s="67">
        <v>76455203.800423443</v>
      </c>
      <c r="J26" s="16">
        <f>(C26/$C$34)*100</f>
        <v>1.0693507306124395</v>
      </c>
      <c r="K26" s="16">
        <f t="shared" si="10"/>
        <v>1.1296202483619564</v>
      </c>
      <c r="L26" s="16">
        <f>(E26/$E$34)*100</f>
        <v>0.77503400863633398</v>
      </c>
      <c r="M26" s="16">
        <f>(F26/$F$34)*100</f>
        <v>0.60188175708251757</v>
      </c>
      <c r="N26" s="16">
        <f>(G26/$G$34)*100</f>
        <v>0.51026558350402995</v>
      </c>
      <c r="O26" s="16">
        <f t="shared" si="2"/>
        <v>0.50748742331712415</v>
      </c>
      <c r="P26" s="68">
        <f t="shared" si="2"/>
        <v>0.50339433667521105</v>
      </c>
      <c r="Q26" s="17">
        <f t="shared" si="9"/>
        <v>-11.823878245917275</v>
      </c>
      <c r="R26" s="18">
        <f t="shared" si="8"/>
        <v>3.9642673743940593</v>
      </c>
      <c r="S26" s="18">
        <f t="shared" si="1"/>
        <v>-0.806539522725358</v>
      </c>
      <c r="T26" s="25" t="s">
        <v>50</v>
      </c>
      <c r="V26" s="24"/>
      <c r="W26" s="20"/>
    </row>
    <row r="27" spans="1:23" ht="19.5" customHeight="1" x14ac:dyDescent="0.25">
      <c r="A27" s="23" t="s">
        <v>51</v>
      </c>
      <c r="B27" s="15">
        <v>139511809.34999999</v>
      </c>
      <c r="C27" s="15">
        <v>17563271.770000003</v>
      </c>
      <c r="D27" s="15">
        <v>245418995.9262</v>
      </c>
      <c r="E27" s="15">
        <v>6604867.4700000007</v>
      </c>
      <c r="F27" s="15">
        <v>6902539.540000001</v>
      </c>
      <c r="G27" s="15">
        <v>13064079.890000001</v>
      </c>
      <c r="H27" s="64">
        <v>27521170.030000005</v>
      </c>
      <c r="I27" s="67">
        <v>41374810.480000004</v>
      </c>
      <c r="J27" s="16">
        <f>(C27/$C$34)*100</f>
        <v>0.24556553399132786</v>
      </c>
      <c r="K27" s="16">
        <f t="shared" si="10"/>
        <v>2.7320942538166597</v>
      </c>
      <c r="L27" s="16">
        <f>(E27/$E$34)*100</f>
        <v>5.744662744827906E-2</v>
      </c>
      <c r="M27" s="16">
        <f>(F27/$F$34)*100</f>
        <v>5.2874802688197269E-2</v>
      </c>
      <c r="N27" s="16">
        <f>(G27/$G$34)*100</f>
        <v>8.9915630312616249E-2</v>
      </c>
      <c r="O27" s="16">
        <f t="shared" si="2"/>
        <v>0.18120416195530201</v>
      </c>
      <c r="P27" s="68">
        <f t="shared" si="2"/>
        <v>0.27241893607413048</v>
      </c>
      <c r="Q27" s="17">
        <f t="shared" si="9"/>
        <v>4.5068590906942152</v>
      </c>
      <c r="R27" s="18">
        <f t="shared" si="8"/>
        <v>110.66290363905607</v>
      </c>
      <c r="S27" s="18">
        <f t="shared" si="1"/>
        <v>50.338123106316203</v>
      </c>
      <c r="T27" s="25" t="s">
        <v>52</v>
      </c>
      <c r="V27" s="24"/>
      <c r="W27" s="20"/>
    </row>
    <row r="28" spans="1:23" ht="19.5" customHeight="1" x14ac:dyDescent="0.25">
      <c r="A28" s="23" t="s">
        <v>53</v>
      </c>
      <c r="B28" s="15"/>
      <c r="C28" s="15"/>
      <c r="D28" s="15">
        <v>0</v>
      </c>
      <c r="E28" s="15">
        <v>0</v>
      </c>
      <c r="F28" s="15">
        <v>0</v>
      </c>
      <c r="G28" s="15">
        <v>0</v>
      </c>
      <c r="H28" s="64">
        <v>16865000</v>
      </c>
      <c r="I28" s="67">
        <v>21484000</v>
      </c>
      <c r="J28" s="16"/>
      <c r="K28" s="16">
        <f t="shared" si="10"/>
        <v>0</v>
      </c>
      <c r="L28" s="16">
        <f t="shared" ref="L28:L29" si="13">(E28/$E$34)*100</f>
        <v>0</v>
      </c>
      <c r="M28" s="16">
        <f t="shared" ref="M28:M34" si="14">(F28/$F$34)*100</f>
        <v>0</v>
      </c>
      <c r="N28" s="16">
        <f t="shared" ref="N28:N34" si="15">(G28/$G$34)*100</f>
        <v>0</v>
      </c>
      <c r="O28" s="16">
        <f t="shared" si="2"/>
        <v>0.11104208825587376</v>
      </c>
      <c r="P28" s="68">
        <f t="shared" si="2"/>
        <v>0.14145438624898854</v>
      </c>
      <c r="Q28" s="17" t="e">
        <f t="shared" si="9"/>
        <v>#DIV/0!</v>
      </c>
      <c r="R28" s="59">
        <v>0</v>
      </c>
      <c r="S28" s="18">
        <f t="shared" si="1"/>
        <v>27.388081826267417</v>
      </c>
      <c r="T28" s="25" t="s">
        <v>54</v>
      </c>
      <c r="V28" s="24"/>
      <c r="W28" s="20"/>
    </row>
    <row r="29" spans="1:23" ht="19.5" customHeight="1" x14ac:dyDescent="0.25">
      <c r="A29" s="21" t="s">
        <v>55</v>
      </c>
      <c r="B29" s="15">
        <v>1202495510.0143998</v>
      </c>
      <c r="C29" s="15">
        <v>1049841778.2217</v>
      </c>
      <c r="D29" s="15">
        <v>1068823153.4752001</v>
      </c>
      <c r="E29" s="15">
        <v>1156222825.7628999</v>
      </c>
      <c r="F29" s="15">
        <v>1197553906.7299998</v>
      </c>
      <c r="G29" s="15">
        <v>1449680465.8505001</v>
      </c>
      <c r="H29" s="64">
        <v>1401635711.642</v>
      </c>
      <c r="I29" s="67">
        <v>1535324376.8510952</v>
      </c>
      <c r="J29" s="16">
        <f t="shared" ref="J29:J34" si="16">(C29/$C$34)*100</f>
        <v>14.678640759620659</v>
      </c>
      <c r="K29" s="16">
        <f t="shared" si="10"/>
        <v>11.898531264604745</v>
      </c>
      <c r="L29" s="16">
        <f t="shared" si="13"/>
        <v>10.056386781489467</v>
      </c>
      <c r="M29" s="16">
        <f t="shared" si="14"/>
        <v>9.1734971107211543</v>
      </c>
      <c r="N29" s="16">
        <f t="shared" si="15"/>
        <v>9.9776588888293194</v>
      </c>
      <c r="O29" s="16">
        <f t="shared" si="2"/>
        <v>9.2286128902896749</v>
      </c>
      <c r="P29" s="68">
        <f t="shared" si="2"/>
        <v>10.108842274277716</v>
      </c>
      <c r="Q29" s="17">
        <f t="shared" si="9"/>
        <v>3.5746639874393304</v>
      </c>
      <c r="R29" s="18">
        <f>((H29/G29)-1)*100</f>
        <v>-3.3141616611570446</v>
      </c>
      <c r="S29" s="18">
        <f t="shared" si="1"/>
        <v>9.5380464480660621</v>
      </c>
      <c r="T29" s="25" t="s">
        <v>56</v>
      </c>
      <c r="V29" s="22"/>
      <c r="W29" s="20"/>
    </row>
    <row r="30" spans="1:23" ht="19.5" customHeight="1" x14ac:dyDescent="0.25">
      <c r="A30" s="21" t="s">
        <v>57</v>
      </c>
      <c r="B30" s="15">
        <v>750739844.92149997</v>
      </c>
      <c r="C30" s="15">
        <v>802900158.02600002</v>
      </c>
      <c r="D30" s="15">
        <v>860140725.22539997</v>
      </c>
      <c r="E30" s="15">
        <v>804701951.22000003</v>
      </c>
      <c r="F30" s="15">
        <v>632505.73999999987</v>
      </c>
      <c r="G30" s="15">
        <v>152966.62</v>
      </c>
      <c r="H30" s="64">
        <v>3072</v>
      </c>
      <c r="I30" s="67">
        <v>3561</v>
      </c>
      <c r="J30" s="16">
        <f t="shared" si="16"/>
        <v>11.225961120988574</v>
      </c>
      <c r="K30" s="16">
        <f t="shared" si="10"/>
        <v>9.5754019528654339</v>
      </c>
      <c r="L30" s="16">
        <f>(E30/$E$34)*100</f>
        <v>6.9989917903134806</v>
      </c>
      <c r="M30" s="16">
        <f t="shared" si="14"/>
        <v>4.8451176567475612E-3</v>
      </c>
      <c r="N30" s="16">
        <f t="shared" si="15"/>
        <v>1.0528173564384447E-3</v>
      </c>
      <c r="O30" s="16">
        <f t="shared" si="2"/>
        <v>2.0226581388795978E-5</v>
      </c>
      <c r="P30" s="68">
        <f t="shared" si="2"/>
        <v>2.3446242293457838E-5</v>
      </c>
      <c r="Q30" s="17">
        <f t="shared" si="9"/>
        <v>-99.92139875651587</v>
      </c>
      <c r="R30" s="18">
        <f t="shared" si="8"/>
        <v>-97.991718716148654</v>
      </c>
      <c r="S30" s="18">
        <f t="shared" si="1"/>
        <v>15.91796875</v>
      </c>
      <c r="T30" s="25" t="s">
        <v>58</v>
      </c>
      <c r="W30" s="20"/>
    </row>
    <row r="31" spans="1:23" ht="19.5" customHeight="1" x14ac:dyDescent="0.25">
      <c r="A31" s="21" t="s">
        <v>59</v>
      </c>
      <c r="B31" s="15">
        <v>47548283.660000004</v>
      </c>
      <c r="C31" s="15">
        <v>45912900.350000001</v>
      </c>
      <c r="D31" s="15">
        <v>49700980.010000005</v>
      </c>
      <c r="E31" s="15">
        <v>52186302.670000002</v>
      </c>
      <c r="F31" s="15">
        <v>62245584.850000001</v>
      </c>
      <c r="G31" s="15">
        <v>75695789.819999993</v>
      </c>
      <c r="H31" s="64">
        <v>83803210</v>
      </c>
      <c r="I31" s="67">
        <v>92499013.730000004</v>
      </c>
      <c r="J31" s="16">
        <f t="shared" si="16"/>
        <v>0.64194337132541979</v>
      </c>
      <c r="K31" s="16">
        <f t="shared" si="10"/>
        <v>0.55328953401476078</v>
      </c>
      <c r="L31" s="16">
        <f>(E31/$E$34)*100</f>
        <v>0.45389663017517307</v>
      </c>
      <c r="M31" s="16">
        <f t="shared" si="14"/>
        <v>0.47681335225718835</v>
      </c>
      <c r="N31" s="16">
        <f t="shared" si="15"/>
        <v>0.52098844396125465</v>
      </c>
      <c r="O31" s="16">
        <f t="shared" si="2"/>
        <v>0.55177488532140662</v>
      </c>
      <c r="P31" s="68">
        <f t="shared" si="2"/>
        <v>0.60902956692487042</v>
      </c>
      <c r="Q31" s="17">
        <f t="shared" si="9"/>
        <v>19.27571348292263</v>
      </c>
      <c r="R31" s="18">
        <f t="shared" ref="R31:R32" si="17">((H31/G31)-1)*100</f>
        <v>10.710529871316442</v>
      </c>
      <c r="S31" s="18">
        <f t="shared" si="1"/>
        <v>10.376456617831241</v>
      </c>
      <c r="T31" s="19" t="s">
        <v>60</v>
      </c>
      <c r="W31" s="20"/>
    </row>
    <row r="32" spans="1:23" ht="19.5" customHeight="1" x14ac:dyDescent="0.25">
      <c r="A32" s="29" t="s">
        <v>61</v>
      </c>
      <c r="B32" s="15">
        <v>6802023.7300000004</v>
      </c>
      <c r="C32" s="15">
        <v>6443984.5899999999</v>
      </c>
      <c r="D32" s="15">
        <v>6238700.8399999999</v>
      </c>
      <c r="E32" s="15">
        <v>6704584.9800000004</v>
      </c>
      <c r="F32" s="15">
        <v>7051600.6999999993</v>
      </c>
      <c r="G32" s="15">
        <v>20481678.534299999</v>
      </c>
      <c r="H32" s="64">
        <v>28434516.049999997</v>
      </c>
      <c r="I32" s="67">
        <v>26606676.949999999</v>
      </c>
      <c r="J32" s="16">
        <f t="shared" si="16"/>
        <v>9.009827653969267E-2</v>
      </c>
      <c r="K32" s="16">
        <f t="shared" si="10"/>
        <v>6.9451505381314033E-2</v>
      </c>
      <c r="L32" s="16">
        <f>(E32/$E$34)*100</f>
        <v>5.8313932458267409E-2</v>
      </c>
      <c r="M32" s="16">
        <f t="shared" si="14"/>
        <v>5.40166403231431E-2</v>
      </c>
      <c r="N32" s="16">
        <f t="shared" si="15"/>
        <v>0.14096844559880953</v>
      </c>
      <c r="O32" s="16">
        <f t="shared" si="2"/>
        <v>0.18721779073448908</v>
      </c>
      <c r="P32" s="68">
        <f t="shared" si="2"/>
        <v>0.17518298073391175</v>
      </c>
      <c r="Q32" s="17">
        <f t="shared" si="9"/>
        <v>5.1757971751444476</v>
      </c>
      <c r="R32" s="18">
        <f t="shared" si="17"/>
        <v>38.829032016988442</v>
      </c>
      <c r="S32" s="18">
        <f t="shared" si="1"/>
        <v>-6.4282405819247153</v>
      </c>
      <c r="T32" s="19" t="s">
        <v>62</v>
      </c>
      <c r="W32" s="20"/>
    </row>
    <row r="33" spans="1:23" ht="19.5" customHeight="1" x14ac:dyDescent="0.25">
      <c r="A33" s="30" t="s">
        <v>63</v>
      </c>
      <c r="B33" s="31">
        <v>0</v>
      </c>
      <c r="C33" s="31">
        <v>0</v>
      </c>
      <c r="D33" s="31">
        <v>283466.0528</v>
      </c>
      <c r="E33" s="31">
        <v>283466.0528</v>
      </c>
      <c r="F33" s="31">
        <v>80058.31</v>
      </c>
      <c r="G33" s="15">
        <v>1281640.1099999999</v>
      </c>
      <c r="H33" s="64">
        <v>6044494.1975999996</v>
      </c>
      <c r="I33" s="67">
        <v>6359389.9710999997</v>
      </c>
      <c r="J33" s="16">
        <f t="shared" si="16"/>
        <v>0</v>
      </c>
      <c r="K33" s="16">
        <f t="shared" si="10"/>
        <v>3.1556480421746028E-3</v>
      </c>
      <c r="L33" s="16">
        <f>(E33/$E$34)*100</f>
        <v>2.4654800120366082E-3</v>
      </c>
      <c r="M33" s="16">
        <f t="shared" si="14"/>
        <v>6.1326231023669435E-4</v>
      </c>
      <c r="N33" s="16">
        <f t="shared" si="15"/>
        <v>8.8210941218134879E-3</v>
      </c>
      <c r="O33" s="66">
        <f t="shared" si="2"/>
        <v>3.9797999297480936E-2</v>
      </c>
      <c r="P33" s="69">
        <f t="shared" si="2"/>
        <v>4.1871327745295263E-2</v>
      </c>
      <c r="Q33" s="17">
        <f t="shared" si="9"/>
        <v>-71.757355348477915</v>
      </c>
      <c r="R33" s="18">
        <f>((H33/G33)-1)*100</f>
        <v>371.62180322212299</v>
      </c>
      <c r="S33" s="18">
        <f t="shared" si="1"/>
        <v>5.2096298417331877</v>
      </c>
      <c r="T33" s="19" t="s">
        <v>64</v>
      </c>
      <c r="W33" s="20"/>
    </row>
    <row r="34" spans="1:23" ht="19.5" customHeight="1" x14ac:dyDescent="0.25">
      <c r="A34" s="32" t="s">
        <v>65</v>
      </c>
      <c r="B34" s="33">
        <f t="shared" ref="B34:H34" si="18">SUM(B8:B33)</f>
        <v>4560205196.3689995</v>
      </c>
      <c r="C34" s="33">
        <f t="shared" si="18"/>
        <v>7152172979.8695002</v>
      </c>
      <c r="D34" s="33">
        <f t="shared" si="18"/>
        <v>8982815859.421999</v>
      </c>
      <c r="E34" s="33">
        <f t="shared" si="18"/>
        <v>11497398130.023495</v>
      </c>
      <c r="F34" s="34">
        <f t="shared" si="18"/>
        <v>13054497017.614002</v>
      </c>
      <c r="G34" s="34">
        <f t="shared" si="18"/>
        <v>14529264650.182798</v>
      </c>
      <c r="H34" s="34">
        <f t="shared" si="18"/>
        <v>15187934831.645151</v>
      </c>
      <c r="I34" s="70">
        <f t="shared" ref="I34" si="19">SUM(I8:I33)</f>
        <v>16299086541.852722</v>
      </c>
      <c r="J34" s="35">
        <f t="shared" si="16"/>
        <v>100</v>
      </c>
      <c r="K34" s="36">
        <f t="shared" si="10"/>
        <v>100</v>
      </c>
      <c r="L34" s="36">
        <f>(E34/$E$34)*100</f>
        <v>100</v>
      </c>
      <c r="M34" s="36">
        <f t="shared" si="14"/>
        <v>100</v>
      </c>
      <c r="N34" s="36">
        <f t="shared" si="15"/>
        <v>100</v>
      </c>
      <c r="O34" s="65">
        <f t="shared" si="2"/>
        <v>100</v>
      </c>
      <c r="P34" s="71">
        <f t="shared" si="2"/>
        <v>107.31601578835068</v>
      </c>
      <c r="Q34" s="37">
        <f t="shared" si="9"/>
        <v>13.543054437024393</v>
      </c>
      <c r="R34" s="37">
        <f>((H34/G34)-1)*100</f>
        <v>4.5334034262640044</v>
      </c>
      <c r="S34" s="37">
        <f>((I34/H34)-1)*100</f>
        <v>7.3160157883506827</v>
      </c>
      <c r="T34" s="38" t="s">
        <v>66</v>
      </c>
    </row>
    <row r="35" spans="1:23" s="42" customFormat="1" ht="15" customHeight="1" x14ac:dyDescent="0.25">
      <c r="A35" s="39" t="s">
        <v>67</v>
      </c>
      <c r="B35" s="40"/>
      <c r="C35" s="40"/>
      <c r="D35" s="40"/>
      <c r="E35" s="40"/>
      <c r="F35" s="41"/>
      <c r="G35" s="41"/>
      <c r="H35" s="41"/>
      <c r="I35" s="41"/>
      <c r="L35" s="43"/>
      <c r="M35" s="44"/>
      <c r="N35" s="44"/>
      <c r="O35" s="44"/>
      <c r="P35" s="44"/>
    </row>
    <row r="36" spans="1:23" s="42" customFormat="1" ht="15" customHeight="1" x14ac:dyDescent="0.25">
      <c r="A36" s="45" t="s">
        <v>68</v>
      </c>
      <c r="B36" s="41"/>
      <c r="C36" s="41"/>
      <c r="D36" s="41"/>
      <c r="E36" s="41"/>
      <c r="F36" s="41"/>
      <c r="G36" s="41"/>
      <c r="H36" s="41"/>
      <c r="I36" s="41"/>
      <c r="L36" s="44"/>
      <c r="M36" s="44"/>
      <c r="N36" s="44"/>
      <c r="O36" s="44"/>
      <c r="P36" s="44"/>
    </row>
    <row r="37" spans="1:23" s="47" customFormat="1" ht="15" customHeight="1" x14ac:dyDescent="0.25">
      <c r="A37" s="45" t="s">
        <v>69</v>
      </c>
      <c r="B37" s="46"/>
      <c r="C37" s="46"/>
      <c r="D37" s="46"/>
      <c r="E37" s="46"/>
      <c r="F37" s="46"/>
      <c r="G37" s="46"/>
      <c r="H37" s="46"/>
      <c r="I37" s="46"/>
      <c r="L37" s="48"/>
      <c r="M37" s="48"/>
      <c r="N37" s="48"/>
      <c r="O37" s="48"/>
      <c r="P37" s="48"/>
    </row>
    <row r="38" spans="1:23" s="47" customFormat="1" ht="15" customHeight="1" x14ac:dyDescent="0.25">
      <c r="A38" s="45" t="s">
        <v>81</v>
      </c>
      <c r="B38" s="46"/>
      <c r="C38" s="46"/>
      <c r="D38" s="46"/>
      <c r="E38" s="46"/>
      <c r="F38" s="46"/>
      <c r="G38" s="46"/>
      <c r="H38" s="46"/>
      <c r="I38" s="46"/>
      <c r="L38" s="48"/>
      <c r="M38" s="48"/>
      <c r="N38" s="48"/>
      <c r="O38" s="48"/>
      <c r="P38" s="48"/>
    </row>
    <row r="39" spans="1:23" s="47" customFormat="1" ht="33" customHeight="1" x14ac:dyDescent="0.25">
      <c r="A39" s="82" t="s">
        <v>82</v>
      </c>
      <c r="B39" s="82"/>
      <c r="C39" s="82"/>
      <c r="D39" s="82"/>
      <c r="E39" s="82"/>
      <c r="F39" s="82"/>
      <c r="G39" s="82"/>
      <c r="H39" s="82"/>
      <c r="I39" s="82"/>
      <c r="J39" s="82"/>
      <c r="K39" s="82"/>
      <c r="L39" s="82"/>
      <c r="M39" s="82"/>
      <c r="N39" s="82"/>
      <c r="O39" s="82"/>
      <c r="P39" s="82"/>
      <c r="Q39" s="82"/>
      <c r="R39" s="82"/>
      <c r="S39" s="82"/>
      <c r="T39" s="82"/>
    </row>
    <row r="40" spans="1:23" s="47" customFormat="1" x14ac:dyDescent="0.25">
      <c r="A40" s="83" t="s">
        <v>70</v>
      </c>
      <c r="B40" s="83"/>
      <c r="C40" s="83"/>
      <c r="D40" s="83"/>
      <c r="E40" s="83"/>
      <c r="F40" s="83"/>
      <c r="G40" s="83"/>
      <c r="H40" s="83"/>
      <c r="I40" s="83"/>
      <c r="J40" s="83"/>
      <c r="K40" s="83"/>
      <c r="L40" s="83"/>
      <c r="M40" s="83"/>
      <c r="N40" s="83"/>
      <c r="O40" s="83"/>
      <c r="P40" s="83"/>
      <c r="Q40" s="83"/>
      <c r="R40" s="83"/>
      <c r="S40" s="83"/>
      <c r="T40" s="83"/>
    </row>
    <row r="41" spans="1:23" s="47" customFormat="1" ht="21.75" customHeight="1" x14ac:dyDescent="0.25">
      <c r="A41" s="83" t="s">
        <v>83</v>
      </c>
      <c r="B41" s="83"/>
      <c r="C41" s="83"/>
      <c r="D41" s="83"/>
      <c r="E41" s="83"/>
      <c r="F41" s="83"/>
      <c r="G41" s="83"/>
      <c r="H41" s="83"/>
      <c r="I41" s="83"/>
      <c r="J41" s="83"/>
      <c r="K41" s="83"/>
      <c r="L41" s="83"/>
      <c r="M41" s="83"/>
      <c r="N41" s="83"/>
      <c r="O41" s="83"/>
      <c r="P41" s="83"/>
      <c r="Q41" s="83"/>
      <c r="R41" s="83"/>
      <c r="S41" s="83"/>
      <c r="T41" s="83"/>
    </row>
    <row r="42" spans="1:23" s="47" customFormat="1" ht="15" x14ac:dyDescent="0.25">
      <c r="A42" s="83" t="s">
        <v>84</v>
      </c>
      <c r="B42" s="83"/>
      <c r="C42" s="83"/>
      <c r="D42" s="83"/>
      <c r="E42" s="83"/>
      <c r="F42" s="83"/>
      <c r="G42" s="83"/>
      <c r="H42" s="83"/>
      <c r="I42" s="83"/>
      <c r="J42" s="83"/>
      <c r="K42" s="83"/>
      <c r="L42" s="83"/>
      <c r="M42" s="83"/>
      <c r="N42" s="83"/>
      <c r="O42" s="83"/>
      <c r="P42" s="83"/>
      <c r="Q42" s="83"/>
      <c r="R42" s="83"/>
      <c r="S42" s="83"/>
      <c r="T42" s="83"/>
      <c r="U42" s="49"/>
    </row>
    <row r="43" spans="1:23" s="50" customFormat="1" ht="17.25" x14ac:dyDescent="0.25">
      <c r="A43" s="83" t="s">
        <v>71</v>
      </c>
      <c r="B43" s="83"/>
      <c r="C43" s="83"/>
      <c r="D43" s="83"/>
      <c r="E43" s="83"/>
      <c r="F43" s="83"/>
      <c r="G43" s="83"/>
      <c r="H43" s="83"/>
      <c r="I43" s="83"/>
      <c r="J43" s="83"/>
      <c r="K43" s="83"/>
      <c r="L43" s="83"/>
      <c r="M43" s="83"/>
      <c r="N43" s="83"/>
      <c r="O43" s="83"/>
      <c r="P43" s="83"/>
      <c r="Q43" s="83"/>
      <c r="R43" s="83"/>
      <c r="S43" s="83"/>
      <c r="T43" s="83"/>
    </row>
    <row r="44" spans="1:23" s="50" customFormat="1" ht="17.25" x14ac:dyDescent="0.25">
      <c r="A44" s="51" t="s">
        <v>72</v>
      </c>
      <c r="B44" s="62"/>
      <c r="C44" s="62"/>
      <c r="D44" s="62"/>
      <c r="E44" s="62"/>
      <c r="F44" s="62"/>
      <c r="G44" s="62"/>
      <c r="H44" s="62"/>
      <c r="I44" s="62"/>
      <c r="J44" s="62"/>
      <c r="K44" s="62"/>
      <c r="L44" s="62"/>
      <c r="M44" s="62"/>
      <c r="N44" s="62"/>
      <c r="O44" s="62"/>
      <c r="P44" s="62"/>
      <c r="Q44" s="62"/>
      <c r="R44" s="62"/>
      <c r="S44" s="62"/>
      <c r="T44" s="62"/>
    </row>
    <row r="45" spans="1:23" s="50" customFormat="1" ht="17.25" x14ac:dyDescent="0.25">
      <c r="A45" s="60" t="s">
        <v>76</v>
      </c>
      <c r="B45" s="62"/>
      <c r="C45" s="62"/>
      <c r="D45" s="62"/>
      <c r="E45" s="62"/>
      <c r="F45" s="62"/>
      <c r="G45" s="62"/>
      <c r="H45" s="62"/>
      <c r="I45" s="62"/>
      <c r="J45" s="62"/>
      <c r="K45" s="62"/>
      <c r="L45" s="62"/>
      <c r="M45" s="62"/>
      <c r="N45" s="62"/>
      <c r="O45" s="62"/>
      <c r="P45" s="62"/>
      <c r="Q45" s="62"/>
      <c r="R45" s="62"/>
      <c r="S45" s="62"/>
      <c r="T45" s="62"/>
    </row>
    <row r="46" spans="1:23" s="47" customFormat="1" ht="37.5" customHeight="1" x14ac:dyDescent="0.25">
      <c r="A46" s="73" t="s">
        <v>73</v>
      </c>
      <c r="B46" s="73"/>
      <c r="C46" s="73"/>
      <c r="D46" s="73"/>
      <c r="E46" s="73"/>
      <c r="F46" s="73"/>
      <c r="G46" s="73"/>
      <c r="H46" s="73"/>
      <c r="I46" s="73"/>
      <c r="J46" s="73"/>
      <c r="K46" s="73"/>
      <c r="L46" s="73"/>
      <c r="M46" s="73"/>
      <c r="N46" s="73"/>
      <c r="O46" s="73"/>
      <c r="P46" s="73"/>
      <c r="Q46" s="73"/>
      <c r="R46" s="73"/>
      <c r="S46" s="73"/>
      <c r="T46" s="73"/>
      <c r="U46" s="52">
        <v>1</v>
      </c>
    </row>
    <row r="47" spans="1:23" s="53" customFormat="1" ht="15" x14ac:dyDescent="0.25">
      <c r="A47" s="92" t="s">
        <v>74</v>
      </c>
      <c r="B47" s="92"/>
      <c r="C47" s="92"/>
      <c r="D47" s="92"/>
      <c r="E47" s="92"/>
      <c r="F47" s="92"/>
      <c r="G47" s="92"/>
      <c r="H47" s="92"/>
      <c r="I47" s="92"/>
      <c r="J47" s="92"/>
      <c r="K47" s="92"/>
      <c r="L47" s="92"/>
      <c r="M47" s="92"/>
      <c r="N47" s="92"/>
      <c r="O47" s="92"/>
      <c r="P47" s="92"/>
      <c r="Q47" s="92"/>
      <c r="R47" s="92"/>
      <c r="S47" s="92"/>
      <c r="T47" s="92"/>
      <c r="U47" s="52">
        <v>2</v>
      </c>
    </row>
    <row r="48" spans="1:23" ht="18.75" x14ac:dyDescent="0.25">
      <c r="A48" s="93" t="s">
        <v>85</v>
      </c>
      <c r="B48" s="93"/>
      <c r="C48" s="93"/>
      <c r="D48" s="93"/>
      <c r="E48" s="93"/>
      <c r="F48" s="93"/>
      <c r="G48" s="93"/>
      <c r="H48" s="93"/>
      <c r="I48" s="93"/>
      <c r="J48" s="93"/>
      <c r="K48" s="93"/>
      <c r="L48" s="93"/>
      <c r="M48" s="93"/>
      <c r="N48" s="93"/>
      <c r="O48" s="93"/>
      <c r="P48" s="93"/>
      <c r="Q48" s="93"/>
      <c r="R48" s="93"/>
      <c r="S48" s="93"/>
      <c r="T48" s="93"/>
      <c r="U48" s="54">
        <v>3</v>
      </c>
    </row>
    <row r="49" spans="1:21" ht="18.75" x14ac:dyDescent="0.25">
      <c r="A49" s="72" t="s">
        <v>86</v>
      </c>
      <c r="B49" s="72"/>
      <c r="C49" s="72"/>
      <c r="D49" s="72"/>
      <c r="E49" s="72"/>
      <c r="F49" s="72"/>
      <c r="G49" s="72"/>
      <c r="H49" s="72"/>
      <c r="I49" s="72"/>
      <c r="J49" s="72"/>
      <c r="K49" s="72"/>
      <c r="L49" s="72"/>
      <c r="M49" s="72"/>
      <c r="N49" s="72"/>
      <c r="O49" s="72"/>
      <c r="P49" s="72"/>
      <c r="Q49" s="72"/>
      <c r="R49" s="72"/>
      <c r="S49" s="72"/>
      <c r="T49" s="72"/>
      <c r="U49" s="54">
        <v>4</v>
      </c>
    </row>
    <row r="50" spans="1:21" s="56" customFormat="1" ht="18.75" x14ac:dyDescent="0.25">
      <c r="A50" s="63"/>
      <c r="B50" s="63"/>
      <c r="C50" s="63"/>
      <c r="D50" s="63"/>
      <c r="E50" s="63"/>
      <c r="F50" s="63"/>
      <c r="G50" s="63"/>
      <c r="H50" s="63"/>
      <c r="I50" s="63"/>
      <c r="J50" s="63"/>
      <c r="K50" s="63"/>
      <c r="L50" s="72" t="s">
        <v>87</v>
      </c>
      <c r="M50" s="72"/>
      <c r="N50" s="72"/>
      <c r="O50" s="72"/>
      <c r="P50" s="72"/>
      <c r="Q50" s="72"/>
      <c r="R50" s="72"/>
      <c r="S50" s="72"/>
      <c r="T50" s="72"/>
      <c r="U50" s="55">
        <v>5</v>
      </c>
    </row>
    <row r="51" spans="1:21" ht="18.75" x14ac:dyDescent="0.25">
      <c r="J51" s="72" t="s">
        <v>75</v>
      </c>
      <c r="K51" s="72"/>
      <c r="L51" s="72"/>
      <c r="M51" s="72"/>
      <c r="N51" s="72"/>
      <c r="O51" s="72"/>
      <c r="P51" s="72"/>
      <c r="Q51" s="72"/>
      <c r="R51" s="72"/>
      <c r="S51" s="72"/>
      <c r="T51" s="72"/>
    </row>
    <row r="52" spans="1:21" x14ac:dyDescent="0.25">
      <c r="G52" s="20"/>
    </row>
    <row r="53" spans="1:21" x14ac:dyDescent="0.25">
      <c r="G53" s="20"/>
    </row>
    <row r="66" spans="21:21" s="57" customFormat="1" x14ac:dyDescent="0.25"/>
    <row r="67" spans="21:21" s="57" customFormat="1" x14ac:dyDescent="0.25"/>
    <row r="68" spans="21:21" s="57" customFormat="1" x14ac:dyDescent="0.25"/>
    <row r="69" spans="21:21" s="57" customFormat="1" x14ac:dyDescent="0.25"/>
    <row r="70" spans="21:21" s="57" customFormat="1" x14ac:dyDescent="0.25"/>
    <row r="71" spans="21:21" s="57" customFormat="1" x14ac:dyDescent="0.25"/>
    <row r="73" spans="21:21" ht="15" x14ac:dyDescent="0.25">
      <c r="U73" s="58"/>
    </row>
    <row r="74" spans="21:21" ht="15" x14ac:dyDescent="0.25">
      <c r="U74" s="58"/>
    </row>
    <row r="75" spans="21:21" ht="15" x14ac:dyDescent="0.25">
      <c r="U75" s="58"/>
    </row>
    <row r="76" spans="21:21" ht="15" x14ac:dyDescent="0.25">
      <c r="U76" s="58"/>
    </row>
  </sheetData>
  <mergeCells count="19">
    <mergeCell ref="A47:T47"/>
    <mergeCell ref="A48:T48"/>
    <mergeCell ref="A49:T49"/>
    <mergeCell ref="L50:T50"/>
    <mergeCell ref="J51:T51"/>
    <mergeCell ref="A46:T46"/>
    <mergeCell ref="A2:T2"/>
    <mergeCell ref="A3:T3"/>
    <mergeCell ref="A5:A7"/>
    <mergeCell ref="T5:T7"/>
    <mergeCell ref="A39:T39"/>
    <mergeCell ref="A40:T40"/>
    <mergeCell ref="A41:T41"/>
    <mergeCell ref="A42:T42"/>
    <mergeCell ref="A43:T43"/>
    <mergeCell ref="K5:P5"/>
    <mergeCell ref="K6:P6"/>
    <mergeCell ref="D5:I5"/>
    <mergeCell ref="B6:I6"/>
  </mergeCells>
  <pageMargins left="0.7" right="0.7" top="0.75" bottom="0.75" header="0.3" footer="0.3"/>
  <pageSetup paperSize="9" scale="49" orientation="landscape"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13.12</vt:lpstr>
      <vt:lpstr>'13.12'!Print_Area</vt:lpstr>
    </vt:vector>
  </TitlesOfParts>
  <Company>Department of National Planning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2018-12-12T06:59:51Z</cp:lastPrinted>
  <dcterms:created xsi:type="dcterms:W3CDTF">2014-03-06T08:38:12Z</dcterms:created>
  <dcterms:modified xsi:type="dcterms:W3CDTF">2019-12-16T06:42:50Z</dcterms:modified>
</cp:coreProperties>
</file>