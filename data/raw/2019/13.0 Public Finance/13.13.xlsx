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New folder\"/>
    </mc:Choice>
  </mc:AlternateContent>
  <bookViews>
    <workbookView xWindow="0" yWindow="0" windowWidth="28800" windowHeight="11430" tabRatio="688"/>
  </bookViews>
  <sheets>
    <sheet name="13.13" sheetId="27" r:id="rId1"/>
  </sheets>
  <externalReferences>
    <externalReference r:id="rId2"/>
  </externalReferences>
  <definedNames>
    <definedName name="_xlnm.Print_Area" localSheetId="0">'13.13'!$A$1:$R$81</definedName>
  </definedNames>
  <calcPr calcId="162913"/>
</workbook>
</file>

<file path=xl/calcChain.xml><?xml version="1.0" encoding="utf-8"?>
<calcChain xmlns="http://schemas.openxmlformats.org/spreadsheetml/2006/main">
  <c r="P14" i="27" l="1"/>
  <c r="P15" i="27"/>
  <c r="P16" i="27"/>
  <c r="P17" i="27"/>
  <c r="P18" i="27"/>
  <c r="P19" i="27"/>
  <c r="P20" i="27"/>
  <c r="P22" i="27"/>
  <c r="P23" i="27"/>
  <c r="P24" i="27"/>
  <c r="P26" i="27"/>
  <c r="P27" i="27"/>
  <c r="P28" i="27"/>
  <c r="P29" i="27"/>
  <c r="P30" i="27"/>
  <c r="P31" i="27"/>
  <c r="P32" i="27"/>
  <c r="P33" i="27"/>
  <c r="P34" i="27"/>
  <c r="P35" i="27"/>
  <c r="P36" i="27"/>
  <c r="P37" i="27"/>
  <c r="P39" i="27"/>
  <c r="P41" i="27"/>
  <c r="P42" i="27"/>
  <c r="P43" i="27"/>
  <c r="P44" i="27"/>
  <c r="P45" i="27"/>
  <c r="P46" i="27"/>
  <c r="P47" i="27"/>
  <c r="P48" i="27"/>
  <c r="P49" i="27"/>
  <c r="P52" i="27"/>
  <c r="P53" i="27"/>
  <c r="P54" i="27"/>
  <c r="P55" i="27"/>
  <c r="P56" i="27"/>
  <c r="P58" i="27"/>
  <c r="P59" i="27"/>
  <c r="P60" i="27"/>
  <c r="P62" i="27"/>
  <c r="P63" i="27"/>
  <c r="P64" i="27"/>
  <c r="P65" i="27"/>
  <c r="P66" i="27"/>
  <c r="P67" i="27"/>
  <c r="P10" i="27"/>
  <c r="P8" i="27"/>
  <c r="P7" i="27"/>
  <c r="G77" i="27"/>
  <c r="F77" i="27"/>
  <c r="G76" i="27"/>
  <c r="F76" i="27"/>
  <c r="H76" i="27" s="1"/>
  <c r="G75" i="27"/>
  <c r="F75" i="27"/>
  <c r="M54" i="27"/>
  <c r="M45" i="27"/>
  <c r="M37" i="27"/>
  <c r="M24" i="27"/>
  <c r="M19" i="27"/>
  <c r="P13" i="27"/>
  <c r="P12" i="27"/>
  <c r="P11" i="27"/>
  <c r="I7" i="27"/>
  <c r="G78" i="27" s="1"/>
  <c r="G80" i="27" s="1"/>
  <c r="H7" i="27"/>
  <c r="M66" i="27" s="1"/>
  <c r="G7" i="27"/>
  <c r="L66" i="27" s="1"/>
  <c r="F7" i="27"/>
  <c r="K58" i="27" s="1"/>
  <c r="E7" i="27"/>
  <c r="D7" i="27"/>
  <c r="C7" i="27"/>
  <c r="B7" i="27"/>
  <c r="H75" i="27" l="1"/>
  <c r="L10" i="27"/>
  <c r="L14" i="27"/>
  <c r="L23" i="27"/>
  <c r="M29" i="27"/>
  <c r="L11" i="27"/>
  <c r="M11" i="27"/>
  <c r="M15" i="27"/>
  <c r="L20" i="27"/>
  <c r="M39" i="27"/>
  <c r="M16" i="27"/>
  <c r="L8" i="27"/>
  <c r="L17" i="27"/>
  <c r="M21" i="27"/>
  <c r="M27" i="27"/>
  <c r="M33" i="27"/>
  <c r="M8" i="27"/>
  <c r="M13" i="27"/>
  <c r="M17" i="27"/>
  <c r="M22" i="27"/>
  <c r="M42" i="27"/>
  <c r="M49" i="27"/>
  <c r="M58" i="27"/>
  <c r="H77" i="27"/>
  <c r="L15" i="27"/>
  <c r="K12" i="27"/>
  <c r="K61" i="27"/>
  <c r="N10" i="27"/>
  <c r="L13" i="27"/>
  <c r="N14" i="27"/>
  <c r="L16" i="27"/>
  <c r="L19" i="27"/>
  <c r="N20" i="27"/>
  <c r="L22" i="27"/>
  <c r="N23" i="27"/>
  <c r="N26" i="27"/>
  <c r="L29" i="27"/>
  <c r="N30" i="27"/>
  <c r="L33" i="27"/>
  <c r="N34" i="27"/>
  <c r="L37" i="27"/>
  <c r="L39" i="27"/>
  <c r="N40" i="27"/>
  <c r="L42" i="27"/>
  <c r="N43" i="27"/>
  <c r="L45" i="27"/>
  <c r="N46" i="27"/>
  <c r="L49" i="27"/>
  <c r="N50" i="27"/>
  <c r="N52" i="27"/>
  <c r="L54" i="27"/>
  <c r="N55" i="27"/>
  <c r="L58" i="27"/>
  <c r="N59" i="27"/>
  <c r="N62" i="27"/>
  <c r="N64" i="27"/>
  <c r="N66" i="27"/>
  <c r="K48" i="27"/>
  <c r="K51" i="27"/>
  <c r="L9" i="27"/>
  <c r="L12" i="27"/>
  <c r="N13" i="27"/>
  <c r="N16" i="27"/>
  <c r="L18" i="27"/>
  <c r="N19" i="27"/>
  <c r="N22" i="27"/>
  <c r="L25" i="27"/>
  <c r="L28" i="27"/>
  <c r="N29" i="27"/>
  <c r="L32" i="27"/>
  <c r="N33" i="27"/>
  <c r="L36" i="27"/>
  <c r="N37" i="27"/>
  <c r="N39" i="27"/>
  <c r="L41" i="27"/>
  <c r="N42" i="27"/>
  <c r="N45" i="27"/>
  <c r="L48" i="27"/>
  <c r="N49" i="27"/>
  <c r="L51" i="27"/>
  <c r="N54" i="27"/>
  <c r="L57" i="27"/>
  <c r="N58" i="27"/>
  <c r="L61" i="27"/>
  <c r="L63" i="27"/>
  <c r="L65" i="27"/>
  <c r="L67" i="27"/>
  <c r="K25" i="27"/>
  <c r="K63" i="27"/>
  <c r="K67" i="27"/>
  <c r="K8" i="27"/>
  <c r="M9" i="27"/>
  <c r="K11" i="27"/>
  <c r="M12" i="27"/>
  <c r="K15" i="27"/>
  <c r="K17" i="27"/>
  <c r="M18" i="27"/>
  <c r="K21" i="27"/>
  <c r="K24" i="27"/>
  <c r="M25" i="27"/>
  <c r="K27" i="27"/>
  <c r="M28" i="27"/>
  <c r="K31" i="27"/>
  <c r="M32" i="27"/>
  <c r="K35" i="27"/>
  <c r="M36" i="27"/>
  <c r="K38" i="27"/>
  <c r="M41" i="27"/>
  <c r="K44" i="27"/>
  <c r="K47" i="27"/>
  <c r="M48" i="27"/>
  <c r="M51" i="27"/>
  <c r="K53" i="27"/>
  <c r="K56" i="27"/>
  <c r="M57" i="27"/>
  <c r="K60" i="27"/>
  <c r="M61" i="27"/>
  <c r="M63" i="27"/>
  <c r="M65" i="27"/>
  <c r="M67" i="27"/>
  <c r="K28" i="27"/>
  <c r="K41" i="27"/>
  <c r="K65" i="27"/>
  <c r="N9" i="27"/>
  <c r="N12" i="27"/>
  <c r="N18" i="27"/>
  <c r="L21" i="27"/>
  <c r="L24" i="27"/>
  <c r="N25" i="27"/>
  <c r="L27" i="27"/>
  <c r="N28" i="27"/>
  <c r="L31" i="27"/>
  <c r="N32" i="27"/>
  <c r="L35" i="27"/>
  <c r="N36" i="27"/>
  <c r="L38" i="27"/>
  <c r="N41" i="27"/>
  <c r="L44" i="27"/>
  <c r="L47" i="27"/>
  <c r="N48" i="27"/>
  <c r="N51" i="27"/>
  <c r="L53" i="27"/>
  <c r="L56" i="27"/>
  <c r="N57" i="27"/>
  <c r="L60" i="27"/>
  <c r="N61" i="27"/>
  <c r="N63" i="27"/>
  <c r="N65" i="27"/>
  <c r="N67" i="27"/>
  <c r="K10" i="27"/>
  <c r="K14" i="27"/>
  <c r="K20" i="27"/>
  <c r="K23" i="27"/>
  <c r="K26" i="27"/>
  <c r="K30" i="27"/>
  <c r="M31" i="27"/>
  <c r="K34" i="27"/>
  <c r="M35" i="27"/>
  <c r="M38" i="27"/>
  <c r="K40" i="27"/>
  <c r="K43" i="27"/>
  <c r="M44" i="27"/>
  <c r="K46" i="27"/>
  <c r="M47" i="27"/>
  <c r="K50" i="27"/>
  <c r="K52" i="27"/>
  <c r="M53" i="27"/>
  <c r="K55" i="27"/>
  <c r="M56" i="27"/>
  <c r="K59" i="27"/>
  <c r="M60" i="27"/>
  <c r="K62" i="27"/>
  <c r="K64" i="27"/>
  <c r="K66" i="27"/>
  <c r="K32" i="27"/>
  <c r="K57" i="27"/>
  <c r="N8" i="27"/>
  <c r="N11" i="27"/>
  <c r="N15" i="27"/>
  <c r="N17" i="27"/>
  <c r="N21" i="27"/>
  <c r="N24" i="27"/>
  <c r="L26" i="27"/>
  <c r="N27" i="27"/>
  <c r="L30" i="27"/>
  <c r="N31" i="27"/>
  <c r="L34" i="27"/>
  <c r="N35" i="27"/>
  <c r="N38" i="27"/>
  <c r="L40" i="27"/>
  <c r="L43" i="27"/>
  <c r="N44" i="27"/>
  <c r="L46" i="27"/>
  <c r="N47" i="27"/>
  <c r="L50" i="27"/>
  <c r="L52" i="27"/>
  <c r="N53" i="27"/>
  <c r="L55" i="27"/>
  <c r="N56" i="27"/>
  <c r="L59" i="27"/>
  <c r="N60" i="27"/>
  <c r="L62" i="27"/>
  <c r="L64" i="27"/>
  <c r="K9" i="27"/>
  <c r="K18" i="27"/>
  <c r="K36" i="27"/>
  <c r="M10" i="27"/>
  <c r="K13" i="27"/>
  <c r="M14" i="27"/>
  <c r="K16" i="27"/>
  <c r="K19" i="27"/>
  <c r="M20" i="27"/>
  <c r="K22" i="27"/>
  <c r="M23" i="27"/>
  <c r="M26" i="27"/>
  <c r="K29" i="27"/>
  <c r="M30" i="27"/>
  <c r="K33" i="27"/>
  <c r="M34" i="27"/>
  <c r="K37" i="27"/>
  <c r="K39" i="27"/>
  <c r="M40" i="27"/>
  <c r="K42" i="27"/>
  <c r="M43" i="27"/>
  <c r="K45" i="27"/>
  <c r="M46" i="27"/>
  <c r="K49" i="27"/>
  <c r="M50" i="27"/>
  <c r="M52" i="27"/>
  <c r="K54" i="27"/>
  <c r="M55" i="27"/>
  <c r="M59" i="27"/>
  <c r="M62" i="27"/>
  <c r="M64" i="27"/>
  <c r="M7" i="27" l="1"/>
  <c r="L7" i="27"/>
  <c r="K7" i="27"/>
  <c r="N7" i="27"/>
</calcChain>
</file>

<file path=xl/sharedStrings.xml><?xml version="1.0" encoding="utf-8"?>
<sst xmlns="http://schemas.openxmlformats.org/spreadsheetml/2006/main" count="161" uniqueCount="149">
  <si>
    <t xml:space="preserve">މުދަލާއި ޚިދުމަތުން ނެގޭ ޓެކްސް     </t>
  </si>
  <si>
    <t>ބިޒްނަސް ޕްރޮފިޓް ޓެކްސް</t>
  </si>
  <si>
    <t>ގްރީން ޓެކްސް</t>
  </si>
  <si>
    <t>-</t>
  </si>
  <si>
    <t xml:space="preserve"> </t>
  </si>
  <si>
    <t>ތަފްސީލު</t>
  </si>
  <si>
    <t>Description</t>
  </si>
  <si>
    <t>Revenue collected (MVR)</t>
  </si>
  <si>
    <t>ލިބުނު އާމްދަނީ (ރުފިޔާއިން)</t>
  </si>
  <si>
    <t>2015*</t>
  </si>
  <si>
    <t>2016*</t>
  </si>
  <si>
    <t>އެއަރޕޯޓް ސަރވިސް ޗާޖް</t>
  </si>
  <si>
    <t>Airport Development Fee***</t>
  </si>
  <si>
    <t>އެއަރޕޯޓް ޑިވެލޮޕްމަންޓް ފީ</t>
  </si>
  <si>
    <t>Construction Period Extension Fee***</t>
  </si>
  <si>
    <t>Corporate Social Responsibility Fee***</t>
  </si>
  <si>
    <t>ޖޫރިމަނާ</t>
  </si>
  <si>
    <t>Green Tax</t>
  </si>
  <si>
    <t>Remittance Tax**</t>
  </si>
  <si>
    <t>ރެމިޓެންސް ޓެކްސް</t>
  </si>
  <si>
    <t>Land Acquisition and Conversion Fee</t>
  </si>
  <si>
    <t>ބިން ވިއްކުމާއި ބިން ބަދަލުކުރުމުގެ ފީ</t>
  </si>
  <si>
    <t>ބިން ވިއްކުމަށް ނެގޭ ޓެކްސް</t>
  </si>
  <si>
    <t>ކުލީގެ މުއްދަތު އިތުރުކުރުން</t>
  </si>
  <si>
    <t>Ownership Transfer Tax***</t>
  </si>
  <si>
    <t>އޯނަރޝިޕް ޓްރާންސްފަރ ޓެކްސް</t>
  </si>
  <si>
    <t>ރެވެނިއު ސްޓޭމްޕް</t>
  </si>
  <si>
    <t>ޓޫރިޒަމް އެޑްމިނިސްޓްރޭޝަން ފީ</t>
  </si>
  <si>
    <t>Total</t>
  </si>
  <si>
    <t>ޖުމްލަ</t>
  </si>
  <si>
    <t>Source: Maldives Inland Revenue Authority</t>
  </si>
  <si>
    <t>މަޢުލޫމާތު ދެއްވި ފަރާތް: މޯލްޑިވްސް އިންލަންޑް ރެވެނިއު އޮތޯރިޓީ</t>
  </si>
  <si>
    <t>Percentage  shares</t>
  </si>
  <si>
    <t xml:space="preserve">ބެހިފައިވާ ގޮތް ސައްތައިން </t>
  </si>
  <si>
    <t>Airport Service Charge</t>
  </si>
  <si>
    <t>Bank Profit Tax</t>
  </si>
  <si>
    <t>ބެންކް ފައިދާގެ ޓެކްސް</t>
  </si>
  <si>
    <t>Business Profit Tax</t>
  </si>
  <si>
    <t>Commercial Land Rent</t>
  </si>
  <si>
    <t>ވިޔަފާރިކުރުމަށް ދޫކުރެވިފައިވާ ބިންބިމުގެ ކުލި</t>
  </si>
  <si>
    <t>Company Annual Fee</t>
  </si>
  <si>
    <t>ކުންފުނިތަކުގެ އަހަރީ ފީ</t>
  </si>
  <si>
    <t>Company Registration Fee</t>
  </si>
  <si>
    <t>ކުންފުނި ރަޖިސްޓްރީ ކުރުމުގެ ފީ</t>
  </si>
  <si>
    <t>ކޮންސްޓްރަކްޝަން ޕީރިއަޑް އެކްސްޓެންޝަން ފީ</t>
  </si>
  <si>
    <t>ކޯޕަރޭޓް ސޯޝަލް ރެސްޕޮންސިބިލިޓީ ފީ</t>
  </si>
  <si>
    <t>Co-operative Society Annual Fee</t>
  </si>
  <si>
    <t>ކޯޕަރޭޓިވް ސޮސައިޓީ އަހަރީ ފީ</t>
  </si>
  <si>
    <t>Co-operative Society Registration Fee</t>
  </si>
  <si>
    <t>ކޯޕަރޭޓިވް ސޮސައިޓީ ރެޖިސްޓްރޭޝަން ފީ</t>
  </si>
  <si>
    <t>Duty Free Royalty</t>
  </si>
  <si>
    <t>ޑިއުޓީ ފްރީ ޝޮޕްގެ ރޯޔަލްޓީ</t>
  </si>
  <si>
    <t>Fines</t>
  </si>
  <si>
    <t>Fishing Royalty</t>
  </si>
  <si>
    <t>މަސްވެރިކަމުގެ ރޯޔަލްޓީ</t>
  </si>
  <si>
    <t>Flat Maintenance Fee</t>
  </si>
  <si>
    <t>ފްލެޓް ބެލެހެއްޓުމުގެ އަގު</t>
  </si>
  <si>
    <t>Foreign Business Fee</t>
  </si>
  <si>
    <t>ބިދޭސީން ވިޔަފާރި ކުރުމުގެ ހުއްދަ</t>
  </si>
  <si>
    <t>Foreign Investment Administration Annual Fee</t>
  </si>
  <si>
    <t>ފޮރިން އިންވެސްޓްމަންޓް އެޑްމިނިސްޓްރޭޝަން ފީ</t>
  </si>
  <si>
    <t>Foreign Investment Royalty</t>
  </si>
  <si>
    <t>ބިދޭސީން ކުރާ ވިޔަފާރިގެ ރޯޔަލްޓީ</t>
  </si>
  <si>
    <t>Fuel Re-Export Royalty</t>
  </si>
  <si>
    <t>ފިއުލް ރީއެކްސްޕޯޓް ރޯޔަލްޓީ</t>
  </si>
  <si>
    <t>Goods and Services Tax</t>
  </si>
  <si>
    <t>Government Buildings Rent</t>
  </si>
  <si>
    <t>ސަރުކާރުގެ އިމާރާތުގެ ކުލި</t>
  </si>
  <si>
    <t>Import Trade Fee</t>
  </si>
  <si>
    <t>އިމްޕޯޓް ވިޔަފާރި ފީ</t>
  </si>
  <si>
    <t>Land Sales Tax</t>
  </si>
  <si>
    <t>Lease Period Extension Fee</t>
  </si>
  <si>
    <t>Long-Term Agricultural Leased Islands Rent</t>
  </si>
  <si>
    <t>ދަނޑުވެރިކަމަށް ދޫކުރެވިފައިވާ ރަށްރަށުގެ ކުލި</t>
  </si>
  <si>
    <t>Other Fees and Charges</t>
  </si>
  <si>
    <t>އެހެނިހެން ފީތައް</t>
  </si>
  <si>
    <t>Partnership Annual Fee</t>
  </si>
  <si>
    <t>ޕާޓްނާޝިޕް އަހަރީ ފީ</t>
  </si>
  <si>
    <t>Partnership Registration Fee</t>
  </si>
  <si>
    <t>ޕާޓްނާޝިޕް ރަޖިސްޓްރީކުރުމުގެ ފީ</t>
  </si>
  <si>
    <t>Re-Export Royalty</t>
  </si>
  <si>
    <t>ރީއެކްސްޕޯޓް ރޯޔަލްޓީ</t>
  </si>
  <si>
    <t>Reimbursement from Previous Years' budget</t>
  </si>
  <si>
    <t>ރީއިމްބަރސްމަންޓް</t>
  </si>
  <si>
    <t>Rent from Floating Jetty</t>
  </si>
  <si>
    <t>ފްލޯޓިންގ ޖެޓީގެ ކުލި</t>
  </si>
  <si>
    <t>Rent from Land for Industry</t>
  </si>
  <si>
    <t>ސިނާޢީ މަސައްކަތްތަކަށް ދޫކުރެވިފައިވާ ބިމުގެ ކުލި</t>
  </si>
  <si>
    <t>Sale of Pass</t>
  </si>
  <si>
    <t>Resident Permit</t>
  </si>
  <si>
    <t>ރެސިޑެންޓް ޕާރމިޓް</t>
  </si>
  <si>
    <t>Restaurant, Café, Canteen Fee</t>
  </si>
  <si>
    <t>ރެސްޓޯރަންޓް، ކެފޭ އަދި ކެންޓީންތަކުގެ ވިޔަފާރި ފީ</t>
  </si>
  <si>
    <t>Revenue Stamp</t>
  </si>
  <si>
    <t>Sale of Government Buildings</t>
  </si>
  <si>
    <t>ސަރުކާރުގެ އިމާރާތް ވިއްކި</t>
  </si>
  <si>
    <t>Sale of Government Land</t>
  </si>
  <si>
    <t>ސަރުކާރުގެ ބިން ވިއްކި</t>
  </si>
  <si>
    <t>Sale of Items at Auction</t>
  </si>
  <si>
    <t>ނީލަމުގައި ތަކެތި ވިއްކައިގެން ލިބޭ</t>
  </si>
  <si>
    <t>Skipjack Industry Royalty</t>
  </si>
  <si>
    <t>މަސް އެކްސްޕޯޓް ކުރުމުގެ ރޯޔަލްޓީ</t>
  </si>
  <si>
    <t>Sole Traders Registration Fee</t>
  </si>
  <si>
    <t>އަމިއްލަ ފަރުދުންގެ ވިޔަފާރި ރަޖިސްޓަރީ ފީ</t>
  </si>
  <si>
    <t>Tourism Administration Fee</t>
  </si>
  <si>
    <t>Tourism Land Rent</t>
  </si>
  <si>
    <t>ޓުއަރިޒަމްއަށް ދޫކުރެވިފައިވާ ބިމުގެ ކުލި</t>
  </si>
  <si>
    <t>Tourism Tax</t>
  </si>
  <si>
    <t>ޓުއަރިޒަމް ޓެކްސް</t>
  </si>
  <si>
    <t>Trade Registry Fee</t>
  </si>
  <si>
    <t>ޓްރޭޑް ރަޖިސްޓްރީ ފީ</t>
  </si>
  <si>
    <t>Uninhabited Islands Administration Fee</t>
  </si>
  <si>
    <t xml:space="preserve">ފަޅުރަށްރަށް ބެލެހެއްޓުމުގެ ފީ    </t>
  </si>
  <si>
    <t>Uninhabited Islands Rent</t>
  </si>
  <si>
    <t>ގޮއިފާލައްބަ، ހިންނަ ފަދަ ތަންތަނުގެ ވަރުވާ</t>
  </si>
  <si>
    <t>Vehicle Fee</t>
  </si>
  <si>
    <t>އެއްގަމު އުޅަނދު ފީ</t>
  </si>
  <si>
    <t>Vessel Fee</t>
  </si>
  <si>
    <t>ކަނޑުގައި ދުއްވާ އުޅަނދު ފީ</t>
  </si>
  <si>
    <t>Yellowfin Tuna Export Royalty</t>
  </si>
  <si>
    <t>ބޮޑު ކަންނެލީގެ އެކްސްޕޯޓް ރޯޔަލްޓީ</t>
  </si>
  <si>
    <t>Dive School Registration Fee***</t>
  </si>
  <si>
    <t>Guest House Registration Fee***</t>
  </si>
  <si>
    <t>Other Registrations &amp; License Fees***</t>
  </si>
  <si>
    <t>Motor Vehicle and Vessel Registration Fee***</t>
  </si>
  <si>
    <t>Bank Mortgage Registration Fee***</t>
  </si>
  <si>
    <t>Sale of Tender Documents***</t>
  </si>
  <si>
    <t>***  Airport Development Fee, Construction Period Extension Fee, Corporate Social Responsibility Fee, Tourism Administration Fee, Ownership Transfer Tax, Dive School Registration Fee, Guest house registration Fee, Ither Registrations &amp; License Fees, Motor Vehicle and Vessel Registration Fee, Bank Mortgage Registration Fee, Sale of Tender Documents added</t>
  </si>
  <si>
    <t>**Remittance tax added</t>
  </si>
  <si>
    <t>Business Permits</t>
  </si>
  <si>
    <t>Land Rent</t>
  </si>
  <si>
    <t>Royalties</t>
  </si>
  <si>
    <t>Total calculated here</t>
  </si>
  <si>
    <t>Cash for unknow purposes</t>
  </si>
  <si>
    <t>Final Total</t>
  </si>
  <si>
    <r>
      <t xml:space="preserve">ޑްރައިވިންގ ސްކޫލް ރެޖިސްޓްރޭޝަން ފީ </t>
    </r>
    <r>
      <rPr>
        <sz val="8"/>
        <rFont val="Faruma"/>
      </rPr>
      <t>***</t>
    </r>
  </si>
  <si>
    <r>
      <t xml:space="preserve">ގެސްޓް ހައުސް ރެޖިސްޓްރޭޝަން ފީ </t>
    </r>
    <r>
      <rPr>
        <sz val="8"/>
        <rFont val="Faruma"/>
      </rPr>
      <t>***</t>
    </r>
  </si>
  <si>
    <r>
      <t xml:space="preserve">އެހެނިހެންރެޖިސްޓްރޭޝަން އަދި ލައިސަންސް ފީ </t>
    </r>
    <r>
      <rPr>
        <sz val="8"/>
        <rFont val="Faruma"/>
      </rPr>
      <t>***</t>
    </r>
  </si>
  <si>
    <r>
      <t xml:space="preserve">އެއްގަމު އުޅަނދު އަދި ކަނޑުގައި ދުއްވާ އުޅަނދު ރެޖިސްޓްރޭޝަން ފީ </t>
    </r>
    <r>
      <rPr>
        <sz val="8"/>
        <rFont val="Faruma"/>
      </rPr>
      <t>***</t>
    </r>
  </si>
  <si>
    <r>
      <t xml:space="preserve">ބޭންކް މޯގޭޖް ރެޖިސްޓްރޭޝަން ފީ </t>
    </r>
    <r>
      <rPr>
        <sz val="8"/>
        <rFont val="Faruma"/>
      </rPr>
      <t>***</t>
    </r>
  </si>
  <si>
    <r>
      <t xml:space="preserve">ސޭލް އޮފް ޓެންޑަރ ޑޮކިއުމަންޓްސް </t>
    </r>
    <r>
      <rPr>
        <sz val="8"/>
        <rFont val="Faruma"/>
      </rPr>
      <t>***</t>
    </r>
  </si>
  <si>
    <t>2017 އާއި އަޅާބަލާއިރު 2018 ގައި އިތުރުވި މިންވަރު (%)</t>
  </si>
  <si>
    <t>ތާވަލު 13.13: ޢާމްދަނީގެ ގޮތުގައި ލިބުނު ފައިސާގެ ތަފްޞީލު،  2013 - 2018</t>
  </si>
  <si>
    <t>Table 13.13: REVENUE COLLECTED BY DETAILED CATEGORIES,  2013 - 2018</t>
  </si>
  <si>
    <t>Percentage change  over 2017</t>
  </si>
  <si>
    <t>Note: 27,875 collected as 'Cash received for which purpose in unknown)</t>
  </si>
  <si>
    <t xml:space="preserve">*2017 figures are revised by MIRA </t>
  </si>
  <si>
    <t>Figures as at data dissemination date, ie: 26 February 2019</t>
  </si>
  <si>
    <t>excluding zakat and donation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</si>
</sst>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5" formatCode="#,##0.0"/>
    <numFmt numFmtId="170" formatCode="_-* #,##0.00_-;\-* #,##0.00_-;_-* &quot;-&quot;??_-;_-@_-"/>
    <numFmt numFmtId="171" formatCode="#,##0.00\ ;&quot; (&quot;#,##0.00\);&quot; -&quot;#\ ;@\ "/>
    <numFmt numFmtId="173" formatCode="_(* #,##0_);_(* \(#,##0\);_(* &quot;-&quot;??_);_(@_)"/>
    <numFmt numFmtId="174" formatCode="#,##0_);\-#,##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9"/>
      <name val="Calibri"/>
      <family val="2"/>
      <scheme val="minor"/>
    </font>
    <font>
      <sz val="10"/>
      <name val="Garamond"/>
      <family val="1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Faruma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Faruma"/>
    </font>
    <font>
      <sz val="9.5"/>
      <name val="Faruma"/>
    </font>
    <font>
      <sz val="10.5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Faruma"/>
    </font>
    <font>
      <b/>
      <sz val="10.5"/>
      <name val="Calibri"/>
      <family val="2"/>
      <scheme val="minor"/>
    </font>
    <font>
      <b/>
      <sz val="10.5"/>
      <name val="Faruma"/>
    </font>
    <font>
      <sz val="10.5"/>
      <name val="Faruma"/>
    </font>
    <font>
      <i/>
      <sz val="10"/>
      <name val="Calibri"/>
      <family val="2"/>
      <scheme val="minor"/>
    </font>
    <font>
      <sz val="8"/>
      <name val="Faruma"/>
    </font>
    <font>
      <sz val="11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theme="1"/>
      </bottom>
      <diagonal/>
    </border>
    <border>
      <left/>
      <right style="hair">
        <color indexed="64"/>
      </right>
      <top/>
      <bottom style="hair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70" fontId="1" fillId="0" borderId="0" applyFont="0" applyFill="0" applyBorder="0" applyAlignment="0" applyProtection="0"/>
    <xf numFmtId="0" fontId="6" fillId="0" borderId="0"/>
    <xf numFmtId="171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91">
    <xf numFmtId="0" fontId="0" fillId="0" borderId="0" xfId="0"/>
    <xf numFmtId="0" fontId="13" fillId="2" borderId="0" xfId="0" applyFont="1" applyFill="1" applyAlignment="1">
      <alignment vertical="top" wrapText="1"/>
    </xf>
    <xf numFmtId="174" fontId="12" fillId="2" borderId="0" xfId="0" applyNumberFormat="1" applyFont="1" applyFill="1" applyAlignment="1">
      <alignment horizontal="left" vertical="top"/>
    </xf>
    <xf numFmtId="0" fontId="19" fillId="2" borderId="0" xfId="0" applyFont="1" applyFill="1" applyAlignment="1">
      <alignment horizontal="left" vertical="center" wrapText="1"/>
    </xf>
    <xf numFmtId="165" fontId="18" fillId="2" borderId="0" xfId="2" applyNumberFormat="1" applyFont="1" applyFill="1" applyBorder="1" applyAlignment="1">
      <alignment horizontal="right" vertical="center"/>
    </xf>
    <xf numFmtId="173" fontId="15" fillId="2" borderId="0" xfId="1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vertical="top"/>
    </xf>
    <xf numFmtId="0" fontId="13" fillId="2" borderId="0" xfId="0" applyFont="1" applyFill="1" applyBorder="1" applyAlignment="1">
      <alignment vertical="top" wrapText="1"/>
    </xf>
    <xf numFmtId="0" fontId="4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center" vertical="center" wrapText="1"/>
    </xf>
    <xf numFmtId="173" fontId="11" fillId="2" borderId="0" xfId="0" applyNumberFormat="1" applyFont="1" applyFill="1" applyAlignment="1">
      <alignment horizontal="center" vertical="center" wrapText="1"/>
    </xf>
    <xf numFmtId="1" fontId="11" fillId="2" borderId="0" xfId="0" applyNumberFormat="1" applyFont="1" applyFill="1" applyAlignment="1">
      <alignment horizontal="center" vertical="center" wrapText="1"/>
    </xf>
    <xf numFmtId="0" fontId="21" fillId="2" borderId="0" xfId="0" applyFont="1" applyFill="1" applyAlignment="1">
      <alignment vertical="top" wrapText="1"/>
    </xf>
    <xf numFmtId="0" fontId="20" fillId="2" borderId="2" xfId="0" applyFont="1" applyFill="1" applyBorder="1" applyAlignment="1">
      <alignment vertical="center" wrapText="1"/>
    </xf>
    <xf numFmtId="0" fontId="20" fillId="2" borderId="10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right" vertical="center" wrapText="1"/>
    </xf>
    <xf numFmtId="0" fontId="20" fillId="2" borderId="9" xfId="0" applyFont="1" applyFill="1" applyBorder="1" applyAlignment="1">
      <alignment horizontal="right" vertical="center" wrapText="1"/>
    </xf>
    <xf numFmtId="0" fontId="20" fillId="2" borderId="12" xfId="0" applyFont="1" applyFill="1" applyBorder="1" applyAlignment="1">
      <alignment horizontal="right" vertical="center" wrapText="1"/>
    </xf>
    <xf numFmtId="0" fontId="23" fillId="2" borderId="0" xfId="0" applyFont="1" applyFill="1" applyAlignment="1">
      <alignment horizontal="left" vertical="center" wrapText="1"/>
    </xf>
    <xf numFmtId="173" fontId="23" fillId="2" borderId="0" xfId="0" applyNumberFormat="1" applyFont="1" applyFill="1" applyAlignment="1">
      <alignment horizontal="right" vertical="center" wrapText="1"/>
    </xf>
    <xf numFmtId="173" fontId="23" fillId="2" borderId="8" xfId="0" applyNumberFormat="1" applyFont="1" applyFill="1" applyBorder="1" applyAlignment="1">
      <alignment horizontal="right" vertical="center" wrapText="1"/>
    </xf>
    <xf numFmtId="1" fontId="23" fillId="2" borderId="0" xfId="0" applyNumberFormat="1" applyFont="1" applyFill="1" applyBorder="1" applyAlignment="1">
      <alignment horizontal="right" vertical="center" wrapText="1"/>
    </xf>
    <xf numFmtId="1" fontId="23" fillId="2" borderId="8" xfId="0" applyNumberFormat="1" applyFont="1" applyFill="1" applyBorder="1" applyAlignment="1">
      <alignment horizontal="right" vertical="center" wrapText="1"/>
    </xf>
    <xf numFmtId="0" fontId="24" fillId="2" borderId="0" xfId="0" applyFont="1" applyFill="1" applyAlignment="1">
      <alignment vertical="top" wrapText="1"/>
    </xf>
    <xf numFmtId="0" fontId="20" fillId="2" borderId="0" xfId="0" applyFont="1" applyFill="1" applyAlignment="1">
      <alignment vertical="top" wrapText="1"/>
    </xf>
    <xf numFmtId="173" fontId="19" fillId="2" borderId="0" xfId="1" applyNumberFormat="1" applyFont="1" applyFill="1" applyBorder="1" applyAlignment="1">
      <alignment horizontal="right" vertical="center" wrapText="1"/>
    </xf>
    <xf numFmtId="173" fontId="19" fillId="2" borderId="8" xfId="1" applyNumberFormat="1" applyFont="1" applyFill="1" applyBorder="1" applyAlignment="1">
      <alignment horizontal="right" vertical="center" wrapText="1"/>
    </xf>
    <xf numFmtId="1" fontId="19" fillId="2" borderId="0" xfId="0" applyNumberFormat="1" applyFont="1" applyFill="1" applyBorder="1" applyAlignment="1">
      <alignment horizontal="right" vertical="center" wrapText="1"/>
    </xf>
    <xf numFmtId="1" fontId="19" fillId="2" borderId="8" xfId="0" applyNumberFormat="1" applyFont="1" applyFill="1" applyBorder="1" applyAlignment="1">
      <alignment horizontal="right" vertical="center" wrapText="1"/>
    </xf>
    <xf numFmtId="3" fontId="19" fillId="2" borderId="3" xfId="1" applyNumberFormat="1" applyFont="1" applyFill="1" applyBorder="1" applyAlignment="1">
      <alignment horizontal="center" vertical="center" wrapText="1"/>
    </xf>
    <xf numFmtId="0" fontId="25" fillId="2" borderId="0" xfId="0" applyFont="1" applyFill="1" applyAlignment="1">
      <alignment vertical="top" wrapText="1"/>
    </xf>
    <xf numFmtId="43" fontId="12" fillId="2" borderId="0" xfId="1" applyFont="1" applyFill="1" applyAlignment="1">
      <alignment horizontal="left" vertical="top"/>
    </xf>
    <xf numFmtId="0" fontId="25" fillId="2" borderId="0" xfId="0" applyFont="1" applyFill="1" applyAlignment="1">
      <alignment vertical="top"/>
    </xf>
    <xf numFmtId="165" fontId="25" fillId="2" borderId="0" xfId="2" applyNumberFormat="1" applyFont="1" applyFill="1" applyAlignment="1">
      <alignment horizontal="right" vertical="center"/>
    </xf>
    <xf numFmtId="0" fontId="19" fillId="2" borderId="0" xfId="0" applyFont="1" applyFill="1" applyBorder="1" applyAlignment="1">
      <alignment horizontal="left" vertical="center" wrapText="1"/>
    </xf>
    <xf numFmtId="0" fontId="25" fillId="2" borderId="0" xfId="0" applyFont="1" applyFill="1" applyBorder="1" applyAlignment="1">
      <alignment vertical="top" wrapText="1"/>
    </xf>
    <xf numFmtId="1" fontId="19" fillId="2" borderId="4" xfId="0" applyNumberFormat="1" applyFont="1" applyFill="1" applyBorder="1" applyAlignment="1">
      <alignment horizontal="right" vertical="center" wrapText="1"/>
    </xf>
    <xf numFmtId="1" fontId="19" fillId="2" borderId="1" xfId="0" applyNumberFormat="1" applyFont="1" applyFill="1" applyBorder="1" applyAlignment="1">
      <alignment horizontal="right" vertical="center" wrapText="1"/>
    </xf>
    <xf numFmtId="1" fontId="19" fillId="2" borderId="9" xfId="0" applyNumberFormat="1" applyFont="1" applyFill="1" applyBorder="1" applyAlignment="1">
      <alignment horizontal="right" vertical="center" wrapText="1"/>
    </xf>
    <xf numFmtId="3" fontId="19" fillId="2" borderId="0" xfId="1" applyNumberFormat="1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174" fontId="26" fillId="2" borderId="0" xfId="0" applyNumberFormat="1" applyFont="1" applyFill="1" applyBorder="1" applyAlignment="1">
      <alignment horizontal="left" vertical="center"/>
    </xf>
    <xf numFmtId="173" fontId="13" fillId="2" borderId="0" xfId="1" applyNumberFormat="1" applyFont="1" applyFill="1" applyAlignment="1">
      <alignment vertical="center" wrapText="1"/>
    </xf>
    <xf numFmtId="0" fontId="13" fillId="2" borderId="0" xfId="0" applyFont="1" applyFill="1" applyAlignment="1">
      <alignment vertical="center" wrapText="1"/>
    </xf>
    <xf numFmtId="0" fontId="17" fillId="2" borderId="0" xfId="0" applyFont="1" applyFill="1" applyBorder="1" applyAlignment="1">
      <alignment vertical="center" wrapText="1"/>
    </xf>
    <xf numFmtId="173" fontId="13" fillId="2" borderId="0" xfId="0" applyNumberFormat="1" applyFont="1" applyFill="1" applyAlignment="1">
      <alignment vertical="top" wrapText="1"/>
    </xf>
    <xf numFmtId="0" fontId="25" fillId="2" borderId="1" xfId="0" applyFont="1" applyFill="1" applyBorder="1" applyAlignment="1">
      <alignment vertical="top" wrapText="1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Border="1" applyAlignment="1">
      <alignment horizontal="left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vertical="top" wrapText="1"/>
    </xf>
    <xf numFmtId="0" fontId="13" fillId="2" borderId="17" xfId="0" applyFont="1" applyFill="1" applyBorder="1" applyAlignment="1">
      <alignment vertical="top" wrapText="1"/>
    </xf>
    <xf numFmtId="173" fontId="13" fillId="2" borderId="17" xfId="0" applyNumberFormat="1" applyFont="1" applyFill="1" applyBorder="1" applyAlignment="1">
      <alignment vertical="top" wrapText="1"/>
    </xf>
    <xf numFmtId="173" fontId="13" fillId="2" borderId="18" xfId="0" applyNumberFormat="1" applyFont="1" applyFill="1" applyBorder="1" applyAlignment="1">
      <alignment vertical="top" wrapText="1"/>
    </xf>
    <xf numFmtId="0" fontId="13" fillId="2" borderId="19" xfId="0" applyFont="1" applyFill="1" applyBorder="1" applyAlignment="1">
      <alignment vertical="top" wrapText="1"/>
    </xf>
    <xf numFmtId="173" fontId="13" fillId="2" borderId="0" xfId="0" applyNumberFormat="1" applyFont="1" applyFill="1" applyBorder="1" applyAlignment="1">
      <alignment vertical="top" wrapText="1"/>
    </xf>
    <xf numFmtId="173" fontId="13" fillId="2" borderId="20" xfId="0" applyNumberFormat="1" applyFont="1" applyFill="1" applyBorder="1" applyAlignment="1">
      <alignment vertical="top" wrapText="1"/>
    </xf>
    <xf numFmtId="173" fontId="23" fillId="2" borderId="0" xfId="0" applyNumberFormat="1" applyFont="1" applyFill="1" applyBorder="1" applyAlignment="1">
      <alignment horizontal="right" vertical="center" wrapText="1"/>
    </xf>
    <xf numFmtId="173" fontId="23" fillId="2" borderId="20" xfId="0" applyNumberFormat="1" applyFont="1" applyFill="1" applyBorder="1" applyAlignment="1">
      <alignment horizontal="right" vertical="center" wrapText="1"/>
    </xf>
    <xf numFmtId="3" fontId="13" fillId="2" borderId="0" xfId="0" applyNumberFormat="1" applyFont="1" applyFill="1" applyBorder="1" applyAlignment="1">
      <alignment vertical="top" wrapText="1"/>
    </xf>
    <xf numFmtId="3" fontId="13" fillId="2" borderId="20" xfId="0" applyNumberFormat="1" applyFont="1" applyFill="1" applyBorder="1" applyAlignment="1">
      <alignment vertical="top" wrapText="1"/>
    </xf>
    <xf numFmtId="0" fontId="13" fillId="2" borderId="21" xfId="0" applyFont="1" applyFill="1" applyBorder="1" applyAlignment="1">
      <alignment vertical="top" wrapText="1"/>
    </xf>
    <xf numFmtId="0" fontId="13" fillId="2" borderId="13" xfId="0" applyFont="1" applyFill="1" applyBorder="1" applyAlignment="1">
      <alignment vertical="top" wrapText="1"/>
    </xf>
    <xf numFmtId="173" fontId="28" fillId="2" borderId="13" xfId="0" applyNumberFormat="1" applyFont="1" applyFill="1" applyBorder="1" applyAlignment="1">
      <alignment vertical="top" wrapText="1"/>
    </xf>
    <xf numFmtId="173" fontId="28" fillId="2" borderId="13" xfId="0" applyNumberFormat="1" applyFont="1" applyFill="1" applyBorder="1" applyAlignment="1">
      <alignment vertical="top"/>
    </xf>
    <xf numFmtId="173" fontId="13" fillId="2" borderId="22" xfId="0" applyNumberFormat="1" applyFont="1" applyFill="1" applyBorder="1" applyAlignment="1">
      <alignment vertical="top" wrapText="1"/>
    </xf>
    <xf numFmtId="3" fontId="23" fillId="2" borderId="5" xfId="1" applyNumberFormat="1" applyFont="1" applyFill="1" applyBorder="1" applyAlignment="1">
      <alignment horizontal="center" vertical="center" wrapText="1"/>
    </xf>
    <xf numFmtId="173" fontId="19" fillId="2" borderId="3" xfId="1" applyNumberFormat="1" applyFont="1" applyFill="1" applyBorder="1" applyAlignment="1">
      <alignment horizontal="center" vertical="center" wrapText="1"/>
    </xf>
    <xf numFmtId="3" fontId="19" fillId="2" borderId="4" xfId="1" applyNumberFormat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20" fillId="2" borderId="0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left" vertical="center" wrapText="1"/>
    </xf>
    <xf numFmtId="0" fontId="20" fillId="2" borderId="0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14" fillId="2" borderId="2" xfId="0" applyFont="1" applyFill="1" applyBorder="1" applyAlignment="1">
      <alignment horizontal="right" vertical="center" wrapText="1"/>
    </xf>
    <xf numFmtId="0" fontId="14" fillId="2" borderId="0" xfId="0" applyFont="1" applyFill="1" applyBorder="1" applyAlignment="1">
      <alignment horizontal="right" vertical="center" wrapText="1"/>
    </xf>
    <xf numFmtId="0" fontId="22" fillId="2" borderId="1" xfId="0" applyFont="1" applyFill="1" applyBorder="1" applyAlignment="1">
      <alignment horizontal="right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 readingOrder="2"/>
    </xf>
    <xf numFmtId="0" fontId="16" fillId="2" borderId="4" xfId="0" applyFont="1" applyFill="1" applyBorder="1" applyAlignment="1">
      <alignment horizontal="center" vertical="center" wrapText="1" readingOrder="2"/>
    </xf>
  </cellXfs>
  <cellStyles count="11">
    <cellStyle name="Comma" xfId="1" builtinId="3"/>
    <cellStyle name="Comma 2" xfId="6"/>
    <cellStyle name="Comma 3" xfId="7"/>
    <cellStyle name="Comma 4" xfId="3"/>
    <cellStyle name="Comma 6" xfId="9"/>
    <cellStyle name="Excel Built-in Comma" xfId="5"/>
    <cellStyle name="Excel Built-in Normal" xfId="4"/>
    <cellStyle name="Normal" xfId="0" builtinId="0"/>
    <cellStyle name="Normal 2" xfId="10"/>
    <cellStyle name="Normal 4" xfId="8"/>
    <cellStyle name="Normal_13 Public Finance_done" xfId="2"/>
  </cellStyles>
  <dxfs count="0"/>
  <tableStyles count="0" defaultTableStyle="TableStyleMedium9" defaultPivotStyle="PivotStyleLight16"/>
  <colors>
    <mruColors>
      <color rgb="FFFAC090"/>
      <color rgb="FFCC6600"/>
      <color rgb="FF953735"/>
      <color rgb="FFFCD5B5"/>
      <color rgb="FFFDEADA"/>
      <color rgb="FFFFCC00"/>
      <color rgb="FFFDEADB"/>
      <color rgb="FF00A8A4"/>
      <color rgb="FF7DDFDD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13.%20PUBLIC%20FINANCE%20-%20MI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3.12"/>
      <sheetName val="13.13"/>
      <sheetName val="13.14"/>
    </sheetNames>
    <sheetDataSet>
      <sheetData sheetId="0">
        <row r="11">
          <cell r="I11">
            <v>44906666.336099997</v>
          </cell>
        </row>
        <row r="19">
          <cell r="I19">
            <v>141767992.15759999</v>
          </cell>
        </row>
        <row r="26">
          <cell r="I26">
            <v>76455203.800423443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85"/>
  <sheetViews>
    <sheetView tabSelected="1" zoomScaleNormal="100" zoomScaleSheetLayoutView="64" workbookViewId="0">
      <selection activeCell="S77" sqref="S77"/>
    </sheetView>
  </sheetViews>
  <sheetFormatPr defaultColWidth="8" defaultRowHeight="15.75" x14ac:dyDescent="0.25"/>
  <cols>
    <col min="1" max="1" width="34" style="1" customWidth="1"/>
    <col min="2" max="2" width="17.7109375" style="1" hidden="1" customWidth="1"/>
    <col min="3" max="3" width="13.7109375" style="1" hidden="1" customWidth="1"/>
    <col min="4" max="4" width="13.7109375" style="1" customWidth="1"/>
    <col min="5" max="6" width="14.7109375" style="1" customWidth="1"/>
    <col min="7" max="7" width="16.42578125" style="1" customWidth="1"/>
    <col min="8" max="9" width="14.7109375" style="1" bestFit="1" customWidth="1"/>
    <col min="10" max="10" width="4.7109375" style="1" customWidth="1"/>
    <col min="11" max="14" width="8" style="1" customWidth="1"/>
    <col min="15" max="15" width="1.28515625" style="1" customWidth="1"/>
    <col min="16" max="16" width="19.5703125" style="1" customWidth="1"/>
    <col min="17" max="17" width="33.7109375" style="12" customWidth="1"/>
    <col min="18" max="18" width="0.85546875" style="1" customWidth="1"/>
    <col min="19" max="16384" width="8" style="1"/>
  </cols>
  <sheetData>
    <row r="1" spans="1:24" s="7" customFormat="1" ht="21" x14ac:dyDescent="0.25">
      <c r="A1" s="76" t="s">
        <v>142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1:24" ht="15" x14ac:dyDescent="0.25">
      <c r="A2" s="77" t="s">
        <v>143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</row>
    <row r="3" spans="1:24" x14ac:dyDescent="0.25">
      <c r="A3" s="8"/>
      <c r="B3" s="9"/>
      <c r="C3" s="9"/>
      <c r="D3" s="9"/>
      <c r="E3" s="9"/>
      <c r="F3" s="10"/>
      <c r="G3" s="11"/>
      <c r="H3" s="11"/>
      <c r="I3" s="11"/>
      <c r="J3" s="9"/>
      <c r="K3" s="9"/>
      <c r="L3" s="9"/>
      <c r="M3" s="9"/>
      <c r="N3" s="9"/>
      <c r="O3" s="9"/>
      <c r="P3" s="9"/>
    </row>
    <row r="4" spans="1:24" ht="30" customHeight="1" x14ac:dyDescent="0.25">
      <c r="A4" s="78" t="s">
        <v>6</v>
      </c>
      <c r="C4" s="13"/>
      <c r="D4" s="84" t="s">
        <v>7</v>
      </c>
      <c r="E4" s="84"/>
      <c r="F4" s="84"/>
      <c r="G4" s="84"/>
      <c r="H4" s="84"/>
      <c r="I4" s="84"/>
      <c r="J4" s="14"/>
      <c r="K4" s="88" t="s">
        <v>32</v>
      </c>
      <c r="L4" s="84"/>
      <c r="M4" s="84"/>
      <c r="N4" s="84"/>
      <c r="O4" s="14"/>
      <c r="P4" s="54" t="s">
        <v>144</v>
      </c>
      <c r="Q4" s="81" t="s">
        <v>5</v>
      </c>
    </row>
    <row r="5" spans="1:24" ht="18.75" customHeight="1" x14ac:dyDescent="0.25">
      <c r="A5" s="79"/>
      <c r="C5" s="15"/>
      <c r="D5" s="85" t="s">
        <v>8</v>
      </c>
      <c r="E5" s="85"/>
      <c r="F5" s="85"/>
      <c r="G5" s="85"/>
      <c r="H5" s="85"/>
      <c r="I5" s="85"/>
      <c r="J5" s="16"/>
      <c r="K5" s="86" t="s">
        <v>33</v>
      </c>
      <c r="L5" s="87"/>
      <c r="M5" s="87"/>
      <c r="N5" s="87"/>
      <c r="O5" s="17"/>
      <c r="P5" s="89" t="s">
        <v>141</v>
      </c>
      <c r="Q5" s="82"/>
    </row>
    <row r="6" spans="1:24" ht="15" customHeight="1" x14ac:dyDescent="0.25">
      <c r="A6" s="80"/>
      <c r="B6" s="18">
        <v>2011</v>
      </c>
      <c r="C6" s="18">
        <v>2012</v>
      </c>
      <c r="D6" s="18">
        <v>2013</v>
      </c>
      <c r="E6" s="18">
        <v>2014</v>
      </c>
      <c r="F6" s="19" t="s">
        <v>9</v>
      </c>
      <c r="G6" s="18" t="s">
        <v>10</v>
      </c>
      <c r="H6" s="18">
        <v>2017</v>
      </c>
      <c r="I6" s="18">
        <v>2018</v>
      </c>
      <c r="J6" s="20"/>
      <c r="K6" s="21">
        <v>2015</v>
      </c>
      <c r="L6" s="21">
        <v>2016</v>
      </c>
      <c r="M6" s="21">
        <v>2017</v>
      </c>
      <c r="N6" s="21">
        <v>2018</v>
      </c>
      <c r="O6" s="20"/>
      <c r="P6" s="90"/>
      <c r="Q6" s="83"/>
    </row>
    <row r="7" spans="1:24" s="28" customFormat="1" ht="19.5" x14ac:dyDescent="0.25">
      <c r="A7" s="22" t="s">
        <v>28</v>
      </c>
      <c r="B7" s="23">
        <f t="shared" ref="B7:G7" si="0">SUM(B8:B67)</f>
        <v>4560205196.3689995</v>
      </c>
      <c r="C7" s="23">
        <f t="shared" si="0"/>
        <v>7152172979.8694992</v>
      </c>
      <c r="D7" s="23">
        <f t="shared" si="0"/>
        <v>8982562927.9292011</v>
      </c>
      <c r="E7" s="23">
        <f t="shared" si="0"/>
        <v>11497398130.023497</v>
      </c>
      <c r="F7" s="23">
        <f t="shared" si="0"/>
        <v>13054497017.590202</v>
      </c>
      <c r="G7" s="23">
        <f t="shared" si="0"/>
        <v>14529264650.182802</v>
      </c>
      <c r="H7" s="23">
        <f>SUM(H8:H67)</f>
        <v>15187904553.917549</v>
      </c>
      <c r="I7" s="23">
        <f>SUM(I8:I67)</f>
        <v>16299058667.561626</v>
      </c>
      <c r="J7" s="24"/>
      <c r="K7" s="25">
        <f>SUM(K8:K67)</f>
        <v>99.999999999999972</v>
      </c>
      <c r="L7" s="25">
        <f>SUM(L8:L67)</f>
        <v>99.999999999999972</v>
      </c>
      <c r="M7" s="25">
        <f>SUM(M8:M67)</f>
        <v>100.00000000000006</v>
      </c>
      <c r="N7" s="25">
        <f>SUM(N8:N67)</f>
        <v>99.999999999999972</v>
      </c>
      <c r="O7" s="26"/>
      <c r="P7" s="71">
        <f>(I7/H7-1)*100</f>
        <v>7.3160461978111879</v>
      </c>
      <c r="Q7" s="27" t="s">
        <v>29</v>
      </c>
    </row>
    <row r="8" spans="1:24" ht="19.5" x14ac:dyDescent="0.25">
      <c r="A8" s="3" t="s">
        <v>34</v>
      </c>
      <c r="B8" s="29">
        <v>337494704.2076</v>
      </c>
      <c r="C8" s="29">
        <v>299914418.10500002</v>
      </c>
      <c r="D8" s="29">
        <v>350246279.87499994</v>
      </c>
      <c r="E8" s="29">
        <v>431977863.3118999</v>
      </c>
      <c r="F8" s="29">
        <v>496698013.89529997</v>
      </c>
      <c r="G8" s="29">
        <v>537482907.12529993</v>
      </c>
      <c r="H8" s="29">
        <v>707769590.08371425</v>
      </c>
      <c r="I8" s="29">
        <v>643103954.31658459</v>
      </c>
      <c r="J8" s="30"/>
      <c r="K8" s="31">
        <f>F8/F$7*100</f>
        <v>3.8048039171944139</v>
      </c>
      <c r="L8" s="31">
        <f>G8/G$7*100</f>
        <v>3.6993125258994959</v>
      </c>
      <c r="M8" s="31">
        <f>H8/H$7*100</f>
        <v>4.6600871606159329</v>
      </c>
      <c r="N8" s="31">
        <f>I8/I$7*100</f>
        <v>3.9456508957568794</v>
      </c>
      <c r="O8" s="32"/>
      <c r="P8" s="33">
        <f>(I8/H8-1)*100</f>
        <v>-9.1365377480376218</v>
      </c>
      <c r="Q8" s="34" t="s">
        <v>11</v>
      </c>
    </row>
    <row r="9" spans="1:24" ht="19.5" x14ac:dyDescent="0.25">
      <c r="A9" s="3" t="s">
        <v>12</v>
      </c>
      <c r="B9" s="29"/>
      <c r="C9" s="29"/>
      <c r="D9" s="29">
        <v>0</v>
      </c>
      <c r="E9" s="29">
        <v>0</v>
      </c>
      <c r="F9" s="29">
        <v>0</v>
      </c>
      <c r="G9" s="29">
        <v>0</v>
      </c>
      <c r="H9" s="29">
        <v>328474085.79999995</v>
      </c>
      <c r="I9" s="29">
        <v>646850635.49704576</v>
      </c>
      <c r="J9" s="30"/>
      <c r="K9" s="31">
        <f t="shared" ref="K9:N67" si="1">F9/F$7*100</f>
        <v>0</v>
      </c>
      <c r="L9" s="31">
        <f t="shared" si="1"/>
        <v>0</v>
      </c>
      <c r="M9" s="31">
        <f t="shared" si="1"/>
        <v>2.1627347250827551</v>
      </c>
      <c r="N9" s="31">
        <f t="shared" si="1"/>
        <v>3.9686379973857466</v>
      </c>
      <c r="O9" s="32"/>
      <c r="P9" s="72" t="s">
        <v>3</v>
      </c>
      <c r="Q9" s="34" t="s">
        <v>13</v>
      </c>
    </row>
    <row r="10" spans="1:24" ht="19.5" x14ac:dyDescent="0.25">
      <c r="A10" s="3" t="s">
        <v>35</v>
      </c>
      <c r="B10" s="29">
        <v>229856988.79999998</v>
      </c>
      <c r="C10" s="29">
        <v>313152517.39999998</v>
      </c>
      <c r="D10" s="29">
        <v>355036694.05000001</v>
      </c>
      <c r="E10" s="29">
        <v>482197189.75</v>
      </c>
      <c r="F10" s="29">
        <v>512725167.70999998</v>
      </c>
      <c r="G10" s="29">
        <v>491669611.60000002</v>
      </c>
      <c r="H10" s="29">
        <v>649894826.80999994</v>
      </c>
      <c r="I10" s="29">
        <v>564102077.25</v>
      </c>
      <c r="J10" s="30"/>
      <c r="K10" s="31">
        <f t="shared" si="1"/>
        <v>3.9275750495720483</v>
      </c>
      <c r="L10" s="31">
        <f t="shared" si="1"/>
        <v>3.3839951534905386</v>
      </c>
      <c r="M10" s="31">
        <f t="shared" si="1"/>
        <v>4.2790289108207942</v>
      </c>
      <c r="N10" s="31">
        <f t="shared" si="1"/>
        <v>3.4609488115572926</v>
      </c>
      <c r="O10" s="32"/>
      <c r="P10" s="33">
        <f>(I10/H10-1)*100</f>
        <v>-13.201020537601826</v>
      </c>
      <c r="Q10" s="34" t="s">
        <v>36</v>
      </c>
    </row>
    <row r="11" spans="1:24" ht="19.5" x14ac:dyDescent="0.25">
      <c r="A11" s="3" t="s">
        <v>37</v>
      </c>
      <c r="B11" s="29">
        <v>35069424.219999999</v>
      </c>
      <c r="C11" s="29">
        <v>1401117904.5887001</v>
      </c>
      <c r="D11" s="29">
        <v>1881814670.0172997</v>
      </c>
      <c r="E11" s="29">
        <v>2475402851.9278002</v>
      </c>
      <c r="F11" s="29">
        <v>2676515345.3940001</v>
      </c>
      <c r="G11" s="29">
        <v>2742014597.9856997</v>
      </c>
      <c r="H11" s="29">
        <v>2675941922.0164604</v>
      </c>
      <c r="I11" s="29">
        <v>2713710645.3620391</v>
      </c>
      <c r="J11" s="30"/>
      <c r="K11" s="31">
        <f t="shared" si="1"/>
        <v>20.502630946160131</v>
      </c>
      <c r="L11" s="31">
        <f t="shared" si="1"/>
        <v>18.872356337395235</v>
      </c>
      <c r="M11" s="31">
        <f t="shared" si="1"/>
        <v>17.618901360070975</v>
      </c>
      <c r="N11" s="31">
        <f t="shared" si="1"/>
        <v>16.64949308246165</v>
      </c>
      <c r="O11" s="32"/>
      <c r="P11" s="33">
        <f>(I11/H11-1)*100</f>
        <v>1.4114179024153906</v>
      </c>
      <c r="Q11" s="34" t="s">
        <v>1</v>
      </c>
    </row>
    <row r="12" spans="1:24" ht="19.5" x14ac:dyDescent="0.25">
      <c r="A12" s="3" t="s">
        <v>38</v>
      </c>
      <c r="B12" s="29">
        <v>66177301.209999993</v>
      </c>
      <c r="C12" s="29">
        <v>64518018.390000001</v>
      </c>
      <c r="D12" s="29">
        <v>68042407.709999993</v>
      </c>
      <c r="E12" s="29">
        <v>75002051.50999999</v>
      </c>
      <c r="F12" s="29">
        <v>79113040.390000001</v>
      </c>
      <c r="G12" s="29">
        <v>102136920.65000001</v>
      </c>
      <c r="H12" s="29">
        <v>111408004.60159999</v>
      </c>
      <c r="I12" s="29">
        <v>99747422.109999999</v>
      </c>
      <c r="J12" s="30"/>
      <c r="K12" s="31">
        <f t="shared" si="1"/>
        <v>0.60602136017496211</v>
      </c>
      <c r="L12" s="31">
        <f t="shared" si="1"/>
        <v>0.70297377815824258</v>
      </c>
      <c r="M12" s="31">
        <f t="shared" si="1"/>
        <v>0.73353110829804069</v>
      </c>
      <c r="N12" s="31">
        <f t="shared" si="1"/>
        <v>0.61198271718916653</v>
      </c>
      <c r="O12" s="32"/>
      <c r="P12" s="33">
        <f>(I12/H12-1)*100</f>
        <v>-10.466557168220325</v>
      </c>
      <c r="Q12" s="34" t="s">
        <v>39</v>
      </c>
    </row>
    <row r="13" spans="1:24" ht="19.5" x14ac:dyDescent="0.25">
      <c r="A13" s="3" t="s">
        <v>40</v>
      </c>
      <c r="B13" s="29">
        <v>9126000</v>
      </c>
      <c r="C13" s="29">
        <v>10083100</v>
      </c>
      <c r="D13" s="29">
        <v>10077300</v>
      </c>
      <c r="E13" s="29">
        <v>9630000</v>
      </c>
      <c r="F13" s="29">
        <v>12342000</v>
      </c>
      <c r="G13" s="29">
        <v>14250000</v>
      </c>
      <c r="H13" s="29">
        <v>16216900</v>
      </c>
      <c r="I13" s="29">
        <v>15989042</v>
      </c>
      <c r="J13" s="30"/>
      <c r="K13" s="31">
        <f t="shared" si="1"/>
        <v>9.4542133514373239E-2</v>
      </c>
      <c r="L13" s="31">
        <f t="shared" si="1"/>
        <v>9.8077916144370822E-2</v>
      </c>
      <c r="M13" s="31">
        <f t="shared" si="1"/>
        <v>0.10677509818704406</v>
      </c>
      <c r="N13" s="31">
        <f t="shared" si="1"/>
        <v>9.8097947409818073E-2</v>
      </c>
      <c r="O13" s="32"/>
      <c r="P13" s="33">
        <f>(I13/H13-1)*100</f>
        <v>-1.4050650864221859</v>
      </c>
      <c r="Q13" s="34" t="s">
        <v>41</v>
      </c>
    </row>
    <row r="14" spans="1:24" ht="19.5" x14ac:dyDescent="0.25">
      <c r="A14" s="3" t="s">
        <v>42</v>
      </c>
      <c r="B14" s="29">
        <v>2800011</v>
      </c>
      <c r="C14" s="29">
        <v>2774867</v>
      </c>
      <c r="D14" s="29">
        <v>2213224</v>
      </c>
      <c r="E14" s="29">
        <v>2662962</v>
      </c>
      <c r="F14" s="29">
        <v>3516877</v>
      </c>
      <c r="G14" s="29">
        <v>3049365</v>
      </c>
      <c r="H14" s="29">
        <v>3431527</v>
      </c>
      <c r="I14" s="29">
        <v>3414907</v>
      </c>
      <c r="J14" s="30"/>
      <c r="K14" s="31">
        <f t="shared" si="1"/>
        <v>2.6939965555633476E-2</v>
      </c>
      <c r="L14" s="31">
        <f t="shared" si="1"/>
        <v>2.0987744895689775E-2</v>
      </c>
      <c r="M14" s="31">
        <f t="shared" si="1"/>
        <v>2.2593814622800457E-2</v>
      </c>
      <c r="N14" s="31">
        <f t="shared" si="1"/>
        <v>2.0951559655382708E-2</v>
      </c>
      <c r="O14" s="32"/>
      <c r="P14" s="33">
        <f t="shared" ref="P14:P67" si="2">(I14/H14-1)*100</f>
        <v>-0.48433248521722039</v>
      </c>
      <c r="Q14" s="34" t="s">
        <v>43</v>
      </c>
    </row>
    <row r="15" spans="1:24" ht="19.5" x14ac:dyDescent="0.25">
      <c r="A15" s="2" t="s">
        <v>14</v>
      </c>
      <c r="B15" s="2"/>
      <c r="C15" s="2"/>
      <c r="D15" s="35">
        <v>0</v>
      </c>
      <c r="E15" s="35">
        <v>0</v>
      </c>
      <c r="F15" s="35">
        <v>0</v>
      </c>
      <c r="G15" s="35">
        <v>0</v>
      </c>
      <c r="H15" s="29">
        <v>65344950</v>
      </c>
      <c r="I15" s="29">
        <v>105197655.05969112</v>
      </c>
      <c r="J15" s="30"/>
      <c r="K15" s="31">
        <f t="shared" si="1"/>
        <v>0</v>
      </c>
      <c r="L15" s="31">
        <f t="shared" si="1"/>
        <v>0</v>
      </c>
      <c r="M15" s="31">
        <f t="shared" si="1"/>
        <v>0.43024335429567206</v>
      </c>
      <c r="N15" s="31">
        <f t="shared" si="1"/>
        <v>0.64542166026468395</v>
      </c>
      <c r="O15" s="32"/>
      <c r="P15" s="33">
        <f t="shared" si="2"/>
        <v>60.98819428232958</v>
      </c>
      <c r="Q15" s="34" t="s">
        <v>44</v>
      </c>
      <c r="R15" s="2"/>
      <c r="S15" s="2"/>
      <c r="T15" s="2"/>
      <c r="U15" s="2"/>
      <c r="V15" s="2"/>
      <c r="W15" s="2"/>
      <c r="X15" s="2"/>
    </row>
    <row r="16" spans="1:24" ht="19.5" x14ac:dyDescent="0.25">
      <c r="A16" s="2" t="s">
        <v>15</v>
      </c>
      <c r="B16" s="2"/>
      <c r="C16" s="2"/>
      <c r="D16" s="35">
        <v>0</v>
      </c>
      <c r="E16" s="35">
        <v>0</v>
      </c>
      <c r="F16" s="35">
        <v>0</v>
      </c>
      <c r="G16" s="35">
        <v>0</v>
      </c>
      <c r="H16" s="29">
        <v>12971000</v>
      </c>
      <c r="I16" s="29">
        <v>7680000</v>
      </c>
      <c r="J16" s="30"/>
      <c r="K16" s="31">
        <f t="shared" si="1"/>
        <v>0</v>
      </c>
      <c r="L16" s="31">
        <f t="shared" si="1"/>
        <v>0</v>
      </c>
      <c r="M16" s="31">
        <f t="shared" si="1"/>
        <v>8.5403486399012671E-2</v>
      </c>
      <c r="N16" s="31">
        <f t="shared" si="1"/>
        <v>4.7119285577422516E-2</v>
      </c>
      <c r="O16" s="32"/>
      <c r="P16" s="33">
        <f t="shared" si="2"/>
        <v>-40.790995297201448</v>
      </c>
      <c r="Q16" s="34" t="s">
        <v>45</v>
      </c>
      <c r="R16" s="2"/>
      <c r="S16" s="2"/>
      <c r="T16" s="2"/>
      <c r="U16" s="2"/>
      <c r="V16" s="2"/>
      <c r="W16" s="2"/>
      <c r="X16" s="2"/>
    </row>
    <row r="17" spans="1:17" ht="19.5" x14ac:dyDescent="0.25">
      <c r="A17" s="3" t="s">
        <v>46</v>
      </c>
      <c r="B17" s="29">
        <v>10200</v>
      </c>
      <c r="C17" s="29">
        <v>9800</v>
      </c>
      <c r="D17" s="29">
        <v>8200</v>
      </c>
      <c r="E17" s="29">
        <v>4800</v>
      </c>
      <c r="F17" s="29">
        <v>4000</v>
      </c>
      <c r="G17" s="29">
        <v>9400</v>
      </c>
      <c r="H17" s="29">
        <v>8600</v>
      </c>
      <c r="I17" s="29">
        <v>6800</v>
      </c>
      <c r="J17" s="30"/>
      <c r="K17" s="31">
        <f t="shared" si="1"/>
        <v>3.0640782211756025E-5</v>
      </c>
      <c r="L17" s="31">
        <f t="shared" si="1"/>
        <v>6.4697011351374438E-5</v>
      </c>
      <c r="M17" s="31">
        <f t="shared" si="1"/>
        <v>5.6624006092938788E-5</v>
      </c>
      <c r="N17" s="31">
        <f t="shared" si="1"/>
        <v>4.1720200771676188E-5</v>
      </c>
      <c r="O17" s="32"/>
      <c r="P17" s="33">
        <f t="shared" si="2"/>
        <v>-20.93023255813954</v>
      </c>
      <c r="Q17" s="34" t="s">
        <v>47</v>
      </c>
    </row>
    <row r="18" spans="1:17" ht="19.5" x14ac:dyDescent="0.25">
      <c r="A18" s="3" t="s">
        <v>48</v>
      </c>
      <c r="B18" s="29">
        <v>6600</v>
      </c>
      <c r="C18" s="29">
        <v>3800</v>
      </c>
      <c r="D18" s="29">
        <v>1600</v>
      </c>
      <c r="E18" s="29">
        <v>200</v>
      </c>
      <c r="F18" s="29">
        <v>1400</v>
      </c>
      <c r="G18" s="29">
        <v>2200</v>
      </c>
      <c r="H18" s="29">
        <v>2800</v>
      </c>
      <c r="I18" s="29">
        <v>600</v>
      </c>
      <c r="J18" s="30"/>
      <c r="K18" s="31">
        <f t="shared" si="1"/>
        <v>1.0724273774114609E-5</v>
      </c>
      <c r="L18" s="31">
        <f t="shared" si="1"/>
        <v>1.5141853720534439E-5</v>
      </c>
      <c r="M18" s="31">
        <f t="shared" si="1"/>
        <v>1.843572291398007E-5</v>
      </c>
      <c r="N18" s="31">
        <f t="shared" si="1"/>
        <v>3.6811941857361339E-6</v>
      </c>
      <c r="O18" s="32"/>
      <c r="P18" s="33">
        <f t="shared" si="2"/>
        <v>-78.571428571428569</v>
      </c>
      <c r="Q18" s="34" t="s">
        <v>49</v>
      </c>
    </row>
    <row r="19" spans="1:17" ht="19.5" x14ac:dyDescent="0.25">
      <c r="A19" s="3" t="s">
        <v>50</v>
      </c>
      <c r="B19" s="29">
        <v>26368958.637699999</v>
      </c>
      <c r="C19" s="29">
        <v>38326919.319099993</v>
      </c>
      <c r="D19" s="29">
        <v>65871274.453900002</v>
      </c>
      <c r="E19" s="29">
        <v>79428949.993799999</v>
      </c>
      <c r="F19" s="29">
        <v>77088771.710000008</v>
      </c>
      <c r="G19" s="29">
        <v>72751662.810000002</v>
      </c>
      <c r="H19" s="29">
        <v>76295076.289999992</v>
      </c>
      <c r="I19" s="29">
        <v>76324061.129999995</v>
      </c>
      <c r="J19" s="30"/>
      <c r="K19" s="31">
        <f t="shared" si="1"/>
        <v>0.59051506623447236</v>
      </c>
      <c r="L19" s="31">
        <f t="shared" si="1"/>
        <v>0.50072501645212075</v>
      </c>
      <c r="M19" s="31">
        <f t="shared" si="1"/>
        <v>0.50234103077978942</v>
      </c>
      <c r="N19" s="31">
        <f t="shared" si="1"/>
        <v>0.46827281677254207</v>
      </c>
      <c r="O19" s="32"/>
      <c r="P19" s="33">
        <f t="shared" si="2"/>
        <v>3.7990446316382709E-2</v>
      </c>
      <c r="Q19" s="34" t="s">
        <v>51</v>
      </c>
    </row>
    <row r="20" spans="1:17" ht="19.5" x14ac:dyDescent="0.25">
      <c r="A20" s="3" t="s">
        <v>52</v>
      </c>
      <c r="B20" s="29">
        <v>44654557.465700001</v>
      </c>
      <c r="C20" s="29">
        <v>51539663.522400007</v>
      </c>
      <c r="D20" s="29">
        <v>54796856.450100005</v>
      </c>
      <c r="E20" s="29">
        <v>116054694.13689999</v>
      </c>
      <c r="F20" s="29">
        <v>257569888.39209995</v>
      </c>
      <c r="G20" s="29">
        <v>270265257.52340001</v>
      </c>
      <c r="H20" s="29">
        <v>195626549.71080002</v>
      </c>
      <c r="I20" s="29">
        <v>234740299.17963666</v>
      </c>
      <c r="J20" s="30"/>
      <c r="K20" s="31">
        <f t="shared" si="1"/>
        <v>1.9730357136321603</v>
      </c>
      <c r="L20" s="31">
        <f t="shared" si="1"/>
        <v>1.8601440887099516</v>
      </c>
      <c r="M20" s="31">
        <f t="shared" si="1"/>
        <v>1.288041737530806</v>
      </c>
      <c r="N20" s="31">
        <f t="shared" si="1"/>
        <v>1.4402077074967319</v>
      </c>
      <c r="O20" s="32"/>
      <c r="P20" s="33">
        <f t="shared" si="2"/>
        <v>19.994090539683661</v>
      </c>
      <c r="Q20" s="34" t="s">
        <v>16</v>
      </c>
    </row>
    <row r="21" spans="1:17" ht="19.5" x14ac:dyDescent="0.25">
      <c r="A21" s="3" t="s">
        <v>53</v>
      </c>
      <c r="B21" s="29">
        <v>543387.33450000011</v>
      </c>
      <c r="C21" s="29">
        <v>0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30"/>
      <c r="K21" s="31">
        <f t="shared" si="1"/>
        <v>0</v>
      </c>
      <c r="L21" s="31">
        <f t="shared" si="1"/>
        <v>0</v>
      </c>
      <c r="M21" s="31">
        <f t="shared" si="1"/>
        <v>0</v>
      </c>
      <c r="N21" s="31">
        <f t="shared" si="1"/>
        <v>0</v>
      </c>
      <c r="O21" s="32"/>
      <c r="P21" s="72" t="s">
        <v>3</v>
      </c>
      <c r="Q21" s="34" t="s">
        <v>54</v>
      </c>
    </row>
    <row r="22" spans="1:17" ht="19.5" x14ac:dyDescent="0.25">
      <c r="A22" s="3" t="s">
        <v>55</v>
      </c>
      <c r="B22" s="29">
        <v>205312</v>
      </c>
      <c r="C22" s="29">
        <v>144688</v>
      </c>
      <c r="D22" s="29">
        <v>122000</v>
      </c>
      <c r="E22" s="29">
        <v>255800</v>
      </c>
      <c r="F22" s="29">
        <v>381292</v>
      </c>
      <c r="G22" s="29">
        <v>563556</v>
      </c>
      <c r="H22" s="29">
        <v>648433.64</v>
      </c>
      <c r="I22" s="29">
        <v>554092.16</v>
      </c>
      <c r="J22" s="30"/>
      <c r="K22" s="31">
        <f t="shared" si="1"/>
        <v>2.9207712827712196E-3</v>
      </c>
      <c r="L22" s="31">
        <f t="shared" si="1"/>
        <v>3.8787647796952309E-3</v>
      </c>
      <c r="M22" s="31">
        <f t="shared" si="1"/>
        <v>4.2694081839798224E-3</v>
      </c>
      <c r="N22" s="31">
        <f t="shared" si="1"/>
        <v>3.3995347295899593E-3</v>
      </c>
      <c r="O22" s="32"/>
      <c r="P22" s="33">
        <f t="shared" si="2"/>
        <v>-14.549134125737206</v>
      </c>
      <c r="Q22" s="34" t="s">
        <v>56</v>
      </c>
    </row>
    <row r="23" spans="1:17" ht="19.5" x14ac:dyDescent="0.25">
      <c r="A23" s="3" t="s">
        <v>57</v>
      </c>
      <c r="B23" s="29">
        <v>3067500</v>
      </c>
      <c r="C23" s="29">
        <v>2685000</v>
      </c>
      <c r="D23" s="29">
        <v>1820000</v>
      </c>
      <c r="E23" s="29">
        <v>2235925</v>
      </c>
      <c r="F23" s="29">
        <v>863486.3</v>
      </c>
      <c r="G23" s="29">
        <v>496260.27</v>
      </c>
      <c r="H23" s="29">
        <v>13500</v>
      </c>
      <c r="I23" s="29">
        <v>27240.059999999998</v>
      </c>
      <c r="J23" s="30"/>
      <c r="K23" s="31">
        <f t="shared" si="1"/>
        <v>6.6144739152837577E-3</v>
      </c>
      <c r="L23" s="31">
        <f t="shared" si="1"/>
        <v>3.4155910980240576E-3</v>
      </c>
      <c r="M23" s="31">
        <f t="shared" si="1"/>
        <v>8.8886521192403908E-5</v>
      </c>
      <c r="N23" s="31">
        <f t="shared" si="1"/>
        <v>1.6712658415183904E-4</v>
      </c>
      <c r="O23" s="32"/>
      <c r="P23" s="33">
        <f t="shared" si="2"/>
        <v>101.7782222222222</v>
      </c>
      <c r="Q23" s="34" t="s">
        <v>58</v>
      </c>
    </row>
    <row r="24" spans="1:17" ht="28.5" x14ac:dyDescent="0.25">
      <c r="A24" s="3" t="s">
        <v>59</v>
      </c>
      <c r="B24" s="29">
        <v>1918832.01</v>
      </c>
      <c r="C24" s="29">
        <v>971033.66999999993</v>
      </c>
      <c r="D24" s="29">
        <v>859560</v>
      </c>
      <c r="E24" s="29">
        <v>1166560</v>
      </c>
      <c r="F24" s="29">
        <v>1840460</v>
      </c>
      <c r="G24" s="29">
        <v>2210538</v>
      </c>
      <c r="H24" s="29">
        <v>2181300</v>
      </c>
      <c r="I24" s="29">
        <v>2028480</v>
      </c>
      <c r="J24" s="30"/>
      <c r="K24" s="31">
        <f t="shared" si="1"/>
        <v>1.4098283507362126E-2</v>
      </c>
      <c r="L24" s="31">
        <f t="shared" si="1"/>
        <v>1.52143831998558E-2</v>
      </c>
      <c r="M24" s="31">
        <f t="shared" si="1"/>
        <v>1.4362086568665973E-2</v>
      </c>
      <c r="N24" s="31">
        <f t="shared" si="1"/>
        <v>1.2445381303136722E-2</v>
      </c>
      <c r="O24" s="32"/>
      <c r="P24" s="33">
        <f t="shared" si="2"/>
        <v>-7.0059139045523295</v>
      </c>
      <c r="Q24" s="36" t="s">
        <v>60</v>
      </c>
    </row>
    <row r="25" spans="1:17" ht="19.5" x14ac:dyDescent="0.25">
      <c r="A25" s="3" t="s">
        <v>61</v>
      </c>
      <c r="B25" s="29">
        <v>13328804.895099999</v>
      </c>
      <c r="C25" s="29">
        <v>3751557.7451999998</v>
      </c>
      <c r="D25" s="29">
        <v>0</v>
      </c>
      <c r="E25" s="29">
        <v>0</v>
      </c>
      <c r="F25" s="29">
        <v>0</v>
      </c>
      <c r="G25" s="29">
        <v>0</v>
      </c>
      <c r="H25" s="29">
        <v>0</v>
      </c>
      <c r="I25" s="29">
        <v>0</v>
      </c>
      <c r="J25" s="30"/>
      <c r="K25" s="31">
        <f t="shared" si="1"/>
        <v>0</v>
      </c>
      <c r="L25" s="31">
        <f t="shared" si="1"/>
        <v>0</v>
      </c>
      <c r="M25" s="31">
        <f t="shared" si="1"/>
        <v>0</v>
      </c>
      <c r="N25" s="31">
        <f t="shared" si="1"/>
        <v>0</v>
      </c>
      <c r="O25" s="32"/>
      <c r="P25" s="72" t="s">
        <v>3</v>
      </c>
      <c r="Q25" s="34" t="s">
        <v>62</v>
      </c>
    </row>
    <row r="26" spans="1:17" ht="19.5" x14ac:dyDescent="0.25">
      <c r="A26" s="3" t="s">
        <v>63</v>
      </c>
      <c r="B26" s="29">
        <v>34441393.530400001</v>
      </c>
      <c r="C26" s="29">
        <v>33094297.160799991</v>
      </c>
      <c r="D26" s="29">
        <v>35600432.367200002</v>
      </c>
      <c r="E26" s="29">
        <v>9666424.6421999969</v>
      </c>
      <c r="F26" s="29">
        <v>1452475.8979</v>
      </c>
      <c r="G26" s="29">
        <v>1386174.2361000003</v>
      </c>
      <c r="H26" s="29">
        <v>781782.84219999996</v>
      </c>
      <c r="I26" s="29">
        <v>131142.67042344084</v>
      </c>
      <c r="J26" s="30"/>
      <c r="K26" s="31">
        <f t="shared" si="1"/>
        <v>1.112624941384467E-2</v>
      </c>
      <c r="L26" s="31">
        <f t="shared" si="1"/>
        <v>9.5405670519089891E-3</v>
      </c>
      <c r="M26" s="31">
        <f t="shared" si="1"/>
        <v>5.1474042348939302E-3</v>
      </c>
      <c r="N26" s="31">
        <f t="shared" si="1"/>
        <v>8.046027264411341E-4</v>
      </c>
      <c r="O26" s="32"/>
      <c r="P26" s="33">
        <f t="shared" si="2"/>
        <v>-83.225179251261793</v>
      </c>
      <c r="Q26" s="34" t="s">
        <v>64</v>
      </c>
    </row>
    <row r="27" spans="1:17" ht="19.5" x14ac:dyDescent="0.25">
      <c r="A27" s="3" t="s">
        <v>65</v>
      </c>
      <c r="B27" s="29">
        <v>923334858.34319997</v>
      </c>
      <c r="C27" s="29">
        <v>2572005117.2307997</v>
      </c>
      <c r="D27" s="29">
        <v>3654632712.6659002</v>
      </c>
      <c r="E27" s="29">
        <v>4542200766.8251991</v>
      </c>
      <c r="F27" s="29">
        <v>6052938369.3219995</v>
      </c>
      <c r="G27" s="29">
        <v>6276877706.3801994</v>
      </c>
      <c r="H27" s="29">
        <v>6851347959.9054794</v>
      </c>
      <c r="I27" s="29">
        <v>7689588402.8460445</v>
      </c>
      <c r="J27" s="30"/>
      <c r="K27" s="31">
        <f t="shared" si="1"/>
        <v>46.366691578894262</v>
      </c>
      <c r="L27" s="31">
        <f t="shared" si="1"/>
        <v>43.201620023496687</v>
      </c>
      <c r="M27" s="31">
        <f t="shared" si="1"/>
        <v>45.110554491457158</v>
      </c>
      <c r="N27" s="31">
        <f t="shared" si="1"/>
        <v>47.178113532101442</v>
      </c>
      <c r="O27" s="32"/>
      <c r="P27" s="33">
        <f t="shared" si="2"/>
        <v>12.234679187891206</v>
      </c>
      <c r="Q27" s="34" t="s">
        <v>0</v>
      </c>
    </row>
    <row r="28" spans="1:17" ht="19.5" x14ac:dyDescent="0.25">
      <c r="A28" s="3" t="s">
        <v>66</v>
      </c>
      <c r="B28" s="29">
        <v>7052607.3000000007</v>
      </c>
      <c r="C28" s="29">
        <v>6572305.9499999993</v>
      </c>
      <c r="D28" s="29">
        <v>6006803.5</v>
      </c>
      <c r="E28" s="29">
        <v>5931325.75</v>
      </c>
      <c r="F28" s="29">
        <v>5873988.4400000004</v>
      </c>
      <c r="G28" s="29">
        <v>3949857.33</v>
      </c>
      <c r="H28" s="29">
        <v>3435640</v>
      </c>
      <c r="I28" s="29">
        <v>3313259.35</v>
      </c>
      <c r="J28" s="30"/>
      <c r="K28" s="31">
        <f t="shared" si="1"/>
        <v>4.499590012610314E-2</v>
      </c>
      <c r="L28" s="31">
        <f t="shared" si="1"/>
        <v>2.7185528139927605E-2</v>
      </c>
      <c r="M28" s="31">
        <f t="shared" si="1"/>
        <v>2.2620895382923743E-2</v>
      </c>
      <c r="N28" s="31">
        <f t="shared" si="1"/>
        <v>2.0327918425093138E-2</v>
      </c>
      <c r="O28" s="32"/>
      <c r="P28" s="33">
        <f t="shared" si="2"/>
        <v>-3.5620917791153839</v>
      </c>
      <c r="Q28" s="34" t="s">
        <v>67</v>
      </c>
    </row>
    <row r="29" spans="1:17" ht="18.75" x14ac:dyDescent="0.25">
      <c r="A29" s="3" t="s">
        <v>17</v>
      </c>
      <c r="B29" s="29">
        <v>0</v>
      </c>
      <c r="C29" s="29">
        <v>0</v>
      </c>
      <c r="D29" s="29">
        <v>0</v>
      </c>
      <c r="E29" s="29">
        <v>0</v>
      </c>
      <c r="F29" s="29">
        <v>45483359.280000001</v>
      </c>
      <c r="G29" s="29">
        <v>633548360.1105001</v>
      </c>
      <c r="H29" s="29">
        <v>693830414.08589995</v>
      </c>
      <c r="I29" s="29">
        <v>810351536.37912428</v>
      </c>
      <c r="J29" s="30"/>
      <c r="K29" s="31">
        <f t="shared" si="1"/>
        <v>0.34841142648938311</v>
      </c>
      <c r="L29" s="31">
        <f t="shared" si="1"/>
        <v>4.3604984516716687</v>
      </c>
      <c r="M29" s="31">
        <f t="shared" si="1"/>
        <v>4.5683090226356091</v>
      </c>
      <c r="N29" s="31">
        <f t="shared" si="1"/>
        <v>4.9717689402019598</v>
      </c>
      <c r="O29" s="32"/>
      <c r="P29" s="33">
        <f t="shared" si="2"/>
        <v>16.793890830908211</v>
      </c>
      <c r="Q29" s="4" t="s">
        <v>2</v>
      </c>
    </row>
    <row r="30" spans="1:17" ht="18.75" x14ac:dyDescent="0.25">
      <c r="A30" s="3" t="s">
        <v>18</v>
      </c>
      <c r="B30" s="29" t="s">
        <v>3</v>
      </c>
      <c r="C30" s="29" t="s">
        <v>3</v>
      </c>
      <c r="D30" s="29" t="s">
        <v>3</v>
      </c>
      <c r="E30" s="29" t="s">
        <v>3</v>
      </c>
      <c r="F30" s="29">
        <v>0</v>
      </c>
      <c r="G30" s="29">
        <v>14583885.27</v>
      </c>
      <c r="H30" s="29">
        <v>114217777.93000001</v>
      </c>
      <c r="I30" s="29">
        <v>101829058.88500001</v>
      </c>
      <c r="J30" s="30"/>
      <c r="K30" s="31">
        <f t="shared" si="1"/>
        <v>0</v>
      </c>
      <c r="L30" s="31">
        <f t="shared" si="1"/>
        <v>0.10037593519790769</v>
      </c>
      <c r="M30" s="31">
        <f t="shared" si="1"/>
        <v>0.75203118063142438</v>
      </c>
      <c r="N30" s="31">
        <f t="shared" si="1"/>
        <v>0.62475423251074069</v>
      </c>
      <c r="O30" s="32"/>
      <c r="P30" s="33">
        <f t="shared" si="2"/>
        <v>-10.846576837270117</v>
      </c>
      <c r="Q30" s="4" t="s">
        <v>19</v>
      </c>
    </row>
    <row r="31" spans="1:17" ht="19.5" x14ac:dyDescent="0.25">
      <c r="A31" s="3" t="s">
        <v>68</v>
      </c>
      <c r="B31" s="29">
        <v>7483460</v>
      </c>
      <c r="C31" s="29">
        <v>7606520</v>
      </c>
      <c r="D31" s="29">
        <v>7870030</v>
      </c>
      <c r="E31" s="29">
        <v>7806260</v>
      </c>
      <c r="F31" s="29">
        <v>7681260</v>
      </c>
      <c r="G31" s="29">
        <v>7393642.1899999995</v>
      </c>
      <c r="H31" s="29">
        <v>7923901.9600000009</v>
      </c>
      <c r="I31" s="29">
        <v>8733925.3599999994</v>
      </c>
      <c r="J31" s="30"/>
      <c r="K31" s="31">
        <f t="shared" si="1"/>
        <v>5.8839953692968273E-2</v>
      </c>
      <c r="L31" s="31">
        <f t="shared" si="1"/>
        <v>5.0887931137705407E-2</v>
      </c>
      <c r="M31" s="31">
        <f t="shared" si="1"/>
        <v>5.2172450332894145E-2</v>
      </c>
      <c r="N31" s="31">
        <f t="shared" si="1"/>
        <v>5.3585458756475621E-2</v>
      </c>
      <c r="O31" s="32"/>
      <c r="P31" s="33">
        <f t="shared" si="2"/>
        <v>10.222531829507876</v>
      </c>
      <c r="Q31" s="34" t="s">
        <v>69</v>
      </c>
    </row>
    <row r="32" spans="1:17" ht="18.75" x14ac:dyDescent="0.25">
      <c r="A32" s="3" t="s">
        <v>20</v>
      </c>
      <c r="B32" s="29">
        <v>0</v>
      </c>
      <c r="C32" s="29">
        <v>0</v>
      </c>
      <c r="D32" s="29">
        <v>0</v>
      </c>
      <c r="E32" s="29">
        <v>114128047.2168</v>
      </c>
      <c r="F32" s="29">
        <v>106062455.44860001</v>
      </c>
      <c r="G32" s="29">
        <v>866691371.39180005</v>
      </c>
      <c r="H32" s="29">
        <v>543512031.66699994</v>
      </c>
      <c r="I32" s="29">
        <v>322067119.80123889</v>
      </c>
      <c r="J32" s="30"/>
      <c r="K32" s="31">
        <f t="shared" si="1"/>
        <v>0.81245914956115728</v>
      </c>
      <c r="L32" s="31">
        <f t="shared" si="1"/>
        <v>5.9651427120291016</v>
      </c>
      <c r="M32" s="31">
        <f t="shared" si="1"/>
        <v>3.5785847200811327</v>
      </c>
      <c r="N32" s="31">
        <f t="shared" si="1"/>
        <v>1.9759860147151724</v>
      </c>
      <c r="O32" s="32"/>
      <c r="P32" s="33">
        <f t="shared" si="2"/>
        <v>-40.743332063242413</v>
      </c>
      <c r="Q32" s="4" t="s">
        <v>21</v>
      </c>
    </row>
    <row r="33" spans="1:17" ht="19.5" x14ac:dyDescent="0.25">
      <c r="A33" s="3" t="s">
        <v>70</v>
      </c>
      <c r="B33" s="29">
        <v>7338828.0599999996</v>
      </c>
      <c r="C33" s="29">
        <v>16626055.370000001</v>
      </c>
      <c r="D33" s="29">
        <v>20650873.640000001</v>
      </c>
      <c r="E33" s="29">
        <v>28491864.500000004</v>
      </c>
      <c r="F33" s="29">
        <v>29136730.280000005</v>
      </c>
      <c r="G33" s="29">
        <v>23143294.260000002</v>
      </c>
      <c r="H33" s="29">
        <v>93789092.709999979</v>
      </c>
      <c r="I33" s="29">
        <v>38892608.93</v>
      </c>
      <c r="J33" s="30"/>
      <c r="K33" s="31">
        <f t="shared" si="1"/>
        <v>0.22319305171803935</v>
      </c>
      <c r="L33" s="31">
        <f t="shared" si="1"/>
        <v>0.15928744377100199</v>
      </c>
      <c r="M33" s="31">
        <f t="shared" si="1"/>
        <v>0.61752490198398124</v>
      </c>
      <c r="N33" s="31">
        <f t="shared" si="1"/>
        <v>0.23861874310204209</v>
      </c>
      <c r="O33" s="32"/>
      <c r="P33" s="33">
        <f t="shared" si="2"/>
        <v>-58.531842236433974</v>
      </c>
      <c r="Q33" s="37" t="s">
        <v>22</v>
      </c>
    </row>
    <row r="34" spans="1:17" ht="19.5" x14ac:dyDescent="0.25">
      <c r="A34" s="3" t="s">
        <v>71</v>
      </c>
      <c r="B34" s="29">
        <v>511255000</v>
      </c>
      <c r="C34" s="29">
        <v>168705000</v>
      </c>
      <c r="D34" s="29">
        <v>0</v>
      </c>
      <c r="E34" s="29">
        <v>789362981.79999995</v>
      </c>
      <c r="F34" s="29">
        <v>1096364901.3702002</v>
      </c>
      <c r="G34" s="29">
        <v>569097504.54999995</v>
      </c>
      <c r="H34" s="29">
        <v>117413250</v>
      </c>
      <c r="I34" s="29">
        <v>76700000</v>
      </c>
      <c r="J34" s="30"/>
      <c r="K34" s="31">
        <f t="shared" si="1"/>
        <v>8.3983695418744198</v>
      </c>
      <c r="L34" s="31">
        <f t="shared" si="1"/>
        <v>3.9169050757351282</v>
      </c>
      <c r="M34" s="31">
        <f t="shared" si="1"/>
        <v>0.773070765510668</v>
      </c>
      <c r="N34" s="31">
        <f t="shared" si="1"/>
        <v>0.4705793234099358</v>
      </c>
      <c r="O34" s="32"/>
      <c r="P34" s="33">
        <f t="shared" si="2"/>
        <v>-34.6751750760668</v>
      </c>
      <c r="Q34" s="34" t="s">
        <v>23</v>
      </c>
    </row>
    <row r="35" spans="1:17" ht="28.5" x14ac:dyDescent="0.25">
      <c r="A35" s="3" t="s">
        <v>72</v>
      </c>
      <c r="B35" s="29">
        <v>6737481.419999999</v>
      </c>
      <c r="C35" s="29">
        <v>7508921.870000001</v>
      </c>
      <c r="D35" s="29">
        <v>14004293.390000001</v>
      </c>
      <c r="E35" s="29">
        <v>21367539.843200002</v>
      </c>
      <c r="F35" s="29">
        <v>19776911.629999995</v>
      </c>
      <c r="G35" s="29">
        <v>17764069.445</v>
      </c>
      <c r="H35" s="29">
        <v>15100188.740000002</v>
      </c>
      <c r="I35" s="29">
        <v>17013809.957599998</v>
      </c>
      <c r="J35" s="30"/>
      <c r="K35" s="31">
        <f t="shared" si="1"/>
        <v>0.15149501051899369</v>
      </c>
      <c r="L35" s="31">
        <f t="shared" si="1"/>
        <v>0.12226406409891157</v>
      </c>
      <c r="M35" s="31">
        <f t="shared" si="1"/>
        <v>9.9422462699800665E-2</v>
      </c>
      <c r="N35" s="31">
        <f t="shared" si="1"/>
        <v>0.10438523048856109</v>
      </c>
      <c r="O35" s="32"/>
      <c r="P35" s="33">
        <f t="shared" si="2"/>
        <v>12.672829794046624</v>
      </c>
      <c r="Q35" s="34" t="s">
        <v>73</v>
      </c>
    </row>
    <row r="36" spans="1:17" ht="19.5" x14ac:dyDescent="0.25">
      <c r="A36" s="3" t="s">
        <v>74</v>
      </c>
      <c r="B36" s="29">
        <v>0</v>
      </c>
      <c r="C36" s="29">
        <v>0</v>
      </c>
      <c r="D36" s="29">
        <v>0</v>
      </c>
      <c r="E36" s="29">
        <v>283466.0528</v>
      </c>
      <c r="F36" s="29">
        <v>101.8</v>
      </c>
      <c r="G36" s="29">
        <v>1001018.28</v>
      </c>
      <c r="H36" s="29">
        <v>5909719.0500000007</v>
      </c>
      <c r="I36" s="29">
        <v>6284103.4399999995</v>
      </c>
      <c r="J36" s="30"/>
      <c r="K36" s="31">
        <f t="shared" si="1"/>
        <v>7.7980790728919084E-7</v>
      </c>
      <c r="L36" s="31">
        <f t="shared" si="1"/>
        <v>6.8896692578822669E-3</v>
      </c>
      <c r="M36" s="31">
        <f t="shared" si="1"/>
        <v>3.8910693894739119E-2</v>
      </c>
      <c r="N36" s="31">
        <f t="shared" si="1"/>
        <v>3.8555008409820735E-2</v>
      </c>
      <c r="O36" s="32"/>
      <c r="P36" s="33">
        <f t="shared" si="2"/>
        <v>6.3350624087620266</v>
      </c>
      <c r="Q36" s="34" t="s">
        <v>75</v>
      </c>
    </row>
    <row r="37" spans="1:17" ht="19.5" x14ac:dyDescent="0.25">
      <c r="A37" s="3" t="s">
        <v>24</v>
      </c>
      <c r="B37" s="29"/>
      <c r="C37" s="29"/>
      <c r="D37" s="29">
        <v>0</v>
      </c>
      <c r="E37" s="29">
        <v>0</v>
      </c>
      <c r="F37" s="29">
        <v>0</v>
      </c>
      <c r="G37" s="29">
        <v>0</v>
      </c>
      <c r="H37" s="29">
        <v>2455050</v>
      </c>
      <c r="I37" s="29">
        <v>383500</v>
      </c>
      <c r="J37" s="30"/>
      <c r="K37" s="31">
        <f t="shared" si="1"/>
        <v>0</v>
      </c>
      <c r="L37" s="31">
        <f t="shared" si="1"/>
        <v>0</v>
      </c>
      <c r="M37" s="31">
        <f t="shared" si="1"/>
        <v>1.6164507692845272E-2</v>
      </c>
      <c r="N37" s="31">
        <f t="shared" si="1"/>
        <v>2.3528966170496789E-3</v>
      </c>
      <c r="O37" s="32"/>
      <c r="P37" s="33">
        <f t="shared" si="2"/>
        <v>-84.379136881122591</v>
      </c>
      <c r="Q37" s="34" t="s">
        <v>25</v>
      </c>
    </row>
    <row r="38" spans="1:17" ht="19.5" x14ac:dyDescent="0.25">
      <c r="A38" s="3" t="s">
        <v>76</v>
      </c>
      <c r="B38" s="29">
        <v>70761.650000000009</v>
      </c>
      <c r="C38" s="29">
        <v>61879.78</v>
      </c>
      <c r="D38" s="29">
        <v>0</v>
      </c>
      <c r="E38" s="29">
        <v>4000</v>
      </c>
      <c r="F38" s="29">
        <v>0</v>
      </c>
      <c r="G38" s="29">
        <v>0</v>
      </c>
      <c r="H38" s="29">
        <v>0</v>
      </c>
      <c r="I38" s="29">
        <v>0</v>
      </c>
      <c r="J38" s="30"/>
      <c r="K38" s="31">
        <f t="shared" si="1"/>
        <v>0</v>
      </c>
      <c r="L38" s="31">
        <f t="shared" si="1"/>
        <v>0</v>
      </c>
      <c r="M38" s="31">
        <f t="shared" si="1"/>
        <v>0</v>
      </c>
      <c r="N38" s="31">
        <f t="shared" si="1"/>
        <v>0</v>
      </c>
      <c r="O38" s="32"/>
      <c r="P38" s="72" t="s">
        <v>3</v>
      </c>
      <c r="Q38" s="34" t="s">
        <v>77</v>
      </c>
    </row>
    <row r="39" spans="1:17" ht="19.5" x14ac:dyDescent="0.25">
      <c r="A39" s="3" t="s">
        <v>78</v>
      </c>
      <c r="B39" s="29">
        <v>22915.07</v>
      </c>
      <c r="C39" s="29">
        <v>52027.4</v>
      </c>
      <c r="D39" s="29">
        <v>78000</v>
      </c>
      <c r="E39" s="29">
        <v>102000</v>
      </c>
      <c r="F39" s="29">
        <v>266000</v>
      </c>
      <c r="G39" s="29">
        <v>344000</v>
      </c>
      <c r="H39" s="29">
        <v>328000</v>
      </c>
      <c r="I39" s="29">
        <v>344000</v>
      </c>
      <c r="J39" s="30"/>
      <c r="K39" s="31">
        <f t="shared" si="1"/>
        <v>2.0376120170817759E-3</v>
      </c>
      <c r="L39" s="31">
        <f t="shared" si="1"/>
        <v>2.3676353090290214E-3</v>
      </c>
      <c r="M39" s="31">
        <f t="shared" si="1"/>
        <v>2.1596132556376654E-3</v>
      </c>
      <c r="N39" s="31">
        <f t="shared" si="1"/>
        <v>2.1105513331553835E-3</v>
      </c>
      <c r="O39" s="32"/>
      <c r="P39" s="33">
        <f t="shared" si="2"/>
        <v>4.8780487804878092</v>
      </c>
      <c r="Q39" s="34" t="s">
        <v>79</v>
      </c>
    </row>
    <row r="40" spans="1:17" ht="19.5" x14ac:dyDescent="0.25">
      <c r="A40" s="3" t="s">
        <v>80</v>
      </c>
      <c r="B40" s="29">
        <v>183022.32170000003</v>
      </c>
      <c r="C40" s="29">
        <v>0</v>
      </c>
      <c r="D40" s="29">
        <v>0</v>
      </c>
      <c r="E40" s="29">
        <v>0</v>
      </c>
      <c r="F40" s="29">
        <v>0</v>
      </c>
      <c r="G40" s="29">
        <v>0</v>
      </c>
      <c r="H40" s="29">
        <v>0</v>
      </c>
      <c r="I40" s="29">
        <v>0</v>
      </c>
      <c r="J40" s="30"/>
      <c r="K40" s="31">
        <f t="shared" si="1"/>
        <v>0</v>
      </c>
      <c r="L40" s="31">
        <f t="shared" si="1"/>
        <v>0</v>
      </c>
      <c r="M40" s="31">
        <f t="shared" si="1"/>
        <v>0</v>
      </c>
      <c r="N40" s="31">
        <f t="shared" si="1"/>
        <v>0</v>
      </c>
      <c r="O40" s="32"/>
      <c r="P40" s="72" t="s">
        <v>3</v>
      </c>
      <c r="Q40" s="34" t="s">
        <v>81</v>
      </c>
    </row>
    <row r="41" spans="1:17" ht="28.5" x14ac:dyDescent="0.25">
      <c r="A41" s="3" t="s">
        <v>82</v>
      </c>
      <c r="B41" s="29">
        <v>0</v>
      </c>
      <c r="C41" s="29">
        <v>0</v>
      </c>
      <c r="D41" s="29">
        <v>30534.559999999998</v>
      </c>
      <c r="E41" s="29">
        <v>0</v>
      </c>
      <c r="F41" s="29">
        <v>79956.509999999995</v>
      </c>
      <c r="G41" s="29">
        <v>280621.83</v>
      </c>
      <c r="H41" s="29">
        <v>104497.42</v>
      </c>
      <c r="I41" s="29">
        <v>47412.04</v>
      </c>
      <c r="J41" s="30"/>
      <c r="K41" s="31">
        <f t="shared" si="1"/>
        <v>6.1248250233052323E-4</v>
      </c>
      <c r="L41" s="31">
        <f t="shared" si="1"/>
        <v>1.9314248639312199E-3</v>
      </c>
      <c r="M41" s="31">
        <f t="shared" si="1"/>
        <v>6.8803052869492829E-4</v>
      </c>
      <c r="N41" s="31">
        <f t="shared" si="1"/>
        <v>2.9088820996981502E-4</v>
      </c>
      <c r="O41" s="32"/>
      <c r="P41" s="33">
        <f t="shared" si="2"/>
        <v>-54.628506617675342</v>
      </c>
      <c r="Q41" s="34" t="s">
        <v>83</v>
      </c>
    </row>
    <row r="42" spans="1:17" ht="19.5" x14ac:dyDescent="0.25">
      <c r="A42" s="3" t="s">
        <v>84</v>
      </c>
      <c r="B42" s="29">
        <v>84000</v>
      </c>
      <c r="C42" s="29">
        <v>84000</v>
      </c>
      <c r="D42" s="29">
        <v>84000</v>
      </c>
      <c r="E42" s="29">
        <v>84000</v>
      </c>
      <c r="F42" s="29">
        <v>84000</v>
      </c>
      <c r="G42" s="29">
        <v>84000</v>
      </c>
      <c r="H42" s="29">
        <v>96000</v>
      </c>
      <c r="I42" s="29">
        <v>84000</v>
      </c>
      <c r="J42" s="30"/>
      <c r="K42" s="31">
        <f t="shared" si="1"/>
        <v>6.4345642644687655E-4</v>
      </c>
      <c r="L42" s="31">
        <f t="shared" si="1"/>
        <v>5.7814350569313313E-4</v>
      </c>
      <c r="M42" s="31">
        <f t="shared" si="1"/>
        <v>6.320819284793167E-4</v>
      </c>
      <c r="N42" s="31">
        <f t="shared" si="1"/>
        <v>5.1536718600305874E-4</v>
      </c>
      <c r="O42" s="32"/>
      <c r="P42" s="33">
        <f t="shared" si="2"/>
        <v>-12.5</v>
      </c>
      <c r="Q42" s="34" t="s">
        <v>85</v>
      </c>
    </row>
    <row r="43" spans="1:17" ht="19.5" x14ac:dyDescent="0.25">
      <c r="A43" s="3" t="s">
        <v>86</v>
      </c>
      <c r="B43" s="29">
        <v>6570852.9999999991</v>
      </c>
      <c r="C43" s="29">
        <v>6292505.6700000009</v>
      </c>
      <c r="D43" s="29">
        <v>3859126.6630000002</v>
      </c>
      <c r="E43" s="29">
        <v>3712770.9800000004</v>
      </c>
      <c r="F43" s="29">
        <v>3781185.34</v>
      </c>
      <c r="G43" s="29">
        <v>3216364.4099999997</v>
      </c>
      <c r="H43" s="29">
        <v>8311090.0599999996</v>
      </c>
      <c r="I43" s="29">
        <v>7782961.5800000001</v>
      </c>
      <c r="J43" s="30"/>
      <c r="K43" s="31">
        <f t="shared" si="1"/>
        <v>2.8964619126306167E-2</v>
      </c>
      <c r="L43" s="31">
        <f t="shared" si="1"/>
        <v>2.2137145185524117E-2</v>
      </c>
      <c r="M43" s="31">
        <f t="shared" si="1"/>
        <v>5.472176909260499E-2</v>
      </c>
      <c r="N43" s="31">
        <f t="shared" si="1"/>
        <v>4.7750988193506191E-2</v>
      </c>
      <c r="O43" s="32"/>
      <c r="P43" s="33">
        <f t="shared" si="2"/>
        <v>-6.3545031540664043</v>
      </c>
      <c r="Q43" s="34" t="s">
        <v>87</v>
      </c>
    </row>
    <row r="44" spans="1:17" ht="19.5" x14ac:dyDescent="0.25">
      <c r="A44" s="3" t="s">
        <v>88</v>
      </c>
      <c r="B44" s="29"/>
      <c r="C44" s="29"/>
      <c r="D44" s="29">
        <v>0</v>
      </c>
      <c r="E44" s="29">
        <v>0</v>
      </c>
      <c r="F44" s="29">
        <v>0</v>
      </c>
      <c r="G44" s="29">
        <v>0</v>
      </c>
      <c r="H44" s="29">
        <v>233536</v>
      </c>
      <c r="I44" s="29">
        <v>3030090</v>
      </c>
      <c r="J44" s="30"/>
      <c r="K44" s="31">
        <f t="shared" si="1"/>
        <v>0</v>
      </c>
      <c r="L44" s="31">
        <f t="shared" si="1"/>
        <v>0</v>
      </c>
      <c r="M44" s="31">
        <f t="shared" si="1"/>
        <v>1.5376446380140178E-3</v>
      </c>
      <c r="N44" s="31">
        <f t="shared" si="1"/>
        <v>1.8590582817095337E-2</v>
      </c>
      <c r="O44" s="32"/>
      <c r="P44" s="33">
        <f t="shared" si="2"/>
        <v>1197.4830432995341</v>
      </c>
      <c r="Q44" s="34"/>
    </row>
    <row r="45" spans="1:17" ht="19.5" x14ac:dyDescent="0.25">
      <c r="A45" s="3" t="s">
        <v>89</v>
      </c>
      <c r="B45" s="29">
        <v>87861980</v>
      </c>
      <c r="C45" s="29">
        <v>171860080</v>
      </c>
      <c r="D45" s="29">
        <v>177775270</v>
      </c>
      <c r="E45" s="29">
        <v>227539500</v>
      </c>
      <c r="F45" s="29">
        <v>248727790</v>
      </c>
      <c r="G45" s="29">
        <v>262209160</v>
      </c>
      <c r="H45" s="29">
        <v>263253500</v>
      </c>
      <c r="I45" s="29">
        <v>309518100</v>
      </c>
      <c r="J45" s="30"/>
      <c r="K45" s="31">
        <f t="shared" si="1"/>
        <v>1.9053035108503473</v>
      </c>
      <c r="L45" s="31">
        <f t="shared" si="1"/>
        <v>1.8046967022291867</v>
      </c>
      <c r="M45" s="31">
        <f>H45/H$7*100</f>
        <v>1.7333102079055185</v>
      </c>
      <c r="N45" s="31">
        <f>I45/I$7*100</f>
        <v>1.8989937168334921</v>
      </c>
      <c r="O45" s="32"/>
      <c r="P45" s="33">
        <f t="shared" si="2"/>
        <v>17.574163306470769</v>
      </c>
      <c r="Q45" s="34" t="s">
        <v>90</v>
      </c>
    </row>
    <row r="46" spans="1:17" ht="21" customHeight="1" x14ac:dyDescent="0.25">
      <c r="A46" s="3" t="s">
        <v>91</v>
      </c>
      <c r="B46" s="29">
        <v>1595200</v>
      </c>
      <c r="C46" s="29">
        <v>1564800</v>
      </c>
      <c r="D46" s="29">
        <v>1569400</v>
      </c>
      <c r="E46" s="29">
        <v>1553800</v>
      </c>
      <c r="F46" s="29">
        <v>1699000</v>
      </c>
      <c r="G46" s="29">
        <v>1458085</v>
      </c>
      <c r="H46" s="29">
        <v>1736165</v>
      </c>
      <c r="I46" s="29">
        <v>2078910</v>
      </c>
      <c r="J46" s="30"/>
      <c r="K46" s="31">
        <f t="shared" si="1"/>
        <v>1.3014672244443373E-2</v>
      </c>
      <c r="L46" s="31">
        <f t="shared" si="1"/>
        <v>1.0035504446411573E-2</v>
      </c>
      <c r="M46" s="31">
        <f t="shared" si="1"/>
        <v>1.1431234597482217E-2</v>
      </c>
      <c r="N46" s="31">
        <f t="shared" si="1"/>
        <v>1.2754785674447844E-2</v>
      </c>
      <c r="O46" s="32"/>
      <c r="P46" s="33">
        <f t="shared" si="2"/>
        <v>19.7414992238641</v>
      </c>
      <c r="Q46" s="34" t="s">
        <v>92</v>
      </c>
    </row>
    <row r="47" spans="1:17" ht="19.5" x14ac:dyDescent="0.25">
      <c r="A47" s="3" t="s">
        <v>93</v>
      </c>
      <c r="B47" s="29">
        <v>37072935</v>
      </c>
      <c r="C47" s="29">
        <v>39918623.75</v>
      </c>
      <c r="D47" s="29">
        <v>32890380.349999998</v>
      </c>
      <c r="E47" s="29">
        <v>38065530.5</v>
      </c>
      <c r="F47" s="29">
        <v>37610881.899999999</v>
      </c>
      <c r="G47" s="29">
        <v>43317638.149999999</v>
      </c>
      <c r="H47" s="29">
        <v>44345946.150000006</v>
      </c>
      <c r="I47" s="29">
        <v>47589257.07</v>
      </c>
      <c r="J47" s="30"/>
      <c r="K47" s="31">
        <f t="shared" si="1"/>
        <v>0.28810671027249418</v>
      </c>
      <c r="L47" s="31">
        <f t="shared" si="1"/>
        <v>0.29814060926651914</v>
      </c>
      <c r="M47" s="31">
        <f t="shared" si="1"/>
        <v>0.29198199127845764</v>
      </c>
      <c r="N47" s="31">
        <f t="shared" si="1"/>
        <v>0.29197549404931034</v>
      </c>
      <c r="O47" s="32"/>
      <c r="P47" s="33">
        <f t="shared" si="2"/>
        <v>7.3136581842892845</v>
      </c>
      <c r="Q47" s="34" t="s">
        <v>26</v>
      </c>
    </row>
    <row r="48" spans="1:17" ht="19.5" x14ac:dyDescent="0.25">
      <c r="A48" s="3" t="s">
        <v>94</v>
      </c>
      <c r="B48" s="29">
        <v>1668748.04</v>
      </c>
      <c r="C48" s="29">
        <v>1297591.8</v>
      </c>
      <c r="D48" s="29">
        <v>898349.8400000002</v>
      </c>
      <c r="E48" s="29">
        <v>1067876.9200000002</v>
      </c>
      <c r="F48" s="29">
        <v>690960.24000000011</v>
      </c>
      <c r="G48" s="29">
        <v>926804.19000000018</v>
      </c>
      <c r="H48" s="29">
        <v>874045.94</v>
      </c>
      <c r="I48" s="29">
        <v>1799006.9200000002</v>
      </c>
      <c r="J48" s="30"/>
      <c r="K48" s="31">
        <f t="shared" si="1"/>
        <v>5.2928905577056705E-3</v>
      </c>
      <c r="L48" s="31">
        <f t="shared" si="1"/>
        <v>6.3788788511629137E-3</v>
      </c>
      <c r="M48" s="31">
        <f t="shared" si="1"/>
        <v>5.7548817014033025E-3</v>
      </c>
      <c r="N48" s="31">
        <f t="shared" si="1"/>
        <v>1.1037489690005118E-2</v>
      </c>
      <c r="O48" s="32"/>
      <c r="P48" s="33">
        <f t="shared" si="2"/>
        <v>105.82521326052957</v>
      </c>
      <c r="Q48" s="34" t="s">
        <v>95</v>
      </c>
    </row>
    <row r="49" spans="1:18" ht="19.5" x14ac:dyDescent="0.25">
      <c r="A49" s="3" t="s">
        <v>96</v>
      </c>
      <c r="B49" s="29">
        <v>137836230.31</v>
      </c>
      <c r="C49" s="29">
        <v>16241056.810000002</v>
      </c>
      <c r="D49" s="29">
        <v>244520646.0862</v>
      </c>
      <c r="E49" s="29">
        <v>5536990.5499999998</v>
      </c>
      <c r="F49" s="29">
        <v>6211579.3000000007</v>
      </c>
      <c r="G49" s="29">
        <v>12137275.700000001</v>
      </c>
      <c r="H49" s="29">
        <v>26647124.090000004</v>
      </c>
      <c r="I49" s="29">
        <v>39575803.560000002</v>
      </c>
      <c r="J49" s="30"/>
      <c r="K49" s="31">
        <f t="shared" si="1"/>
        <v>4.7581912130588003E-2</v>
      </c>
      <c r="L49" s="31">
        <f t="shared" si="1"/>
        <v>8.3536751461453312E-2</v>
      </c>
      <c r="M49" s="31">
        <f t="shared" si="1"/>
        <v>0.17544964149202977</v>
      </c>
      <c r="N49" s="31">
        <f t="shared" si="1"/>
        <v>0.24281036326817904</v>
      </c>
      <c r="O49" s="32"/>
      <c r="P49" s="33">
        <f t="shared" si="2"/>
        <v>48.518104341518068</v>
      </c>
      <c r="Q49" s="34" t="s">
        <v>97</v>
      </c>
    </row>
    <row r="50" spans="1:18" ht="19.5" x14ac:dyDescent="0.25">
      <c r="A50" s="3" t="s">
        <v>98</v>
      </c>
      <c r="B50" s="29">
        <v>6831</v>
      </c>
      <c r="C50" s="29">
        <v>24623.16</v>
      </c>
      <c r="D50" s="29">
        <v>0</v>
      </c>
      <c r="E50" s="29">
        <v>0</v>
      </c>
      <c r="F50" s="29">
        <v>0</v>
      </c>
      <c r="G50" s="29">
        <v>0</v>
      </c>
      <c r="H50" s="29">
        <v>0</v>
      </c>
      <c r="I50" s="29">
        <v>0</v>
      </c>
      <c r="J50" s="30"/>
      <c r="K50" s="31">
        <f t="shared" si="1"/>
        <v>0</v>
      </c>
      <c r="L50" s="31">
        <f t="shared" si="1"/>
        <v>0</v>
      </c>
      <c r="M50" s="31">
        <f t="shared" si="1"/>
        <v>0</v>
      </c>
      <c r="N50" s="31">
        <f t="shared" si="1"/>
        <v>0</v>
      </c>
      <c r="O50" s="32"/>
      <c r="P50" s="72" t="s">
        <v>3</v>
      </c>
      <c r="Q50" s="34" t="s">
        <v>99</v>
      </c>
    </row>
    <row r="51" spans="1:18" ht="19.5" x14ac:dyDescent="0.25">
      <c r="A51" s="3" t="s">
        <v>100</v>
      </c>
      <c r="B51" s="29">
        <v>2548315.2200000002</v>
      </c>
      <c r="C51" s="29">
        <v>0</v>
      </c>
      <c r="D51" s="29">
        <v>0</v>
      </c>
      <c r="E51" s="29">
        <v>0</v>
      </c>
      <c r="F51" s="29">
        <v>0</v>
      </c>
      <c r="G51" s="29">
        <v>0</v>
      </c>
      <c r="H51" s="29">
        <v>0</v>
      </c>
      <c r="I51" s="29">
        <v>0</v>
      </c>
      <c r="J51" s="30"/>
      <c r="K51" s="31">
        <f t="shared" si="1"/>
        <v>0</v>
      </c>
      <c r="L51" s="31">
        <f t="shared" si="1"/>
        <v>0</v>
      </c>
      <c r="M51" s="31">
        <f t="shared" si="1"/>
        <v>0</v>
      </c>
      <c r="N51" s="31">
        <f t="shared" si="1"/>
        <v>0</v>
      </c>
      <c r="O51" s="32"/>
      <c r="P51" s="72" t="s">
        <v>3</v>
      </c>
      <c r="Q51" s="34" t="s">
        <v>101</v>
      </c>
    </row>
    <row r="52" spans="1:18" ht="18.75" x14ac:dyDescent="0.25">
      <c r="A52" s="3" t="s">
        <v>102</v>
      </c>
      <c r="B52" s="29">
        <v>0</v>
      </c>
      <c r="C52" s="29">
        <v>0</v>
      </c>
      <c r="D52" s="29">
        <v>0</v>
      </c>
      <c r="E52" s="29">
        <v>0</v>
      </c>
      <c r="F52" s="29">
        <v>2532700</v>
      </c>
      <c r="G52" s="29">
        <v>1649900</v>
      </c>
      <c r="H52" s="29">
        <v>1177000</v>
      </c>
      <c r="I52" s="29">
        <v>1227862</v>
      </c>
      <c r="J52" s="30"/>
      <c r="K52" s="31">
        <f t="shared" si="1"/>
        <v>1.9400977276928622E-2</v>
      </c>
      <c r="L52" s="31">
        <f t="shared" si="1"/>
        <v>1.1355702024322626E-2</v>
      </c>
      <c r="M52" s="31">
        <f t="shared" si="1"/>
        <v>7.7495878106266227E-3</v>
      </c>
      <c r="N52" s="31">
        <f t="shared" si="1"/>
        <v>7.5333307588105677E-3</v>
      </c>
      <c r="O52" s="32"/>
      <c r="P52" s="33">
        <f t="shared" si="2"/>
        <v>4.321325403568399</v>
      </c>
      <c r="Q52" s="4" t="s">
        <v>103</v>
      </c>
    </row>
    <row r="53" spans="1:18" ht="18.75" x14ac:dyDescent="0.25">
      <c r="A53" s="3" t="s">
        <v>104</v>
      </c>
      <c r="B53" s="29"/>
      <c r="C53" s="29"/>
      <c r="D53" s="29">
        <v>0</v>
      </c>
      <c r="E53" s="29">
        <v>0</v>
      </c>
      <c r="F53" s="29">
        <v>0</v>
      </c>
      <c r="G53" s="29">
        <v>0</v>
      </c>
      <c r="H53" s="29">
        <v>16865000</v>
      </c>
      <c r="I53" s="29">
        <v>21484000</v>
      </c>
      <c r="J53" s="30"/>
      <c r="K53" s="31">
        <f t="shared" si="1"/>
        <v>0</v>
      </c>
      <c r="L53" s="31">
        <f t="shared" si="1"/>
        <v>0</v>
      </c>
      <c r="M53" s="31">
        <f t="shared" si="1"/>
        <v>0.11104230962295494</v>
      </c>
      <c r="N53" s="31">
        <f t="shared" si="1"/>
        <v>0.13181129314392517</v>
      </c>
      <c r="O53" s="32"/>
      <c r="P53" s="33">
        <f t="shared" si="2"/>
        <v>27.388081826267417</v>
      </c>
      <c r="Q53" s="4" t="s">
        <v>27</v>
      </c>
      <c r="R53" s="1" t="s">
        <v>4</v>
      </c>
    </row>
    <row r="54" spans="1:18" ht="19.5" x14ac:dyDescent="0.25">
      <c r="A54" s="3" t="s">
        <v>105</v>
      </c>
      <c r="B54" s="29">
        <v>1202495510.0143998</v>
      </c>
      <c r="C54" s="29">
        <v>1049841778.2217</v>
      </c>
      <c r="D54" s="29">
        <v>1068823153.4752001</v>
      </c>
      <c r="E54" s="29">
        <v>1156222825.7628999</v>
      </c>
      <c r="F54" s="29">
        <v>1197553906.7121</v>
      </c>
      <c r="G54" s="29">
        <v>1449680465.8505001</v>
      </c>
      <c r="H54" s="29">
        <v>1401635711.642</v>
      </c>
      <c r="I54" s="29">
        <v>1535324376.8510952</v>
      </c>
      <c r="J54" s="30"/>
      <c r="K54" s="31">
        <f t="shared" si="1"/>
        <v>9.1734971106007634</v>
      </c>
      <c r="L54" s="31">
        <f t="shared" si="1"/>
        <v>9.9776588888293176</v>
      </c>
      <c r="M54" s="31">
        <f t="shared" si="1"/>
        <v>9.2286312879182777</v>
      </c>
      <c r="N54" s="31">
        <f t="shared" si="1"/>
        <v>9.4197119488053414</v>
      </c>
      <c r="O54" s="32"/>
      <c r="P54" s="33">
        <f t="shared" si="2"/>
        <v>9.5380464480660621</v>
      </c>
      <c r="Q54" s="34" t="s">
        <v>106</v>
      </c>
    </row>
    <row r="55" spans="1:18" ht="19.5" x14ac:dyDescent="0.25">
      <c r="A55" s="3" t="s">
        <v>107</v>
      </c>
      <c r="B55" s="29">
        <v>750739844.92149997</v>
      </c>
      <c r="C55" s="29">
        <v>802900158.02600002</v>
      </c>
      <c r="D55" s="29">
        <v>860140725.22539997</v>
      </c>
      <c r="E55" s="29">
        <v>804701951.22000003</v>
      </c>
      <c r="F55" s="29">
        <v>632505.73799999978</v>
      </c>
      <c r="G55" s="29">
        <v>152966.62</v>
      </c>
      <c r="H55" s="29">
        <v>3072</v>
      </c>
      <c r="I55" s="29">
        <v>3561.2</v>
      </c>
      <c r="J55" s="30"/>
      <c r="K55" s="31">
        <f t="shared" si="1"/>
        <v>4.8451176414360028E-3</v>
      </c>
      <c r="L55" s="31">
        <f t="shared" si="1"/>
        <v>1.0528173564384447E-3</v>
      </c>
      <c r="M55" s="31">
        <f t="shared" si="1"/>
        <v>2.0226621711338131E-5</v>
      </c>
      <c r="N55" s="31">
        <f t="shared" si="1"/>
        <v>2.1849114557072535E-5</v>
      </c>
      <c r="O55" s="32"/>
      <c r="P55" s="33">
        <f t="shared" si="2"/>
        <v>15.924479166666661</v>
      </c>
      <c r="Q55" s="34" t="s">
        <v>108</v>
      </c>
    </row>
    <row r="56" spans="1:18" ht="19.5" x14ac:dyDescent="0.25">
      <c r="A56" s="3" t="s">
        <v>109</v>
      </c>
      <c r="B56" s="29">
        <v>2722950</v>
      </c>
      <c r="C56" s="29">
        <v>2640850</v>
      </c>
      <c r="D56" s="29">
        <v>3091300</v>
      </c>
      <c r="E56" s="29">
        <v>2751950</v>
      </c>
      <c r="F56" s="29">
        <v>1086200</v>
      </c>
      <c r="G56" s="29">
        <v>1203850</v>
      </c>
      <c r="H56" s="29">
        <v>1746700</v>
      </c>
      <c r="I56" s="29">
        <v>1616650</v>
      </c>
      <c r="J56" s="30"/>
      <c r="K56" s="31">
        <f t="shared" si="1"/>
        <v>8.3205044096023497E-3</v>
      </c>
      <c r="L56" s="31">
        <f t="shared" si="1"/>
        <v>8.2856911824842668E-3</v>
      </c>
      <c r="M56" s="31">
        <f t="shared" si="1"/>
        <v>1.1500599004946066E-2</v>
      </c>
      <c r="N56" s="31">
        <f t="shared" si="1"/>
        <v>9.9186709672838685E-3</v>
      </c>
      <c r="O56" s="32"/>
      <c r="P56" s="33">
        <f t="shared" si="2"/>
        <v>-7.4454685979275181</v>
      </c>
      <c r="Q56" s="34" t="s">
        <v>110</v>
      </c>
    </row>
    <row r="57" spans="1:18" ht="24.75" customHeight="1" x14ac:dyDescent="0.25">
      <c r="A57" s="3" t="s">
        <v>111</v>
      </c>
      <c r="B57" s="29">
        <v>90115</v>
      </c>
      <c r="C57" s="29">
        <v>41400</v>
      </c>
      <c r="D57" s="29">
        <v>13800</v>
      </c>
      <c r="E57" s="29">
        <v>0</v>
      </c>
      <c r="F57" s="29">
        <v>0</v>
      </c>
      <c r="G57" s="29">
        <v>12000</v>
      </c>
      <c r="H57" s="29">
        <v>0</v>
      </c>
      <c r="I57" s="29">
        <v>0</v>
      </c>
      <c r="J57" s="30"/>
      <c r="K57" s="31">
        <f t="shared" si="1"/>
        <v>0</v>
      </c>
      <c r="L57" s="31">
        <f t="shared" si="1"/>
        <v>8.2591929384733312E-5</v>
      </c>
      <c r="M57" s="31">
        <f t="shared" si="1"/>
        <v>0</v>
      </c>
      <c r="N57" s="31">
        <f t="shared" si="1"/>
        <v>0</v>
      </c>
      <c r="O57" s="32"/>
      <c r="P57" s="72" t="s">
        <v>3</v>
      </c>
      <c r="Q57" s="34" t="s">
        <v>112</v>
      </c>
    </row>
    <row r="58" spans="1:18" ht="19.5" x14ac:dyDescent="0.25">
      <c r="A58" s="3" t="s">
        <v>113</v>
      </c>
      <c r="B58" s="29">
        <v>4945838.9999999991</v>
      </c>
      <c r="C58" s="29">
        <v>4574175.1999999993</v>
      </c>
      <c r="D58" s="29">
        <v>3173348.76</v>
      </c>
      <c r="E58" s="29">
        <v>1892151.2000000002</v>
      </c>
      <c r="F58" s="29">
        <v>781481.62</v>
      </c>
      <c r="G58" s="29">
        <v>4074889.67</v>
      </c>
      <c r="H58" s="29">
        <v>6801211.5499999998</v>
      </c>
      <c r="I58" s="29">
        <v>13826539.16</v>
      </c>
      <c r="J58" s="30"/>
      <c r="K58" s="31">
        <f t="shared" si="1"/>
        <v>5.9863020302275711E-3</v>
      </c>
      <c r="L58" s="31">
        <f t="shared" si="1"/>
        <v>2.8046083322934935E-2</v>
      </c>
      <c r="M58" s="31">
        <f t="shared" si="1"/>
        <v>4.4780447005414607E-2</v>
      </c>
      <c r="N58" s="31">
        <f t="shared" si="1"/>
        <v>8.4830292607741623E-2</v>
      </c>
      <c r="O58" s="32"/>
      <c r="P58" s="33">
        <f t="shared" si="2"/>
        <v>103.29523730224213</v>
      </c>
      <c r="Q58" s="34" t="s">
        <v>114</v>
      </c>
    </row>
    <row r="59" spans="1:18" ht="19.5" x14ac:dyDescent="0.25">
      <c r="A59" s="3" t="s">
        <v>115</v>
      </c>
      <c r="B59" s="29">
        <v>47548283.660000004</v>
      </c>
      <c r="C59" s="29">
        <v>45912900.350000001</v>
      </c>
      <c r="D59" s="29">
        <v>49700980.010000005</v>
      </c>
      <c r="E59" s="29">
        <v>52186302.670000002</v>
      </c>
      <c r="F59" s="29">
        <v>62245584.850000001</v>
      </c>
      <c r="G59" s="29">
        <v>75695789.819999993</v>
      </c>
      <c r="H59" s="29">
        <v>83803210</v>
      </c>
      <c r="I59" s="29">
        <v>92499013.730000004</v>
      </c>
      <c r="J59" s="30"/>
      <c r="K59" s="31">
        <f t="shared" si="1"/>
        <v>0.47681335225805765</v>
      </c>
      <c r="L59" s="31">
        <f t="shared" si="1"/>
        <v>0.52098844396125454</v>
      </c>
      <c r="M59" s="31">
        <f t="shared" si="1"/>
        <v>0.55177598530788707</v>
      </c>
      <c r="N59" s="31">
        <f t="shared" si="1"/>
        <v>0.56751138588200478</v>
      </c>
      <c r="O59" s="32"/>
      <c r="P59" s="33">
        <f t="shared" si="2"/>
        <v>10.376456617831241</v>
      </c>
      <c r="Q59" s="34" t="s">
        <v>116</v>
      </c>
    </row>
    <row r="60" spans="1:18" ht="24" customHeight="1" x14ac:dyDescent="0.25">
      <c r="A60" s="38" t="s">
        <v>117</v>
      </c>
      <c r="B60" s="29">
        <v>6802023.7300000004</v>
      </c>
      <c r="C60" s="29">
        <v>6443984.5899999999</v>
      </c>
      <c r="D60" s="29">
        <v>6238700.8399999999</v>
      </c>
      <c r="E60" s="29">
        <v>6704584.9800000004</v>
      </c>
      <c r="F60" s="29">
        <v>7051600.6999999993</v>
      </c>
      <c r="G60" s="29">
        <v>20481678.534299999</v>
      </c>
      <c r="H60" s="29">
        <v>28434516.049999997</v>
      </c>
      <c r="I60" s="29">
        <v>26606676.949999999</v>
      </c>
      <c r="J60" s="30"/>
      <c r="K60" s="31">
        <f t="shared" si="1"/>
        <v>5.4016640323241577E-2</v>
      </c>
      <c r="L60" s="31">
        <f t="shared" si="1"/>
        <v>0.14096844559880947</v>
      </c>
      <c r="M60" s="31">
        <f t="shared" si="1"/>
        <v>0.18721816396104252</v>
      </c>
      <c r="N60" s="31">
        <f t="shared" si="1"/>
        <v>0.16324057415016602</v>
      </c>
      <c r="O60" s="32"/>
      <c r="P60" s="33">
        <f t="shared" si="2"/>
        <v>-6.4282405819247153</v>
      </c>
      <c r="Q60" s="34" t="s">
        <v>118</v>
      </c>
    </row>
    <row r="61" spans="1:18" ht="24" customHeight="1" x14ac:dyDescent="0.25">
      <c r="A61" s="38" t="s">
        <v>119</v>
      </c>
      <c r="B61" s="29">
        <v>1066627.9971999999</v>
      </c>
      <c r="C61" s="29">
        <v>1309039.7897999999</v>
      </c>
      <c r="D61" s="29">
        <v>0</v>
      </c>
      <c r="E61" s="29">
        <v>13370.98</v>
      </c>
      <c r="F61" s="29">
        <v>31388.42</v>
      </c>
      <c r="G61" s="29">
        <v>0</v>
      </c>
      <c r="H61" s="29">
        <v>0</v>
      </c>
      <c r="I61" s="29">
        <v>0</v>
      </c>
      <c r="J61" s="30"/>
      <c r="K61" s="31">
        <f t="shared" si="1"/>
        <v>2.404414352977818E-4</v>
      </c>
      <c r="L61" s="31">
        <f t="shared" si="1"/>
        <v>0</v>
      </c>
      <c r="M61" s="31">
        <f t="shared" si="1"/>
        <v>0</v>
      </c>
      <c r="N61" s="31">
        <f t="shared" si="1"/>
        <v>0</v>
      </c>
      <c r="O61" s="32"/>
      <c r="P61" s="72" t="s">
        <v>3</v>
      </c>
      <c r="Q61" s="39" t="s">
        <v>120</v>
      </c>
    </row>
    <row r="62" spans="1:18" ht="24" customHeight="1" x14ac:dyDescent="0.25">
      <c r="A62" s="38" t="s">
        <v>121</v>
      </c>
      <c r="B62" s="29"/>
      <c r="C62" s="29"/>
      <c r="D62" s="29">
        <v>0</v>
      </c>
      <c r="E62" s="29">
        <v>0</v>
      </c>
      <c r="F62" s="29">
        <v>0</v>
      </c>
      <c r="G62" s="29">
        <v>0</v>
      </c>
      <c r="H62" s="29">
        <v>155000</v>
      </c>
      <c r="I62" s="29">
        <v>110000</v>
      </c>
      <c r="J62" s="30"/>
      <c r="K62" s="31">
        <f t="shared" si="1"/>
        <v>0</v>
      </c>
      <c r="L62" s="31">
        <f t="shared" si="1"/>
        <v>0</v>
      </c>
      <c r="M62" s="31">
        <f t="shared" si="1"/>
        <v>1.0205489470238968E-3</v>
      </c>
      <c r="N62" s="31">
        <f t="shared" si="1"/>
        <v>6.7488560071829126E-4</v>
      </c>
      <c r="O62" s="32"/>
      <c r="P62" s="33">
        <f t="shared" si="2"/>
        <v>-29.032258064516125</v>
      </c>
      <c r="Q62" s="39" t="s">
        <v>135</v>
      </c>
    </row>
    <row r="63" spans="1:18" ht="24" customHeight="1" x14ac:dyDescent="0.25">
      <c r="A63" s="38" t="s">
        <v>122</v>
      </c>
      <c r="B63" s="29"/>
      <c r="C63" s="29"/>
      <c r="D63" s="29">
        <v>0</v>
      </c>
      <c r="E63" s="29">
        <v>0</v>
      </c>
      <c r="F63" s="29">
        <v>0</v>
      </c>
      <c r="G63" s="29">
        <v>0</v>
      </c>
      <c r="H63" s="29">
        <v>635373.4</v>
      </c>
      <c r="I63" s="29">
        <v>555500</v>
      </c>
      <c r="J63" s="30"/>
      <c r="K63" s="31">
        <f t="shared" si="1"/>
        <v>0</v>
      </c>
      <c r="L63" s="31">
        <f t="shared" si="1"/>
        <v>0</v>
      </c>
      <c r="M63" s="31">
        <f t="shared" si="1"/>
        <v>4.1834171247547951E-3</v>
      </c>
      <c r="N63" s="31">
        <f t="shared" si="1"/>
        <v>3.4081722836273708E-3</v>
      </c>
      <c r="O63" s="32"/>
      <c r="P63" s="33">
        <f t="shared" si="2"/>
        <v>-12.57109598859506</v>
      </c>
      <c r="Q63" s="39" t="s">
        <v>136</v>
      </c>
    </row>
    <row r="64" spans="1:18" ht="24" customHeight="1" x14ac:dyDescent="0.25">
      <c r="A64" s="38" t="s">
        <v>123</v>
      </c>
      <c r="B64" s="29"/>
      <c r="C64" s="29"/>
      <c r="D64" s="29">
        <v>0</v>
      </c>
      <c r="E64" s="29">
        <v>0</v>
      </c>
      <c r="F64" s="29">
        <v>0</v>
      </c>
      <c r="G64" s="29">
        <v>0</v>
      </c>
      <c r="H64" s="29">
        <v>3747036.15</v>
      </c>
      <c r="I64" s="29">
        <v>4397143.05</v>
      </c>
      <c r="J64" s="30"/>
      <c r="K64" s="31">
        <f t="shared" si="1"/>
        <v>0</v>
      </c>
      <c r="L64" s="31">
        <f t="shared" si="1"/>
        <v>0</v>
      </c>
      <c r="M64" s="31">
        <f t="shared" si="1"/>
        <v>2.4671185789309519E-2</v>
      </c>
      <c r="N64" s="31">
        <f t="shared" si="1"/>
        <v>2.6977895715850082E-2</v>
      </c>
      <c r="O64" s="32"/>
      <c r="P64" s="33">
        <f t="shared" si="2"/>
        <v>17.349896664327623</v>
      </c>
      <c r="Q64" s="39" t="s">
        <v>137</v>
      </c>
    </row>
    <row r="65" spans="1:19" ht="24" customHeight="1" x14ac:dyDescent="0.25">
      <c r="A65" s="38" t="s">
        <v>124</v>
      </c>
      <c r="B65" s="29"/>
      <c r="C65" s="29"/>
      <c r="D65" s="29">
        <v>0</v>
      </c>
      <c r="E65" s="29">
        <v>0</v>
      </c>
      <c r="F65" s="29">
        <v>0</v>
      </c>
      <c r="G65" s="29">
        <v>0</v>
      </c>
      <c r="H65" s="29">
        <v>146500</v>
      </c>
      <c r="I65" s="29">
        <v>112592</v>
      </c>
      <c r="J65" s="30"/>
      <c r="K65" s="31">
        <f t="shared" si="1"/>
        <v>0</v>
      </c>
      <c r="L65" s="31">
        <f t="shared" si="1"/>
        <v>0</v>
      </c>
      <c r="M65" s="31">
        <f t="shared" si="1"/>
        <v>9.6458335960645711E-4</v>
      </c>
      <c r="N65" s="31">
        <f t="shared" si="1"/>
        <v>6.907883596006713E-4</v>
      </c>
      <c r="O65" s="32"/>
      <c r="P65" s="33">
        <f t="shared" si="2"/>
        <v>-23.145392491467575</v>
      </c>
      <c r="Q65" s="39" t="s">
        <v>138</v>
      </c>
    </row>
    <row r="66" spans="1:19" ht="24" customHeight="1" x14ac:dyDescent="0.25">
      <c r="A66" s="38" t="s">
        <v>125</v>
      </c>
      <c r="B66" s="29"/>
      <c r="C66" s="29"/>
      <c r="D66" s="29">
        <v>0</v>
      </c>
      <c r="E66" s="29">
        <v>0</v>
      </c>
      <c r="F66" s="29">
        <v>0</v>
      </c>
      <c r="G66" s="29">
        <v>0</v>
      </c>
      <c r="H66" s="29">
        <v>480000</v>
      </c>
      <c r="I66" s="29">
        <v>480000</v>
      </c>
      <c r="J66" s="30"/>
      <c r="K66" s="31">
        <f t="shared" si="1"/>
        <v>0</v>
      </c>
      <c r="L66" s="31">
        <f t="shared" si="1"/>
        <v>0</v>
      </c>
      <c r="M66" s="31">
        <f t="shared" si="1"/>
        <v>3.1604096423965833E-3</v>
      </c>
      <c r="N66" s="31">
        <f t="shared" si="1"/>
        <v>2.9449553485889073E-3</v>
      </c>
      <c r="O66" s="32"/>
      <c r="P66" s="33">
        <f t="shared" si="2"/>
        <v>0</v>
      </c>
      <c r="Q66" s="39" t="s">
        <v>139</v>
      </c>
    </row>
    <row r="67" spans="1:19" ht="24" customHeight="1" x14ac:dyDescent="0.25">
      <c r="A67" s="38" t="s">
        <v>126</v>
      </c>
      <c r="B67" s="29"/>
      <c r="C67" s="29"/>
      <c r="D67" s="29">
        <v>0</v>
      </c>
      <c r="E67" s="29">
        <v>0</v>
      </c>
      <c r="F67" s="29">
        <v>0</v>
      </c>
      <c r="G67" s="29">
        <v>0</v>
      </c>
      <c r="H67" s="29">
        <v>398443.62239999999</v>
      </c>
      <c r="I67" s="29">
        <v>198832.70610000001</v>
      </c>
      <c r="J67" s="30"/>
      <c r="K67" s="40">
        <f t="shared" si="1"/>
        <v>0</v>
      </c>
      <c r="L67" s="41">
        <f t="shared" si="1"/>
        <v>0</v>
      </c>
      <c r="M67" s="41">
        <f t="shared" si="1"/>
        <v>2.6234272212174647E-3</v>
      </c>
      <c r="N67" s="41">
        <f t="shared" si="1"/>
        <v>1.2199030027158361E-3</v>
      </c>
      <c r="O67" s="42"/>
      <c r="P67" s="73">
        <f t="shared" si="2"/>
        <v>-50.09765625</v>
      </c>
      <c r="Q67" s="51" t="s">
        <v>140</v>
      </c>
    </row>
    <row r="68" spans="1:19" ht="14.25" customHeight="1" x14ac:dyDescent="0.25">
      <c r="A68" s="74" t="s">
        <v>145</v>
      </c>
      <c r="B68" s="74"/>
      <c r="C68" s="74"/>
      <c r="D68" s="74"/>
      <c r="E68" s="74"/>
      <c r="F68" s="74"/>
      <c r="G68" s="74"/>
      <c r="H68" s="74"/>
      <c r="I68" s="74"/>
      <c r="J68" s="74"/>
      <c r="K68" s="31"/>
      <c r="L68" s="31"/>
      <c r="M68" s="31"/>
      <c r="N68" s="31"/>
      <c r="O68" s="31"/>
      <c r="P68" s="43"/>
      <c r="Q68" s="44" t="s">
        <v>31</v>
      </c>
    </row>
    <row r="69" spans="1:19" ht="39.75" customHeight="1" x14ac:dyDescent="0.25">
      <c r="A69" s="75" t="s">
        <v>127</v>
      </c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31"/>
      <c r="N69" s="31"/>
      <c r="O69" s="31"/>
      <c r="P69" s="43"/>
      <c r="Q69" s="44"/>
    </row>
    <row r="70" spans="1:19" ht="24" customHeight="1" x14ac:dyDescent="0.25">
      <c r="A70" s="53" t="s">
        <v>128</v>
      </c>
      <c r="B70" s="29"/>
      <c r="C70" s="29"/>
      <c r="D70" s="29"/>
      <c r="E70" s="29"/>
      <c r="F70" s="29"/>
      <c r="G70" s="29"/>
      <c r="H70" s="29"/>
      <c r="I70" s="29"/>
      <c r="J70" s="29"/>
      <c r="K70" s="31"/>
      <c r="L70" s="31"/>
      <c r="M70" s="31"/>
      <c r="N70" s="31"/>
      <c r="O70" s="31"/>
      <c r="P70" s="43"/>
      <c r="Q70" s="39"/>
    </row>
    <row r="71" spans="1:19" s="45" customFormat="1" ht="15" customHeight="1" x14ac:dyDescent="0.25">
      <c r="A71" s="6" t="s">
        <v>146</v>
      </c>
      <c r="B71" s="5"/>
      <c r="C71" s="5"/>
      <c r="D71" s="5"/>
      <c r="E71" s="5"/>
      <c r="F71" s="5"/>
      <c r="G71" s="5"/>
      <c r="H71" s="5"/>
      <c r="I71" s="5"/>
    </row>
    <row r="72" spans="1:19" s="48" customFormat="1" ht="15.6" customHeight="1" x14ac:dyDescent="0.25">
      <c r="A72" s="46" t="s">
        <v>30</v>
      </c>
      <c r="B72" s="47"/>
      <c r="C72" s="47"/>
      <c r="D72" s="47"/>
      <c r="E72" s="47"/>
      <c r="F72" s="47"/>
      <c r="G72" s="47"/>
      <c r="H72" s="47"/>
      <c r="I72" s="47"/>
      <c r="J72" s="47"/>
      <c r="R72" s="49"/>
      <c r="S72" s="49"/>
    </row>
    <row r="73" spans="1:19" s="48" customFormat="1" ht="15.6" customHeight="1" x14ac:dyDescent="0.25">
      <c r="A73" s="52" t="s">
        <v>147</v>
      </c>
      <c r="B73" s="47"/>
      <c r="C73" s="47"/>
      <c r="D73" s="47"/>
      <c r="E73" s="47"/>
      <c r="F73" s="47"/>
      <c r="G73" s="47"/>
      <c r="H73" s="47"/>
      <c r="I73" s="47"/>
      <c r="J73" s="47"/>
      <c r="R73" s="49"/>
      <c r="S73" s="49"/>
    </row>
    <row r="74" spans="1:19" s="48" customFormat="1" ht="9.75" customHeight="1" thickBot="1" x14ac:dyDescent="0.3">
      <c r="A74" s="46"/>
      <c r="B74" s="47"/>
      <c r="C74" s="47"/>
      <c r="D74" s="47"/>
      <c r="E74" s="47"/>
      <c r="F74" s="47"/>
      <c r="G74" s="47"/>
      <c r="H74" s="47"/>
      <c r="I74" s="47"/>
      <c r="J74" s="47"/>
      <c r="R74" s="49"/>
      <c r="S74" s="49"/>
    </row>
    <row r="75" spans="1:19" ht="17.25" customHeight="1" x14ac:dyDescent="0.25">
      <c r="A75" s="55" t="s">
        <v>129</v>
      </c>
      <c r="B75" s="56"/>
      <c r="C75" s="56"/>
      <c r="D75" s="56"/>
      <c r="E75" s="56"/>
      <c r="F75" s="57">
        <f>'[1]13.12'!I11</f>
        <v>44906666.336099997</v>
      </c>
      <c r="G75" s="57">
        <f>'[1]13.12'!I11-H62-H63-H64-H65-H66-H67</f>
        <v>39344313.163699999</v>
      </c>
      <c r="H75" s="57">
        <f>F75-G75</f>
        <v>5562353.1723999977</v>
      </c>
      <c r="I75" s="58"/>
    </row>
    <row r="76" spans="1:19" ht="17.25" customHeight="1" x14ac:dyDescent="0.25">
      <c r="A76" s="59" t="s">
        <v>130</v>
      </c>
      <c r="B76" s="7"/>
      <c r="C76" s="7"/>
      <c r="D76" s="7"/>
      <c r="E76" s="7"/>
      <c r="F76" s="60">
        <f>I12+I28+I35+I42+I43+I58</f>
        <v>141767992.15759999</v>
      </c>
      <c r="G76" s="60">
        <f>'[1]13.12'!I19</f>
        <v>141767992.15759999</v>
      </c>
      <c r="H76" s="60">
        <f t="shared" ref="H76:H77" si="3">F76-G76</f>
        <v>0</v>
      </c>
      <c r="I76" s="61"/>
    </row>
    <row r="77" spans="1:19" ht="17.25" customHeight="1" x14ac:dyDescent="0.25">
      <c r="A77" s="59" t="s">
        <v>131</v>
      </c>
      <c r="B77" s="7"/>
      <c r="C77" s="7"/>
      <c r="D77" s="7"/>
      <c r="E77" s="7"/>
      <c r="F77" s="60">
        <f>I19+I26</f>
        <v>76455203.800423443</v>
      </c>
      <c r="G77" s="60">
        <f>'[1]13.12'!I26</f>
        <v>76455203.800423443</v>
      </c>
      <c r="H77" s="60">
        <f t="shared" si="3"/>
        <v>0</v>
      </c>
      <c r="I77" s="61"/>
    </row>
    <row r="78" spans="1:19" ht="17.25" customHeight="1" x14ac:dyDescent="0.25">
      <c r="A78" s="59" t="s">
        <v>132</v>
      </c>
      <c r="B78" s="7"/>
      <c r="C78" s="7"/>
      <c r="D78" s="7"/>
      <c r="E78" s="7"/>
      <c r="F78" s="7"/>
      <c r="G78" s="62">
        <f>I7</f>
        <v>16299058667.561626</v>
      </c>
      <c r="H78" s="62"/>
      <c r="I78" s="63"/>
    </row>
    <row r="79" spans="1:19" x14ac:dyDescent="0.25">
      <c r="A79" s="59" t="s">
        <v>133</v>
      </c>
      <c r="B79" s="7"/>
      <c r="C79" s="7"/>
      <c r="D79" s="7"/>
      <c r="E79" s="7"/>
      <c r="F79" s="7"/>
      <c r="G79" s="64">
        <v>27874.951099999998</v>
      </c>
      <c r="H79" s="64"/>
      <c r="I79" s="65"/>
    </row>
    <row r="80" spans="1:19" ht="16.5" thickBot="1" x14ac:dyDescent="0.3">
      <c r="A80" s="66" t="s">
        <v>134</v>
      </c>
      <c r="B80" s="67"/>
      <c r="C80" s="67"/>
      <c r="D80" s="67"/>
      <c r="E80" s="67"/>
      <c r="F80" s="67"/>
      <c r="G80" s="68">
        <f>SUM(G78:G79)</f>
        <v>16299086542.512726</v>
      </c>
      <c r="H80" s="69" t="s">
        <v>148</v>
      </c>
      <c r="I80" s="70"/>
    </row>
    <row r="81" spans="3:17" x14ac:dyDescent="0.25">
      <c r="G81" s="50"/>
    </row>
    <row r="85" spans="3:17" ht="15" x14ac:dyDescent="0.25">
      <c r="C85" s="29"/>
      <c r="D85" s="29"/>
      <c r="E85" s="29"/>
      <c r="F85" s="29"/>
      <c r="G85" s="29"/>
      <c r="H85" s="29"/>
      <c r="I85" s="29"/>
      <c r="Q85" s="1"/>
    </row>
  </sheetData>
  <mergeCells count="11">
    <mergeCell ref="A68:J68"/>
    <mergeCell ref="A69:L69"/>
    <mergeCell ref="A1:Q1"/>
    <mergeCell ref="A2:Q2"/>
    <mergeCell ref="A4:A6"/>
    <mergeCell ref="Q4:Q6"/>
    <mergeCell ref="D4:I4"/>
    <mergeCell ref="D5:I5"/>
    <mergeCell ref="K5:N5"/>
    <mergeCell ref="K4:N4"/>
    <mergeCell ref="P5:P6"/>
  </mergeCells>
  <pageMargins left="0.7" right="0.7" top="0.75" bottom="0.75" header="0.3" footer="0.3"/>
  <pageSetup paperSize="9" scale="40" orientation="portrait" horizontalDpi="4294967295" verticalDpi="4294967295" r:id="rId1"/>
  <colBreaks count="1" manualBreakCount="1">
    <brk id="1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13.13</vt:lpstr>
      <vt:lpstr>'13.13'!Print_Area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2019-12-16T06:44:26Z</cp:lastPrinted>
  <dcterms:created xsi:type="dcterms:W3CDTF">2014-03-06T08:38:12Z</dcterms:created>
  <dcterms:modified xsi:type="dcterms:W3CDTF">2019-12-16T06:45:33Z</dcterms:modified>
</cp:coreProperties>
</file>